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Yerevan Parking Analysis\"/>
    </mc:Choice>
  </mc:AlternateContent>
  <xr:revisionPtr revIDLastSave="0" documentId="13_ncr:1_{9C806F34-A372-4F78-8CC5-F229157FD4AB}" xr6:coauthVersionLast="47" xr6:coauthVersionMax="47" xr10:uidLastSave="{00000000-0000-0000-0000-000000000000}"/>
  <bookViews>
    <workbookView xWindow="-120" yWindow="-120" windowWidth="29040" windowHeight="15720" activeTab="12" xr2:uid="{00000000-000D-0000-FFFF-FFFF00000000}"/>
  </bookViews>
  <sheets>
    <sheet name="59" sheetId="1" r:id="rId1"/>
    <sheet name="60" sheetId="2" r:id="rId2"/>
    <sheet name="61" sheetId="3" r:id="rId3"/>
    <sheet name="62" sheetId="4" r:id="rId4"/>
    <sheet name="63" sheetId="5" r:id="rId5"/>
    <sheet name="64" sheetId="6" r:id="rId6"/>
    <sheet name="65" sheetId="7" r:id="rId7"/>
    <sheet name="66" sheetId="8" r:id="rId8"/>
    <sheet name="67" sheetId="9" r:id="rId9"/>
    <sheet name="68" sheetId="10" r:id="rId10"/>
    <sheet name="69" sheetId="11" r:id="rId11"/>
    <sheet name="P" sheetId="12" r:id="rId12"/>
    <sheet name="United Data" sheetId="13" r:id="rId13"/>
    <sheet name="ANALYSIS" sheetId="14" r:id="rId14"/>
    <sheet name="CALC Combined" sheetId="15" r:id="rId15"/>
    <sheet name="CALC On-Street" sheetId="16" r:id="rId16"/>
    <sheet name="CALC Off-Street" sheetId="17" r:id="rId17"/>
  </sheets>
  <definedNames>
    <definedName name="_xlnm._FilterDatabase" localSheetId="12" hidden="1">'United Data'!$A$2:$G$2150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2" i="17" l="1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E209" i="17"/>
  <c r="D209" i="17"/>
  <c r="C209" i="17"/>
  <c r="B209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F203" i="17"/>
  <c r="E203" i="17"/>
  <c r="D203" i="17"/>
  <c r="C203" i="17"/>
  <c r="B203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E197" i="17"/>
  <c r="D197" i="17"/>
  <c r="C197" i="17"/>
  <c r="B197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B196" i="17"/>
  <c r="R195" i="17"/>
  <c r="Q195" i="17"/>
  <c r="P195" i="17"/>
  <c r="O195" i="17"/>
  <c r="N195" i="17"/>
  <c r="M195" i="17"/>
  <c r="L195" i="17"/>
  <c r="K195" i="17"/>
  <c r="J195" i="17"/>
  <c r="I195" i="17"/>
  <c r="H195" i="17"/>
  <c r="G195" i="17"/>
  <c r="F195" i="17"/>
  <c r="E195" i="17"/>
  <c r="D195" i="17"/>
  <c r="C195" i="17"/>
  <c r="B195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B190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B184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B178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B177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F176" i="17"/>
  <c r="E176" i="17"/>
  <c r="D176" i="17"/>
  <c r="C176" i="17"/>
  <c r="B176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D171" i="17"/>
  <c r="C171" i="17"/>
  <c r="B171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B161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B160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B159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F158" i="17"/>
  <c r="E158" i="17"/>
  <c r="D158" i="17"/>
  <c r="C158" i="17"/>
  <c r="B158" i="17"/>
  <c r="R157" i="17"/>
  <c r="Q157" i="17"/>
  <c r="P157" i="17"/>
  <c r="O157" i="17"/>
  <c r="N157" i="17"/>
  <c r="M157" i="17"/>
  <c r="L157" i="17"/>
  <c r="K157" i="17"/>
  <c r="J157" i="17"/>
  <c r="I157" i="17"/>
  <c r="H157" i="17"/>
  <c r="G157" i="17"/>
  <c r="F157" i="17"/>
  <c r="E157" i="17"/>
  <c r="D157" i="17"/>
  <c r="C157" i="17"/>
  <c r="B157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B156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B147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F146" i="17"/>
  <c r="E146" i="17"/>
  <c r="D146" i="17"/>
  <c r="C146" i="17"/>
  <c r="B146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B145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B136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B135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B134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B125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B124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B123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B114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B113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B112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B103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B102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B101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B2" i="17"/>
  <c r="R727" i="16"/>
  <c r="Q727" i="16"/>
  <c r="P727" i="16"/>
  <c r="O727" i="16"/>
  <c r="N727" i="16"/>
  <c r="M727" i="16"/>
  <c r="L727" i="16"/>
  <c r="K727" i="16"/>
  <c r="J727" i="16"/>
  <c r="I727" i="16"/>
  <c r="H727" i="16"/>
  <c r="G727" i="16"/>
  <c r="F727" i="16"/>
  <c r="E727" i="16"/>
  <c r="D727" i="16"/>
  <c r="C727" i="16"/>
  <c r="B727" i="16"/>
  <c r="R726" i="16"/>
  <c r="Q726" i="16"/>
  <c r="P726" i="16"/>
  <c r="O726" i="16"/>
  <c r="N726" i="16"/>
  <c r="M726" i="16"/>
  <c r="L726" i="16"/>
  <c r="K726" i="16"/>
  <c r="J726" i="16"/>
  <c r="I726" i="16"/>
  <c r="H726" i="16"/>
  <c r="G726" i="16"/>
  <c r="F726" i="16"/>
  <c r="E726" i="16"/>
  <c r="D726" i="16"/>
  <c r="C726" i="16"/>
  <c r="B726" i="16"/>
  <c r="R725" i="16"/>
  <c r="Q725" i="16"/>
  <c r="P725" i="16"/>
  <c r="O725" i="16"/>
  <c r="N725" i="16"/>
  <c r="M725" i="16"/>
  <c r="L725" i="16"/>
  <c r="K725" i="16"/>
  <c r="J725" i="16"/>
  <c r="I725" i="16"/>
  <c r="H725" i="16"/>
  <c r="G725" i="16"/>
  <c r="F725" i="16"/>
  <c r="E725" i="16"/>
  <c r="D725" i="16"/>
  <c r="C725" i="16"/>
  <c r="B725" i="16"/>
  <c r="R724" i="16"/>
  <c r="Q724" i="16"/>
  <c r="P724" i="16"/>
  <c r="O724" i="16"/>
  <c r="N724" i="16"/>
  <c r="M724" i="16"/>
  <c r="L724" i="16"/>
  <c r="K724" i="16"/>
  <c r="J724" i="16"/>
  <c r="I724" i="16"/>
  <c r="H724" i="16"/>
  <c r="G724" i="16"/>
  <c r="F724" i="16"/>
  <c r="E724" i="16"/>
  <c r="D724" i="16"/>
  <c r="C724" i="16"/>
  <c r="B724" i="16"/>
  <c r="R723" i="16"/>
  <c r="Q723" i="16"/>
  <c r="P723" i="16"/>
  <c r="O723" i="16"/>
  <c r="N723" i="16"/>
  <c r="M723" i="16"/>
  <c r="L723" i="16"/>
  <c r="K723" i="16"/>
  <c r="J723" i="16"/>
  <c r="I723" i="16"/>
  <c r="H723" i="16"/>
  <c r="G723" i="16"/>
  <c r="F723" i="16"/>
  <c r="E723" i="16"/>
  <c r="D723" i="16"/>
  <c r="C723" i="16"/>
  <c r="B723" i="16"/>
  <c r="R722" i="16"/>
  <c r="Q722" i="16"/>
  <c r="P722" i="16"/>
  <c r="O722" i="16"/>
  <c r="N722" i="16"/>
  <c r="M722" i="16"/>
  <c r="L722" i="16"/>
  <c r="K722" i="16"/>
  <c r="J722" i="16"/>
  <c r="I722" i="16"/>
  <c r="H722" i="16"/>
  <c r="G722" i="16"/>
  <c r="F722" i="16"/>
  <c r="E722" i="16"/>
  <c r="D722" i="16"/>
  <c r="C722" i="16"/>
  <c r="B722" i="16"/>
  <c r="R721" i="16"/>
  <c r="Q721" i="16"/>
  <c r="P721" i="16"/>
  <c r="O721" i="16"/>
  <c r="N721" i="16"/>
  <c r="M721" i="16"/>
  <c r="L721" i="16"/>
  <c r="K721" i="16"/>
  <c r="J721" i="16"/>
  <c r="I721" i="16"/>
  <c r="H721" i="16"/>
  <c r="G721" i="16"/>
  <c r="F721" i="16"/>
  <c r="E721" i="16"/>
  <c r="D721" i="16"/>
  <c r="C721" i="16"/>
  <c r="B721" i="16"/>
  <c r="R720" i="16"/>
  <c r="Q720" i="16"/>
  <c r="P720" i="16"/>
  <c r="O720" i="16"/>
  <c r="N720" i="16"/>
  <c r="M720" i="16"/>
  <c r="L720" i="16"/>
  <c r="K720" i="16"/>
  <c r="J720" i="16"/>
  <c r="I720" i="16"/>
  <c r="H720" i="16"/>
  <c r="G720" i="16"/>
  <c r="F720" i="16"/>
  <c r="E720" i="16"/>
  <c r="D720" i="16"/>
  <c r="C720" i="16"/>
  <c r="B720" i="16"/>
  <c r="R719" i="16"/>
  <c r="Q719" i="16"/>
  <c r="P719" i="16"/>
  <c r="O719" i="16"/>
  <c r="N719" i="16"/>
  <c r="M719" i="16"/>
  <c r="L719" i="16"/>
  <c r="K719" i="16"/>
  <c r="J719" i="16"/>
  <c r="I719" i="16"/>
  <c r="H719" i="16"/>
  <c r="G719" i="16"/>
  <c r="F719" i="16"/>
  <c r="E719" i="16"/>
  <c r="D719" i="16"/>
  <c r="C719" i="16"/>
  <c r="B719" i="16"/>
  <c r="R718" i="16"/>
  <c r="Q718" i="16"/>
  <c r="P718" i="16"/>
  <c r="O718" i="16"/>
  <c r="N718" i="16"/>
  <c r="M718" i="16"/>
  <c r="L718" i="16"/>
  <c r="K718" i="16"/>
  <c r="J718" i="16"/>
  <c r="I718" i="16"/>
  <c r="H718" i="16"/>
  <c r="G718" i="16"/>
  <c r="F718" i="16"/>
  <c r="E718" i="16"/>
  <c r="D718" i="16"/>
  <c r="C718" i="16"/>
  <c r="B718" i="16"/>
  <c r="R717" i="16"/>
  <c r="Q717" i="16"/>
  <c r="P717" i="16"/>
  <c r="O717" i="16"/>
  <c r="N717" i="16"/>
  <c r="M717" i="16"/>
  <c r="L717" i="16"/>
  <c r="K717" i="16"/>
  <c r="J717" i="16"/>
  <c r="I717" i="16"/>
  <c r="H717" i="16"/>
  <c r="G717" i="16"/>
  <c r="F717" i="16"/>
  <c r="E717" i="16"/>
  <c r="D717" i="16"/>
  <c r="C717" i="16"/>
  <c r="B717" i="16"/>
  <c r="R716" i="16"/>
  <c r="Q716" i="16"/>
  <c r="P716" i="16"/>
  <c r="O716" i="16"/>
  <c r="N716" i="16"/>
  <c r="M716" i="16"/>
  <c r="L716" i="16"/>
  <c r="K716" i="16"/>
  <c r="J716" i="16"/>
  <c r="I716" i="16"/>
  <c r="H716" i="16"/>
  <c r="G716" i="16"/>
  <c r="F716" i="16"/>
  <c r="E716" i="16"/>
  <c r="D716" i="16"/>
  <c r="C716" i="16"/>
  <c r="B716" i="16"/>
  <c r="R715" i="16"/>
  <c r="Q715" i="16"/>
  <c r="P715" i="16"/>
  <c r="O715" i="16"/>
  <c r="N715" i="16"/>
  <c r="M715" i="16"/>
  <c r="L715" i="16"/>
  <c r="K715" i="16"/>
  <c r="J715" i="16"/>
  <c r="I715" i="16"/>
  <c r="H715" i="16"/>
  <c r="G715" i="16"/>
  <c r="F715" i="16"/>
  <c r="E715" i="16"/>
  <c r="D715" i="16"/>
  <c r="C715" i="16"/>
  <c r="B715" i="16"/>
  <c r="R714" i="16"/>
  <c r="Q714" i="16"/>
  <c r="P714" i="16"/>
  <c r="O714" i="16"/>
  <c r="N714" i="16"/>
  <c r="M714" i="16"/>
  <c r="L714" i="16"/>
  <c r="K714" i="16"/>
  <c r="J714" i="16"/>
  <c r="I714" i="16"/>
  <c r="H714" i="16"/>
  <c r="G714" i="16"/>
  <c r="F714" i="16"/>
  <c r="E714" i="16"/>
  <c r="D714" i="16"/>
  <c r="C714" i="16"/>
  <c r="B714" i="16"/>
  <c r="R713" i="16"/>
  <c r="Q713" i="16"/>
  <c r="P713" i="16"/>
  <c r="O713" i="16"/>
  <c r="N713" i="16"/>
  <c r="M713" i="16"/>
  <c r="L713" i="16"/>
  <c r="K713" i="16"/>
  <c r="J713" i="16"/>
  <c r="I713" i="16"/>
  <c r="H713" i="16"/>
  <c r="G713" i="16"/>
  <c r="F713" i="16"/>
  <c r="E713" i="16"/>
  <c r="D713" i="16"/>
  <c r="C713" i="16"/>
  <c r="B713" i="16"/>
  <c r="R712" i="16"/>
  <c r="Q712" i="16"/>
  <c r="P712" i="16"/>
  <c r="O712" i="16"/>
  <c r="N712" i="16"/>
  <c r="M712" i="16"/>
  <c r="L712" i="16"/>
  <c r="K712" i="16"/>
  <c r="J712" i="16"/>
  <c r="I712" i="16"/>
  <c r="H712" i="16"/>
  <c r="G712" i="16"/>
  <c r="F712" i="16"/>
  <c r="E712" i="16"/>
  <c r="D712" i="16"/>
  <c r="C712" i="16"/>
  <c r="B712" i="16"/>
  <c r="R711" i="16"/>
  <c r="Q711" i="16"/>
  <c r="P711" i="16"/>
  <c r="O711" i="16"/>
  <c r="N711" i="16"/>
  <c r="M711" i="16"/>
  <c r="L711" i="16"/>
  <c r="K711" i="16"/>
  <c r="J711" i="16"/>
  <c r="I711" i="16"/>
  <c r="H711" i="16"/>
  <c r="G711" i="16"/>
  <c r="F711" i="16"/>
  <c r="E711" i="16"/>
  <c r="D711" i="16"/>
  <c r="C711" i="16"/>
  <c r="B711" i="16"/>
  <c r="R710" i="16"/>
  <c r="Q710" i="16"/>
  <c r="P710" i="16"/>
  <c r="O710" i="16"/>
  <c r="N710" i="16"/>
  <c r="M710" i="16"/>
  <c r="L710" i="16"/>
  <c r="K710" i="16"/>
  <c r="J710" i="16"/>
  <c r="I710" i="16"/>
  <c r="H710" i="16"/>
  <c r="G710" i="16"/>
  <c r="F710" i="16"/>
  <c r="E710" i="16"/>
  <c r="D710" i="16"/>
  <c r="C710" i="16"/>
  <c r="B710" i="16"/>
  <c r="R709" i="16"/>
  <c r="Q709" i="16"/>
  <c r="P709" i="16"/>
  <c r="O709" i="16"/>
  <c r="N709" i="16"/>
  <c r="M709" i="16"/>
  <c r="L709" i="16"/>
  <c r="K709" i="16"/>
  <c r="J709" i="16"/>
  <c r="I709" i="16"/>
  <c r="H709" i="16"/>
  <c r="G709" i="16"/>
  <c r="F709" i="16"/>
  <c r="E709" i="16"/>
  <c r="D709" i="16"/>
  <c r="C709" i="16"/>
  <c r="B709" i="16"/>
  <c r="R708" i="16"/>
  <c r="Q708" i="16"/>
  <c r="P708" i="16"/>
  <c r="O708" i="16"/>
  <c r="N708" i="16"/>
  <c r="M708" i="16"/>
  <c r="L708" i="16"/>
  <c r="K708" i="16"/>
  <c r="J708" i="16"/>
  <c r="I708" i="16"/>
  <c r="H708" i="16"/>
  <c r="G708" i="16"/>
  <c r="F708" i="16"/>
  <c r="E708" i="16"/>
  <c r="D708" i="16"/>
  <c r="C708" i="16"/>
  <c r="B708" i="16"/>
  <c r="R707" i="16"/>
  <c r="Q707" i="16"/>
  <c r="P707" i="16"/>
  <c r="O707" i="16"/>
  <c r="N707" i="16"/>
  <c r="M707" i="16"/>
  <c r="L707" i="16"/>
  <c r="K707" i="16"/>
  <c r="J707" i="16"/>
  <c r="I707" i="16"/>
  <c r="H707" i="16"/>
  <c r="G707" i="16"/>
  <c r="F707" i="16"/>
  <c r="E707" i="16"/>
  <c r="D707" i="16"/>
  <c r="C707" i="16"/>
  <c r="B707" i="16"/>
  <c r="R706" i="16"/>
  <c r="Q706" i="16"/>
  <c r="P706" i="16"/>
  <c r="O706" i="16"/>
  <c r="N706" i="16"/>
  <c r="M706" i="16"/>
  <c r="L706" i="16"/>
  <c r="K706" i="16"/>
  <c r="J706" i="16"/>
  <c r="I706" i="16"/>
  <c r="H706" i="16"/>
  <c r="G706" i="16"/>
  <c r="F706" i="16"/>
  <c r="E706" i="16"/>
  <c r="D706" i="16"/>
  <c r="C706" i="16"/>
  <c r="B706" i="16"/>
  <c r="R705" i="16"/>
  <c r="Q705" i="16"/>
  <c r="P705" i="16"/>
  <c r="O705" i="16"/>
  <c r="N705" i="16"/>
  <c r="M705" i="16"/>
  <c r="L705" i="16"/>
  <c r="K705" i="16"/>
  <c r="J705" i="16"/>
  <c r="I705" i="16"/>
  <c r="H705" i="16"/>
  <c r="G705" i="16"/>
  <c r="F705" i="16"/>
  <c r="E705" i="16"/>
  <c r="D705" i="16"/>
  <c r="C705" i="16"/>
  <c r="B705" i="16"/>
  <c r="R704" i="16"/>
  <c r="Q704" i="16"/>
  <c r="P704" i="16"/>
  <c r="O704" i="16"/>
  <c r="N704" i="16"/>
  <c r="M704" i="16"/>
  <c r="L704" i="16"/>
  <c r="K704" i="16"/>
  <c r="J704" i="16"/>
  <c r="I704" i="16"/>
  <c r="H704" i="16"/>
  <c r="G704" i="16"/>
  <c r="F704" i="16"/>
  <c r="E704" i="16"/>
  <c r="D704" i="16"/>
  <c r="C704" i="16"/>
  <c r="B704" i="16"/>
  <c r="R703" i="16"/>
  <c r="Q703" i="16"/>
  <c r="P703" i="16"/>
  <c r="O703" i="16"/>
  <c r="N703" i="16"/>
  <c r="M703" i="16"/>
  <c r="L703" i="16"/>
  <c r="K703" i="16"/>
  <c r="J703" i="16"/>
  <c r="I703" i="16"/>
  <c r="H703" i="16"/>
  <c r="G703" i="16"/>
  <c r="F703" i="16"/>
  <c r="E703" i="16"/>
  <c r="D703" i="16"/>
  <c r="C703" i="16"/>
  <c r="B703" i="16"/>
  <c r="R702" i="16"/>
  <c r="Q702" i="16"/>
  <c r="P702" i="16"/>
  <c r="O702" i="16"/>
  <c r="N702" i="16"/>
  <c r="M702" i="16"/>
  <c r="L702" i="16"/>
  <c r="K702" i="16"/>
  <c r="J702" i="16"/>
  <c r="I702" i="16"/>
  <c r="H702" i="16"/>
  <c r="G702" i="16"/>
  <c r="F702" i="16"/>
  <c r="E702" i="16"/>
  <c r="D702" i="16"/>
  <c r="C702" i="16"/>
  <c r="B702" i="16"/>
  <c r="R701" i="16"/>
  <c r="Q701" i="16"/>
  <c r="P701" i="16"/>
  <c r="O701" i="16"/>
  <c r="N701" i="16"/>
  <c r="M701" i="16"/>
  <c r="L701" i="16"/>
  <c r="K701" i="16"/>
  <c r="J701" i="16"/>
  <c r="I701" i="16"/>
  <c r="H701" i="16"/>
  <c r="G701" i="16"/>
  <c r="F701" i="16"/>
  <c r="E701" i="16"/>
  <c r="D701" i="16"/>
  <c r="C701" i="16"/>
  <c r="B701" i="16"/>
  <c r="R700" i="16"/>
  <c r="Q700" i="16"/>
  <c r="P700" i="16"/>
  <c r="O700" i="16"/>
  <c r="N700" i="16"/>
  <c r="M700" i="16"/>
  <c r="L700" i="16"/>
  <c r="K700" i="16"/>
  <c r="J700" i="16"/>
  <c r="I700" i="16"/>
  <c r="H700" i="16"/>
  <c r="G700" i="16"/>
  <c r="F700" i="16"/>
  <c r="E700" i="16"/>
  <c r="D700" i="16"/>
  <c r="C700" i="16"/>
  <c r="B700" i="16"/>
  <c r="R699" i="16"/>
  <c r="Q699" i="16"/>
  <c r="P699" i="16"/>
  <c r="O699" i="16"/>
  <c r="N699" i="16"/>
  <c r="M699" i="16"/>
  <c r="L699" i="16"/>
  <c r="K699" i="16"/>
  <c r="J699" i="16"/>
  <c r="I699" i="16"/>
  <c r="H699" i="16"/>
  <c r="G699" i="16"/>
  <c r="F699" i="16"/>
  <c r="E699" i="16"/>
  <c r="D699" i="16"/>
  <c r="C699" i="16"/>
  <c r="B699" i="16"/>
  <c r="R698" i="16"/>
  <c r="Q698" i="16"/>
  <c r="P698" i="16"/>
  <c r="O698" i="16"/>
  <c r="N698" i="16"/>
  <c r="M698" i="16"/>
  <c r="L698" i="16"/>
  <c r="K698" i="16"/>
  <c r="J698" i="16"/>
  <c r="I698" i="16"/>
  <c r="H698" i="16"/>
  <c r="G698" i="16"/>
  <c r="F698" i="16"/>
  <c r="E698" i="16"/>
  <c r="D698" i="16"/>
  <c r="C698" i="16"/>
  <c r="B698" i="16"/>
  <c r="R697" i="16"/>
  <c r="Q697" i="16"/>
  <c r="P697" i="16"/>
  <c r="O697" i="16"/>
  <c r="N697" i="16"/>
  <c r="M697" i="16"/>
  <c r="L697" i="16"/>
  <c r="K697" i="16"/>
  <c r="J697" i="16"/>
  <c r="I697" i="16"/>
  <c r="H697" i="16"/>
  <c r="G697" i="16"/>
  <c r="F697" i="16"/>
  <c r="E697" i="16"/>
  <c r="D697" i="16"/>
  <c r="C697" i="16"/>
  <c r="B697" i="16"/>
  <c r="R696" i="16"/>
  <c r="Q696" i="16"/>
  <c r="P696" i="16"/>
  <c r="O696" i="16"/>
  <c r="N696" i="16"/>
  <c r="M696" i="16"/>
  <c r="L696" i="16"/>
  <c r="K696" i="16"/>
  <c r="J696" i="16"/>
  <c r="I696" i="16"/>
  <c r="H696" i="16"/>
  <c r="G696" i="16"/>
  <c r="F696" i="16"/>
  <c r="E696" i="16"/>
  <c r="D696" i="16"/>
  <c r="C696" i="16"/>
  <c r="B696" i="16"/>
  <c r="R695" i="16"/>
  <c r="Q695" i="16"/>
  <c r="P695" i="16"/>
  <c r="O695" i="16"/>
  <c r="N695" i="16"/>
  <c r="M695" i="16"/>
  <c r="L695" i="16"/>
  <c r="K695" i="16"/>
  <c r="J695" i="16"/>
  <c r="I695" i="16"/>
  <c r="H695" i="16"/>
  <c r="G695" i="16"/>
  <c r="F695" i="16"/>
  <c r="E695" i="16"/>
  <c r="D695" i="16"/>
  <c r="C695" i="16"/>
  <c r="B695" i="16"/>
  <c r="R694" i="16"/>
  <c r="Q694" i="16"/>
  <c r="P694" i="16"/>
  <c r="O694" i="16"/>
  <c r="N694" i="16"/>
  <c r="M694" i="16"/>
  <c r="L694" i="16"/>
  <c r="K694" i="16"/>
  <c r="J694" i="16"/>
  <c r="I694" i="16"/>
  <c r="H694" i="16"/>
  <c r="G694" i="16"/>
  <c r="F694" i="16"/>
  <c r="E694" i="16"/>
  <c r="D694" i="16"/>
  <c r="C694" i="16"/>
  <c r="B694" i="16"/>
  <c r="R693" i="16"/>
  <c r="Q693" i="16"/>
  <c r="P693" i="16"/>
  <c r="O693" i="16"/>
  <c r="N693" i="16"/>
  <c r="M693" i="16"/>
  <c r="L693" i="16"/>
  <c r="K693" i="16"/>
  <c r="J693" i="16"/>
  <c r="I693" i="16"/>
  <c r="H693" i="16"/>
  <c r="G693" i="16"/>
  <c r="F693" i="16"/>
  <c r="E693" i="16"/>
  <c r="D693" i="16"/>
  <c r="C693" i="16"/>
  <c r="B693" i="16"/>
  <c r="R692" i="16"/>
  <c r="Q692" i="16"/>
  <c r="P692" i="16"/>
  <c r="O692" i="16"/>
  <c r="N692" i="16"/>
  <c r="M692" i="16"/>
  <c r="L692" i="16"/>
  <c r="K692" i="16"/>
  <c r="J692" i="16"/>
  <c r="I692" i="16"/>
  <c r="H692" i="16"/>
  <c r="G692" i="16"/>
  <c r="F692" i="16"/>
  <c r="E692" i="16"/>
  <c r="D692" i="16"/>
  <c r="C692" i="16"/>
  <c r="B692" i="16"/>
  <c r="R691" i="16"/>
  <c r="Q691" i="16"/>
  <c r="P691" i="16"/>
  <c r="O691" i="16"/>
  <c r="N691" i="16"/>
  <c r="M691" i="16"/>
  <c r="L691" i="16"/>
  <c r="K691" i="16"/>
  <c r="J691" i="16"/>
  <c r="I691" i="16"/>
  <c r="H691" i="16"/>
  <c r="G691" i="16"/>
  <c r="F691" i="16"/>
  <c r="E691" i="16"/>
  <c r="D691" i="16"/>
  <c r="C691" i="16"/>
  <c r="B691" i="16"/>
  <c r="R690" i="16"/>
  <c r="Q690" i="16"/>
  <c r="P690" i="16"/>
  <c r="O690" i="16"/>
  <c r="N690" i="16"/>
  <c r="M690" i="16"/>
  <c r="L690" i="16"/>
  <c r="K690" i="16"/>
  <c r="J690" i="16"/>
  <c r="I690" i="16"/>
  <c r="H690" i="16"/>
  <c r="G690" i="16"/>
  <c r="F690" i="16"/>
  <c r="E690" i="16"/>
  <c r="D690" i="16"/>
  <c r="C690" i="16"/>
  <c r="B690" i="16"/>
  <c r="R689" i="16"/>
  <c r="Q689" i="16"/>
  <c r="P689" i="16"/>
  <c r="O689" i="16"/>
  <c r="N689" i="16"/>
  <c r="M689" i="16"/>
  <c r="L689" i="16"/>
  <c r="K689" i="16"/>
  <c r="J689" i="16"/>
  <c r="I689" i="16"/>
  <c r="H689" i="16"/>
  <c r="G689" i="16"/>
  <c r="F689" i="16"/>
  <c r="E689" i="16"/>
  <c r="D689" i="16"/>
  <c r="C689" i="16"/>
  <c r="B689" i="16"/>
  <c r="R688" i="16"/>
  <c r="Q688" i="16"/>
  <c r="P688" i="16"/>
  <c r="O688" i="16"/>
  <c r="N688" i="16"/>
  <c r="M688" i="16"/>
  <c r="L688" i="16"/>
  <c r="K688" i="16"/>
  <c r="J688" i="16"/>
  <c r="I688" i="16"/>
  <c r="H688" i="16"/>
  <c r="G688" i="16"/>
  <c r="F688" i="16"/>
  <c r="E688" i="16"/>
  <c r="D688" i="16"/>
  <c r="C688" i="16"/>
  <c r="B688" i="16"/>
  <c r="R687" i="16"/>
  <c r="Q687" i="16"/>
  <c r="P687" i="16"/>
  <c r="O687" i="16"/>
  <c r="N687" i="16"/>
  <c r="M687" i="16"/>
  <c r="L687" i="16"/>
  <c r="K687" i="16"/>
  <c r="J687" i="16"/>
  <c r="I687" i="16"/>
  <c r="H687" i="16"/>
  <c r="G687" i="16"/>
  <c r="F687" i="16"/>
  <c r="E687" i="16"/>
  <c r="D687" i="16"/>
  <c r="C687" i="16"/>
  <c r="B687" i="16"/>
  <c r="R686" i="16"/>
  <c r="Q686" i="16"/>
  <c r="P686" i="16"/>
  <c r="O686" i="16"/>
  <c r="N686" i="16"/>
  <c r="M686" i="16"/>
  <c r="L686" i="16"/>
  <c r="K686" i="16"/>
  <c r="J686" i="16"/>
  <c r="I686" i="16"/>
  <c r="H686" i="16"/>
  <c r="G686" i="16"/>
  <c r="F686" i="16"/>
  <c r="E686" i="16"/>
  <c r="D686" i="16"/>
  <c r="C686" i="16"/>
  <c r="B686" i="16"/>
  <c r="R685" i="16"/>
  <c r="Q685" i="16"/>
  <c r="P685" i="16"/>
  <c r="O685" i="16"/>
  <c r="N685" i="16"/>
  <c r="M685" i="16"/>
  <c r="L685" i="16"/>
  <c r="K685" i="16"/>
  <c r="J685" i="16"/>
  <c r="I685" i="16"/>
  <c r="H685" i="16"/>
  <c r="G685" i="16"/>
  <c r="F685" i="16"/>
  <c r="E685" i="16"/>
  <c r="D685" i="16"/>
  <c r="C685" i="16"/>
  <c r="B685" i="16"/>
  <c r="R684" i="16"/>
  <c r="Q684" i="16"/>
  <c r="P684" i="16"/>
  <c r="O684" i="16"/>
  <c r="N684" i="16"/>
  <c r="M684" i="16"/>
  <c r="L684" i="16"/>
  <c r="K684" i="16"/>
  <c r="J684" i="16"/>
  <c r="I684" i="16"/>
  <c r="H684" i="16"/>
  <c r="G684" i="16"/>
  <c r="F684" i="16"/>
  <c r="E684" i="16"/>
  <c r="D684" i="16"/>
  <c r="C684" i="16"/>
  <c r="B684" i="16"/>
  <c r="R683" i="16"/>
  <c r="Q683" i="16"/>
  <c r="P683" i="16"/>
  <c r="O683" i="16"/>
  <c r="N683" i="16"/>
  <c r="M683" i="16"/>
  <c r="L683" i="16"/>
  <c r="K683" i="16"/>
  <c r="J683" i="16"/>
  <c r="I683" i="16"/>
  <c r="H683" i="16"/>
  <c r="G683" i="16"/>
  <c r="F683" i="16"/>
  <c r="E683" i="16"/>
  <c r="D683" i="16"/>
  <c r="C683" i="16"/>
  <c r="B683" i="16"/>
  <c r="R682" i="16"/>
  <c r="Q682" i="16"/>
  <c r="P682" i="16"/>
  <c r="O682" i="16"/>
  <c r="N682" i="16"/>
  <c r="M682" i="16"/>
  <c r="L682" i="16"/>
  <c r="K682" i="16"/>
  <c r="J682" i="16"/>
  <c r="I682" i="16"/>
  <c r="H682" i="16"/>
  <c r="G682" i="16"/>
  <c r="F682" i="16"/>
  <c r="E682" i="16"/>
  <c r="D682" i="16"/>
  <c r="C682" i="16"/>
  <c r="B682" i="16"/>
  <c r="R681" i="16"/>
  <c r="Q681" i="16"/>
  <c r="P681" i="16"/>
  <c r="O681" i="16"/>
  <c r="N681" i="16"/>
  <c r="M681" i="16"/>
  <c r="L681" i="16"/>
  <c r="K681" i="16"/>
  <c r="J681" i="16"/>
  <c r="I681" i="16"/>
  <c r="H681" i="16"/>
  <c r="G681" i="16"/>
  <c r="F681" i="16"/>
  <c r="E681" i="16"/>
  <c r="D681" i="16"/>
  <c r="C681" i="16"/>
  <c r="B681" i="16"/>
  <c r="R680" i="16"/>
  <c r="Q680" i="16"/>
  <c r="P680" i="16"/>
  <c r="O680" i="16"/>
  <c r="N680" i="16"/>
  <c r="M680" i="16"/>
  <c r="L680" i="16"/>
  <c r="K680" i="16"/>
  <c r="J680" i="16"/>
  <c r="I680" i="16"/>
  <c r="H680" i="16"/>
  <c r="G680" i="16"/>
  <c r="F680" i="16"/>
  <c r="E680" i="16"/>
  <c r="D680" i="16"/>
  <c r="C680" i="16"/>
  <c r="B680" i="16"/>
  <c r="R679" i="16"/>
  <c r="Q679" i="16"/>
  <c r="P679" i="16"/>
  <c r="O679" i="16"/>
  <c r="N679" i="16"/>
  <c r="M679" i="16"/>
  <c r="L679" i="16"/>
  <c r="K679" i="16"/>
  <c r="J679" i="16"/>
  <c r="I679" i="16"/>
  <c r="H679" i="16"/>
  <c r="G679" i="16"/>
  <c r="F679" i="16"/>
  <c r="E679" i="16"/>
  <c r="D679" i="16"/>
  <c r="C679" i="16"/>
  <c r="B679" i="16"/>
  <c r="R678" i="16"/>
  <c r="Q678" i="16"/>
  <c r="P678" i="16"/>
  <c r="O678" i="16"/>
  <c r="N678" i="16"/>
  <c r="M678" i="16"/>
  <c r="L678" i="16"/>
  <c r="K678" i="16"/>
  <c r="J678" i="16"/>
  <c r="I678" i="16"/>
  <c r="H678" i="16"/>
  <c r="G678" i="16"/>
  <c r="F678" i="16"/>
  <c r="E678" i="16"/>
  <c r="D678" i="16"/>
  <c r="C678" i="16"/>
  <c r="B678" i="16"/>
  <c r="R677" i="16"/>
  <c r="Q677" i="16"/>
  <c r="P677" i="16"/>
  <c r="O677" i="16"/>
  <c r="N677" i="16"/>
  <c r="M677" i="16"/>
  <c r="L677" i="16"/>
  <c r="K677" i="16"/>
  <c r="J677" i="16"/>
  <c r="I677" i="16"/>
  <c r="H677" i="16"/>
  <c r="G677" i="16"/>
  <c r="F677" i="16"/>
  <c r="E677" i="16"/>
  <c r="D677" i="16"/>
  <c r="C677" i="16"/>
  <c r="B677" i="16"/>
  <c r="R676" i="16"/>
  <c r="Q676" i="16"/>
  <c r="P676" i="16"/>
  <c r="O676" i="16"/>
  <c r="N676" i="16"/>
  <c r="M676" i="16"/>
  <c r="L676" i="16"/>
  <c r="K676" i="16"/>
  <c r="J676" i="16"/>
  <c r="I676" i="16"/>
  <c r="H676" i="16"/>
  <c r="G676" i="16"/>
  <c r="F676" i="16"/>
  <c r="E676" i="16"/>
  <c r="D676" i="16"/>
  <c r="C676" i="16"/>
  <c r="B676" i="16"/>
  <c r="R675" i="16"/>
  <c r="Q675" i="16"/>
  <c r="P675" i="16"/>
  <c r="O675" i="16"/>
  <c r="N675" i="16"/>
  <c r="M675" i="16"/>
  <c r="L675" i="16"/>
  <c r="K675" i="16"/>
  <c r="J675" i="16"/>
  <c r="I675" i="16"/>
  <c r="H675" i="16"/>
  <c r="G675" i="16"/>
  <c r="F675" i="16"/>
  <c r="E675" i="16"/>
  <c r="D675" i="16"/>
  <c r="C675" i="16"/>
  <c r="B675" i="16"/>
  <c r="R674" i="16"/>
  <c r="Q674" i="16"/>
  <c r="P674" i="16"/>
  <c r="O674" i="16"/>
  <c r="N674" i="16"/>
  <c r="M674" i="16"/>
  <c r="L674" i="16"/>
  <c r="K674" i="16"/>
  <c r="J674" i="16"/>
  <c r="I674" i="16"/>
  <c r="H674" i="16"/>
  <c r="G674" i="16"/>
  <c r="F674" i="16"/>
  <c r="E674" i="16"/>
  <c r="D674" i="16"/>
  <c r="C674" i="16"/>
  <c r="B674" i="16"/>
  <c r="R673" i="16"/>
  <c r="Q673" i="16"/>
  <c r="P673" i="16"/>
  <c r="O673" i="16"/>
  <c r="N673" i="16"/>
  <c r="M673" i="16"/>
  <c r="L673" i="16"/>
  <c r="K673" i="16"/>
  <c r="J673" i="16"/>
  <c r="I673" i="16"/>
  <c r="H673" i="16"/>
  <c r="G673" i="16"/>
  <c r="F673" i="16"/>
  <c r="E673" i="16"/>
  <c r="D673" i="16"/>
  <c r="C673" i="16"/>
  <c r="B673" i="16"/>
  <c r="R672" i="16"/>
  <c r="Q672" i="16"/>
  <c r="P672" i="16"/>
  <c r="O672" i="16"/>
  <c r="N672" i="16"/>
  <c r="M672" i="16"/>
  <c r="L672" i="16"/>
  <c r="K672" i="16"/>
  <c r="J672" i="16"/>
  <c r="I672" i="16"/>
  <c r="H672" i="16"/>
  <c r="G672" i="16"/>
  <c r="F672" i="16"/>
  <c r="E672" i="16"/>
  <c r="D672" i="16"/>
  <c r="C672" i="16"/>
  <c r="B672" i="16"/>
  <c r="R671" i="16"/>
  <c r="Q671" i="16"/>
  <c r="P671" i="16"/>
  <c r="O671" i="16"/>
  <c r="N671" i="16"/>
  <c r="M671" i="16"/>
  <c r="L671" i="16"/>
  <c r="K671" i="16"/>
  <c r="J671" i="16"/>
  <c r="I671" i="16"/>
  <c r="H671" i="16"/>
  <c r="G671" i="16"/>
  <c r="F671" i="16"/>
  <c r="E671" i="16"/>
  <c r="D671" i="16"/>
  <c r="C671" i="16"/>
  <c r="B671" i="16"/>
  <c r="R670" i="16"/>
  <c r="Q670" i="16"/>
  <c r="P670" i="16"/>
  <c r="O670" i="16"/>
  <c r="N670" i="16"/>
  <c r="M670" i="16"/>
  <c r="L670" i="16"/>
  <c r="K670" i="16"/>
  <c r="J670" i="16"/>
  <c r="I670" i="16"/>
  <c r="H670" i="16"/>
  <c r="G670" i="16"/>
  <c r="F670" i="16"/>
  <c r="E670" i="16"/>
  <c r="D670" i="16"/>
  <c r="C670" i="16"/>
  <c r="B670" i="16"/>
  <c r="R669" i="16"/>
  <c r="Q669" i="16"/>
  <c r="P669" i="16"/>
  <c r="O669" i="16"/>
  <c r="N669" i="16"/>
  <c r="M669" i="16"/>
  <c r="L669" i="16"/>
  <c r="K669" i="16"/>
  <c r="J669" i="16"/>
  <c r="I669" i="16"/>
  <c r="H669" i="16"/>
  <c r="G669" i="16"/>
  <c r="F669" i="16"/>
  <c r="E669" i="16"/>
  <c r="D669" i="16"/>
  <c r="C669" i="16"/>
  <c r="B669" i="16"/>
  <c r="R668" i="16"/>
  <c r="Q668" i="16"/>
  <c r="P668" i="16"/>
  <c r="O668" i="16"/>
  <c r="N668" i="16"/>
  <c r="M668" i="16"/>
  <c r="L668" i="16"/>
  <c r="K668" i="16"/>
  <c r="J668" i="16"/>
  <c r="I668" i="16"/>
  <c r="H668" i="16"/>
  <c r="G668" i="16"/>
  <c r="F668" i="16"/>
  <c r="E668" i="16"/>
  <c r="D668" i="16"/>
  <c r="C668" i="16"/>
  <c r="B668" i="16"/>
  <c r="R667" i="16"/>
  <c r="Q667" i="16"/>
  <c r="P667" i="16"/>
  <c r="O667" i="16"/>
  <c r="N667" i="16"/>
  <c r="M667" i="16"/>
  <c r="L667" i="16"/>
  <c r="K667" i="16"/>
  <c r="J667" i="16"/>
  <c r="I667" i="16"/>
  <c r="H667" i="16"/>
  <c r="G667" i="16"/>
  <c r="F667" i="16"/>
  <c r="E667" i="16"/>
  <c r="D667" i="16"/>
  <c r="C667" i="16"/>
  <c r="B667" i="16"/>
  <c r="R666" i="16"/>
  <c r="Q666" i="16"/>
  <c r="P666" i="16"/>
  <c r="O666" i="16"/>
  <c r="N666" i="16"/>
  <c r="M666" i="16"/>
  <c r="L666" i="16"/>
  <c r="K666" i="16"/>
  <c r="J666" i="16"/>
  <c r="I666" i="16"/>
  <c r="H666" i="16"/>
  <c r="G666" i="16"/>
  <c r="F666" i="16"/>
  <c r="E666" i="16"/>
  <c r="D666" i="16"/>
  <c r="C666" i="16"/>
  <c r="B666" i="16"/>
  <c r="R665" i="16"/>
  <c r="Q665" i="16"/>
  <c r="P665" i="16"/>
  <c r="O665" i="16"/>
  <c r="N665" i="16"/>
  <c r="M665" i="16"/>
  <c r="L665" i="16"/>
  <c r="K665" i="16"/>
  <c r="J665" i="16"/>
  <c r="I665" i="16"/>
  <c r="H665" i="16"/>
  <c r="G665" i="16"/>
  <c r="F665" i="16"/>
  <c r="E665" i="16"/>
  <c r="D665" i="16"/>
  <c r="C665" i="16"/>
  <c r="B665" i="16"/>
  <c r="R664" i="16"/>
  <c r="Q664" i="16"/>
  <c r="P664" i="16"/>
  <c r="O664" i="16"/>
  <c r="N664" i="16"/>
  <c r="M664" i="16"/>
  <c r="L664" i="16"/>
  <c r="K664" i="16"/>
  <c r="J664" i="16"/>
  <c r="I664" i="16"/>
  <c r="H664" i="16"/>
  <c r="G664" i="16"/>
  <c r="F664" i="16"/>
  <c r="E664" i="16"/>
  <c r="D664" i="16"/>
  <c r="C664" i="16"/>
  <c r="B664" i="16"/>
  <c r="R663" i="16"/>
  <c r="Q663" i="16"/>
  <c r="P663" i="16"/>
  <c r="O663" i="16"/>
  <c r="N663" i="16"/>
  <c r="M663" i="16"/>
  <c r="L663" i="16"/>
  <c r="K663" i="16"/>
  <c r="J663" i="16"/>
  <c r="I663" i="16"/>
  <c r="H663" i="16"/>
  <c r="G663" i="16"/>
  <c r="F663" i="16"/>
  <c r="E663" i="16"/>
  <c r="D663" i="16"/>
  <c r="C663" i="16"/>
  <c r="B663" i="16"/>
  <c r="R662" i="16"/>
  <c r="Q662" i="16"/>
  <c r="P662" i="16"/>
  <c r="O662" i="16"/>
  <c r="N662" i="16"/>
  <c r="M662" i="16"/>
  <c r="L662" i="16"/>
  <c r="K662" i="16"/>
  <c r="J662" i="16"/>
  <c r="I662" i="16"/>
  <c r="H662" i="16"/>
  <c r="G662" i="16"/>
  <c r="F662" i="16"/>
  <c r="E662" i="16"/>
  <c r="D662" i="16"/>
  <c r="C662" i="16"/>
  <c r="B662" i="16"/>
  <c r="R661" i="16"/>
  <c r="Q661" i="16"/>
  <c r="P661" i="16"/>
  <c r="O661" i="16"/>
  <c r="N661" i="16"/>
  <c r="M661" i="16"/>
  <c r="L661" i="16"/>
  <c r="K661" i="16"/>
  <c r="J661" i="16"/>
  <c r="I661" i="16"/>
  <c r="H661" i="16"/>
  <c r="G661" i="16"/>
  <c r="F661" i="16"/>
  <c r="E661" i="16"/>
  <c r="D661" i="16"/>
  <c r="C661" i="16"/>
  <c r="B661" i="16"/>
  <c r="R660" i="16"/>
  <c r="Q660" i="16"/>
  <c r="P660" i="16"/>
  <c r="O660" i="16"/>
  <c r="N660" i="16"/>
  <c r="M660" i="16"/>
  <c r="L660" i="16"/>
  <c r="K660" i="16"/>
  <c r="J660" i="16"/>
  <c r="I660" i="16"/>
  <c r="H660" i="16"/>
  <c r="G660" i="16"/>
  <c r="F660" i="16"/>
  <c r="E660" i="16"/>
  <c r="D660" i="16"/>
  <c r="C660" i="16"/>
  <c r="B660" i="16"/>
  <c r="R659" i="16"/>
  <c r="Q659" i="16"/>
  <c r="P659" i="16"/>
  <c r="O659" i="16"/>
  <c r="N659" i="16"/>
  <c r="M659" i="16"/>
  <c r="L659" i="16"/>
  <c r="K659" i="16"/>
  <c r="J659" i="16"/>
  <c r="I659" i="16"/>
  <c r="H659" i="16"/>
  <c r="G659" i="16"/>
  <c r="F659" i="16"/>
  <c r="E659" i="16"/>
  <c r="D659" i="16"/>
  <c r="C659" i="16"/>
  <c r="B659" i="16"/>
  <c r="R658" i="16"/>
  <c r="Q658" i="16"/>
  <c r="P658" i="16"/>
  <c r="O658" i="16"/>
  <c r="N658" i="16"/>
  <c r="M658" i="16"/>
  <c r="L658" i="16"/>
  <c r="K658" i="16"/>
  <c r="J658" i="16"/>
  <c r="I658" i="16"/>
  <c r="H658" i="16"/>
  <c r="G658" i="16"/>
  <c r="F658" i="16"/>
  <c r="E658" i="16"/>
  <c r="D658" i="16"/>
  <c r="C658" i="16"/>
  <c r="B658" i="16"/>
  <c r="R657" i="16"/>
  <c r="Q657" i="16"/>
  <c r="P657" i="16"/>
  <c r="O657" i="16"/>
  <c r="N657" i="16"/>
  <c r="M657" i="16"/>
  <c r="L657" i="16"/>
  <c r="K657" i="16"/>
  <c r="J657" i="16"/>
  <c r="I657" i="16"/>
  <c r="H657" i="16"/>
  <c r="G657" i="16"/>
  <c r="F657" i="16"/>
  <c r="E657" i="16"/>
  <c r="D657" i="16"/>
  <c r="C657" i="16"/>
  <c r="B657" i="16"/>
  <c r="R656" i="16"/>
  <c r="Q656" i="16"/>
  <c r="P656" i="16"/>
  <c r="O656" i="16"/>
  <c r="N656" i="16"/>
  <c r="M656" i="16"/>
  <c r="L656" i="16"/>
  <c r="K656" i="16"/>
  <c r="J656" i="16"/>
  <c r="I656" i="16"/>
  <c r="H656" i="16"/>
  <c r="G656" i="16"/>
  <c r="F656" i="16"/>
  <c r="E656" i="16"/>
  <c r="D656" i="16"/>
  <c r="C656" i="16"/>
  <c r="B656" i="16"/>
  <c r="R655" i="16"/>
  <c r="Q655" i="16"/>
  <c r="P655" i="16"/>
  <c r="O655" i="16"/>
  <c r="N655" i="16"/>
  <c r="M655" i="16"/>
  <c r="L655" i="16"/>
  <c r="K655" i="16"/>
  <c r="J655" i="16"/>
  <c r="I655" i="16"/>
  <c r="H655" i="16"/>
  <c r="G655" i="16"/>
  <c r="F655" i="16"/>
  <c r="E655" i="16"/>
  <c r="D655" i="16"/>
  <c r="C655" i="16"/>
  <c r="B655" i="16"/>
  <c r="R654" i="16"/>
  <c r="Q654" i="16"/>
  <c r="P654" i="16"/>
  <c r="O654" i="16"/>
  <c r="N654" i="16"/>
  <c r="M654" i="16"/>
  <c r="L654" i="16"/>
  <c r="K654" i="16"/>
  <c r="J654" i="16"/>
  <c r="I654" i="16"/>
  <c r="H654" i="16"/>
  <c r="G654" i="16"/>
  <c r="F654" i="16"/>
  <c r="E654" i="16"/>
  <c r="D654" i="16"/>
  <c r="C654" i="16"/>
  <c r="B654" i="16"/>
  <c r="R653" i="16"/>
  <c r="Q653" i="16"/>
  <c r="P653" i="16"/>
  <c r="O653" i="16"/>
  <c r="N653" i="16"/>
  <c r="M653" i="16"/>
  <c r="L653" i="16"/>
  <c r="K653" i="16"/>
  <c r="J653" i="16"/>
  <c r="I653" i="16"/>
  <c r="H653" i="16"/>
  <c r="G653" i="16"/>
  <c r="F653" i="16"/>
  <c r="E653" i="16"/>
  <c r="D653" i="16"/>
  <c r="C653" i="16"/>
  <c r="B653" i="16"/>
  <c r="R652" i="16"/>
  <c r="Q652" i="16"/>
  <c r="P652" i="16"/>
  <c r="O652" i="16"/>
  <c r="N652" i="16"/>
  <c r="M652" i="16"/>
  <c r="L652" i="16"/>
  <c r="K652" i="16"/>
  <c r="J652" i="16"/>
  <c r="I652" i="16"/>
  <c r="H652" i="16"/>
  <c r="G652" i="16"/>
  <c r="F652" i="16"/>
  <c r="E652" i="16"/>
  <c r="D652" i="16"/>
  <c r="C652" i="16"/>
  <c r="B652" i="16"/>
  <c r="R651" i="16"/>
  <c r="Q651" i="16"/>
  <c r="P651" i="16"/>
  <c r="O651" i="16"/>
  <c r="N651" i="16"/>
  <c r="M651" i="16"/>
  <c r="L651" i="16"/>
  <c r="K651" i="16"/>
  <c r="J651" i="16"/>
  <c r="I651" i="16"/>
  <c r="H651" i="16"/>
  <c r="G651" i="16"/>
  <c r="F651" i="16"/>
  <c r="E651" i="16"/>
  <c r="D651" i="16"/>
  <c r="C651" i="16"/>
  <c r="B651" i="16"/>
  <c r="R650" i="16"/>
  <c r="Q650" i="16"/>
  <c r="P650" i="16"/>
  <c r="O650" i="16"/>
  <c r="N650" i="16"/>
  <c r="M650" i="16"/>
  <c r="L650" i="16"/>
  <c r="K650" i="16"/>
  <c r="J650" i="16"/>
  <c r="I650" i="16"/>
  <c r="H650" i="16"/>
  <c r="G650" i="16"/>
  <c r="F650" i="16"/>
  <c r="E650" i="16"/>
  <c r="D650" i="16"/>
  <c r="C650" i="16"/>
  <c r="B650" i="16"/>
  <c r="R649" i="16"/>
  <c r="Q649" i="16"/>
  <c r="P649" i="16"/>
  <c r="O649" i="16"/>
  <c r="N649" i="16"/>
  <c r="M649" i="16"/>
  <c r="L649" i="16"/>
  <c r="K649" i="16"/>
  <c r="J649" i="16"/>
  <c r="I649" i="16"/>
  <c r="H649" i="16"/>
  <c r="G649" i="16"/>
  <c r="F649" i="16"/>
  <c r="E649" i="16"/>
  <c r="D649" i="16"/>
  <c r="C649" i="16"/>
  <c r="B649" i="16"/>
  <c r="R648" i="16"/>
  <c r="Q648" i="16"/>
  <c r="P648" i="16"/>
  <c r="O648" i="16"/>
  <c r="N648" i="16"/>
  <c r="M648" i="16"/>
  <c r="L648" i="16"/>
  <c r="K648" i="16"/>
  <c r="J648" i="16"/>
  <c r="I648" i="16"/>
  <c r="H648" i="16"/>
  <c r="G648" i="16"/>
  <c r="F648" i="16"/>
  <c r="E648" i="16"/>
  <c r="D648" i="16"/>
  <c r="C648" i="16"/>
  <c r="B648" i="16"/>
  <c r="R647" i="16"/>
  <c r="Q647" i="16"/>
  <c r="P647" i="16"/>
  <c r="O647" i="16"/>
  <c r="N647" i="16"/>
  <c r="M647" i="16"/>
  <c r="L647" i="16"/>
  <c r="K647" i="16"/>
  <c r="J647" i="16"/>
  <c r="I647" i="16"/>
  <c r="H647" i="16"/>
  <c r="G647" i="16"/>
  <c r="F647" i="16"/>
  <c r="E647" i="16"/>
  <c r="D647" i="16"/>
  <c r="C647" i="16"/>
  <c r="B647" i="16"/>
  <c r="R646" i="16"/>
  <c r="Q646" i="16"/>
  <c r="P646" i="16"/>
  <c r="O646" i="16"/>
  <c r="N646" i="16"/>
  <c r="M646" i="16"/>
  <c r="L646" i="16"/>
  <c r="K646" i="16"/>
  <c r="J646" i="16"/>
  <c r="I646" i="16"/>
  <c r="H646" i="16"/>
  <c r="G646" i="16"/>
  <c r="F646" i="16"/>
  <c r="E646" i="16"/>
  <c r="D646" i="16"/>
  <c r="C646" i="16"/>
  <c r="B646" i="16"/>
  <c r="R645" i="16"/>
  <c r="Q645" i="16"/>
  <c r="P645" i="16"/>
  <c r="O645" i="16"/>
  <c r="N645" i="16"/>
  <c r="M645" i="16"/>
  <c r="L645" i="16"/>
  <c r="K645" i="16"/>
  <c r="J645" i="16"/>
  <c r="I645" i="16"/>
  <c r="H645" i="16"/>
  <c r="G645" i="16"/>
  <c r="F645" i="16"/>
  <c r="E645" i="16"/>
  <c r="D645" i="16"/>
  <c r="C645" i="16"/>
  <c r="B645" i="16"/>
  <c r="R644" i="16"/>
  <c r="Q644" i="16"/>
  <c r="P644" i="16"/>
  <c r="O644" i="16"/>
  <c r="N644" i="16"/>
  <c r="M644" i="16"/>
  <c r="L644" i="16"/>
  <c r="K644" i="16"/>
  <c r="J644" i="16"/>
  <c r="I644" i="16"/>
  <c r="H644" i="16"/>
  <c r="G644" i="16"/>
  <c r="F644" i="16"/>
  <c r="E644" i="16"/>
  <c r="D644" i="16"/>
  <c r="C644" i="16"/>
  <c r="B644" i="16"/>
  <c r="R643" i="16"/>
  <c r="Q643" i="16"/>
  <c r="P643" i="16"/>
  <c r="O643" i="16"/>
  <c r="N643" i="16"/>
  <c r="M643" i="16"/>
  <c r="L643" i="16"/>
  <c r="K643" i="16"/>
  <c r="J643" i="16"/>
  <c r="I643" i="16"/>
  <c r="H643" i="16"/>
  <c r="G643" i="16"/>
  <c r="F643" i="16"/>
  <c r="E643" i="16"/>
  <c r="D643" i="16"/>
  <c r="C643" i="16"/>
  <c r="B643" i="16"/>
  <c r="R642" i="16"/>
  <c r="Q642" i="16"/>
  <c r="P642" i="16"/>
  <c r="O642" i="16"/>
  <c r="N642" i="16"/>
  <c r="M642" i="16"/>
  <c r="L642" i="16"/>
  <c r="K642" i="16"/>
  <c r="J642" i="16"/>
  <c r="I642" i="16"/>
  <c r="H642" i="16"/>
  <c r="G642" i="16"/>
  <c r="F642" i="16"/>
  <c r="E642" i="16"/>
  <c r="D642" i="16"/>
  <c r="C642" i="16"/>
  <c r="B642" i="16"/>
  <c r="R641" i="16"/>
  <c r="Q641" i="16"/>
  <c r="P641" i="16"/>
  <c r="O641" i="16"/>
  <c r="N641" i="16"/>
  <c r="M641" i="16"/>
  <c r="L641" i="16"/>
  <c r="K641" i="16"/>
  <c r="J641" i="16"/>
  <c r="I641" i="16"/>
  <c r="H641" i="16"/>
  <c r="G641" i="16"/>
  <c r="F641" i="16"/>
  <c r="E641" i="16"/>
  <c r="D641" i="16"/>
  <c r="C641" i="16"/>
  <c r="B641" i="16"/>
  <c r="R640" i="16"/>
  <c r="Q640" i="16"/>
  <c r="P640" i="16"/>
  <c r="O640" i="16"/>
  <c r="N640" i="16"/>
  <c r="M640" i="16"/>
  <c r="L640" i="16"/>
  <c r="K640" i="16"/>
  <c r="J640" i="16"/>
  <c r="I640" i="16"/>
  <c r="H640" i="16"/>
  <c r="G640" i="16"/>
  <c r="F640" i="16"/>
  <c r="E640" i="16"/>
  <c r="D640" i="16"/>
  <c r="C640" i="16"/>
  <c r="B640" i="16"/>
  <c r="R639" i="16"/>
  <c r="Q639" i="16"/>
  <c r="P639" i="16"/>
  <c r="O639" i="16"/>
  <c r="N639" i="16"/>
  <c r="M639" i="16"/>
  <c r="L639" i="16"/>
  <c r="K639" i="16"/>
  <c r="J639" i="16"/>
  <c r="I639" i="16"/>
  <c r="H639" i="16"/>
  <c r="G639" i="16"/>
  <c r="F639" i="16"/>
  <c r="E639" i="16"/>
  <c r="D639" i="16"/>
  <c r="C639" i="16"/>
  <c r="B639" i="16"/>
  <c r="R638" i="16"/>
  <c r="Q638" i="16"/>
  <c r="P638" i="16"/>
  <c r="O638" i="16"/>
  <c r="N638" i="16"/>
  <c r="M638" i="16"/>
  <c r="L638" i="16"/>
  <c r="K638" i="16"/>
  <c r="J638" i="16"/>
  <c r="I638" i="16"/>
  <c r="H638" i="16"/>
  <c r="G638" i="16"/>
  <c r="F638" i="16"/>
  <c r="E638" i="16"/>
  <c r="D638" i="16"/>
  <c r="C638" i="16"/>
  <c r="B638" i="16"/>
  <c r="R637" i="16"/>
  <c r="Q637" i="16"/>
  <c r="P637" i="16"/>
  <c r="O637" i="16"/>
  <c r="N637" i="16"/>
  <c r="M637" i="16"/>
  <c r="L637" i="16"/>
  <c r="K637" i="16"/>
  <c r="J637" i="16"/>
  <c r="I637" i="16"/>
  <c r="H637" i="16"/>
  <c r="G637" i="16"/>
  <c r="F637" i="16"/>
  <c r="E637" i="16"/>
  <c r="D637" i="16"/>
  <c r="C637" i="16"/>
  <c r="B637" i="16"/>
  <c r="R636" i="16"/>
  <c r="Q636" i="16"/>
  <c r="P636" i="16"/>
  <c r="O636" i="16"/>
  <c r="N636" i="16"/>
  <c r="M636" i="16"/>
  <c r="L636" i="16"/>
  <c r="K636" i="16"/>
  <c r="J636" i="16"/>
  <c r="I636" i="16"/>
  <c r="H636" i="16"/>
  <c r="G636" i="16"/>
  <c r="F636" i="16"/>
  <c r="E636" i="16"/>
  <c r="D636" i="16"/>
  <c r="C636" i="16"/>
  <c r="B636" i="16"/>
  <c r="R635" i="16"/>
  <c r="Q635" i="16"/>
  <c r="P635" i="16"/>
  <c r="O635" i="16"/>
  <c r="N635" i="16"/>
  <c r="M635" i="16"/>
  <c r="L635" i="16"/>
  <c r="K635" i="16"/>
  <c r="J635" i="16"/>
  <c r="I635" i="16"/>
  <c r="H635" i="16"/>
  <c r="G635" i="16"/>
  <c r="F635" i="16"/>
  <c r="E635" i="16"/>
  <c r="D635" i="16"/>
  <c r="C635" i="16"/>
  <c r="B635" i="16"/>
  <c r="R634" i="16"/>
  <c r="Q634" i="16"/>
  <c r="P634" i="16"/>
  <c r="O634" i="16"/>
  <c r="N634" i="16"/>
  <c r="M634" i="16"/>
  <c r="L634" i="16"/>
  <c r="K634" i="16"/>
  <c r="J634" i="16"/>
  <c r="I634" i="16"/>
  <c r="H634" i="16"/>
  <c r="G634" i="16"/>
  <c r="F634" i="16"/>
  <c r="E634" i="16"/>
  <c r="D634" i="16"/>
  <c r="C634" i="16"/>
  <c r="B634" i="16"/>
  <c r="R633" i="16"/>
  <c r="Q633" i="16"/>
  <c r="P633" i="16"/>
  <c r="O633" i="16"/>
  <c r="N633" i="16"/>
  <c r="M633" i="16"/>
  <c r="L633" i="16"/>
  <c r="K633" i="16"/>
  <c r="J633" i="16"/>
  <c r="I633" i="16"/>
  <c r="H633" i="16"/>
  <c r="G633" i="16"/>
  <c r="F633" i="16"/>
  <c r="E633" i="16"/>
  <c r="D633" i="16"/>
  <c r="C633" i="16"/>
  <c r="B633" i="16"/>
  <c r="R632" i="16"/>
  <c r="Q632" i="16"/>
  <c r="P632" i="16"/>
  <c r="O632" i="16"/>
  <c r="N632" i="16"/>
  <c r="M632" i="16"/>
  <c r="L632" i="16"/>
  <c r="K632" i="16"/>
  <c r="J632" i="16"/>
  <c r="I632" i="16"/>
  <c r="H632" i="16"/>
  <c r="G632" i="16"/>
  <c r="F632" i="16"/>
  <c r="E632" i="16"/>
  <c r="D632" i="16"/>
  <c r="C632" i="16"/>
  <c r="B632" i="16"/>
  <c r="R631" i="16"/>
  <c r="Q631" i="16"/>
  <c r="P631" i="16"/>
  <c r="O631" i="16"/>
  <c r="N631" i="16"/>
  <c r="M631" i="16"/>
  <c r="L631" i="16"/>
  <c r="K631" i="16"/>
  <c r="J631" i="16"/>
  <c r="I631" i="16"/>
  <c r="H631" i="16"/>
  <c r="G631" i="16"/>
  <c r="F631" i="16"/>
  <c r="E631" i="16"/>
  <c r="D631" i="16"/>
  <c r="C631" i="16"/>
  <c r="B631" i="16"/>
  <c r="R630" i="16"/>
  <c r="Q630" i="16"/>
  <c r="P630" i="16"/>
  <c r="O630" i="16"/>
  <c r="N630" i="16"/>
  <c r="M630" i="16"/>
  <c r="L630" i="16"/>
  <c r="K630" i="16"/>
  <c r="J630" i="16"/>
  <c r="I630" i="16"/>
  <c r="H630" i="16"/>
  <c r="G630" i="16"/>
  <c r="F630" i="16"/>
  <c r="E630" i="16"/>
  <c r="D630" i="16"/>
  <c r="C630" i="16"/>
  <c r="B630" i="16"/>
  <c r="R629" i="16"/>
  <c r="Q629" i="16"/>
  <c r="P629" i="16"/>
  <c r="O629" i="16"/>
  <c r="N629" i="16"/>
  <c r="M629" i="16"/>
  <c r="L629" i="16"/>
  <c r="K629" i="16"/>
  <c r="J629" i="16"/>
  <c r="I629" i="16"/>
  <c r="H629" i="16"/>
  <c r="G629" i="16"/>
  <c r="F629" i="16"/>
  <c r="E629" i="16"/>
  <c r="D629" i="16"/>
  <c r="C629" i="16"/>
  <c r="B629" i="16"/>
  <c r="R628" i="16"/>
  <c r="Q628" i="16"/>
  <c r="P628" i="16"/>
  <c r="O628" i="16"/>
  <c r="N628" i="16"/>
  <c r="M628" i="16"/>
  <c r="L628" i="16"/>
  <c r="K628" i="16"/>
  <c r="J628" i="16"/>
  <c r="I628" i="16"/>
  <c r="H628" i="16"/>
  <c r="G628" i="16"/>
  <c r="F628" i="16"/>
  <c r="E628" i="16"/>
  <c r="D628" i="16"/>
  <c r="C628" i="16"/>
  <c r="B628" i="16"/>
  <c r="R627" i="16"/>
  <c r="Q627" i="16"/>
  <c r="P627" i="16"/>
  <c r="O627" i="16"/>
  <c r="N627" i="16"/>
  <c r="M627" i="16"/>
  <c r="L627" i="16"/>
  <c r="K627" i="16"/>
  <c r="J627" i="16"/>
  <c r="I627" i="16"/>
  <c r="H627" i="16"/>
  <c r="G627" i="16"/>
  <c r="F627" i="16"/>
  <c r="E627" i="16"/>
  <c r="D627" i="16"/>
  <c r="C627" i="16"/>
  <c r="B627" i="16"/>
  <c r="R626" i="16"/>
  <c r="Q626" i="16"/>
  <c r="P626" i="16"/>
  <c r="O626" i="16"/>
  <c r="N626" i="16"/>
  <c r="M626" i="16"/>
  <c r="L626" i="16"/>
  <c r="K626" i="16"/>
  <c r="J626" i="16"/>
  <c r="I626" i="16"/>
  <c r="H626" i="16"/>
  <c r="G626" i="16"/>
  <c r="F626" i="16"/>
  <c r="E626" i="16"/>
  <c r="D626" i="16"/>
  <c r="C626" i="16"/>
  <c r="B626" i="16"/>
  <c r="R625" i="16"/>
  <c r="Q625" i="16"/>
  <c r="P625" i="16"/>
  <c r="O625" i="16"/>
  <c r="N625" i="16"/>
  <c r="M625" i="16"/>
  <c r="L625" i="16"/>
  <c r="K625" i="16"/>
  <c r="J625" i="16"/>
  <c r="I625" i="16"/>
  <c r="H625" i="16"/>
  <c r="G625" i="16"/>
  <c r="F625" i="16"/>
  <c r="E625" i="16"/>
  <c r="D625" i="16"/>
  <c r="C625" i="16"/>
  <c r="B625" i="16"/>
  <c r="R624" i="16"/>
  <c r="Q624" i="16"/>
  <c r="P624" i="16"/>
  <c r="O624" i="16"/>
  <c r="N624" i="16"/>
  <c r="M624" i="16"/>
  <c r="L624" i="16"/>
  <c r="K624" i="16"/>
  <c r="J624" i="16"/>
  <c r="I624" i="16"/>
  <c r="H624" i="16"/>
  <c r="G624" i="16"/>
  <c r="F624" i="16"/>
  <c r="E624" i="16"/>
  <c r="D624" i="16"/>
  <c r="C624" i="16"/>
  <c r="B624" i="16"/>
  <c r="R623" i="16"/>
  <c r="Q623" i="16"/>
  <c r="P623" i="16"/>
  <c r="O623" i="16"/>
  <c r="N623" i="16"/>
  <c r="M623" i="16"/>
  <c r="L623" i="16"/>
  <c r="K623" i="16"/>
  <c r="J623" i="16"/>
  <c r="I623" i="16"/>
  <c r="H623" i="16"/>
  <c r="G623" i="16"/>
  <c r="F623" i="16"/>
  <c r="E623" i="16"/>
  <c r="D623" i="16"/>
  <c r="C623" i="16"/>
  <c r="B623" i="16"/>
  <c r="R622" i="16"/>
  <c r="Q622" i="16"/>
  <c r="P622" i="16"/>
  <c r="O622" i="16"/>
  <c r="N622" i="16"/>
  <c r="M622" i="16"/>
  <c r="L622" i="16"/>
  <c r="K622" i="16"/>
  <c r="J622" i="16"/>
  <c r="I622" i="16"/>
  <c r="H622" i="16"/>
  <c r="G622" i="16"/>
  <c r="F622" i="16"/>
  <c r="E622" i="16"/>
  <c r="D622" i="16"/>
  <c r="C622" i="16"/>
  <c r="B622" i="16"/>
  <c r="R621" i="16"/>
  <c r="Q621" i="16"/>
  <c r="P621" i="16"/>
  <c r="O621" i="16"/>
  <c r="N621" i="16"/>
  <c r="M621" i="16"/>
  <c r="L621" i="16"/>
  <c r="K621" i="16"/>
  <c r="J621" i="16"/>
  <c r="I621" i="16"/>
  <c r="H621" i="16"/>
  <c r="G621" i="16"/>
  <c r="F621" i="16"/>
  <c r="E621" i="16"/>
  <c r="D621" i="16"/>
  <c r="C621" i="16"/>
  <c r="B621" i="16"/>
  <c r="R620" i="16"/>
  <c r="Q620" i="16"/>
  <c r="P620" i="16"/>
  <c r="O620" i="16"/>
  <c r="N620" i="16"/>
  <c r="M620" i="16"/>
  <c r="L620" i="16"/>
  <c r="K620" i="16"/>
  <c r="J620" i="16"/>
  <c r="I620" i="16"/>
  <c r="H620" i="16"/>
  <c r="G620" i="16"/>
  <c r="F620" i="16"/>
  <c r="E620" i="16"/>
  <c r="D620" i="16"/>
  <c r="C620" i="16"/>
  <c r="B620" i="16"/>
  <c r="R619" i="16"/>
  <c r="Q619" i="16"/>
  <c r="P619" i="16"/>
  <c r="O619" i="16"/>
  <c r="N619" i="16"/>
  <c r="M619" i="16"/>
  <c r="L619" i="16"/>
  <c r="K619" i="16"/>
  <c r="J619" i="16"/>
  <c r="I619" i="16"/>
  <c r="H619" i="16"/>
  <c r="G619" i="16"/>
  <c r="F619" i="16"/>
  <c r="E619" i="16"/>
  <c r="D619" i="16"/>
  <c r="C619" i="16"/>
  <c r="B619" i="16"/>
  <c r="R618" i="16"/>
  <c r="Q618" i="16"/>
  <c r="P618" i="16"/>
  <c r="O618" i="16"/>
  <c r="N618" i="16"/>
  <c r="M618" i="16"/>
  <c r="L618" i="16"/>
  <c r="K618" i="16"/>
  <c r="J618" i="16"/>
  <c r="I618" i="16"/>
  <c r="H618" i="16"/>
  <c r="G618" i="16"/>
  <c r="F618" i="16"/>
  <c r="E618" i="16"/>
  <c r="D618" i="16"/>
  <c r="C618" i="16"/>
  <c r="B618" i="16"/>
  <c r="R617" i="16"/>
  <c r="Q617" i="16"/>
  <c r="P617" i="16"/>
  <c r="O617" i="16"/>
  <c r="N617" i="16"/>
  <c r="M617" i="16"/>
  <c r="L617" i="16"/>
  <c r="K617" i="16"/>
  <c r="J617" i="16"/>
  <c r="I617" i="16"/>
  <c r="H617" i="16"/>
  <c r="G617" i="16"/>
  <c r="F617" i="16"/>
  <c r="E617" i="16"/>
  <c r="D617" i="16"/>
  <c r="C617" i="16"/>
  <c r="B617" i="16"/>
  <c r="R616" i="16"/>
  <c r="Q616" i="16"/>
  <c r="P616" i="16"/>
  <c r="O616" i="16"/>
  <c r="N616" i="16"/>
  <c r="M616" i="16"/>
  <c r="L616" i="16"/>
  <c r="K616" i="16"/>
  <c r="J616" i="16"/>
  <c r="I616" i="16"/>
  <c r="H616" i="16"/>
  <c r="G616" i="16"/>
  <c r="F616" i="16"/>
  <c r="E616" i="16"/>
  <c r="D616" i="16"/>
  <c r="C616" i="16"/>
  <c r="B616" i="16"/>
  <c r="R615" i="16"/>
  <c r="Q615" i="16"/>
  <c r="P615" i="16"/>
  <c r="O615" i="16"/>
  <c r="N615" i="16"/>
  <c r="M615" i="16"/>
  <c r="L615" i="16"/>
  <c r="K615" i="16"/>
  <c r="J615" i="16"/>
  <c r="I615" i="16"/>
  <c r="H615" i="16"/>
  <c r="G615" i="16"/>
  <c r="F615" i="16"/>
  <c r="E615" i="16"/>
  <c r="D615" i="16"/>
  <c r="C615" i="16"/>
  <c r="B615" i="16"/>
  <c r="R614" i="16"/>
  <c r="Q614" i="16"/>
  <c r="P614" i="16"/>
  <c r="O614" i="16"/>
  <c r="N614" i="16"/>
  <c r="M614" i="16"/>
  <c r="L614" i="16"/>
  <c r="K614" i="16"/>
  <c r="J614" i="16"/>
  <c r="I614" i="16"/>
  <c r="H614" i="16"/>
  <c r="G614" i="16"/>
  <c r="F614" i="16"/>
  <c r="E614" i="16"/>
  <c r="D614" i="16"/>
  <c r="C614" i="16"/>
  <c r="B614" i="16"/>
  <c r="R613" i="16"/>
  <c r="Q613" i="16"/>
  <c r="P613" i="16"/>
  <c r="O613" i="16"/>
  <c r="N613" i="16"/>
  <c r="M613" i="16"/>
  <c r="L613" i="16"/>
  <c r="K613" i="16"/>
  <c r="J613" i="16"/>
  <c r="I613" i="16"/>
  <c r="H613" i="16"/>
  <c r="G613" i="16"/>
  <c r="F613" i="16"/>
  <c r="E613" i="16"/>
  <c r="D613" i="16"/>
  <c r="C613" i="16"/>
  <c r="B613" i="16"/>
  <c r="R612" i="16"/>
  <c r="Q612" i="16"/>
  <c r="P612" i="16"/>
  <c r="O612" i="16"/>
  <c r="N612" i="16"/>
  <c r="M612" i="16"/>
  <c r="L612" i="16"/>
  <c r="K612" i="16"/>
  <c r="J612" i="16"/>
  <c r="I612" i="16"/>
  <c r="H612" i="16"/>
  <c r="G612" i="16"/>
  <c r="F612" i="16"/>
  <c r="E612" i="16"/>
  <c r="D612" i="16"/>
  <c r="C612" i="16"/>
  <c r="B612" i="16"/>
  <c r="R611" i="16"/>
  <c r="Q611" i="16"/>
  <c r="P611" i="16"/>
  <c r="O611" i="16"/>
  <c r="N611" i="16"/>
  <c r="M611" i="16"/>
  <c r="L611" i="16"/>
  <c r="K611" i="16"/>
  <c r="J611" i="16"/>
  <c r="I611" i="16"/>
  <c r="H611" i="16"/>
  <c r="G611" i="16"/>
  <c r="F611" i="16"/>
  <c r="E611" i="16"/>
  <c r="D611" i="16"/>
  <c r="C611" i="16"/>
  <c r="B611" i="16"/>
  <c r="R610" i="16"/>
  <c r="Q610" i="16"/>
  <c r="P610" i="16"/>
  <c r="O610" i="16"/>
  <c r="N610" i="16"/>
  <c r="M610" i="16"/>
  <c r="L610" i="16"/>
  <c r="K610" i="16"/>
  <c r="J610" i="16"/>
  <c r="I610" i="16"/>
  <c r="H610" i="16"/>
  <c r="G610" i="16"/>
  <c r="F610" i="16"/>
  <c r="E610" i="16"/>
  <c r="D610" i="16"/>
  <c r="C610" i="16"/>
  <c r="B610" i="16"/>
  <c r="R609" i="16"/>
  <c r="Q609" i="16"/>
  <c r="P609" i="16"/>
  <c r="O609" i="16"/>
  <c r="N609" i="16"/>
  <c r="M609" i="16"/>
  <c r="L609" i="16"/>
  <c r="K609" i="16"/>
  <c r="J609" i="16"/>
  <c r="I609" i="16"/>
  <c r="H609" i="16"/>
  <c r="G609" i="16"/>
  <c r="F609" i="16"/>
  <c r="E609" i="16"/>
  <c r="D609" i="16"/>
  <c r="C609" i="16"/>
  <c r="B609" i="16"/>
  <c r="R608" i="16"/>
  <c r="Q608" i="16"/>
  <c r="P608" i="16"/>
  <c r="O608" i="16"/>
  <c r="N608" i="16"/>
  <c r="M608" i="16"/>
  <c r="L608" i="16"/>
  <c r="K608" i="16"/>
  <c r="J608" i="16"/>
  <c r="I608" i="16"/>
  <c r="H608" i="16"/>
  <c r="G608" i="16"/>
  <c r="F608" i="16"/>
  <c r="E608" i="16"/>
  <c r="D608" i="16"/>
  <c r="C608" i="16"/>
  <c r="B608" i="16"/>
  <c r="R607" i="16"/>
  <c r="Q607" i="16"/>
  <c r="P607" i="16"/>
  <c r="O607" i="16"/>
  <c r="N607" i="16"/>
  <c r="M607" i="16"/>
  <c r="L607" i="16"/>
  <c r="K607" i="16"/>
  <c r="J607" i="16"/>
  <c r="I607" i="16"/>
  <c r="H607" i="16"/>
  <c r="G607" i="16"/>
  <c r="F607" i="16"/>
  <c r="E607" i="16"/>
  <c r="D607" i="16"/>
  <c r="C607" i="16"/>
  <c r="B607" i="16"/>
  <c r="R606" i="16"/>
  <c r="Q606" i="16"/>
  <c r="P606" i="16"/>
  <c r="O606" i="16"/>
  <c r="N606" i="16"/>
  <c r="M606" i="16"/>
  <c r="L606" i="16"/>
  <c r="K606" i="16"/>
  <c r="J606" i="16"/>
  <c r="I606" i="16"/>
  <c r="H606" i="16"/>
  <c r="G606" i="16"/>
  <c r="F606" i="16"/>
  <c r="E606" i="16"/>
  <c r="D606" i="16"/>
  <c r="C606" i="16"/>
  <c r="B606" i="16"/>
  <c r="R605" i="16"/>
  <c r="Q605" i="16"/>
  <c r="P605" i="16"/>
  <c r="O605" i="16"/>
  <c r="N605" i="16"/>
  <c r="M605" i="16"/>
  <c r="L605" i="16"/>
  <c r="K605" i="16"/>
  <c r="J605" i="16"/>
  <c r="I605" i="16"/>
  <c r="H605" i="16"/>
  <c r="G605" i="16"/>
  <c r="F605" i="16"/>
  <c r="E605" i="16"/>
  <c r="D605" i="16"/>
  <c r="C605" i="16"/>
  <c r="B605" i="16"/>
  <c r="R604" i="16"/>
  <c r="Q604" i="16"/>
  <c r="P604" i="16"/>
  <c r="O604" i="16"/>
  <c r="N604" i="16"/>
  <c r="M604" i="16"/>
  <c r="L604" i="16"/>
  <c r="K604" i="16"/>
  <c r="J604" i="16"/>
  <c r="I604" i="16"/>
  <c r="H604" i="16"/>
  <c r="G604" i="16"/>
  <c r="F604" i="16"/>
  <c r="E604" i="16"/>
  <c r="D604" i="16"/>
  <c r="C604" i="16"/>
  <c r="B604" i="16"/>
  <c r="R603" i="16"/>
  <c r="Q603" i="16"/>
  <c r="P603" i="16"/>
  <c r="O603" i="16"/>
  <c r="N603" i="16"/>
  <c r="M603" i="16"/>
  <c r="L603" i="16"/>
  <c r="K603" i="16"/>
  <c r="J603" i="16"/>
  <c r="I603" i="16"/>
  <c r="H603" i="16"/>
  <c r="G603" i="16"/>
  <c r="F603" i="16"/>
  <c r="E603" i="16"/>
  <c r="D603" i="16"/>
  <c r="C603" i="16"/>
  <c r="B603" i="16"/>
  <c r="R602" i="16"/>
  <c r="Q602" i="16"/>
  <c r="P602" i="16"/>
  <c r="O602" i="16"/>
  <c r="N602" i="16"/>
  <c r="M602" i="16"/>
  <c r="L602" i="16"/>
  <c r="K602" i="16"/>
  <c r="J602" i="16"/>
  <c r="I602" i="16"/>
  <c r="H602" i="16"/>
  <c r="G602" i="16"/>
  <c r="F602" i="16"/>
  <c r="E602" i="16"/>
  <c r="D602" i="16"/>
  <c r="C602" i="16"/>
  <c r="B602" i="16"/>
  <c r="R601" i="16"/>
  <c r="Q601" i="16"/>
  <c r="P601" i="16"/>
  <c r="O601" i="16"/>
  <c r="N601" i="16"/>
  <c r="M601" i="16"/>
  <c r="L601" i="16"/>
  <c r="K601" i="16"/>
  <c r="J601" i="16"/>
  <c r="I601" i="16"/>
  <c r="H601" i="16"/>
  <c r="G601" i="16"/>
  <c r="F601" i="16"/>
  <c r="E601" i="16"/>
  <c r="D601" i="16"/>
  <c r="C601" i="16"/>
  <c r="B601" i="16"/>
  <c r="R600" i="16"/>
  <c r="Q600" i="16"/>
  <c r="P600" i="16"/>
  <c r="O600" i="16"/>
  <c r="N600" i="16"/>
  <c r="M600" i="16"/>
  <c r="L600" i="16"/>
  <c r="K600" i="16"/>
  <c r="J600" i="16"/>
  <c r="I600" i="16"/>
  <c r="H600" i="16"/>
  <c r="G600" i="16"/>
  <c r="F600" i="16"/>
  <c r="E600" i="16"/>
  <c r="D600" i="16"/>
  <c r="C600" i="16"/>
  <c r="B600" i="16"/>
  <c r="R599" i="16"/>
  <c r="Q599" i="16"/>
  <c r="P599" i="16"/>
  <c r="O599" i="16"/>
  <c r="N599" i="16"/>
  <c r="M599" i="16"/>
  <c r="L599" i="16"/>
  <c r="K599" i="16"/>
  <c r="J599" i="16"/>
  <c r="I599" i="16"/>
  <c r="H599" i="16"/>
  <c r="G599" i="16"/>
  <c r="F599" i="16"/>
  <c r="E599" i="16"/>
  <c r="D599" i="16"/>
  <c r="C599" i="16"/>
  <c r="B599" i="16"/>
  <c r="R598" i="16"/>
  <c r="Q598" i="16"/>
  <c r="P598" i="16"/>
  <c r="O598" i="16"/>
  <c r="N598" i="16"/>
  <c r="M598" i="16"/>
  <c r="L598" i="16"/>
  <c r="K598" i="16"/>
  <c r="J598" i="16"/>
  <c r="I598" i="16"/>
  <c r="H598" i="16"/>
  <c r="G598" i="16"/>
  <c r="F598" i="16"/>
  <c r="E598" i="16"/>
  <c r="D598" i="16"/>
  <c r="C598" i="16"/>
  <c r="B598" i="16"/>
  <c r="R597" i="16"/>
  <c r="Q597" i="16"/>
  <c r="P597" i="16"/>
  <c r="O597" i="16"/>
  <c r="N597" i="16"/>
  <c r="M597" i="16"/>
  <c r="L597" i="16"/>
  <c r="K597" i="16"/>
  <c r="J597" i="16"/>
  <c r="I597" i="16"/>
  <c r="H597" i="16"/>
  <c r="G597" i="16"/>
  <c r="F597" i="16"/>
  <c r="E597" i="16"/>
  <c r="D597" i="16"/>
  <c r="C597" i="16"/>
  <c r="B597" i="16"/>
  <c r="R596" i="16"/>
  <c r="Q596" i="16"/>
  <c r="P596" i="16"/>
  <c r="O596" i="16"/>
  <c r="N596" i="16"/>
  <c r="M596" i="16"/>
  <c r="L596" i="16"/>
  <c r="K596" i="16"/>
  <c r="J596" i="16"/>
  <c r="I596" i="16"/>
  <c r="H596" i="16"/>
  <c r="G596" i="16"/>
  <c r="F596" i="16"/>
  <c r="E596" i="16"/>
  <c r="D596" i="16"/>
  <c r="C596" i="16"/>
  <c r="B596" i="16"/>
  <c r="R595" i="16"/>
  <c r="Q595" i="16"/>
  <c r="P595" i="16"/>
  <c r="O595" i="16"/>
  <c r="N595" i="16"/>
  <c r="M595" i="16"/>
  <c r="L595" i="16"/>
  <c r="K595" i="16"/>
  <c r="J595" i="16"/>
  <c r="I595" i="16"/>
  <c r="H595" i="16"/>
  <c r="G595" i="16"/>
  <c r="F595" i="16"/>
  <c r="E595" i="16"/>
  <c r="D595" i="16"/>
  <c r="C595" i="16"/>
  <c r="B595" i="16"/>
  <c r="R594" i="16"/>
  <c r="Q594" i="16"/>
  <c r="P594" i="16"/>
  <c r="O594" i="16"/>
  <c r="N594" i="16"/>
  <c r="M594" i="16"/>
  <c r="L594" i="16"/>
  <c r="K594" i="16"/>
  <c r="J594" i="16"/>
  <c r="I594" i="16"/>
  <c r="H594" i="16"/>
  <c r="G594" i="16"/>
  <c r="F594" i="16"/>
  <c r="E594" i="16"/>
  <c r="D594" i="16"/>
  <c r="C594" i="16"/>
  <c r="B594" i="16"/>
  <c r="R593" i="16"/>
  <c r="Q593" i="16"/>
  <c r="P593" i="16"/>
  <c r="O593" i="16"/>
  <c r="N593" i="16"/>
  <c r="M593" i="16"/>
  <c r="L593" i="16"/>
  <c r="K593" i="16"/>
  <c r="J593" i="16"/>
  <c r="I593" i="16"/>
  <c r="H593" i="16"/>
  <c r="G593" i="16"/>
  <c r="F593" i="16"/>
  <c r="E593" i="16"/>
  <c r="D593" i="16"/>
  <c r="C593" i="16"/>
  <c r="B593" i="16"/>
  <c r="R592" i="16"/>
  <c r="Q592" i="16"/>
  <c r="P592" i="16"/>
  <c r="O592" i="16"/>
  <c r="N592" i="16"/>
  <c r="M592" i="16"/>
  <c r="L592" i="16"/>
  <c r="K592" i="16"/>
  <c r="J592" i="16"/>
  <c r="I592" i="16"/>
  <c r="H592" i="16"/>
  <c r="G592" i="16"/>
  <c r="F592" i="16"/>
  <c r="E592" i="16"/>
  <c r="D592" i="16"/>
  <c r="C592" i="16"/>
  <c r="B592" i="16"/>
  <c r="R591" i="16"/>
  <c r="Q591" i="16"/>
  <c r="P591" i="16"/>
  <c r="O591" i="16"/>
  <c r="N591" i="16"/>
  <c r="M591" i="16"/>
  <c r="L591" i="16"/>
  <c r="K591" i="16"/>
  <c r="J591" i="16"/>
  <c r="I591" i="16"/>
  <c r="H591" i="16"/>
  <c r="G591" i="16"/>
  <c r="F591" i="16"/>
  <c r="E591" i="16"/>
  <c r="D591" i="16"/>
  <c r="C591" i="16"/>
  <c r="B591" i="16"/>
  <c r="R590" i="16"/>
  <c r="Q590" i="16"/>
  <c r="P590" i="16"/>
  <c r="O590" i="16"/>
  <c r="N590" i="16"/>
  <c r="M590" i="16"/>
  <c r="L590" i="16"/>
  <c r="K590" i="16"/>
  <c r="J590" i="16"/>
  <c r="I590" i="16"/>
  <c r="H590" i="16"/>
  <c r="G590" i="16"/>
  <c r="F590" i="16"/>
  <c r="E590" i="16"/>
  <c r="D590" i="16"/>
  <c r="C590" i="16"/>
  <c r="B590" i="16"/>
  <c r="R589" i="16"/>
  <c r="Q589" i="16"/>
  <c r="P589" i="16"/>
  <c r="O589" i="16"/>
  <c r="N589" i="16"/>
  <c r="M589" i="16"/>
  <c r="L589" i="16"/>
  <c r="K589" i="16"/>
  <c r="J589" i="16"/>
  <c r="I589" i="16"/>
  <c r="H589" i="16"/>
  <c r="G589" i="16"/>
  <c r="F589" i="16"/>
  <c r="E589" i="16"/>
  <c r="D589" i="16"/>
  <c r="C589" i="16"/>
  <c r="B589" i="16"/>
  <c r="R588" i="16"/>
  <c r="Q588" i="16"/>
  <c r="P588" i="16"/>
  <c r="O588" i="16"/>
  <c r="N588" i="16"/>
  <c r="M588" i="16"/>
  <c r="L588" i="16"/>
  <c r="K588" i="16"/>
  <c r="J588" i="16"/>
  <c r="I588" i="16"/>
  <c r="H588" i="16"/>
  <c r="G588" i="16"/>
  <c r="F588" i="16"/>
  <c r="E588" i="16"/>
  <c r="D588" i="16"/>
  <c r="C588" i="16"/>
  <c r="B588" i="16"/>
  <c r="R587" i="16"/>
  <c r="Q587" i="16"/>
  <c r="P587" i="16"/>
  <c r="O587" i="16"/>
  <c r="N587" i="16"/>
  <c r="M587" i="16"/>
  <c r="L587" i="16"/>
  <c r="K587" i="16"/>
  <c r="J587" i="16"/>
  <c r="I587" i="16"/>
  <c r="H587" i="16"/>
  <c r="G587" i="16"/>
  <c r="F587" i="16"/>
  <c r="E587" i="16"/>
  <c r="D587" i="16"/>
  <c r="C587" i="16"/>
  <c r="B587" i="16"/>
  <c r="R586" i="16"/>
  <c r="Q586" i="16"/>
  <c r="P586" i="16"/>
  <c r="O586" i="16"/>
  <c r="N586" i="16"/>
  <c r="M586" i="16"/>
  <c r="L586" i="16"/>
  <c r="K586" i="16"/>
  <c r="J586" i="16"/>
  <c r="I586" i="16"/>
  <c r="H586" i="16"/>
  <c r="G586" i="16"/>
  <c r="F586" i="16"/>
  <c r="E586" i="16"/>
  <c r="D586" i="16"/>
  <c r="C586" i="16"/>
  <c r="B586" i="16"/>
  <c r="R585" i="16"/>
  <c r="Q585" i="16"/>
  <c r="P585" i="16"/>
  <c r="O585" i="16"/>
  <c r="N585" i="16"/>
  <c r="M585" i="16"/>
  <c r="L585" i="16"/>
  <c r="K585" i="16"/>
  <c r="J585" i="16"/>
  <c r="I585" i="16"/>
  <c r="H585" i="16"/>
  <c r="G585" i="16"/>
  <c r="F585" i="16"/>
  <c r="E585" i="16"/>
  <c r="D585" i="16"/>
  <c r="C585" i="16"/>
  <c r="B585" i="16"/>
  <c r="R584" i="16"/>
  <c r="Q584" i="16"/>
  <c r="P584" i="16"/>
  <c r="O584" i="16"/>
  <c r="N584" i="16"/>
  <c r="M584" i="16"/>
  <c r="L584" i="16"/>
  <c r="K584" i="16"/>
  <c r="J584" i="16"/>
  <c r="I584" i="16"/>
  <c r="H584" i="16"/>
  <c r="G584" i="16"/>
  <c r="F584" i="16"/>
  <c r="E584" i="16"/>
  <c r="D584" i="16"/>
  <c r="C584" i="16"/>
  <c r="B584" i="16"/>
  <c r="R583" i="16"/>
  <c r="Q583" i="16"/>
  <c r="P583" i="16"/>
  <c r="O583" i="16"/>
  <c r="N583" i="16"/>
  <c r="M583" i="16"/>
  <c r="L583" i="16"/>
  <c r="K583" i="16"/>
  <c r="J583" i="16"/>
  <c r="I583" i="16"/>
  <c r="H583" i="16"/>
  <c r="G583" i="16"/>
  <c r="F583" i="16"/>
  <c r="E583" i="16"/>
  <c r="D583" i="16"/>
  <c r="C583" i="16"/>
  <c r="B583" i="16"/>
  <c r="R582" i="16"/>
  <c r="Q582" i="16"/>
  <c r="P582" i="16"/>
  <c r="O582" i="16"/>
  <c r="N582" i="16"/>
  <c r="M582" i="16"/>
  <c r="L582" i="16"/>
  <c r="K582" i="16"/>
  <c r="J582" i="16"/>
  <c r="I582" i="16"/>
  <c r="H582" i="16"/>
  <c r="G582" i="16"/>
  <c r="F582" i="16"/>
  <c r="E582" i="16"/>
  <c r="D582" i="16"/>
  <c r="C582" i="16"/>
  <c r="B582" i="16"/>
  <c r="R581" i="16"/>
  <c r="Q581" i="16"/>
  <c r="P581" i="16"/>
  <c r="O581" i="16"/>
  <c r="N581" i="16"/>
  <c r="M581" i="16"/>
  <c r="L581" i="16"/>
  <c r="K581" i="16"/>
  <c r="J581" i="16"/>
  <c r="I581" i="16"/>
  <c r="H581" i="16"/>
  <c r="G581" i="16"/>
  <c r="F581" i="16"/>
  <c r="E581" i="16"/>
  <c r="D581" i="16"/>
  <c r="C581" i="16"/>
  <c r="B581" i="16"/>
  <c r="R580" i="16"/>
  <c r="Q580" i="16"/>
  <c r="P580" i="16"/>
  <c r="O580" i="16"/>
  <c r="N580" i="16"/>
  <c r="M580" i="16"/>
  <c r="L580" i="16"/>
  <c r="K580" i="16"/>
  <c r="J580" i="16"/>
  <c r="I580" i="16"/>
  <c r="H580" i="16"/>
  <c r="G580" i="16"/>
  <c r="F580" i="16"/>
  <c r="E580" i="16"/>
  <c r="D580" i="16"/>
  <c r="C580" i="16"/>
  <c r="B580" i="16"/>
  <c r="R579" i="16"/>
  <c r="Q579" i="16"/>
  <c r="P579" i="16"/>
  <c r="O579" i="16"/>
  <c r="N579" i="16"/>
  <c r="M579" i="16"/>
  <c r="L579" i="16"/>
  <c r="K579" i="16"/>
  <c r="J579" i="16"/>
  <c r="I579" i="16"/>
  <c r="H579" i="16"/>
  <c r="G579" i="16"/>
  <c r="F579" i="16"/>
  <c r="E579" i="16"/>
  <c r="D579" i="16"/>
  <c r="C579" i="16"/>
  <c r="B579" i="16"/>
  <c r="R578" i="16"/>
  <c r="Q578" i="16"/>
  <c r="P578" i="16"/>
  <c r="O578" i="16"/>
  <c r="N578" i="16"/>
  <c r="M578" i="16"/>
  <c r="L578" i="16"/>
  <c r="K578" i="16"/>
  <c r="J578" i="16"/>
  <c r="I578" i="16"/>
  <c r="H578" i="16"/>
  <c r="G578" i="16"/>
  <c r="F578" i="16"/>
  <c r="E578" i="16"/>
  <c r="D578" i="16"/>
  <c r="C578" i="16"/>
  <c r="B578" i="16"/>
  <c r="R577" i="16"/>
  <c r="Q577" i="16"/>
  <c r="P577" i="16"/>
  <c r="O577" i="16"/>
  <c r="N577" i="16"/>
  <c r="M577" i="16"/>
  <c r="L577" i="16"/>
  <c r="K577" i="16"/>
  <c r="J577" i="16"/>
  <c r="I577" i="16"/>
  <c r="H577" i="16"/>
  <c r="G577" i="16"/>
  <c r="F577" i="16"/>
  <c r="E577" i="16"/>
  <c r="D577" i="16"/>
  <c r="C577" i="16"/>
  <c r="B577" i="16"/>
  <c r="R576" i="16"/>
  <c r="Q576" i="16"/>
  <c r="P576" i="16"/>
  <c r="O576" i="16"/>
  <c r="N576" i="16"/>
  <c r="M576" i="16"/>
  <c r="L576" i="16"/>
  <c r="K576" i="16"/>
  <c r="J576" i="16"/>
  <c r="I576" i="16"/>
  <c r="H576" i="16"/>
  <c r="G576" i="16"/>
  <c r="F576" i="16"/>
  <c r="E576" i="16"/>
  <c r="D576" i="16"/>
  <c r="C576" i="16"/>
  <c r="B576" i="16"/>
  <c r="R575" i="16"/>
  <c r="Q575" i="16"/>
  <c r="P575" i="16"/>
  <c r="O575" i="16"/>
  <c r="N575" i="16"/>
  <c r="M575" i="16"/>
  <c r="L575" i="16"/>
  <c r="K575" i="16"/>
  <c r="J575" i="16"/>
  <c r="I575" i="16"/>
  <c r="H575" i="16"/>
  <c r="G575" i="16"/>
  <c r="F575" i="16"/>
  <c r="E575" i="16"/>
  <c r="D575" i="16"/>
  <c r="C575" i="16"/>
  <c r="B575" i="16"/>
  <c r="R574" i="16"/>
  <c r="Q574" i="16"/>
  <c r="P574" i="16"/>
  <c r="O574" i="16"/>
  <c r="N574" i="16"/>
  <c r="M574" i="16"/>
  <c r="L574" i="16"/>
  <c r="K574" i="16"/>
  <c r="J574" i="16"/>
  <c r="I574" i="16"/>
  <c r="H574" i="16"/>
  <c r="G574" i="16"/>
  <c r="F574" i="16"/>
  <c r="E574" i="16"/>
  <c r="D574" i="16"/>
  <c r="C574" i="16"/>
  <c r="B574" i="16"/>
  <c r="R573" i="16"/>
  <c r="Q573" i="16"/>
  <c r="P573" i="16"/>
  <c r="O573" i="16"/>
  <c r="N573" i="16"/>
  <c r="M573" i="16"/>
  <c r="L573" i="16"/>
  <c r="K573" i="16"/>
  <c r="J573" i="16"/>
  <c r="I573" i="16"/>
  <c r="H573" i="16"/>
  <c r="G573" i="16"/>
  <c r="F573" i="16"/>
  <c r="E573" i="16"/>
  <c r="D573" i="16"/>
  <c r="C573" i="16"/>
  <c r="B573" i="16"/>
  <c r="R572" i="16"/>
  <c r="Q572" i="16"/>
  <c r="P572" i="16"/>
  <c r="O572" i="16"/>
  <c r="N572" i="16"/>
  <c r="M572" i="16"/>
  <c r="L572" i="16"/>
  <c r="K572" i="16"/>
  <c r="J572" i="16"/>
  <c r="I572" i="16"/>
  <c r="H572" i="16"/>
  <c r="G572" i="16"/>
  <c r="F572" i="16"/>
  <c r="E572" i="16"/>
  <c r="D572" i="16"/>
  <c r="C572" i="16"/>
  <c r="B572" i="16"/>
  <c r="R571" i="16"/>
  <c r="Q571" i="16"/>
  <c r="P571" i="16"/>
  <c r="O571" i="16"/>
  <c r="N571" i="16"/>
  <c r="M571" i="16"/>
  <c r="L571" i="16"/>
  <c r="K571" i="16"/>
  <c r="J571" i="16"/>
  <c r="I571" i="16"/>
  <c r="H571" i="16"/>
  <c r="G571" i="16"/>
  <c r="F571" i="16"/>
  <c r="E571" i="16"/>
  <c r="D571" i="16"/>
  <c r="C571" i="16"/>
  <c r="B571" i="16"/>
  <c r="R570" i="16"/>
  <c r="Q570" i="16"/>
  <c r="P570" i="16"/>
  <c r="O570" i="16"/>
  <c r="N570" i="16"/>
  <c r="M570" i="16"/>
  <c r="L570" i="16"/>
  <c r="K570" i="16"/>
  <c r="J570" i="16"/>
  <c r="I570" i="16"/>
  <c r="H570" i="16"/>
  <c r="G570" i="16"/>
  <c r="F570" i="16"/>
  <c r="E570" i="16"/>
  <c r="D570" i="16"/>
  <c r="C570" i="16"/>
  <c r="B570" i="16"/>
  <c r="R569" i="16"/>
  <c r="Q569" i="16"/>
  <c r="P569" i="16"/>
  <c r="O569" i="16"/>
  <c r="N569" i="16"/>
  <c r="M569" i="16"/>
  <c r="L569" i="16"/>
  <c r="K569" i="16"/>
  <c r="J569" i="16"/>
  <c r="I569" i="16"/>
  <c r="H569" i="16"/>
  <c r="G569" i="16"/>
  <c r="F569" i="16"/>
  <c r="E569" i="16"/>
  <c r="D569" i="16"/>
  <c r="C569" i="16"/>
  <c r="B569" i="16"/>
  <c r="R568" i="16"/>
  <c r="Q568" i="16"/>
  <c r="P568" i="16"/>
  <c r="O568" i="16"/>
  <c r="N568" i="16"/>
  <c r="M568" i="16"/>
  <c r="L568" i="16"/>
  <c r="K568" i="16"/>
  <c r="J568" i="16"/>
  <c r="I568" i="16"/>
  <c r="H568" i="16"/>
  <c r="G568" i="16"/>
  <c r="F568" i="16"/>
  <c r="E568" i="16"/>
  <c r="D568" i="16"/>
  <c r="C568" i="16"/>
  <c r="B568" i="16"/>
  <c r="R567" i="16"/>
  <c r="Q567" i="16"/>
  <c r="P567" i="16"/>
  <c r="O567" i="16"/>
  <c r="N567" i="16"/>
  <c r="M567" i="16"/>
  <c r="L567" i="16"/>
  <c r="K567" i="16"/>
  <c r="J567" i="16"/>
  <c r="I567" i="16"/>
  <c r="H567" i="16"/>
  <c r="G567" i="16"/>
  <c r="F567" i="16"/>
  <c r="E567" i="16"/>
  <c r="D567" i="16"/>
  <c r="C567" i="16"/>
  <c r="B567" i="16"/>
  <c r="R566" i="16"/>
  <c r="Q566" i="16"/>
  <c r="P566" i="16"/>
  <c r="O566" i="16"/>
  <c r="N566" i="16"/>
  <c r="M566" i="16"/>
  <c r="L566" i="16"/>
  <c r="K566" i="16"/>
  <c r="J566" i="16"/>
  <c r="I566" i="16"/>
  <c r="H566" i="16"/>
  <c r="G566" i="16"/>
  <c r="F566" i="16"/>
  <c r="E566" i="16"/>
  <c r="D566" i="16"/>
  <c r="C566" i="16"/>
  <c r="B566" i="16"/>
  <c r="R565" i="16"/>
  <c r="Q565" i="16"/>
  <c r="P565" i="16"/>
  <c r="O565" i="16"/>
  <c r="N565" i="16"/>
  <c r="M565" i="16"/>
  <c r="L565" i="16"/>
  <c r="K565" i="16"/>
  <c r="J565" i="16"/>
  <c r="I565" i="16"/>
  <c r="H565" i="16"/>
  <c r="G565" i="16"/>
  <c r="F565" i="16"/>
  <c r="E565" i="16"/>
  <c r="D565" i="16"/>
  <c r="C565" i="16"/>
  <c r="B565" i="16"/>
  <c r="R564" i="16"/>
  <c r="Q564" i="16"/>
  <c r="P564" i="16"/>
  <c r="O564" i="16"/>
  <c r="N564" i="16"/>
  <c r="M564" i="16"/>
  <c r="L564" i="16"/>
  <c r="K564" i="16"/>
  <c r="J564" i="16"/>
  <c r="I564" i="16"/>
  <c r="H564" i="16"/>
  <c r="G564" i="16"/>
  <c r="F564" i="16"/>
  <c r="E564" i="16"/>
  <c r="D564" i="16"/>
  <c r="C564" i="16"/>
  <c r="B564" i="16"/>
  <c r="R563" i="16"/>
  <c r="Q563" i="16"/>
  <c r="P563" i="16"/>
  <c r="O563" i="16"/>
  <c r="N563" i="16"/>
  <c r="M563" i="16"/>
  <c r="L563" i="16"/>
  <c r="K563" i="16"/>
  <c r="J563" i="16"/>
  <c r="I563" i="16"/>
  <c r="H563" i="16"/>
  <c r="G563" i="16"/>
  <c r="F563" i="16"/>
  <c r="E563" i="16"/>
  <c r="D563" i="16"/>
  <c r="C563" i="16"/>
  <c r="B563" i="16"/>
  <c r="R562" i="16"/>
  <c r="Q562" i="16"/>
  <c r="P562" i="16"/>
  <c r="O562" i="16"/>
  <c r="N562" i="16"/>
  <c r="M562" i="16"/>
  <c r="L562" i="16"/>
  <c r="K562" i="16"/>
  <c r="J562" i="16"/>
  <c r="I562" i="16"/>
  <c r="H562" i="16"/>
  <c r="G562" i="16"/>
  <c r="F562" i="16"/>
  <c r="E562" i="16"/>
  <c r="D562" i="16"/>
  <c r="C562" i="16"/>
  <c r="B562" i="16"/>
  <c r="R561" i="16"/>
  <c r="Q561" i="16"/>
  <c r="P561" i="16"/>
  <c r="O561" i="16"/>
  <c r="N561" i="16"/>
  <c r="M561" i="16"/>
  <c r="L561" i="16"/>
  <c r="K561" i="16"/>
  <c r="J561" i="16"/>
  <c r="I561" i="16"/>
  <c r="H561" i="16"/>
  <c r="G561" i="16"/>
  <c r="F561" i="16"/>
  <c r="E561" i="16"/>
  <c r="D561" i="16"/>
  <c r="C561" i="16"/>
  <c r="B561" i="16"/>
  <c r="R560" i="16"/>
  <c r="Q560" i="16"/>
  <c r="P560" i="16"/>
  <c r="O560" i="16"/>
  <c r="N560" i="16"/>
  <c r="M560" i="16"/>
  <c r="L560" i="16"/>
  <c r="K560" i="16"/>
  <c r="J560" i="16"/>
  <c r="I560" i="16"/>
  <c r="H560" i="16"/>
  <c r="G560" i="16"/>
  <c r="F560" i="16"/>
  <c r="E560" i="16"/>
  <c r="D560" i="16"/>
  <c r="C560" i="16"/>
  <c r="B560" i="16"/>
  <c r="R559" i="16"/>
  <c r="Q559" i="16"/>
  <c r="P559" i="16"/>
  <c r="O559" i="16"/>
  <c r="N559" i="16"/>
  <c r="M559" i="16"/>
  <c r="L559" i="16"/>
  <c r="K559" i="16"/>
  <c r="J559" i="16"/>
  <c r="I559" i="16"/>
  <c r="H559" i="16"/>
  <c r="G559" i="16"/>
  <c r="F559" i="16"/>
  <c r="E559" i="16"/>
  <c r="D559" i="16"/>
  <c r="C559" i="16"/>
  <c r="B559" i="16"/>
  <c r="R558" i="16"/>
  <c r="Q558" i="16"/>
  <c r="P558" i="16"/>
  <c r="O558" i="16"/>
  <c r="N558" i="16"/>
  <c r="M558" i="16"/>
  <c r="L558" i="16"/>
  <c r="K558" i="16"/>
  <c r="J558" i="16"/>
  <c r="I558" i="16"/>
  <c r="H558" i="16"/>
  <c r="G558" i="16"/>
  <c r="F558" i="16"/>
  <c r="E558" i="16"/>
  <c r="D558" i="16"/>
  <c r="C558" i="16"/>
  <c r="B558" i="16"/>
  <c r="R557" i="16"/>
  <c r="Q557" i="16"/>
  <c r="P557" i="16"/>
  <c r="O557" i="16"/>
  <c r="N557" i="16"/>
  <c r="M557" i="16"/>
  <c r="L557" i="16"/>
  <c r="K557" i="16"/>
  <c r="J557" i="16"/>
  <c r="I557" i="16"/>
  <c r="H557" i="16"/>
  <c r="G557" i="16"/>
  <c r="F557" i="16"/>
  <c r="E557" i="16"/>
  <c r="D557" i="16"/>
  <c r="C557" i="16"/>
  <c r="B557" i="16"/>
  <c r="R556" i="16"/>
  <c r="Q556" i="16"/>
  <c r="P556" i="16"/>
  <c r="O556" i="16"/>
  <c r="N556" i="16"/>
  <c r="M556" i="16"/>
  <c r="L556" i="16"/>
  <c r="K556" i="16"/>
  <c r="J556" i="16"/>
  <c r="I556" i="16"/>
  <c r="H556" i="16"/>
  <c r="G556" i="16"/>
  <c r="F556" i="16"/>
  <c r="E556" i="16"/>
  <c r="D556" i="16"/>
  <c r="C556" i="16"/>
  <c r="B556" i="16"/>
  <c r="R555" i="16"/>
  <c r="Q555" i="16"/>
  <c r="P555" i="16"/>
  <c r="O555" i="16"/>
  <c r="N555" i="16"/>
  <c r="M555" i="16"/>
  <c r="L555" i="16"/>
  <c r="K555" i="16"/>
  <c r="J555" i="16"/>
  <c r="I555" i="16"/>
  <c r="H555" i="16"/>
  <c r="G555" i="16"/>
  <c r="F555" i="16"/>
  <c r="E555" i="16"/>
  <c r="D555" i="16"/>
  <c r="C555" i="16"/>
  <c r="B555" i="16"/>
  <c r="R554" i="16"/>
  <c r="Q554" i="16"/>
  <c r="P554" i="16"/>
  <c r="O554" i="16"/>
  <c r="N554" i="16"/>
  <c r="M554" i="16"/>
  <c r="L554" i="16"/>
  <c r="K554" i="16"/>
  <c r="J554" i="16"/>
  <c r="I554" i="16"/>
  <c r="H554" i="16"/>
  <c r="G554" i="16"/>
  <c r="F554" i="16"/>
  <c r="E554" i="16"/>
  <c r="D554" i="16"/>
  <c r="C554" i="16"/>
  <c r="B554" i="16"/>
  <c r="R553" i="16"/>
  <c r="Q553" i="16"/>
  <c r="P553" i="16"/>
  <c r="O553" i="16"/>
  <c r="N553" i="16"/>
  <c r="M553" i="16"/>
  <c r="L553" i="16"/>
  <c r="K553" i="16"/>
  <c r="J553" i="16"/>
  <c r="I553" i="16"/>
  <c r="H553" i="16"/>
  <c r="G553" i="16"/>
  <c r="F553" i="16"/>
  <c r="E553" i="16"/>
  <c r="D553" i="16"/>
  <c r="C553" i="16"/>
  <c r="B553" i="16"/>
  <c r="R552" i="16"/>
  <c r="Q552" i="16"/>
  <c r="P552" i="16"/>
  <c r="O552" i="16"/>
  <c r="N552" i="16"/>
  <c r="M552" i="16"/>
  <c r="L552" i="16"/>
  <c r="K552" i="16"/>
  <c r="J552" i="16"/>
  <c r="I552" i="16"/>
  <c r="H552" i="16"/>
  <c r="G552" i="16"/>
  <c r="F552" i="16"/>
  <c r="E552" i="16"/>
  <c r="D552" i="16"/>
  <c r="C552" i="16"/>
  <c r="B552" i="16"/>
  <c r="R551" i="16"/>
  <c r="Q551" i="16"/>
  <c r="P551" i="16"/>
  <c r="O551" i="16"/>
  <c r="N551" i="16"/>
  <c r="M551" i="16"/>
  <c r="L551" i="16"/>
  <c r="K551" i="16"/>
  <c r="J551" i="16"/>
  <c r="I551" i="16"/>
  <c r="H551" i="16"/>
  <c r="G551" i="16"/>
  <c r="F551" i="16"/>
  <c r="E551" i="16"/>
  <c r="D551" i="16"/>
  <c r="C551" i="16"/>
  <c r="B551" i="16"/>
  <c r="R550" i="16"/>
  <c r="Q550" i="16"/>
  <c r="P550" i="16"/>
  <c r="O550" i="16"/>
  <c r="N550" i="16"/>
  <c r="M550" i="16"/>
  <c r="L550" i="16"/>
  <c r="K550" i="16"/>
  <c r="J550" i="16"/>
  <c r="I550" i="16"/>
  <c r="H550" i="16"/>
  <c r="G550" i="16"/>
  <c r="F550" i="16"/>
  <c r="E550" i="16"/>
  <c r="D550" i="16"/>
  <c r="C550" i="16"/>
  <c r="B550" i="16"/>
  <c r="R549" i="16"/>
  <c r="Q549" i="16"/>
  <c r="P549" i="16"/>
  <c r="O549" i="16"/>
  <c r="N549" i="16"/>
  <c r="M549" i="16"/>
  <c r="L549" i="16"/>
  <c r="K549" i="16"/>
  <c r="J549" i="16"/>
  <c r="I549" i="16"/>
  <c r="H549" i="16"/>
  <c r="G549" i="16"/>
  <c r="F549" i="16"/>
  <c r="E549" i="16"/>
  <c r="D549" i="16"/>
  <c r="C549" i="16"/>
  <c r="B549" i="16"/>
  <c r="R548" i="16"/>
  <c r="Q548" i="16"/>
  <c r="P548" i="16"/>
  <c r="O548" i="16"/>
  <c r="N548" i="16"/>
  <c r="M548" i="16"/>
  <c r="L548" i="16"/>
  <c r="K548" i="16"/>
  <c r="J548" i="16"/>
  <c r="I548" i="16"/>
  <c r="H548" i="16"/>
  <c r="G548" i="16"/>
  <c r="F548" i="16"/>
  <c r="E548" i="16"/>
  <c r="D548" i="16"/>
  <c r="C548" i="16"/>
  <c r="B548" i="16"/>
  <c r="R547" i="16"/>
  <c r="Q547" i="16"/>
  <c r="P547" i="16"/>
  <c r="O547" i="16"/>
  <c r="N547" i="16"/>
  <c r="M547" i="16"/>
  <c r="L547" i="16"/>
  <c r="K547" i="16"/>
  <c r="J547" i="16"/>
  <c r="I547" i="16"/>
  <c r="H547" i="16"/>
  <c r="G547" i="16"/>
  <c r="F547" i="16"/>
  <c r="E547" i="16"/>
  <c r="D547" i="16"/>
  <c r="C547" i="16"/>
  <c r="B547" i="16"/>
  <c r="R546" i="16"/>
  <c r="Q546" i="16"/>
  <c r="P546" i="16"/>
  <c r="O546" i="16"/>
  <c r="N546" i="16"/>
  <c r="M546" i="16"/>
  <c r="L546" i="16"/>
  <c r="K546" i="16"/>
  <c r="J546" i="16"/>
  <c r="I546" i="16"/>
  <c r="H546" i="16"/>
  <c r="G546" i="16"/>
  <c r="F546" i="16"/>
  <c r="E546" i="16"/>
  <c r="D546" i="16"/>
  <c r="C546" i="16"/>
  <c r="B546" i="16"/>
  <c r="R545" i="16"/>
  <c r="Q545" i="16"/>
  <c r="P545" i="16"/>
  <c r="O545" i="16"/>
  <c r="N545" i="16"/>
  <c r="M545" i="16"/>
  <c r="L545" i="16"/>
  <c r="K545" i="16"/>
  <c r="J545" i="16"/>
  <c r="I545" i="16"/>
  <c r="H545" i="16"/>
  <c r="G545" i="16"/>
  <c r="F545" i="16"/>
  <c r="E545" i="16"/>
  <c r="D545" i="16"/>
  <c r="C545" i="16"/>
  <c r="B545" i="16"/>
  <c r="R544" i="16"/>
  <c r="Q544" i="16"/>
  <c r="P544" i="16"/>
  <c r="O544" i="16"/>
  <c r="N544" i="16"/>
  <c r="M544" i="16"/>
  <c r="L544" i="16"/>
  <c r="K544" i="16"/>
  <c r="J544" i="16"/>
  <c r="I544" i="16"/>
  <c r="H544" i="16"/>
  <c r="G544" i="16"/>
  <c r="F544" i="16"/>
  <c r="E544" i="16"/>
  <c r="D544" i="16"/>
  <c r="C544" i="16"/>
  <c r="B544" i="16"/>
  <c r="R543" i="16"/>
  <c r="Q543" i="16"/>
  <c r="P543" i="16"/>
  <c r="O543" i="16"/>
  <c r="N543" i="16"/>
  <c r="M543" i="16"/>
  <c r="L543" i="16"/>
  <c r="K543" i="16"/>
  <c r="J543" i="16"/>
  <c r="I543" i="16"/>
  <c r="H543" i="16"/>
  <c r="G543" i="16"/>
  <c r="F543" i="16"/>
  <c r="E543" i="16"/>
  <c r="D543" i="16"/>
  <c r="C543" i="16"/>
  <c r="B543" i="16"/>
  <c r="R542" i="16"/>
  <c r="Q542" i="16"/>
  <c r="P542" i="16"/>
  <c r="O542" i="16"/>
  <c r="N542" i="16"/>
  <c r="M542" i="16"/>
  <c r="L542" i="16"/>
  <c r="K542" i="16"/>
  <c r="J542" i="16"/>
  <c r="I542" i="16"/>
  <c r="H542" i="16"/>
  <c r="G542" i="16"/>
  <c r="F542" i="16"/>
  <c r="E542" i="16"/>
  <c r="D542" i="16"/>
  <c r="C542" i="16"/>
  <c r="B542" i="16"/>
  <c r="R541" i="16"/>
  <c r="Q541" i="16"/>
  <c r="P541" i="16"/>
  <c r="O541" i="16"/>
  <c r="N541" i="16"/>
  <c r="M541" i="16"/>
  <c r="L541" i="16"/>
  <c r="K541" i="16"/>
  <c r="J541" i="16"/>
  <c r="I541" i="16"/>
  <c r="H541" i="16"/>
  <c r="G541" i="16"/>
  <c r="F541" i="16"/>
  <c r="E541" i="16"/>
  <c r="D541" i="16"/>
  <c r="C541" i="16"/>
  <c r="B541" i="16"/>
  <c r="R540" i="16"/>
  <c r="Q540" i="16"/>
  <c r="P540" i="16"/>
  <c r="O540" i="16"/>
  <c r="N540" i="16"/>
  <c r="M540" i="16"/>
  <c r="L540" i="16"/>
  <c r="K540" i="16"/>
  <c r="J540" i="16"/>
  <c r="I540" i="16"/>
  <c r="H540" i="16"/>
  <c r="G540" i="16"/>
  <c r="F540" i="16"/>
  <c r="E540" i="16"/>
  <c r="D540" i="16"/>
  <c r="C540" i="16"/>
  <c r="B540" i="16"/>
  <c r="R539" i="16"/>
  <c r="Q539" i="16"/>
  <c r="P539" i="16"/>
  <c r="O539" i="16"/>
  <c r="N539" i="16"/>
  <c r="M539" i="16"/>
  <c r="L539" i="16"/>
  <c r="K539" i="16"/>
  <c r="J539" i="16"/>
  <c r="I539" i="16"/>
  <c r="H539" i="16"/>
  <c r="G539" i="16"/>
  <c r="F539" i="16"/>
  <c r="E539" i="16"/>
  <c r="D539" i="16"/>
  <c r="C539" i="16"/>
  <c r="B539" i="16"/>
  <c r="R538" i="16"/>
  <c r="Q538" i="16"/>
  <c r="P538" i="16"/>
  <c r="O538" i="16"/>
  <c r="N538" i="16"/>
  <c r="M538" i="16"/>
  <c r="L538" i="16"/>
  <c r="K538" i="16"/>
  <c r="J538" i="16"/>
  <c r="I538" i="16"/>
  <c r="H538" i="16"/>
  <c r="G538" i="16"/>
  <c r="F538" i="16"/>
  <c r="E538" i="16"/>
  <c r="D538" i="16"/>
  <c r="C538" i="16"/>
  <c r="B538" i="16"/>
  <c r="R537" i="16"/>
  <c r="Q537" i="16"/>
  <c r="P537" i="16"/>
  <c r="O537" i="16"/>
  <c r="N537" i="16"/>
  <c r="M537" i="16"/>
  <c r="L537" i="16"/>
  <c r="K537" i="16"/>
  <c r="J537" i="16"/>
  <c r="I537" i="16"/>
  <c r="H537" i="16"/>
  <c r="G537" i="16"/>
  <c r="F537" i="16"/>
  <c r="E537" i="16"/>
  <c r="D537" i="16"/>
  <c r="C537" i="16"/>
  <c r="B537" i="16"/>
  <c r="R536" i="16"/>
  <c r="Q536" i="16"/>
  <c r="P536" i="16"/>
  <c r="O536" i="16"/>
  <c r="N536" i="16"/>
  <c r="M536" i="16"/>
  <c r="L536" i="16"/>
  <c r="K536" i="16"/>
  <c r="J536" i="16"/>
  <c r="I536" i="16"/>
  <c r="H536" i="16"/>
  <c r="G536" i="16"/>
  <c r="F536" i="16"/>
  <c r="E536" i="16"/>
  <c r="D536" i="16"/>
  <c r="C536" i="16"/>
  <c r="B536" i="16"/>
  <c r="R535" i="16"/>
  <c r="Q535" i="16"/>
  <c r="P535" i="16"/>
  <c r="O535" i="16"/>
  <c r="N535" i="16"/>
  <c r="M535" i="16"/>
  <c r="L535" i="16"/>
  <c r="K535" i="16"/>
  <c r="J535" i="16"/>
  <c r="I535" i="16"/>
  <c r="H535" i="16"/>
  <c r="G535" i="16"/>
  <c r="F535" i="16"/>
  <c r="E535" i="16"/>
  <c r="D535" i="16"/>
  <c r="C535" i="16"/>
  <c r="B535" i="16"/>
  <c r="R534" i="16"/>
  <c r="Q534" i="16"/>
  <c r="P534" i="16"/>
  <c r="O534" i="16"/>
  <c r="N534" i="16"/>
  <c r="M534" i="16"/>
  <c r="L534" i="16"/>
  <c r="K534" i="16"/>
  <c r="J534" i="16"/>
  <c r="I534" i="16"/>
  <c r="H534" i="16"/>
  <c r="G534" i="16"/>
  <c r="F534" i="16"/>
  <c r="E534" i="16"/>
  <c r="D534" i="16"/>
  <c r="C534" i="16"/>
  <c r="B534" i="16"/>
  <c r="R533" i="16"/>
  <c r="Q533" i="16"/>
  <c r="P533" i="16"/>
  <c r="O533" i="16"/>
  <c r="N533" i="16"/>
  <c r="M533" i="16"/>
  <c r="L533" i="16"/>
  <c r="K533" i="16"/>
  <c r="J533" i="16"/>
  <c r="I533" i="16"/>
  <c r="H533" i="16"/>
  <c r="G533" i="16"/>
  <c r="F533" i="16"/>
  <c r="E533" i="16"/>
  <c r="D533" i="16"/>
  <c r="C533" i="16"/>
  <c r="B533" i="16"/>
  <c r="R532" i="16"/>
  <c r="Q532" i="16"/>
  <c r="P532" i="16"/>
  <c r="O532" i="16"/>
  <c r="N532" i="16"/>
  <c r="M532" i="16"/>
  <c r="L532" i="16"/>
  <c r="K532" i="16"/>
  <c r="J532" i="16"/>
  <c r="I532" i="16"/>
  <c r="H532" i="16"/>
  <c r="G532" i="16"/>
  <c r="F532" i="16"/>
  <c r="E532" i="16"/>
  <c r="D532" i="16"/>
  <c r="C532" i="16"/>
  <c r="B532" i="16"/>
  <c r="R531" i="16"/>
  <c r="Q531" i="16"/>
  <c r="P531" i="16"/>
  <c r="O531" i="16"/>
  <c r="N531" i="16"/>
  <c r="M531" i="16"/>
  <c r="L531" i="16"/>
  <c r="K531" i="16"/>
  <c r="J531" i="16"/>
  <c r="I531" i="16"/>
  <c r="H531" i="16"/>
  <c r="G531" i="16"/>
  <c r="F531" i="16"/>
  <c r="E531" i="16"/>
  <c r="D531" i="16"/>
  <c r="C531" i="16"/>
  <c r="B531" i="16"/>
  <c r="R530" i="16"/>
  <c r="Q530" i="16"/>
  <c r="P530" i="16"/>
  <c r="O530" i="16"/>
  <c r="N530" i="16"/>
  <c r="M530" i="16"/>
  <c r="L530" i="16"/>
  <c r="K530" i="16"/>
  <c r="J530" i="16"/>
  <c r="I530" i="16"/>
  <c r="H530" i="16"/>
  <c r="G530" i="16"/>
  <c r="F530" i="16"/>
  <c r="E530" i="16"/>
  <c r="D530" i="16"/>
  <c r="C530" i="16"/>
  <c r="B530" i="16"/>
  <c r="R529" i="16"/>
  <c r="Q529" i="16"/>
  <c r="P529" i="16"/>
  <c r="O529" i="16"/>
  <c r="N529" i="16"/>
  <c r="M529" i="16"/>
  <c r="L529" i="16"/>
  <c r="K529" i="16"/>
  <c r="J529" i="16"/>
  <c r="I529" i="16"/>
  <c r="H529" i="16"/>
  <c r="G529" i="16"/>
  <c r="F529" i="16"/>
  <c r="E529" i="16"/>
  <c r="D529" i="16"/>
  <c r="C529" i="16"/>
  <c r="B529" i="16"/>
  <c r="R528" i="16"/>
  <c r="Q528" i="16"/>
  <c r="P528" i="16"/>
  <c r="O528" i="16"/>
  <c r="N528" i="16"/>
  <c r="M528" i="16"/>
  <c r="L528" i="16"/>
  <c r="K528" i="16"/>
  <c r="J528" i="16"/>
  <c r="I528" i="16"/>
  <c r="H528" i="16"/>
  <c r="G528" i="16"/>
  <c r="F528" i="16"/>
  <c r="E528" i="16"/>
  <c r="D528" i="16"/>
  <c r="C528" i="16"/>
  <c r="B528" i="16"/>
  <c r="R527" i="16"/>
  <c r="Q527" i="16"/>
  <c r="P527" i="16"/>
  <c r="O527" i="16"/>
  <c r="N527" i="16"/>
  <c r="M527" i="16"/>
  <c r="L527" i="16"/>
  <c r="K527" i="16"/>
  <c r="J527" i="16"/>
  <c r="I527" i="16"/>
  <c r="H527" i="16"/>
  <c r="G527" i="16"/>
  <c r="F527" i="16"/>
  <c r="E527" i="16"/>
  <c r="D527" i="16"/>
  <c r="C527" i="16"/>
  <c r="B527" i="16"/>
  <c r="R526" i="16"/>
  <c r="Q526" i="16"/>
  <c r="P526" i="16"/>
  <c r="O526" i="16"/>
  <c r="N526" i="16"/>
  <c r="M526" i="16"/>
  <c r="L526" i="16"/>
  <c r="K526" i="16"/>
  <c r="J526" i="16"/>
  <c r="I526" i="16"/>
  <c r="H526" i="16"/>
  <c r="G526" i="16"/>
  <c r="F526" i="16"/>
  <c r="E526" i="16"/>
  <c r="D526" i="16"/>
  <c r="C526" i="16"/>
  <c r="B526" i="16"/>
  <c r="R525" i="16"/>
  <c r="Q525" i="16"/>
  <c r="P525" i="16"/>
  <c r="O525" i="16"/>
  <c r="N525" i="16"/>
  <c r="M525" i="16"/>
  <c r="L525" i="16"/>
  <c r="K525" i="16"/>
  <c r="J525" i="16"/>
  <c r="I525" i="16"/>
  <c r="H525" i="16"/>
  <c r="G525" i="16"/>
  <c r="F525" i="16"/>
  <c r="E525" i="16"/>
  <c r="D525" i="16"/>
  <c r="C525" i="16"/>
  <c r="B525" i="16"/>
  <c r="R524" i="16"/>
  <c r="Q524" i="16"/>
  <c r="P524" i="16"/>
  <c r="O524" i="16"/>
  <c r="N524" i="16"/>
  <c r="M524" i="16"/>
  <c r="L524" i="16"/>
  <c r="K524" i="16"/>
  <c r="J524" i="16"/>
  <c r="I524" i="16"/>
  <c r="H524" i="16"/>
  <c r="G524" i="16"/>
  <c r="F524" i="16"/>
  <c r="E524" i="16"/>
  <c r="D524" i="16"/>
  <c r="C524" i="16"/>
  <c r="B524" i="16"/>
  <c r="R523" i="16"/>
  <c r="Q523" i="16"/>
  <c r="P523" i="16"/>
  <c r="O523" i="16"/>
  <c r="N523" i="16"/>
  <c r="M523" i="16"/>
  <c r="L523" i="16"/>
  <c r="K523" i="16"/>
  <c r="J523" i="16"/>
  <c r="I523" i="16"/>
  <c r="H523" i="16"/>
  <c r="G523" i="16"/>
  <c r="F523" i="16"/>
  <c r="E523" i="16"/>
  <c r="D523" i="16"/>
  <c r="C523" i="16"/>
  <c r="B523" i="16"/>
  <c r="R522" i="16"/>
  <c r="Q522" i="16"/>
  <c r="P522" i="16"/>
  <c r="O522" i="16"/>
  <c r="N522" i="16"/>
  <c r="M522" i="16"/>
  <c r="L522" i="16"/>
  <c r="K522" i="16"/>
  <c r="J522" i="16"/>
  <c r="I522" i="16"/>
  <c r="H522" i="16"/>
  <c r="G522" i="16"/>
  <c r="F522" i="16"/>
  <c r="E522" i="16"/>
  <c r="D522" i="16"/>
  <c r="C522" i="16"/>
  <c r="B522" i="16"/>
  <c r="R521" i="16"/>
  <c r="Q521" i="16"/>
  <c r="P521" i="16"/>
  <c r="O521" i="16"/>
  <c r="N521" i="16"/>
  <c r="M521" i="16"/>
  <c r="L521" i="16"/>
  <c r="K521" i="16"/>
  <c r="J521" i="16"/>
  <c r="I521" i="16"/>
  <c r="H521" i="16"/>
  <c r="G521" i="16"/>
  <c r="F521" i="16"/>
  <c r="E521" i="16"/>
  <c r="D521" i="16"/>
  <c r="C521" i="16"/>
  <c r="B521" i="16"/>
  <c r="R520" i="16"/>
  <c r="Q520" i="16"/>
  <c r="P520" i="16"/>
  <c r="O520" i="16"/>
  <c r="N520" i="16"/>
  <c r="M520" i="16"/>
  <c r="L520" i="16"/>
  <c r="K520" i="16"/>
  <c r="J520" i="16"/>
  <c r="I520" i="16"/>
  <c r="H520" i="16"/>
  <c r="G520" i="16"/>
  <c r="F520" i="16"/>
  <c r="E520" i="16"/>
  <c r="D520" i="16"/>
  <c r="C520" i="16"/>
  <c r="B520" i="16"/>
  <c r="R519" i="16"/>
  <c r="Q519" i="16"/>
  <c r="P519" i="16"/>
  <c r="O519" i="16"/>
  <c r="N519" i="16"/>
  <c r="M519" i="16"/>
  <c r="L519" i="16"/>
  <c r="K519" i="16"/>
  <c r="J519" i="16"/>
  <c r="I519" i="16"/>
  <c r="H519" i="16"/>
  <c r="G519" i="16"/>
  <c r="F519" i="16"/>
  <c r="E519" i="16"/>
  <c r="D519" i="16"/>
  <c r="C519" i="16"/>
  <c r="B519" i="16"/>
  <c r="R518" i="16"/>
  <c r="Q518" i="16"/>
  <c r="P518" i="16"/>
  <c r="O518" i="16"/>
  <c r="N518" i="16"/>
  <c r="M518" i="16"/>
  <c r="L518" i="16"/>
  <c r="K518" i="16"/>
  <c r="J518" i="16"/>
  <c r="I518" i="16"/>
  <c r="H518" i="16"/>
  <c r="G518" i="16"/>
  <c r="F518" i="16"/>
  <c r="E518" i="16"/>
  <c r="D518" i="16"/>
  <c r="C518" i="16"/>
  <c r="B518" i="16"/>
  <c r="R517" i="16"/>
  <c r="Q517" i="16"/>
  <c r="P517" i="16"/>
  <c r="O517" i="16"/>
  <c r="N517" i="16"/>
  <c r="M517" i="16"/>
  <c r="L517" i="16"/>
  <c r="K517" i="16"/>
  <c r="J517" i="16"/>
  <c r="I517" i="16"/>
  <c r="H517" i="16"/>
  <c r="G517" i="16"/>
  <c r="F517" i="16"/>
  <c r="E517" i="16"/>
  <c r="D517" i="16"/>
  <c r="C517" i="16"/>
  <c r="B517" i="16"/>
  <c r="R516" i="16"/>
  <c r="Q516" i="16"/>
  <c r="P516" i="16"/>
  <c r="O516" i="16"/>
  <c r="N516" i="16"/>
  <c r="M516" i="16"/>
  <c r="L516" i="16"/>
  <c r="K516" i="16"/>
  <c r="J516" i="16"/>
  <c r="I516" i="16"/>
  <c r="H516" i="16"/>
  <c r="G516" i="16"/>
  <c r="F516" i="16"/>
  <c r="E516" i="16"/>
  <c r="D516" i="16"/>
  <c r="C516" i="16"/>
  <c r="B516" i="16"/>
  <c r="R515" i="16"/>
  <c r="Q515" i="16"/>
  <c r="P515" i="16"/>
  <c r="O515" i="16"/>
  <c r="N515" i="16"/>
  <c r="M515" i="16"/>
  <c r="L515" i="16"/>
  <c r="K515" i="16"/>
  <c r="J515" i="16"/>
  <c r="I515" i="16"/>
  <c r="H515" i="16"/>
  <c r="G515" i="16"/>
  <c r="F515" i="16"/>
  <c r="E515" i="16"/>
  <c r="D515" i="16"/>
  <c r="C515" i="16"/>
  <c r="B515" i="16"/>
  <c r="R514" i="16"/>
  <c r="Q514" i="16"/>
  <c r="P514" i="16"/>
  <c r="O514" i="16"/>
  <c r="N514" i="16"/>
  <c r="M514" i="16"/>
  <c r="L514" i="16"/>
  <c r="K514" i="16"/>
  <c r="J514" i="16"/>
  <c r="I514" i="16"/>
  <c r="H514" i="16"/>
  <c r="G514" i="16"/>
  <c r="F514" i="16"/>
  <c r="E514" i="16"/>
  <c r="D514" i="16"/>
  <c r="C514" i="16"/>
  <c r="B514" i="16"/>
  <c r="R513" i="16"/>
  <c r="Q513" i="16"/>
  <c r="P513" i="16"/>
  <c r="O513" i="16"/>
  <c r="N513" i="16"/>
  <c r="M513" i="16"/>
  <c r="L513" i="16"/>
  <c r="K513" i="16"/>
  <c r="J513" i="16"/>
  <c r="I513" i="16"/>
  <c r="H513" i="16"/>
  <c r="G513" i="16"/>
  <c r="F513" i="16"/>
  <c r="E513" i="16"/>
  <c r="D513" i="16"/>
  <c r="C513" i="16"/>
  <c r="B513" i="16"/>
  <c r="R512" i="16"/>
  <c r="Q512" i="16"/>
  <c r="P512" i="16"/>
  <c r="O512" i="16"/>
  <c r="N512" i="16"/>
  <c r="M512" i="16"/>
  <c r="L512" i="16"/>
  <c r="K512" i="16"/>
  <c r="J512" i="16"/>
  <c r="I512" i="16"/>
  <c r="H512" i="16"/>
  <c r="G512" i="16"/>
  <c r="F512" i="16"/>
  <c r="E512" i="16"/>
  <c r="D512" i="16"/>
  <c r="C512" i="16"/>
  <c r="B512" i="16"/>
  <c r="R511" i="16"/>
  <c r="Q511" i="16"/>
  <c r="P511" i="16"/>
  <c r="O511" i="16"/>
  <c r="N511" i="16"/>
  <c r="M511" i="16"/>
  <c r="L511" i="16"/>
  <c r="K511" i="16"/>
  <c r="J511" i="16"/>
  <c r="I511" i="16"/>
  <c r="H511" i="16"/>
  <c r="G511" i="16"/>
  <c r="F511" i="16"/>
  <c r="E511" i="16"/>
  <c r="D511" i="16"/>
  <c r="C511" i="16"/>
  <c r="B511" i="16"/>
  <c r="R510" i="16"/>
  <c r="Q510" i="16"/>
  <c r="P510" i="16"/>
  <c r="O510" i="16"/>
  <c r="N510" i="16"/>
  <c r="M510" i="16"/>
  <c r="L510" i="16"/>
  <c r="K510" i="16"/>
  <c r="J510" i="16"/>
  <c r="I510" i="16"/>
  <c r="H510" i="16"/>
  <c r="G510" i="16"/>
  <c r="F510" i="16"/>
  <c r="E510" i="16"/>
  <c r="D510" i="16"/>
  <c r="C510" i="16"/>
  <c r="B510" i="16"/>
  <c r="R509" i="16"/>
  <c r="Q509" i="16"/>
  <c r="P509" i="16"/>
  <c r="O509" i="16"/>
  <c r="N509" i="16"/>
  <c r="M509" i="16"/>
  <c r="L509" i="16"/>
  <c r="K509" i="16"/>
  <c r="J509" i="16"/>
  <c r="I509" i="16"/>
  <c r="H509" i="16"/>
  <c r="G509" i="16"/>
  <c r="F509" i="16"/>
  <c r="E509" i="16"/>
  <c r="D509" i="16"/>
  <c r="C509" i="16"/>
  <c r="B509" i="16"/>
  <c r="R508" i="16"/>
  <c r="Q508" i="16"/>
  <c r="P508" i="16"/>
  <c r="O508" i="16"/>
  <c r="N508" i="16"/>
  <c r="M508" i="16"/>
  <c r="L508" i="16"/>
  <c r="K508" i="16"/>
  <c r="J508" i="16"/>
  <c r="I508" i="16"/>
  <c r="H508" i="16"/>
  <c r="G508" i="16"/>
  <c r="F508" i="16"/>
  <c r="E508" i="16"/>
  <c r="D508" i="16"/>
  <c r="C508" i="16"/>
  <c r="B508" i="16"/>
  <c r="R507" i="16"/>
  <c r="Q507" i="16"/>
  <c r="P507" i="16"/>
  <c r="O507" i="16"/>
  <c r="N507" i="16"/>
  <c r="M507" i="16"/>
  <c r="L507" i="16"/>
  <c r="K507" i="16"/>
  <c r="J507" i="16"/>
  <c r="I507" i="16"/>
  <c r="H507" i="16"/>
  <c r="G507" i="16"/>
  <c r="F507" i="16"/>
  <c r="E507" i="16"/>
  <c r="D507" i="16"/>
  <c r="C507" i="16"/>
  <c r="B507" i="16"/>
  <c r="R506" i="16"/>
  <c r="Q506" i="16"/>
  <c r="P506" i="16"/>
  <c r="O506" i="16"/>
  <c r="N506" i="16"/>
  <c r="M506" i="16"/>
  <c r="L506" i="16"/>
  <c r="K506" i="16"/>
  <c r="J506" i="16"/>
  <c r="I506" i="16"/>
  <c r="H506" i="16"/>
  <c r="G506" i="16"/>
  <c r="F506" i="16"/>
  <c r="E506" i="16"/>
  <c r="D506" i="16"/>
  <c r="C506" i="16"/>
  <c r="B506" i="16"/>
  <c r="R505" i="16"/>
  <c r="Q505" i="16"/>
  <c r="P505" i="16"/>
  <c r="O505" i="16"/>
  <c r="N505" i="16"/>
  <c r="M505" i="16"/>
  <c r="L505" i="16"/>
  <c r="K505" i="16"/>
  <c r="J505" i="16"/>
  <c r="I505" i="16"/>
  <c r="H505" i="16"/>
  <c r="G505" i="16"/>
  <c r="F505" i="16"/>
  <c r="E505" i="16"/>
  <c r="D505" i="16"/>
  <c r="C505" i="16"/>
  <c r="B505" i="16"/>
  <c r="R504" i="16"/>
  <c r="Q504" i="16"/>
  <c r="P504" i="16"/>
  <c r="O504" i="16"/>
  <c r="N504" i="16"/>
  <c r="M504" i="16"/>
  <c r="L504" i="16"/>
  <c r="K504" i="16"/>
  <c r="J504" i="16"/>
  <c r="I504" i="16"/>
  <c r="H504" i="16"/>
  <c r="G504" i="16"/>
  <c r="F504" i="16"/>
  <c r="E504" i="16"/>
  <c r="D504" i="16"/>
  <c r="C504" i="16"/>
  <c r="B504" i="16"/>
  <c r="R503" i="16"/>
  <c r="Q503" i="16"/>
  <c r="P503" i="16"/>
  <c r="O503" i="16"/>
  <c r="N503" i="16"/>
  <c r="M503" i="16"/>
  <c r="L503" i="16"/>
  <c r="K503" i="16"/>
  <c r="J503" i="16"/>
  <c r="I503" i="16"/>
  <c r="H503" i="16"/>
  <c r="G503" i="16"/>
  <c r="F503" i="16"/>
  <c r="E503" i="16"/>
  <c r="D503" i="16"/>
  <c r="C503" i="16"/>
  <c r="B503" i="16"/>
  <c r="R502" i="16"/>
  <c r="Q502" i="16"/>
  <c r="P502" i="16"/>
  <c r="O502" i="16"/>
  <c r="N502" i="16"/>
  <c r="M502" i="16"/>
  <c r="L502" i="16"/>
  <c r="K502" i="16"/>
  <c r="J502" i="16"/>
  <c r="I502" i="16"/>
  <c r="H502" i="16"/>
  <c r="G502" i="16"/>
  <c r="F502" i="16"/>
  <c r="E502" i="16"/>
  <c r="D502" i="16"/>
  <c r="C502" i="16"/>
  <c r="B502" i="16"/>
  <c r="R501" i="16"/>
  <c r="Q501" i="16"/>
  <c r="P501" i="16"/>
  <c r="O501" i="16"/>
  <c r="N501" i="16"/>
  <c r="M501" i="16"/>
  <c r="L501" i="16"/>
  <c r="K501" i="16"/>
  <c r="J501" i="16"/>
  <c r="I501" i="16"/>
  <c r="H501" i="16"/>
  <c r="G501" i="16"/>
  <c r="F501" i="16"/>
  <c r="E501" i="16"/>
  <c r="D501" i="16"/>
  <c r="C501" i="16"/>
  <c r="B501" i="16"/>
  <c r="R500" i="16"/>
  <c r="Q500" i="16"/>
  <c r="P500" i="16"/>
  <c r="O500" i="16"/>
  <c r="N500" i="16"/>
  <c r="M500" i="16"/>
  <c r="L500" i="16"/>
  <c r="K500" i="16"/>
  <c r="J500" i="16"/>
  <c r="I500" i="16"/>
  <c r="H500" i="16"/>
  <c r="G500" i="16"/>
  <c r="F500" i="16"/>
  <c r="E500" i="16"/>
  <c r="D500" i="16"/>
  <c r="C500" i="16"/>
  <c r="B500" i="16"/>
  <c r="R499" i="16"/>
  <c r="Q499" i="16"/>
  <c r="P499" i="16"/>
  <c r="O499" i="16"/>
  <c r="N499" i="16"/>
  <c r="M499" i="16"/>
  <c r="L499" i="16"/>
  <c r="K499" i="16"/>
  <c r="J499" i="16"/>
  <c r="I499" i="16"/>
  <c r="H499" i="16"/>
  <c r="G499" i="16"/>
  <c r="F499" i="16"/>
  <c r="E499" i="16"/>
  <c r="D499" i="16"/>
  <c r="C499" i="16"/>
  <c r="B499" i="16"/>
  <c r="R498" i="16"/>
  <c r="Q498" i="16"/>
  <c r="P498" i="16"/>
  <c r="O498" i="16"/>
  <c r="N498" i="16"/>
  <c r="M498" i="16"/>
  <c r="L498" i="16"/>
  <c r="K498" i="16"/>
  <c r="J498" i="16"/>
  <c r="I498" i="16"/>
  <c r="H498" i="16"/>
  <c r="G498" i="16"/>
  <c r="F498" i="16"/>
  <c r="E498" i="16"/>
  <c r="D498" i="16"/>
  <c r="C498" i="16"/>
  <c r="B498" i="16"/>
  <c r="R497" i="16"/>
  <c r="Q497" i="16"/>
  <c r="P497" i="16"/>
  <c r="O497" i="16"/>
  <c r="N497" i="16"/>
  <c r="M497" i="16"/>
  <c r="L497" i="16"/>
  <c r="K497" i="16"/>
  <c r="J497" i="16"/>
  <c r="I497" i="16"/>
  <c r="H497" i="16"/>
  <c r="G497" i="16"/>
  <c r="F497" i="16"/>
  <c r="E497" i="16"/>
  <c r="D497" i="16"/>
  <c r="C497" i="16"/>
  <c r="B497" i="16"/>
  <c r="R496" i="16"/>
  <c r="Q496" i="16"/>
  <c r="P496" i="16"/>
  <c r="O496" i="16"/>
  <c r="N496" i="16"/>
  <c r="M496" i="16"/>
  <c r="L496" i="16"/>
  <c r="K496" i="16"/>
  <c r="J496" i="16"/>
  <c r="I496" i="16"/>
  <c r="H496" i="16"/>
  <c r="G496" i="16"/>
  <c r="F496" i="16"/>
  <c r="E496" i="16"/>
  <c r="D496" i="16"/>
  <c r="C496" i="16"/>
  <c r="B496" i="16"/>
  <c r="R495" i="16"/>
  <c r="Q495" i="16"/>
  <c r="P495" i="16"/>
  <c r="O495" i="16"/>
  <c r="N495" i="16"/>
  <c r="M495" i="16"/>
  <c r="L495" i="16"/>
  <c r="K495" i="16"/>
  <c r="J495" i="16"/>
  <c r="I495" i="16"/>
  <c r="H495" i="16"/>
  <c r="G495" i="16"/>
  <c r="F495" i="16"/>
  <c r="E495" i="16"/>
  <c r="D495" i="16"/>
  <c r="C495" i="16"/>
  <c r="B495" i="16"/>
  <c r="R494" i="16"/>
  <c r="Q494" i="16"/>
  <c r="P494" i="16"/>
  <c r="O494" i="16"/>
  <c r="N494" i="16"/>
  <c r="M494" i="16"/>
  <c r="L494" i="16"/>
  <c r="K494" i="16"/>
  <c r="J494" i="16"/>
  <c r="I494" i="16"/>
  <c r="H494" i="16"/>
  <c r="G494" i="16"/>
  <c r="F494" i="16"/>
  <c r="E494" i="16"/>
  <c r="D494" i="16"/>
  <c r="C494" i="16"/>
  <c r="B494" i="16"/>
  <c r="R493" i="16"/>
  <c r="Q493" i="16"/>
  <c r="P493" i="16"/>
  <c r="O493" i="16"/>
  <c r="N493" i="16"/>
  <c r="M493" i="16"/>
  <c r="L493" i="16"/>
  <c r="K493" i="16"/>
  <c r="J493" i="16"/>
  <c r="I493" i="16"/>
  <c r="H493" i="16"/>
  <c r="G493" i="16"/>
  <c r="F493" i="16"/>
  <c r="E493" i="16"/>
  <c r="D493" i="16"/>
  <c r="C493" i="16"/>
  <c r="B493" i="16"/>
  <c r="R492" i="16"/>
  <c r="Q492" i="16"/>
  <c r="P492" i="16"/>
  <c r="O492" i="16"/>
  <c r="N492" i="16"/>
  <c r="M492" i="16"/>
  <c r="L492" i="16"/>
  <c r="K492" i="16"/>
  <c r="J492" i="16"/>
  <c r="I492" i="16"/>
  <c r="H492" i="16"/>
  <c r="G492" i="16"/>
  <c r="F492" i="16"/>
  <c r="E492" i="16"/>
  <c r="D492" i="16"/>
  <c r="C492" i="16"/>
  <c r="B492" i="16"/>
  <c r="R491" i="16"/>
  <c r="Q491" i="16"/>
  <c r="P491" i="16"/>
  <c r="O491" i="16"/>
  <c r="N491" i="16"/>
  <c r="M491" i="16"/>
  <c r="L491" i="16"/>
  <c r="K491" i="16"/>
  <c r="J491" i="16"/>
  <c r="I491" i="16"/>
  <c r="H491" i="16"/>
  <c r="G491" i="16"/>
  <c r="F491" i="16"/>
  <c r="E491" i="16"/>
  <c r="D491" i="16"/>
  <c r="C491" i="16"/>
  <c r="B491" i="16"/>
  <c r="R490" i="16"/>
  <c r="Q490" i="16"/>
  <c r="P490" i="16"/>
  <c r="O490" i="16"/>
  <c r="N490" i="16"/>
  <c r="M490" i="16"/>
  <c r="L490" i="16"/>
  <c r="K490" i="16"/>
  <c r="J490" i="16"/>
  <c r="I490" i="16"/>
  <c r="H490" i="16"/>
  <c r="G490" i="16"/>
  <c r="F490" i="16"/>
  <c r="E490" i="16"/>
  <c r="D490" i="16"/>
  <c r="C490" i="16"/>
  <c r="B490" i="16"/>
  <c r="R489" i="16"/>
  <c r="Q489" i="16"/>
  <c r="P489" i="16"/>
  <c r="O489" i="16"/>
  <c r="N489" i="16"/>
  <c r="M489" i="16"/>
  <c r="L489" i="16"/>
  <c r="K489" i="16"/>
  <c r="J489" i="16"/>
  <c r="I489" i="16"/>
  <c r="H489" i="16"/>
  <c r="G489" i="16"/>
  <c r="F489" i="16"/>
  <c r="E489" i="16"/>
  <c r="D489" i="16"/>
  <c r="C489" i="16"/>
  <c r="B489" i="16"/>
  <c r="R488" i="16"/>
  <c r="Q488" i="16"/>
  <c r="P488" i="16"/>
  <c r="O488" i="16"/>
  <c r="N488" i="16"/>
  <c r="M488" i="16"/>
  <c r="L488" i="16"/>
  <c r="K488" i="16"/>
  <c r="J488" i="16"/>
  <c r="I488" i="16"/>
  <c r="H488" i="16"/>
  <c r="G488" i="16"/>
  <c r="F488" i="16"/>
  <c r="E488" i="16"/>
  <c r="D488" i="16"/>
  <c r="C488" i="16"/>
  <c r="B488" i="16"/>
  <c r="R487" i="16"/>
  <c r="Q487" i="16"/>
  <c r="P487" i="16"/>
  <c r="O487" i="16"/>
  <c r="N487" i="16"/>
  <c r="M487" i="16"/>
  <c r="L487" i="16"/>
  <c r="K487" i="16"/>
  <c r="J487" i="16"/>
  <c r="I487" i="16"/>
  <c r="H487" i="16"/>
  <c r="G487" i="16"/>
  <c r="F487" i="16"/>
  <c r="E487" i="16"/>
  <c r="D487" i="16"/>
  <c r="C487" i="16"/>
  <c r="B487" i="16"/>
  <c r="R486" i="16"/>
  <c r="Q486" i="16"/>
  <c r="P486" i="16"/>
  <c r="O486" i="16"/>
  <c r="N486" i="16"/>
  <c r="M486" i="16"/>
  <c r="L486" i="16"/>
  <c r="K486" i="16"/>
  <c r="J486" i="16"/>
  <c r="I486" i="16"/>
  <c r="H486" i="16"/>
  <c r="G486" i="16"/>
  <c r="F486" i="16"/>
  <c r="E486" i="16"/>
  <c r="D486" i="16"/>
  <c r="C486" i="16"/>
  <c r="B486" i="16"/>
  <c r="R485" i="16"/>
  <c r="Q485" i="16"/>
  <c r="P485" i="16"/>
  <c r="O485" i="16"/>
  <c r="N485" i="16"/>
  <c r="M485" i="16"/>
  <c r="L485" i="16"/>
  <c r="K485" i="16"/>
  <c r="J485" i="16"/>
  <c r="I485" i="16"/>
  <c r="H485" i="16"/>
  <c r="G485" i="16"/>
  <c r="F485" i="16"/>
  <c r="E485" i="16"/>
  <c r="D485" i="16"/>
  <c r="C485" i="16"/>
  <c r="B485" i="16"/>
  <c r="R484" i="16"/>
  <c r="Q484" i="16"/>
  <c r="P484" i="16"/>
  <c r="O484" i="16"/>
  <c r="N484" i="16"/>
  <c r="M484" i="16"/>
  <c r="L484" i="16"/>
  <c r="K484" i="16"/>
  <c r="J484" i="16"/>
  <c r="I484" i="16"/>
  <c r="H484" i="16"/>
  <c r="G484" i="16"/>
  <c r="F484" i="16"/>
  <c r="E484" i="16"/>
  <c r="D484" i="16"/>
  <c r="C484" i="16"/>
  <c r="B484" i="16"/>
  <c r="R483" i="16"/>
  <c r="Q483" i="16"/>
  <c r="P483" i="16"/>
  <c r="O483" i="16"/>
  <c r="N483" i="16"/>
  <c r="M483" i="16"/>
  <c r="L483" i="16"/>
  <c r="K483" i="16"/>
  <c r="J483" i="16"/>
  <c r="I483" i="16"/>
  <c r="H483" i="16"/>
  <c r="G483" i="16"/>
  <c r="F483" i="16"/>
  <c r="E483" i="16"/>
  <c r="D483" i="16"/>
  <c r="C483" i="16"/>
  <c r="B483" i="16"/>
  <c r="R482" i="16"/>
  <c r="Q482" i="16"/>
  <c r="P482" i="16"/>
  <c r="O482" i="16"/>
  <c r="N482" i="16"/>
  <c r="M482" i="16"/>
  <c r="L482" i="16"/>
  <c r="K482" i="16"/>
  <c r="J482" i="16"/>
  <c r="I482" i="16"/>
  <c r="H482" i="16"/>
  <c r="G482" i="16"/>
  <c r="F482" i="16"/>
  <c r="E482" i="16"/>
  <c r="D482" i="16"/>
  <c r="C482" i="16"/>
  <c r="B482" i="16"/>
  <c r="R481" i="16"/>
  <c r="Q481" i="16"/>
  <c r="P481" i="16"/>
  <c r="O481" i="16"/>
  <c r="N481" i="16"/>
  <c r="M481" i="16"/>
  <c r="L481" i="16"/>
  <c r="K481" i="16"/>
  <c r="J481" i="16"/>
  <c r="I481" i="16"/>
  <c r="H481" i="16"/>
  <c r="G481" i="16"/>
  <c r="F481" i="16"/>
  <c r="E481" i="16"/>
  <c r="D481" i="16"/>
  <c r="C481" i="16"/>
  <c r="B481" i="16"/>
  <c r="R480" i="16"/>
  <c r="Q480" i="16"/>
  <c r="P480" i="16"/>
  <c r="O480" i="16"/>
  <c r="N480" i="16"/>
  <c r="M480" i="16"/>
  <c r="L480" i="16"/>
  <c r="K480" i="16"/>
  <c r="J480" i="16"/>
  <c r="I480" i="16"/>
  <c r="H480" i="16"/>
  <c r="G480" i="16"/>
  <c r="F480" i="16"/>
  <c r="E480" i="16"/>
  <c r="D480" i="16"/>
  <c r="C480" i="16"/>
  <c r="B480" i="16"/>
  <c r="R479" i="16"/>
  <c r="Q479" i="16"/>
  <c r="P479" i="16"/>
  <c r="O479" i="16"/>
  <c r="N479" i="16"/>
  <c r="M479" i="16"/>
  <c r="L479" i="16"/>
  <c r="K479" i="16"/>
  <c r="J479" i="16"/>
  <c r="I479" i="16"/>
  <c r="H479" i="16"/>
  <c r="G479" i="16"/>
  <c r="F479" i="16"/>
  <c r="E479" i="16"/>
  <c r="D479" i="16"/>
  <c r="C479" i="16"/>
  <c r="B479" i="16"/>
  <c r="R478" i="16"/>
  <c r="Q478" i="16"/>
  <c r="P478" i="16"/>
  <c r="O478" i="16"/>
  <c r="N478" i="16"/>
  <c r="M478" i="16"/>
  <c r="L478" i="16"/>
  <c r="K478" i="16"/>
  <c r="J478" i="16"/>
  <c r="I478" i="16"/>
  <c r="H478" i="16"/>
  <c r="G478" i="16"/>
  <c r="F478" i="16"/>
  <c r="E478" i="16"/>
  <c r="D478" i="16"/>
  <c r="C478" i="16"/>
  <c r="B478" i="16"/>
  <c r="R477" i="16"/>
  <c r="Q477" i="16"/>
  <c r="P477" i="16"/>
  <c r="O477" i="16"/>
  <c r="N477" i="16"/>
  <c r="M477" i="16"/>
  <c r="L477" i="16"/>
  <c r="K477" i="16"/>
  <c r="J477" i="16"/>
  <c r="I477" i="16"/>
  <c r="H477" i="16"/>
  <c r="G477" i="16"/>
  <c r="F477" i="16"/>
  <c r="E477" i="16"/>
  <c r="D477" i="16"/>
  <c r="C477" i="16"/>
  <c r="B477" i="16"/>
  <c r="R476" i="16"/>
  <c r="Q476" i="16"/>
  <c r="P476" i="16"/>
  <c r="O476" i="16"/>
  <c r="N476" i="16"/>
  <c r="M476" i="16"/>
  <c r="L476" i="16"/>
  <c r="K476" i="16"/>
  <c r="J476" i="16"/>
  <c r="I476" i="16"/>
  <c r="H476" i="16"/>
  <c r="G476" i="16"/>
  <c r="F476" i="16"/>
  <c r="E476" i="16"/>
  <c r="D476" i="16"/>
  <c r="C476" i="16"/>
  <c r="B476" i="16"/>
  <c r="R475" i="16"/>
  <c r="Q475" i="16"/>
  <c r="P475" i="16"/>
  <c r="O475" i="16"/>
  <c r="N475" i="16"/>
  <c r="M475" i="16"/>
  <c r="L475" i="16"/>
  <c r="K475" i="16"/>
  <c r="J475" i="16"/>
  <c r="I475" i="16"/>
  <c r="H475" i="16"/>
  <c r="G475" i="16"/>
  <c r="F475" i="16"/>
  <c r="E475" i="16"/>
  <c r="D475" i="16"/>
  <c r="C475" i="16"/>
  <c r="B475" i="16"/>
  <c r="R474" i="16"/>
  <c r="Q474" i="16"/>
  <c r="P474" i="16"/>
  <c r="O474" i="16"/>
  <c r="N474" i="16"/>
  <c r="M474" i="16"/>
  <c r="L474" i="16"/>
  <c r="K474" i="16"/>
  <c r="J474" i="16"/>
  <c r="I474" i="16"/>
  <c r="H474" i="16"/>
  <c r="G474" i="16"/>
  <c r="F474" i="16"/>
  <c r="E474" i="16"/>
  <c r="D474" i="16"/>
  <c r="C474" i="16"/>
  <c r="B474" i="16"/>
  <c r="R473" i="16"/>
  <c r="Q473" i="16"/>
  <c r="P473" i="16"/>
  <c r="O473" i="16"/>
  <c r="N473" i="16"/>
  <c r="M473" i="16"/>
  <c r="L473" i="16"/>
  <c r="K473" i="16"/>
  <c r="J473" i="16"/>
  <c r="I473" i="16"/>
  <c r="H473" i="16"/>
  <c r="G473" i="16"/>
  <c r="F473" i="16"/>
  <c r="E473" i="16"/>
  <c r="D473" i="16"/>
  <c r="C473" i="16"/>
  <c r="B473" i="16"/>
  <c r="R472" i="16"/>
  <c r="Q472" i="16"/>
  <c r="P472" i="16"/>
  <c r="O472" i="16"/>
  <c r="N472" i="16"/>
  <c r="M472" i="16"/>
  <c r="L472" i="16"/>
  <c r="K472" i="16"/>
  <c r="J472" i="16"/>
  <c r="I472" i="16"/>
  <c r="H472" i="16"/>
  <c r="G472" i="16"/>
  <c r="F472" i="16"/>
  <c r="E472" i="16"/>
  <c r="D472" i="16"/>
  <c r="C472" i="16"/>
  <c r="B472" i="16"/>
  <c r="R471" i="16"/>
  <c r="Q471" i="16"/>
  <c r="P471" i="16"/>
  <c r="O471" i="16"/>
  <c r="N471" i="16"/>
  <c r="M471" i="16"/>
  <c r="L471" i="16"/>
  <c r="K471" i="16"/>
  <c r="J471" i="16"/>
  <c r="I471" i="16"/>
  <c r="H471" i="16"/>
  <c r="G471" i="16"/>
  <c r="F471" i="16"/>
  <c r="E471" i="16"/>
  <c r="D471" i="16"/>
  <c r="C471" i="16"/>
  <c r="B471" i="16"/>
  <c r="R470" i="16"/>
  <c r="Q470" i="16"/>
  <c r="P470" i="16"/>
  <c r="O470" i="16"/>
  <c r="N470" i="16"/>
  <c r="M470" i="16"/>
  <c r="L470" i="16"/>
  <c r="K470" i="16"/>
  <c r="J470" i="16"/>
  <c r="I470" i="16"/>
  <c r="H470" i="16"/>
  <c r="G470" i="16"/>
  <c r="F470" i="16"/>
  <c r="E470" i="16"/>
  <c r="D470" i="16"/>
  <c r="C470" i="16"/>
  <c r="B470" i="16"/>
  <c r="R469" i="16"/>
  <c r="Q469" i="16"/>
  <c r="P469" i="16"/>
  <c r="O469" i="16"/>
  <c r="N469" i="16"/>
  <c r="M469" i="16"/>
  <c r="L469" i="16"/>
  <c r="K469" i="16"/>
  <c r="J469" i="16"/>
  <c r="I469" i="16"/>
  <c r="H469" i="16"/>
  <c r="G469" i="16"/>
  <c r="F469" i="16"/>
  <c r="E469" i="16"/>
  <c r="D469" i="16"/>
  <c r="C469" i="16"/>
  <c r="B469" i="16"/>
  <c r="R468" i="16"/>
  <c r="Q468" i="16"/>
  <c r="P468" i="16"/>
  <c r="O468" i="16"/>
  <c r="N468" i="16"/>
  <c r="M468" i="16"/>
  <c r="L468" i="16"/>
  <c r="K468" i="16"/>
  <c r="J468" i="16"/>
  <c r="I468" i="16"/>
  <c r="H468" i="16"/>
  <c r="G468" i="16"/>
  <c r="F468" i="16"/>
  <c r="E468" i="16"/>
  <c r="D468" i="16"/>
  <c r="C468" i="16"/>
  <c r="B468" i="16"/>
  <c r="R467" i="16"/>
  <c r="Q467" i="16"/>
  <c r="P467" i="16"/>
  <c r="O467" i="16"/>
  <c r="N467" i="16"/>
  <c r="M467" i="16"/>
  <c r="L467" i="16"/>
  <c r="K467" i="16"/>
  <c r="J467" i="16"/>
  <c r="I467" i="16"/>
  <c r="H467" i="16"/>
  <c r="G467" i="16"/>
  <c r="F467" i="16"/>
  <c r="E467" i="16"/>
  <c r="D467" i="16"/>
  <c r="C467" i="16"/>
  <c r="B467" i="16"/>
  <c r="R466" i="16"/>
  <c r="Q466" i="16"/>
  <c r="P466" i="16"/>
  <c r="O466" i="16"/>
  <c r="N466" i="16"/>
  <c r="M466" i="16"/>
  <c r="L466" i="16"/>
  <c r="K466" i="16"/>
  <c r="J466" i="16"/>
  <c r="I466" i="16"/>
  <c r="H466" i="16"/>
  <c r="G466" i="16"/>
  <c r="F466" i="16"/>
  <c r="E466" i="16"/>
  <c r="D466" i="16"/>
  <c r="C466" i="16"/>
  <c r="B466" i="16"/>
  <c r="R465" i="16"/>
  <c r="Q465" i="16"/>
  <c r="P465" i="16"/>
  <c r="O465" i="16"/>
  <c r="N465" i="16"/>
  <c r="M465" i="16"/>
  <c r="L465" i="16"/>
  <c r="K465" i="16"/>
  <c r="J465" i="16"/>
  <c r="I465" i="16"/>
  <c r="H465" i="16"/>
  <c r="G465" i="16"/>
  <c r="F465" i="16"/>
  <c r="E465" i="16"/>
  <c r="D465" i="16"/>
  <c r="C465" i="16"/>
  <c r="B465" i="16"/>
  <c r="R464" i="16"/>
  <c r="Q464" i="16"/>
  <c r="P464" i="16"/>
  <c r="O464" i="16"/>
  <c r="N464" i="16"/>
  <c r="M464" i="16"/>
  <c r="L464" i="16"/>
  <c r="K464" i="16"/>
  <c r="J464" i="16"/>
  <c r="I464" i="16"/>
  <c r="H464" i="16"/>
  <c r="G464" i="16"/>
  <c r="F464" i="16"/>
  <c r="E464" i="16"/>
  <c r="D464" i="16"/>
  <c r="C464" i="16"/>
  <c r="B464" i="16"/>
  <c r="R463" i="16"/>
  <c r="Q463" i="16"/>
  <c r="P463" i="16"/>
  <c r="O463" i="16"/>
  <c r="N463" i="16"/>
  <c r="M463" i="16"/>
  <c r="L463" i="16"/>
  <c r="K463" i="16"/>
  <c r="J463" i="16"/>
  <c r="I463" i="16"/>
  <c r="H463" i="16"/>
  <c r="G463" i="16"/>
  <c r="F463" i="16"/>
  <c r="E463" i="16"/>
  <c r="D463" i="16"/>
  <c r="C463" i="16"/>
  <c r="B463" i="16"/>
  <c r="R462" i="16"/>
  <c r="Q462" i="16"/>
  <c r="P462" i="16"/>
  <c r="O462" i="16"/>
  <c r="N462" i="16"/>
  <c r="M462" i="16"/>
  <c r="L462" i="16"/>
  <c r="K462" i="16"/>
  <c r="J462" i="16"/>
  <c r="I462" i="16"/>
  <c r="H462" i="16"/>
  <c r="G462" i="16"/>
  <c r="F462" i="16"/>
  <c r="E462" i="16"/>
  <c r="D462" i="16"/>
  <c r="C462" i="16"/>
  <c r="B462" i="16"/>
  <c r="R461" i="16"/>
  <c r="Q461" i="16"/>
  <c r="P461" i="16"/>
  <c r="O461" i="16"/>
  <c r="N461" i="16"/>
  <c r="M461" i="16"/>
  <c r="L461" i="16"/>
  <c r="K461" i="16"/>
  <c r="J461" i="16"/>
  <c r="I461" i="16"/>
  <c r="H461" i="16"/>
  <c r="G461" i="16"/>
  <c r="F461" i="16"/>
  <c r="E461" i="16"/>
  <c r="D461" i="16"/>
  <c r="C461" i="16"/>
  <c r="B461" i="16"/>
  <c r="R460" i="16"/>
  <c r="Q460" i="16"/>
  <c r="P460" i="16"/>
  <c r="O460" i="16"/>
  <c r="N460" i="16"/>
  <c r="M460" i="16"/>
  <c r="L460" i="16"/>
  <c r="K460" i="16"/>
  <c r="J460" i="16"/>
  <c r="I460" i="16"/>
  <c r="H460" i="16"/>
  <c r="G460" i="16"/>
  <c r="F460" i="16"/>
  <c r="E460" i="16"/>
  <c r="D460" i="16"/>
  <c r="C460" i="16"/>
  <c r="B460" i="16"/>
  <c r="R459" i="16"/>
  <c r="Q459" i="16"/>
  <c r="P459" i="16"/>
  <c r="O459" i="16"/>
  <c r="N459" i="16"/>
  <c r="M459" i="16"/>
  <c r="L459" i="16"/>
  <c r="K459" i="16"/>
  <c r="J459" i="16"/>
  <c r="I459" i="16"/>
  <c r="H459" i="16"/>
  <c r="G459" i="16"/>
  <c r="F459" i="16"/>
  <c r="E459" i="16"/>
  <c r="D459" i="16"/>
  <c r="C459" i="16"/>
  <c r="B459" i="16"/>
  <c r="R458" i="16"/>
  <c r="Q458" i="16"/>
  <c r="P458" i="16"/>
  <c r="O458" i="16"/>
  <c r="N458" i="16"/>
  <c r="M458" i="16"/>
  <c r="L458" i="16"/>
  <c r="K458" i="16"/>
  <c r="J458" i="16"/>
  <c r="I458" i="16"/>
  <c r="H458" i="16"/>
  <c r="G458" i="16"/>
  <c r="F458" i="16"/>
  <c r="E458" i="16"/>
  <c r="D458" i="16"/>
  <c r="C458" i="16"/>
  <c r="B458" i="16"/>
  <c r="R457" i="16"/>
  <c r="Q457" i="16"/>
  <c r="P457" i="16"/>
  <c r="O457" i="16"/>
  <c r="N457" i="16"/>
  <c r="M457" i="16"/>
  <c r="L457" i="16"/>
  <c r="K457" i="16"/>
  <c r="J457" i="16"/>
  <c r="I457" i="16"/>
  <c r="H457" i="16"/>
  <c r="G457" i="16"/>
  <c r="F457" i="16"/>
  <c r="E457" i="16"/>
  <c r="D457" i="16"/>
  <c r="C457" i="16"/>
  <c r="B457" i="16"/>
  <c r="R456" i="16"/>
  <c r="Q456" i="16"/>
  <c r="P456" i="16"/>
  <c r="O456" i="16"/>
  <c r="N456" i="16"/>
  <c r="M456" i="16"/>
  <c r="L456" i="16"/>
  <c r="K456" i="16"/>
  <c r="J456" i="16"/>
  <c r="I456" i="16"/>
  <c r="H456" i="16"/>
  <c r="G456" i="16"/>
  <c r="F456" i="16"/>
  <c r="E456" i="16"/>
  <c r="D456" i="16"/>
  <c r="C456" i="16"/>
  <c r="B456" i="16"/>
  <c r="R455" i="16"/>
  <c r="Q455" i="16"/>
  <c r="P455" i="16"/>
  <c r="O455" i="16"/>
  <c r="N455" i="16"/>
  <c r="M455" i="16"/>
  <c r="L455" i="16"/>
  <c r="K455" i="16"/>
  <c r="J455" i="16"/>
  <c r="I455" i="16"/>
  <c r="H455" i="16"/>
  <c r="G455" i="16"/>
  <c r="F455" i="16"/>
  <c r="E455" i="16"/>
  <c r="D455" i="16"/>
  <c r="C455" i="16"/>
  <c r="B455" i="16"/>
  <c r="R454" i="16"/>
  <c r="Q454" i="16"/>
  <c r="P454" i="16"/>
  <c r="O454" i="16"/>
  <c r="N454" i="16"/>
  <c r="M454" i="16"/>
  <c r="L454" i="16"/>
  <c r="K454" i="16"/>
  <c r="J454" i="16"/>
  <c r="I454" i="16"/>
  <c r="H454" i="16"/>
  <c r="G454" i="16"/>
  <c r="F454" i="16"/>
  <c r="E454" i="16"/>
  <c r="D454" i="16"/>
  <c r="C454" i="16"/>
  <c r="B454" i="16"/>
  <c r="R453" i="16"/>
  <c r="Q453" i="16"/>
  <c r="P453" i="16"/>
  <c r="O453" i="16"/>
  <c r="N453" i="16"/>
  <c r="M453" i="16"/>
  <c r="L453" i="16"/>
  <c r="K453" i="16"/>
  <c r="J453" i="16"/>
  <c r="I453" i="16"/>
  <c r="H453" i="16"/>
  <c r="G453" i="16"/>
  <c r="F453" i="16"/>
  <c r="E453" i="16"/>
  <c r="D453" i="16"/>
  <c r="C453" i="16"/>
  <c r="B453" i="16"/>
  <c r="R452" i="16"/>
  <c r="Q452" i="16"/>
  <c r="P452" i="16"/>
  <c r="O452" i="16"/>
  <c r="N452" i="16"/>
  <c r="M452" i="16"/>
  <c r="L452" i="16"/>
  <c r="K452" i="16"/>
  <c r="J452" i="16"/>
  <c r="I452" i="16"/>
  <c r="H452" i="16"/>
  <c r="G452" i="16"/>
  <c r="F452" i="16"/>
  <c r="E452" i="16"/>
  <c r="D452" i="16"/>
  <c r="C452" i="16"/>
  <c r="B452" i="16"/>
  <c r="R451" i="16"/>
  <c r="Q451" i="16"/>
  <c r="P451" i="16"/>
  <c r="O451" i="16"/>
  <c r="N451" i="16"/>
  <c r="M451" i="16"/>
  <c r="L451" i="16"/>
  <c r="K451" i="16"/>
  <c r="J451" i="16"/>
  <c r="I451" i="16"/>
  <c r="H451" i="16"/>
  <c r="G451" i="16"/>
  <c r="F451" i="16"/>
  <c r="E451" i="16"/>
  <c r="D451" i="16"/>
  <c r="C451" i="16"/>
  <c r="B451" i="16"/>
  <c r="R450" i="16"/>
  <c r="Q450" i="16"/>
  <c r="P450" i="16"/>
  <c r="O450" i="16"/>
  <c r="N450" i="16"/>
  <c r="M450" i="16"/>
  <c r="L450" i="16"/>
  <c r="K450" i="16"/>
  <c r="J450" i="16"/>
  <c r="I450" i="16"/>
  <c r="H450" i="16"/>
  <c r="G450" i="16"/>
  <c r="F450" i="16"/>
  <c r="E450" i="16"/>
  <c r="D450" i="16"/>
  <c r="C450" i="16"/>
  <c r="B450" i="16"/>
  <c r="R449" i="16"/>
  <c r="Q449" i="16"/>
  <c r="P449" i="16"/>
  <c r="O449" i="16"/>
  <c r="N449" i="16"/>
  <c r="M449" i="16"/>
  <c r="L449" i="16"/>
  <c r="K449" i="16"/>
  <c r="J449" i="16"/>
  <c r="I449" i="16"/>
  <c r="H449" i="16"/>
  <c r="G449" i="16"/>
  <c r="F449" i="16"/>
  <c r="E449" i="16"/>
  <c r="D449" i="16"/>
  <c r="C449" i="16"/>
  <c r="B449" i="16"/>
  <c r="R448" i="16"/>
  <c r="Q448" i="16"/>
  <c r="P448" i="16"/>
  <c r="O448" i="16"/>
  <c r="N448" i="16"/>
  <c r="M448" i="16"/>
  <c r="L448" i="16"/>
  <c r="K448" i="16"/>
  <c r="J448" i="16"/>
  <c r="I448" i="16"/>
  <c r="H448" i="16"/>
  <c r="G448" i="16"/>
  <c r="F448" i="16"/>
  <c r="E448" i="16"/>
  <c r="D448" i="16"/>
  <c r="C448" i="16"/>
  <c r="B448" i="16"/>
  <c r="R447" i="16"/>
  <c r="Q447" i="16"/>
  <c r="P447" i="16"/>
  <c r="O447" i="16"/>
  <c r="N447" i="16"/>
  <c r="M447" i="16"/>
  <c r="L447" i="16"/>
  <c r="K447" i="16"/>
  <c r="J447" i="16"/>
  <c r="I447" i="16"/>
  <c r="H447" i="16"/>
  <c r="G447" i="16"/>
  <c r="F447" i="16"/>
  <c r="E447" i="16"/>
  <c r="D447" i="16"/>
  <c r="C447" i="16"/>
  <c r="B447" i="16"/>
  <c r="R446" i="16"/>
  <c r="Q446" i="16"/>
  <c r="P446" i="16"/>
  <c r="O446" i="16"/>
  <c r="N446" i="16"/>
  <c r="M446" i="16"/>
  <c r="L446" i="16"/>
  <c r="K446" i="16"/>
  <c r="J446" i="16"/>
  <c r="I446" i="16"/>
  <c r="H446" i="16"/>
  <c r="G446" i="16"/>
  <c r="F446" i="16"/>
  <c r="E446" i="16"/>
  <c r="D446" i="16"/>
  <c r="C446" i="16"/>
  <c r="B446" i="16"/>
  <c r="R445" i="16"/>
  <c r="Q445" i="16"/>
  <c r="P445" i="16"/>
  <c r="O445" i="16"/>
  <c r="N445" i="16"/>
  <c r="M445" i="16"/>
  <c r="L445" i="16"/>
  <c r="K445" i="16"/>
  <c r="J445" i="16"/>
  <c r="I445" i="16"/>
  <c r="H445" i="16"/>
  <c r="G445" i="16"/>
  <c r="F445" i="16"/>
  <c r="E445" i="16"/>
  <c r="D445" i="16"/>
  <c r="C445" i="16"/>
  <c r="B445" i="16"/>
  <c r="R444" i="16"/>
  <c r="Q444" i="16"/>
  <c r="P444" i="16"/>
  <c r="O444" i="16"/>
  <c r="N444" i="16"/>
  <c r="M444" i="16"/>
  <c r="L444" i="16"/>
  <c r="K444" i="16"/>
  <c r="J444" i="16"/>
  <c r="I444" i="16"/>
  <c r="H444" i="16"/>
  <c r="G444" i="16"/>
  <c r="F444" i="16"/>
  <c r="E444" i="16"/>
  <c r="D444" i="16"/>
  <c r="C444" i="16"/>
  <c r="B444" i="16"/>
  <c r="R443" i="16"/>
  <c r="Q443" i="16"/>
  <c r="P443" i="16"/>
  <c r="O443" i="16"/>
  <c r="N443" i="16"/>
  <c r="M443" i="16"/>
  <c r="L443" i="16"/>
  <c r="K443" i="16"/>
  <c r="J443" i="16"/>
  <c r="I443" i="16"/>
  <c r="H443" i="16"/>
  <c r="G443" i="16"/>
  <c r="F443" i="16"/>
  <c r="E443" i="16"/>
  <c r="D443" i="16"/>
  <c r="C443" i="16"/>
  <c r="B443" i="16"/>
  <c r="R442" i="16"/>
  <c r="Q442" i="16"/>
  <c r="P442" i="16"/>
  <c r="O442" i="16"/>
  <c r="N442" i="16"/>
  <c r="M442" i="16"/>
  <c r="L442" i="16"/>
  <c r="K442" i="16"/>
  <c r="J442" i="16"/>
  <c r="I442" i="16"/>
  <c r="H442" i="16"/>
  <c r="G442" i="16"/>
  <c r="F442" i="16"/>
  <c r="E442" i="16"/>
  <c r="D442" i="16"/>
  <c r="C442" i="16"/>
  <c r="B442" i="16"/>
  <c r="R441" i="16"/>
  <c r="Q441" i="16"/>
  <c r="P441" i="16"/>
  <c r="O441" i="16"/>
  <c r="N441" i="16"/>
  <c r="M441" i="16"/>
  <c r="L441" i="16"/>
  <c r="K441" i="16"/>
  <c r="J441" i="16"/>
  <c r="I441" i="16"/>
  <c r="H441" i="16"/>
  <c r="G441" i="16"/>
  <c r="F441" i="16"/>
  <c r="E441" i="16"/>
  <c r="D441" i="16"/>
  <c r="C441" i="16"/>
  <c r="B441" i="16"/>
  <c r="R440" i="16"/>
  <c r="Q440" i="16"/>
  <c r="P440" i="16"/>
  <c r="O440" i="16"/>
  <c r="N440" i="16"/>
  <c r="M440" i="16"/>
  <c r="L440" i="16"/>
  <c r="K440" i="16"/>
  <c r="J440" i="16"/>
  <c r="I440" i="16"/>
  <c r="H440" i="16"/>
  <c r="G440" i="16"/>
  <c r="F440" i="16"/>
  <c r="E440" i="16"/>
  <c r="D440" i="16"/>
  <c r="C440" i="16"/>
  <c r="B440" i="16"/>
  <c r="R439" i="16"/>
  <c r="Q439" i="16"/>
  <c r="P439" i="16"/>
  <c r="O439" i="16"/>
  <c r="N439" i="16"/>
  <c r="M439" i="16"/>
  <c r="L439" i="16"/>
  <c r="K439" i="16"/>
  <c r="J439" i="16"/>
  <c r="I439" i="16"/>
  <c r="H439" i="16"/>
  <c r="G439" i="16"/>
  <c r="F439" i="16"/>
  <c r="E439" i="16"/>
  <c r="D439" i="16"/>
  <c r="C439" i="16"/>
  <c r="B439" i="16"/>
  <c r="R438" i="16"/>
  <c r="Q438" i="16"/>
  <c r="P438" i="16"/>
  <c r="O438" i="16"/>
  <c r="N438" i="16"/>
  <c r="M438" i="16"/>
  <c r="L438" i="16"/>
  <c r="K438" i="16"/>
  <c r="J438" i="16"/>
  <c r="I438" i="16"/>
  <c r="H438" i="16"/>
  <c r="G438" i="16"/>
  <c r="F438" i="16"/>
  <c r="E438" i="16"/>
  <c r="D438" i="16"/>
  <c r="C438" i="16"/>
  <c r="B438" i="16"/>
  <c r="R437" i="16"/>
  <c r="Q437" i="16"/>
  <c r="P437" i="16"/>
  <c r="O437" i="16"/>
  <c r="N437" i="16"/>
  <c r="M437" i="16"/>
  <c r="L437" i="16"/>
  <c r="K437" i="16"/>
  <c r="J437" i="16"/>
  <c r="I437" i="16"/>
  <c r="H437" i="16"/>
  <c r="G437" i="16"/>
  <c r="F437" i="16"/>
  <c r="E437" i="16"/>
  <c r="D437" i="16"/>
  <c r="C437" i="16"/>
  <c r="B437" i="16"/>
  <c r="R436" i="16"/>
  <c r="Q436" i="16"/>
  <c r="P436" i="16"/>
  <c r="O436" i="16"/>
  <c r="N436" i="16"/>
  <c r="M436" i="16"/>
  <c r="L436" i="16"/>
  <c r="K436" i="16"/>
  <c r="J436" i="16"/>
  <c r="I436" i="16"/>
  <c r="H436" i="16"/>
  <c r="G436" i="16"/>
  <c r="F436" i="16"/>
  <c r="E436" i="16"/>
  <c r="D436" i="16"/>
  <c r="C436" i="16"/>
  <c r="B436" i="16"/>
  <c r="R435" i="16"/>
  <c r="Q435" i="16"/>
  <c r="P435" i="16"/>
  <c r="O435" i="16"/>
  <c r="N435" i="16"/>
  <c r="M435" i="16"/>
  <c r="L435" i="16"/>
  <c r="K435" i="16"/>
  <c r="J435" i="16"/>
  <c r="I435" i="16"/>
  <c r="H435" i="16"/>
  <c r="G435" i="16"/>
  <c r="F435" i="16"/>
  <c r="E435" i="16"/>
  <c r="D435" i="16"/>
  <c r="C435" i="16"/>
  <c r="B435" i="16"/>
  <c r="R434" i="16"/>
  <c r="Q434" i="16"/>
  <c r="P434" i="16"/>
  <c r="O434" i="16"/>
  <c r="N434" i="16"/>
  <c r="M434" i="16"/>
  <c r="L434" i="16"/>
  <c r="K434" i="16"/>
  <c r="J434" i="16"/>
  <c r="I434" i="16"/>
  <c r="H434" i="16"/>
  <c r="G434" i="16"/>
  <c r="F434" i="16"/>
  <c r="E434" i="16"/>
  <c r="D434" i="16"/>
  <c r="C434" i="16"/>
  <c r="B434" i="16"/>
  <c r="R433" i="16"/>
  <c r="Q433" i="16"/>
  <c r="P433" i="16"/>
  <c r="O433" i="16"/>
  <c r="N433" i="16"/>
  <c r="M433" i="16"/>
  <c r="L433" i="16"/>
  <c r="K433" i="16"/>
  <c r="J433" i="16"/>
  <c r="I433" i="16"/>
  <c r="H433" i="16"/>
  <c r="G433" i="16"/>
  <c r="F433" i="16"/>
  <c r="E433" i="16"/>
  <c r="D433" i="16"/>
  <c r="C433" i="16"/>
  <c r="B433" i="16"/>
  <c r="R432" i="16"/>
  <c r="Q432" i="16"/>
  <c r="P432" i="16"/>
  <c r="O432" i="16"/>
  <c r="N432" i="16"/>
  <c r="M432" i="16"/>
  <c r="L432" i="16"/>
  <c r="K432" i="16"/>
  <c r="J432" i="16"/>
  <c r="I432" i="16"/>
  <c r="H432" i="16"/>
  <c r="G432" i="16"/>
  <c r="F432" i="16"/>
  <c r="E432" i="16"/>
  <c r="D432" i="16"/>
  <c r="C432" i="16"/>
  <c r="B432" i="16"/>
  <c r="R431" i="16"/>
  <c r="Q431" i="16"/>
  <c r="P431" i="16"/>
  <c r="O431" i="16"/>
  <c r="N431" i="16"/>
  <c r="M431" i="16"/>
  <c r="L431" i="16"/>
  <c r="K431" i="16"/>
  <c r="J431" i="16"/>
  <c r="I431" i="16"/>
  <c r="H431" i="16"/>
  <c r="G431" i="16"/>
  <c r="F431" i="16"/>
  <c r="E431" i="16"/>
  <c r="D431" i="16"/>
  <c r="C431" i="16"/>
  <c r="B431" i="16"/>
  <c r="R430" i="16"/>
  <c r="Q430" i="16"/>
  <c r="P430" i="16"/>
  <c r="O430" i="16"/>
  <c r="N430" i="16"/>
  <c r="M430" i="16"/>
  <c r="L430" i="16"/>
  <c r="K430" i="16"/>
  <c r="J430" i="16"/>
  <c r="I430" i="16"/>
  <c r="H430" i="16"/>
  <c r="G430" i="16"/>
  <c r="F430" i="16"/>
  <c r="E430" i="16"/>
  <c r="D430" i="16"/>
  <c r="C430" i="16"/>
  <c r="B430" i="16"/>
  <c r="R429" i="16"/>
  <c r="Q429" i="16"/>
  <c r="P429" i="16"/>
  <c r="O429" i="16"/>
  <c r="N429" i="16"/>
  <c r="M429" i="16"/>
  <c r="L429" i="16"/>
  <c r="K429" i="16"/>
  <c r="J429" i="16"/>
  <c r="I429" i="16"/>
  <c r="H429" i="16"/>
  <c r="G429" i="16"/>
  <c r="F429" i="16"/>
  <c r="E429" i="16"/>
  <c r="D429" i="16"/>
  <c r="C429" i="16"/>
  <c r="B429" i="16"/>
  <c r="R428" i="16"/>
  <c r="Q428" i="16"/>
  <c r="P428" i="16"/>
  <c r="O428" i="16"/>
  <c r="N428" i="16"/>
  <c r="M428" i="16"/>
  <c r="L428" i="16"/>
  <c r="K428" i="16"/>
  <c r="J428" i="16"/>
  <c r="I428" i="16"/>
  <c r="H428" i="16"/>
  <c r="G428" i="16"/>
  <c r="F428" i="16"/>
  <c r="E428" i="16"/>
  <c r="D428" i="16"/>
  <c r="C428" i="16"/>
  <c r="B428" i="16"/>
  <c r="R427" i="16"/>
  <c r="Q427" i="16"/>
  <c r="P427" i="16"/>
  <c r="O427" i="16"/>
  <c r="N427" i="16"/>
  <c r="M427" i="16"/>
  <c r="L427" i="16"/>
  <c r="K427" i="16"/>
  <c r="J427" i="16"/>
  <c r="I427" i="16"/>
  <c r="H427" i="16"/>
  <c r="G427" i="16"/>
  <c r="F427" i="16"/>
  <c r="E427" i="16"/>
  <c r="D427" i="16"/>
  <c r="C427" i="16"/>
  <c r="B427" i="16"/>
  <c r="R426" i="16"/>
  <c r="Q426" i="16"/>
  <c r="P426" i="16"/>
  <c r="O426" i="16"/>
  <c r="N426" i="16"/>
  <c r="M426" i="16"/>
  <c r="L426" i="16"/>
  <c r="K426" i="16"/>
  <c r="J426" i="16"/>
  <c r="I426" i="16"/>
  <c r="H426" i="16"/>
  <c r="G426" i="16"/>
  <c r="F426" i="16"/>
  <c r="E426" i="16"/>
  <c r="D426" i="16"/>
  <c r="C426" i="16"/>
  <c r="B426" i="16"/>
  <c r="R425" i="16"/>
  <c r="Q425" i="16"/>
  <c r="P425" i="16"/>
  <c r="O425" i="16"/>
  <c r="N425" i="16"/>
  <c r="M425" i="16"/>
  <c r="L425" i="16"/>
  <c r="K425" i="16"/>
  <c r="J425" i="16"/>
  <c r="I425" i="16"/>
  <c r="H425" i="16"/>
  <c r="G425" i="16"/>
  <c r="F425" i="16"/>
  <c r="E425" i="16"/>
  <c r="D425" i="16"/>
  <c r="C425" i="16"/>
  <c r="B425" i="16"/>
  <c r="R424" i="16"/>
  <c r="Q424" i="16"/>
  <c r="P424" i="16"/>
  <c r="O424" i="16"/>
  <c r="N424" i="16"/>
  <c r="M424" i="16"/>
  <c r="L424" i="16"/>
  <c r="K424" i="16"/>
  <c r="J424" i="16"/>
  <c r="I424" i="16"/>
  <c r="H424" i="16"/>
  <c r="G424" i="16"/>
  <c r="F424" i="16"/>
  <c r="E424" i="16"/>
  <c r="D424" i="16"/>
  <c r="C424" i="16"/>
  <c r="B424" i="16"/>
  <c r="R423" i="16"/>
  <c r="Q423" i="16"/>
  <c r="P423" i="16"/>
  <c r="O423" i="16"/>
  <c r="N423" i="16"/>
  <c r="M423" i="16"/>
  <c r="L423" i="16"/>
  <c r="K423" i="16"/>
  <c r="J423" i="16"/>
  <c r="I423" i="16"/>
  <c r="H423" i="16"/>
  <c r="G423" i="16"/>
  <c r="F423" i="16"/>
  <c r="E423" i="16"/>
  <c r="D423" i="16"/>
  <c r="C423" i="16"/>
  <c r="B423" i="16"/>
  <c r="R422" i="16"/>
  <c r="Q422" i="16"/>
  <c r="P422" i="16"/>
  <c r="O422" i="16"/>
  <c r="N422" i="16"/>
  <c r="M422" i="16"/>
  <c r="L422" i="16"/>
  <c r="K422" i="16"/>
  <c r="J422" i="16"/>
  <c r="I422" i="16"/>
  <c r="H422" i="16"/>
  <c r="G422" i="16"/>
  <c r="F422" i="16"/>
  <c r="E422" i="16"/>
  <c r="D422" i="16"/>
  <c r="C422" i="16"/>
  <c r="B422" i="16"/>
  <c r="R421" i="16"/>
  <c r="Q421" i="16"/>
  <c r="P421" i="16"/>
  <c r="O421" i="16"/>
  <c r="N421" i="16"/>
  <c r="M421" i="16"/>
  <c r="L421" i="16"/>
  <c r="K421" i="16"/>
  <c r="J421" i="16"/>
  <c r="I421" i="16"/>
  <c r="H421" i="16"/>
  <c r="G421" i="16"/>
  <c r="F421" i="16"/>
  <c r="E421" i="16"/>
  <c r="D421" i="16"/>
  <c r="C421" i="16"/>
  <c r="B421" i="16"/>
  <c r="R420" i="16"/>
  <c r="Q420" i="16"/>
  <c r="P420" i="16"/>
  <c r="O420" i="16"/>
  <c r="N420" i="16"/>
  <c r="M420" i="16"/>
  <c r="L420" i="16"/>
  <c r="K420" i="16"/>
  <c r="J420" i="16"/>
  <c r="I420" i="16"/>
  <c r="H420" i="16"/>
  <c r="G420" i="16"/>
  <c r="F420" i="16"/>
  <c r="E420" i="16"/>
  <c r="D420" i="16"/>
  <c r="C420" i="16"/>
  <c r="B420" i="16"/>
  <c r="R419" i="16"/>
  <c r="Q419" i="16"/>
  <c r="P419" i="16"/>
  <c r="O419" i="16"/>
  <c r="N419" i="16"/>
  <c r="M419" i="16"/>
  <c r="L419" i="16"/>
  <c r="K419" i="16"/>
  <c r="J419" i="16"/>
  <c r="I419" i="16"/>
  <c r="H419" i="16"/>
  <c r="G419" i="16"/>
  <c r="F419" i="16"/>
  <c r="E419" i="16"/>
  <c r="D419" i="16"/>
  <c r="C419" i="16"/>
  <c r="B419" i="16"/>
  <c r="R418" i="16"/>
  <c r="Q418" i="16"/>
  <c r="P418" i="16"/>
  <c r="O418" i="16"/>
  <c r="N418" i="16"/>
  <c r="M418" i="16"/>
  <c r="L418" i="16"/>
  <c r="K418" i="16"/>
  <c r="J418" i="16"/>
  <c r="I418" i="16"/>
  <c r="H418" i="16"/>
  <c r="G418" i="16"/>
  <c r="F418" i="16"/>
  <c r="E418" i="16"/>
  <c r="D418" i="16"/>
  <c r="C418" i="16"/>
  <c r="B418" i="16"/>
  <c r="R417" i="16"/>
  <c r="Q417" i="16"/>
  <c r="P417" i="16"/>
  <c r="O417" i="16"/>
  <c r="N417" i="16"/>
  <c r="M417" i="16"/>
  <c r="L417" i="16"/>
  <c r="K417" i="16"/>
  <c r="J417" i="16"/>
  <c r="I417" i="16"/>
  <c r="H417" i="16"/>
  <c r="G417" i="16"/>
  <c r="F417" i="16"/>
  <c r="E417" i="16"/>
  <c r="D417" i="16"/>
  <c r="C417" i="16"/>
  <c r="B417" i="16"/>
  <c r="R416" i="16"/>
  <c r="Q416" i="16"/>
  <c r="P416" i="16"/>
  <c r="O416" i="16"/>
  <c r="N416" i="16"/>
  <c r="M416" i="16"/>
  <c r="L416" i="16"/>
  <c r="K416" i="16"/>
  <c r="J416" i="16"/>
  <c r="I416" i="16"/>
  <c r="H416" i="16"/>
  <c r="G416" i="16"/>
  <c r="F416" i="16"/>
  <c r="E416" i="16"/>
  <c r="D416" i="16"/>
  <c r="C416" i="16"/>
  <c r="B416" i="16"/>
  <c r="R415" i="16"/>
  <c r="Q415" i="16"/>
  <c r="P415" i="16"/>
  <c r="O415" i="16"/>
  <c r="N415" i="16"/>
  <c r="M415" i="16"/>
  <c r="L415" i="16"/>
  <c r="K415" i="16"/>
  <c r="J415" i="16"/>
  <c r="I415" i="16"/>
  <c r="H415" i="16"/>
  <c r="G415" i="16"/>
  <c r="F415" i="16"/>
  <c r="E415" i="16"/>
  <c r="D415" i="16"/>
  <c r="C415" i="16"/>
  <c r="B415" i="16"/>
  <c r="R414" i="16"/>
  <c r="Q414" i="16"/>
  <c r="P414" i="16"/>
  <c r="O414" i="16"/>
  <c r="N414" i="16"/>
  <c r="M414" i="16"/>
  <c r="L414" i="16"/>
  <c r="K414" i="16"/>
  <c r="J414" i="16"/>
  <c r="I414" i="16"/>
  <c r="H414" i="16"/>
  <c r="G414" i="16"/>
  <c r="F414" i="16"/>
  <c r="E414" i="16"/>
  <c r="D414" i="16"/>
  <c r="C414" i="16"/>
  <c r="B414" i="16"/>
  <c r="R413" i="16"/>
  <c r="Q413" i="16"/>
  <c r="P413" i="16"/>
  <c r="O413" i="16"/>
  <c r="N413" i="16"/>
  <c r="M413" i="16"/>
  <c r="L413" i="16"/>
  <c r="K413" i="16"/>
  <c r="J413" i="16"/>
  <c r="I413" i="16"/>
  <c r="H413" i="16"/>
  <c r="G413" i="16"/>
  <c r="F413" i="16"/>
  <c r="E413" i="16"/>
  <c r="D413" i="16"/>
  <c r="C413" i="16"/>
  <c r="B413" i="16"/>
  <c r="R412" i="16"/>
  <c r="Q412" i="16"/>
  <c r="P412" i="16"/>
  <c r="O412" i="16"/>
  <c r="N412" i="16"/>
  <c r="M412" i="16"/>
  <c r="L412" i="16"/>
  <c r="K412" i="16"/>
  <c r="J412" i="16"/>
  <c r="I412" i="16"/>
  <c r="H412" i="16"/>
  <c r="G412" i="16"/>
  <c r="F412" i="16"/>
  <c r="E412" i="16"/>
  <c r="D412" i="16"/>
  <c r="C412" i="16"/>
  <c r="B412" i="16"/>
  <c r="R411" i="16"/>
  <c r="Q411" i="16"/>
  <c r="P411" i="16"/>
  <c r="O411" i="16"/>
  <c r="N411" i="16"/>
  <c r="M411" i="16"/>
  <c r="L411" i="16"/>
  <c r="K411" i="16"/>
  <c r="J411" i="16"/>
  <c r="I411" i="16"/>
  <c r="H411" i="16"/>
  <c r="G411" i="16"/>
  <c r="F411" i="16"/>
  <c r="E411" i="16"/>
  <c r="D411" i="16"/>
  <c r="C411" i="16"/>
  <c r="B411" i="16"/>
  <c r="R410" i="16"/>
  <c r="Q410" i="16"/>
  <c r="P410" i="16"/>
  <c r="O410" i="16"/>
  <c r="N410" i="16"/>
  <c r="M410" i="16"/>
  <c r="L410" i="16"/>
  <c r="K410" i="16"/>
  <c r="J410" i="16"/>
  <c r="I410" i="16"/>
  <c r="H410" i="16"/>
  <c r="G410" i="16"/>
  <c r="F410" i="16"/>
  <c r="E410" i="16"/>
  <c r="D410" i="16"/>
  <c r="C410" i="16"/>
  <c r="B410" i="16"/>
  <c r="R409" i="16"/>
  <c r="Q409" i="16"/>
  <c r="P409" i="16"/>
  <c r="O409" i="16"/>
  <c r="N409" i="16"/>
  <c r="M409" i="16"/>
  <c r="L409" i="16"/>
  <c r="K409" i="16"/>
  <c r="J409" i="16"/>
  <c r="I409" i="16"/>
  <c r="H409" i="16"/>
  <c r="G409" i="16"/>
  <c r="F409" i="16"/>
  <c r="E409" i="16"/>
  <c r="D409" i="16"/>
  <c r="C409" i="16"/>
  <c r="B409" i="16"/>
  <c r="R408" i="16"/>
  <c r="Q408" i="16"/>
  <c r="P408" i="16"/>
  <c r="O408" i="16"/>
  <c r="N408" i="16"/>
  <c r="M408" i="16"/>
  <c r="L408" i="16"/>
  <c r="K408" i="16"/>
  <c r="J408" i="16"/>
  <c r="I408" i="16"/>
  <c r="H408" i="16"/>
  <c r="G408" i="16"/>
  <c r="F408" i="16"/>
  <c r="E408" i="16"/>
  <c r="D408" i="16"/>
  <c r="C408" i="16"/>
  <c r="B408" i="16"/>
  <c r="R407" i="16"/>
  <c r="Q407" i="16"/>
  <c r="P407" i="16"/>
  <c r="O407" i="16"/>
  <c r="N407" i="16"/>
  <c r="M407" i="16"/>
  <c r="L407" i="16"/>
  <c r="K407" i="16"/>
  <c r="J407" i="16"/>
  <c r="I407" i="16"/>
  <c r="H407" i="16"/>
  <c r="G407" i="16"/>
  <c r="F407" i="16"/>
  <c r="E407" i="16"/>
  <c r="D407" i="16"/>
  <c r="C407" i="16"/>
  <c r="B407" i="16"/>
  <c r="R406" i="16"/>
  <c r="Q406" i="16"/>
  <c r="P406" i="16"/>
  <c r="O406" i="16"/>
  <c r="N406" i="16"/>
  <c r="M406" i="16"/>
  <c r="L406" i="16"/>
  <c r="K406" i="16"/>
  <c r="J406" i="16"/>
  <c r="I406" i="16"/>
  <c r="H406" i="16"/>
  <c r="G406" i="16"/>
  <c r="F406" i="16"/>
  <c r="E406" i="16"/>
  <c r="D406" i="16"/>
  <c r="C406" i="16"/>
  <c r="B406" i="16"/>
  <c r="R405" i="16"/>
  <c r="Q405" i="16"/>
  <c r="P405" i="16"/>
  <c r="O405" i="16"/>
  <c r="N405" i="16"/>
  <c r="M405" i="16"/>
  <c r="L405" i="16"/>
  <c r="K405" i="16"/>
  <c r="J405" i="16"/>
  <c r="I405" i="16"/>
  <c r="H405" i="16"/>
  <c r="G405" i="16"/>
  <c r="F405" i="16"/>
  <c r="E405" i="16"/>
  <c r="D405" i="16"/>
  <c r="C405" i="16"/>
  <c r="B405" i="16"/>
  <c r="R404" i="16"/>
  <c r="Q404" i="16"/>
  <c r="P404" i="16"/>
  <c r="O404" i="16"/>
  <c r="N404" i="16"/>
  <c r="M404" i="16"/>
  <c r="L404" i="16"/>
  <c r="K404" i="16"/>
  <c r="J404" i="16"/>
  <c r="I404" i="16"/>
  <c r="H404" i="16"/>
  <c r="G404" i="16"/>
  <c r="F404" i="16"/>
  <c r="E404" i="16"/>
  <c r="D404" i="16"/>
  <c r="C404" i="16"/>
  <c r="B404" i="16"/>
  <c r="R403" i="16"/>
  <c r="Q403" i="16"/>
  <c r="P403" i="16"/>
  <c r="O403" i="16"/>
  <c r="N403" i="16"/>
  <c r="M403" i="16"/>
  <c r="L403" i="16"/>
  <c r="K403" i="16"/>
  <c r="J403" i="16"/>
  <c r="I403" i="16"/>
  <c r="H403" i="16"/>
  <c r="G403" i="16"/>
  <c r="F403" i="16"/>
  <c r="E403" i="16"/>
  <c r="D403" i="16"/>
  <c r="C403" i="16"/>
  <c r="B403" i="16"/>
  <c r="R402" i="16"/>
  <c r="Q402" i="16"/>
  <c r="P402" i="16"/>
  <c r="O402" i="16"/>
  <c r="N402" i="16"/>
  <c r="M402" i="16"/>
  <c r="L402" i="16"/>
  <c r="K402" i="16"/>
  <c r="J402" i="16"/>
  <c r="I402" i="16"/>
  <c r="H402" i="16"/>
  <c r="G402" i="16"/>
  <c r="F402" i="16"/>
  <c r="E402" i="16"/>
  <c r="D402" i="16"/>
  <c r="C402" i="16"/>
  <c r="B402" i="16"/>
  <c r="R401" i="16"/>
  <c r="Q401" i="16"/>
  <c r="P401" i="16"/>
  <c r="O401" i="16"/>
  <c r="N401" i="16"/>
  <c r="M401" i="16"/>
  <c r="L401" i="16"/>
  <c r="K401" i="16"/>
  <c r="J401" i="16"/>
  <c r="I401" i="16"/>
  <c r="H401" i="16"/>
  <c r="G401" i="16"/>
  <c r="F401" i="16"/>
  <c r="E401" i="16"/>
  <c r="D401" i="16"/>
  <c r="C401" i="16"/>
  <c r="B401" i="16"/>
  <c r="R400" i="16"/>
  <c r="Q400" i="16"/>
  <c r="P400" i="16"/>
  <c r="O400" i="16"/>
  <c r="N400" i="16"/>
  <c r="M400" i="16"/>
  <c r="L400" i="16"/>
  <c r="K400" i="16"/>
  <c r="J400" i="16"/>
  <c r="I400" i="16"/>
  <c r="H400" i="16"/>
  <c r="G400" i="16"/>
  <c r="F400" i="16"/>
  <c r="E400" i="16"/>
  <c r="D400" i="16"/>
  <c r="C400" i="16"/>
  <c r="B400" i="16"/>
  <c r="R399" i="16"/>
  <c r="Q399" i="16"/>
  <c r="P399" i="16"/>
  <c r="O399" i="16"/>
  <c r="N399" i="16"/>
  <c r="M399" i="16"/>
  <c r="L399" i="16"/>
  <c r="K399" i="16"/>
  <c r="J399" i="16"/>
  <c r="I399" i="16"/>
  <c r="H399" i="16"/>
  <c r="G399" i="16"/>
  <c r="F399" i="16"/>
  <c r="E399" i="16"/>
  <c r="D399" i="16"/>
  <c r="C399" i="16"/>
  <c r="B399" i="16"/>
  <c r="R398" i="16"/>
  <c r="Q398" i="16"/>
  <c r="P398" i="16"/>
  <c r="O398" i="16"/>
  <c r="N398" i="16"/>
  <c r="M398" i="16"/>
  <c r="L398" i="16"/>
  <c r="K398" i="16"/>
  <c r="J398" i="16"/>
  <c r="I398" i="16"/>
  <c r="H398" i="16"/>
  <c r="G398" i="16"/>
  <c r="F398" i="16"/>
  <c r="E398" i="16"/>
  <c r="D398" i="16"/>
  <c r="C398" i="16"/>
  <c r="B398" i="16"/>
  <c r="R397" i="16"/>
  <c r="Q397" i="16"/>
  <c r="P397" i="16"/>
  <c r="O397" i="16"/>
  <c r="N397" i="16"/>
  <c r="M397" i="16"/>
  <c r="L397" i="16"/>
  <c r="K397" i="16"/>
  <c r="J397" i="16"/>
  <c r="I397" i="16"/>
  <c r="H397" i="16"/>
  <c r="G397" i="16"/>
  <c r="F397" i="16"/>
  <c r="E397" i="16"/>
  <c r="D397" i="16"/>
  <c r="C397" i="16"/>
  <c r="B397" i="16"/>
  <c r="R396" i="16"/>
  <c r="Q396" i="16"/>
  <c r="P396" i="16"/>
  <c r="O396" i="16"/>
  <c r="N396" i="16"/>
  <c r="M396" i="16"/>
  <c r="L396" i="16"/>
  <c r="K396" i="16"/>
  <c r="J396" i="16"/>
  <c r="I396" i="16"/>
  <c r="H396" i="16"/>
  <c r="G396" i="16"/>
  <c r="F396" i="16"/>
  <c r="E396" i="16"/>
  <c r="D396" i="16"/>
  <c r="C396" i="16"/>
  <c r="B396" i="16"/>
  <c r="R395" i="16"/>
  <c r="Q395" i="16"/>
  <c r="P395" i="16"/>
  <c r="O395" i="16"/>
  <c r="N395" i="16"/>
  <c r="M395" i="16"/>
  <c r="L395" i="16"/>
  <c r="K395" i="16"/>
  <c r="J395" i="16"/>
  <c r="I395" i="16"/>
  <c r="H395" i="16"/>
  <c r="G395" i="16"/>
  <c r="F395" i="16"/>
  <c r="E395" i="16"/>
  <c r="D395" i="16"/>
  <c r="C395" i="16"/>
  <c r="B395" i="16"/>
  <c r="R394" i="16"/>
  <c r="Q394" i="16"/>
  <c r="P394" i="16"/>
  <c r="O394" i="16"/>
  <c r="N394" i="16"/>
  <c r="M394" i="16"/>
  <c r="L394" i="16"/>
  <c r="K394" i="16"/>
  <c r="J394" i="16"/>
  <c r="I394" i="16"/>
  <c r="H394" i="16"/>
  <c r="G394" i="16"/>
  <c r="F394" i="16"/>
  <c r="E394" i="16"/>
  <c r="D394" i="16"/>
  <c r="C394" i="16"/>
  <c r="B394" i="16"/>
  <c r="R393" i="16"/>
  <c r="Q393" i="16"/>
  <c r="P393" i="16"/>
  <c r="O393" i="16"/>
  <c r="N393" i="16"/>
  <c r="M393" i="16"/>
  <c r="L393" i="16"/>
  <c r="K393" i="16"/>
  <c r="J393" i="16"/>
  <c r="I393" i="16"/>
  <c r="H393" i="16"/>
  <c r="G393" i="16"/>
  <c r="F393" i="16"/>
  <c r="E393" i="16"/>
  <c r="D393" i="16"/>
  <c r="C393" i="16"/>
  <c r="B393" i="16"/>
  <c r="R392" i="16"/>
  <c r="Q392" i="16"/>
  <c r="P392" i="16"/>
  <c r="O392" i="16"/>
  <c r="N392" i="16"/>
  <c r="M392" i="16"/>
  <c r="L392" i="16"/>
  <c r="K392" i="16"/>
  <c r="J392" i="16"/>
  <c r="I392" i="16"/>
  <c r="H392" i="16"/>
  <c r="G392" i="16"/>
  <c r="F392" i="16"/>
  <c r="E392" i="16"/>
  <c r="D392" i="16"/>
  <c r="C392" i="16"/>
  <c r="B392" i="16"/>
  <c r="R391" i="16"/>
  <c r="Q391" i="16"/>
  <c r="P391" i="16"/>
  <c r="O391" i="16"/>
  <c r="N391" i="16"/>
  <c r="M391" i="16"/>
  <c r="L391" i="16"/>
  <c r="K391" i="16"/>
  <c r="J391" i="16"/>
  <c r="I391" i="16"/>
  <c r="H391" i="16"/>
  <c r="G391" i="16"/>
  <c r="F391" i="16"/>
  <c r="E391" i="16"/>
  <c r="D391" i="16"/>
  <c r="C391" i="16"/>
  <c r="B391" i="16"/>
  <c r="R390" i="16"/>
  <c r="Q390" i="16"/>
  <c r="P390" i="16"/>
  <c r="O390" i="16"/>
  <c r="N390" i="16"/>
  <c r="M390" i="16"/>
  <c r="L390" i="16"/>
  <c r="K390" i="16"/>
  <c r="J390" i="16"/>
  <c r="I390" i="16"/>
  <c r="H390" i="16"/>
  <c r="G390" i="16"/>
  <c r="F390" i="16"/>
  <c r="E390" i="16"/>
  <c r="D390" i="16"/>
  <c r="C390" i="16"/>
  <c r="B390" i="16"/>
  <c r="R389" i="16"/>
  <c r="Q389" i="16"/>
  <c r="P389" i="16"/>
  <c r="O389" i="16"/>
  <c r="N389" i="16"/>
  <c r="M389" i="16"/>
  <c r="L389" i="16"/>
  <c r="K389" i="16"/>
  <c r="J389" i="16"/>
  <c r="I389" i="16"/>
  <c r="H389" i="16"/>
  <c r="G389" i="16"/>
  <c r="F389" i="16"/>
  <c r="E389" i="16"/>
  <c r="D389" i="16"/>
  <c r="C389" i="16"/>
  <c r="B389" i="16"/>
  <c r="R388" i="16"/>
  <c r="Q388" i="16"/>
  <c r="P388" i="16"/>
  <c r="O388" i="16"/>
  <c r="N388" i="16"/>
  <c r="M388" i="16"/>
  <c r="L388" i="16"/>
  <c r="K388" i="16"/>
  <c r="J388" i="16"/>
  <c r="I388" i="16"/>
  <c r="H388" i="16"/>
  <c r="G388" i="16"/>
  <c r="F388" i="16"/>
  <c r="E388" i="16"/>
  <c r="D388" i="16"/>
  <c r="C388" i="16"/>
  <c r="B388" i="16"/>
  <c r="R387" i="16"/>
  <c r="Q387" i="16"/>
  <c r="P387" i="16"/>
  <c r="O387" i="16"/>
  <c r="N387" i="16"/>
  <c r="M387" i="16"/>
  <c r="L387" i="16"/>
  <c r="K387" i="16"/>
  <c r="J387" i="16"/>
  <c r="I387" i="16"/>
  <c r="H387" i="16"/>
  <c r="G387" i="16"/>
  <c r="F387" i="16"/>
  <c r="E387" i="16"/>
  <c r="D387" i="16"/>
  <c r="C387" i="16"/>
  <c r="B387" i="16"/>
  <c r="R386" i="16"/>
  <c r="Q386" i="16"/>
  <c r="P386" i="16"/>
  <c r="O386" i="16"/>
  <c r="N386" i="16"/>
  <c r="M386" i="16"/>
  <c r="L386" i="16"/>
  <c r="K386" i="16"/>
  <c r="J386" i="16"/>
  <c r="I386" i="16"/>
  <c r="H386" i="16"/>
  <c r="G386" i="16"/>
  <c r="F386" i="16"/>
  <c r="E386" i="16"/>
  <c r="D386" i="16"/>
  <c r="C386" i="16"/>
  <c r="B386" i="16"/>
  <c r="R385" i="16"/>
  <c r="Q385" i="16"/>
  <c r="P385" i="16"/>
  <c r="O385" i="16"/>
  <c r="N385" i="16"/>
  <c r="M385" i="16"/>
  <c r="L385" i="16"/>
  <c r="K385" i="16"/>
  <c r="J385" i="16"/>
  <c r="I385" i="16"/>
  <c r="H385" i="16"/>
  <c r="G385" i="16"/>
  <c r="F385" i="16"/>
  <c r="E385" i="16"/>
  <c r="D385" i="16"/>
  <c r="C385" i="16"/>
  <c r="B385" i="16"/>
  <c r="R384" i="16"/>
  <c r="Q384" i="16"/>
  <c r="P384" i="16"/>
  <c r="O384" i="16"/>
  <c r="N384" i="16"/>
  <c r="M384" i="16"/>
  <c r="L384" i="16"/>
  <c r="K384" i="16"/>
  <c r="J384" i="16"/>
  <c r="I384" i="16"/>
  <c r="H384" i="16"/>
  <c r="G384" i="16"/>
  <c r="F384" i="16"/>
  <c r="E384" i="16"/>
  <c r="D384" i="16"/>
  <c r="C384" i="16"/>
  <c r="B384" i="16"/>
  <c r="R383" i="16"/>
  <c r="Q383" i="16"/>
  <c r="P383" i="16"/>
  <c r="O383" i="16"/>
  <c r="N383" i="16"/>
  <c r="M383" i="16"/>
  <c r="L383" i="16"/>
  <c r="K383" i="16"/>
  <c r="J383" i="16"/>
  <c r="I383" i="16"/>
  <c r="H383" i="16"/>
  <c r="G383" i="16"/>
  <c r="F383" i="16"/>
  <c r="E383" i="16"/>
  <c r="D383" i="16"/>
  <c r="C383" i="16"/>
  <c r="B383" i="16"/>
  <c r="R382" i="16"/>
  <c r="Q382" i="16"/>
  <c r="P382" i="16"/>
  <c r="O382" i="16"/>
  <c r="N382" i="16"/>
  <c r="M382" i="16"/>
  <c r="L382" i="16"/>
  <c r="K382" i="16"/>
  <c r="J382" i="16"/>
  <c r="I382" i="16"/>
  <c r="H382" i="16"/>
  <c r="G382" i="16"/>
  <c r="F382" i="16"/>
  <c r="E382" i="16"/>
  <c r="D382" i="16"/>
  <c r="C382" i="16"/>
  <c r="B382" i="16"/>
  <c r="R381" i="16"/>
  <c r="Q381" i="16"/>
  <c r="P381" i="16"/>
  <c r="O381" i="16"/>
  <c r="N381" i="16"/>
  <c r="M381" i="16"/>
  <c r="L381" i="16"/>
  <c r="K381" i="16"/>
  <c r="J381" i="16"/>
  <c r="I381" i="16"/>
  <c r="H381" i="16"/>
  <c r="G381" i="16"/>
  <c r="F381" i="16"/>
  <c r="E381" i="16"/>
  <c r="D381" i="16"/>
  <c r="C381" i="16"/>
  <c r="B381" i="16"/>
  <c r="R380" i="16"/>
  <c r="Q380" i="16"/>
  <c r="P380" i="16"/>
  <c r="O380" i="16"/>
  <c r="N380" i="16"/>
  <c r="M380" i="16"/>
  <c r="L380" i="16"/>
  <c r="K380" i="16"/>
  <c r="J380" i="16"/>
  <c r="I380" i="16"/>
  <c r="H380" i="16"/>
  <c r="G380" i="16"/>
  <c r="F380" i="16"/>
  <c r="E380" i="16"/>
  <c r="D380" i="16"/>
  <c r="C380" i="16"/>
  <c r="B380" i="16"/>
  <c r="R379" i="16"/>
  <c r="Q379" i="16"/>
  <c r="P379" i="16"/>
  <c r="O379" i="16"/>
  <c r="N379" i="16"/>
  <c r="M379" i="16"/>
  <c r="L379" i="16"/>
  <c r="K379" i="16"/>
  <c r="J379" i="16"/>
  <c r="I379" i="16"/>
  <c r="H379" i="16"/>
  <c r="G379" i="16"/>
  <c r="F379" i="16"/>
  <c r="E379" i="16"/>
  <c r="D379" i="16"/>
  <c r="C379" i="16"/>
  <c r="B379" i="16"/>
  <c r="R378" i="16"/>
  <c r="Q378" i="16"/>
  <c r="P378" i="16"/>
  <c r="O378" i="16"/>
  <c r="N378" i="16"/>
  <c r="M378" i="16"/>
  <c r="L378" i="16"/>
  <c r="K378" i="16"/>
  <c r="J378" i="16"/>
  <c r="I378" i="16"/>
  <c r="H378" i="16"/>
  <c r="G378" i="16"/>
  <c r="F378" i="16"/>
  <c r="E378" i="16"/>
  <c r="D378" i="16"/>
  <c r="C378" i="16"/>
  <c r="B378" i="16"/>
  <c r="R377" i="16"/>
  <c r="Q377" i="16"/>
  <c r="P377" i="16"/>
  <c r="O377" i="16"/>
  <c r="N377" i="16"/>
  <c r="M377" i="16"/>
  <c r="L377" i="16"/>
  <c r="K377" i="16"/>
  <c r="J377" i="16"/>
  <c r="I377" i="16"/>
  <c r="H377" i="16"/>
  <c r="G377" i="16"/>
  <c r="F377" i="16"/>
  <c r="E377" i="16"/>
  <c r="D377" i="16"/>
  <c r="C377" i="16"/>
  <c r="B377" i="16"/>
  <c r="R376" i="16"/>
  <c r="Q376" i="16"/>
  <c r="P376" i="16"/>
  <c r="O376" i="16"/>
  <c r="N376" i="16"/>
  <c r="M376" i="16"/>
  <c r="L376" i="16"/>
  <c r="K376" i="16"/>
  <c r="J376" i="16"/>
  <c r="I376" i="16"/>
  <c r="H376" i="16"/>
  <c r="G376" i="16"/>
  <c r="F376" i="16"/>
  <c r="E376" i="16"/>
  <c r="D376" i="16"/>
  <c r="C376" i="16"/>
  <c r="B376" i="16"/>
  <c r="R375" i="16"/>
  <c r="Q375" i="16"/>
  <c r="P375" i="16"/>
  <c r="O375" i="16"/>
  <c r="N375" i="16"/>
  <c r="M375" i="16"/>
  <c r="L375" i="16"/>
  <c r="K375" i="16"/>
  <c r="J375" i="16"/>
  <c r="I375" i="16"/>
  <c r="H375" i="16"/>
  <c r="G375" i="16"/>
  <c r="F375" i="16"/>
  <c r="E375" i="16"/>
  <c r="D375" i="16"/>
  <c r="C375" i="16"/>
  <c r="B375" i="16"/>
  <c r="R374" i="16"/>
  <c r="Q374" i="16"/>
  <c r="P374" i="16"/>
  <c r="O374" i="16"/>
  <c r="N374" i="16"/>
  <c r="M374" i="16"/>
  <c r="L374" i="16"/>
  <c r="K374" i="16"/>
  <c r="J374" i="16"/>
  <c r="I374" i="16"/>
  <c r="H374" i="16"/>
  <c r="G374" i="16"/>
  <c r="F374" i="16"/>
  <c r="E374" i="16"/>
  <c r="D374" i="16"/>
  <c r="C374" i="16"/>
  <c r="B374" i="16"/>
  <c r="R373" i="16"/>
  <c r="Q373" i="16"/>
  <c r="P373" i="16"/>
  <c r="O373" i="16"/>
  <c r="N373" i="16"/>
  <c r="M373" i="16"/>
  <c r="L373" i="16"/>
  <c r="K373" i="16"/>
  <c r="J373" i="16"/>
  <c r="I373" i="16"/>
  <c r="H373" i="16"/>
  <c r="G373" i="16"/>
  <c r="F373" i="16"/>
  <c r="E373" i="16"/>
  <c r="D373" i="16"/>
  <c r="C373" i="16"/>
  <c r="B373" i="16"/>
  <c r="R372" i="16"/>
  <c r="Q372" i="16"/>
  <c r="P372" i="16"/>
  <c r="O372" i="16"/>
  <c r="N372" i="16"/>
  <c r="M372" i="16"/>
  <c r="L372" i="16"/>
  <c r="K372" i="16"/>
  <c r="J372" i="16"/>
  <c r="I372" i="16"/>
  <c r="H372" i="16"/>
  <c r="G372" i="16"/>
  <c r="F372" i="16"/>
  <c r="E372" i="16"/>
  <c r="D372" i="16"/>
  <c r="C372" i="16"/>
  <c r="B372" i="16"/>
  <c r="R371" i="16"/>
  <c r="Q371" i="16"/>
  <c r="P371" i="16"/>
  <c r="O371" i="16"/>
  <c r="N371" i="16"/>
  <c r="M371" i="16"/>
  <c r="L371" i="16"/>
  <c r="K371" i="16"/>
  <c r="J371" i="16"/>
  <c r="I371" i="16"/>
  <c r="H371" i="16"/>
  <c r="G371" i="16"/>
  <c r="F371" i="16"/>
  <c r="E371" i="16"/>
  <c r="D371" i="16"/>
  <c r="C371" i="16"/>
  <c r="B371" i="16"/>
  <c r="R370" i="16"/>
  <c r="Q370" i="16"/>
  <c r="P370" i="16"/>
  <c r="O370" i="16"/>
  <c r="N370" i="16"/>
  <c r="M370" i="16"/>
  <c r="L370" i="16"/>
  <c r="K370" i="16"/>
  <c r="J370" i="16"/>
  <c r="I370" i="16"/>
  <c r="H370" i="16"/>
  <c r="G370" i="16"/>
  <c r="F370" i="16"/>
  <c r="E370" i="16"/>
  <c r="D370" i="16"/>
  <c r="C370" i="16"/>
  <c r="B370" i="16"/>
  <c r="R369" i="16"/>
  <c r="Q369" i="16"/>
  <c r="P369" i="16"/>
  <c r="O369" i="16"/>
  <c r="N369" i="16"/>
  <c r="M369" i="16"/>
  <c r="L369" i="16"/>
  <c r="K369" i="16"/>
  <c r="J369" i="16"/>
  <c r="I369" i="16"/>
  <c r="H369" i="16"/>
  <c r="G369" i="16"/>
  <c r="F369" i="16"/>
  <c r="E369" i="16"/>
  <c r="D369" i="16"/>
  <c r="C369" i="16"/>
  <c r="B369" i="16"/>
  <c r="R368" i="16"/>
  <c r="Q368" i="16"/>
  <c r="P368" i="16"/>
  <c r="O368" i="16"/>
  <c r="N368" i="16"/>
  <c r="M368" i="16"/>
  <c r="L368" i="16"/>
  <c r="K368" i="16"/>
  <c r="J368" i="16"/>
  <c r="I368" i="16"/>
  <c r="H368" i="16"/>
  <c r="G368" i="16"/>
  <c r="F368" i="16"/>
  <c r="E368" i="16"/>
  <c r="D368" i="16"/>
  <c r="C368" i="16"/>
  <c r="B368" i="16"/>
  <c r="R367" i="16"/>
  <c r="Q367" i="16"/>
  <c r="P367" i="16"/>
  <c r="O367" i="16"/>
  <c r="N367" i="16"/>
  <c r="M367" i="16"/>
  <c r="L367" i="16"/>
  <c r="K367" i="16"/>
  <c r="J367" i="16"/>
  <c r="I367" i="16"/>
  <c r="H367" i="16"/>
  <c r="G367" i="16"/>
  <c r="F367" i="16"/>
  <c r="E367" i="16"/>
  <c r="D367" i="16"/>
  <c r="C367" i="16"/>
  <c r="B367" i="16"/>
  <c r="R366" i="16"/>
  <c r="Q366" i="16"/>
  <c r="P366" i="16"/>
  <c r="O366" i="16"/>
  <c r="N366" i="16"/>
  <c r="M366" i="16"/>
  <c r="L366" i="16"/>
  <c r="K366" i="16"/>
  <c r="J366" i="16"/>
  <c r="I366" i="16"/>
  <c r="H366" i="16"/>
  <c r="G366" i="16"/>
  <c r="F366" i="16"/>
  <c r="E366" i="16"/>
  <c r="D366" i="16"/>
  <c r="C366" i="16"/>
  <c r="B366" i="16"/>
  <c r="R365" i="16"/>
  <c r="Q365" i="16"/>
  <c r="P365" i="16"/>
  <c r="O365" i="16"/>
  <c r="N365" i="16"/>
  <c r="M365" i="16"/>
  <c r="L365" i="16"/>
  <c r="K365" i="16"/>
  <c r="J365" i="16"/>
  <c r="I365" i="16"/>
  <c r="H365" i="16"/>
  <c r="G365" i="16"/>
  <c r="F365" i="16"/>
  <c r="E365" i="16"/>
  <c r="D365" i="16"/>
  <c r="C365" i="16"/>
  <c r="B365" i="16"/>
  <c r="R364" i="16"/>
  <c r="Q364" i="16"/>
  <c r="P364" i="16"/>
  <c r="O364" i="16"/>
  <c r="N364" i="16"/>
  <c r="M364" i="16"/>
  <c r="L364" i="16"/>
  <c r="K364" i="16"/>
  <c r="J364" i="16"/>
  <c r="I364" i="16"/>
  <c r="H364" i="16"/>
  <c r="G364" i="16"/>
  <c r="F364" i="16"/>
  <c r="E364" i="16"/>
  <c r="D364" i="16"/>
  <c r="C364" i="16"/>
  <c r="B364" i="16"/>
  <c r="R363" i="16"/>
  <c r="Q363" i="16"/>
  <c r="P363" i="16"/>
  <c r="O363" i="16"/>
  <c r="N363" i="16"/>
  <c r="M363" i="16"/>
  <c r="L363" i="16"/>
  <c r="K363" i="16"/>
  <c r="J363" i="16"/>
  <c r="I363" i="16"/>
  <c r="H363" i="16"/>
  <c r="G363" i="16"/>
  <c r="F363" i="16"/>
  <c r="E363" i="16"/>
  <c r="D363" i="16"/>
  <c r="C363" i="16"/>
  <c r="B363" i="16"/>
  <c r="R362" i="16"/>
  <c r="Q362" i="16"/>
  <c r="P362" i="16"/>
  <c r="O362" i="16"/>
  <c r="N362" i="16"/>
  <c r="M362" i="16"/>
  <c r="L362" i="16"/>
  <c r="K362" i="16"/>
  <c r="J362" i="16"/>
  <c r="I362" i="16"/>
  <c r="H362" i="16"/>
  <c r="G362" i="16"/>
  <c r="F362" i="16"/>
  <c r="E362" i="16"/>
  <c r="D362" i="16"/>
  <c r="C362" i="16"/>
  <c r="B362" i="16"/>
  <c r="R361" i="16"/>
  <c r="Q361" i="16"/>
  <c r="P361" i="16"/>
  <c r="O361" i="16"/>
  <c r="N361" i="16"/>
  <c r="M361" i="16"/>
  <c r="L361" i="16"/>
  <c r="K361" i="16"/>
  <c r="J361" i="16"/>
  <c r="I361" i="16"/>
  <c r="H361" i="16"/>
  <c r="G361" i="16"/>
  <c r="F361" i="16"/>
  <c r="E361" i="16"/>
  <c r="D361" i="16"/>
  <c r="C361" i="16"/>
  <c r="B361" i="16"/>
  <c r="R360" i="16"/>
  <c r="Q360" i="16"/>
  <c r="P360" i="16"/>
  <c r="O360" i="16"/>
  <c r="N360" i="16"/>
  <c r="M360" i="16"/>
  <c r="L360" i="16"/>
  <c r="K360" i="16"/>
  <c r="J360" i="16"/>
  <c r="I360" i="16"/>
  <c r="H360" i="16"/>
  <c r="G360" i="16"/>
  <c r="F360" i="16"/>
  <c r="E360" i="16"/>
  <c r="D360" i="16"/>
  <c r="C360" i="16"/>
  <c r="B360" i="16"/>
  <c r="R359" i="16"/>
  <c r="Q359" i="16"/>
  <c r="P359" i="16"/>
  <c r="O359" i="16"/>
  <c r="N359" i="16"/>
  <c r="M359" i="16"/>
  <c r="L359" i="16"/>
  <c r="K359" i="16"/>
  <c r="J359" i="16"/>
  <c r="I359" i="16"/>
  <c r="H359" i="16"/>
  <c r="G359" i="16"/>
  <c r="F359" i="16"/>
  <c r="E359" i="16"/>
  <c r="D359" i="16"/>
  <c r="C359" i="16"/>
  <c r="B359" i="16"/>
  <c r="R358" i="16"/>
  <c r="Q358" i="16"/>
  <c r="P358" i="16"/>
  <c r="O358" i="16"/>
  <c r="N358" i="16"/>
  <c r="M358" i="16"/>
  <c r="L358" i="16"/>
  <c r="K358" i="16"/>
  <c r="J358" i="16"/>
  <c r="I358" i="16"/>
  <c r="H358" i="16"/>
  <c r="G358" i="16"/>
  <c r="F358" i="16"/>
  <c r="E358" i="16"/>
  <c r="D358" i="16"/>
  <c r="C358" i="16"/>
  <c r="B358" i="16"/>
  <c r="R357" i="16"/>
  <c r="Q357" i="16"/>
  <c r="P357" i="16"/>
  <c r="O357" i="16"/>
  <c r="N357" i="16"/>
  <c r="M357" i="16"/>
  <c r="L357" i="16"/>
  <c r="K357" i="16"/>
  <c r="J357" i="16"/>
  <c r="I357" i="16"/>
  <c r="H357" i="16"/>
  <c r="G357" i="16"/>
  <c r="F357" i="16"/>
  <c r="E357" i="16"/>
  <c r="D357" i="16"/>
  <c r="C357" i="16"/>
  <c r="B357" i="16"/>
  <c r="R356" i="16"/>
  <c r="Q356" i="16"/>
  <c r="P356" i="16"/>
  <c r="O356" i="16"/>
  <c r="N356" i="16"/>
  <c r="M356" i="16"/>
  <c r="L356" i="16"/>
  <c r="K356" i="16"/>
  <c r="J356" i="16"/>
  <c r="I356" i="16"/>
  <c r="H356" i="16"/>
  <c r="G356" i="16"/>
  <c r="F356" i="16"/>
  <c r="E356" i="16"/>
  <c r="D356" i="16"/>
  <c r="C356" i="16"/>
  <c r="B356" i="16"/>
  <c r="R355" i="16"/>
  <c r="Q355" i="16"/>
  <c r="P355" i="16"/>
  <c r="O355" i="16"/>
  <c r="N355" i="16"/>
  <c r="M355" i="16"/>
  <c r="L355" i="16"/>
  <c r="K355" i="16"/>
  <c r="J355" i="16"/>
  <c r="I355" i="16"/>
  <c r="H355" i="16"/>
  <c r="G355" i="16"/>
  <c r="F355" i="16"/>
  <c r="E355" i="16"/>
  <c r="D355" i="16"/>
  <c r="C355" i="16"/>
  <c r="B355" i="16"/>
  <c r="R354" i="16"/>
  <c r="Q354" i="16"/>
  <c r="P354" i="16"/>
  <c r="O354" i="16"/>
  <c r="N354" i="16"/>
  <c r="M354" i="16"/>
  <c r="L354" i="16"/>
  <c r="K354" i="16"/>
  <c r="J354" i="16"/>
  <c r="I354" i="16"/>
  <c r="H354" i="16"/>
  <c r="G354" i="16"/>
  <c r="F354" i="16"/>
  <c r="E354" i="16"/>
  <c r="D354" i="16"/>
  <c r="C354" i="16"/>
  <c r="B354" i="16"/>
  <c r="R353" i="16"/>
  <c r="Q353" i="16"/>
  <c r="P353" i="16"/>
  <c r="O353" i="16"/>
  <c r="N353" i="16"/>
  <c r="M353" i="16"/>
  <c r="L353" i="16"/>
  <c r="K353" i="16"/>
  <c r="J353" i="16"/>
  <c r="I353" i="16"/>
  <c r="H353" i="16"/>
  <c r="G353" i="16"/>
  <c r="F353" i="16"/>
  <c r="E353" i="16"/>
  <c r="D353" i="16"/>
  <c r="C353" i="16"/>
  <c r="B353" i="16"/>
  <c r="R352" i="16"/>
  <c r="Q352" i="16"/>
  <c r="P352" i="16"/>
  <c r="O352" i="16"/>
  <c r="N352" i="16"/>
  <c r="M352" i="16"/>
  <c r="L352" i="16"/>
  <c r="K352" i="16"/>
  <c r="J352" i="16"/>
  <c r="I352" i="16"/>
  <c r="H352" i="16"/>
  <c r="G352" i="16"/>
  <c r="F352" i="16"/>
  <c r="E352" i="16"/>
  <c r="D352" i="16"/>
  <c r="C352" i="16"/>
  <c r="B352" i="16"/>
  <c r="R351" i="16"/>
  <c r="Q351" i="16"/>
  <c r="P351" i="16"/>
  <c r="O351" i="16"/>
  <c r="N351" i="16"/>
  <c r="M351" i="16"/>
  <c r="L351" i="16"/>
  <c r="K351" i="16"/>
  <c r="J351" i="16"/>
  <c r="I351" i="16"/>
  <c r="H351" i="16"/>
  <c r="G351" i="16"/>
  <c r="F351" i="16"/>
  <c r="E351" i="16"/>
  <c r="D351" i="16"/>
  <c r="C351" i="16"/>
  <c r="B351" i="16"/>
  <c r="R350" i="16"/>
  <c r="Q350" i="16"/>
  <c r="P350" i="16"/>
  <c r="O350" i="16"/>
  <c r="N350" i="16"/>
  <c r="M350" i="16"/>
  <c r="L350" i="16"/>
  <c r="K350" i="16"/>
  <c r="J350" i="16"/>
  <c r="I350" i="16"/>
  <c r="H350" i="16"/>
  <c r="G350" i="16"/>
  <c r="F350" i="16"/>
  <c r="E350" i="16"/>
  <c r="D350" i="16"/>
  <c r="C350" i="16"/>
  <c r="B350" i="16"/>
  <c r="R349" i="16"/>
  <c r="Q349" i="16"/>
  <c r="P349" i="16"/>
  <c r="O349" i="16"/>
  <c r="N349" i="16"/>
  <c r="M349" i="16"/>
  <c r="L349" i="16"/>
  <c r="K349" i="16"/>
  <c r="J349" i="16"/>
  <c r="I349" i="16"/>
  <c r="H349" i="16"/>
  <c r="G349" i="16"/>
  <c r="F349" i="16"/>
  <c r="E349" i="16"/>
  <c r="D349" i="16"/>
  <c r="C349" i="16"/>
  <c r="B349" i="16"/>
  <c r="R348" i="16"/>
  <c r="Q348" i="16"/>
  <c r="P348" i="16"/>
  <c r="O348" i="16"/>
  <c r="N348" i="16"/>
  <c r="M348" i="16"/>
  <c r="L348" i="16"/>
  <c r="K348" i="16"/>
  <c r="J348" i="16"/>
  <c r="I348" i="16"/>
  <c r="H348" i="16"/>
  <c r="G348" i="16"/>
  <c r="F348" i="16"/>
  <c r="E348" i="16"/>
  <c r="D348" i="16"/>
  <c r="C348" i="16"/>
  <c r="B348" i="16"/>
  <c r="R347" i="16"/>
  <c r="Q347" i="16"/>
  <c r="P347" i="16"/>
  <c r="O347" i="16"/>
  <c r="N347" i="16"/>
  <c r="M347" i="16"/>
  <c r="L347" i="16"/>
  <c r="K347" i="16"/>
  <c r="J347" i="16"/>
  <c r="I347" i="16"/>
  <c r="H347" i="16"/>
  <c r="G347" i="16"/>
  <c r="F347" i="16"/>
  <c r="E347" i="16"/>
  <c r="D347" i="16"/>
  <c r="C347" i="16"/>
  <c r="B347" i="16"/>
  <c r="R346" i="16"/>
  <c r="Q346" i="16"/>
  <c r="P346" i="16"/>
  <c r="O346" i="16"/>
  <c r="N346" i="16"/>
  <c r="M346" i="16"/>
  <c r="L346" i="16"/>
  <c r="K346" i="16"/>
  <c r="J346" i="16"/>
  <c r="I346" i="16"/>
  <c r="H346" i="16"/>
  <c r="G346" i="16"/>
  <c r="F346" i="16"/>
  <c r="E346" i="16"/>
  <c r="D346" i="16"/>
  <c r="C346" i="16"/>
  <c r="B346" i="16"/>
  <c r="R345" i="16"/>
  <c r="Q345" i="16"/>
  <c r="P345" i="16"/>
  <c r="O345" i="16"/>
  <c r="N345" i="16"/>
  <c r="M345" i="16"/>
  <c r="L345" i="16"/>
  <c r="K345" i="16"/>
  <c r="J345" i="16"/>
  <c r="I345" i="16"/>
  <c r="H345" i="16"/>
  <c r="G345" i="16"/>
  <c r="F345" i="16"/>
  <c r="E345" i="16"/>
  <c r="D345" i="16"/>
  <c r="C345" i="16"/>
  <c r="B345" i="16"/>
  <c r="R344" i="16"/>
  <c r="Q344" i="16"/>
  <c r="P344" i="16"/>
  <c r="O344" i="16"/>
  <c r="N344" i="16"/>
  <c r="M344" i="16"/>
  <c r="L344" i="16"/>
  <c r="K344" i="16"/>
  <c r="J344" i="16"/>
  <c r="I344" i="16"/>
  <c r="H344" i="16"/>
  <c r="G344" i="16"/>
  <c r="F344" i="16"/>
  <c r="E344" i="16"/>
  <c r="D344" i="16"/>
  <c r="C344" i="16"/>
  <c r="B344" i="16"/>
  <c r="R343" i="16"/>
  <c r="Q343" i="16"/>
  <c r="P343" i="16"/>
  <c r="O343" i="16"/>
  <c r="N343" i="16"/>
  <c r="M343" i="16"/>
  <c r="L343" i="16"/>
  <c r="K343" i="16"/>
  <c r="J343" i="16"/>
  <c r="I343" i="16"/>
  <c r="H343" i="16"/>
  <c r="G343" i="16"/>
  <c r="F343" i="16"/>
  <c r="E343" i="16"/>
  <c r="D343" i="16"/>
  <c r="C343" i="16"/>
  <c r="B343" i="16"/>
  <c r="R342" i="16"/>
  <c r="Q342" i="16"/>
  <c r="P342" i="16"/>
  <c r="O342" i="16"/>
  <c r="N342" i="16"/>
  <c r="M342" i="16"/>
  <c r="L342" i="16"/>
  <c r="K342" i="16"/>
  <c r="J342" i="16"/>
  <c r="I342" i="16"/>
  <c r="H342" i="16"/>
  <c r="G342" i="16"/>
  <c r="F342" i="16"/>
  <c r="E342" i="16"/>
  <c r="D342" i="16"/>
  <c r="C342" i="16"/>
  <c r="B342" i="16"/>
  <c r="R341" i="16"/>
  <c r="Q341" i="16"/>
  <c r="P341" i="16"/>
  <c r="O341" i="16"/>
  <c r="N341" i="16"/>
  <c r="M341" i="16"/>
  <c r="L341" i="16"/>
  <c r="K341" i="16"/>
  <c r="J341" i="16"/>
  <c r="I341" i="16"/>
  <c r="H341" i="16"/>
  <c r="G341" i="16"/>
  <c r="F341" i="16"/>
  <c r="E341" i="16"/>
  <c r="D341" i="16"/>
  <c r="C341" i="16"/>
  <c r="B341" i="16"/>
  <c r="R340" i="16"/>
  <c r="Q340" i="16"/>
  <c r="P340" i="16"/>
  <c r="O340" i="16"/>
  <c r="N340" i="16"/>
  <c r="M340" i="16"/>
  <c r="L340" i="16"/>
  <c r="K340" i="16"/>
  <c r="J340" i="16"/>
  <c r="I340" i="16"/>
  <c r="H340" i="16"/>
  <c r="G340" i="16"/>
  <c r="F340" i="16"/>
  <c r="E340" i="16"/>
  <c r="D340" i="16"/>
  <c r="C340" i="16"/>
  <c r="B340" i="16"/>
  <c r="R339" i="16"/>
  <c r="Q339" i="16"/>
  <c r="P339" i="16"/>
  <c r="O339" i="16"/>
  <c r="N339" i="16"/>
  <c r="M339" i="16"/>
  <c r="L339" i="16"/>
  <c r="K339" i="16"/>
  <c r="J339" i="16"/>
  <c r="I339" i="16"/>
  <c r="H339" i="16"/>
  <c r="G339" i="16"/>
  <c r="F339" i="16"/>
  <c r="E339" i="16"/>
  <c r="D339" i="16"/>
  <c r="C339" i="16"/>
  <c r="B339" i="16"/>
  <c r="R338" i="16"/>
  <c r="Q338" i="16"/>
  <c r="P338" i="16"/>
  <c r="O338" i="16"/>
  <c r="N338" i="16"/>
  <c r="M338" i="16"/>
  <c r="L338" i="16"/>
  <c r="K338" i="16"/>
  <c r="J338" i="16"/>
  <c r="I338" i="16"/>
  <c r="H338" i="16"/>
  <c r="G338" i="16"/>
  <c r="F338" i="16"/>
  <c r="E338" i="16"/>
  <c r="D338" i="16"/>
  <c r="C338" i="16"/>
  <c r="B338" i="16"/>
  <c r="R337" i="16"/>
  <c r="Q337" i="16"/>
  <c r="P337" i="16"/>
  <c r="O337" i="16"/>
  <c r="N337" i="16"/>
  <c r="M337" i="16"/>
  <c r="L337" i="16"/>
  <c r="K337" i="16"/>
  <c r="J337" i="16"/>
  <c r="I337" i="16"/>
  <c r="H337" i="16"/>
  <c r="G337" i="16"/>
  <c r="F337" i="16"/>
  <c r="E337" i="16"/>
  <c r="D337" i="16"/>
  <c r="C337" i="16"/>
  <c r="B337" i="16"/>
  <c r="R336" i="16"/>
  <c r="Q336" i="16"/>
  <c r="P336" i="16"/>
  <c r="O336" i="16"/>
  <c r="N336" i="16"/>
  <c r="M336" i="16"/>
  <c r="L336" i="16"/>
  <c r="K336" i="16"/>
  <c r="J336" i="16"/>
  <c r="I336" i="16"/>
  <c r="H336" i="16"/>
  <c r="G336" i="16"/>
  <c r="F336" i="16"/>
  <c r="E336" i="16"/>
  <c r="D336" i="16"/>
  <c r="C336" i="16"/>
  <c r="B336" i="16"/>
  <c r="R335" i="16"/>
  <c r="Q335" i="16"/>
  <c r="P335" i="16"/>
  <c r="O335" i="16"/>
  <c r="N335" i="16"/>
  <c r="M335" i="16"/>
  <c r="L335" i="16"/>
  <c r="K335" i="16"/>
  <c r="J335" i="16"/>
  <c r="I335" i="16"/>
  <c r="H335" i="16"/>
  <c r="G335" i="16"/>
  <c r="F335" i="16"/>
  <c r="E335" i="16"/>
  <c r="D335" i="16"/>
  <c r="C335" i="16"/>
  <c r="B335" i="16"/>
  <c r="R334" i="16"/>
  <c r="Q334" i="16"/>
  <c r="P334" i="16"/>
  <c r="O334" i="16"/>
  <c r="N334" i="16"/>
  <c r="M334" i="16"/>
  <c r="L334" i="16"/>
  <c r="K334" i="16"/>
  <c r="J334" i="16"/>
  <c r="I334" i="16"/>
  <c r="H334" i="16"/>
  <c r="G334" i="16"/>
  <c r="F334" i="16"/>
  <c r="E334" i="16"/>
  <c r="D334" i="16"/>
  <c r="C334" i="16"/>
  <c r="B334" i="16"/>
  <c r="R333" i="16"/>
  <c r="Q333" i="16"/>
  <c r="P333" i="16"/>
  <c r="O333" i="16"/>
  <c r="N333" i="16"/>
  <c r="M333" i="16"/>
  <c r="L333" i="16"/>
  <c r="K333" i="16"/>
  <c r="J333" i="16"/>
  <c r="I333" i="16"/>
  <c r="H333" i="16"/>
  <c r="G333" i="16"/>
  <c r="F333" i="16"/>
  <c r="E333" i="16"/>
  <c r="D333" i="16"/>
  <c r="C333" i="16"/>
  <c r="B333" i="16"/>
  <c r="R332" i="16"/>
  <c r="Q332" i="16"/>
  <c r="P332" i="16"/>
  <c r="O332" i="16"/>
  <c r="N332" i="16"/>
  <c r="M332" i="16"/>
  <c r="L332" i="16"/>
  <c r="K332" i="16"/>
  <c r="J332" i="16"/>
  <c r="I332" i="16"/>
  <c r="H332" i="16"/>
  <c r="G332" i="16"/>
  <c r="F332" i="16"/>
  <c r="E332" i="16"/>
  <c r="D332" i="16"/>
  <c r="C332" i="16"/>
  <c r="B332" i="16"/>
  <c r="R331" i="16"/>
  <c r="Q331" i="16"/>
  <c r="P331" i="16"/>
  <c r="O331" i="16"/>
  <c r="N331" i="16"/>
  <c r="M331" i="16"/>
  <c r="L331" i="16"/>
  <c r="K331" i="16"/>
  <c r="J331" i="16"/>
  <c r="I331" i="16"/>
  <c r="H331" i="16"/>
  <c r="G331" i="16"/>
  <c r="F331" i="16"/>
  <c r="E331" i="16"/>
  <c r="D331" i="16"/>
  <c r="C331" i="16"/>
  <c r="B331" i="16"/>
  <c r="R330" i="16"/>
  <c r="Q330" i="16"/>
  <c r="P330" i="16"/>
  <c r="O330" i="16"/>
  <c r="N330" i="16"/>
  <c r="M330" i="16"/>
  <c r="L330" i="16"/>
  <c r="K330" i="16"/>
  <c r="J330" i="16"/>
  <c r="I330" i="16"/>
  <c r="H330" i="16"/>
  <c r="G330" i="16"/>
  <c r="F330" i="16"/>
  <c r="E330" i="16"/>
  <c r="D330" i="16"/>
  <c r="C330" i="16"/>
  <c r="B330" i="16"/>
  <c r="R329" i="16"/>
  <c r="Q329" i="16"/>
  <c r="P329" i="16"/>
  <c r="O329" i="16"/>
  <c r="N329" i="16"/>
  <c r="M329" i="16"/>
  <c r="L329" i="16"/>
  <c r="K329" i="16"/>
  <c r="J329" i="16"/>
  <c r="I329" i="16"/>
  <c r="H329" i="16"/>
  <c r="G329" i="16"/>
  <c r="F329" i="16"/>
  <c r="E329" i="16"/>
  <c r="D329" i="16"/>
  <c r="C329" i="16"/>
  <c r="B329" i="16"/>
  <c r="R328" i="16"/>
  <c r="Q328" i="16"/>
  <c r="P328" i="16"/>
  <c r="O328" i="16"/>
  <c r="N328" i="16"/>
  <c r="M328" i="16"/>
  <c r="L328" i="16"/>
  <c r="K328" i="16"/>
  <c r="J328" i="16"/>
  <c r="I328" i="16"/>
  <c r="H328" i="16"/>
  <c r="G328" i="16"/>
  <c r="F328" i="16"/>
  <c r="E328" i="16"/>
  <c r="D328" i="16"/>
  <c r="C328" i="16"/>
  <c r="B328" i="16"/>
  <c r="R327" i="16"/>
  <c r="Q327" i="16"/>
  <c r="P327" i="16"/>
  <c r="O327" i="16"/>
  <c r="N327" i="16"/>
  <c r="M327" i="16"/>
  <c r="L327" i="16"/>
  <c r="K327" i="16"/>
  <c r="J327" i="16"/>
  <c r="I327" i="16"/>
  <c r="H327" i="16"/>
  <c r="G327" i="16"/>
  <c r="F327" i="16"/>
  <c r="E327" i="16"/>
  <c r="D327" i="16"/>
  <c r="C327" i="16"/>
  <c r="B327" i="16"/>
  <c r="R326" i="16"/>
  <c r="Q326" i="16"/>
  <c r="P326" i="16"/>
  <c r="O326" i="16"/>
  <c r="N326" i="16"/>
  <c r="M326" i="16"/>
  <c r="L326" i="16"/>
  <c r="K326" i="16"/>
  <c r="J326" i="16"/>
  <c r="I326" i="16"/>
  <c r="H326" i="16"/>
  <c r="G326" i="16"/>
  <c r="F326" i="16"/>
  <c r="E326" i="16"/>
  <c r="D326" i="16"/>
  <c r="C326" i="16"/>
  <c r="B326" i="16"/>
  <c r="R325" i="16"/>
  <c r="Q325" i="16"/>
  <c r="P325" i="16"/>
  <c r="O325" i="16"/>
  <c r="N325" i="16"/>
  <c r="M325" i="16"/>
  <c r="L325" i="16"/>
  <c r="K325" i="16"/>
  <c r="J325" i="16"/>
  <c r="I325" i="16"/>
  <c r="H325" i="16"/>
  <c r="G325" i="16"/>
  <c r="F325" i="16"/>
  <c r="E325" i="16"/>
  <c r="D325" i="16"/>
  <c r="C325" i="16"/>
  <c r="B325" i="16"/>
  <c r="R324" i="16"/>
  <c r="Q324" i="16"/>
  <c r="P324" i="16"/>
  <c r="O324" i="16"/>
  <c r="N324" i="16"/>
  <c r="M324" i="16"/>
  <c r="L324" i="16"/>
  <c r="K324" i="16"/>
  <c r="J324" i="16"/>
  <c r="I324" i="16"/>
  <c r="H324" i="16"/>
  <c r="G324" i="16"/>
  <c r="F324" i="16"/>
  <c r="E324" i="16"/>
  <c r="D324" i="16"/>
  <c r="C324" i="16"/>
  <c r="B324" i="16"/>
  <c r="R323" i="16"/>
  <c r="Q323" i="16"/>
  <c r="P323" i="16"/>
  <c r="O323" i="16"/>
  <c r="N323" i="16"/>
  <c r="M323" i="16"/>
  <c r="L323" i="16"/>
  <c r="K323" i="16"/>
  <c r="J323" i="16"/>
  <c r="I323" i="16"/>
  <c r="H323" i="16"/>
  <c r="G323" i="16"/>
  <c r="F323" i="16"/>
  <c r="E323" i="16"/>
  <c r="D323" i="16"/>
  <c r="C323" i="16"/>
  <c r="B323" i="16"/>
  <c r="R322" i="16"/>
  <c r="Q322" i="16"/>
  <c r="P322" i="16"/>
  <c r="O322" i="16"/>
  <c r="N322" i="16"/>
  <c r="M322" i="16"/>
  <c r="L322" i="16"/>
  <c r="K322" i="16"/>
  <c r="J322" i="16"/>
  <c r="I322" i="16"/>
  <c r="H322" i="16"/>
  <c r="G322" i="16"/>
  <c r="F322" i="16"/>
  <c r="E322" i="16"/>
  <c r="D322" i="16"/>
  <c r="C322" i="16"/>
  <c r="B322" i="16"/>
  <c r="R321" i="16"/>
  <c r="Q321" i="16"/>
  <c r="P321" i="16"/>
  <c r="O321" i="16"/>
  <c r="N321" i="16"/>
  <c r="M321" i="16"/>
  <c r="L321" i="16"/>
  <c r="K321" i="16"/>
  <c r="J321" i="16"/>
  <c r="I321" i="16"/>
  <c r="H321" i="16"/>
  <c r="G321" i="16"/>
  <c r="F321" i="16"/>
  <c r="E321" i="16"/>
  <c r="D321" i="16"/>
  <c r="C321" i="16"/>
  <c r="B321" i="16"/>
  <c r="R320" i="16"/>
  <c r="Q320" i="16"/>
  <c r="P320" i="16"/>
  <c r="O320" i="16"/>
  <c r="N320" i="16"/>
  <c r="M320" i="16"/>
  <c r="L320" i="16"/>
  <c r="K320" i="16"/>
  <c r="J320" i="16"/>
  <c r="I320" i="16"/>
  <c r="H320" i="16"/>
  <c r="G320" i="16"/>
  <c r="F320" i="16"/>
  <c r="E320" i="16"/>
  <c r="D320" i="16"/>
  <c r="C320" i="16"/>
  <c r="B320" i="16"/>
  <c r="R319" i="16"/>
  <c r="Q319" i="16"/>
  <c r="P319" i="16"/>
  <c r="O319" i="16"/>
  <c r="N319" i="16"/>
  <c r="M319" i="16"/>
  <c r="L319" i="16"/>
  <c r="K319" i="16"/>
  <c r="J319" i="16"/>
  <c r="I319" i="16"/>
  <c r="H319" i="16"/>
  <c r="G319" i="16"/>
  <c r="F319" i="16"/>
  <c r="E319" i="16"/>
  <c r="D319" i="16"/>
  <c r="C319" i="16"/>
  <c r="B319" i="16"/>
  <c r="R318" i="16"/>
  <c r="Q318" i="16"/>
  <c r="P318" i="16"/>
  <c r="O318" i="16"/>
  <c r="N318" i="16"/>
  <c r="M318" i="16"/>
  <c r="L318" i="16"/>
  <c r="K318" i="16"/>
  <c r="J318" i="16"/>
  <c r="I318" i="16"/>
  <c r="H318" i="16"/>
  <c r="G318" i="16"/>
  <c r="F318" i="16"/>
  <c r="E318" i="16"/>
  <c r="D318" i="16"/>
  <c r="C318" i="16"/>
  <c r="B318" i="16"/>
  <c r="R317" i="16"/>
  <c r="Q317" i="16"/>
  <c r="P317" i="16"/>
  <c r="O317" i="16"/>
  <c r="N317" i="16"/>
  <c r="M317" i="16"/>
  <c r="L317" i="16"/>
  <c r="K317" i="16"/>
  <c r="J317" i="16"/>
  <c r="I317" i="16"/>
  <c r="H317" i="16"/>
  <c r="G317" i="16"/>
  <c r="F317" i="16"/>
  <c r="E317" i="16"/>
  <c r="D317" i="16"/>
  <c r="C317" i="16"/>
  <c r="B317" i="16"/>
  <c r="R316" i="16"/>
  <c r="Q316" i="16"/>
  <c r="P316" i="16"/>
  <c r="O316" i="16"/>
  <c r="N316" i="16"/>
  <c r="M316" i="16"/>
  <c r="L316" i="16"/>
  <c r="K316" i="16"/>
  <c r="J316" i="16"/>
  <c r="I316" i="16"/>
  <c r="H316" i="16"/>
  <c r="G316" i="16"/>
  <c r="F316" i="16"/>
  <c r="E316" i="16"/>
  <c r="D316" i="16"/>
  <c r="C316" i="16"/>
  <c r="B316" i="16"/>
  <c r="R315" i="16"/>
  <c r="Q315" i="16"/>
  <c r="P315" i="16"/>
  <c r="O315" i="16"/>
  <c r="N315" i="16"/>
  <c r="M315" i="16"/>
  <c r="L315" i="16"/>
  <c r="K315" i="16"/>
  <c r="J315" i="16"/>
  <c r="I315" i="16"/>
  <c r="H315" i="16"/>
  <c r="G315" i="16"/>
  <c r="F315" i="16"/>
  <c r="E315" i="16"/>
  <c r="D315" i="16"/>
  <c r="C315" i="16"/>
  <c r="B315" i="16"/>
  <c r="R314" i="16"/>
  <c r="Q314" i="16"/>
  <c r="P314" i="16"/>
  <c r="O314" i="16"/>
  <c r="N314" i="16"/>
  <c r="M314" i="16"/>
  <c r="L314" i="16"/>
  <c r="K314" i="16"/>
  <c r="J314" i="16"/>
  <c r="I314" i="16"/>
  <c r="H314" i="16"/>
  <c r="G314" i="16"/>
  <c r="F314" i="16"/>
  <c r="E314" i="16"/>
  <c r="D314" i="16"/>
  <c r="C314" i="16"/>
  <c r="B314" i="16"/>
  <c r="R313" i="16"/>
  <c r="Q313" i="16"/>
  <c r="P313" i="16"/>
  <c r="O313" i="16"/>
  <c r="N313" i="16"/>
  <c r="M313" i="16"/>
  <c r="L313" i="16"/>
  <c r="K313" i="16"/>
  <c r="J313" i="16"/>
  <c r="I313" i="16"/>
  <c r="H313" i="16"/>
  <c r="G313" i="16"/>
  <c r="F313" i="16"/>
  <c r="E313" i="16"/>
  <c r="D313" i="16"/>
  <c r="C313" i="16"/>
  <c r="B313" i="16"/>
  <c r="R312" i="16"/>
  <c r="Q312" i="16"/>
  <c r="P312" i="16"/>
  <c r="O312" i="16"/>
  <c r="N312" i="16"/>
  <c r="M312" i="16"/>
  <c r="L312" i="16"/>
  <c r="K312" i="16"/>
  <c r="J312" i="16"/>
  <c r="I312" i="16"/>
  <c r="H312" i="16"/>
  <c r="G312" i="16"/>
  <c r="F312" i="16"/>
  <c r="E312" i="16"/>
  <c r="D312" i="16"/>
  <c r="C312" i="16"/>
  <c r="B312" i="16"/>
  <c r="R311" i="16"/>
  <c r="Q311" i="16"/>
  <c r="P311" i="16"/>
  <c r="O311" i="16"/>
  <c r="N311" i="16"/>
  <c r="M311" i="16"/>
  <c r="L311" i="16"/>
  <c r="K311" i="16"/>
  <c r="J311" i="16"/>
  <c r="I311" i="16"/>
  <c r="H311" i="16"/>
  <c r="G311" i="16"/>
  <c r="F311" i="16"/>
  <c r="E311" i="16"/>
  <c r="D311" i="16"/>
  <c r="C311" i="16"/>
  <c r="B311" i="16"/>
  <c r="R310" i="16"/>
  <c r="Q310" i="16"/>
  <c r="P310" i="16"/>
  <c r="O310" i="16"/>
  <c r="N310" i="16"/>
  <c r="M310" i="16"/>
  <c r="L310" i="16"/>
  <c r="K310" i="16"/>
  <c r="J310" i="16"/>
  <c r="I310" i="16"/>
  <c r="H310" i="16"/>
  <c r="G310" i="16"/>
  <c r="F310" i="16"/>
  <c r="E310" i="16"/>
  <c r="D310" i="16"/>
  <c r="C310" i="16"/>
  <c r="B310" i="16"/>
  <c r="R309" i="16"/>
  <c r="Q309" i="16"/>
  <c r="P309" i="16"/>
  <c r="O309" i="16"/>
  <c r="N309" i="16"/>
  <c r="M309" i="16"/>
  <c r="L309" i="16"/>
  <c r="K309" i="16"/>
  <c r="J309" i="16"/>
  <c r="I309" i="16"/>
  <c r="H309" i="16"/>
  <c r="G309" i="16"/>
  <c r="F309" i="16"/>
  <c r="E309" i="16"/>
  <c r="D309" i="16"/>
  <c r="C309" i="16"/>
  <c r="B309" i="16"/>
  <c r="R308" i="16"/>
  <c r="Q308" i="16"/>
  <c r="P308" i="16"/>
  <c r="O308" i="16"/>
  <c r="N308" i="16"/>
  <c r="M308" i="16"/>
  <c r="L308" i="16"/>
  <c r="K308" i="16"/>
  <c r="J308" i="16"/>
  <c r="I308" i="16"/>
  <c r="H308" i="16"/>
  <c r="G308" i="16"/>
  <c r="F308" i="16"/>
  <c r="E308" i="16"/>
  <c r="D308" i="16"/>
  <c r="C308" i="16"/>
  <c r="B308" i="16"/>
  <c r="R307" i="16"/>
  <c r="Q307" i="16"/>
  <c r="P307" i="16"/>
  <c r="O307" i="16"/>
  <c r="N307" i="16"/>
  <c r="M307" i="16"/>
  <c r="L307" i="16"/>
  <c r="K307" i="16"/>
  <c r="J307" i="16"/>
  <c r="I307" i="16"/>
  <c r="H307" i="16"/>
  <c r="G307" i="16"/>
  <c r="F307" i="16"/>
  <c r="E307" i="16"/>
  <c r="D307" i="16"/>
  <c r="C307" i="16"/>
  <c r="B307" i="16"/>
  <c r="R306" i="16"/>
  <c r="Q306" i="16"/>
  <c r="P306" i="16"/>
  <c r="O306" i="16"/>
  <c r="N306" i="16"/>
  <c r="M306" i="16"/>
  <c r="L306" i="16"/>
  <c r="K306" i="16"/>
  <c r="J306" i="16"/>
  <c r="I306" i="16"/>
  <c r="H306" i="16"/>
  <c r="G306" i="16"/>
  <c r="F306" i="16"/>
  <c r="E306" i="16"/>
  <c r="D306" i="16"/>
  <c r="C306" i="16"/>
  <c r="B306" i="16"/>
  <c r="R305" i="16"/>
  <c r="Q305" i="16"/>
  <c r="P305" i="16"/>
  <c r="O305" i="16"/>
  <c r="N305" i="16"/>
  <c r="M305" i="16"/>
  <c r="L305" i="16"/>
  <c r="K305" i="16"/>
  <c r="J305" i="16"/>
  <c r="I305" i="16"/>
  <c r="H305" i="16"/>
  <c r="G305" i="16"/>
  <c r="F305" i="16"/>
  <c r="E305" i="16"/>
  <c r="D305" i="16"/>
  <c r="C305" i="16"/>
  <c r="B305" i="16"/>
  <c r="R304" i="16"/>
  <c r="Q304" i="16"/>
  <c r="P304" i="16"/>
  <c r="O304" i="16"/>
  <c r="N304" i="16"/>
  <c r="M304" i="16"/>
  <c r="L304" i="16"/>
  <c r="K304" i="16"/>
  <c r="J304" i="16"/>
  <c r="I304" i="16"/>
  <c r="H304" i="16"/>
  <c r="G304" i="16"/>
  <c r="F304" i="16"/>
  <c r="E304" i="16"/>
  <c r="D304" i="16"/>
  <c r="C304" i="16"/>
  <c r="B304" i="16"/>
  <c r="R303" i="16"/>
  <c r="Q303" i="16"/>
  <c r="P303" i="16"/>
  <c r="O303" i="16"/>
  <c r="N303" i="16"/>
  <c r="M303" i="16"/>
  <c r="L303" i="16"/>
  <c r="K303" i="16"/>
  <c r="J303" i="16"/>
  <c r="I303" i="16"/>
  <c r="H303" i="16"/>
  <c r="G303" i="16"/>
  <c r="F303" i="16"/>
  <c r="E303" i="16"/>
  <c r="D303" i="16"/>
  <c r="C303" i="16"/>
  <c r="B303" i="16"/>
  <c r="R302" i="16"/>
  <c r="Q302" i="16"/>
  <c r="P302" i="16"/>
  <c r="O302" i="16"/>
  <c r="N302" i="16"/>
  <c r="M302" i="16"/>
  <c r="L302" i="16"/>
  <c r="K302" i="16"/>
  <c r="J302" i="16"/>
  <c r="I302" i="16"/>
  <c r="H302" i="16"/>
  <c r="G302" i="16"/>
  <c r="F302" i="16"/>
  <c r="E302" i="16"/>
  <c r="D302" i="16"/>
  <c r="C302" i="16"/>
  <c r="B302" i="16"/>
  <c r="R301" i="16"/>
  <c r="Q301" i="16"/>
  <c r="P301" i="16"/>
  <c r="O301" i="16"/>
  <c r="N301" i="16"/>
  <c r="M301" i="16"/>
  <c r="L301" i="16"/>
  <c r="K301" i="16"/>
  <c r="J301" i="16"/>
  <c r="I301" i="16"/>
  <c r="H301" i="16"/>
  <c r="G301" i="16"/>
  <c r="F301" i="16"/>
  <c r="E301" i="16"/>
  <c r="D301" i="16"/>
  <c r="C301" i="16"/>
  <c r="B301" i="16"/>
  <c r="R300" i="16"/>
  <c r="Q300" i="16"/>
  <c r="P300" i="16"/>
  <c r="O300" i="16"/>
  <c r="N300" i="16"/>
  <c r="M300" i="16"/>
  <c r="L300" i="16"/>
  <c r="K300" i="16"/>
  <c r="J300" i="16"/>
  <c r="I300" i="16"/>
  <c r="H300" i="16"/>
  <c r="G300" i="16"/>
  <c r="F300" i="16"/>
  <c r="E300" i="16"/>
  <c r="D300" i="16"/>
  <c r="C300" i="16"/>
  <c r="B300" i="16"/>
  <c r="R299" i="16"/>
  <c r="Q299" i="16"/>
  <c r="P299" i="16"/>
  <c r="O299" i="16"/>
  <c r="N299" i="16"/>
  <c r="M299" i="16"/>
  <c r="L299" i="16"/>
  <c r="K299" i="16"/>
  <c r="J299" i="16"/>
  <c r="I299" i="16"/>
  <c r="H299" i="16"/>
  <c r="G299" i="16"/>
  <c r="F299" i="16"/>
  <c r="E299" i="16"/>
  <c r="D299" i="16"/>
  <c r="C299" i="16"/>
  <c r="B299" i="16"/>
  <c r="R298" i="16"/>
  <c r="Q298" i="16"/>
  <c r="P298" i="16"/>
  <c r="O298" i="16"/>
  <c r="N298" i="16"/>
  <c r="M298" i="16"/>
  <c r="L298" i="16"/>
  <c r="K298" i="16"/>
  <c r="J298" i="16"/>
  <c r="I298" i="16"/>
  <c r="H298" i="16"/>
  <c r="G298" i="16"/>
  <c r="F298" i="16"/>
  <c r="E298" i="16"/>
  <c r="D298" i="16"/>
  <c r="C298" i="16"/>
  <c r="B298" i="16"/>
  <c r="R297" i="16"/>
  <c r="Q297" i="16"/>
  <c r="P297" i="16"/>
  <c r="O297" i="16"/>
  <c r="N297" i="16"/>
  <c r="M297" i="16"/>
  <c r="L297" i="16"/>
  <c r="K297" i="16"/>
  <c r="J297" i="16"/>
  <c r="I297" i="16"/>
  <c r="H297" i="16"/>
  <c r="G297" i="16"/>
  <c r="F297" i="16"/>
  <c r="E297" i="16"/>
  <c r="D297" i="16"/>
  <c r="C297" i="16"/>
  <c r="B297" i="16"/>
  <c r="R296" i="16"/>
  <c r="Q296" i="16"/>
  <c r="P296" i="16"/>
  <c r="O296" i="16"/>
  <c r="N296" i="16"/>
  <c r="M296" i="16"/>
  <c r="L296" i="16"/>
  <c r="K296" i="16"/>
  <c r="J296" i="16"/>
  <c r="I296" i="16"/>
  <c r="H296" i="16"/>
  <c r="G296" i="16"/>
  <c r="F296" i="16"/>
  <c r="E296" i="16"/>
  <c r="D296" i="16"/>
  <c r="C296" i="16"/>
  <c r="B296" i="16"/>
  <c r="R295" i="16"/>
  <c r="Q295" i="16"/>
  <c r="P295" i="16"/>
  <c r="O295" i="16"/>
  <c r="N295" i="16"/>
  <c r="M295" i="16"/>
  <c r="L295" i="16"/>
  <c r="K295" i="16"/>
  <c r="J295" i="16"/>
  <c r="I295" i="16"/>
  <c r="H295" i="16"/>
  <c r="G295" i="16"/>
  <c r="F295" i="16"/>
  <c r="E295" i="16"/>
  <c r="D295" i="16"/>
  <c r="C295" i="16"/>
  <c r="B295" i="16"/>
  <c r="R294" i="16"/>
  <c r="Q294" i="16"/>
  <c r="P294" i="16"/>
  <c r="O294" i="16"/>
  <c r="N294" i="16"/>
  <c r="M294" i="16"/>
  <c r="L294" i="16"/>
  <c r="K294" i="16"/>
  <c r="J294" i="16"/>
  <c r="I294" i="16"/>
  <c r="H294" i="16"/>
  <c r="G294" i="16"/>
  <c r="F294" i="16"/>
  <c r="E294" i="16"/>
  <c r="D294" i="16"/>
  <c r="C294" i="16"/>
  <c r="B294" i="16"/>
  <c r="R293" i="16"/>
  <c r="Q293" i="16"/>
  <c r="P293" i="16"/>
  <c r="O293" i="16"/>
  <c r="N293" i="16"/>
  <c r="M293" i="16"/>
  <c r="L293" i="16"/>
  <c r="K293" i="16"/>
  <c r="J293" i="16"/>
  <c r="I293" i="16"/>
  <c r="H293" i="16"/>
  <c r="G293" i="16"/>
  <c r="F293" i="16"/>
  <c r="E293" i="16"/>
  <c r="D293" i="16"/>
  <c r="C293" i="16"/>
  <c r="B293" i="16"/>
  <c r="R292" i="16"/>
  <c r="Q292" i="16"/>
  <c r="P292" i="16"/>
  <c r="O292" i="16"/>
  <c r="N292" i="16"/>
  <c r="M292" i="16"/>
  <c r="L292" i="16"/>
  <c r="K292" i="16"/>
  <c r="J292" i="16"/>
  <c r="I292" i="16"/>
  <c r="H292" i="16"/>
  <c r="G292" i="16"/>
  <c r="F292" i="16"/>
  <c r="E292" i="16"/>
  <c r="D292" i="16"/>
  <c r="C292" i="16"/>
  <c r="B292" i="16"/>
  <c r="R291" i="16"/>
  <c r="Q291" i="16"/>
  <c r="P291" i="16"/>
  <c r="O291" i="16"/>
  <c r="N291" i="16"/>
  <c r="M291" i="16"/>
  <c r="L291" i="16"/>
  <c r="K291" i="16"/>
  <c r="J291" i="16"/>
  <c r="I291" i="16"/>
  <c r="H291" i="16"/>
  <c r="G291" i="16"/>
  <c r="F291" i="16"/>
  <c r="E291" i="16"/>
  <c r="D291" i="16"/>
  <c r="C291" i="16"/>
  <c r="B291" i="16"/>
  <c r="R290" i="16"/>
  <c r="Q290" i="16"/>
  <c r="P290" i="16"/>
  <c r="O290" i="16"/>
  <c r="N290" i="16"/>
  <c r="M290" i="16"/>
  <c r="L290" i="16"/>
  <c r="K290" i="16"/>
  <c r="J290" i="16"/>
  <c r="I290" i="16"/>
  <c r="H290" i="16"/>
  <c r="G290" i="16"/>
  <c r="F290" i="16"/>
  <c r="E290" i="16"/>
  <c r="D290" i="16"/>
  <c r="C290" i="16"/>
  <c r="B290" i="16"/>
  <c r="R289" i="16"/>
  <c r="Q289" i="16"/>
  <c r="P289" i="16"/>
  <c r="O289" i="16"/>
  <c r="N289" i="16"/>
  <c r="M289" i="16"/>
  <c r="L289" i="16"/>
  <c r="K289" i="16"/>
  <c r="J289" i="16"/>
  <c r="I289" i="16"/>
  <c r="H289" i="16"/>
  <c r="G289" i="16"/>
  <c r="F289" i="16"/>
  <c r="E289" i="16"/>
  <c r="D289" i="16"/>
  <c r="C289" i="16"/>
  <c r="B289" i="16"/>
  <c r="R288" i="16"/>
  <c r="Q288" i="16"/>
  <c r="P288" i="16"/>
  <c r="O288" i="16"/>
  <c r="N288" i="16"/>
  <c r="M288" i="16"/>
  <c r="L288" i="16"/>
  <c r="K288" i="16"/>
  <c r="J288" i="16"/>
  <c r="I288" i="16"/>
  <c r="H288" i="16"/>
  <c r="G288" i="16"/>
  <c r="F288" i="16"/>
  <c r="E288" i="16"/>
  <c r="D288" i="16"/>
  <c r="C288" i="16"/>
  <c r="B288" i="16"/>
  <c r="R287" i="16"/>
  <c r="Q287" i="16"/>
  <c r="P287" i="16"/>
  <c r="O287" i="16"/>
  <c r="N287" i="16"/>
  <c r="M287" i="16"/>
  <c r="L287" i="16"/>
  <c r="K287" i="16"/>
  <c r="J287" i="16"/>
  <c r="I287" i="16"/>
  <c r="H287" i="16"/>
  <c r="G287" i="16"/>
  <c r="F287" i="16"/>
  <c r="E287" i="16"/>
  <c r="D287" i="16"/>
  <c r="C287" i="16"/>
  <c r="B287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C286" i="16"/>
  <c r="B286" i="16"/>
  <c r="R285" i="16"/>
  <c r="Q285" i="16"/>
  <c r="P285" i="16"/>
  <c r="O285" i="16"/>
  <c r="N285" i="16"/>
  <c r="M285" i="16"/>
  <c r="L285" i="16"/>
  <c r="K285" i="16"/>
  <c r="J285" i="16"/>
  <c r="I285" i="16"/>
  <c r="H285" i="16"/>
  <c r="G285" i="16"/>
  <c r="F285" i="16"/>
  <c r="E285" i="16"/>
  <c r="D285" i="16"/>
  <c r="C285" i="16"/>
  <c r="B285" i="16"/>
  <c r="R284" i="16"/>
  <c r="Q284" i="16"/>
  <c r="P284" i="16"/>
  <c r="O284" i="16"/>
  <c r="N284" i="16"/>
  <c r="M284" i="16"/>
  <c r="L284" i="16"/>
  <c r="K284" i="16"/>
  <c r="J284" i="16"/>
  <c r="I284" i="16"/>
  <c r="H284" i="16"/>
  <c r="G284" i="16"/>
  <c r="F284" i="16"/>
  <c r="E284" i="16"/>
  <c r="D284" i="16"/>
  <c r="C284" i="16"/>
  <c r="B284" i="16"/>
  <c r="R283" i="16"/>
  <c r="Q283" i="16"/>
  <c r="P283" i="16"/>
  <c r="O283" i="16"/>
  <c r="N283" i="16"/>
  <c r="M283" i="16"/>
  <c r="L283" i="16"/>
  <c r="K283" i="16"/>
  <c r="J283" i="16"/>
  <c r="I283" i="16"/>
  <c r="H283" i="16"/>
  <c r="G283" i="16"/>
  <c r="F283" i="16"/>
  <c r="E283" i="16"/>
  <c r="D283" i="16"/>
  <c r="C283" i="16"/>
  <c r="B283" i="16"/>
  <c r="R282" i="16"/>
  <c r="Q282" i="16"/>
  <c r="P282" i="16"/>
  <c r="O282" i="16"/>
  <c r="N282" i="16"/>
  <c r="M282" i="16"/>
  <c r="L282" i="16"/>
  <c r="K282" i="16"/>
  <c r="J282" i="16"/>
  <c r="I282" i="16"/>
  <c r="H282" i="16"/>
  <c r="G282" i="16"/>
  <c r="F282" i="16"/>
  <c r="E282" i="16"/>
  <c r="D282" i="16"/>
  <c r="C282" i="16"/>
  <c r="B282" i="16"/>
  <c r="R281" i="16"/>
  <c r="Q281" i="16"/>
  <c r="P281" i="16"/>
  <c r="O281" i="16"/>
  <c r="N281" i="16"/>
  <c r="M281" i="16"/>
  <c r="L281" i="16"/>
  <c r="K281" i="16"/>
  <c r="J281" i="16"/>
  <c r="I281" i="16"/>
  <c r="H281" i="16"/>
  <c r="G281" i="16"/>
  <c r="F281" i="16"/>
  <c r="E281" i="16"/>
  <c r="D281" i="16"/>
  <c r="C281" i="16"/>
  <c r="B281" i="16"/>
  <c r="R280" i="16"/>
  <c r="Q280" i="16"/>
  <c r="P280" i="16"/>
  <c r="O280" i="16"/>
  <c r="N280" i="16"/>
  <c r="M280" i="16"/>
  <c r="L280" i="16"/>
  <c r="K280" i="16"/>
  <c r="J280" i="16"/>
  <c r="I280" i="16"/>
  <c r="H280" i="16"/>
  <c r="G280" i="16"/>
  <c r="F280" i="16"/>
  <c r="E280" i="16"/>
  <c r="D280" i="16"/>
  <c r="C280" i="16"/>
  <c r="B280" i="16"/>
  <c r="R279" i="16"/>
  <c r="Q279" i="16"/>
  <c r="P279" i="16"/>
  <c r="O279" i="16"/>
  <c r="N279" i="16"/>
  <c r="M279" i="16"/>
  <c r="L279" i="16"/>
  <c r="K279" i="16"/>
  <c r="J279" i="16"/>
  <c r="I279" i="16"/>
  <c r="H279" i="16"/>
  <c r="G279" i="16"/>
  <c r="F279" i="16"/>
  <c r="E279" i="16"/>
  <c r="D279" i="16"/>
  <c r="C279" i="16"/>
  <c r="B279" i="16"/>
  <c r="R278" i="16"/>
  <c r="Q278" i="16"/>
  <c r="P278" i="16"/>
  <c r="O278" i="16"/>
  <c r="N278" i="16"/>
  <c r="M278" i="16"/>
  <c r="L278" i="16"/>
  <c r="K278" i="16"/>
  <c r="J278" i="16"/>
  <c r="I278" i="16"/>
  <c r="H278" i="16"/>
  <c r="G278" i="16"/>
  <c r="F278" i="16"/>
  <c r="E278" i="16"/>
  <c r="D278" i="16"/>
  <c r="C278" i="16"/>
  <c r="B278" i="16"/>
  <c r="R277" i="16"/>
  <c r="Q277" i="16"/>
  <c r="P277" i="16"/>
  <c r="O277" i="16"/>
  <c r="N277" i="16"/>
  <c r="M277" i="16"/>
  <c r="L277" i="16"/>
  <c r="K277" i="16"/>
  <c r="J277" i="16"/>
  <c r="I277" i="16"/>
  <c r="H277" i="16"/>
  <c r="G277" i="16"/>
  <c r="F277" i="16"/>
  <c r="E277" i="16"/>
  <c r="D277" i="16"/>
  <c r="C277" i="16"/>
  <c r="B277" i="16"/>
  <c r="R276" i="16"/>
  <c r="Q276" i="16"/>
  <c r="P276" i="16"/>
  <c r="O276" i="16"/>
  <c r="N276" i="16"/>
  <c r="M276" i="16"/>
  <c r="L276" i="16"/>
  <c r="K276" i="16"/>
  <c r="J276" i="16"/>
  <c r="I276" i="16"/>
  <c r="H276" i="16"/>
  <c r="G276" i="16"/>
  <c r="F276" i="16"/>
  <c r="E276" i="16"/>
  <c r="D276" i="16"/>
  <c r="C276" i="16"/>
  <c r="B276" i="16"/>
  <c r="R275" i="16"/>
  <c r="Q275" i="16"/>
  <c r="P275" i="16"/>
  <c r="O275" i="16"/>
  <c r="N275" i="16"/>
  <c r="M275" i="16"/>
  <c r="L275" i="16"/>
  <c r="K275" i="16"/>
  <c r="J275" i="16"/>
  <c r="I275" i="16"/>
  <c r="H275" i="16"/>
  <c r="G275" i="16"/>
  <c r="F275" i="16"/>
  <c r="E275" i="16"/>
  <c r="D275" i="16"/>
  <c r="C275" i="16"/>
  <c r="B275" i="16"/>
  <c r="R274" i="16"/>
  <c r="Q274" i="16"/>
  <c r="P274" i="16"/>
  <c r="O274" i="16"/>
  <c r="N274" i="16"/>
  <c r="M274" i="16"/>
  <c r="L274" i="16"/>
  <c r="K274" i="16"/>
  <c r="J274" i="16"/>
  <c r="I274" i="16"/>
  <c r="H274" i="16"/>
  <c r="G274" i="16"/>
  <c r="F274" i="16"/>
  <c r="E274" i="16"/>
  <c r="D274" i="16"/>
  <c r="C274" i="16"/>
  <c r="B274" i="16"/>
  <c r="R273" i="16"/>
  <c r="Q273" i="16"/>
  <c r="P273" i="16"/>
  <c r="O273" i="16"/>
  <c r="N273" i="16"/>
  <c r="M273" i="16"/>
  <c r="L273" i="16"/>
  <c r="K273" i="16"/>
  <c r="J273" i="16"/>
  <c r="I273" i="16"/>
  <c r="H273" i="16"/>
  <c r="G273" i="16"/>
  <c r="F273" i="16"/>
  <c r="E273" i="16"/>
  <c r="D273" i="16"/>
  <c r="C273" i="16"/>
  <c r="B273" i="16"/>
  <c r="R272" i="16"/>
  <c r="Q272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C272" i="16"/>
  <c r="B272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C271" i="16"/>
  <c r="B271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C270" i="16"/>
  <c r="B270" i="16"/>
  <c r="R269" i="16"/>
  <c r="Q269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D269" i="16"/>
  <c r="C269" i="16"/>
  <c r="B269" i="16"/>
  <c r="R268" i="16"/>
  <c r="Q268" i="16"/>
  <c r="P268" i="16"/>
  <c r="O268" i="16"/>
  <c r="N268" i="16"/>
  <c r="M268" i="16"/>
  <c r="L268" i="16"/>
  <c r="K268" i="16"/>
  <c r="J268" i="16"/>
  <c r="I268" i="16"/>
  <c r="H268" i="16"/>
  <c r="G268" i="16"/>
  <c r="F268" i="16"/>
  <c r="E268" i="16"/>
  <c r="D268" i="16"/>
  <c r="C268" i="16"/>
  <c r="B268" i="16"/>
  <c r="R267" i="16"/>
  <c r="Q267" i="16"/>
  <c r="P267" i="16"/>
  <c r="O267" i="16"/>
  <c r="N267" i="16"/>
  <c r="M267" i="16"/>
  <c r="L267" i="16"/>
  <c r="K267" i="16"/>
  <c r="J267" i="16"/>
  <c r="I267" i="16"/>
  <c r="H267" i="16"/>
  <c r="G267" i="16"/>
  <c r="F267" i="16"/>
  <c r="E267" i="16"/>
  <c r="D267" i="16"/>
  <c r="C267" i="16"/>
  <c r="B267" i="16"/>
  <c r="R266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C266" i="16"/>
  <c r="B266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C265" i="16"/>
  <c r="B265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C264" i="16"/>
  <c r="B264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C263" i="16"/>
  <c r="B263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C262" i="16"/>
  <c r="B262" i="16"/>
  <c r="R261" i="16"/>
  <c r="Q261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C261" i="16"/>
  <c r="B261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C260" i="16"/>
  <c r="B260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D259" i="16"/>
  <c r="C259" i="16"/>
  <c r="B259" i="16"/>
  <c r="R258" i="16"/>
  <c r="Q258" i="16"/>
  <c r="P258" i="16"/>
  <c r="O258" i="16"/>
  <c r="N258" i="16"/>
  <c r="M258" i="16"/>
  <c r="L258" i="16"/>
  <c r="K258" i="16"/>
  <c r="J258" i="16"/>
  <c r="I258" i="16"/>
  <c r="H258" i="16"/>
  <c r="G258" i="16"/>
  <c r="F258" i="16"/>
  <c r="E258" i="16"/>
  <c r="D258" i="16"/>
  <c r="C258" i="16"/>
  <c r="B258" i="16"/>
  <c r="R257" i="16"/>
  <c r="Q257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D257" i="16"/>
  <c r="C257" i="16"/>
  <c r="B257" i="16"/>
  <c r="R256" i="16"/>
  <c r="Q256" i="16"/>
  <c r="P256" i="16"/>
  <c r="O256" i="16"/>
  <c r="N256" i="16"/>
  <c r="M256" i="16"/>
  <c r="L256" i="16"/>
  <c r="K256" i="16"/>
  <c r="J256" i="16"/>
  <c r="I256" i="16"/>
  <c r="H256" i="16"/>
  <c r="G256" i="16"/>
  <c r="F256" i="16"/>
  <c r="E256" i="16"/>
  <c r="D256" i="16"/>
  <c r="C256" i="16"/>
  <c r="B256" i="16"/>
  <c r="R255" i="16"/>
  <c r="Q255" i="16"/>
  <c r="P255" i="16"/>
  <c r="O255" i="16"/>
  <c r="N255" i="16"/>
  <c r="M255" i="16"/>
  <c r="L255" i="16"/>
  <c r="K255" i="16"/>
  <c r="J255" i="16"/>
  <c r="I255" i="16"/>
  <c r="H255" i="16"/>
  <c r="G255" i="16"/>
  <c r="F255" i="16"/>
  <c r="E255" i="16"/>
  <c r="D255" i="16"/>
  <c r="C255" i="16"/>
  <c r="B255" i="16"/>
  <c r="R254" i="16"/>
  <c r="Q254" i="16"/>
  <c r="P254" i="16"/>
  <c r="O254" i="16"/>
  <c r="N254" i="16"/>
  <c r="M254" i="16"/>
  <c r="L254" i="16"/>
  <c r="K254" i="16"/>
  <c r="J254" i="16"/>
  <c r="I254" i="16"/>
  <c r="H254" i="16"/>
  <c r="G254" i="16"/>
  <c r="F254" i="16"/>
  <c r="E254" i="16"/>
  <c r="D254" i="16"/>
  <c r="C254" i="16"/>
  <c r="B254" i="16"/>
  <c r="R253" i="16"/>
  <c r="Q253" i="16"/>
  <c r="P253" i="16"/>
  <c r="O253" i="16"/>
  <c r="N253" i="16"/>
  <c r="M253" i="16"/>
  <c r="L253" i="16"/>
  <c r="K253" i="16"/>
  <c r="J253" i="16"/>
  <c r="I253" i="16"/>
  <c r="H253" i="16"/>
  <c r="G253" i="16"/>
  <c r="F253" i="16"/>
  <c r="E253" i="16"/>
  <c r="D253" i="16"/>
  <c r="C253" i="16"/>
  <c r="B253" i="16"/>
  <c r="R252" i="16"/>
  <c r="Q252" i="16"/>
  <c r="P252" i="16"/>
  <c r="O252" i="16"/>
  <c r="N252" i="16"/>
  <c r="M252" i="16"/>
  <c r="L252" i="16"/>
  <c r="K252" i="16"/>
  <c r="J252" i="16"/>
  <c r="I252" i="16"/>
  <c r="H252" i="16"/>
  <c r="G252" i="16"/>
  <c r="F252" i="16"/>
  <c r="E252" i="16"/>
  <c r="D252" i="16"/>
  <c r="C252" i="16"/>
  <c r="B252" i="16"/>
  <c r="R251" i="16"/>
  <c r="Q251" i="16"/>
  <c r="P251" i="16"/>
  <c r="O251" i="16"/>
  <c r="N251" i="16"/>
  <c r="M251" i="16"/>
  <c r="L251" i="16"/>
  <c r="K251" i="16"/>
  <c r="J251" i="16"/>
  <c r="I251" i="16"/>
  <c r="H251" i="16"/>
  <c r="G251" i="16"/>
  <c r="F251" i="16"/>
  <c r="E251" i="16"/>
  <c r="D251" i="16"/>
  <c r="C251" i="16"/>
  <c r="B251" i="16"/>
  <c r="R250" i="16"/>
  <c r="Q250" i="16"/>
  <c r="P250" i="16"/>
  <c r="O250" i="16"/>
  <c r="N250" i="16"/>
  <c r="M250" i="16"/>
  <c r="L250" i="16"/>
  <c r="K250" i="16"/>
  <c r="J250" i="16"/>
  <c r="I250" i="16"/>
  <c r="H250" i="16"/>
  <c r="G250" i="16"/>
  <c r="F250" i="16"/>
  <c r="E250" i="16"/>
  <c r="D250" i="16"/>
  <c r="C250" i="16"/>
  <c r="B250" i="16"/>
  <c r="R249" i="16"/>
  <c r="Q249" i="16"/>
  <c r="P249" i="16"/>
  <c r="O249" i="16"/>
  <c r="N249" i="16"/>
  <c r="M249" i="16"/>
  <c r="L249" i="16"/>
  <c r="K249" i="16"/>
  <c r="J249" i="16"/>
  <c r="I249" i="16"/>
  <c r="H249" i="16"/>
  <c r="G249" i="16"/>
  <c r="F249" i="16"/>
  <c r="E249" i="16"/>
  <c r="D249" i="16"/>
  <c r="C249" i="16"/>
  <c r="B249" i="16"/>
  <c r="R248" i="16"/>
  <c r="Q248" i="16"/>
  <c r="P248" i="16"/>
  <c r="O248" i="16"/>
  <c r="N248" i="16"/>
  <c r="M248" i="16"/>
  <c r="L248" i="16"/>
  <c r="K248" i="16"/>
  <c r="J248" i="16"/>
  <c r="I248" i="16"/>
  <c r="H248" i="16"/>
  <c r="G248" i="16"/>
  <c r="F248" i="16"/>
  <c r="E248" i="16"/>
  <c r="D248" i="16"/>
  <c r="C248" i="16"/>
  <c r="B248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D247" i="16"/>
  <c r="C247" i="16"/>
  <c r="B247" i="16"/>
  <c r="R246" i="16"/>
  <c r="Q246" i="16"/>
  <c r="P246" i="16"/>
  <c r="O246" i="16"/>
  <c r="N246" i="16"/>
  <c r="M246" i="16"/>
  <c r="L246" i="16"/>
  <c r="K246" i="16"/>
  <c r="J246" i="16"/>
  <c r="I246" i="16"/>
  <c r="H246" i="16"/>
  <c r="G246" i="16"/>
  <c r="F246" i="16"/>
  <c r="E246" i="16"/>
  <c r="D246" i="16"/>
  <c r="C246" i="16"/>
  <c r="B246" i="16"/>
  <c r="R245" i="16"/>
  <c r="Q245" i="16"/>
  <c r="P245" i="16"/>
  <c r="O245" i="16"/>
  <c r="N245" i="16"/>
  <c r="M245" i="16"/>
  <c r="L245" i="16"/>
  <c r="K245" i="16"/>
  <c r="J245" i="16"/>
  <c r="I245" i="16"/>
  <c r="H245" i="16"/>
  <c r="G245" i="16"/>
  <c r="F245" i="16"/>
  <c r="E245" i="16"/>
  <c r="D245" i="16"/>
  <c r="C245" i="16"/>
  <c r="B245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R243" i="16"/>
  <c r="Q243" i="16"/>
  <c r="P243" i="16"/>
  <c r="O243" i="16"/>
  <c r="N243" i="16"/>
  <c r="M243" i="16"/>
  <c r="L243" i="16"/>
  <c r="K243" i="16"/>
  <c r="J243" i="16"/>
  <c r="I243" i="16"/>
  <c r="H243" i="16"/>
  <c r="G243" i="16"/>
  <c r="F243" i="16"/>
  <c r="E243" i="16"/>
  <c r="D243" i="16"/>
  <c r="C243" i="16"/>
  <c r="B243" i="16"/>
  <c r="R242" i="16"/>
  <c r="Q242" i="16"/>
  <c r="P242" i="16"/>
  <c r="O242" i="16"/>
  <c r="N242" i="16"/>
  <c r="M242" i="16"/>
  <c r="L242" i="16"/>
  <c r="K242" i="16"/>
  <c r="J242" i="16"/>
  <c r="I242" i="16"/>
  <c r="H242" i="16"/>
  <c r="G242" i="16"/>
  <c r="F242" i="16"/>
  <c r="E242" i="16"/>
  <c r="D242" i="16"/>
  <c r="C242" i="16"/>
  <c r="B242" i="16"/>
  <c r="R241" i="16"/>
  <c r="Q241" i="16"/>
  <c r="P241" i="16"/>
  <c r="O241" i="16"/>
  <c r="N241" i="16"/>
  <c r="M241" i="16"/>
  <c r="L241" i="16"/>
  <c r="K241" i="16"/>
  <c r="J241" i="16"/>
  <c r="I241" i="16"/>
  <c r="H241" i="16"/>
  <c r="G241" i="16"/>
  <c r="F241" i="16"/>
  <c r="E241" i="16"/>
  <c r="D241" i="16"/>
  <c r="C241" i="16"/>
  <c r="B241" i="16"/>
  <c r="R240" i="16"/>
  <c r="Q240" i="16"/>
  <c r="P240" i="16"/>
  <c r="O240" i="16"/>
  <c r="N240" i="16"/>
  <c r="M240" i="16"/>
  <c r="L240" i="16"/>
  <c r="K240" i="16"/>
  <c r="J240" i="16"/>
  <c r="I240" i="16"/>
  <c r="H240" i="16"/>
  <c r="G240" i="16"/>
  <c r="F240" i="16"/>
  <c r="E240" i="16"/>
  <c r="D240" i="16"/>
  <c r="C240" i="16"/>
  <c r="B240" i="16"/>
  <c r="R239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C239" i="16"/>
  <c r="B239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R234" i="16"/>
  <c r="Q234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C234" i="16"/>
  <c r="B234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C233" i="16"/>
  <c r="B233" i="16"/>
  <c r="R232" i="16"/>
  <c r="Q232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D232" i="16"/>
  <c r="C232" i="16"/>
  <c r="B232" i="16"/>
  <c r="R231" i="16"/>
  <c r="Q231" i="16"/>
  <c r="P231" i="16"/>
  <c r="O231" i="16"/>
  <c r="N231" i="16"/>
  <c r="M231" i="16"/>
  <c r="L231" i="16"/>
  <c r="K231" i="16"/>
  <c r="J231" i="16"/>
  <c r="I231" i="16"/>
  <c r="H231" i="16"/>
  <c r="G231" i="16"/>
  <c r="F231" i="16"/>
  <c r="E231" i="16"/>
  <c r="D231" i="16"/>
  <c r="C231" i="16"/>
  <c r="B231" i="16"/>
  <c r="R230" i="16"/>
  <c r="Q230" i="16"/>
  <c r="P230" i="16"/>
  <c r="O230" i="16"/>
  <c r="N230" i="16"/>
  <c r="M230" i="16"/>
  <c r="L230" i="16"/>
  <c r="K230" i="16"/>
  <c r="J230" i="16"/>
  <c r="I230" i="16"/>
  <c r="H230" i="16"/>
  <c r="G230" i="16"/>
  <c r="F230" i="16"/>
  <c r="E230" i="16"/>
  <c r="D230" i="16"/>
  <c r="C230" i="16"/>
  <c r="B230" i="16"/>
  <c r="R229" i="16"/>
  <c r="Q229" i="16"/>
  <c r="P229" i="16"/>
  <c r="O229" i="16"/>
  <c r="N229" i="16"/>
  <c r="M229" i="16"/>
  <c r="L229" i="16"/>
  <c r="K229" i="16"/>
  <c r="J229" i="16"/>
  <c r="I229" i="16"/>
  <c r="H229" i="16"/>
  <c r="G229" i="16"/>
  <c r="F229" i="16"/>
  <c r="E229" i="16"/>
  <c r="D229" i="16"/>
  <c r="C229" i="16"/>
  <c r="B229" i="16"/>
  <c r="R228" i="16"/>
  <c r="Q228" i="16"/>
  <c r="P228" i="16"/>
  <c r="O228" i="16"/>
  <c r="N228" i="16"/>
  <c r="M228" i="16"/>
  <c r="L228" i="16"/>
  <c r="K228" i="16"/>
  <c r="J228" i="16"/>
  <c r="I228" i="16"/>
  <c r="H228" i="16"/>
  <c r="G228" i="16"/>
  <c r="F228" i="16"/>
  <c r="E228" i="16"/>
  <c r="D228" i="16"/>
  <c r="C228" i="16"/>
  <c r="B228" i="16"/>
  <c r="R227" i="16"/>
  <c r="Q227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C227" i="16"/>
  <c r="B227" i="16"/>
  <c r="R226" i="16"/>
  <c r="Q226" i="16"/>
  <c r="P226" i="16"/>
  <c r="O226" i="16"/>
  <c r="N226" i="16"/>
  <c r="M226" i="16"/>
  <c r="L226" i="16"/>
  <c r="K226" i="16"/>
  <c r="J226" i="16"/>
  <c r="I226" i="16"/>
  <c r="H226" i="16"/>
  <c r="G226" i="16"/>
  <c r="F226" i="16"/>
  <c r="E226" i="16"/>
  <c r="D226" i="16"/>
  <c r="C226" i="16"/>
  <c r="B226" i="16"/>
  <c r="R225" i="16"/>
  <c r="Q225" i="16"/>
  <c r="P225" i="16"/>
  <c r="O225" i="16"/>
  <c r="N225" i="16"/>
  <c r="M225" i="16"/>
  <c r="L225" i="16"/>
  <c r="K225" i="16"/>
  <c r="J225" i="16"/>
  <c r="I225" i="16"/>
  <c r="H225" i="16"/>
  <c r="G225" i="16"/>
  <c r="F225" i="16"/>
  <c r="E225" i="16"/>
  <c r="D225" i="16"/>
  <c r="C225" i="16"/>
  <c r="B225" i="16"/>
  <c r="R224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C224" i="16"/>
  <c r="B224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D223" i="16"/>
  <c r="C223" i="16"/>
  <c r="B223" i="16"/>
  <c r="R222" i="16"/>
  <c r="Q222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C222" i="16"/>
  <c r="B222" i="16"/>
  <c r="R221" i="16"/>
  <c r="Q221" i="16"/>
  <c r="P221" i="16"/>
  <c r="O221" i="16"/>
  <c r="N221" i="16"/>
  <c r="M221" i="16"/>
  <c r="L221" i="16"/>
  <c r="K221" i="16"/>
  <c r="J221" i="16"/>
  <c r="I221" i="16"/>
  <c r="H221" i="16"/>
  <c r="G221" i="16"/>
  <c r="F221" i="16"/>
  <c r="E221" i="16"/>
  <c r="D221" i="16"/>
  <c r="C221" i="16"/>
  <c r="B221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C220" i="16"/>
  <c r="B220" i="16"/>
  <c r="R219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C219" i="16"/>
  <c r="B219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C218" i="16"/>
  <c r="B218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R214" i="16"/>
  <c r="Q214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C214" i="16"/>
  <c r="B214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C213" i="16"/>
  <c r="B213" i="16"/>
  <c r="R212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C212" i="16"/>
  <c r="B212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C211" i="16"/>
  <c r="B211" i="16"/>
  <c r="R210" i="16"/>
  <c r="Q210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C210" i="16"/>
  <c r="B210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C209" i="16"/>
  <c r="B209" i="16"/>
  <c r="R208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C208" i="16"/>
  <c r="B208" i="16"/>
  <c r="R207" i="16"/>
  <c r="Q207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C207" i="16"/>
  <c r="B207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B206" i="16"/>
  <c r="R205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C205" i="16"/>
  <c r="B205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C204" i="16"/>
  <c r="B204" i="16"/>
  <c r="R203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2" i="16"/>
  <c r="B202" i="16"/>
  <c r="R201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C201" i="16"/>
  <c r="B201" i="16"/>
  <c r="R200" i="16"/>
  <c r="Q200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C200" i="16"/>
  <c r="B200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C199" i="16"/>
  <c r="B199" i="16"/>
  <c r="R198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C197" i="16"/>
  <c r="B197" i="16"/>
  <c r="R196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C196" i="16"/>
  <c r="B196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C195" i="16"/>
  <c r="B195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C194" i="16"/>
  <c r="B194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C193" i="16"/>
  <c r="B193" i="16"/>
  <c r="R192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C192" i="16"/>
  <c r="B192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B190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C189" i="16"/>
  <c r="B189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C188" i="16"/>
  <c r="B188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R186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C186" i="16"/>
  <c r="B186" i="16"/>
  <c r="R185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C185" i="16"/>
  <c r="B185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C184" i="16"/>
  <c r="B184" i="16"/>
  <c r="R183" i="16"/>
  <c r="Q183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C183" i="16"/>
  <c r="B183" i="16"/>
  <c r="R182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R181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C181" i="16"/>
  <c r="B181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R179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B179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C178" i="16"/>
  <c r="B178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R176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C176" i="16"/>
  <c r="B176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C174" i="16"/>
  <c r="B174" i="16"/>
  <c r="R173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C172" i="16"/>
  <c r="B172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B171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R169" i="16"/>
  <c r="Q169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C169" i="16"/>
  <c r="B169" i="16"/>
  <c r="R168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B167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B165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B164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B162" i="16"/>
  <c r="R161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B160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B158" i="16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B157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B146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B136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B134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B125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B123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B114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B113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B102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B92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R933" i="15"/>
  <c r="Q933" i="15"/>
  <c r="P933" i="15"/>
  <c r="O933" i="15"/>
  <c r="N933" i="15"/>
  <c r="M933" i="15"/>
  <c r="L933" i="15"/>
  <c r="K933" i="15"/>
  <c r="J933" i="15"/>
  <c r="I933" i="15"/>
  <c r="H933" i="15"/>
  <c r="G933" i="15"/>
  <c r="F933" i="15"/>
  <c r="E933" i="15"/>
  <c r="D933" i="15"/>
  <c r="C933" i="15"/>
  <c r="B933" i="15"/>
  <c r="R932" i="15"/>
  <c r="Q932" i="15"/>
  <c r="P932" i="15"/>
  <c r="O932" i="15"/>
  <c r="N932" i="15"/>
  <c r="M932" i="15"/>
  <c r="L932" i="15"/>
  <c r="K932" i="15"/>
  <c r="J932" i="15"/>
  <c r="I932" i="15"/>
  <c r="H932" i="15"/>
  <c r="G932" i="15"/>
  <c r="F932" i="15"/>
  <c r="E932" i="15"/>
  <c r="D932" i="15"/>
  <c r="C932" i="15"/>
  <c r="B932" i="15"/>
  <c r="R931" i="15"/>
  <c r="Q931" i="15"/>
  <c r="P931" i="15"/>
  <c r="O931" i="15"/>
  <c r="N931" i="15"/>
  <c r="M931" i="15"/>
  <c r="L931" i="15"/>
  <c r="K931" i="15"/>
  <c r="J931" i="15"/>
  <c r="I931" i="15"/>
  <c r="H931" i="15"/>
  <c r="G931" i="15"/>
  <c r="F931" i="15"/>
  <c r="E931" i="15"/>
  <c r="D931" i="15"/>
  <c r="C931" i="15"/>
  <c r="B931" i="15"/>
  <c r="R930" i="15"/>
  <c r="Q930" i="15"/>
  <c r="P930" i="15"/>
  <c r="O930" i="15"/>
  <c r="N930" i="15"/>
  <c r="M930" i="15"/>
  <c r="L930" i="15"/>
  <c r="K930" i="15"/>
  <c r="J930" i="15"/>
  <c r="I930" i="15"/>
  <c r="H930" i="15"/>
  <c r="G930" i="15"/>
  <c r="F930" i="15"/>
  <c r="E930" i="15"/>
  <c r="D930" i="15"/>
  <c r="C930" i="15"/>
  <c r="B930" i="15"/>
  <c r="R929" i="15"/>
  <c r="Q929" i="15"/>
  <c r="P929" i="15"/>
  <c r="O929" i="15"/>
  <c r="N929" i="15"/>
  <c r="M929" i="15"/>
  <c r="L929" i="15"/>
  <c r="K929" i="15"/>
  <c r="J929" i="15"/>
  <c r="I929" i="15"/>
  <c r="H929" i="15"/>
  <c r="G929" i="15"/>
  <c r="F929" i="15"/>
  <c r="E929" i="15"/>
  <c r="D929" i="15"/>
  <c r="C929" i="15"/>
  <c r="B929" i="15"/>
  <c r="R928" i="15"/>
  <c r="Q928" i="15"/>
  <c r="P928" i="15"/>
  <c r="O928" i="15"/>
  <c r="N928" i="15"/>
  <c r="M928" i="15"/>
  <c r="L928" i="15"/>
  <c r="K928" i="15"/>
  <c r="J928" i="15"/>
  <c r="I928" i="15"/>
  <c r="H928" i="15"/>
  <c r="G928" i="15"/>
  <c r="F928" i="15"/>
  <c r="E928" i="15"/>
  <c r="D928" i="15"/>
  <c r="C928" i="15"/>
  <c r="B928" i="15"/>
  <c r="R927" i="15"/>
  <c r="Q927" i="15"/>
  <c r="P927" i="15"/>
  <c r="O927" i="15"/>
  <c r="N927" i="15"/>
  <c r="M927" i="15"/>
  <c r="L927" i="15"/>
  <c r="K927" i="15"/>
  <c r="J927" i="15"/>
  <c r="I927" i="15"/>
  <c r="H927" i="15"/>
  <c r="G927" i="15"/>
  <c r="F927" i="15"/>
  <c r="E927" i="15"/>
  <c r="D927" i="15"/>
  <c r="C927" i="15"/>
  <c r="B927" i="15"/>
  <c r="R926" i="15"/>
  <c r="Q926" i="15"/>
  <c r="P926" i="15"/>
  <c r="O926" i="15"/>
  <c r="N926" i="15"/>
  <c r="M926" i="15"/>
  <c r="L926" i="15"/>
  <c r="K926" i="15"/>
  <c r="J926" i="15"/>
  <c r="I926" i="15"/>
  <c r="H926" i="15"/>
  <c r="G926" i="15"/>
  <c r="F926" i="15"/>
  <c r="E926" i="15"/>
  <c r="D926" i="15"/>
  <c r="C926" i="15"/>
  <c r="B926" i="15"/>
  <c r="R925" i="15"/>
  <c r="Q925" i="15"/>
  <c r="P925" i="15"/>
  <c r="O925" i="15"/>
  <c r="N925" i="15"/>
  <c r="M925" i="15"/>
  <c r="L925" i="15"/>
  <c r="K925" i="15"/>
  <c r="J925" i="15"/>
  <c r="I925" i="15"/>
  <c r="H925" i="15"/>
  <c r="G925" i="15"/>
  <c r="F925" i="15"/>
  <c r="E925" i="15"/>
  <c r="D925" i="15"/>
  <c r="C925" i="15"/>
  <c r="B925" i="15"/>
  <c r="R924" i="15"/>
  <c r="Q924" i="15"/>
  <c r="P924" i="15"/>
  <c r="O924" i="15"/>
  <c r="N924" i="15"/>
  <c r="M924" i="15"/>
  <c r="L924" i="15"/>
  <c r="K924" i="15"/>
  <c r="J924" i="15"/>
  <c r="I924" i="15"/>
  <c r="H924" i="15"/>
  <c r="G924" i="15"/>
  <c r="F924" i="15"/>
  <c r="E924" i="15"/>
  <c r="D924" i="15"/>
  <c r="C924" i="15"/>
  <c r="B924" i="15"/>
  <c r="R923" i="15"/>
  <c r="Q923" i="15"/>
  <c r="P923" i="15"/>
  <c r="O923" i="15"/>
  <c r="N923" i="15"/>
  <c r="M923" i="15"/>
  <c r="L923" i="15"/>
  <c r="K923" i="15"/>
  <c r="J923" i="15"/>
  <c r="I923" i="15"/>
  <c r="H923" i="15"/>
  <c r="G923" i="15"/>
  <c r="F923" i="15"/>
  <c r="E923" i="15"/>
  <c r="D923" i="15"/>
  <c r="C923" i="15"/>
  <c r="B923" i="15"/>
  <c r="R922" i="15"/>
  <c r="Q922" i="15"/>
  <c r="P922" i="15"/>
  <c r="O922" i="15"/>
  <c r="N922" i="15"/>
  <c r="M922" i="15"/>
  <c r="L922" i="15"/>
  <c r="K922" i="15"/>
  <c r="J922" i="15"/>
  <c r="I922" i="15"/>
  <c r="H922" i="15"/>
  <c r="G922" i="15"/>
  <c r="F922" i="15"/>
  <c r="E922" i="15"/>
  <c r="D922" i="15"/>
  <c r="C922" i="15"/>
  <c r="B922" i="15"/>
  <c r="R921" i="15"/>
  <c r="Q921" i="15"/>
  <c r="P921" i="15"/>
  <c r="O921" i="15"/>
  <c r="N921" i="15"/>
  <c r="M921" i="15"/>
  <c r="L921" i="15"/>
  <c r="K921" i="15"/>
  <c r="J921" i="15"/>
  <c r="I921" i="15"/>
  <c r="H921" i="15"/>
  <c r="G921" i="15"/>
  <c r="F921" i="15"/>
  <c r="E921" i="15"/>
  <c r="D921" i="15"/>
  <c r="C921" i="15"/>
  <c r="B921" i="15"/>
  <c r="R920" i="15"/>
  <c r="Q920" i="15"/>
  <c r="P920" i="15"/>
  <c r="O920" i="15"/>
  <c r="N920" i="15"/>
  <c r="M920" i="15"/>
  <c r="L920" i="15"/>
  <c r="K920" i="15"/>
  <c r="J920" i="15"/>
  <c r="I920" i="15"/>
  <c r="H920" i="15"/>
  <c r="G920" i="15"/>
  <c r="F920" i="15"/>
  <c r="E920" i="15"/>
  <c r="D920" i="15"/>
  <c r="C920" i="15"/>
  <c r="B920" i="15"/>
  <c r="R919" i="15"/>
  <c r="Q919" i="15"/>
  <c r="P919" i="15"/>
  <c r="O919" i="15"/>
  <c r="N919" i="15"/>
  <c r="M919" i="15"/>
  <c r="L919" i="15"/>
  <c r="K919" i="15"/>
  <c r="J919" i="15"/>
  <c r="I919" i="15"/>
  <c r="H919" i="15"/>
  <c r="G919" i="15"/>
  <c r="F919" i="15"/>
  <c r="E919" i="15"/>
  <c r="D919" i="15"/>
  <c r="C919" i="15"/>
  <c r="B919" i="15"/>
  <c r="R918" i="15"/>
  <c r="Q918" i="15"/>
  <c r="P918" i="15"/>
  <c r="O918" i="15"/>
  <c r="N918" i="15"/>
  <c r="M918" i="15"/>
  <c r="L918" i="15"/>
  <c r="K918" i="15"/>
  <c r="J918" i="15"/>
  <c r="I918" i="15"/>
  <c r="H918" i="15"/>
  <c r="G918" i="15"/>
  <c r="F918" i="15"/>
  <c r="E918" i="15"/>
  <c r="D918" i="15"/>
  <c r="C918" i="15"/>
  <c r="B918" i="15"/>
  <c r="R917" i="15"/>
  <c r="Q917" i="15"/>
  <c r="P917" i="15"/>
  <c r="O917" i="15"/>
  <c r="N917" i="15"/>
  <c r="M917" i="15"/>
  <c r="L917" i="15"/>
  <c r="K917" i="15"/>
  <c r="J917" i="15"/>
  <c r="I917" i="15"/>
  <c r="H917" i="15"/>
  <c r="G917" i="15"/>
  <c r="F917" i="15"/>
  <c r="E917" i="15"/>
  <c r="D917" i="15"/>
  <c r="C917" i="15"/>
  <c r="B917" i="15"/>
  <c r="R916" i="15"/>
  <c r="Q916" i="15"/>
  <c r="P916" i="15"/>
  <c r="O916" i="15"/>
  <c r="N916" i="15"/>
  <c r="M916" i="15"/>
  <c r="L916" i="15"/>
  <c r="K916" i="15"/>
  <c r="J916" i="15"/>
  <c r="I916" i="15"/>
  <c r="H916" i="15"/>
  <c r="G916" i="15"/>
  <c r="F916" i="15"/>
  <c r="E916" i="15"/>
  <c r="D916" i="15"/>
  <c r="C916" i="15"/>
  <c r="B916" i="15"/>
  <c r="R915" i="15"/>
  <c r="Q915" i="15"/>
  <c r="P915" i="15"/>
  <c r="O915" i="15"/>
  <c r="N915" i="15"/>
  <c r="M915" i="15"/>
  <c r="L915" i="15"/>
  <c r="K915" i="15"/>
  <c r="J915" i="15"/>
  <c r="I915" i="15"/>
  <c r="H915" i="15"/>
  <c r="G915" i="15"/>
  <c r="F915" i="15"/>
  <c r="E915" i="15"/>
  <c r="D915" i="15"/>
  <c r="C915" i="15"/>
  <c r="B915" i="15"/>
  <c r="R914" i="15"/>
  <c r="Q914" i="15"/>
  <c r="P914" i="15"/>
  <c r="O914" i="15"/>
  <c r="N914" i="15"/>
  <c r="M914" i="15"/>
  <c r="L914" i="15"/>
  <c r="K914" i="15"/>
  <c r="J914" i="15"/>
  <c r="I914" i="15"/>
  <c r="H914" i="15"/>
  <c r="G914" i="15"/>
  <c r="F914" i="15"/>
  <c r="E914" i="15"/>
  <c r="D914" i="15"/>
  <c r="C914" i="15"/>
  <c r="B914" i="15"/>
  <c r="R913" i="15"/>
  <c r="Q913" i="15"/>
  <c r="P913" i="15"/>
  <c r="O913" i="15"/>
  <c r="N913" i="15"/>
  <c r="M913" i="15"/>
  <c r="L913" i="15"/>
  <c r="K913" i="15"/>
  <c r="J913" i="15"/>
  <c r="I913" i="15"/>
  <c r="H913" i="15"/>
  <c r="G913" i="15"/>
  <c r="F913" i="15"/>
  <c r="E913" i="15"/>
  <c r="D913" i="15"/>
  <c r="C913" i="15"/>
  <c r="B913" i="15"/>
  <c r="R912" i="15"/>
  <c r="Q912" i="15"/>
  <c r="P912" i="15"/>
  <c r="O912" i="15"/>
  <c r="N912" i="15"/>
  <c r="M912" i="15"/>
  <c r="L912" i="15"/>
  <c r="K912" i="15"/>
  <c r="J912" i="15"/>
  <c r="I912" i="15"/>
  <c r="H912" i="15"/>
  <c r="G912" i="15"/>
  <c r="F912" i="15"/>
  <c r="E912" i="15"/>
  <c r="D912" i="15"/>
  <c r="C912" i="15"/>
  <c r="B912" i="15"/>
  <c r="R911" i="15"/>
  <c r="Q911" i="15"/>
  <c r="P911" i="15"/>
  <c r="O911" i="15"/>
  <c r="N911" i="15"/>
  <c r="M911" i="15"/>
  <c r="L911" i="15"/>
  <c r="K911" i="15"/>
  <c r="J911" i="15"/>
  <c r="I911" i="15"/>
  <c r="H911" i="15"/>
  <c r="G911" i="15"/>
  <c r="F911" i="15"/>
  <c r="E911" i="15"/>
  <c r="D911" i="15"/>
  <c r="C911" i="15"/>
  <c r="B911" i="15"/>
  <c r="R910" i="15"/>
  <c r="Q910" i="15"/>
  <c r="P910" i="15"/>
  <c r="O910" i="15"/>
  <c r="N910" i="15"/>
  <c r="M910" i="15"/>
  <c r="L910" i="15"/>
  <c r="K910" i="15"/>
  <c r="J910" i="15"/>
  <c r="I910" i="15"/>
  <c r="H910" i="15"/>
  <c r="G910" i="15"/>
  <c r="F910" i="15"/>
  <c r="E910" i="15"/>
  <c r="D910" i="15"/>
  <c r="C910" i="15"/>
  <c r="B910" i="15"/>
  <c r="R909" i="15"/>
  <c r="Q909" i="15"/>
  <c r="P909" i="15"/>
  <c r="O909" i="15"/>
  <c r="N909" i="15"/>
  <c r="M909" i="15"/>
  <c r="L909" i="15"/>
  <c r="K909" i="15"/>
  <c r="J909" i="15"/>
  <c r="I909" i="15"/>
  <c r="H909" i="15"/>
  <c r="G909" i="15"/>
  <c r="F909" i="15"/>
  <c r="E909" i="15"/>
  <c r="D909" i="15"/>
  <c r="C909" i="15"/>
  <c r="B909" i="15"/>
  <c r="R908" i="15"/>
  <c r="Q908" i="15"/>
  <c r="P908" i="15"/>
  <c r="O908" i="15"/>
  <c r="N908" i="15"/>
  <c r="M908" i="15"/>
  <c r="L908" i="15"/>
  <c r="K908" i="15"/>
  <c r="J908" i="15"/>
  <c r="I908" i="15"/>
  <c r="H908" i="15"/>
  <c r="G908" i="15"/>
  <c r="F908" i="15"/>
  <c r="E908" i="15"/>
  <c r="D908" i="15"/>
  <c r="C908" i="15"/>
  <c r="B908" i="15"/>
  <c r="R907" i="15"/>
  <c r="Q907" i="15"/>
  <c r="P907" i="15"/>
  <c r="O907" i="15"/>
  <c r="N907" i="15"/>
  <c r="M907" i="15"/>
  <c r="L907" i="15"/>
  <c r="K907" i="15"/>
  <c r="J907" i="15"/>
  <c r="I907" i="15"/>
  <c r="H907" i="15"/>
  <c r="G907" i="15"/>
  <c r="F907" i="15"/>
  <c r="E907" i="15"/>
  <c r="D907" i="15"/>
  <c r="C907" i="15"/>
  <c r="B907" i="15"/>
  <c r="R906" i="15"/>
  <c r="Q906" i="15"/>
  <c r="P906" i="15"/>
  <c r="O906" i="15"/>
  <c r="N906" i="15"/>
  <c r="M906" i="15"/>
  <c r="L906" i="15"/>
  <c r="K906" i="15"/>
  <c r="J906" i="15"/>
  <c r="I906" i="15"/>
  <c r="H906" i="15"/>
  <c r="G906" i="15"/>
  <c r="F906" i="15"/>
  <c r="E906" i="15"/>
  <c r="D906" i="15"/>
  <c r="C906" i="15"/>
  <c r="B906" i="15"/>
  <c r="R905" i="15"/>
  <c r="Q905" i="15"/>
  <c r="P905" i="15"/>
  <c r="O905" i="15"/>
  <c r="N905" i="15"/>
  <c r="M905" i="15"/>
  <c r="L905" i="15"/>
  <c r="K905" i="15"/>
  <c r="J905" i="15"/>
  <c r="I905" i="15"/>
  <c r="H905" i="15"/>
  <c r="G905" i="15"/>
  <c r="F905" i="15"/>
  <c r="E905" i="15"/>
  <c r="D905" i="15"/>
  <c r="C905" i="15"/>
  <c r="B905" i="15"/>
  <c r="R904" i="15"/>
  <c r="Q904" i="15"/>
  <c r="P904" i="15"/>
  <c r="O904" i="15"/>
  <c r="N904" i="15"/>
  <c r="M904" i="15"/>
  <c r="L904" i="15"/>
  <c r="K904" i="15"/>
  <c r="J904" i="15"/>
  <c r="I904" i="15"/>
  <c r="H904" i="15"/>
  <c r="G904" i="15"/>
  <c r="F904" i="15"/>
  <c r="E904" i="15"/>
  <c r="D904" i="15"/>
  <c r="C904" i="15"/>
  <c r="B904" i="15"/>
  <c r="R903" i="15"/>
  <c r="Q903" i="15"/>
  <c r="P903" i="15"/>
  <c r="O903" i="15"/>
  <c r="N903" i="15"/>
  <c r="M903" i="15"/>
  <c r="L903" i="15"/>
  <c r="K903" i="15"/>
  <c r="J903" i="15"/>
  <c r="I903" i="15"/>
  <c r="H903" i="15"/>
  <c r="G903" i="15"/>
  <c r="F903" i="15"/>
  <c r="E903" i="15"/>
  <c r="D903" i="15"/>
  <c r="C903" i="15"/>
  <c r="B903" i="15"/>
  <c r="R902" i="15"/>
  <c r="Q902" i="15"/>
  <c r="P902" i="15"/>
  <c r="O902" i="15"/>
  <c r="N902" i="15"/>
  <c r="M902" i="15"/>
  <c r="L902" i="15"/>
  <c r="K902" i="15"/>
  <c r="J902" i="15"/>
  <c r="I902" i="15"/>
  <c r="H902" i="15"/>
  <c r="G902" i="15"/>
  <c r="F902" i="15"/>
  <c r="E902" i="15"/>
  <c r="D902" i="15"/>
  <c r="C902" i="15"/>
  <c r="B902" i="15"/>
  <c r="R901" i="15"/>
  <c r="Q901" i="15"/>
  <c r="P901" i="15"/>
  <c r="O901" i="15"/>
  <c r="N901" i="15"/>
  <c r="M901" i="15"/>
  <c r="L901" i="15"/>
  <c r="K901" i="15"/>
  <c r="J901" i="15"/>
  <c r="I901" i="15"/>
  <c r="H901" i="15"/>
  <c r="G901" i="15"/>
  <c r="F901" i="15"/>
  <c r="E901" i="15"/>
  <c r="D901" i="15"/>
  <c r="C901" i="15"/>
  <c r="B901" i="15"/>
  <c r="R900" i="15"/>
  <c r="Q900" i="15"/>
  <c r="P900" i="15"/>
  <c r="O900" i="15"/>
  <c r="N900" i="15"/>
  <c r="M900" i="15"/>
  <c r="L900" i="15"/>
  <c r="K900" i="15"/>
  <c r="J900" i="15"/>
  <c r="I900" i="15"/>
  <c r="H900" i="15"/>
  <c r="G900" i="15"/>
  <c r="F900" i="15"/>
  <c r="E900" i="15"/>
  <c r="D900" i="15"/>
  <c r="C900" i="15"/>
  <c r="B900" i="15"/>
  <c r="R899" i="15"/>
  <c r="Q899" i="15"/>
  <c r="P899" i="15"/>
  <c r="O899" i="15"/>
  <c r="N899" i="15"/>
  <c r="M899" i="15"/>
  <c r="L899" i="15"/>
  <c r="K899" i="15"/>
  <c r="J899" i="15"/>
  <c r="I899" i="15"/>
  <c r="H899" i="15"/>
  <c r="G899" i="15"/>
  <c r="F899" i="15"/>
  <c r="E899" i="15"/>
  <c r="D899" i="15"/>
  <c r="C899" i="15"/>
  <c r="B899" i="15"/>
  <c r="R898" i="15"/>
  <c r="Q898" i="15"/>
  <c r="P898" i="15"/>
  <c r="O898" i="15"/>
  <c r="N898" i="15"/>
  <c r="M898" i="15"/>
  <c r="L898" i="15"/>
  <c r="K898" i="15"/>
  <c r="J898" i="15"/>
  <c r="I898" i="15"/>
  <c r="H898" i="15"/>
  <c r="G898" i="15"/>
  <c r="F898" i="15"/>
  <c r="E898" i="15"/>
  <c r="D898" i="15"/>
  <c r="C898" i="15"/>
  <c r="B898" i="15"/>
  <c r="R897" i="15"/>
  <c r="Q897" i="15"/>
  <c r="P897" i="15"/>
  <c r="O897" i="15"/>
  <c r="N897" i="15"/>
  <c r="M897" i="15"/>
  <c r="L897" i="15"/>
  <c r="K897" i="15"/>
  <c r="J897" i="15"/>
  <c r="I897" i="15"/>
  <c r="H897" i="15"/>
  <c r="G897" i="15"/>
  <c r="F897" i="15"/>
  <c r="E897" i="15"/>
  <c r="D897" i="15"/>
  <c r="C897" i="15"/>
  <c r="B897" i="15"/>
  <c r="R896" i="15"/>
  <c r="Q896" i="15"/>
  <c r="P896" i="15"/>
  <c r="O896" i="15"/>
  <c r="N896" i="15"/>
  <c r="M896" i="15"/>
  <c r="L896" i="15"/>
  <c r="K896" i="15"/>
  <c r="J896" i="15"/>
  <c r="I896" i="15"/>
  <c r="H896" i="15"/>
  <c r="G896" i="15"/>
  <c r="F896" i="15"/>
  <c r="E896" i="15"/>
  <c r="D896" i="15"/>
  <c r="C896" i="15"/>
  <c r="B896" i="15"/>
  <c r="R895" i="15"/>
  <c r="Q895" i="15"/>
  <c r="P895" i="15"/>
  <c r="O895" i="15"/>
  <c r="N895" i="15"/>
  <c r="M895" i="15"/>
  <c r="L895" i="15"/>
  <c r="K895" i="15"/>
  <c r="J895" i="15"/>
  <c r="I895" i="15"/>
  <c r="H895" i="15"/>
  <c r="G895" i="15"/>
  <c r="F895" i="15"/>
  <c r="E895" i="15"/>
  <c r="D895" i="15"/>
  <c r="C895" i="15"/>
  <c r="B895" i="15"/>
  <c r="R894" i="15"/>
  <c r="Q894" i="15"/>
  <c r="P894" i="15"/>
  <c r="O894" i="15"/>
  <c r="N894" i="15"/>
  <c r="M894" i="15"/>
  <c r="L894" i="15"/>
  <c r="K894" i="15"/>
  <c r="J894" i="15"/>
  <c r="I894" i="15"/>
  <c r="H894" i="15"/>
  <c r="G894" i="15"/>
  <c r="F894" i="15"/>
  <c r="E894" i="15"/>
  <c r="D894" i="15"/>
  <c r="C894" i="15"/>
  <c r="B894" i="15"/>
  <c r="R893" i="15"/>
  <c r="Q893" i="15"/>
  <c r="P893" i="15"/>
  <c r="O893" i="15"/>
  <c r="N893" i="15"/>
  <c r="M893" i="15"/>
  <c r="L893" i="15"/>
  <c r="K893" i="15"/>
  <c r="J893" i="15"/>
  <c r="I893" i="15"/>
  <c r="H893" i="15"/>
  <c r="G893" i="15"/>
  <c r="F893" i="15"/>
  <c r="E893" i="15"/>
  <c r="D893" i="15"/>
  <c r="C893" i="15"/>
  <c r="B893" i="15"/>
  <c r="R892" i="15"/>
  <c r="Q892" i="15"/>
  <c r="P892" i="15"/>
  <c r="O892" i="15"/>
  <c r="N892" i="15"/>
  <c r="M892" i="15"/>
  <c r="L892" i="15"/>
  <c r="K892" i="15"/>
  <c r="J892" i="15"/>
  <c r="I892" i="15"/>
  <c r="H892" i="15"/>
  <c r="G892" i="15"/>
  <c r="F892" i="15"/>
  <c r="E892" i="15"/>
  <c r="D892" i="15"/>
  <c r="C892" i="15"/>
  <c r="B892" i="15"/>
  <c r="R891" i="15"/>
  <c r="Q891" i="15"/>
  <c r="P891" i="15"/>
  <c r="O891" i="15"/>
  <c r="N891" i="15"/>
  <c r="M891" i="15"/>
  <c r="L891" i="15"/>
  <c r="K891" i="15"/>
  <c r="J891" i="15"/>
  <c r="I891" i="15"/>
  <c r="H891" i="15"/>
  <c r="G891" i="15"/>
  <c r="F891" i="15"/>
  <c r="E891" i="15"/>
  <c r="D891" i="15"/>
  <c r="C891" i="15"/>
  <c r="B891" i="15"/>
  <c r="R890" i="15"/>
  <c r="Q890" i="15"/>
  <c r="P890" i="15"/>
  <c r="O890" i="15"/>
  <c r="N890" i="15"/>
  <c r="M890" i="15"/>
  <c r="L890" i="15"/>
  <c r="K890" i="15"/>
  <c r="J890" i="15"/>
  <c r="I890" i="15"/>
  <c r="H890" i="15"/>
  <c r="G890" i="15"/>
  <c r="F890" i="15"/>
  <c r="E890" i="15"/>
  <c r="D890" i="15"/>
  <c r="C890" i="15"/>
  <c r="B890" i="15"/>
  <c r="R889" i="15"/>
  <c r="Q889" i="15"/>
  <c r="P889" i="15"/>
  <c r="O889" i="15"/>
  <c r="N889" i="15"/>
  <c r="M889" i="15"/>
  <c r="L889" i="15"/>
  <c r="K889" i="15"/>
  <c r="J889" i="15"/>
  <c r="I889" i="15"/>
  <c r="H889" i="15"/>
  <c r="G889" i="15"/>
  <c r="F889" i="15"/>
  <c r="E889" i="15"/>
  <c r="D889" i="15"/>
  <c r="C889" i="15"/>
  <c r="B889" i="15"/>
  <c r="R888" i="15"/>
  <c r="Q888" i="15"/>
  <c r="P888" i="15"/>
  <c r="O888" i="15"/>
  <c r="N888" i="15"/>
  <c r="M888" i="15"/>
  <c r="L888" i="15"/>
  <c r="K888" i="15"/>
  <c r="J888" i="15"/>
  <c r="I888" i="15"/>
  <c r="H888" i="15"/>
  <c r="G888" i="15"/>
  <c r="F888" i="15"/>
  <c r="E888" i="15"/>
  <c r="D888" i="15"/>
  <c r="C888" i="15"/>
  <c r="B888" i="15"/>
  <c r="R887" i="15"/>
  <c r="Q887" i="15"/>
  <c r="P887" i="15"/>
  <c r="O887" i="15"/>
  <c r="N887" i="15"/>
  <c r="M887" i="15"/>
  <c r="L887" i="15"/>
  <c r="K887" i="15"/>
  <c r="J887" i="15"/>
  <c r="I887" i="15"/>
  <c r="H887" i="15"/>
  <c r="G887" i="15"/>
  <c r="F887" i="15"/>
  <c r="E887" i="15"/>
  <c r="D887" i="15"/>
  <c r="C887" i="15"/>
  <c r="B887" i="15"/>
  <c r="R886" i="15"/>
  <c r="Q886" i="15"/>
  <c r="P886" i="15"/>
  <c r="O886" i="15"/>
  <c r="N886" i="15"/>
  <c r="M886" i="15"/>
  <c r="L886" i="15"/>
  <c r="K886" i="15"/>
  <c r="J886" i="15"/>
  <c r="I886" i="15"/>
  <c r="H886" i="15"/>
  <c r="G886" i="15"/>
  <c r="F886" i="15"/>
  <c r="E886" i="15"/>
  <c r="D886" i="15"/>
  <c r="C886" i="15"/>
  <c r="B886" i="15"/>
  <c r="R885" i="15"/>
  <c r="Q885" i="15"/>
  <c r="P885" i="15"/>
  <c r="O885" i="15"/>
  <c r="N885" i="15"/>
  <c r="M885" i="15"/>
  <c r="L885" i="15"/>
  <c r="K885" i="15"/>
  <c r="J885" i="15"/>
  <c r="I885" i="15"/>
  <c r="H885" i="15"/>
  <c r="G885" i="15"/>
  <c r="F885" i="15"/>
  <c r="E885" i="15"/>
  <c r="D885" i="15"/>
  <c r="C885" i="15"/>
  <c r="B885" i="15"/>
  <c r="R884" i="15"/>
  <c r="Q884" i="15"/>
  <c r="P884" i="15"/>
  <c r="O884" i="15"/>
  <c r="N884" i="15"/>
  <c r="M884" i="15"/>
  <c r="L884" i="15"/>
  <c r="K884" i="15"/>
  <c r="J884" i="15"/>
  <c r="I884" i="15"/>
  <c r="H884" i="15"/>
  <c r="G884" i="15"/>
  <c r="F884" i="15"/>
  <c r="E884" i="15"/>
  <c r="D884" i="15"/>
  <c r="C884" i="15"/>
  <c r="B884" i="15"/>
  <c r="R883" i="15"/>
  <c r="Q883" i="15"/>
  <c r="P883" i="15"/>
  <c r="O883" i="15"/>
  <c r="N883" i="15"/>
  <c r="M883" i="15"/>
  <c r="L883" i="15"/>
  <c r="K883" i="15"/>
  <c r="J883" i="15"/>
  <c r="I883" i="15"/>
  <c r="H883" i="15"/>
  <c r="G883" i="15"/>
  <c r="F883" i="15"/>
  <c r="E883" i="15"/>
  <c r="D883" i="15"/>
  <c r="C883" i="15"/>
  <c r="B883" i="15"/>
  <c r="R882" i="15"/>
  <c r="Q882" i="15"/>
  <c r="P882" i="15"/>
  <c r="O882" i="15"/>
  <c r="N882" i="15"/>
  <c r="M882" i="15"/>
  <c r="L882" i="15"/>
  <c r="K882" i="15"/>
  <c r="J882" i="15"/>
  <c r="I882" i="15"/>
  <c r="H882" i="15"/>
  <c r="G882" i="15"/>
  <c r="F882" i="15"/>
  <c r="E882" i="15"/>
  <c r="D882" i="15"/>
  <c r="C882" i="15"/>
  <c r="B882" i="15"/>
  <c r="R881" i="15"/>
  <c r="Q881" i="15"/>
  <c r="P881" i="15"/>
  <c r="O881" i="15"/>
  <c r="N881" i="15"/>
  <c r="M881" i="15"/>
  <c r="L881" i="15"/>
  <c r="K881" i="15"/>
  <c r="J881" i="15"/>
  <c r="I881" i="15"/>
  <c r="H881" i="15"/>
  <c r="G881" i="15"/>
  <c r="F881" i="15"/>
  <c r="E881" i="15"/>
  <c r="D881" i="15"/>
  <c r="C881" i="15"/>
  <c r="B881" i="15"/>
  <c r="R880" i="15"/>
  <c r="Q880" i="15"/>
  <c r="P880" i="15"/>
  <c r="O880" i="15"/>
  <c r="N880" i="15"/>
  <c r="M880" i="15"/>
  <c r="L880" i="15"/>
  <c r="K880" i="15"/>
  <c r="J880" i="15"/>
  <c r="I880" i="15"/>
  <c r="H880" i="15"/>
  <c r="G880" i="15"/>
  <c r="F880" i="15"/>
  <c r="E880" i="15"/>
  <c r="D880" i="15"/>
  <c r="C880" i="15"/>
  <c r="B880" i="15"/>
  <c r="R879" i="15"/>
  <c r="Q879" i="15"/>
  <c r="P879" i="15"/>
  <c r="O879" i="15"/>
  <c r="N879" i="15"/>
  <c r="M879" i="15"/>
  <c r="L879" i="15"/>
  <c r="K879" i="15"/>
  <c r="J879" i="15"/>
  <c r="I879" i="15"/>
  <c r="H879" i="15"/>
  <c r="G879" i="15"/>
  <c r="F879" i="15"/>
  <c r="E879" i="15"/>
  <c r="D879" i="15"/>
  <c r="C879" i="15"/>
  <c r="B879" i="15"/>
  <c r="R878" i="15"/>
  <c r="Q878" i="15"/>
  <c r="P878" i="15"/>
  <c r="O878" i="15"/>
  <c r="N878" i="15"/>
  <c r="M878" i="15"/>
  <c r="L878" i="15"/>
  <c r="K878" i="15"/>
  <c r="J878" i="15"/>
  <c r="I878" i="15"/>
  <c r="H878" i="15"/>
  <c r="G878" i="15"/>
  <c r="F878" i="15"/>
  <c r="E878" i="15"/>
  <c r="D878" i="15"/>
  <c r="C878" i="15"/>
  <c r="B878" i="15"/>
  <c r="R877" i="15"/>
  <c r="Q877" i="15"/>
  <c r="P877" i="15"/>
  <c r="O877" i="15"/>
  <c r="N877" i="15"/>
  <c r="M877" i="15"/>
  <c r="L877" i="15"/>
  <c r="K877" i="15"/>
  <c r="J877" i="15"/>
  <c r="I877" i="15"/>
  <c r="H877" i="15"/>
  <c r="G877" i="15"/>
  <c r="F877" i="15"/>
  <c r="E877" i="15"/>
  <c r="D877" i="15"/>
  <c r="C877" i="15"/>
  <c r="B877" i="15"/>
  <c r="R876" i="15"/>
  <c r="Q876" i="15"/>
  <c r="P876" i="15"/>
  <c r="O876" i="15"/>
  <c r="N876" i="15"/>
  <c r="M876" i="15"/>
  <c r="L876" i="15"/>
  <c r="K876" i="15"/>
  <c r="J876" i="15"/>
  <c r="I876" i="15"/>
  <c r="H876" i="15"/>
  <c r="G876" i="15"/>
  <c r="F876" i="15"/>
  <c r="E876" i="15"/>
  <c r="D876" i="15"/>
  <c r="C876" i="15"/>
  <c r="B876" i="15"/>
  <c r="R875" i="15"/>
  <c r="Q875" i="15"/>
  <c r="P875" i="15"/>
  <c r="O875" i="15"/>
  <c r="N875" i="15"/>
  <c r="M875" i="15"/>
  <c r="L875" i="15"/>
  <c r="K875" i="15"/>
  <c r="J875" i="15"/>
  <c r="I875" i="15"/>
  <c r="H875" i="15"/>
  <c r="G875" i="15"/>
  <c r="F875" i="15"/>
  <c r="E875" i="15"/>
  <c r="D875" i="15"/>
  <c r="C875" i="15"/>
  <c r="B875" i="15"/>
  <c r="R874" i="15"/>
  <c r="Q874" i="15"/>
  <c r="P874" i="15"/>
  <c r="O874" i="15"/>
  <c r="N874" i="15"/>
  <c r="M874" i="15"/>
  <c r="L874" i="15"/>
  <c r="K874" i="15"/>
  <c r="J874" i="15"/>
  <c r="I874" i="15"/>
  <c r="H874" i="15"/>
  <c r="G874" i="15"/>
  <c r="F874" i="15"/>
  <c r="E874" i="15"/>
  <c r="D874" i="15"/>
  <c r="C874" i="15"/>
  <c r="B874" i="15"/>
  <c r="R873" i="15"/>
  <c r="Q873" i="15"/>
  <c r="P873" i="15"/>
  <c r="O873" i="15"/>
  <c r="N873" i="15"/>
  <c r="M873" i="15"/>
  <c r="L873" i="15"/>
  <c r="K873" i="15"/>
  <c r="J873" i="15"/>
  <c r="I873" i="15"/>
  <c r="H873" i="15"/>
  <c r="G873" i="15"/>
  <c r="F873" i="15"/>
  <c r="E873" i="15"/>
  <c r="D873" i="15"/>
  <c r="C873" i="15"/>
  <c r="B873" i="15"/>
  <c r="R872" i="15"/>
  <c r="Q872" i="15"/>
  <c r="P872" i="15"/>
  <c r="O872" i="15"/>
  <c r="N872" i="15"/>
  <c r="M872" i="15"/>
  <c r="L872" i="15"/>
  <c r="K872" i="15"/>
  <c r="J872" i="15"/>
  <c r="I872" i="15"/>
  <c r="H872" i="15"/>
  <c r="G872" i="15"/>
  <c r="F872" i="15"/>
  <c r="E872" i="15"/>
  <c r="D872" i="15"/>
  <c r="C872" i="15"/>
  <c r="B872" i="15"/>
  <c r="R871" i="15"/>
  <c r="Q871" i="15"/>
  <c r="P871" i="15"/>
  <c r="O871" i="15"/>
  <c r="N871" i="15"/>
  <c r="M871" i="15"/>
  <c r="L871" i="15"/>
  <c r="K871" i="15"/>
  <c r="J871" i="15"/>
  <c r="I871" i="15"/>
  <c r="H871" i="15"/>
  <c r="G871" i="15"/>
  <c r="F871" i="15"/>
  <c r="E871" i="15"/>
  <c r="D871" i="15"/>
  <c r="C871" i="15"/>
  <c r="B871" i="15"/>
  <c r="R870" i="15"/>
  <c r="Q870" i="15"/>
  <c r="P870" i="15"/>
  <c r="O870" i="15"/>
  <c r="N870" i="15"/>
  <c r="M870" i="15"/>
  <c r="L870" i="15"/>
  <c r="K870" i="15"/>
  <c r="J870" i="15"/>
  <c r="I870" i="15"/>
  <c r="H870" i="15"/>
  <c r="G870" i="15"/>
  <c r="F870" i="15"/>
  <c r="E870" i="15"/>
  <c r="D870" i="15"/>
  <c r="C870" i="15"/>
  <c r="B870" i="15"/>
  <c r="R869" i="15"/>
  <c r="Q869" i="15"/>
  <c r="P869" i="15"/>
  <c r="O869" i="15"/>
  <c r="N869" i="15"/>
  <c r="M869" i="15"/>
  <c r="L869" i="15"/>
  <c r="K869" i="15"/>
  <c r="J869" i="15"/>
  <c r="I869" i="15"/>
  <c r="H869" i="15"/>
  <c r="G869" i="15"/>
  <c r="F869" i="15"/>
  <c r="E869" i="15"/>
  <c r="D869" i="15"/>
  <c r="C869" i="15"/>
  <c r="B869" i="15"/>
  <c r="R868" i="15"/>
  <c r="Q868" i="15"/>
  <c r="P868" i="15"/>
  <c r="O868" i="15"/>
  <c r="N868" i="15"/>
  <c r="M868" i="15"/>
  <c r="L868" i="15"/>
  <c r="K868" i="15"/>
  <c r="J868" i="15"/>
  <c r="I868" i="15"/>
  <c r="H868" i="15"/>
  <c r="G868" i="15"/>
  <c r="F868" i="15"/>
  <c r="E868" i="15"/>
  <c r="D868" i="15"/>
  <c r="C868" i="15"/>
  <c r="B868" i="15"/>
  <c r="R867" i="15"/>
  <c r="Q867" i="15"/>
  <c r="P867" i="15"/>
  <c r="O867" i="15"/>
  <c r="N867" i="15"/>
  <c r="M867" i="15"/>
  <c r="L867" i="15"/>
  <c r="K867" i="15"/>
  <c r="J867" i="15"/>
  <c r="I867" i="15"/>
  <c r="H867" i="15"/>
  <c r="G867" i="15"/>
  <c r="F867" i="15"/>
  <c r="E867" i="15"/>
  <c r="D867" i="15"/>
  <c r="C867" i="15"/>
  <c r="B867" i="15"/>
  <c r="R866" i="15"/>
  <c r="Q866" i="15"/>
  <c r="P866" i="15"/>
  <c r="O866" i="15"/>
  <c r="N866" i="15"/>
  <c r="M866" i="15"/>
  <c r="L866" i="15"/>
  <c r="K866" i="15"/>
  <c r="J866" i="15"/>
  <c r="I866" i="15"/>
  <c r="H866" i="15"/>
  <c r="G866" i="15"/>
  <c r="F866" i="15"/>
  <c r="E866" i="15"/>
  <c r="D866" i="15"/>
  <c r="C866" i="15"/>
  <c r="B866" i="15"/>
  <c r="R865" i="15"/>
  <c r="Q865" i="15"/>
  <c r="P865" i="15"/>
  <c r="O865" i="15"/>
  <c r="N865" i="15"/>
  <c r="M865" i="15"/>
  <c r="L865" i="15"/>
  <c r="K865" i="15"/>
  <c r="J865" i="15"/>
  <c r="I865" i="15"/>
  <c r="H865" i="15"/>
  <c r="G865" i="15"/>
  <c r="F865" i="15"/>
  <c r="E865" i="15"/>
  <c r="D865" i="15"/>
  <c r="C865" i="15"/>
  <c r="B865" i="15"/>
  <c r="R864" i="15"/>
  <c r="Q864" i="15"/>
  <c r="P864" i="15"/>
  <c r="O864" i="15"/>
  <c r="N864" i="15"/>
  <c r="M864" i="15"/>
  <c r="L864" i="15"/>
  <c r="K864" i="15"/>
  <c r="J864" i="15"/>
  <c r="I864" i="15"/>
  <c r="H864" i="15"/>
  <c r="G864" i="15"/>
  <c r="F864" i="15"/>
  <c r="E864" i="15"/>
  <c r="D864" i="15"/>
  <c r="C864" i="15"/>
  <c r="B864" i="15"/>
  <c r="R863" i="15"/>
  <c r="Q863" i="15"/>
  <c r="P863" i="15"/>
  <c r="O863" i="15"/>
  <c r="N863" i="15"/>
  <c r="M863" i="15"/>
  <c r="L863" i="15"/>
  <c r="K863" i="15"/>
  <c r="J863" i="15"/>
  <c r="I863" i="15"/>
  <c r="H863" i="15"/>
  <c r="G863" i="15"/>
  <c r="F863" i="15"/>
  <c r="E863" i="15"/>
  <c r="D863" i="15"/>
  <c r="C863" i="15"/>
  <c r="B863" i="15"/>
  <c r="R862" i="15"/>
  <c r="Q862" i="15"/>
  <c r="P862" i="15"/>
  <c r="O862" i="15"/>
  <c r="N862" i="15"/>
  <c r="M862" i="15"/>
  <c r="L862" i="15"/>
  <c r="K862" i="15"/>
  <c r="J862" i="15"/>
  <c r="I862" i="15"/>
  <c r="H862" i="15"/>
  <c r="G862" i="15"/>
  <c r="F862" i="15"/>
  <c r="E862" i="15"/>
  <c r="D862" i="15"/>
  <c r="C862" i="15"/>
  <c r="B862" i="15"/>
  <c r="R861" i="15"/>
  <c r="Q861" i="15"/>
  <c r="P861" i="15"/>
  <c r="O861" i="15"/>
  <c r="N861" i="15"/>
  <c r="M861" i="15"/>
  <c r="L861" i="15"/>
  <c r="K861" i="15"/>
  <c r="J861" i="15"/>
  <c r="I861" i="15"/>
  <c r="H861" i="15"/>
  <c r="G861" i="15"/>
  <c r="F861" i="15"/>
  <c r="E861" i="15"/>
  <c r="D861" i="15"/>
  <c r="C861" i="15"/>
  <c r="B861" i="15"/>
  <c r="R860" i="15"/>
  <c r="Q860" i="15"/>
  <c r="P860" i="15"/>
  <c r="O860" i="15"/>
  <c r="N860" i="15"/>
  <c r="M860" i="15"/>
  <c r="L860" i="15"/>
  <c r="K860" i="15"/>
  <c r="J860" i="15"/>
  <c r="I860" i="15"/>
  <c r="H860" i="15"/>
  <c r="G860" i="15"/>
  <c r="F860" i="15"/>
  <c r="E860" i="15"/>
  <c r="D860" i="15"/>
  <c r="C860" i="15"/>
  <c r="B860" i="15"/>
  <c r="R859" i="15"/>
  <c r="Q859" i="15"/>
  <c r="P859" i="15"/>
  <c r="O859" i="15"/>
  <c r="N859" i="15"/>
  <c r="M859" i="15"/>
  <c r="L859" i="15"/>
  <c r="K859" i="15"/>
  <c r="J859" i="15"/>
  <c r="I859" i="15"/>
  <c r="H859" i="15"/>
  <c r="G859" i="15"/>
  <c r="F859" i="15"/>
  <c r="E859" i="15"/>
  <c r="D859" i="15"/>
  <c r="C859" i="15"/>
  <c r="B859" i="15"/>
  <c r="R858" i="15"/>
  <c r="Q858" i="15"/>
  <c r="P858" i="15"/>
  <c r="O858" i="15"/>
  <c r="N858" i="15"/>
  <c r="M858" i="15"/>
  <c r="L858" i="15"/>
  <c r="K858" i="15"/>
  <c r="J858" i="15"/>
  <c r="I858" i="15"/>
  <c r="H858" i="15"/>
  <c r="G858" i="15"/>
  <c r="F858" i="15"/>
  <c r="E858" i="15"/>
  <c r="D858" i="15"/>
  <c r="C858" i="15"/>
  <c r="B858" i="15"/>
  <c r="R857" i="15"/>
  <c r="Q857" i="15"/>
  <c r="P857" i="15"/>
  <c r="O857" i="15"/>
  <c r="N857" i="15"/>
  <c r="M857" i="15"/>
  <c r="L857" i="15"/>
  <c r="K857" i="15"/>
  <c r="J857" i="15"/>
  <c r="I857" i="15"/>
  <c r="H857" i="15"/>
  <c r="G857" i="15"/>
  <c r="F857" i="15"/>
  <c r="E857" i="15"/>
  <c r="D857" i="15"/>
  <c r="C857" i="15"/>
  <c r="B857" i="15"/>
  <c r="R856" i="15"/>
  <c r="Q856" i="15"/>
  <c r="P856" i="15"/>
  <c r="O856" i="15"/>
  <c r="N856" i="15"/>
  <c r="M856" i="15"/>
  <c r="L856" i="15"/>
  <c r="K856" i="15"/>
  <c r="J856" i="15"/>
  <c r="I856" i="15"/>
  <c r="H856" i="15"/>
  <c r="G856" i="15"/>
  <c r="F856" i="15"/>
  <c r="E856" i="15"/>
  <c r="D856" i="15"/>
  <c r="C856" i="15"/>
  <c r="B856" i="15"/>
  <c r="R855" i="15"/>
  <c r="Q855" i="15"/>
  <c r="P855" i="15"/>
  <c r="O855" i="15"/>
  <c r="N855" i="15"/>
  <c r="M855" i="15"/>
  <c r="L855" i="15"/>
  <c r="K855" i="15"/>
  <c r="J855" i="15"/>
  <c r="I855" i="15"/>
  <c r="H855" i="15"/>
  <c r="G855" i="15"/>
  <c r="F855" i="15"/>
  <c r="E855" i="15"/>
  <c r="D855" i="15"/>
  <c r="C855" i="15"/>
  <c r="B855" i="15"/>
  <c r="R854" i="15"/>
  <c r="Q854" i="15"/>
  <c r="P854" i="15"/>
  <c r="O854" i="15"/>
  <c r="N854" i="15"/>
  <c r="M854" i="15"/>
  <c r="L854" i="15"/>
  <c r="K854" i="15"/>
  <c r="J854" i="15"/>
  <c r="I854" i="15"/>
  <c r="H854" i="15"/>
  <c r="G854" i="15"/>
  <c r="F854" i="15"/>
  <c r="E854" i="15"/>
  <c r="D854" i="15"/>
  <c r="C854" i="15"/>
  <c r="B854" i="15"/>
  <c r="R853" i="15"/>
  <c r="Q853" i="15"/>
  <c r="P853" i="15"/>
  <c r="O853" i="15"/>
  <c r="N853" i="15"/>
  <c r="M853" i="15"/>
  <c r="L853" i="15"/>
  <c r="K853" i="15"/>
  <c r="J853" i="15"/>
  <c r="I853" i="15"/>
  <c r="H853" i="15"/>
  <c r="G853" i="15"/>
  <c r="F853" i="15"/>
  <c r="E853" i="15"/>
  <c r="D853" i="15"/>
  <c r="C853" i="15"/>
  <c r="B853" i="15"/>
  <c r="R852" i="15"/>
  <c r="Q852" i="15"/>
  <c r="P852" i="15"/>
  <c r="O852" i="15"/>
  <c r="N852" i="15"/>
  <c r="M852" i="15"/>
  <c r="L852" i="15"/>
  <c r="K852" i="15"/>
  <c r="J852" i="15"/>
  <c r="I852" i="15"/>
  <c r="H852" i="15"/>
  <c r="G852" i="15"/>
  <c r="F852" i="15"/>
  <c r="E852" i="15"/>
  <c r="D852" i="15"/>
  <c r="C852" i="15"/>
  <c r="B852" i="15"/>
  <c r="R851" i="15"/>
  <c r="Q851" i="15"/>
  <c r="P851" i="15"/>
  <c r="O851" i="15"/>
  <c r="N851" i="15"/>
  <c r="M851" i="15"/>
  <c r="L851" i="15"/>
  <c r="K851" i="15"/>
  <c r="J851" i="15"/>
  <c r="I851" i="15"/>
  <c r="H851" i="15"/>
  <c r="G851" i="15"/>
  <c r="F851" i="15"/>
  <c r="E851" i="15"/>
  <c r="D851" i="15"/>
  <c r="C851" i="15"/>
  <c r="B851" i="15"/>
  <c r="R850" i="15"/>
  <c r="Q850" i="15"/>
  <c r="P850" i="15"/>
  <c r="O850" i="15"/>
  <c r="N850" i="15"/>
  <c r="M850" i="15"/>
  <c r="L850" i="15"/>
  <c r="K850" i="15"/>
  <c r="J850" i="15"/>
  <c r="I850" i="15"/>
  <c r="H850" i="15"/>
  <c r="G850" i="15"/>
  <c r="F850" i="15"/>
  <c r="E850" i="15"/>
  <c r="D850" i="15"/>
  <c r="C850" i="15"/>
  <c r="B850" i="15"/>
  <c r="R849" i="15"/>
  <c r="Q849" i="15"/>
  <c r="P849" i="15"/>
  <c r="O849" i="15"/>
  <c r="N849" i="15"/>
  <c r="M849" i="15"/>
  <c r="L849" i="15"/>
  <c r="K849" i="15"/>
  <c r="J849" i="15"/>
  <c r="I849" i="15"/>
  <c r="H849" i="15"/>
  <c r="G849" i="15"/>
  <c r="F849" i="15"/>
  <c r="E849" i="15"/>
  <c r="D849" i="15"/>
  <c r="C849" i="15"/>
  <c r="B849" i="15"/>
  <c r="R848" i="15"/>
  <c r="Q848" i="15"/>
  <c r="P848" i="15"/>
  <c r="O848" i="15"/>
  <c r="N848" i="15"/>
  <c r="M848" i="15"/>
  <c r="L848" i="15"/>
  <c r="K848" i="15"/>
  <c r="J848" i="15"/>
  <c r="I848" i="15"/>
  <c r="H848" i="15"/>
  <c r="G848" i="15"/>
  <c r="F848" i="15"/>
  <c r="E848" i="15"/>
  <c r="D848" i="15"/>
  <c r="C848" i="15"/>
  <c r="B848" i="15"/>
  <c r="R847" i="15"/>
  <c r="Q847" i="15"/>
  <c r="P847" i="15"/>
  <c r="O847" i="15"/>
  <c r="N847" i="15"/>
  <c r="M847" i="15"/>
  <c r="L847" i="15"/>
  <c r="K847" i="15"/>
  <c r="J847" i="15"/>
  <c r="I847" i="15"/>
  <c r="H847" i="15"/>
  <c r="G847" i="15"/>
  <c r="F847" i="15"/>
  <c r="E847" i="15"/>
  <c r="D847" i="15"/>
  <c r="C847" i="15"/>
  <c r="B847" i="15"/>
  <c r="R846" i="15"/>
  <c r="Q846" i="15"/>
  <c r="P846" i="15"/>
  <c r="O846" i="15"/>
  <c r="N846" i="15"/>
  <c r="M846" i="15"/>
  <c r="L846" i="15"/>
  <c r="K846" i="15"/>
  <c r="J846" i="15"/>
  <c r="I846" i="15"/>
  <c r="H846" i="15"/>
  <c r="G846" i="15"/>
  <c r="F846" i="15"/>
  <c r="E846" i="15"/>
  <c r="D846" i="15"/>
  <c r="C846" i="15"/>
  <c r="B846" i="15"/>
  <c r="R845" i="15"/>
  <c r="Q845" i="15"/>
  <c r="P845" i="15"/>
  <c r="O845" i="15"/>
  <c r="N845" i="15"/>
  <c r="M845" i="15"/>
  <c r="L845" i="15"/>
  <c r="K845" i="15"/>
  <c r="J845" i="15"/>
  <c r="I845" i="15"/>
  <c r="H845" i="15"/>
  <c r="G845" i="15"/>
  <c r="F845" i="15"/>
  <c r="E845" i="15"/>
  <c r="D845" i="15"/>
  <c r="C845" i="15"/>
  <c r="B845" i="15"/>
  <c r="R844" i="15"/>
  <c r="Q844" i="15"/>
  <c r="P844" i="15"/>
  <c r="O844" i="15"/>
  <c r="N844" i="15"/>
  <c r="M844" i="15"/>
  <c r="L844" i="15"/>
  <c r="K844" i="15"/>
  <c r="J844" i="15"/>
  <c r="I844" i="15"/>
  <c r="H844" i="15"/>
  <c r="G844" i="15"/>
  <c r="F844" i="15"/>
  <c r="E844" i="15"/>
  <c r="D844" i="15"/>
  <c r="C844" i="15"/>
  <c r="B844" i="15"/>
  <c r="R843" i="15"/>
  <c r="Q843" i="15"/>
  <c r="P843" i="15"/>
  <c r="O843" i="15"/>
  <c r="N843" i="15"/>
  <c r="M843" i="15"/>
  <c r="L843" i="15"/>
  <c r="K843" i="15"/>
  <c r="J843" i="15"/>
  <c r="I843" i="15"/>
  <c r="H843" i="15"/>
  <c r="G843" i="15"/>
  <c r="F843" i="15"/>
  <c r="E843" i="15"/>
  <c r="D843" i="15"/>
  <c r="C843" i="15"/>
  <c r="B843" i="15"/>
  <c r="R842" i="15"/>
  <c r="Q842" i="15"/>
  <c r="P842" i="15"/>
  <c r="O842" i="15"/>
  <c r="N842" i="15"/>
  <c r="M842" i="15"/>
  <c r="L842" i="15"/>
  <c r="K842" i="15"/>
  <c r="J842" i="15"/>
  <c r="I842" i="15"/>
  <c r="H842" i="15"/>
  <c r="G842" i="15"/>
  <c r="F842" i="15"/>
  <c r="E842" i="15"/>
  <c r="D842" i="15"/>
  <c r="C842" i="15"/>
  <c r="B842" i="15"/>
  <c r="R841" i="15"/>
  <c r="Q841" i="15"/>
  <c r="P841" i="15"/>
  <c r="O841" i="15"/>
  <c r="N841" i="15"/>
  <c r="M841" i="15"/>
  <c r="L841" i="15"/>
  <c r="K841" i="15"/>
  <c r="J841" i="15"/>
  <c r="I841" i="15"/>
  <c r="H841" i="15"/>
  <c r="G841" i="15"/>
  <c r="F841" i="15"/>
  <c r="E841" i="15"/>
  <c r="D841" i="15"/>
  <c r="C841" i="15"/>
  <c r="B841" i="15"/>
  <c r="R840" i="15"/>
  <c r="Q840" i="15"/>
  <c r="P840" i="15"/>
  <c r="O840" i="15"/>
  <c r="N840" i="15"/>
  <c r="M840" i="15"/>
  <c r="L840" i="15"/>
  <c r="K840" i="15"/>
  <c r="J840" i="15"/>
  <c r="I840" i="15"/>
  <c r="H840" i="15"/>
  <c r="G840" i="15"/>
  <c r="F840" i="15"/>
  <c r="E840" i="15"/>
  <c r="D840" i="15"/>
  <c r="C840" i="15"/>
  <c r="B840" i="15"/>
  <c r="R839" i="15"/>
  <c r="Q839" i="15"/>
  <c r="P839" i="15"/>
  <c r="O839" i="15"/>
  <c r="N839" i="15"/>
  <c r="M839" i="15"/>
  <c r="L839" i="15"/>
  <c r="K839" i="15"/>
  <c r="J839" i="15"/>
  <c r="I839" i="15"/>
  <c r="H839" i="15"/>
  <c r="G839" i="15"/>
  <c r="F839" i="15"/>
  <c r="E839" i="15"/>
  <c r="D839" i="15"/>
  <c r="C839" i="15"/>
  <c r="B839" i="15"/>
  <c r="R838" i="15"/>
  <c r="Q838" i="15"/>
  <c r="P838" i="15"/>
  <c r="O838" i="15"/>
  <c r="N838" i="15"/>
  <c r="M838" i="15"/>
  <c r="L838" i="15"/>
  <c r="K838" i="15"/>
  <c r="J838" i="15"/>
  <c r="I838" i="15"/>
  <c r="H838" i="15"/>
  <c r="G838" i="15"/>
  <c r="F838" i="15"/>
  <c r="E838" i="15"/>
  <c r="D838" i="15"/>
  <c r="C838" i="15"/>
  <c r="B838" i="15"/>
  <c r="R837" i="15"/>
  <c r="Q837" i="15"/>
  <c r="P837" i="15"/>
  <c r="O837" i="15"/>
  <c r="N837" i="15"/>
  <c r="M837" i="15"/>
  <c r="L837" i="15"/>
  <c r="K837" i="15"/>
  <c r="J837" i="15"/>
  <c r="I837" i="15"/>
  <c r="H837" i="15"/>
  <c r="G837" i="15"/>
  <c r="F837" i="15"/>
  <c r="E837" i="15"/>
  <c r="D837" i="15"/>
  <c r="C837" i="15"/>
  <c r="B837" i="15"/>
  <c r="R836" i="15"/>
  <c r="Q836" i="15"/>
  <c r="P836" i="15"/>
  <c r="O836" i="15"/>
  <c r="N836" i="15"/>
  <c r="M836" i="15"/>
  <c r="L836" i="15"/>
  <c r="K836" i="15"/>
  <c r="J836" i="15"/>
  <c r="I836" i="15"/>
  <c r="H836" i="15"/>
  <c r="G836" i="15"/>
  <c r="F836" i="15"/>
  <c r="E836" i="15"/>
  <c r="D836" i="15"/>
  <c r="C836" i="15"/>
  <c r="B836" i="15"/>
  <c r="R835" i="15"/>
  <c r="Q835" i="15"/>
  <c r="P835" i="15"/>
  <c r="O835" i="15"/>
  <c r="N835" i="15"/>
  <c r="M835" i="15"/>
  <c r="L835" i="15"/>
  <c r="K835" i="15"/>
  <c r="J835" i="15"/>
  <c r="I835" i="15"/>
  <c r="H835" i="15"/>
  <c r="G835" i="15"/>
  <c r="F835" i="15"/>
  <c r="E835" i="15"/>
  <c r="D835" i="15"/>
  <c r="C835" i="15"/>
  <c r="B835" i="15"/>
  <c r="R834" i="15"/>
  <c r="Q834" i="15"/>
  <c r="P834" i="15"/>
  <c r="O834" i="15"/>
  <c r="N834" i="15"/>
  <c r="M834" i="15"/>
  <c r="L834" i="15"/>
  <c r="K834" i="15"/>
  <c r="J834" i="15"/>
  <c r="I834" i="15"/>
  <c r="H834" i="15"/>
  <c r="G834" i="15"/>
  <c r="F834" i="15"/>
  <c r="E834" i="15"/>
  <c r="D834" i="15"/>
  <c r="C834" i="15"/>
  <c r="B834" i="15"/>
  <c r="R833" i="15"/>
  <c r="Q833" i="15"/>
  <c r="P833" i="15"/>
  <c r="O833" i="15"/>
  <c r="N833" i="15"/>
  <c r="M833" i="15"/>
  <c r="L833" i="15"/>
  <c r="K833" i="15"/>
  <c r="J833" i="15"/>
  <c r="I833" i="15"/>
  <c r="H833" i="15"/>
  <c r="G833" i="15"/>
  <c r="F833" i="15"/>
  <c r="E833" i="15"/>
  <c r="D833" i="15"/>
  <c r="C833" i="15"/>
  <c r="B833" i="15"/>
  <c r="R832" i="15"/>
  <c r="Q832" i="15"/>
  <c r="P832" i="15"/>
  <c r="O832" i="15"/>
  <c r="N832" i="15"/>
  <c r="M832" i="15"/>
  <c r="L832" i="15"/>
  <c r="K832" i="15"/>
  <c r="J832" i="15"/>
  <c r="I832" i="15"/>
  <c r="H832" i="15"/>
  <c r="G832" i="15"/>
  <c r="F832" i="15"/>
  <c r="E832" i="15"/>
  <c r="D832" i="15"/>
  <c r="C832" i="15"/>
  <c r="B832" i="15"/>
  <c r="R831" i="15"/>
  <c r="Q831" i="15"/>
  <c r="P831" i="15"/>
  <c r="O831" i="15"/>
  <c r="N831" i="15"/>
  <c r="M831" i="15"/>
  <c r="L831" i="15"/>
  <c r="K831" i="15"/>
  <c r="J831" i="15"/>
  <c r="I831" i="15"/>
  <c r="H831" i="15"/>
  <c r="G831" i="15"/>
  <c r="F831" i="15"/>
  <c r="E831" i="15"/>
  <c r="D831" i="15"/>
  <c r="C831" i="15"/>
  <c r="B831" i="15"/>
  <c r="R830" i="15"/>
  <c r="Q830" i="15"/>
  <c r="P830" i="15"/>
  <c r="O830" i="15"/>
  <c r="N830" i="15"/>
  <c r="M830" i="15"/>
  <c r="L830" i="15"/>
  <c r="K830" i="15"/>
  <c r="J830" i="15"/>
  <c r="I830" i="15"/>
  <c r="H830" i="15"/>
  <c r="G830" i="15"/>
  <c r="F830" i="15"/>
  <c r="E830" i="15"/>
  <c r="D830" i="15"/>
  <c r="C830" i="15"/>
  <c r="B830" i="15"/>
  <c r="R829" i="15"/>
  <c r="Q829" i="15"/>
  <c r="P829" i="15"/>
  <c r="O829" i="15"/>
  <c r="N829" i="15"/>
  <c r="M829" i="15"/>
  <c r="L829" i="15"/>
  <c r="K829" i="15"/>
  <c r="J829" i="15"/>
  <c r="I829" i="15"/>
  <c r="H829" i="15"/>
  <c r="G829" i="15"/>
  <c r="F829" i="15"/>
  <c r="E829" i="15"/>
  <c r="D829" i="15"/>
  <c r="C829" i="15"/>
  <c r="B829" i="15"/>
  <c r="R828" i="15"/>
  <c r="Q828" i="15"/>
  <c r="P828" i="15"/>
  <c r="O828" i="15"/>
  <c r="N828" i="15"/>
  <c r="M828" i="15"/>
  <c r="L828" i="15"/>
  <c r="K828" i="15"/>
  <c r="J828" i="15"/>
  <c r="I828" i="15"/>
  <c r="H828" i="15"/>
  <c r="G828" i="15"/>
  <c r="F828" i="15"/>
  <c r="E828" i="15"/>
  <c r="D828" i="15"/>
  <c r="C828" i="15"/>
  <c r="B828" i="15"/>
  <c r="R827" i="15"/>
  <c r="Q827" i="15"/>
  <c r="P827" i="15"/>
  <c r="O827" i="15"/>
  <c r="N827" i="15"/>
  <c r="M827" i="15"/>
  <c r="L827" i="15"/>
  <c r="K827" i="15"/>
  <c r="J827" i="15"/>
  <c r="I827" i="15"/>
  <c r="H827" i="15"/>
  <c r="G827" i="15"/>
  <c r="F827" i="15"/>
  <c r="E827" i="15"/>
  <c r="D827" i="15"/>
  <c r="C827" i="15"/>
  <c r="B827" i="15"/>
  <c r="R826" i="15"/>
  <c r="Q826" i="15"/>
  <c r="P826" i="15"/>
  <c r="O826" i="15"/>
  <c r="N826" i="15"/>
  <c r="M826" i="15"/>
  <c r="L826" i="15"/>
  <c r="K826" i="15"/>
  <c r="J826" i="15"/>
  <c r="I826" i="15"/>
  <c r="H826" i="15"/>
  <c r="G826" i="15"/>
  <c r="F826" i="15"/>
  <c r="E826" i="15"/>
  <c r="D826" i="15"/>
  <c r="C826" i="15"/>
  <c r="B826" i="15"/>
  <c r="R825" i="15"/>
  <c r="Q825" i="15"/>
  <c r="P825" i="15"/>
  <c r="O825" i="15"/>
  <c r="N825" i="15"/>
  <c r="M825" i="15"/>
  <c r="L825" i="15"/>
  <c r="K825" i="15"/>
  <c r="J825" i="15"/>
  <c r="I825" i="15"/>
  <c r="H825" i="15"/>
  <c r="G825" i="15"/>
  <c r="F825" i="15"/>
  <c r="E825" i="15"/>
  <c r="D825" i="15"/>
  <c r="C825" i="15"/>
  <c r="B825" i="15"/>
  <c r="R824" i="15"/>
  <c r="Q824" i="15"/>
  <c r="P824" i="15"/>
  <c r="O824" i="15"/>
  <c r="N824" i="15"/>
  <c r="M824" i="15"/>
  <c r="L824" i="15"/>
  <c r="K824" i="15"/>
  <c r="J824" i="15"/>
  <c r="I824" i="15"/>
  <c r="H824" i="15"/>
  <c r="G824" i="15"/>
  <c r="F824" i="15"/>
  <c r="E824" i="15"/>
  <c r="D824" i="15"/>
  <c r="C824" i="15"/>
  <c r="B824" i="15"/>
  <c r="R823" i="15"/>
  <c r="Q823" i="15"/>
  <c r="P823" i="15"/>
  <c r="O823" i="15"/>
  <c r="N823" i="15"/>
  <c r="M823" i="15"/>
  <c r="L823" i="15"/>
  <c r="K823" i="15"/>
  <c r="J823" i="15"/>
  <c r="I823" i="15"/>
  <c r="H823" i="15"/>
  <c r="G823" i="15"/>
  <c r="F823" i="15"/>
  <c r="E823" i="15"/>
  <c r="D823" i="15"/>
  <c r="C823" i="15"/>
  <c r="B823" i="15"/>
  <c r="R822" i="15"/>
  <c r="Q822" i="15"/>
  <c r="P822" i="15"/>
  <c r="O822" i="15"/>
  <c r="N822" i="15"/>
  <c r="M822" i="15"/>
  <c r="L822" i="15"/>
  <c r="K822" i="15"/>
  <c r="J822" i="15"/>
  <c r="I822" i="15"/>
  <c r="H822" i="15"/>
  <c r="G822" i="15"/>
  <c r="F822" i="15"/>
  <c r="E822" i="15"/>
  <c r="D822" i="15"/>
  <c r="C822" i="15"/>
  <c r="B822" i="15"/>
  <c r="R821" i="15"/>
  <c r="Q821" i="15"/>
  <c r="P821" i="15"/>
  <c r="O821" i="15"/>
  <c r="N821" i="15"/>
  <c r="M821" i="15"/>
  <c r="L821" i="15"/>
  <c r="K821" i="15"/>
  <c r="J821" i="15"/>
  <c r="I821" i="15"/>
  <c r="H821" i="15"/>
  <c r="G821" i="15"/>
  <c r="F821" i="15"/>
  <c r="E821" i="15"/>
  <c r="D821" i="15"/>
  <c r="C821" i="15"/>
  <c r="B821" i="15"/>
  <c r="R820" i="15"/>
  <c r="Q820" i="15"/>
  <c r="P820" i="15"/>
  <c r="O820" i="15"/>
  <c r="N820" i="15"/>
  <c r="M820" i="15"/>
  <c r="L820" i="15"/>
  <c r="K820" i="15"/>
  <c r="J820" i="15"/>
  <c r="I820" i="15"/>
  <c r="H820" i="15"/>
  <c r="G820" i="15"/>
  <c r="F820" i="15"/>
  <c r="E820" i="15"/>
  <c r="D820" i="15"/>
  <c r="C820" i="15"/>
  <c r="B820" i="15"/>
  <c r="R819" i="15"/>
  <c r="Q819" i="15"/>
  <c r="P819" i="15"/>
  <c r="O819" i="15"/>
  <c r="N819" i="15"/>
  <c r="M819" i="15"/>
  <c r="L819" i="15"/>
  <c r="K819" i="15"/>
  <c r="J819" i="15"/>
  <c r="I819" i="15"/>
  <c r="H819" i="15"/>
  <c r="G819" i="15"/>
  <c r="F819" i="15"/>
  <c r="E819" i="15"/>
  <c r="D819" i="15"/>
  <c r="C819" i="15"/>
  <c r="B819" i="15"/>
  <c r="R818" i="15"/>
  <c r="Q818" i="15"/>
  <c r="P818" i="15"/>
  <c r="O818" i="15"/>
  <c r="N818" i="15"/>
  <c r="M818" i="15"/>
  <c r="L818" i="15"/>
  <c r="K818" i="15"/>
  <c r="J818" i="15"/>
  <c r="I818" i="15"/>
  <c r="H818" i="15"/>
  <c r="G818" i="15"/>
  <c r="F818" i="15"/>
  <c r="E818" i="15"/>
  <c r="D818" i="15"/>
  <c r="C818" i="15"/>
  <c r="B818" i="15"/>
  <c r="R817" i="15"/>
  <c r="Q817" i="15"/>
  <c r="P817" i="15"/>
  <c r="O817" i="15"/>
  <c r="N817" i="15"/>
  <c r="M817" i="15"/>
  <c r="L817" i="15"/>
  <c r="K817" i="15"/>
  <c r="J817" i="15"/>
  <c r="I817" i="15"/>
  <c r="H817" i="15"/>
  <c r="G817" i="15"/>
  <c r="F817" i="15"/>
  <c r="E817" i="15"/>
  <c r="D817" i="15"/>
  <c r="C817" i="15"/>
  <c r="B817" i="15"/>
  <c r="R816" i="15"/>
  <c r="Q816" i="15"/>
  <c r="P816" i="15"/>
  <c r="O816" i="15"/>
  <c r="N816" i="15"/>
  <c r="M816" i="15"/>
  <c r="L816" i="15"/>
  <c r="K816" i="15"/>
  <c r="J816" i="15"/>
  <c r="I816" i="15"/>
  <c r="H816" i="15"/>
  <c r="G816" i="15"/>
  <c r="F816" i="15"/>
  <c r="E816" i="15"/>
  <c r="D816" i="15"/>
  <c r="C816" i="15"/>
  <c r="B816" i="15"/>
  <c r="R815" i="15"/>
  <c r="Q815" i="15"/>
  <c r="P815" i="15"/>
  <c r="O815" i="15"/>
  <c r="N815" i="15"/>
  <c r="M815" i="15"/>
  <c r="L815" i="15"/>
  <c r="K815" i="15"/>
  <c r="J815" i="15"/>
  <c r="I815" i="15"/>
  <c r="H815" i="15"/>
  <c r="G815" i="15"/>
  <c r="F815" i="15"/>
  <c r="E815" i="15"/>
  <c r="D815" i="15"/>
  <c r="C815" i="15"/>
  <c r="B815" i="15"/>
  <c r="R814" i="15"/>
  <c r="Q814" i="15"/>
  <c r="P814" i="15"/>
  <c r="O814" i="15"/>
  <c r="N814" i="15"/>
  <c r="M814" i="15"/>
  <c r="L814" i="15"/>
  <c r="K814" i="15"/>
  <c r="J814" i="15"/>
  <c r="I814" i="15"/>
  <c r="H814" i="15"/>
  <c r="G814" i="15"/>
  <c r="F814" i="15"/>
  <c r="E814" i="15"/>
  <c r="D814" i="15"/>
  <c r="C814" i="15"/>
  <c r="B814" i="15"/>
  <c r="R813" i="15"/>
  <c r="Q813" i="15"/>
  <c r="P813" i="15"/>
  <c r="O813" i="15"/>
  <c r="N813" i="15"/>
  <c r="M813" i="15"/>
  <c r="L813" i="15"/>
  <c r="K813" i="15"/>
  <c r="J813" i="15"/>
  <c r="I813" i="15"/>
  <c r="H813" i="15"/>
  <c r="G813" i="15"/>
  <c r="F813" i="15"/>
  <c r="E813" i="15"/>
  <c r="D813" i="15"/>
  <c r="C813" i="15"/>
  <c r="B813" i="15"/>
  <c r="R812" i="15"/>
  <c r="Q812" i="15"/>
  <c r="P812" i="15"/>
  <c r="O812" i="15"/>
  <c r="N812" i="15"/>
  <c r="M812" i="15"/>
  <c r="L812" i="15"/>
  <c r="K812" i="15"/>
  <c r="J812" i="15"/>
  <c r="I812" i="15"/>
  <c r="H812" i="15"/>
  <c r="G812" i="15"/>
  <c r="F812" i="15"/>
  <c r="E812" i="15"/>
  <c r="D812" i="15"/>
  <c r="C812" i="15"/>
  <c r="B812" i="15"/>
  <c r="R811" i="15"/>
  <c r="Q811" i="15"/>
  <c r="P811" i="15"/>
  <c r="O811" i="15"/>
  <c r="N811" i="15"/>
  <c r="M811" i="15"/>
  <c r="L811" i="15"/>
  <c r="K811" i="15"/>
  <c r="J811" i="15"/>
  <c r="I811" i="15"/>
  <c r="H811" i="15"/>
  <c r="G811" i="15"/>
  <c r="F811" i="15"/>
  <c r="E811" i="15"/>
  <c r="D811" i="15"/>
  <c r="C811" i="15"/>
  <c r="B811" i="15"/>
  <c r="R810" i="15"/>
  <c r="Q810" i="15"/>
  <c r="P810" i="15"/>
  <c r="O810" i="15"/>
  <c r="N810" i="15"/>
  <c r="M810" i="15"/>
  <c r="L810" i="15"/>
  <c r="K810" i="15"/>
  <c r="J810" i="15"/>
  <c r="I810" i="15"/>
  <c r="H810" i="15"/>
  <c r="G810" i="15"/>
  <c r="F810" i="15"/>
  <c r="E810" i="15"/>
  <c r="D810" i="15"/>
  <c r="C810" i="15"/>
  <c r="B810" i="15"/>
  <c r="R809" i="15"/>
  <c r="Q809" i="15"/>
  <c r="P809" i="15"/>
  <c r="O809" i="15"/>
  <c r="N809" i="15"/>
  <c r="M809" i="15"/>
  <c r="L809" i="15"/>
  <c r="K809" i="15"/>
  <c r="J809" i="15"/>
  <c r="I809" i="15"/>
  <c r="H809" i="15"/>
  <c r="G809" i="15"/>
  <c r="F809" i="15"/>
  <c r="E809" i="15"/>
  <c r="D809" i="15"/>
  <c r="C809" i="15"/>
  <c r="B809" i="15"/>
  <c r="R808" i="15"/>
  <c r="Q808" i="15"/>
  <c r="P808" i="15"/>
  <c r="O808" i="15"/>
  <c r="N808" i="15"/>
  <c r="M808" i="15"/>
  <c r="L808" i="15"/>
  <c r="K808" i="15"/>
  <c r="J808" i="15"/>
  <c r="I808" i="15"/>
  <c r="H808" i="15"/>
  <c r="G808" i="15"/>
  <c r="F808" i="15"/>
  <c r="E808" i="15"/>
  <c r="D808" i="15"/>
  <c r="C808" i="15"/>
  <c r="B808" i="15"/>
  <c r="R807" i="15"/>
  <c r="Q807" i="15"/>
  <c r="P807" i="15"/>
  <c r="O807" i="15"/>
  <c r="N807" i="15"/>
  <c r="M807" i="15"/>
  <c r="L807" i="15"/>
  <c r="K807" i="15"/>
  <c r="J807" i="15"/>
  <c r="I807" i="15"/>
  <c r="H807" i="15"/>
  <c r="G807" i="15"/>
  <c r="F807" i="15"/>
  <c r="E807" i="15"/>
  <c r="D807" i="15"/>
  <c r="C807" i="15"/>
  <c r="B807" i="15"/>
  <c r="R806" i="15"/>
  <c r="Q806" i="15"/>
  <c r="P806" i="15"/>
  <c r="O806" i="15"/>
  <c r="N806" i="15"/>
  <c r="M806" i="15"/>
  <c r="L806" i="15"/>
  <c r="K806" i="15"/>
  <c r="J806" i="15"/>
  <c r="I806" i="15"/>
  <c r="H806" i="15"/>
  <c r="G806" i="15"/>
  <c r="F806" i="15"/>
  <c r="E806" i="15"/>
  <c r="D806" i="15"/>
  <c r="C806" i="15"/>
  <c r="B806" i="15"/>
  <c r="R805" i="15"/>
  <c r="Q805" i="15"/>
  <c r="P805" i="15"/>
  <c r="O805" i="15"/>
  <c r="N805" i="15"/>
  <c r="M805" i="15"/>
  <c r="L805" i="15"/>
  <c r="K805" i="15"/>
  <c r="J805" i="15"/>
  <c r="I805" i="15"/>
  <c r="H805" i="15"/>
  <c r="G805" i="15"/>
  <c r="F805" i="15"/>
  <c r="E805" i="15"/>
  <c r="D805" i="15"/>
  <c r="C805" i="15"/>
  <c r="B805" i="15"/>
  <c r="R804" i="15"/>
  <c r="Q804" i="15"/>
  <c r="P804" i="15"/>
  <c r="O804" i="15"/>
  <c r="N804" i="15"/>
  <c r="M804" i="15"/>
  <c r="L804" i="15"/>
  <c r="K804" i="15"/>
  <c r="J804" i="15"/>
  <c r="I804" i="15"/>
  <c r="H804" i="15"/>
  <c r="G804" i="15"/>
  <c r="F804" i="15"/>
  <c r="E804" i="15"/>
  <c r="D804" i="15"/>
  <c r="C804" i="15"/>
  <c r="B804" i="15"/>
  <c r="R803" i="15"/>
  <c r="Q803" i="15"/>
  <c r="P803" i="15"/>
  <c r="O803" i="15"/>
  <c r="N803" i="15"/>
  <c r="M803" i="15"/>
  <c r="L803" i="15"/>
  <c r="K803" i="15"/>
  <c r="J803" i="15"/>
  <c r="I803" i="15"/>
  <c r="H803" i="15"/>
  <c r="G803" i="15"/>
  <c r="F803" i="15"/>
  <c r="E803" i="15"/>
  <c r="D803" i="15"/>
  <c r="C803" i="15"/>
  <c r="B803" i="15"/>
  <c r="R802" i="15"/>
  <c r="Q802" i="15"/>
  <c r="P802" i="15"/>
  <c r="O802" i="15"/>
  <c r="N802" i="15"/>
  <c r="M802" i="15"/>
  <c r="L802" i="15"/>
  <c r="K802" i="15"/>
  <c r="J802" i="15"/>
  <c r="I802" i="15"/>
  <c r="H802" i="15"/>
  <c r="G802" i="15"/>
  <c r="F802" i="15"/>
  <c r="E802" i="15"/>
  <c r="D802" i="15"/>
  <c r="C802" i="15"/>
  <c r="B802" i="15"/>
  <c r="R801" i="15"/>
  <c r="Q801" i="15"/>
  <c r="P801" i="15"/>
  <c r="O801" i="15"/>
  <c r="N801" i="15"/>
  <c r="M801" i="15"/>
  <c r="L801" i="15"/>
  <c r="K801" i="15"/>
  <c r="J801" i="15"/>
  <c r="I801" i="15"/>
  <c r="H801" i="15"/>
  <c r="G801" i="15"/>
  <c r="F801" i="15"/>
  <c r="E801" i="15"/>
  <c r="D801" i="15"/>
  <c r="C801" i="15"/>
  <c r="B801" i="15"/>
  <c r="R800" i="15"/>
  <c r="Q800" i="15"/>
  <c r="P800" i="15"/>
  <c r="O800" i="15"/>
  <c r="N800" i="15"/>
  <c r="M800" i="15"/>
  <c r="L800" i="15"/>
  <c r="K800" i="15"/>
  <c r="J800" i="15"/>
  <c r="I800" i="15"/>
  <c r="H800" i="15"/>
  <c r="G800" i="15"/>
  <c r="F800" i="15"/>
  <c r="E800" i="15"/>
  <c r="D800" i="15"/>
  <c r="C800" i="15"/>
  <c r="B800" i="15"/>
  <c r="R799" i="15"/>
  <c r="Q799" i="15"/>
  <c r="P799" i="15"/>
  <c r="O799" i="15"/>
  <c r="N799" i="15"/>
  <c r="M799" i="15"/>
  <c r="L799" i="15"/>
  <c r="K799" i="15"/>
  <c r="J799" i="15"/>
  <c r="I799" i="15"/>
  <c r="H799" i="15"/>
  <c r="G799" i="15"/>
  <c r="F799" i="15"/>
  <c r="E799" i="15"/>
  <c r="D799" i="15"/>
  <c r="C799" i="15"/>
  <c r="B799" i="15"/>
  <c r="R798" i="15"/>
  <c r="Q798" i="15"/>
  <c r="P798" i="15"/>
  <c r="O798" i="15"/>
  <c r="N798" i="15"/>
  <c r="M798" i="15"/>
  <c r="L798" i="15"/>
  <c r="K798" i="15"/>
  <c r="J798" i="15"/>
  <c r="I798" i="15"/>
  <c r="H798" i="15"/>
  <c r="G798" i="15"/>
  <c r="F798" i="15"/>
  <c r="E798" i="15"/>
  <c r="D798" i="15"/>
  <c r="C798" i="15"/>
  <c r="B798" i="15"/>
  <c r="R797" i="15"/>
  <c r="Q797" i="15"/>
  <c r="P797" i="15"/>
  <c r="O797" i="15"/>
  <c r="N797" i="15"/>
  <c r="M797" i="15"/>
  <c r="L797" i="15"/>
  <c r="K797" i="15"/>
  <c r="J797" i="15"/>
  <c r="I797" i="15"/>
  <c r="H797" i="15"/>
  <c r="G797" i="15"/>
  <c r="F797" i="15"/>
  <c r="E797" i="15"/>
  <c r="D797" i="15"/>
  <c r="C797" i="15"/>
  <c r="B797" i="15"/>
  <c r="R796" i="15"/>
  <c r="Q796" i="15"/>
  <c r="P796" i="15"/>
  <c r="O796" i="15"/>
  <c r="N796" i="15"/>
  <c r="M796" i="15"/>
  <c r="L796" i="15"/>
  <c r="K796" i="15"/>
  <c r="J796" i="15"/>
  <c r="I796" i="15"/>
  <c r="H796" i="15"/>
  <c r="G796" i="15"/>
  <c r="F796" i="15"/>
  <c r="E796" i="15"/>
  <c r="D796" i="15"/>
  <c r="C796" i="15"/>
  <c r="B796" i="15"/>
  <c r="R795" i="15"/>
  <c r="Q795" i="15"/>
  <c r="P795" i="15"/>
  <c r="O795" i="15"/>
  <c r="N795" i="15"/>
  <c r="M795" i="15"/>
  <c r="L795" i="15"/>
  <c r="K795" i="15"/>
  <c r="J795" i="15"/>
  <c r="I795" i="15"/>
  <c r="H795" i="15"/>
  <c r="G795" i="15"/>
  <c r="F795" i="15"/>
  <c r="E795" i="15"/>
  <c r="D795" i="15"/>
  <c r="C795" i="15"/>
  <c r="B795" i="15"/>
  <c r="R794" i="15"/>
  <c r="Q794" i="15"/>
  <c r="P794" i="15"/>
  <c r="O794" i="15"/>
  <c r="N794" i="15"/>
  <c r="M794" i="15"/>
  <c r="L794" i="15"/>
  <c r="K794" i="15"/>
  <c r="J794" i="15"/>
  <c r="I794" i="15"/>
  <c r="H794" i="15"/>
  <c r="G794" i="15"/>
  <c r="F794" i="15"/>
  <c r="E794" i="15"/>
  <c r="D794" i="15"/>
  <c r="C794" i="15"/>
  <c r="B794" i="15"/>
  <c r="R793" i="15"/>
  <c r="Q793" i="15"/>
  <c r="P793" i="15"/>
  <c r="O793" i="15"/>
  <c r="N793" i="15"/>
  <c r="M793" i="15"/>
  <c r="L793" i="15"/>
  <c r="K793" i="15"/>
  <c r="J793" i="15"/>
  <c r="I793" i="15"/>
  <c r="H793" i="15"/>
  <c r="G793" i="15"/>
  <c r="F793" i="15"/>
  <c r="E793" i="15"/>
  <c r="D793" i="15"/>
  <c r="C793" i="15"/>
  <c r="B793" i="15"/>
  <c r="R792" i="15"/>
  <c r="Q792" i="15"/>
  <c r="P792" i="15"/>
  <c r="O792" i="15"/>
  <c r="N792" i="15"/>
  <c r="M792" i="15"/>
  <c r="L792" i="15"/>
  <c r="K792" i="15"/>
  <c r="J792" i="15"/>
  <c r="I792" i="15"/>
  <c r="H792" i="15"/>
  <c r="G792" i="15"/>
  <c r="F792" i="15"/>
  <c r="E792" i="15"/>
  <c r="D792" i="15"/>
  <c r="C792" i="15"/>
  <c r="B792" i="15"/>
  <c r="R791" i="15"/>
  <c r="Q791" i="15"/>
  <c r="P791" i="15"/>
  <c r="O791" i="15"/>
  <c r="N791" i="15"/>
  <c r="M791" i="15"/>
  <c r="L791" i="15"/>
  <c r="K791" i="15"/>
  <c r="J791" i="15"/>
  <c r="I791" i="15"/>
  <c r="H791" i="15"/>
  <c r="G791" i="15"/>
  <c r="F791" i="15"/>
  <c r="E791" i="15"/>
  <c r="D791" i="15"/>
  <c r="C791" i="15"/>
  <c r="B791" i="15"/>
  <c r="R790" i="15"/>
  <c r="Q790" i="15"/>
  <c r="P790" i="15"/>
  <c r="O790" i="15"/>
  <c r="N790" i="15"/>
  <c r="M790" i="15"/>
  <c r="L790" i="15"/>
  <c r="K790" i="15"/>
  <c r="J790" i="15"/>
  <c r="I790" i="15"/>
  <c r="H790" i="15"/>
  <c r="G790" i="15"/>
  <c r="F790" i="15"/>
  <c r="E790" i="15"/>
  <c r="D790" i="15"/>
  <c r="C790" i="15"/>
  <c r="B790" i="15"/>
  <c r="R789" i="15"/>
  <c r="Q789" i="15"/>
  <c r="P789" i="15"/>
  <c r="O789" i="15"/>
  <c r="N789" i="15"/>
  <c r="M789" i="15"/>
  <c r="L789" i="15"/>
  <c r="K789" i="15"/>
  <c r="J789" i="15"/>
  <c r="I789" i="15"/>
  <c r="H789" i="15"/>
  <c r="G789" i="15"/>
  <c r="F789" i="15"/>
  <c r="E789" i="15"/>
  <c r="D789" i="15"/>
  <c r="C789" i="15"/>
  <c r="B789" i="15"/>
  <c r="R788" i="15"/>
  <c r="Q788" i="15"/>
  <c r="P788" i="15"/>
  <c r="O788" i="15"/>
  <c r="N788" i="15"/>
  <c r="M788" i="15"/>
  <c r="L788" i="15"/>
  <c r="K788" i="15"/>
  <c r="J788" i="15"/>
  <c r="I788" i="15"/>
  <c r="H788" i="15"/>
  <c r="G788" i="15"/>
  <c r="F788" i="15"/>
  <c r="E788" i="15"/>
  <c r="D788" i="15"/>
  <c r="C788" i="15"/>
  <c r="B788" i="15"/>
  <c r="R787" i="15"/>
  <c r="Q787" i="15"/>
  <c r="P787" i="15"/>
  <c r="O787" i="15"/>
  <c r="N787" i="15"/>
  <c r="M787" i="15"/>
  <c r="L787" i="15"/>
  <c r="K787" i="15"/>
  <c r="J787" i="15"/>
  <c r="I787" i="15"/>
  <c r="H787" i="15"/>
  <c r="G787" i="15"/>
  <c r="F787" i="15"/>
  <c r="E787" i="15"/>
  <c r="D787" i="15"/>
  <c r="C787" i="15"/>
  <c r="B787" i="15"/>
  <c r="R786" i="15"/>
  <c r="Q786" i="15"/>
  <c r="P786" i="15"/>
  <c r="O786" i="15"/>
  <c r="N786" i="15"/>
  <c r="M786" i="15"/>
  <c r="L786" i="15"/>
  <c r="K786" i="15"/>
  <c r="J786" i="15"/>
  <c r="I786" i="15"/>
  <c r="H786" i="15"/>
  <c r="G786" i="15"/>
  <c r="F786" i="15"/>
  <c r="E786" i="15"/>
  <c r="D786" i="15"/>
  <c r="C786" i="15"/>
  <c r="B786" i="15"/>
  <c r="R785" i="15"/>
  <c r="Q785" i="15"/>
  <c r="P785" i="15"/>
  <c r="O785" i="15"/>
  <c r="N785" i="15"/>
  <c r="M785" i="15"/>
  <c r="L785" i="15"/>
  <c r="K785" i="15"/>
  <c r="J785" i="15"/>
  <c r="I785" i="15"/>
  <c r="H785" i="15"/>
  <c r="G785" i="15"/>
  <c r="F785" i="15"/>
  <c r="E785" i="15"/>
  <c r="D785" i="15"/>
  <c r="C785" i="15"/>
  <c r="B785" i="15"/>
  <c r="R784" i="15"/>
  <c r="Q784" i="15"/>
  <c r="P784" i="15"/>
  <c r="O784" i="15"/>
  <c r="N784" i="15"/>
  <c r="M784" i="15"/>
  <c r="L784" i="15"/>
  <c r="K784" i="15"/>
  <c r="J784" i="15"/>
  <c r="I784" i="15"/>
  <c r="H784" i="15"/>
  <c r="G784" i="15"/>
  <c r="F784" i="15"/>
  <c r="E784" i="15"/>
  <c r="D784" i="15"/>
  <c r="C784" i="15"/>
  <c r="B784" i="15"/>
  <c r="R783" i="15"/>
  <c r="Q783" i="15"/>
  <c r="P783" i="15"/>
  <c r="O783" i="15"/>
  <c r="N783" i="15"/>
  <c r="M783" i="15"/>
  <c r="L783" i="15"/>
  <c r="K783" i="15"/>
  <c r="J783" i="15"/>
  <c r="I783" i="15"/>
  <c r="H783" i="15"/>
  <c r="G783" i="15"/>
  <c r="F783" i="15"/>
  <c r="E783" i="15"/>
  <c r="D783" i="15"/>
  <c r="C783" i="15"/>
  <c r="B783" i="15"/>
  <c r="R782" i="15"/>
  <c r="Q782" i="15"/>
  <c r="P782" i="15"/>
  <c r="O782" i="15"/>
  <c r="N782" i="15"/>
  <c r="M782" i="15"/>
  <c r="L782" i="15"/>
  <c r="K782" i="15"/>
  <c r="J782" i="15"/>
  <c r="I782" i="15"/>
  <c r="H782" i="15"/>
  <c r="G782" i="15"/>
  <c r="F782" i="15"/>
  <c r="E782" i="15"/>
  <c r="D782" i="15"/>
  <c r="C782" i="15"/>
  <c r="B782" i="15"/>
  <c r="R781" i="15"/>
  <c r="Q781" i="15"/>
  <c r="P781" i="15"/>
  <c r="O781" i="15"/>
  <c r="N781" i="15"/>
  <c r="M781" i="15"/>
  <c r="L781" i="15"/>
  <c r="K781" i="15"/>
  <c r="J781" i="15"/>
  <c r="I781" i="15"/>
  <c r="H781" i="15"/>
  <c r="G781" i="15"/>
  <c r="F781" i="15"/>
  <c r="E781" i="15"/>
  <c r="D781" i="15"/>
  <c r="C781" i="15"/>
  <c r="B781" i="15"/>
  <c r="R780" i="15"/>
  <c r="Q780" i="15"/>
  <c r="P780" i="15"/>
  <c r="O780" i="15"/>
  <c r="N780" i="15"/>
  <c r="M780" i="15"/>
  <c r="L780" i="15"/>
  <c r="K780" i="15"/>
  <c r="J780" i="15"/>
  <c r="I780" i="15"/>
  <c r="H780" i="15"/>
  <c r="G780" i="15"/>
  <c r="F780" i="15"/>
  <c r="E780" i="15"/>
  <c r="D780" i="15"/>
  <c r="C780" i="15"/>
  <c r="B780" i="15"/>
  <c r="R779" i="15"/>
  <c r="Q779" i="15"/>
  <c r="P779" i="15"/>
  <c r="O779" i="15"/>
  <c r="N779" i="15"/>
  <c r="M779" i="15"/>
  <c r="L779" i="15"/>
  <c r="K779" i="15"/>
  <c r="J779" i="15"/>
  <c r="I779" i="15"/>
  <c r="H779" i="15"/>
  <c r="G779" i="15"/>
  <c r="F779" i="15"/>
  <c r="E779" i="15"/>
  <c r="D779" i="15"/>
  <c r="C779" i="15"/>
  <c r="B779" i="15"/>
  <c r="R778" i="15"/>
  <c r="Q778" i="15"/>
  <c r="P778" i="15"/>
  <c r="O778" i="15"/>
  <c r="N778" i="15"/>
  <c r="M778" i="15"/>
  <c r="L778" i="15"/>
  <c r="K778" i="15"/>
  <c r="J778" i="15"/>
  <c r="I778" i="15"/>
  <c r="H778" i="15"/>
  <c r="G778" i="15"/>
  <c r="F778" i="15"/>
  <c r="E778" i="15"/>
  <c r="D778" i="15"/>
  <c r="C778" i="15"/>
  <c r="B778" i="15"/>
  <c r="R777" i="15"/>
  <c r="Q777" i="15"/>
  <c r="P777" i="15"/>
  <c r="O777" i="15"/>
  <c r="N777" i="15"/>
  <c r="M777" i="15"/>
  <c r="L777" i="15"/>
  <c r="K777" i="15"/>
  <c r="J777" i="15"/>
  <c r="I777" i="15"/>
  <c r="H777" i="15"/>
  <c r="G777" i="15"/>
  <c r="F777" i="15"/>
  <c r="E777" i="15"/>
  <c r="D777" i="15"/>
  <c r="C777" i="15"/>
  <c r="B777" i="15"/>
  <c r="R776" i="15"/>
  <c r="Q776" i="15"/>
  <c r="P776" i="15"/>
  <c r="O776" i="15"/>
  <c r="N776" i="15"/>
  <c r="M776" i="15"/>
  <c r="L776" i="15"/>
  <c r="K776" i="15"/>
  <c r="J776" i="15"/>
  <c r="I776" i="15"/>
  <c r="H776" i="15"/>
  <c r="G776" i="15"/>
  <c r="F776" i="15"/>
  <c r="E776" i="15"/>
  <c r="D776" i="15"/>
  <c r="C776" i="15"/>
  <c r="B776" i="15"/>
  <c r="R775" i="15"/>
  <c r="Q775" i="15"/>
  <c r="P775" i="15"/>
  <c r="O775" i="15"/>
  <c r="N775" i="15"/>
  <c r="M775" i="15"/>
  <c r="L775" i="15"/>
  <c r="K775" i="15"/>
  <c r="J775" i="15"/>
  <c r="I775" i="15"/>
  <c r="H775" i="15"/>
  <c r="G775" i="15"/>
  <c r="F775" i="15"/>
  <c r="E775" i="15"/>
  <c r="D775" i="15"/>
  <c r="C775" i="15"/>
  <c r="B775" i="15"/>
  <c r="R774" i="15"/>
  <c r="Q774" i="15"/>
  <c r="P774" i="15"/>
  <c r="O774" i="15"/>
  <c r="N774" i="15"/>
  <c r="M774" i="15"/>
  <c r="L774" i="15"/>
  <c r="K774" i="15"/>
  <c r="J774" i="15"/>
  <c r="I774" i="15"/>
  <c r="H774" i="15"/>
  <c r="G774" i="15"/>
  <c r="F774" i="15"/>
  <c r="E774" i="15"/>
  <c r="D774" i="15"/>
  <c r="C774" i="15"/>
  <c r="B774" i="15"/>
  <c r="R773" i="15"/>
  <c r="Q773" i="15"/>
  <c r="P773" i="15"/>
  <c r="O773" i="15"/>
  <c r="N773" i="15"/>
  <c r="M773" i="15"/>
  <c r="L773" i="15"/>
  <c r="K773" i="15"/>
  <c r="J773" i="15"/>
  <c r="I773" i="15"/>
  <c r="H773" i="15"/>
  <c r="G773" i="15"/>
  <c r="F773" i="15"/>
  <c r="E773" i="15"/>
  <c r="D773" i="15"/>
  <c r="C773" i="15"/>
  <c r="B773" i="15"/>
  <c r="R772" i="15"/>
  <c r="Q772" i="15"/>
  <c r="P772" i="15"/>
  <c r="O772" i="15"/>
  <c r="N772" i="15"/>
  <c r="M772" i="15"/>
  <c r="L772" i="15"/>
  <c r="K772" i="15"/>
  <c r="J772" i="15"/>
  <c r="I772" i="15"/>
  <c r="H772" i="15"/>
  <c r="G772" i="15"/>
  <c r="F772" i="15"/>
  <c r="E772" i="15"/>
  <c r="D772" i="15"/>
  <c r="C772" i="15"/>
  <c r="B772" i="15"/>
  <c r="R771" i="15"/>
  <c r="Q771" i="15"/>
  <c r="P771" i="15"/>
  <c r="O771" i="15"/>
  <c r="N771" i="15"/>
  <c r="M771" i="15"/>
  <c r="L771" i="15"/>
  <c r="K771" i="15"/>
  <c r="J771" i="15"/>
  <c r="I771" i="15"/>
  <c r="H771" i="15"/>
  <c r="G771" i="15"/>
  <c r="F771" i="15"/>
  <c r="E771" i="15"/>
  <c r="D771" i="15"/>
  <c r="C771" i="15"/>
  <c r="B771" i="15"/>
  <c r="R770" i="15"/>
  <c r="Q770" i="15"/>
  <c r="P770" i="15"/>
  <c r="O770" i="15"/>
  <c r="N770" i="15"/>
  <c r="M770" i="15"/>
  <c r="L770" i="15"/>
  <c r="K770" i="15"/>
  <c r="J770" i="15"/>
  <c r="I770" i="15"/>
  <c r="H770" i="15"/>
  <c r="G770" i="15"/>
  <c r="F770" i="15"/>
  <c r="E770" i="15"/>
  <c r="D770" i="15"/>
  <c r="C770" i="15"/>
  <c r="B770" i="15"/>
  <c r="R769" i="15"/>
  <c r="Q769" i="15"/>
  <c r="P769" i="15"/>
  <c r="O769" i="15"/>
  <c r="N769" i="15"/>
  <c r="M769" i="15"/>
  <c r="L769" i="15"/>
  <c r="K769" i="15"/>
  <c r="J769" i="15"/>
  <c r="I769" i="15"/>
  <c r="H769" i="15"/>
  <c r="G769" i="15"/>
  <c r="F769" i="15"/>
  <c r="E769" i="15"/>
  <c r="D769" i="15"/>
  <c r="C769" i="15"/>
  <c r="B769" i="15"/>
  <c r="R768" i="15"/>
  <c r="Q768" i="15"/>
  <c r="P768" i="15"/>
  <c r="O768" i="15"/>
  <c r="N768" i="15"/>
  <c r="M768" i="15"/>
  <c r="L768" i="15"/>
  <c r="K768" i="15"/>
  <c r="J768" i="15"/>
  <c r="I768" i="15"/>
  <c r="H768" i="15"/>
  <c r="G768" i="15"/>
  <c r="F768" i="15"/>
  <c r="E768" i="15"/>
  <c r="D768" i="15"/>
  <c r="C768" i="15"/>
  <c r="B768" i="15"/>
  <c r="R767" i="15"/>
  <c r="Q767" i="15"/>
  <c r="P767" i="15"/>
  <c r="O767" i="15"/>
  <c r="N767" i="15"/>
  <c r="M767" i="15"/>
  <c r="L767" i="15"/>
  <c r="K767" i="15"/>
  <c r="J767" i="15"/>
  <c r="I767" i="15"/>
  <c r="H767" i="15"/>
  <c r="G767" i="15"/>
  <c r="F767" i="15"/>
  <c r="E767" i="15"/>
  <c r="D767" i="15"/>
  <c r="C767" i="15"/>
  <c r="B767" i="15"/>
  <c r="R766" i="15"/>
  <c r="Q766" i="15"/>
  <c r="P766" i="15"/>
  <c r="O766" i="15"/>
  <c r="N766" i="15"/>
  <c r="M766" i="15"/>
  <c r="L766" i="15"/>
  <c r="K766" i="15"/>
  <c r="J766" i="15"/>
  <c r="I766" i="15"/>
  <c r="H766" i="15"/>
  <c r="G766" i="15"/>
  <c r="F766" i="15"/>
  <c r="E766" i="15"/>
  <c r="D766" i="15"/>
  <c r="C766" i="15"/>
  <c r="B766" i="15"/>
  <c r="R765" i="15"/>
  <c r="Q765" i="15"/>
  <c r="P765" i="15"/>
  <c r="O765" i="15"/>
  <c r="N765" i="15"/>
  <c r="M765" i="15"/>
  <c r="L765" i="15"/>
  <c r="K765" i="15"/>
  <c r="J765" i="15"/>
  <c r="I765" i="15"/>
  <c r="H765" i="15"/>
  <c r="G765" i="15"/>
  <c r="F765" i="15"/>
  <c r="E765" i="15"/>
  <c r="D765" i="15"/>
  <c r="C765" i="15"/>
  <c r="B765" i="15"/>
  <c r="R764" i="15"/>
  <c r="Q764" i="15"/>
  <c r="P764" i="15"/>
  <c r="O764" i="15"/>
  <c r="N764" i="15"/>
  <c r="M764" i="15"/>
  <c r="L764" i="15"/>
  <c r="K764" i="15"/>
  <c r="J764" i="15"/>
  <c r="I764" i="15"/>
  <c r="H764" i="15"/>
  <c r="G764" i="15"/>
  <c r="F764" i="15"/>
  <c r="E764" i="15"/>
  <c r="D764" i="15"/>
  <c r="C764" i="15"/>
  <c r="B764" i="15"/>
  <c r="R763" i="15"/>
  <c r="Q763" i="15"/>
  <c r="P763" i="15"/>
  <c r="O763" i="15"/>
  <c r="N763" i="15"/>
  <c r="M763" i="15"/>
  <c r="L763" i="15"/>
  <c r="K763" i="15"/>
  <c r="J763" i="15"/>
  <c r="I763" i="15"/>
  <c r="H763" i="15"/>
  <c r="G763" i="15"/>
  <c r="F763" i="15"/>
  <c r="E763" i="15"/>
  <c r="D763" i="15"/>
  <c r="C763" i="15"/>
  <c r="B763" i="15"/>
  <c r="R762" i="15"/>
  <c r="Q762" i="15"/>
  <c r="P762" i="15"/>
  <c r="O762" i="15"/>
  <c r="N762" i="15"/>
  <c r="M762" i="15"/>
  <c r="L762" i="15"/>
  <c r="K762" i="15"/>
  <c r="J762" i="15"/>
  <c r="I762" i="15"/>
  <c r="H762" i="15"/>
  <c r="G762" i="15"/>
  <c r="F762" i="15"/>
  <c r="E762" i="15"/>
  <c r="D762" i="15"/>
  <c r="C762" i="15"/>
  <c r="B762" i="15"/>
  <c r="R761" i="15"/>
  <c r="Q761" i="15"/>
  <c r="P761" i="15"/>
  <c r="O761" i="15"/>
  <c r="N761" i="15"/>
  <c r="M761" i="15"/>
  <c r="L761" i="15"/>
  <c r="K761" i="15"/>
  <c r="J761" i="15"/>
  <c r="I761" i="15"/>
  <c r="H761" i="15"/>
  <c r="G761" i="15"/>
  <c r="F761" i="15"/>
  <c r="E761" i="15"/>
  <c r="D761" i="15"/>
  <c r="C761" i="15"/>
  <c r="B761" i="15"/>
  <c r="R760" i="15"/>
  <c r="Q760" i="15"/>
  <c r="P760" i="15"/>
  <c r="O760" i="15"/>
  <c r="N760" i="15"/>
  <c r="M760" i="15"/>
  <c r="L760" i="15"/>
  <c r="K760" i="15"/>
  <c r="J760" i="15"/>
  <c r="I760" i="15"/>
  <c r="H760" i="15"/>
  <c r="G760" i="15"/>
  <c r="F760" i="15"/>
  <c r="E760" i="15"/>
  <c r="D760" i="15"/>
  <c r="C760" i="15"/>
  <c r="B760" i="15"/>
  <c r="R759" i="15"/>
  <c r="Q759" i="15"/>
  <c r="P759" i="15"/>
  <c r="O759" i="15"/>
  <c r="N759" i="15"/>
  <c r="M759" i="15"/>
  <c r="L759" i="15"/>
  <c r="K759" i="15"/>
  <c r="J759" i="15"/>
  <c r="I759" i="15"/>
  <c r="H759" i="15"/>
  <c r="G759" i="15"/>
  <c r="F759" i="15"/>
  <c r="E759" i="15"/>
  <c r="D759" i="15"/>
  <c r="C759" i="15"/>
  <c r="B759" i="15"/>
  <c r="R758" i="15"/>
  <c r="Q758" i="15"/>
  <c r="P758" i="15"/>
  <c r="O758" i="15"/>
  <c r="N758" i="15"/>
  <c r="M758" i="15"/>
  <c r="L758" i="15"/>
  <c r="K758" i="15"/>
  <c r="J758" i="15"/>
  <c r="I758" i="15"/>
  <c r="H758" i="15"/>
  <c r="G758" i="15"/>
  <c r="F758" i="15"/>
  <c r="E758" i="15"/>
  <c r="D758" i="15"/>
  <c r="C758" i="15"/>
  <c r="B758" i="15"/>
  <c r="R757" i="15"/>
  <c r="Q757" i="15"/>
  <c r="P757" i="15"/>
  <c r="O757" i="15"/>
  <c r="N757" i="15"/>
  <c r="M757" i="15"/>
  <c r="L757" i="15"/>
  <c r="K757" i="15"/>
  <c r="J757" i="15"/>
  <c r="I757" i="15"/>
  <c r="H757" i="15"/>
  <c r="G757" i="15"/>
  <c r="F757" i="15"/>
  <c r="E757" i="15"/>
  <c r="D757" i="15"/>
  <c r="C757" i="15"/>
  <c r="B757" i="15"/>
  <c r="R756" i="15"/>
  <c r="Q756" i="15"/>
  <c r="P756" i="15"/>
  <c r="O756" i="15"/>
  <c r="N756" i="15"/>
  <c r="M756" i="15"/>
  <c r="L756" i="15"/>
  <c r="K756" i="15"/>
  <c r="J756" i="15"/>
  <c r="I756" i="15"/>
  <c r="H756" i="15"/>
  <c r="G756" i="15"/>
  <c r="F756" i="15"/>
  <c r="E756" i="15"/>
  <c r="D756" i="15"/>
  <c r="C756" i="15"/>
  <c r="B756" i="15"/>
  <c r="R755" i="15"/>
  <c r="Q755" i="15"/>
  <c r="P755" i="15"/>
  <c r="O755" i="15"/>
  <c r="N755" i="15"/>
  <c r="M755" i="15"/>
  <c r="L755" i="15"/>
  <c r="K755" i="15"/>
  <c r="J755" i="15"/>
  <c r="I755" i="15"/>
  <c r="H755" i="15"/>
  <c r="G755" i="15"/>
  <c r="F755" i="15"/>
  <c r="E755" i="15"/>
  <c r="D755" i="15"/>
  <c r="C755" i="15"/>
  <c r="B755" i="15"/>
  <c r="R754" i="15"/>
  <c r="Q754" i="15"/>
  <c r="P754" i="15"/>
  <c r="O754" i="15"/>
  <c r="N754" i="15"/>
  <c r="M754" i="15"/>
  <c r="L754" i="15"/>
  <c r="K754" i="15"/>
  <c r="J754" i="15"/>
  <c r="I754" i="15"/>
  <c r="H754" i="15"/>
  <c r="G754" i="15"/>
  <c r="F754" i="15"/>
  <c r="E754" i="15"/>
  <c r="D754" i="15"/>
  <c r="C754" i="15"/>
  <c r="B754" i="15"/>
  <c r="R753" i="15"/>
  <c r="Q753" i="15"/>
  <c r="P753" i="15"/>
  <c r="O753" i="15"/>
  <c r="N753" i="15"/>
  <c r="M753" i="15"/>
  <c r="L753" i="15"/>
  <c r="K753" i="15"/>
  <c r="J753" i="15"/>
  <c r="I753" i="15"/>
  <c r="H753" i="15"/>
  <c r="G753" i="15"/>
  <c r="F753" i="15"/>
  <c r="E753" i="15"/>
  <c r="D753" i="15"/>
  <c r="C753" i="15"/>
  <c r="B753" i="15"/>
  <c r="R752" i="15"/>
  <c r="Q752" i="15"/>
  <c r="P752" i="15"/>
  <c r="O752" i="15"/>
  <c r="N752" i="15"/>
  <c r="M752" i="15"/>
  <c r="L752" i="15"/>
  <c r="K752" i="15"/>
  <c r="J752" i="15"/>
  <c r="I752" i="15"/>
  <c r="H752" i="15"/>
  <c r="G752" i="15"/>
  <c r="F752" i="15"/>
  <c r="E752" i="15"/>
  <c r="D752" i="15"/>
  <c r="C752" i="15"/>
  <c r="B752" i="15"/>
  <c r="R751" i="15"/>
  <c r="Q751" i="15"/>
  <c r="P751" i="15"/>
  <c r="O751" i="15"/>
  <c r="N751" i="15"/>
  <c r="M751" i="15"/>
  <c r="L751" i="15"/>
  <c r="K751" i="15"/>
  <c r="J751" i="15"/>
  <c r="I751" i="15"/>
  <c r="H751" i="15"/>
  <c r="G751" i="15"/>
  <c r="F751" i="15"/>
  <c r="E751" i="15"/>
  <c r="D751" i="15"/>
  <c r="C751" i="15"/>
  <c r="B751" i="15"/>
  <c r="R750" i="15"/>
  <c r="Q750" i="15"/>
  <c r="P750" i="15"/>
  <c r="O750" i="15"/>
  <c r="N750" i="15"/>
  <c r="M750" i="15"/>
  <c r="L750" i="15"/>
  <c r="K750" i="15"/>
  <c r="J750" i="15"/>
  <c r="I750" i="15"/>
  <c r="H750" i="15"/>
  <c r="G750" i="15"/>
  <c r="F750" i="15"/>
  <c r="E750" i="15"/>
  <c r="D750" i="15"/>
  <c r="C750" i="15"/>
  <c r="B750" i="15"/>
  <c r="R749" i="15"/>
  <c r="Q749" i="15"/>
  <c r="P749" i="15"/>
  <c r="O749" i="15"/>
  <c r="N749" i="15"/>
  <c r="M749" i="15"/>
  <c r="L749" i="15"/>
  <c r="K749" i="15"/>
  <c r="J749" i="15"/>
  <c r="I749" i="15"/>
  <c r="H749" i="15"/>
  <c r="G749" i="15"/>
  <c r="F749" i="15"/>
  <c r="E749" i="15"/>
  <c r="D749" i="15"/>
  <c r="C749" i="15"/>
  <c r="B749" i="15"/>
  <c r="R748" i="15"/>
  <c r="Q748" i="15"/>
  <c r="P748" i="15"/>
  <c r="O748" i="15"/>
  <c r="N748" i="15"/>
  <c r="M748" i="15"/>
  <c r="L748" i="15"/>
  <c r="K748" i="15"/>
  <c r="J748" i="15"/>
  <c r="I748" i="15"/>
  <c r="H748" i="15"/>
  <c r="G748" i="15"/>
  <c r="F748" i="15"/>
  <c r="E748" i="15"/>
  <c r="D748" i="15"/>
  <c r="C748" i="15"/>
  <c r="B748" i="15"/>
  <c r="R747" i="15"/>
  <c r="Q747" i="15"/>
  <c r="P747" i="15"/>
  <c r="O747" i="15"/>
  <c r="N747" i="15"/>
  <c r="M747" i="15"/>
  <c r="L747" i="15"/>
  <c r="K747" i="15"/>
  <c r="J747" i="15"/>
  <c r="I747" i="15"/>
  <c r="H747" i="15"/>
  <c r="G747" i="15"/>
  <c r="F747" i="15"/>
  <c r="E747" i="15"/>
  <c r="D747" i="15"/>
  <c r="C747" i="15"/>
  <c r="B747" i="15"/>
  <c r="R746" i="15"/>
  <c r="Q746" i="15"/>
  <c r="P746" i="15"/>
  <c r="O746" i="15"/>
  <c r="N746" i="15"/>
  <c r="M746" i="15"/>
  <c r="L746" i="15"/>
  <c r="K746" i="15"/>
  <c r="J746" i="15"/>
  <c r="I746" i="15"/>
  <c r="H746" i="15"/>
  <c r="G746" i="15"/>
  <c r="F746" i="15"/>
  <c r="E746" i="15"/>
  <c r="D746" i="15"/>
  <c r="C746" i="15"/>
  <c r="B746" i="15"/>
  <c r="R745" i="15"/>
  <c r="Q745" i="15"/>
  <c r="P745" i="15"/>
  <c r="O745" i="15"/>
  <c r="N745" i="15"/>
  <c r="M745" i="15"/>
  <c r="L745" i="15"/>
  <c r="K745" i="15"/>
  <c r="J745" i="15"/>
  <c r="I745" i="15"/>
  <c r="H745" i="15"/>
  <c r="G745" i="15"/>
  <c r="F745" i="15"/>
  <c r="E745" i="15"/>
  <c r="D745" i="15"/>
  <c r="C745" i="15"/>
  <c r="B745" i="15"/>
  <c r="R744" i="15"/>
  <c r="Q744" i="15"/>
  <c r="P744" i="15"/>
  <c r="O744" i="15"/>
  <c r="N744" i="15"/>
  <c r="M744" i="15"/>
  <c r="L744" i="15"/>
  <c r="K744" i="15"/>
  <c r="J744" i="15"/>
  <c r="I744" i="15"/>
  <c r="H744" i="15"/>
  <c r="G744" i="15"/>
  <c r="F744" i="15"/>
  <c r="E744" i="15"/>
  <c r="D744" i="15"/>
  <c r="C744" i="15"/>
  <c r="B744" i="15"/>
  <c r="R743" i="15"/>
  <c r="Q743" i="15"/>
  <c r="P743" i="15"/>
  <c r="O743" i="15"/>
  <c r="N743" i="15"/>
  <c r="M743" i="15"/>
  <c r="L743" i="15"/>
  <c r="K743" i="15"/>
  <c r="J743" i="15"/>
  <c r="I743" i="15"/>
  <c r="H743" i="15"/>
  <c r="G743" i="15"/>
  <c r="F743" i="15"/>
  <c r="E743" i="15"/>
  <c r="D743" i="15"/>
  <c r="C743" i="15"/>
  <c r="B743" i="15"/>
  <c r="R742" i="15"/>
  <c r="Q742" i="15"/>
  <c r="P742" i="15"/>
  <c r="O742" i="15"/>
  <c r="N742" i="15"/>
  <c r="M742" i="15"/>
  <c r="L742" i="15"/>
  <c r="K742" i="15"/>
  <c r="J742" i="15"/>
  <c r="I742" i="15"/>
  <c r="H742" i="15"/>
  <c r="G742" i="15"/>
  <c r="F742" i="15"/>
  <c r="E742" i="15"/>
  <c r="D742" i="15"/>
  <c r="C742" i="15"/>
  <c r="B742" i="15"/>
  <c r="R741" i="15"/>
  <c r="Q741" i="15"/>
  <c r="P741" i="15"/>
  <c r="O741" i="15"/>
  <c r="N741" i="15"/>
  <c r="M741" i="15"/>
  <c r="L741" i="15"/>
  <c r="K741" i="15"/>
  <c r="J741" i="15"/>
  <c r="I741" i="15"/>
  <c r="H741" i="15"/>
  <c r="G741" i="15"/>
  <c r="F741" i="15"/>
  <c r="E741" i="15"/>
  <c r="D741" i="15"/>
  <c r="C741" i="15"/>
  <c r="B741" i="15"/>
  <c r="R740" i="15"/>
  <c r="Q740" i="15"/>
  <c r="P740" i="15"/>
  <c r="O740" i="15"/>
  <c r="N740" i="15"/>
  <c r="M740" i="15"/>
  <c r="L740" i="15"/>
  <c r="K740" i="15"/>
  <c r="J740" i="15"/>
  <c r="I740" i="15"/>
  <c r="H740" i="15"/>
  <c r="G740" i="15"/>
  <c r="F740" i="15"/>
  <c r="E740" i="15"/>
  <c r="D740" i="15"/>
  <c r="C740" i="15"/>
  <c r="B740" i="15"/>
  <c r="R739" i="15"/>
  <c r="Q739" i="15"/>
  <c r="P739" i="15"/>
  <c r="O739" i="15"/>
  <c r="N739" i="15"/>
  <c r="M739" i="15"/>
  <c r="L739" i="15"/>
  <c r="K739" i="15"/>
  <c r="J739" i="15"/>
  <c r="I739" i="15"/>
  <c r="H739" i="15"/>
  <c r="G739" i="15"/>
  <c r="F739" i="15"/>
  <c r="E739" i="15"/>
  <c r="D739" i="15"/>
  <c r="C739" i="15"/>
  <c r="B739" i="15"/>
  <c r="R738" i="15"/>
  <c r="Q738" i="15"/>
  <c r="P738" i="15"/>
  <c r="O738" i="15"/>
  <c r="N738" i="15"/>
  <c r="M738" i="15"/>
  <c r="L738" i="15"/>
  <c r="K738" i="15"/>
  <c r="J738" i="15"/>
  <c r="I738" i="15"/>
  <c r="H738" i="15"/>
  <c r="G738" i="15"/>
  <c r="F738" i="15"/>
  <c r="E738" i="15"/>
  <c r="D738" i="15"/>
  <c r="C738" i="15"/>
  <c r="B738" i="15"/>
  <c r="R737" i="15"/>
  <c r="Q737" i="15"/>
  <c r="P737" i="15"/>
  <c r="O737" i="15"/>
  <c r="N737" i="15"/>
  <c r="M737" i="15"/>
  <c r="L737" i="15"/>
  <c r="K737" i="15"/>
  <c r="J737" i="15"/>
  <c r="I737" i="15"/>
  <c r="H737" i="15"/>
  <c r="G737" i="15"/>
  <c r="F737" i="15"/>
  <c r="E737" i="15"/>
  <c r="D737" i="15"/>
  <c r="C737" i="15"/>
  <c r="B737" i="15"/>
  <c r="R736" i="15"/>
  <c r="Q736" i="15"/>
  <c r="P736" i="15"/>
  <c r="O736" i="15"/>
  <c r="N736" i="15"/>
  <c r="M736" i="15"/>
  <c r="L736" i="15"/>
  <c r="K736" i="15"/>
  <c r="J736" i="15"/>
  <c r="I736" i="15"/>
  <c r="H736" i="15"/>
  <c r="G736" i="15"/>
  <c r="F736" i="15"/>
  <c r="E736" i="15"/>
  <c r="D736" i="15"/>
  <c r="C736" i="15"/>
  <c r="B736" i="15"/>
  <c r="R735" i="15"/>
  <c r="Q735" i="15"/>
  <c r="P735" i="15"/>
  <c r="O735" i="15"/>
  <c r="N735" i="15"/>
  <c r="M735" i="15"/>
  <c r="L735" i="15"/>
  <c r="K735" i="15"/>
  <c r="J735" i="15"/>
  <c r="I735" i="15"/>
  <c r="H735" i="15"/>
  <c r="G735" i="15"/>
  <c r="F735" i="15"/>
  <c r="E735" i="15"/>
  <c r="D735" i="15"/>
  <c r="C735" i="15"/>
  <c r="B735" i="15"/>
  <c r="R734" i="15"/>
  <c r="Q734" i="15"/>
  <c r="P734" i="15"/>
  <c r="O734" i="15"/>
  <c r="N734" i="15"/>
  <c r="M734" i="15"/>
  <c r="L734" i="15"/>
  <c r="K734" i="15"/>
  <c r="J734" i="15"/>
  <c r="I734" i="15"/>
  <c r="H734" i="15"/>
  <c r="G734" i="15"/>
  <c r="F734" i="15"/>
  <c r="E734" i="15"/>
  <c r="D734" i="15"/>
  <c r="C734" i="15"/>
  <c r="B734" i="15"/>
  <c r="R733" i="15"/>
  <c r="Q733" i="15"/>
  <c r="P733" i="15"/>
  <c r="O733" i="15"/>
  <c r="N733" i="15"/>
  <c r="M733" i="15"/>
  <c r="L733" i="15"/>
  <c r="K733" i="15"/>
  <c r="J733" i="15"/>
  <c r="I733" i="15"/>
  <c r="H733" i="15"/>
  <c r="G733" i="15"/>
  <c r="F733" i="15"/>
  <c r="E733" i="15"/>
  <c r="D733" i="15"/>
  <c r="C733" i="15"/>
  <c r="B733" i="15"/>
  <c r="R732" i="15"/>
  <c r="Q732" i="15"/>
  <c r="P732" i="15"/>
  <c r="O732" i="15"/>
  <c r="N732" i="15"/>
  <c r="M732" i="15"/>
  <c r="L732" i="15"/>
  <c r="K732" i="15"/>
  <c r="J732" i="15"/>
  <c r="I732" i="15"/>
  <c r="H732" i="15"/>
  <c r="G732" i="15"/>
  <c r="F732" i="15"/>
  <c r="E732" i="15"/>
  <c r="D732" i="15"/>
  <c r="C732" i="15"/>
  <c r="B732" i="15"/>
  <c r="R731" i="15"/>
  <c r="Q731" i="15"/>
  <c r="P731" i="15"/>
  <c r="O731" i="15"/>
  <c r="N731" i="15"/>
  <c r="M731" i="15"/>
  <c r="L731" i="15"/>
  <c r="K731" i="15"/>
  <c r="J731" i="15"/>
  <c r="I731" i="15"/>
  <c r="H731" i="15"/>
  <c r="G731" i="15"/>
  <c r="F731" i="15"/>
  <c r="E731" i="15"/>
  <c r="D731" i="15"/>
  <c r="C731" i="15"/>
  <c r="B731" i="15"/>
  <c r="R730" i="15"/>
  <c r="Q730" i="15"/>
  <c r="P730" i="15"/>
  <c r="O730" i="15"/>
  <c r="N730" i="15"/>
  <c r="M730" i="15"/>
  <c r="L730" i="15"/>
  <c r="K730" i="15"/>
  <c r="J730" i="15"/>
  <c r="I730" i="15"/>
  <c r="H730" i="15"/>
  <c r="G730" i="15"/>
  <c r="F730" i="15"/>
  <c r="E730" i="15"/>
  <c r="D730" i="15"/>
  <c r="C730" i="15"/>
  <c r="B730" i="15"/>
  <c r="R729" i="15"/>
  <c r="Q729" i="15"/>
  <c r="P729" i="15"/>
  <c r="O729" i="15"/>
  <c r="N729" i="15"/>
  <c r="M729" i="15"/>
  <c r="L729" i="15"/>
  <c r="K729" i="15"/>
  <c r="J729" i="15"/>
  <c r="I729" i="15"/>
  <c r="H729" i="15"/>
  <c r="G729" i="15"/>
  <c r="F729" i="15"/>
  <c r="E729" i="15"/>
  <c r="D729" i="15"/>
  <c r="C729" i="15"/>
  <c r="B729" i="15"/>
  <c r="R728" i="15"/>
  <c r="Q728" i="15"/>
  <c r="P728" i="15"/>
  <c r="O728" i="15"/>
  <c r="N728" i="15"/>
  <c r="M728" i="15"/>
  <c r="L728" i="15"/>
  <c r="K728" i="15"/>
  <c r="J728" i="15"/>
  <c r="I728" i="15"/>
  <c r="H728" i="15"/>
  <c r="G728" i="15"/>
  <c r="F728" i="15"/>
  <c r="E728" i="15"/>
  <c r="D728" i="15"/>
  <c r="C728" i="15"/>
  <c r="B728" i="15"/>
  <c r="R727" i="15"/>
  <c r="Q727" i="15"/>
  <c r="P727" i="15"/>
  <c r="O727" i="15"/>
  <c r="N727" i="15"/>
  <c r="M727" i="15"/>
  <c r="L727" i="15"/>
  <c r="K727" i="15"/>
  <c r="J727" i="15"/>
  <c r="I727" i="15"/>
  <c r="H727" i="15"/>
  <c r="G727" i="15"/>
  <c r="F727" i="15"/>
  <c r="E727" i="15"/>
  <c r="D727" i="15"/>
  <c r="C727" i="15"/>
  <c r="B727" i="15"/>
  <c r="R726" i="15"/>
  <c r="Q726" i="15"/>
  <c r="P726" i="15"/>
  <c r="O726" i="15"/>
  <c r="N726" i="15"/>
  <c r="M726" i="15"/>
  <c r="L726" i="15"/>
  <c r="K726" i="15"/>
  <c r="J726" i="15"/>
  <c r="I726" i="15"/>
  <c r="H726" i="15"/>
  <c r="G726" i="15"/>
  <c r="F726" i="15"/>
  <c r="E726" i="15"/>
  <c r="D726" i="15"/>
  <c r="C726" i="15"/>
  <c r="B726" i="15"/>
  <c r="R725" i="15"/>
  <c r="Q725" i="15"/>
  <c r="P725" i="15"/>
  <c r="O725" i="15"/>
  <c r="N725" i="15"/>
  <c r="M725" i="15"/>
  <c r="L725" i="15"/>
  <c r="K725" i="15"/>
  <c r="J725" i="15"/>
  <c r="I725" i="15"/>
  <c r="H725" i="15"/>
  <c r="G725" i="15"/>
  <c r="F725" i="15"/>
  <c r="E725" i="15"/>
  <c r="D725" i="15"/>
  <c r="C725" i="15"/>
  <c r="B725" i="15"/>
  <c r="R724" i="15"/>
  <c r="Q724" i="15"/>
  <c r="P724" i="15"/>
  <c r="O724" i="15"/>
  <c r="N724" i="15"/>
  <c r="M724" i="15"/>
  <c r="L724" i="15"/>
  <c r="K724" i="15"/>
  <c r="J724" i="15"/>
  <c r="I724" i="15"/>
  <c r="H724" i="15"/>
  <c r="G724" i="15"/>
  <c r="F724" i="15"/>
  <c r="E724" i="15"/>
  <c r="D724" i="15"/>
  <c r="C724" i="15"/>
  <c r="B724" i="15"/>
  <c r="R723" i="15"/>
  <c r="Q723" i="15"/>
  <c r="P723" i="15"/>
  <c r="O723" i="15"/>
  <c r="N723" i="15"/>
  <c r="M723" i="15"/>
  <c r="L723" i="15"/>
  <c r="K723" i="15"/>
  <c r="J723" i="15"/>
  <c r="I723" i="15"/>
  <c r="H723" i="15"/>
  <c r="G723" i="15"/>
  <c r="F723" i="15"/>
  <c r="E723" i="15"/>
  <c r="D723" i="15"/>
  <c r="C723" i="15"/>
  <c r="B723" i="15"/>
  <c r="R722" i="15"/>
  <c r="Q722" i="15"/>
  <c r="P722" i="15"/>
  <c r="O722" i="15"/>
  <c r="N722" i="15"/>
  <c r="M722" i="15"/>
  <c r="L722" i="15"/>
  <c r="K722" i="15"/>
  <c r="J722" i="15"/>
  <c r="I722" i="15"/>
  <c r="H722" i="15"/>
  <c r="G722" i="15"/>
  <c r="F722" i="15"/>
  <c r="E722" i="15"/>
  <c r="D722" i="15"/>
  <c r="C722" i="15"/>
  <c r="B722" i="15"/>
  <c r="R721" i="15"/>
  <c r="Q721" i="15"/>
  <c r="P721" i="15"/>
  <c r="O721" i="15"/>
  <c r="N721" i="15"/>
  <c r="M721" i="15"/>
  <c r="L721" i="15"/>
  <c r="K721" i="15"/>
  <c r="J721" i="15"/>
  <c r="I721" i="15"/>
  <c r="H721" i="15"/>
  <c r="G721" i="15"/>
  <c r="F721" i="15"/>
  <c r="E721" i="15"/>
  <c r="D721" i="15"/>
  <c r="C721" i="15"/>
  <c r="B721" i="15"/>
  <c r="R720" i="15"/>
  <c r="Q720" i="15"/>
  <c r="P720" i="15"/>
  <c r="O720" i="15"/>
  <c r="N720" i="15"/>
  <c r="M720" i="15"/>
  <c r="L720" i="15"/>
  <c r="K720" i="15"/>
  <c r="J720" i="15"/>
  <c r="I720" i="15"/>
  <c r="H720" i="15"/>
  <c r="G720" i="15"/>
  <c r="F720" i="15"/>
  <c r="E720" i="15"/>
  <c r="D720" i="15"/>
  <c r="C720" i="15"/>
  <c r="B720" i="15"/>
  <c r="R719" i="15"/>
  <c r="Q719" i="15"/>
  <c r="P719" i="15"/>
  <c r="O719" i="15"/>
  <c r="N719" i="15"/>
  <c r="M719" i="15"/>
  <c r="L719" i="15"/>
  <c r="K719" i="15"/>
  <c r="J719" i="15"/>
  <c r="I719" i="15"/>
  <c r="H719" i="15"/>
  <c r="G719" i="15"/>
  <c r="F719" i="15"/>
  <c r="E719" i="15"/>
  <c r="D719" i="15"/>
  <c r="C719" i="15"/>
  <c r="B719" i="15"/>
  <c r="R718" i="15"/>
  <c r="Q718" i="15"/>
  <c r="P718" i="15"/>
  <c r="O718" i="15"/>
  <c r="N718" i="15"/>
  <c r="M718" i="15"/>
  <c r="L718" i="15"/>
  <c r="K718" i="15"/>
  <c r="J718" i="15"/>
  <c r="I718" i="15"/>
  <c r="H718" i="15"/>
  <c r="G718" i="15"/>
  <c r="F718" i="15"/>
  <c r="E718" i="15"/>
  <c r="D718" i="15"/>
  <c r="C718" i="15"/>
  <c r="B718" i="15"/>
  <c r="R717" i="15"/>
  <c r="Q717" i="15"/>
  <c r="P717" i="15"/>
  <c r="O717" i="15"/>
  <c r="N717" i="15"/>
  <c r="M717" i="15"/>
  <c r="L717" i="15"/>
  <c r="K717" i="15"/>
  <c r="J717" i="15"/>
  <c r="I717" i="15"/>
  <c r="H717" i="15"/>
  <c r="G717" i="15"/>
  <c r="F717" i="15"/>
  <c r="E717" i="15"/>
  <c r="D717" i="15"/>
  <c r="C717" i="15"/>
  <c r="B717" i="15"/>
  <c r="R716" i="15"/>
  <c r="Q716" i="15"/>
  <c r="P716" i="15"/>
  <c r="O716" i="15"/>
  <c r="N716" i="15"/>
  <c r="M716" i="15"/>
  <c r="L716" i="15"/>
  <c r="K716" i="15"/>
  <c r="J716" i="15"/>
  <c r="I716" i="15"/>
  <c r="H716" i="15"/>
  <c r="G716" i="15"/>
  <c r="F716" i="15"/>
  <c r="E716" i="15"/>
  <c r="D716" i="15"/>
  <c r="C716" i="15"/>
  <c r="B716" i="15"/>
  <c r="R715" i="15"/>
  <c r="Q715" i="15"/>
  <c r="P715" i="15"/>
  <c r="O715" i="15"/>
  <c r="N715" i="15"/>
  <c r="M715" i="15"/>
  <c r="L715" i="15"/>
  <c r="K715" i="15"/>
  <c r="J715" i="15"/>
  <c r="I715" i="15"/>
  <c r="H715" i="15"/>
  <c r="G715" i="15"/>
  <c r="F715" i="15"/>
  <c r="E715" i="15"/>
  <c r="D715" i="15"/>
  <c r="C715" i="15"/>
  <c r="B715" i="15"/>
  <c r="R714" i="15"/>
  <c r="Q714" i="15"/>
  <c r="P714" i="15"/>
  <c r="O714" i="15"/>
  <c r="N714" i="15"/>
  <c r="M714" i="15"/>
  <c r="L714" i="15"/>
  <c r="K714" i="15"/>
  <c r="J714" i="15"/>
  <c r="I714" i="15"/>
  <c r="H714" i="15"/>
  <c r="G714" i="15"/>
  <c r="F714" i="15"/>
  <c r="E714" i="15"/>
  <c r="D714" i="15"/>
  <c r="C714" i="15"/>
  <c r="B714" i="15"/>
  <c r="R713" i="15"/>
  <c r="Q713" i="15"/>
  <c r="P713" i="15"/>
  <c r="O713" i="15"/>
  <c r="N713" i="15"/>
  <c r="M713" i="15"/>
  <c r="L713" i="15"/>
  <c r="K713" i="15"/>
  <c r="J713" i="15"/>
  <c r="I713" i="15"/>
  <c r="H713" i="15"/>
  <c r="G713" i="15"/>
  <c r="F713" i="15"/>
  <c r="E713" i="15"/>
  <c r="D713" i="15"/>
  <c r="C713" i="15"/>
  <c r="B713" i="15"/>
  <c r="R712" i="15"/>
  <c r="Q712" i="15"/>
  <c r="P712" i="15"/>
  <c r="O712" i="15"/>
  <c r="N712" i="15"/>
  <c r="M712" i="15"/>
  <c r="L712" i="15"/>
  <c r="K712" i="15"/>
  <c r="J712" i="15"/>
  <c r="I712" i="15"/>
  <c r="H712" i="15"/>
  <c r="G712" i="15"/>
  <c r="F712" i="15"/>
  <c r="E712" i="15"/>
  <c r="D712" i="15"/>
  <c r="C712" i="15"/>
  <c r="B712" i="15"/>
  <c r="R711" i="15"/>
  <c r="Q711" i="15"/>
  <c r="P711" i="15"/>
  <c r="O711" i="15"/>
  <c r="N711" i="15"/>
  <c r="M711" i="15"/>
  <c r="L711" i="15"/>
  <c r="K711" i="15"/>
  <c r="J711" i="15"/>
  <c r="I711" i="15"/>
  <c r="H711" i="15"/>
  <c r="G711" i="15"/>
  <c r="F711" i="15"/>
  <c r="E711" i="15"/>
  <c r="D711" i="15"/>
  <c r="C711" i="15"/>
  <c r="B711" i="15"/>
  <c r="R710" i="15"/>
  <c r="Q710" i="15"/>
  <c r="P710" i="15"/>
  <c r="O710" i="15"/>
  <c r="N710" i="15"/>
  <c r="M710" i="15"/>
  <c r="L710" i="15"/>
  <c r="K710" i="15"/>
  <c r="J710" i="15"/>
  <c r="I710" i="15"/>
  <c r="H710" i="15"/>
  <c r="G710" i="15"/>
  <c r="F710" i="15"/>
  <c r="E710" i="15"/>
  <c r="D710" i="15"/>
  <c r="C710" i="15"/>
  <c r="B710" i="15"/>
  <c r="R709" i="15"/>
  <c r="Q709" i="15"/>
  <c r="P709" i="15"/>
  <c r="O709" i="15"/>
  <c r="N709" i="15"/>
  <c r="M709" i="15"/>
  <c r="L709" i="15"/>
  <c r="K709" i="15"/>
  <c r="J709" i="15"/>
  <c r="I709" i="15"/>
  <c r="H709" i="15"/>
  <c r="G709" i="15"/>
  <c r="F709" i="15"/>
  <c r="E709" i="15"/>
  <c r="D709" i="15"/>
  <c r="C709" i="15"/>
  <c r="B709" i="15"/>
  <c r="R708" i="15"/>
  <c r="Q708" i="15"/>
  <c r="P708" i="15"/>
  <c r="O708" i="15"/>
  <c r="N708" i="15"/>
  <c r="M708" i="15"/>
  <c r="L708" i="15"/>
  <c r="K708" i="15"/>
  <c r="J708" i="15"/>
  <c r="I708" i="15"/>
  <c r="H708" i="15"/>
  <c r="G708" i="15"/>
  <c r="F708" i="15"/>
  <c r="E708" i="15"/>
  <c r="D708" i="15"/>
  <c r="C708" i="15"/>
  <c r="B708" i="15"/>
  <c r="R707" i="15"/>
  <c r="Q707" i="15"/>
  <c r="P707" i="15"/>
  <c r="O707" i="15"/>
  <c r="N707" i="15"/>
  <c r="M707" i="15"/>
  <c r="L707" i="15"/>
  <c r="K707" i="15"/>
  <c r="J707" i="15"/>
  <c r="I707" i="15"/>
  <c r="H707" i="15"/>
  <c r="G707" i="15"/>
  <c r="F707" i="15"/>
  <c r="E707" i="15"/>
  <c r="D707" i="15"/>
  <c r="C707" i="15"/>
  <c r="B707" i="15"/>
  <c r="R706" i="15"/>
  <c r="Q706" i="15"/>
  <c r="P706" i="15"/>
  <c r="O706" i="15"/>
  <c r="N706" i="15"/>
  <c r="M706" i="15"/>
  <c r="L706" i="15"/>
  <c r="K706" i="15"/>
  <c r="J706" i="15"/>
  <c r="I706" i="15"/>
  <c r="H706" i="15"/>
  <c r="G706" i="15"/>
  <c r="F706" i="15"/>
  <c r="E706" i="15"/>
  <c r="D706" i="15"/>
  <c r="C706" i="15"/>
  <c r="B706" i="15"/>
  <c r="R705" i="15"/>
  <c r="Q705" i="15"/>
  <c r="P705" i="15"/>
  <c r="O705" i="15"/>
  <c r="N705" i="15"/>
  <c r="M705" i="15"/>
  <c r="L705" i="15"/>
  <c r="K705" i="15"/>
  <c r="J705" i="15"/>
  <c r="I705" i="15"/>
  <c r="H705" i="15"/>
  <c r="G705" i="15"/>
  <c r="F705" i="15"/>
  <c r="E705" i="15"/>
  <c r="D705" i="15"/>
  <c r="C705" i="15"/>
  <c r="B705" i="15"/>
  <c r="R704" i="15"/>
  <c r="Q704" i="15"/>
  <c r="P704" i="15"/>
  <c r="O704" i="15"/>
  <c r="N704" i="15"/>
  <c r="M704" i="15"/>
  <c r="L704" i="15"/>
  <c r="K704" i="15"/>
  <c r="J704" i="15"/>
  <c r="I704" i="15"/>
  <c r="H704" i="15"/>
  <c r="G704" i="15"/>
  <c r="F704" i="15"/>
  <c r="E704" i="15"/>
  <c r="D704" i="15"/>
  <c r="C704" i="15"/>
  <c r="B704" i="15"/>
  <c r="R703" i="15"/>
  <c r="Q703" i="15"/>
  <c r="P703" i="15"/>
  <c r="O703" i="15"/>
  <c r="N703" i="15"/>
  <c r="M703" i="15"/>
  <c r="L703" i="15"/>
  <c r="K703" i="15"/>
  <c r="J703" i="15"/>
  <c r="I703" i="15"/>
  <c r="H703" i="15"/>
  <c r="G703" i="15"/>
  <c r="F703" i="15"/>
  <c r="E703" i="15"/>
  <c r="D703" i="15"/>
  <c r="C703" i="15"/>
  <c r="B703" i="15"/>
  <c r="R702" i="15"/>
  <c r="Q702" i="15"/>
  <c r="P702" i="15"/>
  <c r="O702" i="15"/>
  <c r="N702" i="15"/>
  <c r="M702" i="15"/>
  <c r="L702" i="15"/>
  <c r="K702" i="15"/>
  <c r="J702" i="15"/>
  <c r="I702" i="15"/>
  <c r="H702" i="15"/>
  <c r="G702" i="15"/>
  <c r="F702" i="15"/>
  <c r="E702" i="15"/>
  <c r="D702" i="15"/>
  <c r="C702" i="15"/>
  <c r="B702" i="15"/>
  <c r="R701" i="15"/>
  <c r="Q701" i="15"/>
  <c r="P701" i="15"/>
  <c r="O701" i="15"/>
  <c r="N701" i="15"/>
  <c r="M701" i="15"/>
  <c r="L701" i="15"/>
  <c r="K701" i="15"/>
  <c r="J701" i="15"/>
  <c r="I701" i="15"/>
  <c r="H701" i="15"/>
  <c r="G701" i="15"/>
  <c r="F701" i="15"/>
  <c r="E701" i="15"/>
  <c r="D701" i="15"/>
  <c r="C701" i="15"/>
  <c r="B701" i="15"/>
  <c r="R700" i="15"/>
  <c r="Q700" i="15"/>
  <c r="P700" i="15"/>
  <c r="O700" i="15"/>
  <c r="N700" i="15"/>
  <c r="M700" i="15"/>
  <c r="L700" i="15"/>
  <c r="K700" i="15"/>
  <c r="J700" i="15"/>
  <c r="I700" i="15"/>
  <c r="H700" i="15"/>
  <c r="G700" i="15"/>
  <c r="F700" i="15"/>
  <c r="E700" i="15"/>
  <c r="D700" i="15"/>
  <c r="C700" i="15"/>
  <c r="B700" i="15"/>
  <c r="R699" i="15"/>
  <c r="Q699" i="15"/>
  <c r="P699" i="15"/>
  <c r="O699" i="15"/>
  <c r="N699" i="15"/>
  <c r="M699" i="15"/>
  <c r="L699" i="15"/>
  <c r="K699" i="15"/>
  <c r="J699" i="15"/>
  <c r="I699" i="15"/>
  <c r="H699" i="15"/>
  <c r="G699" i="15"/>
  <c r="F699" i="15"/>
  <c r="E699" i="15"/>
  <c r="D699" i="15"/>
  <c r="C699" i="15"/>
  <c r="B699" i="15"/>
  <c r="R698" i="15"/>
  <c r="Q698" i="15"/>
  <c r="P698" i="15"/>
  <c r="O698" i="15"/>
  <c r="N698" i="15"/>
  <c r="M698" i="15"/>
  <c r="L698" i="15"/>
  <c r="K698" i="15"/>
  <c r="J698" i="15"/>
  <c r="I698" i="15"/>
  <c r="H698" i="15"/>
  <c r="G698" i="15"/>
  <c r="F698" i="15"/>
  <c r="E698" i="15"/>
  <c r="D698" i="15"/>
  <c r="C698" i="15"/>
  <c r="B698" i="15"/>
  <c r="R697" i="15"/>
  <c r="Q697" i="15"/>
  <c r="P697" i="15"/>
  <c r="O697" i="15"/>
  <c r="N697" i="15"/>
  <c r="M697" i="15"/>
  <c r="L697" i="15"/>
  <c r="K697" i="15"/>
  <c r="J697" i="15"/>
  <c r="I697" i="15"/>
  <c r="H697" i="15"/>
  <c r="G697" i="15"/>
  <c r="F697" i="15"/>
  <c r="E697" i="15"/>
  <c r="D697" i="15"/>
  <c r="C697" i="15"/>
  <c r="B697" i="15"/>
  <c r="R696" i="15"/>
  <c r="Q696" i="15"/>
  <c r="P696" i="15"/>
  <c r="O696" i="15"/>
  <c r="N696" i="15"/>
  <c r="M696" i="15"/>
  <c r="L696" i="15"/>
  <c r="K696" i="15"/>
  <c r="J696" i="15"/>
  <c r="I696" i="15"/>
  <c r="H696" i="15"/>
  <c r="G696" i="15"/>
  <c r="F696" i="15"/>
  <c r="E696" i="15"/>
  <c r="D696" i="15"/>
  <c r="C696" i="15"/>
  <c r="B696" i="15"/>
  <c r="R695" i="15"/>
  <c r="Q695" i="15"/>
  <c r="P695" i="15"/>
  <c r="O695" i="15"/>
  <c r="N695" i="15"/>
  <c r="M695" i="15"/>
  <c r="L695" i="15"/>
  <c r="K695" i="15"/>
  <c r="J695" i="15"/>
  <c r="I695" i="15"/>
  <c r="H695" i="15"/>
  <c r="G695" i="15"/>
  <c r="F695" i="15"/>
  <c r="E695" i="15"/>
  <c r="D695" i="15"/>
  <c r="C695" i="15"/>
  <c r="B695" i="15"/>
  <c r="R694" i="15"/>
  <c r="Q694" i="15"/>
  <c r="P694" i="15"/>
  <c r="O694" i="15"/>
  <c r="N694" i="15"/>
  <c r="M694" i="15"/>
  <c r="L694" i="15"/>
  <c r="K694" i="15"/>
  <c r="J694" i="15"/>
  <c r="I694" i="15"/>
  <c r="H694" i="15"/>
  <c r="G694" i="15"/>
  <c r="F694" i="15"/>
  <c r="E694" i="15"/>
  <c r="D694" i="15"/>
  <c r="C694" i="15"/>
  <c r="B694" i="15"/>
  <c r="R693" i="15"/>
  <c r="Q693" i="15"/>
  <c r="P693" i="15"/>
  <c r="O693" i="15"/>
  <c r="N693" i="15"/>
  <c r="M693" i="15"/>
  <c r="L693" i="15"/>
  <c r="K693" i="15"/>
  <c r="J693" i="15"/>
  <c r="I693" i="15"/>
  <c r="H693" i="15"/>
  <c r="G693" i="15"/>
  <c r="F693" i="15"/>
  <c r="E693" i="15"/>
  <c r="D693" i="15"/>
  <c r="C693" i="15"/>
  <c r="B693" i="15"/>
  <c r="R692" i="15"/>
  <c r="Q692" i="15"/>
  <c r="P692" i="15"/>
  <c r="O692" i="15"/>
  <c r="N692" i="15"/>
  <c r="M692" i="15"/>
  <c r="L692" i="15"/>
  <c r="K692" i="15"/>
  <c r="J692" i="15"/>
  <c r="I692" i="15"/>
  <c r="H692" i="15"/>
  <c r="G692" i="15"/>
  <c r="F692" i="15"/>
  <c r="E692" i="15"/>
  <c r="D692" i="15"/>
  <c r="C692" i="15"/>
  <c r="B692" i="15"/>
  <c r="R691" i="15"/>
  <c r="Q691" i="15"/>
  <c r="P691" i="15"/>
  <c r="O691" i="15"/>
  <c r="N691" i="15"/>
  <c r="M691" i="15"/>
  <c r="L691" i="15"/>
  <c r="K691" i="15"/>
  <c r="J691" i="15"/>
  <c r="I691" i="15"/>
  <c r="H691" i="15"/>
  <c r="G691" i="15"/>
  <c r="F691" i="15"/>
  <c r="E691" i="15"/>
  <c r="D691" i="15"/>
  <c r="C691" i="15"/>
  <c r="B691" i="15"/>
  <c r="R690" i="15"/>
  <c r="Q690" i="15"/>
  <c r="P690" i="15"/>
  <c r="O690" i="15"/>
  <c r="N690" i="15"/>
  <c r="M690" i="15"/>
  <c r="L690" i="15"/>
  <c r="K690" i="15"/>
  <c r="J690" i="15"/>
  <c r="I690" i="15"/>
  <c r="H690" i="15"/>
  <c r="G690" i="15"/>
  <c r="F690" i="15"/>
  <c r="E690" i="15"/>
  <c r="D690" i="15"/>
  <c r="C690" i="15"/>
  <c r="B690" i="15"/>
  <c r="R689" i="15"/>
  <c r="Q689" i="15"/>
  <c r="P689" i="15"/>
  <c r="O689" i="15"/>
  <c r="N689" i="15"/>
  <c r="M689" i="15"/>
  <c r="L689" i="15"/>
  <c r="K689" i="15"/>
  <c r="J689" i="15"/>
  <c r="I689" i="15"/>
  <c r="H689" i="15"/>
  <c r="G689" i="15"/>
  <c r="F689" i="15"/>
  <c r="E689" i="15"/>
  <c r="D689" i="15"/>
  <c r="C689" i="15"/>
  <c r="B689" i="15"/>
  <c r="R688" i="15"/>
  <c r="Q688" i="15"/>
  <c r="P688" i="15"/>
  <c r="O688" i="15"/>
  <c r="N688" i="15"/>
  <c r="M688" i="15"/>
  <c r="L688" i="15"/>
  <c r="K688" i="15"/>
  <c r="J688" i="15"/>
  <c r="I688" i="15"/>
  <c r="H688" i="15"/>
  <c r="G688" i="15"/>
  <c r="F688" i="15"/>
  <c r="E688" i="15"/>
  <c r="D688" i="15"/>
  <c r="C688" i="15"/>
  <c r="B688" i="15"/>
  <c r="R687" i="15"/>
  <c r="Q687" i="15"/>
  <c r="P687" i="15"/>
  <c r="O687" i="15"/>
  <c r="N687" i="15"/>
  <c r="M687" i="15"/>
  <c r="L687" i="15"/>
  <c r="K687" i="15"/>
  <c r="J687" i="15"/>
  <c r="I687" i="15"/>
  <c r="H687" i="15"/>
  <c r="G687" i="15"/>
  <c r="F687" i="15"/>
  <c r="E687" i="15"/>
  <c r="D687" i="15"/>
  <c r="C687" i="15"/>
  <c r="B687" i="15"/>
  <c r="R686" i="15"/>
  <c r="Q686" i="15"/>
  <c r="P686" i="15"/>
  <c r="O686" i="15"/>
  <c r="N686" i="15"/>
  <c r="M686" i="15"/>
  <c r="L686" i="15"/>
  <c r="K686" i="15"/>
  <c r="J686" i="15"/>
  <c r="I686" i="15"/>
  <c r="H686" i="15"/>
  <c r="G686" i="15"/>
  <c r="F686" i="15"/>
  <c r="E686" i="15"/>
  <c r="D686" i="15"/>
  <c r="C686" i="15"/>
  <c r="B686" i="15"/>
  <c r="R685" i="15"/>
  <c r="Q685" i="15"/>
  <c r="P685" i="15"/>
  <c r="O685" i="15"/>
  <c r="N685" i="15"/>
  <c r="M685" i="15"/>
  <c r="L685" i="15"/>
  <c r="K685" i="15"/>
  <c r="J685" i="15"/>
  <c r="I685" i="15"/>
  <c r="H685" i="15"/>
  <c r="G685" i="15"/>
  <c r="F685" i="15"/>
  <c r="E685" i="15"/>
  <c r="D685" i="15"/>
  <c r="C685" i="15"/>
  <c r="B685" i="15"/>
  <c r="R684" i="15"/>
  <c r="Q684" i="15"/>
  <c r="P684" i="15"/>
  <c r="O684" i="15"/>
  <c r="N684" i="15"/>
  <c r="M684" i="15"/>
  <c r="L684" i="15"/>
  <c r="K684" i="15"/>
  <c r="J684" i="15"/>
  <c r="I684" i="15"/>
  <c r="H684" i="15"/>
  <c r="G684" i="15"/>
  <c r="F684" i="15"/>
  <c r="E684" i="15"/>
  <c r="D684" i="15"/>
  <c r="C684" i="15"/>
  <c r="B684" i="15"/>
  <c r="R683" i="15"/>
  <c r="Q683" i="15"/>
  <c r="P683" i="15"/>
  <c r="O683" i="15"/>
  <c r="N683" i="15"/>
  <c r="M683" i="15"/>
  <c r="L683" i="15"/>
  <c r="K683" i="15"/>
  <c r="J683" i="15"/>
  <c r="I683" i="15"/>
  <c r="H683" i="15"/>
  <c r="G683" i="15"/>
  <c r="F683" i="15"/>
  <c r="E683" i="15"/>
  <c r="D683" i="15"/>
  <c r="C683" i="15"/>
  <c r="B683" i="15"/>
  <c r="R682" i="15"/>
  <c r="Q682" i="15"/>
  <c r="P682" i="15"/>
  <c r="O682" i="15"/>
  <c r="N682" i="15"/>
  <c r="M682" i="15"/>
  <c r="L682" i="15"/>
  <c r="K682" i="15"/>
  <c r="J682" i="15"/>
  <c r="I682" i="15"/>
  <c r="H682" i="15"/>
  <c r="G682" i="15"/>
  <c r="F682" i="15"/>
  <c r="E682" i="15"/>
  <c r="D682" i="15"/>
  <c r="C682" i="15"/>
  <c r="B682" i="15"/>
  <c r="R681" i="15"/>
  <c r="Q681" i="15"/>
  <c r="P681" i="15"/>
  <c r="O681" i="15"/>
  <c r="N681" i="15"/>
  <c r="M681" i="15"/>
  <c r="L681" i="15"/>
  <c r="K681" i="15"/>
  <c r="J681" i="15"/>
  <c r="I681" i="15"/>
  <c r="H681" i="15"/>
  <c r="G681" i="15"/>
  <c r="F681" i="15"/>
  <c r="E681" i="15"/>
  <c r="D681" i="15"/>
  <c r="C681" i="15"/>
  <c r="B681" i="15"/>
  <c r="R680" i="15"/>
  <c r="Q680" i="15"/>
  <c r="P680" i="15"/>
  <c r="O680" i="15"/>
  <c r="N680" i="15"/>
  <c r="M680" i="15"/>
  <c r="L680" i="15"/>
  <c r="K680" i="15"/>
  <c r="J680" i="15"/>
  <c r="I680" i="15"/>
  <c r="H680" i="15"/>
  <c r="G680" i="15"/>
  <c r="F680" i="15"/>
  <c r="E680" i="15"/>
  <c r="D680" i="15"/>
  <c r="C680" i="15"/>
  <c r="B680" i="15"/>
  <c r="R679" i="15"/>
  <c r="Q679" i="15"/>
  <c r="P679" i="15"/>
  <c r="O679" i="15"/>
  <c r="N679" i="15"/>
  <c r="M679" i="15"/>
  <c r="L679" i="15"/>
  <c r="K679" i="15"/>
  <c r="J679" i="15"/>
  <c r="I679" i="15"/>
  <c r="H679" i="15"/>
  <c r="G679" i="15"/>
  <c r="F679" i="15"/>
  <c r="E679" i="15"/>
  <c r="D679" i="15"/>
  <c r="C679" i="15"/>
  <c r="B679" i="15"/>
  <c r="R678" i="15"/>
  <c r="Q678" i="15"/>
  <c r="P678" i="15"/>
  <c r="O678" i="15"/>
  <c r="N678" i="15"/>
  <c r="M678" i="15"/>
  <c r="L678" i="15"/>
  <c r="K678" i="15"/>
  <c r="J678" i="15"/>
  <c r="I678" i="15"/>
  <c r="H678" i="15"/>
  <c r="G678" i="15"/>
  <c r="F678" i="15"/>
  <c r="E678" i="15"/>
  <c r="D678" i="15"/>
  <c r="C678" i="15"/>
  <c r="B678" i="15"/>
  <c r="R677" i="15"/>
  <c r="Q677" i="15"/>
  <c r="P677" i="15"/>
  <c r="O677" i="15"/>
  <c r="N677" i="15"/>
  <c r="M677" i="15"/>
  <c r="L677" i="15"/>
  <c r="K677" i="15"/>
  <c r="J677" i="15"/>
  <c r="I677" i="15"/>
  <c r="H677" i="15"/>
  <c r="G677" i="15"/>
  <c r="F677" i="15"/>
  <c r="E677" i="15"/>
  <c r="D677" i="15"/>
  <c r="C677" i="15"/>
  <c r="B677" i="15"/>
  <c r="R676" i="15"/>
  <c r="Q676" i="15"/>
  <c r="P676" i="15"/>
  <c r="O676" i="15"/>
  <c r="N676" i="15"/>
  <c r="M676" i="15"/>
  <c r="L676" i="15"/>
  <c r="K676" i="15"/>
  <c r="J676" i="15"/>
  <c r="I676" i="15"/>
  <c r="H676" i="15"/>
  <c r="G676" i="15"/>
  <c r="F676" i="15"/>
  <c r="E676" i="15"/>
  <c r="D676" i="15"/>
  <c r="C676" i="15"/>
  <c r="B676" i="15"/>
  <c r="R675" i="15"/>
  <c r="Q675" i="15"/>
  <c r="P675" i="15"/>
  <c r="O675" i="15"/>
  <c r="N675" i="15"/>
  <c r="M675" i="15"/>
  <c r="L675" i="15"/>
  <c r="K675" i="15"/>
  <c r="J675" i="15"/>
  <c r="I675" i="15"/>
  <c r="H675" i="15"/>
  <c r="G675" i="15"/>
  <c r="F675" i="15"/>
  <c r="E675" i="15"/>
  <c r="D675" i="15"/>
  <c r="C675" i="15"/>
  <c r="B675" i="15"/>
  <c r="R674" i="15"/>
  <c r="Q674" i="15"/>
  <c r="P674" i="15"/>
  <c r="O674" i="15"/>
  <c r="N674" i="15"/>
  <c r="M674" i="15"/>
  <c r="L674" i="15"/>
  <c r="K674" i="15"/>
  <c r="J674" i="15"/>
  <c r="I674" i="15"/>
  <c r="H674" i="15"/>
  <c r="G674" i="15"/>
  <c r="F674" i="15"/>
  <c r="E674" i="15"/>
  <c r="D674" i="15"/>
  <c r="C674" i="15"/>
  <c r="B674" i="15"/>
  <c r="R673" i="15"/>
  <c r="Q673" i="15"/>
  <c r="P673" i="15"/>
  <c r="O673" i="15"/>
  <c r="N673" i="15"/>
  <c r="M673" i="15"/>
  <c r="L673" i="15"/>
  <c r="K673" i="15"/>
  <c r="J673" i="15"/>
  <c r="I673" i="15"/>
  <c r="H673" i="15"/>
  <c r="G673" i="15"/>
  <c r="F673" i="15"/>
  <c r="E673" i="15"/>
  <c r="D673" i="15"/>
  <c r="C673" i="15"/>
  <c r="B673" i="15"/>
  <c r="R672" i="15"/>
  <c r="Q672" i="15"/>
  <c r="P672" i="15"/>
  <c r="O672" i="15"/>
  <c r="N672" i="15"/>
  <c r="M672" i="15"/>
  <c r="L672" i="15"/>
  <c r="K672" i="15"/>
  <c r="J672" i="15"/>
  <c r="I672" i="15"/>
  <c r="H672" i="15"/>
  <c r="G672" i="15"/>
  <c r="F672" i="15"/>
  <c r="E672" i="15"/>
  <c r="D672" i="15"/>
  <c r="C672" i="15"/>
  <c r="B672" i="15"/>
  <c r="R671" i="15"/>
  <c r="Q671" i="15"/>
  <c r="P671" i="15"/>
  <c r="O671" i="15"/>
  <c r="N671" i="15"/>
  <c r="M671" i="15"/>
  <c r="L671" i="15"/>
  <c r="K671" i="15"/>
  <c r="J671" i="15"/>
  <c r="I671" i="15"/>
  <c r="H671" i="15"/>
  <c r="G671" i="15"/>
  <c r="F671" i="15"/>
  <c r="E671" i="15"/>
  <c r="D671" i="15"/>
  <c r="C671" i="15"/>
  <c r="B671" i="15"/>
  <c r="R670" i="15"/>
  <c r="Q670" i="15"/>
  <c r="P670" i="15"/>
  <c r="O670" i="15"/>
  <c r="N670" i="15"/>
  <c r="M670" i="15"/>
  <c r="L670" i="15"/>
  <c r="K670" i="15"/>
  <c r="J670" i="15"/>
  <c r="I670" i="15"/>
  <c r="H670" i="15"/>
  <c r="G670" i="15"/>
  <c r="F670" i="15"/>
  <c r="E670" i="15"/>
  <c r="D670" i="15"/>
  <c r="C670" i="15"/>
  <c r="B670" i="15"/>
  <c r="R669" i="15"/>
  <c r="Q669" i="15"/>
  <c r="P669" i="15"/>
  <c r="O669" i="15"/>
  <c r="N669" i="15"/>
  <c r="M669" i="15"/>
  <c r="L669" i="15"/>
  <c r="K669" i="15"/>
  <c r="J669" i="15"/>
  <c r="I669" i="15"/>
  <c r="H669" i="15"/>
  <c r="G669" i="15"/>
  <c r="F669" i="15"/>
  <c r="E669" i="15"/>
  <c r="D669" i="15"/>
  <c r="C669" i="15"/>
  <c r="B669" i="15"/>
  <c r="R668" i="15"/>
  <c r="Q668" i="15"/>
  <c r="P668" i="15"/>
  <c r="O668" i="15"/>
  <c r="N668" i="15"/>
  <c r="M668" i="15"/>
  <c r="L668" i="15"/>
  <c r="K668" i="15"/>
  <c r="J668" i="15"/>
  <c r="I668" i="15"/>
  <c r="H668" i="15"/>
  <c r="G668" i="15"/>
  <c r="F668" i="15"/>
  <c r="E668" i="15"/>
  <c r="D668" i="15"/>
  <c r="C668" i="15"/>
  <c r="B668" i="15"/>
  <c r="R667" i="15"/>
  <c r="Q667" i="15"/>
  <c r="P667" i="15"/>
  <c r="O667" i="15"/>
  <c r="N667" i="15"/>
  <c r="M667" i="15"/>
  <c r="L667" i="15"/>
  <c r="K667" i="15"/>
  <c r="J667" i="15"/>
  <c r="I667" i="15"/>
  <c r="H667" i="15"/>
  <c r="G667" i="15"/>
  <c r="F667" i="15"/>
  <c r="E667" i="15"/>
  <c r="D667" i="15"/>
  <c r="C667" i="15"/>
  <c r="B667" i="15"/>
  <c r="R666" i="15"/>
  <c r="Q666" i="15"/>
  <c r="P666" i="15"/>
  <c r="O666" i="15"/>
  <c r="N666" i="15"/>
  <c r="M666" i="15"/>
  <c r="L666" i="15"/>
  <c r="K666" i="15"/>
  <c r="J666" i="15"/>
  <c r="I666" i="15"/>
  <c r="H666" i="15"/>
  <c r="G666" i="15"/>
  <c r="F666" i="15"/>
  <c r="E666" i="15"/>
  <c r="D666" i="15"/>
  <c r="C666" i="15"/>
  <c r="B666" i="15"/>
  <c r="R665" i="15"/>
  <c r="Q665" i="15"/>
  <c r="P665" i="15"/>
  <c r="O665" i="15"/>
  <c r="N665" i="15"/>
  <c r="M665" i="15"/>
  <c r="L665" i="15"/>
  <c r="K665" i="15"/>
  <c r="J665" i="15"/>
  <c r="I665" i="15"/>
  <c r="H665" i="15"/>
  <c r="G665" i="15"/>
  <c r="F665" i="15"/>
  <c r="E665" i="15"/>
  <c r="D665" i="15"/>
  <c r="C665" i="15"/>
  <c r="B665" i="15"/>
  <c r="R664" i="15"/>
  <c r="Q664" i="15"/>
  <c r="P664" i="15"/>
  <c r="O664" i="15"/>
  <c r="N664" i="15"/>
  <c r="M664" i="15"/>
  <c r="L664" i="15"/>
  <c r="K664" i="15"/>
  <c r="J664" i="15"/>
  <c r="I664" i="15"/>
  <c r="H664" i="15"/>
  <c r="G664" i="15"/>
  <c r="F664" i="15"/>
  <c r="E664" i="15"/>
  <c r="D664" i="15"/>
  <c r="C664" i="15"/>
  <c r="B664" i="15"/>
  <c r="R663" i="15"/>
  <c r="Q663" i="15"/>
  <c r="P663" i="15"/>
  <c r="O663" i="15"/>
  <c r="N663" i="15"/>
  <c r="M663" i="15"/>
  <c r="L663" i="15"/>
  <c r="K663" i="15"/>
  <c r="J663" i="15"/>
  <c r="I663" i="15"/>
  <c r="H663" i="15"/>
  <c r="G663" i="15"/>
  <c r="F663" i="15"/>
  <c r="E663" i="15"/>
  <c r="D663" i="15"/>
  <c r="C663" i="15"/>
  <c r="B663" i="15"/>
  <c r="R662" i="15"/>
  <c r="Q662" i="15"/>
  <c r="P662" i="15"/>
  <c r="O662" i="15"/>
  <c r="N662" i="15"/>
  <c r="M662" i="15"/>
  <c r="L662" i="15"/>
  <c r="K662" i="15"/>
  <c r="J662" i="15"/>
  <c r="I662" i="15"/>
  <c r="H662" i="15"/>
  <c r="G662" i="15"/>
  <c r="F662" i="15"/>
  <c r="E662" i="15"/>
  <c r="D662" i="15"/>
  <c r="C662" i="15"/>
  <c r="B662" i="15"/>
  <c r="R661" i="15"/>
  <c r="Q661" i="15"/>
  <c r="P661" i="15"/>
  <c r="O661" i="15"/>
  <c r="N661" i="15"/>
  <c r="M661" i="15"/>
  <c r="L661" i="15"/>
  <c r="K661" i="15"/>
  <c r="J661" i="15"/>
  <c r="I661" i="15"/>
  <c r="H661" i="15"/>
  <c r="G661" i="15"/>
  <c r="F661" i="15"/>
  <c r="E661" i="15"/>
  <c r="D661" i="15"/>
  <c r="C661" i="15"/>
  <c r="B661" i="15"/>
  <c r="R660" i="15"/>
  <c r="Q660" i="15"/>
  <c r="P660" i="15"/>
  <c r="O660" i="15"/>
  <c r="N660" i="15"/>
  <c r="M660" i="15"/>
  <c r="L660" i="15"/>
  <c r="K660" i="15"/>
  <c r="J660" i="15"/>
  <c r="I660" i="15"/>
  <c r="H660" i="15"/>
  <c r="G660" i="15"/>
  <c r="F660" i="15"/>
  <c r="E660" i="15"/>
  <c r="D660" i="15"/>
  <c r="C660" i="15"/>
  <c r="B660" i="15"/>
  <c r="R659" i="15"/>
  <c r="Q659" i="15"/>
  <c r="P659" i="15"/>
  <c r="O659" i="15"/>
  <c r="N659" i="15"/>
  <c r="M659" i="15"/>
  <c r="L659" i="15"/>
  <c r="K659" i="15"/>
  <c r="J659" i="15"/>
  <c r="I659" i="15"/>
  <c r="H659" i="15"/>
  <c r="G659" i="15"/>
  <c r="F659" i="15"/>
  <c r="E659" i="15"/>
  <c r="D659" i="15"/>
  <c r="C659" i="15"/>
  <c r="B659" i="15"/>
  <c r="R658" i="15"/>
  <c r="Q658" i="15"/>
  <c r="P658" i="15"/>
  <c r="O658" i="15"/>
  <c r="N658" i="15"/>
  <c r="M658" i="15"/>
  <c r="L658" i="15"/>
  <c r="K658" i="15"/>
  <c r="J658" i="15"/>
  <c r="I658" i="15"/>
  <c r="H658" i="15"/>
  <c r="G658" i="15"/>
  <c r="F658" i="15"/>
  <c r="E658" i="15"/>
  <c r="D658" i="15"/>
  <c r="C658" i="15"/>
  <c r="B658" i="15"/>
  <c r="R657" i="15"/>
  <c r="Q657" i="15"/>
  <c r="P657" i="15"/>
  <c r="O657" i="15"/>
  <c r="N657" i="15"/>
  <c r="M657" i="15"/>
  <c r="L657" i="15"/>
  <c r="K657" i="15"/>
  <c r="J657" i="15"/>
  <c r="I657" i="15"/>
  <c r="H657" i="15"/>
  <c r="G657" i="15"/>
  <c r="F657" i="15"/>
  <c r="E657" i="15"/>
  <c r="D657" i="15"/>
  <c r="C657" i="15"/>
  <c r="B657" i="15"/>
  <c r="R656" i="15"/>
  <c r="Q656" i="15"/>
  <c r="P656" i="15"/>
  <c r="O656" i="15"/>
  <c r="N656" i="15"/>
  <c r="M656" i="15"/>
  <c r="L656" i="15"/>
  <c r="K656" i="15"/>
  <c r="J656" i="15"/>
  <c r="I656" i="15"/>
  <c r="H656" i="15"/>
  <c r="G656" i="15"/>
  <c r="F656" i="15"/>
  <c r="E656" i="15"/>
  <c r="D656" i="15"/>
  <c r="C656" i="15"/>
  <c r="B656" i="15"/>
  <c r="R655" i="15"/>
  <c r="Q655" i="15"/>
  <c r="P655" i="15"/>
  <c r="O655" i="15"/>
  <c r="N655" i="15"/>
  <c r="M655" i="15"/>
  <c r="L655" i="15"/>
  <c r="K655" i="15"/>
  <c r="J655" i="15"/>
  <c r="I655" i="15"/>
  <c r="H655" i="15"/>
  <c r="G655" i="15"/>
  <c r="F655" i="15"/>
  <c r="E655" i="15"/>
  <c r="D655" i="15"/>
  <c r="C655" i="15"/>
  <c r="B655" i="15"/>
  <c r="R654" i="15"/>
  <c r="Q654" i="15"/>
  <c r="P654" i="15"/>
  <c r="O654" i="15"/>
  <c r="N654" i="15"/>
  <c r="M654" i="15"/>
  <c r="L654" i="15"/>
  <c r="K654" i="15"/>
  <c r="J654" i="15"/>
  <c r="I654" i="15"/>
  <c r="H654" i="15"/>
  <c r="G654" i="15"/>
  <c r="F654" i="15"/>
  <c r="E654" i="15"/>
  <c r="D654" i="15"/>
  <c r="C654" i="15"/>
  <c r="B654" i="15"/>
  <c r="R653" i="15"/>
  <c r="Q653" i="15"/>
  <c r="P653" i="15"/>
  <c r="O653" i="15"/>
  <c r="N653" i="15"/>
  <c r="M653" i="15"/>
  <c r="L653" i="15"/>
  <c r="K653" i="15"/>
  <c r="J653" i="15"/>
  <c r="I653" i="15"/>
  <c r="H653" i="15"/>
  <c r="G653" i="15"/>
  <c r="F653" i="15"/>
  <c r="E653" i="15"/>
  <c r="D653" i="15"/>
  <c r="C653" i="15"/>
  <c r="B653" i="15"/>
  <c r="R652" i="15"/>
  <c r="Q652" i="15"/>
  <c r="P652" i="15"/>
  <c r="O652" i="15"/>
  <c r="N652" i="15"/>
  <c r="M652" i="15"/>
  <c r="L652" i="15"/>
  <c r="K652" i="15"/>
  <c r="J652" i="15"/>
  <c r="I652" i="15"/>
  <c r="H652" i="15"/>
  <c r="G652" i="15"/>
  <c r="F652" i="15"/>
  <c r="E652" i="15"/>
  <c r="D652" i="15"/>
  <c r="C652" i="15"/>
  <c r="B652" i="15"/>
  <c r="R651" i="15"/>
  <c r="Q651" i="15"/>
  <c r="P651" i="15"/>
  <c r="O651" i="15"/>
  <c r="N651" i="15"/>
  <c r="M651" i="15"/>
  <c r="L651" i="15"/>
  <c r="K651" i="15"/>
  <c r="J651" i="15"/>
  <c r="I651" i="15"/>
  <c r="H651" i="15"/>
  <c r="G651" i="15"/>
  <c r="F651" i="15"/>
  <c r="E651" i="15"/>
  <c r="D651" i="15"/>
  <c r="C651" i="15"/>
  <c r="B651" i="15"/>
  <c r="R650" i="15"/>
  <c r="Q650" i="15"/>
  <c r="P650" i="15"/>
  <c r="O650" i="15"/>
  <c r="N650" i="15"/>
  <c r="M650" i="15"/>
  <c r="L650" i="15"/>
  <c r="K650" i="15"/>
  <c r="J650" i="15"/>
  <c r="I650" i="15"/>
  <c r="H650" i="15"/>
  <c r="G650" i="15"/>
  <c r="F650" i="15"/>
  <c r="E650" i="15"/>
  <c r="D650" i="15"/>
  <c r="C650" i="15"/>
  <c r="B650" i="15"/>
  <c r="R649" i="15"/>
  <c r="Q649" i="15"/>
  <c r="P649" i="15"/>
  <c r="O649" i="15"/>
  <c r="N649" i="15"/>
  <c r="M649" i="15"/>
  <c r="L649" i="15"/>
  <c r="K649" i="15"/>
  <c r="J649" i="15"/>
  <c r="I649" i="15"/>
  <c r="H649" i="15"/>
  <c r="G649" i="15"/>
  <c r="F649" i="15"/>
  <c r="E649" i="15"/>
  <c r="D649" i="15"/>
  <c r="C649" i="15"/>
  <c r="B649" i="15"/>
  <c r="R648" i="15"/>
  <c r="Q648" i="15"/>
  <c r="P648" i="15"/>
  <c r="O648" i="15"/>
  <c r="N648" i="15"/>
  <c r="M648" i="15"/>
  <c r="L648" i="15"/>
  <c r="K648" i="15"/>
  <c r="J648" i="15"/>
  <c r="I648" i="15"/>
  <c r="H648" i="15"/>
  <c r="G648" i="15"/>
  <c r="F648" i="15"/>
  <c r="E648" i="15"/>
  <c r="D648" i="15"/>
  <c r="C648" i="15"/>
  <c r="B648" i="15"/>
  <c r="R647" i="15"/>
  <c r="Q647" i="15"/>
  <c r="P647" i="15"/>
  <c r="O647" i="15"/>
  <c r="N647" i="15"/>
  <c r="M647" i="15"/>
  <c r="L647" i="15"/>
  <c r="K647" i="15"/>
  <c r="J647" i="15"/>
  <c r="I647" i="15"/>
  <c r="H647" i="15"/>
  <c r="G647" i="15"/>
  <c r="F647" i="15"/>
  <c r="E647" i="15"/>
  <c r="D647" i="15"/>
  <c r="C647" i="15"/>
  <c r="B647" i="15"/>
  <c r="R646" i="15"/>
  <c r="Q646" i="15"/>
  <c r="P646" i="15"/>
  <c r="O646" i="15"/>
  <c r="N646" i="15"/>
  <c r="M646" i="15"/>
  <c r="L646" i="15"/>
  <c r="K646" i="15"/>
  <c r="J646" i="15"/>
  <c r="I646" i="15"/>
  <c r="H646" i="15"/>
  <c r="G646" i="15"/>
  <c r="F646" i="15"/>
  <c r="E646" i="15"/>
  <c r="D646" i="15"/>
  <c r="C646" i="15"/>
  <c r="B646" i="15"/>
  <c r="R645" i="15"/>
  <c r="Q645" i="15"/>
  <c r="P645" i="15"/>
  <c r="O645" i="15"/>
  <c r="N645" i="15"/>
  <c r="M645" i="15"/>
  <c r="L645" i="15"/>
  <c r="K645" i="15"/>
  <c r="J645" i="15"/>
  <c r="I645" i="15"/>
  <c r="H645" i="15"/>
  <c r="G645" i="15"/>
  <c r="F645" i="15"/>
  <c r="E645" i="15"/>
  <c r="D645" i="15"/>
  <c r="C645" i="15"/>
  <c r="B645" i="15"/>
  <c r="R644" i="15"/>
  <c r="Q644" i="15"/>
  <c r="P644" i="15"/>
  <c r="O644" i="15"/>
  <c r="N644" i="15"/>
  <c r="M644" i="15"/>
  <c r="L644" i="15"/>
  <c r="K644" i="15"/>
  <c r="J644" i="15"/>
  <c r="I644" i="15"/>
  <c r="H644" i="15"/>
  <c r="G644" i="15"/>
  <c r="F644" i="15"/>
  <c r="E644" i="15"/>
  <c r="D644" i="15"/>
  <c r="C644" i="15"/>
  <c r="B644" i="15"/>
  <c r="R643" i="15"/>
  <c r="Q643" i="15"/>
  <c r="P643" i="15"/>
  <c r="O643" i="15"/>
  <c r="N643" i="15"/>
  <c r="M643" i="15"/>
  <c r="L643" i="15"/>
  <c r="K643" i="15"/>
  <c r="J643" i="15"/>
  <c r="I643" i="15"/>
  <c r="H643" i="15"/>
  <c r="G643" i="15"/>
  <c r="F643" i="15"/>
  <c r="E643" i="15"/>
  <c r="D643" i="15"/>
  <c r="C643" i="15"/>
  <c r="B643" i="15"/>
  <c r="R642" i="15"/>
  <c r="Q642" i="15"/>
  <c r="P642" i="15"/>
  <c r="O642" i="15"/>
  <c r="N642" i="15"/>
  <c r="M642" i="15"/>
  <c r="L642" i="15"/>
  <c r="K642" i="15"/>
  <c r="J642" i="15"/>
  <c r="I642" i="15"/>
  <c r="H642" i="15"/>
  <c r="G642" i="15"/>
  <c r="F642" i="15"/>
  <c r="E642" i="15"/>
  <c r="D642" i="15"/>
  <c r="C642" i="15"/>
  <c r="B642" i="15"/>
  <c r="R641" i="15"/>
  <c r="Q641" i="15"/>
  <c r="P641" i="15"/>
  <c r="O641" i="15"/>
  <c r="N641" i="15"/>
  <c r="M641" i="15"/>
  <c r="L641" i="15"/>
  <c r="K641" i="15"/>
  <c r="J641" i="15"/>
  <c r="I641" i="15"/>
  <c r="H641" i="15"/>
  <c r="G641" i="15"/>
  <c r="F641" i="15"/>
  <c r="E641" i="15"/>
  <c r="D641" i="15"/>
  <c r="C641" i="15"/>
  <c r="B641" i="15"/>
  <c r="R640" i="15"/>
  <c r="Q640" i="15"/>
  <c r="P640" i="15"/>
  <c r="O640" i="15"/>
  <c r="N640" i="15"/>
  <c r="M640" i="15"/>
  <c r="L640" i="15"/>
  <c r="K640" i="15"/>
  <c r="J640" i="15"/>
  <c r="I640" i="15"/>
  <c r="H640" i="15"/>
  <c r="G640" i="15"/>
  <c r="F640" i="15"/>
  <c r="E640" i="15"/>
  <c r="D640" i="15"/>
  <c r="C640" i="15"/>
  <c r="B640" i="15"/>
  <c r="R639" i="15"/>
  <c r="Q639" i="15"/>
  <c r="P639" i="15"/>
  <c r="O639" i="15"/>
  <c r="N639" i="15"/>
  <c r="M639" i="15"/>
  <c r="L639" i="15"/>
  <c r="K639" i="15"/>
  <c r="J639" i="15"/>
  <c r="I639" i="15"/>
  <c r="H639" i="15"/>
  <c r="G639" i="15"/>
  <c r="F639" i="15"/>
  <c r="E639" i="15"/>
  <c r="D639" i="15"/>
  <c r="C639" i="15"/>
  <c r="B639" i="15"/>
  <c r="R638" i="15"/>
  <c r="Q638" i="15"/>
  <c r="P638" i="15"/>
  <c r="O638" i="15"/>
  <c r="N638" i="15"/>
  <c r="M638" i="15"/>
  <c r="L638" i="15"/>
  <c r="K638" i="15"/>
  <c r="J638" i="15"/>
  <c r="I638" i="15"/>
  <c r="H638" i="15"/>
  <c r="G638" i="15"/>
  <c r="F638" i="15"/>
  <c r="E638" i="15"/>
  <c r="D638" i="15"/>
  <c r="C638" i="15"/>
  <c r="B638" i="15"/>
  <c r="R637" i="15"/>
  <c r="Q637" i="15"/>
  <c r="P637" i="15"/>
  <c r="O637" i="15"/>
  <c r="N637" i="15"/>
  <c r="M637" i="15"/>
  <c r="L637" i="15"/>
  <c r="K637" i="15"/>
  <c r="J637" i="15"/>
  <c r="I637" i="15"/>
  <c r="H637" i="15"/>
  <c r="G637" i="15"/>
  <c r="F637" i="15"/>
  <c r="E637" i="15"/>
  <c r="D637" i="15"/>
  <c r="C637" i="15"/>
  <c r="B637" i="15"/>
  <c r="R636" i="15"/>
  <c r="Q636" i="15"/>
  <c r="P636" i="15"/>
  <c r="O636" i="15"/>
  <c r="N636" i="15"/>
  <c r="M636" i="15"/>
  <c r="L636" i="15"/>
  <c r="K636" i="15"/>
  <c r="J636" i="15"/>
  <c r="I636" i="15"/>
  <c r="H636" i="15"/>
  <c r="G636" i="15"/>
  <c r="F636" i="15"/>
  <c r="E636" i="15"/>
  <c r="D636" i="15"/>
  <c r="C636" i="15"/>
  <c r="B636" i="15"/>
  <c r="R635" i="15"/>
  <c r="Q635" i="15"/>
  <c r="P635" i="15"/>
  <c r="O635" i="15"/>
  <c r="N635" i="15"/>
  <c r="M635" i="15"/>
  <c r="L635" i="15"/>
  <c r="K635" i="15"/>
  <c r="J635" i="15"/>
  <c r="I635" i="15"/>
  <c r="H635" i="15"/>
  <c r="G635" i="15"/>
  <c r="F635" i="15"/>
  <c r="E635" i="15"/>
  <c r="D635" i="15"/>
  <c r="C635" i="15"/>
  <c r="B635" i="15"/>
  <c r="R634" i="15"/>
  <c r="Q634" i="15"/>
  <c r="P634" i="15"/>
  <c r="O634" i="15"/>
  <c r="N634" i="15"/>
  <c r="M634" i="15"/>
  <c r="L634" i="15"/>
  <c r="K634" i="15"/>
  <c r="J634" i="15"/>
  <c r="I634" i="15"/>
  <c r="H634" i="15"/>
  <c r="G634" i="15"/>
  <c r="F634" i="15"/>
  <c r="E634" i="15"/>
  <c r="D634" i="15"/>
  <c r="C634" i="15"/>
  <c r="B634" i="15"/>
  <c r="R633" i="15"/>
  <c r="Q633" i="15"/>
  <c r="P633" i="15"/>
  <c r="O633" i="15"/>
  <c r="N633" i="15"/>
  <c r="M633" i="15"/>
  <c r="L633" i="15"/>
  <c r="K633" i="15"/>
  <c r="J633" i="15"/>
  <c r="I633" i="15"/>
  <c r="H633" i="15"/>
  <c r="G633" i="15"/>
  <c r="F633" i="15"/>
  <c r="E633" i="15"/>
  <c r="D633" i="15"/>
  <c r="C633" i="15"/>
  <c r="B633" i="15"/>
  <c r="R632" i="15"/>
  <c r="Q632" i="15"/>
  <c r="P632" i="15"/>
  <c r="O632" i="15"/>
  <c r="N632" i="15"/>
  <c r="M632" i="15"/>
  <c r="L632" i="15"/>
  <c r="K632" i="15"/>
  <c r="J632" i="15"/>
  <c r="I632" i="15"/>
  <c r="H632" i="15"/>
  <c r="G632" i="15"/>
  <c r="F632" i="15"/>
  <c r="E632" i="15"/>
  <c r="D632" i="15"/>
  <c r="C632" i="15"/>
  <c r="B632" i="15"/>
  <c r="R631" i="15"/>
  <c r="Q631" i="15"/>
  <c r="P631" i="15"/>
  <c r="O631" i="15"/>
  <c r="N631" i="15"/>
  <c r="M631" i="15"/>
  <c r="L631" i="15"/>
  <c r="K631" i="15"/>
  <c r="J631" i="15"/>
  <c r="I631" i="15"/>
  <c r="H631" i="15"/>
  <c r="G631" i="15"/>
  <c r="F631" i="15"/>
  <c r="E631" i="15"/>
  <c r="D631" i="15"/>
  <c r="C631" i="15"/>
  <c r="B631" i="15"/>
  <c r="R630" i="15"/>
  <c r="Q630" i="15"/>
  <c r="P630" i="15"/>
  <c r="O630" i="15"/>
  <c r="N630" i="15"/>
  <c r="M630" i="15"/>
  <c r="L630" i="15"/>
  <c r="K630" i="15"/>
  <c r="J630" i="15"/>
  <c r="I630" i="15"/>
  <c r="H630" i="15"/>
  <c r="G630" i="15"/>
  <c r="F630" i="15"/>
  <c r="E630" i="15"/>
  <c r="D630" i="15"/>
  <c r="C630" i="15"/>
  <c r="B630" i="15"/>
  <c r="R629" i="15"/>
  <c r="Q629" i="15"/>
  <c r="P629" i="15"/>
  <c r="O629" i="15"/>
  <c r="N629" i="15"/>
  <c r="M629" i="15"/>
  <c r="L629" i="15"/>
  <c r="K629" i="15"/>
  <c r="J629" i="15"/>
  <c r="I629" i="15"/>
  <c r="H629" i="15"/>
  <c r="G629" i="15"/>
  <c r="F629" i="15"/>
  <c r="E629" i="15"/>
  <c r="D629" i="15"/>
  <c r="C629" i="15"/>
  <c r="B629" i="15"/>
  <c r="R628" i="15"/>
  <c r="Q628" i="15"/>
  <c r="P628" i="15"/>
  <c r="O628" i="15"/>
  <c r="N628" i="15"/>
  <c r="M628" i="15"/>
  <c r="L628" i="15"/>
  <c r="K628" i="15"/>
  <c r="J628" i="15"/>
  <c r="I628" i="15"/>
  <c r="H628" i="15"/>
  <c r="G628" i="15"/>
  <c r="F628" i="15"/>
  <c r="E628" i="15"/>
  <c r="D628" i="15"/>
  <c r="C628" i="15"/>
  <c r="B628" i="15"/>
  <c r="R627" i="15"/>
  <c r="Q627" i="15"/>
  <c r="P627" i="15"/>
  <c r="O627" i="15"/>
  <c r="N627" i="15"/>
  <c r="M627" i="15"/>
  <c r="L627" i="15"/>
  <c r="K627" i="15"/>
  <c r="J627" i="15"/>
  <c r="I627" i="15"/>
  <c r="H627" i="15"/>
  <c r="G627" i="15"/>
  <c r="F627" i="15"/>
  <c r="E627" i="15"/>
  <c r="D627" i="15"/>
  <c r="C627" i="15"/>
  <c r="B627" i="15"/>
  <c r="R626" i="15"/>
  <c r="Q626" i="15"/>
  <c r="P626" i="15"/>
  <c r="O626" i="15"/>
  <c r="N626" i="15"/>
  <c r="M626" i="15"/>
  <c r="L626" i="15"/>
  <c r="K626" i="15"/>
  <c r="J626" i="15"/>
  <c r="I626" i="15"/>
  <c r="H626" i="15"/>
  <c r="G626" i="15"/>
  <c r="F626" i="15"/>
  <c r="E626" i="15"/>
  <c r="D626" i="15"/>
  <c r="C626" i="15"/>
  <c r="B626" i="15"/>
  <c r="R625" i="15"/>
  <c r="Q625" i="15"/>
  <c r="P625" i="15"/>
  <c r="O625" i="15"/>
  <c r="N625" i="15"/>
  <c r="M625" i="15"/>
  <c r="L625" i="15"/>
  <c r="K625" i="15"/>
  <c r="J625" i="15"/>
  <c r="I625" i="15"/>
  <c r="H625" i="15"/>
  <c r="G625" i="15"/>
  <c r="F625" i="15"/>
  <c r="E625" i="15"/>
  <c r="D625" i="15"/>
  <c r="C625" i="15"/>
  <c r="B625" i="15"/>
  <c r="R624" i="15"/>
  <c r="Q624" i="15"/>
  <c r="P624" i="15"/>
  <c r="O624" i="15"/>
  <c r="N624" i="15"/>
  <c r="M624" i="15"/>
  <c r="L624" i="15"/>
  <c r="K624" i="15"/>
  <c r="J624" i="15"/>
  <c r="I624" i="15"/>
  <c r="H624" i="15"/>
  <c r="G624" i="15"/>
  <c r="F624" i="15"/>
  <c r="E624" i="15"/>
  <c r="D624" i="15"/>
  <c r="C624" i="15"/>
  <c r="B624" i="15"/>
  <c r="R623" i="15"/>
  <c r="Q623" i="15"/>
  <c r="P623" i="15"/>
  <c r="O623" i="15"/>
  <c r="N623" i="15"/>
  <c r="M623" i="15"/>
  <c r="L623" i="15"/>
  <c r="K623" i="15"/>
  <c r="J623" i="15"/>
  <c r="I623" i="15"/>
  <c r="H623" i="15"/>
  <c r="G623" i="15"/>
  <c r="F623" i="15"/>
  <c r="E623" i="15"/>
  <c r="D623" i="15"/>
  <c r="C623" i="15"/>
  <c r="B623" i="15"/>
  <c r="R622" i="15"/>
  <c r="Q622" i="15"/>
  <c r="P622" i="15"/>
  <c r="O622" i="15"/>
  <c r="N622" i="15"/>
  <c r="M622" i="15"/>
  <c r="L622" i="15"/>
  <c r="K622" i="15"/>
  <c r="J622" i="15"/>
  <c r="I622" i="15"/>
  <c r="H622" i="15"/>
  <c r="G622" i="15"/>
  <c r="F622" i="15"/>
  <c r="E622" i="15"/>
  <c r="D622" i="15"/>
  <c r="C622" i="15"/>
  <c r="B622" i="15"/>
  <c r="R621" i="15"/>
  <c r="Q621" i="15"/>
  <c r="P621" i="15"/>
  <c r="O621" i="15"/>
  <c r="N621" i="15"/>
  <c r="M621" i="15"/>
  <c r="L621" i="15"/>
  <c r="K621" i="15"/>
  <c r="J621" i="15"/>
  <c r="I621" i="15"/>
  <c r="H621" i="15"/>
  <c r="G621" i="15"/>
  <c r="F621" i="15"/>
  <c r="E621" i="15"/>
  <c r="D621" i="15"/>
  <c r="C621" i="15"/>
  <c r="B621" i="15"/>
  <c r="R620" i="15"/>
  <c r="Q620" i="15"/>
  <c r="P620" i="15"/>
  <c r="O620" i="15"/>
  <c r="N620" i="15"/>
  <c r="M620" i="15"/>
  <c r="L620" i="15"/>
  <c r="K620" i="15"/>
  <c r="J620" i="15"/>
  <c r="I620" i="15"/>
  <c r="H620" i="15"/>
  <c r="G620" i="15"/>
  <c r="F620" i="15"/>
  <c r="E620" i="15"/>
  <c r="D620" i="15"/>
  <c r="C620" i="15"/>
  <c r="B620" i="15"/>
  <c r="R619" i="15"/>
  <c r="Q619" i="15"/>
  <c r="P619" i="15"/>
  <c r="O619" i="15"/>
  <c r="N619" i="15"/>
  <c r="M619" i="15"/>
  <c r="L619" i="15"/>
  <c r="K619" i="15"/>
  <c r="J619" i="15"/>
  <c r="I619" i="15"/>
  <c r="H619" i="15"/>
  <c r="G619" i="15"/>
  <c r="F619" i="15"/>
  <c r="E619" i="15"/>
  <c r="D619" i="15"/>
  <c r="C619" i="15"/>
  <c r="B619" i="15"/>
  <c r="R618" i="15"/>
  <c r="Q618" i="15"/>
  <c r="P618" i="15"/>
  <c r="O618" i="15"/>
  <c r="N618" i="15"/>
  <c r="M618" i="15"/>
  <c r="L618" i="15"/>
  <c r="K618" i="15"/>
  <c r="J618" i="15"/>
  <c r="I618" i="15"/>
  <c r="H618" i="15"/>
  <c r="G618" i="15"/>
  <c r="F618" i="15"/>
  <c r="E618" i="15"/>
  <c r="D618" i="15"/>
  <c r="C618" i="15"/>
  <c r="B618" i="15"/>
  <c r="R617" i="15"/>
  <c r="Q617" i="15"/>
  <c r="P617" i="15"/>
  <c r="O617" i="15"/>
  <c r="N617" i="15"/>
  <c r="M617" i="15"/>
  <c r="L617" i="15"/>
  <c r="K617" i="15"/>
  <c r="J617" i="15"/>
  <c r="I617" i="15"/>
  <c r="H617" i="15"/>
  <c r="G617" i="15"/>
  <c r="F617" i="15"/>
  <c r="E617" i="15"/>
  <c r="D617" i="15"/>
  <c r="C617" i="15"/>
  <c r="B617" i="15"/>
  <c r="R616" i="15"/>
  <c r="Q616" i="15"/>
  <c r="P616" i="15"/>
  <c r="O616" i="15"/>
  <c r="N616" i="15"/>
  <c r="M616" i="15"/>
  <c r="L616" i="15"/>
  <c r="K616" i="15"/>
  <c r="J616" i="15"/>
  <c r="I616" i="15"/>
  <c r="H616" i="15"/>
  <c r="G616" i="15"/>
  <c r="F616" i="15"/>
  <c r="E616" i="15"/>
  <c r="D616" i="15"/>
  <c r="C616" i="15"/>
  <c r="B616" i="15"/>
  <c r="R615" i="15"/>
  <c r="Q615" i="15"/>
  <c r="P615" i="15"/>
  <c r="O615" i="15"/>
  <c r="N615" i="15"/>
  <c r="M615" i="15"/>
  <c r="L615" i="15"/>
  <c r="K615" i="15"/>
  <c r="J615" i="15"/>
  <c r="I615" i="15"/>
  <c r="H615" i="15"/>
  <c r="G615" i="15"/>
  <c r="F615" i="15"/>
  <c r="E615" i="15"/>
  <c r="D615" i="15"/>
  <c r="C615" i="15"/>
  <c r="B615" i="15"/>
  <c r="R614" i="15"/>
  <c r="Q614" i="15"/>
  <c r="P614" i="15"/>
  <c r="O614" i="15"/>
  <c r="N614" i="15"/>
  <c r="M614" i="15"/>
  <c r="L614" i="15"/>
  <c r="K614" i="15"/>
  <c r="J614" i="15"/>
  <c r="I614" i="15"/>
  <c r="H614" i="15"/>
  <c r="G614" i="15"/>
  <c r="F614" i="15"/>
  <c r="E614" i="15"/>
  <c r="D614" i="15"/>
  <c r="C614" i="15"/>
  <c r="B614" i="15"/>
  <c r="R613" i="15"/>
  <c r="Q613" i="15"/>
  <c r="P613" i="15"/>
  <c r="O613" i="15"/>
  <c r="N613" i="15"/>
  <c r="M613" i="15"/>
  <c r="L613" i="15"/>
  <c r="K613" i="15"/>
  <c r="J613" i="15"/>
  <c r="I613" i="15"/>
  <c r="H613" i="15"/>
  <c r="G613" i="15"/>
  <c r="F613" i="15"/>
  <c r="E613" i="15"/>
  <c r="D613" i="15"/>
  <c r="C613" i="15"/>
  <c r="B613" i="15"/>
  <c r="R612" i="15"/>
  <c r="Q612" i="15"/>
  <c r="P612" i="15"/>
  <c r="O612" i="15"/>
  <c r="N612" i="15"/>
  <c r="M612" i="15"/>
  <c r="L612" i="15"/>
  <c r="K612" i="15"/>
  <c r="J612" i="15"/>
  <c r="I612" i="15"/>
  <c r="H612" i="15"/>
  <c r="G612" i="15"/>
  <c r="F612" i="15"/>
  <c r="E612" i="15"/>
  <c r="D612" i="15"/>
  <c r="C612" i="15"/>
  <c r="B612" i="15"/>
  <c r="R611" i="15"/>
  <c r="Q611" i="15"/>
  <c r="P611" i="15"/>
  <c r="O611" i="15"/>
  <c r="N611" i="15"/>
  <c r="M611" i="15"/>
  <c r="L611" i="15"/>
  <c r="K611" i="15"/>
  <c r="J611" i="15"/>
  <c r="I611" i="15"/>
  <c r="H611" i="15"/>
  <c r="G611" i="15"/>
  <c r="F611" i="15"/>
  <c r="E611" i="15"/>
  <c r="D611" i="15"/>
  <c r="C611" i="15"/>
  <c r="B611" i="15"/>
  <c r="R610" i="15"/>
  <c r="Q610" i="15"/>
  <c r="P610" i="15"/>
  <c r="O610" i="15"/>
  <c r="N610" i="15"/>
  <c r="M610" i="15"/>
  <c r="L610" i="15"/>
  <c r="K610" i="15"/>
  <c r="J610" i="15"/>
  <c r="I610" i="15"/>
  <c r="H610" i="15"/>
  <c r="G610" i="15"/>
  <c r="F610" i="15"/>
  <c r="E610" i="15"/>
  <c r="D610" i="15"/>
  <c r="C610" i="15"/>
  <c r="B610" i="15"/>
  <c r="R609" i="15"/>
  <c r="Q609" i="15"/>
  <c r="P609" i="15"/>
  <c r="O609" i="15"/>
  <c r="N609" i="15"/>
  <c r="M609" i="15"/>
  <c r="L609" i="15"/>
  <c r="K609" i="15"/>
  <c r="J609" i="15"/>
  <c r="I609" i="15"/>
  <c r="H609" i="15"/>
  <c r="G609" i="15"/>
  <c r="F609" i="15"/>
  <c r="E609" i="15"/>
  <c r="D609" i="15"/>
  <c r="C609" i="15"/>
  <c r="B609" i="15"/>
  <c r="R608" i="15"/>
  <c r="Q608" i="15"/>
  <c r="P608" i="15"/>
  <c r="O608" i="15"/>
  <c r="N608" i="15"/>
  <c r="M608" i="15"/>
  <c r="L608" i="15"/>
  <c r="K608" i="15"/>
  <c r="J608" i="15"/>
  <c r="I608" i="15"/>
  <c r="H608" i="15"/>
  <c r="G608" i="15"/>
  <c r="F608" i="15"/>
  <c r="E608" i="15"/>
  <c r="D608" i="15"/>
  <c r="C608" i="15"/>
  <c r="B608" i="15"/>
  <c r="R607" i="15"/>
  <c r="Q607" i="15"/>
  <c r="P607" i="15"/>
  <c r="O607" i="15"/>
  <c r="N607" i="15"/>
  <c r="M607" i="15"/>
  <c r="L607" i="15"/>
  <c r="K607" i="15"/>
  <c r="J607" i="15"/>
  <c r="I607" i="15"/>
  <c r="H607" i="15"/>
  <c r="G607" i="15"/>
  <c r="F607" i="15"/>
  <c r="E607" i="15"/>
  <c r="D607" i="15"/>
  <c r="C607" i="15"/>
  <c r="B607" i="15"/>
  <c r="R606" i="15"/>
  <c r="Q606" i="15"/>
  <c r="P606" i="15"/>
  <c r="O606" i="15"/>
  <c r="N606" i="15"/>
  <c r="M606" i="15"/>
  <c r="L606" i="15"/>
  <c r="K606" i="15"/>
  <c r="J606" i="15"/>
  <c r="I606" i="15"/>
  <c r="H606" i="15"/>
  <c r="G606" i="15"/>
  <c r="F606" i="15"/>
  <c r="E606" i="15"/>
  <c r="D606" i="15"/>
  <c r="C606" i="15"/>
  <c r="B606" i="15"/>
  <c r="R605" i="15"/>
  <c r="Q605" i="15"/>
  <c r="P605" i="15"/>
  <c r="O605" i="15"/>
  <c r="N605" i="15"/>
  <c r="M605" i="15"/>
  <c r="L605" i="15"/>
  <c r="K605" i="15"/>
  <c r="J605" i="15"/>
  <c r="I605" i="15"/>
  <c r="H605" i="15"/>
  <c r="G605" i="15"/>
  <c r="F605" i="15"/>
  <c r="E605" i="15"/>
  <c r="D605" i="15"/>
  <c r="C605" i="15"/>
  <c r="B605" i="15"/>
  <c r="R604" i="15"/>
  <c r="Q604" i="15"/>
  <c r="P604" i="15"/>
  <c r="O604" i="15"/>
  <c r="N604" i="15"/>
  <c r="M604" i="15"/>
  <c r="L604" i="15"/>
  <c r="K604" i="15"/>
  <c r="J604" i="15"/>
  <c r="I604" i="15"/>
  <c r="H604" i="15"/>
  <c r="G604" i="15"/>
  <c r="F604" i="15"/>
  <c r="E604" i="15"/>
  <c r="D604" i="15"/>
  <c r="C604" i="15"/>
  <c r="B604" i="15"/>
  <c r="R603" i="15"/>
  <c r="Q603" i="15"/>
  <c r="P603" i="15"/>
  <c r="O603" i="15"/>
  <c r="N603" i="15"/>
  <c r="M603" i="15"/>
  <c r="L603" i="15"/>
  <c r="K603" i="15"/>
  <c r="J603" i="15"/>
  <c r="I603" i="15"/>
  <c r="H603" i="15"/>
  <c r="G603" i="15"/>
  <c r="F603" i="15"/>
  <c r="E603" i="15"/>
  <c r="D603" i="15"/>
  <c r="C603" i="15"/>
  <c r="B603" i="15"/>
  <c r="R602" i="15"/>
  <c r="Q602" i="15"/>
  <c r="P602" i="15"/>
  <c r="O602" i="15"/>
  <c r="N602" i="15"/>
  <c r="M602" i="15"/>
  <c r="L602" i="15"/>
  <c r="K602" i="15"/>
  <c r="J602" i="15"/>
  <c r="I602" i="15"/>
  <c r="H602" i="15"/>
  <c r="G602" i="15"/>
  <c r="F602" i="15"/>
  <c r="E602" i="15"/>
  <c r="D602" i="15"/>
  <c r="C602" i="15"/>
  <c r="B602" i="15"/>
  <c r="R601" i="15"/>
  <c r="Q601" i="15"/>
  <c r="P601" i="15"/>
  <c r="O601" i="15"/>
  <c r="N601" i="15"/>
  <c r="M601" i="15"/>
  <c r="L601" i="15"/>
  <c r="K601" i="15"/>
  <c r="J601" i="15"/>
  <c r="I601" i="15"/>
  <c r="H601" i="15"/>
  <c r="G601" i="15"/>
  <c r="F601" i="15"/>
  <c r="E601" i="15"/>
  <c r="D601" i="15"/>
  <c r="C601" i="15"/>
  <c r="B601" i="15"/>
  <c r="R600" i="15"/>
  <c r="Q600" i="15"/>
  <c r="P600" i="15"/>
  <c r="O600" i="15"/>
  <c r="N600" i="15"/>
  <c r="M600" i="15"/>
  <c r="L600" i="15"/>
  <c r="K600" i="15"/>
  <c r="J600" i="15"/>
  <c r="I600" i="15"/>
  <c r="H600" i="15"/>
  <c r="G600" i="15"/>
  <c r="F600" i="15"/>
  <c r="E600" i="15"/>
  <c r="D600" i="15"/>
  <c r="C600" i="15"/>
  <c r="B600" i="15"/>
  <c r="R599" i="15"/>
  <c r="Q599" i="15"/>
  <c r="P599" i="15"/>
  <c r="O599" i="15"/>
  <c r="N599" i="15"/>
  <c r="M599" i="15"/>
  <c r="L599" i="15"/>
  <c r="K599" i="15"/>
  <c r="J599" i="15"/>
  <c r="I599" i="15"/>
  <c r="H599" i="15"/>
  <c r="G599" i="15"/>
  <c r="F599" i="15"/>
  <c r="E599" i="15"/>
  <c r="D599" i="15"/>
  <c r="C599" i="15"/>
  <c r="B599" i="15"/>
  <c r="R598" i="15"/>
  <c r="Q598" i="15"/>
  <c r="P598" i="15"/>
  <c r="O598" i="15"/>
  <c r="N598" i="15"/>
  <c r="M598" i="15"/>
  <c r="L598" i="15"/>
  <c r="K598" i="15"/>
  <c r="J598" i="15"/>
  <c r="I598" i="15"/>
  <c r="H598" i="15"/>
  <c r="G598" i="15"/>
  <c r="F598" i="15"/>
  <c r="E598" i="15"/>
  <c r="D598" i="15"/>
  <c r="C598" i="15"/>
  <c r="B598" i="15"/>
  <c r="R597" i="15"/>
  <c r="Q597" i="15"/>
  <c r="P597" i="15"/>
  <c r="O597" i="15"/>
  <c r="N597" i="15"/>
  <c r="M597" i="15"/>
  <c r="L597" i="15"/>
  <c r="K597" i="15"/>
  <c r="J597" i="15"/>
  <c r="I597" i="15"/>
  <c r="H597" i="15"/>
  <c r="G597" i="15"/>
  <c r="F597" i="15"/>
  <c r="E597" i="15"/>
  <c r="D597" i="15"/>
  <c r="C597" i="15"/>
  <c r="B597" i="15"/>
  <c r="R596" i="15"/>
  <c r="Q596" i="15"/>
  <c r="P596" i="15"/>
  <c r="O596" i="15"/>
  <c r="N596" i="15"/>
  <c r="M596" i="15"/>
  <c r="L596" i="15"/>
  <c r="K596" i="15"/>
  <c r="J596" i="15"/>
  <c r="I596" i="15"/>
  <c r="H596" i="15"/>
  <c r="G596" i="15"/>
  <c r="F596" i="15"/>
  <c r="E596" i="15"/>
  <c r="D596" i="15"/>
  <c r="C596" i="15"/>
  <c r="B596" i="15"/>
  <c r="R595" i="15"/>
  <c r="Q595" i="15"/>
  <c r="P595" i="15"/>
  <c r="O595" i="15"/>
  <c r="N595" i="15"/>
  <c r="M595" i="15"/>
  <c r="L595" i="15"/>
  <c r="K595" i="15"/>
  <c r="J595" i="15"/>
  <c r="I595" i="15"/>
  <c r="H595" i="15"/>
  <c r="G595" i="15"/>
  <c r="F595" i="15"/>
  <c r="E595" i="15"/>
  <c r="D595" i="15"/>
  <c r="C595" i="15"/>
  <c r="B595" i="15"/>
  <c r="R594" i="15"/>
  <c r="Q594" i="15"/>
  <c r="P594" i="15"/>
  <c r="O594" i="15"/>
  <c r="N594" i="15"/>
  <c r="M594" i="15"/>
  <c r="L594" i="15"/>
  <c r="K594" i="15"/>
  <c r="J594" i="15"/>
  <c r="I594" i="15"/>
  <c r="H594" i="15"/>
  <c r="G594" i="15"/>
  <c r="F594" i="15"/>
  <c r="E594" i="15"/>
  <c r="D594" i="15"/>
  <c r="C594" i="15"/>
  <c r="B594" i="15"/>
  <c r="R593" i="15"/>
  <c r="Q593" i="15"/>
  <c r="P593" i="15"/>
  <c r="O593" i="15"/>
  <c r="N593" i="15"/>
  <c r="M593" i="15"/>
  <c r="L593" i="15"/>
  <c r="K593" i="15"/>
  <c r="J593" i="15"/>
  <c r="I593" i="15"/>
  <c r="H593" i="15"/>
  <c r="G593" i="15"/>
  <c r="F593" i="15"/>
  <c r="E593" i="15"/>
  <c r="D593" i="15"/>
  <c r="C593" i="15"/>
  <c r="B593" i="15"/>
  <c r="R592" i="15"/>
  <c r="Q592" i="15"/>
  <c r="P592" i="15"/>
  <c r="O592" i="15"/>
  <c r="N592" i="15"/>
  <c r="M592" i="15"/>
  <c r="L592" i="15"/>
  <c r="K592" i="15"/>
  <c r="J592" i="15"/>
  <c r="I592" i="15"/>
  <c r="H592" i="15"/>
  <c r="G592" i="15"/>
  <c r="F592" i="15"/>
  <c r="E592" i="15"/>
  <c r="D592" i="15"/>
  <c r="C592" i="15"/>
  <c r="B592" i="15"/>
  <c r="R591" i="15"/>
  <c r="Q591" i="15"/>
  <c r="P591" i="15"/>
  <c r="O591" i="15"/>
  <c r="N591" i="15"/>
  <c r="M591" i="15"/>
  <c r="L591" i="15"/>
  <c r="K591" i="15"/>
  <c r="J591" i="15"/>
  <c r="I591" i="15"/>
  <c r="H591" i="15"/>
  <c r="G591" i="15"/>
  <c r="F591" i="15"/>
  <c r="E591" i="15"/>
  <c r="D591" i="15"/>
  <c r="C591" i="15"/>
  <c r="B591" i="15"/>
  <c r="R590" i="15"/>
  <c r="Q590" i="15"/>
  <c r="P590" i="15"/>
  <c r="O590" i="15"/>
  <c r="N590" i="15"/>
  <c r="M590" i="15"/>
  <c r="L590" i="15"/>
  <c r="K590" i="15"/>
  <c r="J590" i="15"/>
  <c r="I590" i="15"/>
  <c r="H590" i="15"/>
  <c r="G590" i="15"/>
  <c r="F590" i="15"/>
  <c r="E590" i="15"/>
  <c r="D590" i="15"/>
  <c r="C590" i="15"/>
  <c r="B590" i="15"/>
  <c r="R589" i="15"/>
  <c r="Q589" i="15"/>
  <c r="P589" i="15"/>
  <c r="O589" i="15"/>
  <c r="N589" i="15"/>
  <c r="M589" i="15"/>
  <c r="L589" i="15"/>
  <c r="K589" i="15"/>
  <c r="J589" i="15"/>
  <c r="I589" i="15"/>
  <c r="H589" i="15"/>
  <c r="G589" i="15"/>
  <c r="F589" i="15"/>
  <c r="E589" i="15"/>
  <c r="D589" i="15"/>
  <c r="C589" i="15"/>
  <c r="B589" i="15"/>
  <c r="R588" i="15"/>
  <c r="Q588" i="15"/>
  <c r="P588" i="15"/>
  <c r="O588" i="15"/>
  <c r="N588" i="15"/>
  <c r="M588" i="15"/>
  <c r="L588" i="15"/>
  <c r="K588" i="15"/>
  <c r="J588" i="15"/>
  <c r="I588" i="15"/>
  <c r="H588" i="15"/>
  <c r="G588" i="15"/>
  <c r="F588" i="15"/>
  <c r="E588" i="15"/>
  <c r="D588" i="15"/>
  <c r="C588" i="15"/>
  <c r="B588" i="15"/>
  <c r="R587" i="15"/>
  <c r="Q587" i="15"/>
  <c r="P587" i="15"/>
  <c r="O587" i="15"/>
  <c r="N587" i="15"/>
  <c r="M587" i="15"/>
  <c r="L587" i="15"/>
  <c r="K587" i="15"/>
  <c r="J587" i="15"/>
  <c r="I587" i="15"/>
  <c r="H587" i="15"/>
  <c r="G587" i="15"/>
  <c r="F587" i="15"/>
  <c r="E587" i="15"/>
  <c r="D587" i="15"/>
  <c r="C587" i="15"/>
  <c r="B587" i="15"/>
  <c r="R586" i="15"/>
  <c r="Q586" i="15"/>
  <c r="P586" i="15"/>
  <c r="O586" i="15"/>
  <c r="N586" i="15"/>
  <c r="M586" i="15"/>
  <c r="L586" i="15"/>
  <c r="K586" i="15"/>
  <c r="J586" i="15"/>
  <c r="I586" i="15"/>
  <c r="H586" i="15"/>
  <c r="G586" i="15"/>
  <c r="F586" i="15"/>
  <c r="E586" i="15"/>
  <c r="D586" i="15"/>
  <c r="C586" i="15"/>
  <c r="B586" i="15"/>
  <c r="R585" i="15"/>
  <c r="Q585" i="15"/>
  <c r="P585" i="15"/>
  <c r="O585" i="15"/>
  <c r="N585" i="15"/>
  <c r="M585" i="15"/>
  <c r="L585" i="15"/>
  <c r="K585" i="15"/>
  <c r="J585" i="15"/>
  <c r="I585" i="15"/>
  <c r="H585" i="15"/>
  <c r="G585" i="15"/>
  <c r="F585" i="15"/>
  <c r="E585" i="15"/>
  <c r="D585" i="15"/>
  <c r="C585" i="15"/>
  <c r="B585" i="15"/>
  <c r="R584" i="15"/>
  <c r="Q584" i="15"/>
  <c r="P584" i="15"/>
  <c r="O584" i="15"/>
  <c r="N584" i="15"/>
  <c r="M584" i="15"/>
  <c r="L584" i="15"/>
  <c r="K584" i="15"/>
  <c r="J584" i="15"/>
  <c r="I584" i="15"/>
  <c r="H584" i="15"/>
  <c r="G584" i="15"/>
  <c r="F584" i="15"/>
  <c r="E584" i="15"/>
  <c r="D584" i="15"/>
  <c r="C584" i="15"/>
  <c r="B584" i="15"/>
  <c r="R583" i="15"/>
  <c r="Q583" i="15"/>
  <c r="P583" i="15"/>
  <c r="O583" i="15"/>
  <c r="N583" i="15"/>
  <c r="M583" i="15"/>
  <c r="L583" i="15"/>
  <c r="K583" i="15"/>
  <c r="J583" i="15"/>
  <c r="I583" i="15"/>
  <c r="H583" i="15"/>
  <c r="G583" i="15"/>
  <c r="F583" i="15"/>
  <c r="E583" i="15"/>
  <c r="D583" i="15"/>
  <c r="C583" i="15"/>
  <c r="B583" i="15"/>
  <c r="R582" i="15"/>
  <c r="Q582" i="15"/>
  <c r="P582" i="15"/>
  <c r="O582" i="15"/>
  <c r="N582" i="15"/>
  <c r="M582" i="15"/>
  <c r="L582" i="15"/>
  <c r="K582" i="15"/>
  <c r="J582" i="15"/>
  <c r="I582" i="15"/>
  <c r="H582" i="15"/>
  <c r="G582" i="15"/>
  <c r="F582" i="15"/>
  <c r="E582" i="15"/>
  <c r="D582" i="15"/>
  <c r="C582" i="15"/>
  <c r="B582" i="15"/>
  <c r="R581" i="15"/>
  <c r="Q581" i="15"/>
  <c r="P581" i="15"/>
  <c r="O581" i="15"/>
  <c r="N581" i="15"/>
  <c r="M581" i="15"/>
  <c r="L581" i="15"/>
  <c r="K581" i="15"/>
  <c r="J581" i="15"/>
  <c r="I581" i="15"/>
  <c r="H581" i="15"/>
  <c r="G581" i="15"/>
  <c r="F581" i="15"/>
  <c r="E581" i="15"/>
  <c r="D581" i="15"/>
  <c r="C581" i="15"/>
  <c r="B581" i="15"/>
  <c r="R580" i="15"/>
  <c r="Q580" i="15"/>
  <c r="P580" i="15"/>
  <c r="O580" i="15"/>
  <c r="N580" i="15"/>
  <c r="M580" i="15"/>
  <c r="L580" i="15"/>
  <c r="K580" i="15"/>
  <c r="J580" i="15"/>
  <c r="I580" i="15"/>
  <c r="H580" i="15"/>
  <c r="G580" i="15"/>
  <c r="F580" i="15"/>
  <c r="E580" i="15"/>
  <c r="D580" i="15"/>
  <c r="C580" i="15"/>
  <c r="B580" i="15"/>
  <c r="R579" i="15"/>
  <c r="Q579" i="15"/>
  <c r="P579" i="15"/>
  <c r="O579" i="15"/>
  <c r="N579" i="15"/>
  <c r="M579" i="15"/>
  <c r="L579" i="15"/>
  <c r="K579" i="15"/>
  <c r="J579" i="15"/>
  <c r="I579" i="15"/>
  <c r="H579" i="15"/>
  <c r="G579" i="15"/>
  <c r="F579" i="15"/>
  <c r="E579" i="15"/>
  <c r="D579" i="15"/>
  <c r="C579" i="15"/>
  <c r="B579" i="15"/>
  <c r="R578" i="15"/>
  <c r="Q578" i="15"/>
  <c r="P578" i="15"/>
  <c r="O578" i="15"/>
  <c r="N578" i="15"/>
  <c r="M578" i="15"/>
  <c r="L578" i="15"/>
  <c r="K578" i="15"/>
  <c r="J578" i="15"/>
  <c r="I578" i="15"/>
  <c r="H578" i="15"/>
  <c r="G578" i="15"/>
  <c r="F578" i="15"/>
  <c r="E578" i="15"/>
  <c r="D578" i="15"/>
  <c r="C578" i="15"/>
  <c r="B578" i="15"/>
  <c r="R577" i="15"/>
  <c r="Q577" i="15"/>
  <c r="P577" i="15"/>
  <c r="O577" i="15"/>
  <c r="N577" i="15"/>
  <c r="M577" i="15"/>
  <c r="L577" i="15"/>
  <c r="K577" i="15"/>
  <c r="J577" i="15"/>
  <c r="I577" i="15"/>
  <c r="H577" i="15"/>
  <c r="G577" i="15"/>
  <c r="F577" i="15"/>
  <c r="E577" i="15"/>
  <c r="D577" i="15"/>
  <c r="C577" i="15"/>
  <c r="B577" i="15"/>
  <c r="R576" i="15"/>
  <c r="Q576" i="15"/>
  <c r="P576" i="15"/>
  <c r="O576" i="15"/>
  <c r="N576" i="15"/>
  <c r="M576" i="15"/>
  <c r="L576" i="15"/>
  <c r="K576" i="15"/>
  <c r="J576" i="15"/>
  <c r="I576" i="15"/>
  <c r="H576" i="15"/>
  <c r="G576" i="15"/>
  <c r="F576" i="15"/>
  <c r="E576" i="15"/>
  <c r="D576" i="15"/>
  <c r="C576" i="15"/>
  <c r="B576" i="15"/>
  <c r="R575" i="15"/>
  <c r="Q575" i="15"/>
  <c r="P575" i="15"/>
  <c r="O575" i="15"/>
  <c r="N575" i="15"/>
  <c r="M575" i="15"/>
  <c r="L575" i="15"/>
  <c r="K575" i="15"/>
  <c r="J575" i="15"/>
  <c r="I575" i="15"/>
  <c r="H575" i="15"/>
  <c r="G575" i="15"/>
  <c r="F575" i="15"/>
  <c r="E575" i="15"/>
  <c r="D575" i="15"/>
  <c r="C575" i="15"/>
  <c r="B575" i="15"/>
  <c r="R574" i="15"/>
  <c r="Q574" i="15"/>
  <c r="P574" i="15"/>
  <c r="O574" i="15"/>
  <c r="N574" i="15"/>
  <c r="M574" i="15"/>
  <c r="L574" i="15"/>
  <c r="K574" i="15"/>
  <c r="J574" i="15"/>
  <c r="I574" i="15"/>
  <c r="H574" i="15"/>
  <c r="G574" i="15"/>
  <c r="F574" i="15"/>
  <c r="E574" i="15"/>
  <c r="D574" i="15"/>
  <c r="C574" i="15"/>
  <c r="B574" i="15"/>
  <c r="R573" i="15"/>
  <c r="Q573" i="15"/>
  <c r="P573" i="15"/>
  <c r="O573" i="15"/>
  <c r="N573" i="15"/>
  <c r="M573" i="15"/>
  <c r="L573" i="15"/>
  <c r="K573" i="15"/>
  <c r="J573" i="15"/>
  <c r="I573" i="15"/>
  <c r="H573" i="15"/>
  <c r="G573" i="15"/>
  <c r="F573" i="15"/>
  <c r="E573" i="15"/>
  <c r="D573" i="15"/>
  <c r="C573" i="15"/>
  <c r="B573" i="15"/>
  <c r="R572" i="15"/>
  <c r="Q572" i="15"/>
  <c r="P572" i="15"/>
  <c r="O572" i="15"/>
  <c r="N572" i="15"/>
  <c r="M572" i="15"/>
  <c r="L572" i="15"/>
  <c r="K572" i="15"/>
  <c r="J572" i="15"/>
  <c r="I572" i="15"/>
  <c r="H572" i="15"/>
  <c r="G572" i="15"/>
  <c r="F572" i="15"/>
  <c r="E572" i="15"/>
  <c r="D572" i="15"/>
  <c r="C572" i="15"/>
  <c r="B572" i="15"/>
  <c r="R571" i="15"/>
  <c r="Q571" i="15"/>
  <c r="P571" i="15"/>
  <c r="O571" i="15"/>
  <c r="N571" i="15"/>
  <c r="M571" i="15"/>
  <c r="L571" i="15"/>
  <c r="K571" i="15"/>
  <c r="J571" i="15"/>
  <c r="I571" i="15"/>
  <c r="H571" i="15"/>
  <c r="G571" i="15"/>
  <c r="F571" i="15"/>
  <c r="E571" i="15"/>
  <c r="D571" i="15"/>
  <c r="C571" i="15"/>
  <c r="B571" i="15"/>
  <c r="R570" i="15"/>
  <c r="Q570" i="15"/>
  <c r="P570" i="15"/>
  <c r="O570" i="15"/>
  <c r="N570" i="15"/>
  <c r="M570" i="15"/>
  <c r="L570" i="15"/>
  <c r="K570" i="15"/>
  <c r="J570" i="15"/>
  <c r="I570" i="15"/>
  <c r="H570" i="15"/>
  <c r="G570" i="15"/>
  <c r="F570" i="15"/>
  <c r="E570" i="15"/>
  <c r="D570" i="15"/>
  <c r="C570" i="15"/>
  <c r="B570" i="15"/>
  <c r="R569" i="15"/>
  <c r="Q569" i="15"/>
  <c r="P569" i="15"/>
  <c r="O569" i="15"/>
  <c r="N569" i="15"/>
  <c r="M569" i="15"/>
  <c r="L569" i="15"/>
  <c r="K569" i="15"/>
  <c r="J569" i="15"/>
  <c r="I569" i="15"/>
  <c r="H569" i="15"/>
  <c r="G569" i="15"/>
  <c r="F569" i="15"/>
  <c r="E569" i="15"/>
  <c r="D569" i="15"/>
  <c r="C569" i="15"/>
  <c r="B569" i="15"/>
  <c r="R568" i="15"/>
  <c r="Q568" i="15"/>
  <c r="P568" i="15"/>
  <c r="O568" i="15"/>
  <c r="N568" i="15"/>
  <c r="M568" i="15"/>
  <c r="L568" i="15"/>
  <c r="K568" i="15"/>
  <c r="J568" i="15"/>
  <c r="I568" i="15"/>
  <c r="H568" i="15"/>
  <c r="G568" i="15"/>
  <c r="F568" i="15"/>
  <c r="E568" i="15"/>
  <c r="D568" i="15"/>
  <c r="C568" i="15"/>
  <c r="B568" i="15"/>
  <c r="R567" i="15"/>
  <c r="Q567" i="15"/>
  <c r="P567" i="15"/>
  <c r="O567" i="15"/>
  <c r="N567" i="15"/>
  <c r="M567" i="15"/>
  <c r="L567" i="15"/>
  <c r="K567" i="15"/>
  <c r="J567" i="15"/>
  <c r="I567" i="15"/>
  <c r="H567" i="15"/>
  <c r="G567" i="15"/>
  <c r="F567" i="15"/>
  <c r="E567" i="15"/>
  <c r="D567" i="15"/>
  <c r="C567" i="15"/>
  <c r="B567" i="15"/>
  <c r="R566" i="15"/>
  <c r="Q566" i="15"/>
  <c r="P566" i="15"/>
  <c r="O566" i="15"/>
  <c r="N566" i="15"/>
  <c r="M566" i="15"/>
  <c r="L566" i="15"/>
  <c r="K566" i="15"/>
  <c r="J566" i="15"/>
  <c r="I566" i="15"/>
  <c r="H566" i="15"/>
  <c r="G566" i="15"/>
  <c r="F566" i="15"/>
  <c r="E566" i="15"/>
  <c r="D566" i="15"/>
  <c r="C566" i="15"/>
  <c r="B566" i="15"/>
  <c r="R565" i="15"/>
  <c r="Q565" i="15"/>
  <c r="P565" i="15"/>
  <c r="O565" i="15"/>
  <c r="N565" i="15"/>
  <c r="M565" i="15"/>
  <c r="L565" i="15"/>
  <c r="K565" i="15"/>
  <c r="J565" i="15"/>
  <c r="I565" i="15"/>
  <c r="H565" i="15"/>
  <c r="G565" i="15"/>
  <c r="F565" i="15"/>
  <c r="E565" i="15"/>
  <c r="D565" i="15"/>
  <c r="C565" i="15"/>
  <c r="B565" i="15"/>
  <c r="R564" i="15"/>
  <c r="Q564" i="15"/>
  <c r="P564" i="15"/>
  <c r="O564" i="15"/>
  <c r="N564" i="15"/>
  <c r="M564" i="15"/>
  <c r="L564" i="15"/>
  <c r="K564" i="15"/>
  <c r="J564" i="15"/>
  <c r="I564" i="15"/>
  <c r="H564" i="15"/>
  <c r="G564" i="15"/>
  <c r="F564" i="15"/>
  <c r="E564" i="15"/>
  <c r="D564" i="15"/>
  <c r="C564" i="15"/>
  <c r="B564" i="15"/>
  <c r="R563" i="15"/>
  <c r="Q563" i="15"/>
  <c r="P563" i="15"/>
  <c r="O563" i="15"/>
  <c r="N563" i="15"/>
  <c r="M563" i="15"/>
  <c r="L563" i="15"/>
  <c r="K563" i="15"/>
  <c r="J563" i="15"/>
  <c r="I563" i="15"/>
  <c r="H563" i="15"/>
  <c r="G563" i="15"/>
  <c r="F563" i="15"/>
  <c r="E563" i="15"/>
  <c r="D563" i="15"/>
  <c r="C563" i="15"/>
  <c r="B563" i="15"/>
  <c r="R562" i="15"/>
  <c r="Q562" i="15"/>
  <c r="P562" i="15"/>
  <c r="O562" i="15"/>
  <c r="N562" i="15"/>
  <c r="M562" i="15"/>
  <c r="L562" i="15"/>
  <c r="K562" i="15"/>
  <c r="J562" i="15"/>
  <c r="I562" i="15"/>
  <c r="H562" i="15"/>
  <c r="G562" i="15"/>
  <c r="F562" i="15"/>
  <c r="E562" i="15"/>
  <c r="D562" i="15"/>
  <c r="C562" i="15"/>
  <c r="B562" i="15"/>
  <c r="R561" i="15"/>
  <c r="Q561" i="15"/>
  <c r="P561" i="15"/>
  <c r="O561" i="15"/>
  <c r="N561" i="15"/>
  <c r="M561" i="15"/>
  <c r="L561" i="15"/>
  <c r="K561" i="15"/>
  <c r="J561" i="15"/>
  <c r="I561" i="15"/>
  <c r="H561" i="15"/>
  <c r="G561" i="15"/>
  <c r="F561" i="15"/>
  <c r="E561" i="15"/>
  <c r="D561" i="15"/>
  <c r="C561" i="15"/>
  <c r="B561" i="15"/>
  <c r="R560" i="15"/>
  <c r="Q560" i="15"/>
  <c r="P560" i="15"/>
  <c r="O560" i="15"/>
  <c r="N560" i="15"/>
  <c r="M560" i="15"/>
  <c r="L560" i="15"/>
  <c r="K560" i="15"/>
  <c r="J560" i="15"/>
  <c r="I560" i="15"/>
  <c r="H560" i="15"/>
  <c r="G560" i="15"/>
  <c r="F560" i="15"/>
  <c r="E560" i="15"/>
  <c r="D560" i="15"/>
  <c r="C560" i="15"/>
  <c r="B560" i="15"/>
  <c r="R559" i="15"/>
  <c r="Q559" i="15"/>
  <c r="P559" i="15"/>
  <c r="O559" i="15"/>
  <c r="N559" i="15"/>
  <c r="M559" i="15"/>
  <c r="L559" i="15"/>
  <c r="K559" i="15"/>
  <c r="J559" i="15"/>
  <c r="I559" i="15"/>
  <c r="H559" i="15"/>
  <c r="G559" i="15"/>
  <c r="F559" i="15"/>
  <c r="E559" i="15"/>
  <c r="D559" i="15"/>
  <c r="C559" i="15"/>
  <c r="B559" i="15"/>
  <c r="R558" i="15"/>
  <c r="Q558" i="15"/>
  <c r="P558" i="15"/>
  <c r="O558" i="15"/>
  <c r="N558" i="15"/>
  <c r="M558" i="15"/>
  <c r="L558" i="15"/>
  <c r="K558" i="15"/>
  <c r="J558" i="15"/>
  <c r="I558" i="15"/>
  <c r="H558" i="15"/>
  <c r="G558" i="15"/>
  <c r="F558" i="15"/>
  <c r="E558" i="15"/>
  <c r="D558" i="15"/>
  <c r="C558" i="15"/>
  <c r="B558" i="15"/>
  <c r="R557" i="15"/>
  <c r="Q557" i="15"/>
  <c r="P557" i="15"/>
  <c r="O557" i="15"/>
  <c r="N557" i="15"/>
  <c r="M557" i="15"/>
  <c r="L557" i="15"/>
  <c r="K557" i="15"/>
  <c r="J557" i="15"/>
  <c r="I557" i="15"/>
  <c r="H557" i="15"/>
  <c r="G557" i="15"/>
  <c r="F557" i="15"/>
  <c r="E557" i="15"/>
  <c r="D557" i="15"/>
  <c r="C557" i="15"/>
  <c r="B557" i="15"/>
  <c r="R556" i="15"/>
  <c r="Q556" i="15"/>
  <c r="P556" i="15"/>
  <c r="O556" i="15"/>
  <c r="N556" i="15"/>
  <c r="M556" i="15"/>
  <c r="L556" i="15"/>
  <c r="K556" i="15"/>
  <c r="J556" i="15"/>
  <c r="I556" i="15"/>
  <c r="H556" i="15"/>
  <c r="G556" i="15"/>
  <c r="F556" i="15"/>
  <c r="E556" i="15"/>
  <c r="D556" i="15"/>
  <c r="C556" i="15"/>
  <c r="B556" i="15"/>
  <c r="R555" i="15"/>
  <c r="Q555" i="15"/>
  <c r="P555" i="15"/>
  <c r="O555" i="15"/>
  <c r="N555" i="15"/>
  <c r="M555" i="15"/>
  <c r="L555" i="15"/>
  <c r="K555" i="15"/>
  <c r="J555" i="15"/>
  <c r="I555" i="15"/>
  <c r="H555" i="15"/>
  <c r="G555" i="15"/>
  <c r="F555" i="15"/>
  <c r="E555" i="15"/>
  <c r="D555" i="15"/>
  <c r="C555" i="15"/>
  <c r="B555" i="15"/>
  <c r="R554" i="15"/>
  <c r="Q554" i="15"/>
  <c r="P554" i="15"/>
  <c r="O554" i="15"/>
  <c r="N554" i="15"/>
  <c r="M554" i="15"/>
  <c r="L554" i="15"/>
  <c r="K554" i="15"/>
  <c r="J554" i="15"/>
  <c r="I554" i="15"/>
  <c r="H554" i="15"/>
  <c r="G554" i="15"/>
  <c r="F554" i="15"/>
  <c r="E554" i="15"/>
  <c r="D554" i="15"/>
  <c r="C554" i="15"/>
  <c r="B554" i="15"/>
  <c r="R553" i="15"/>
  <c r="Q553" i="15"/>
  <c r="P553" i="15"/>
  <c r="O553" i="15"/>
  <c r="N553" i="15"/>
  <c r="M553" i="15"/>
  <c r="L553" i="15"/>
  <c r="K553" i="15"/>
  <c r="J553" i="15"/>
  <c r="I553" i="15"/>
  <c r="H553" i="15"/>
  <c r="G553" i="15"/>
  <c r="F553" i="15"/>
  <c r="E553" i="15"/>
  <c r="D553" i="15"/>
  <c r="C553" i="15"/>
  <c r="B553" i="15"/>
  <c r="R552" i="15"/>
  <c r="Q552" i="15"/>
  <c r="P552" i="15"/>
  <c r="O552" i="15"/>
  <c r="N552" i="15"/>
  <c r="M552" i="15"/>
  <c r="L552" i="15"/>
  <c r="K552" i="15"/>
  <c r="J552" i="15"/>
  <c r="I552" i="15"/>
  <c r="H552" i="15"/>
  <c r="G552" i="15"/>
  <c r="F552" i="15"/>
  <c r="E552" i="15"/>
  <c r="D552" i="15"/>
  <c r="C552" i="15"/>
  <c r="B552" i="15"/>
  <c r="R551" i="15"/>
  <c r="Q551" i="15"/>
  <c r="P551" i="15"/>
  <c r="O551" i="15"/>
  <c r="N551" i="15"/>
  <c r="M551" i="15"/>
  <c r="L551" i="15"/>
  <c r="K551" i="15"/>
  <c r="J551" i="15"/>
  <c r="I551" i="15"/>
  <c r="H551" i="15"/>
  <c r="G551" i="15"/>
  <c r="F551" i="15"/>
  <c r="E551" i="15"/>
  <c r="D551" i="15"/>
  <c r="C551" i="15"/>
  <c r="B551" i="15"/>
  <c r="R550" i="15"/>
  <c r="Q550" i="15"/>
  <c r="P550" i="15"/>
  <c r="O550" i="15"/>
  <c r="N550" i="15"/>
  <c r="M550" i="15"/>
  <c r="L550" i="15"/>
  <c r="K550" i="15"/>
  <c r="J550" i="15"/>
  <c r="I550" i="15"/>
  <c r="H550" i="15"/>
  <c r="G550" i="15"/>
  <c r="F550" i="15"/>
  <c r="E550" i="15"/>
  <c r="D550" i="15"/>
  <c r="C550" i="15"/>
  <c r="B550" i="15"/>
  <c r="R549" i="15"/>
  <c r="Q549" i="15"/>
  <c r="P549" i="15"/>
  <c r="O549" i="15"/>
  <c r="N549" i="15"/>
  <c r="M549" i="15"/>
  <c r="L549" i="15"/>
  <c r="K549" i="15"/>
  <c r="J549" i="15"/>
  <c r="I549" i="15"/>
  <c r="H549" i="15"/>
  <c r="G549" i="15"/>
  <c r="F549" i="15"/>
  <c r="E549" i="15"/>
  <c r="D549" i="15"/>
  <c r="C549" i="15"/>
  <c r="B549" i="15"/>
  <c r="R548" i="15"/>
  <c r="Q548" i="15"/>
  <c r="P548" i="15"/>
  <c r="O548" i="15"/>
  <c r="N548" i="15"/>
  <c r="M548" i="15"/>
  <c r="L548" i="15"/>
  <c r="K548" i="15"/>
  <c r="J548" i="15"/>
  <c r="I548" i="15"/>
  <c r="H548" i="15"/>
  <c r="G548" i="15"/>
  <c r="F548" i="15"/>
  <c r="E548" i="15"/>
  <c r="D548" i="15"/>
  <c r="C548" i="15"/>
  <c r="B548" i="15"/>
  <c r="R547" i="15"/>
  <c r="Q547" i="15"/>
  <c r="P547" i="15"/>
  <c r="O547" i="15"/>
  <c r="N547" i="15"/>
  <c r="M547" i="15"/>
  <c r="L547" i="15"/>
  <c r="K547" i="15"/>
  <c r="J547" i="15"/>
  <c r="I547" i="15"/>
  <c r="H547" i="15"/>
  <c r="G547" i="15"/>
  <c r="F547" i="15"/>
  <c r="E547" i="15"/>
  <c r="D547" i="15"/>
  <c r="C547" i="15"/>
  <c r="B547" i="15"/>
  <c r="R546" i="15"/>
  <c r="Q546" i="15"/>
  <c r="P546" i="15"/>
  <c r="O546" i="15"/>
  <c r="N546" i="15"/>
  <c r="M546" i="15"/>
  <c r="L546" i="15"/>
  <c r="K546" i="15"/>
  <c r="J546" i="15"/>
  <c r="I546" i="15"/>
  <c r="H546" i="15"/>
  <c r="G546" i="15"/>
  <c r="F546" i="15"/>
  <c r="E546" i="15"/>
  <c r="D546" i="15"/>
  <c r="C546" i="15"/>
  <c r="B546" i="15"/>
  <c r="R545" i="15"/>
  <c r="Q545" i="15"/>
  <c r="P545" i="15"/>
  <c r="O545" i="15"/>
  <c r="N545" i="15"/>
  <c r="M545" i="15"/>
  <c r="L545" i="15"/>
  <c r="K545" i="15"/>
  <c r="J545" i="15"/>
  <c r="I545" i="15"/>
  <c r="H545" i="15"/>
  <c r="G545" i="15"/>
  <c r="F545" i="15"/>
  <c r="E545" i="15"/>
  <c r="D545" i="15"/>
  <c r="C545" i="15"/>
  <c r="B545" i="15"/>
  <c r="R544" i="15"/>
  <c r="Q544" i="15"/>
  <c r="P544" i="15"/>
  <c r="O544" i="15"/>
  <c r="N544" i="15"/>
  <c r="M544" i="15"/>
  <c r="L544" i="15"/>
  <c r="K544" i="15"/>
  <c r="J544" i="15"/>
  <c r="I544" i="15"/>
  <c r="H544" i="15"/>
  <c r="G544" i="15"/>
  <c r="F544" i="15"/>
  <c r="E544" i="15"/>
  <c r="D544" i="15"/>
  <c r="C544" i="15"/>
  <c r="B544" i="15"/>
  <c r="R543" i="15"/>
  <c r="Q543" i="15"/>
  <c r="P543" i="15"/>
  <c r="O543" i="15"/>
  <c r="N543" i="15"/>
  <c r="M543" i="15"/>
  <c r="L543" i="15"/>
  <c r="K543" i="15"/>
  <c r="J543" i="15"/>
  <c r="I543" i="15"/>
  <c r="H543" i="15"/>
  <c r="G543" i="15"/>
  <c r="F543" i="15"/>
  <c r="E543" i="15"/>
  <c r="D543" i="15"/>
  <c r="C543" i="15"/>
  <c r="B543" i="15"/>
  <c r="R542" i="15"/>
  <c r="Q542" i="15"/>
  <c r="P542" i="15"/>
  <c r="O542" i="15"/>
  <c r="N542" i="15"/>
  <c r="M542" i="15"/>
  <c r="L542" i="15"/>
  <c r="K542" i="15"/>
  <c r="J542" i="15"/>
  <c r="I542" i="15"/>
  <c r="H542" i="15"/>
  <c r="G542" i="15"/>
  <c r="F542" i="15"/>
  <c r="E542" i="15"/>
  <c r="D542" i="15"/>
  <c r="C542" i="15"/>
  <c r="B542" i="15"/>
  <c r="R541" i="15"/>
  <c r="Q541" i="15"/>
  <c r="P541" i="15"/>
  <c r="O541" i="15"/>
  <c r="N541" i="15"/>
  <c r="M541" i="15"/>
  <c r="L541" i="15"/>
  <c r="K541" i="15"/>
  <c r="J541" i="15"/>
  <c r="I541" i="15"/>
  <c r="H541" i="15"/>
  <c r="G541" i="15"/>
  <c r="F541" i="15"/>
  <c r="E541" i="15"/>
  <c r="D541" i="15"/>
  <c r="C541" i="15"/>
  <c r="B541" i="15"/>
  <c r="R540" i="15"/>
  <c r="Q540" i="15"/>
  <c r="P540" i="15"/>
  <c r="O540" i="15"/>
  <c r="N540" i="15"/>
  <c r="M540" i="15"/>
  <c r="L540" i="15"/>
  <c r="K540" i="15"/>
  <c r="J540" i="15"/>
  <c r="I540" i="15"/>
  <c r="H540" i="15"/>
  <c r="G540" i="15"/>
  <c r="F540" i="15"/>
  <c r="E540" i="15"/>
  <c r="D540" i="15"/>
  <c r="C540" i="15"/>
  <c r="B540" i="15"/>
  <c r="R539" i="15"/>
  <c r="Q539" i="15"/>
  <c r="P539" i="15"/>
  <c r="O539" i="15"/>
  <c r="N539" i="15"/>
  <c r="M539" i="15"/>
  <c r="L539" i="15"/>
  <c r="K539" i="15"/>
  <c r="J539" i="15"/>
  <c r="I539" i="15"/>
  <c r="H539" i="15"/>
  <c r="G539" i="15"/>
  <c r="F539" i="15"/>
  <c r="E539" i="15"/>
  <c r="D539" i="15"/>
  <c r="C539" i="15"/>
  <c r="B539" i="15"/>
  <c r="R538" i="15"/>
  <c r="Q538" i="15"/>
  <c r="P538" i="15"/>
  <c r="O538" i="15"/>
  <c r="N538" i="15"/>
  <c r="M538" i="15"/>
  <c r="L538" i="15"/>
  <c r="K538" i="15"/>
  <c r="J538" i="15"/>
  <c r="I538" i="15"/>
  <c r="H538" i="15"/>
  <c r="G538" i="15"/>
  <c r="F538" i="15"/>
  <c r="E538" i="15"/>
  <c r="D538" i="15"/>
  <c r="C538" i="15"/>
  <c r="B538" i="15"/>
  <c r="R537" i="15"/>
  <c r="Q537" i="15"/>
  <c r="P537" i="15"/>
  <c r="O537" i="15"/>
  <c r="N537" i="15"/>
  <c r="M537" i="15"/>
  <c r="L537" i="15"/>
  <c r="K537" i="15"/>
  <c r="J537" i="15"/>
  <c r="I537" i="15"/>
  <c r="H537" i="15"/>
  <c r="G537" i="15"/>
  <c r="F537" i="15"/>
  <c r="E537" i="15"/>
  <c r="D537" i="15"/>
  <c r="C537" i="15"/>
  <c r="B537" i="15"/>
  <c r="R536" i="15"/>
  <c r="Q536" i="15"/>
  <c r="P536" i="15"/>
  <c r="O536" i="15"/>
  <c r="N536" i="15"/>
  <c r="M536" i="15"/>
  <c r="L536" i="15"/>
  <c r="K536" i="15"/>
  <c r="J536" i="15"/>
  <c r="I536" i="15"/>
  <c r="H536" i="15"/>
  <c r="G536" i="15"/>
  <c r="F536" i="15"/>
  <c r="E536" i="15"/>
  <c r="D536" i="15"/>
  <c r="C536" i="15"/>
  <c r="B536" i="15"/>
  <c r="R535" i="15"/>
  <c r="Q535" i="15"/>
  <c r="P535" i="15"/>
  <c r="O535" i="15"/>
  <c r="N535" i="15"/>
  <c r="M535" i="15"/>
  <c r="L535" i="15"/>
  <c r="K535" i="15"/>
  <c r="J535" i="15"/>
  <c r="I535" i="15"/>
  <c r="H535" i="15"/>
  <c r="G535" i="15"/>
  <c r="F535" i="15"/>
  <c r="E535" i="15"/>
  <c r="D535" i="15"/>
  <c r="C535" i="15"/>
  <c r="B535" i="15"/>
  <c r="R534" i="15"/>
  <c r="Q534" i="15"/>
  <c r="P534" i="15"/>
  <c r="O534" i="15"/>
  <c r="N534" i="15"/>
  <c r="M534" i="15"/>
  <c r="L534" i="15"/>
  <c r="K534" i="15"/>
  <c r="J534" i="15"/>
  <c r="I534" i="15"/>
  <c r="H534" i="15"/>
  <c r="G534" i="15"/>
  <c r="F534" i="15"/>
  <c r="E534" i="15"/>
  <c r="D534" i="15"/>
  <c r="C534" i="15"/>
  <c r="B534" i="15"/>
  <c r="R533" i="15"/>
  <c r="Q533" i="15"/>
  <c r="P533" i="15"/>
  <c r="O533" i="15"/>
  <c r="N533" i="15"/>
  <c r="M533" i="15"/>
  <c r="L533" i="15"/>
  <c r="K533" i="15"/>
  <c r="J533" i="15"/>
  <c r="I533" i="15"/>
  <c r="H533" i="15"/>
  <c r="G533" i="15"/>
  <c r="F533" i="15"/>
  <c r="E533" i="15"/>
  <c r="D533" i="15"/>
  <c r="C533" i="15"/>
  <c r="B533" i="15"/>
  <c r="R532" i="15"/>
  <c r="Q532" i="15"/>
  <c r="P532" i="15"/>
  <c r="O532" i="15"/>
  <c r="N532" i="15"/>
  <c r="M532" i="15"/>
  <c r="L532" i="15"/>
  <c r="K532" i="15"/>
  <c r="J532" i="15"/>
  <c r="I532" i="15"/>
  <c r="H532" i="15"/>
  <c r="G532" i="15"/>
  <c r="F532" i="15"/>
  <c r="E532" i="15"/>
  <c r="D532" i="15"/>
  <c r="C532" i="15"/>
  <c r="B532" i="15"/>
  <c r="R531" i="15"/>
  <c r="Q531" i="15"/>
  <c r="P531" i="15"/>
  <c r="O531" i="15"/>
  <c r="N531" i="15"/>
  <c r="M531" i="15"/>
  <c r="L531" i="15"/>
  <c r="K531" i="15"/>
  <c r="J531" i="15"/>
  <c r="I531" i="15"/>
  <c r="H531" i="15"/>
  <c r="G531" i="15"/>
  <c r="F531" i="15"/>
  <c r="E531" i="15"/>
  <c r="D531" i="15"/>
  <c r="C531" i="15"/>
  <c r="B531" i="15"/>
  <c r="R530" i="15"/>
  <c r="Q530" i="15"/>
  <c r="P530" i="15"/>
  <c r="O530" i="15"/>
  <c r="N530" i="15"/>
  <c r="M530" i="15"/>
  <c r="L530" i="15"/>
  <c r="K530" i="15"/>
  <c r="J530" i="15"/>
  <c r="I530" i="15"/>
  <c r="H530" i="15"/>
  <c r="G530" i="15"/>
  <c r="F530" i="15"/>
  <c r="E530" i="15"/>
  <c r="D530" i="15"/>
  <c r="C530" i="15"/>
  <c r="B530" i="15"/>
  <c r="R529" i="15"/>
  <c r="Q529" i="15"/>
  <c r="P529" i="15"/>
  <c r="O529" i="15"/>
  <c r="N529" i="15"/>
  <c r="M529" i="15"/>
  <c r="L529" i="15"/>
  <c r="K529" i="15"/>
  <c r="J529" i="15"/>
  <c r="I529" i="15"/>
  <c r="H529" i="15"/>
  <c r="G529" i="15"/>
  <c r="F529" i="15"/>
  <c r="E529" i="15"/>
  <c r="D529" i="15"/>
  <c r="C529" i="15"/>
  <c r="B529" i="15"/>
  <c r="R528" i="15"/>
  <c r="Q528" i="15"/>
  <c r="P528" i="15"/>
  <c r="O528" i="15"/>
  <c r="N528" i="15"/>
  <c r="M528" i="15"/>
  <c r="L528" i="15"/>
  <c r="K528" i="15"/>
  <c r="J528" i="15"/>
  <c r="I528" i="15"/>
  <c r="H528" i="15"/>
  <c r="G528" i="15"/>
  <c r="F528" i="15"/>
  <c r="E528" i="15"/>
  <c r="D528" i="15"/>
  <c r="C528" i="15"/>
  <c r="B528" i="15"/>
  <c r="R527" i="15"/>
  <c r="Q527" i="15"/>
  <c r="P527" i="15"/>
  <c r="O527" i="15"/>
  <c r="N527" i="15"/>
  <c r="M527" i="15"/>
  <c r="L527" i="15"/>
  <c r="K527" i="15"/>
  <c r="J527" i="15"/>
  <c r="I527" i="15"/>
  <c r="H527" i="15"/>
  <c r="G527" i="15"/>
  <c r="F527" i="15"/>
  <c r="E527" i="15"/>
  <c r="D527" i="15"/>
  <c r="C527" i="15"/>
  <c r="B527" i="15"/>
  <c r="R526" i="15"/>
  <c r="Q526" i="15"/>
  <c r="P526" i="15"/>
  <c r="O526" i="15"/>
  <c r="N526" i="15"/>
  <c r="M526" i="15"/>
  <c r="L526" i="15"/>
  <c r="K526" i="15"/>
  <c r="J526" i="15"/>
  <c r="I526" i="15"/>
  <c r="H526" i="15"/>
  <c r="G526" i="15"/>
  <c r="F526" i="15"/>
  <c r="E526" i="15"/>
  <c r="D526" i="15"/>
  <c r="C526" i="15"/>
  <c r="B526" i="15"/>
  <c r="R525" i="15"/>
  <c r="Q525" i="15"/>
  <c r="P525" i="15"/>
  <c r="O525" i="15"/>
  <c r="N525" i="15"/>
  <c r="M525" i="15"/>
  <c r="L525" i="15"/>
  <c r="K525" i="15"/>
  <c r="J525" i="15"/>
  <c r="I525" i="15"/>
  <c r="H525" i="15"/>
  <c r="G525" i="15"/>
  <c r="F525" i="15"/>
  <c r="E525" i="15"/>
  <c r="D525" i="15"/>
  <c r="C525" i="15"/>
  <c r="B525" i="15"/>
  <c r="R524" i="15"/>
  <c r="Q524" i="15"/>
  <c r="P524" i="15"/>
  <c r="O524" i="15"/>
  <c r="N524" i="15"/>
  <c r="M524" i="15"/>
  <c r="L524" i="15"/>
  <c r="K524" i="15"/>
  <c r="J524" i="15"/>
  <c r="I524" i="15"/>
  <c r="H524" i="15"/>
  <c r="G524" i="15"/>
  <c r="F524" i="15"/>
  <c r="E524" i="15"/>
  <c r="D524" i="15"/>
  <c r="C524" i="15"/>
  <c r="B524" i="15"/>
  <c r="R523" i="15"/>
  <c r="Q523" i="15"/>
  <c r="P523" i="15"/>
  <c r="O523" i="15"/>
  <c r="N523" i="15"/>
  <c r="M523" i="15"/>
  <c r="L523" i="15"/>
  <c r="K523" i="15"/>
  <c r="J523" i="15"/>
  <c r="I523" i="15"/>
  <c r="H523" i="15"/>
  <c r="G523" i="15"/>
  <c r="F523" i="15"/>
  <c r="E523" i="15"/>
  <c r="D523" i="15"/>
  <c r="C523" i="15"/>
  <c r="B523" i="15"/>
  <c r="R522" i="15"/>
  <c r="Q522" i="15"/>
  <c r="P522" i="15"/>
  <c r="O522" i="15"/>
  <c r="N522" i="15"/>
  <c r="M522" i="15"/>
  <c r="L522" i="15"/>
  <c r="K522" i="15"/>
  <c r="J522" i="15"/>
  <c r="I522" i="15"/>
  <c r="H522" i="15"/>
  <c r="G522" i="15"/>
  <c r="F522" i="15"/>
  <c r="E522" i="15"/>
  <c r="D522" i="15"/>
  <c r="C522" i="15"/>
  <c r="B522" i="15"/>
  <c r="R521" i="15"/>
  <c r="Q521" i="15"/>
  <c r="P521" i="15"/>
  <c r="O521" i="15"/>
  <c r="N521" i="15"/>
  <c r="M521" i="15"/>
  <c r="L521" i="15"/>
  <c r="K521" i="15"/>
  <c r="J521" i="15"/>
  <c r="I521" i="15"/>
  <c r="H521" i="15"/>
  <c r="G521" i="15"/>
  <c r="F521" i="15"/>
  <c r="E521" i="15"/>
  <c r="D521" i="15"/>
  <c r="C521" i="15"/>
  <c r="B521" i="15"/>
  <c r="R520" i="15"/>
  <c r="Q520" i="15"/>
  <c r="P520" i="15"/>
  <c r="O520" i="15"/>
  <c r="N520" i="15"/>
  <c r="M520" i="15"/>
  <c r="L520" i="15"/>
  <c r="K520" i="15"/>
  <c r="J520" i="15"/>
  <c r="I520" i="15"/>
  <c r="H520" i="15"/>
  <c r="G520" i="15"/>
  <c r="F520" i="15"/>
  <c r="E520" i="15"/>
  <c r="D520" i="15"/>
  <c r="C520" i="15"/>
  <c r="B520" i="15"/>
  <c r="R519" i="15"/>
  <c r="Q519" i="15"/>
  <c r="P519" i="15"/>
  <c r="O519" i="15"/>
  <c r="N519" i="15"/>
  <c r="M519" i="15"/>
  <c r="L519" i="15"/>
  <c r="K519" i="15"/>
  <c r="J519" i="15"/>
  <c r="I519" i="15"/>
  <c r="H519" i="15"/>
  <c r="G519" i="15"/>
  <c r="F519" i="15"/>
  <c r="E519" i="15"/>
  <c r="D519" i="15"/>
  <c r="C519" i="15"/>
  <c r="B519" i="15"/>
  <c r="R518" i="15"/>
  <c r="Q518" i="15"/>
  <c r="P518" i="15"/>
  <c r="O518" i="15"/>
  <c r="N518" i="15"/>
  <c r="M518" i="15"/>
  <c r="L518" i="15"/>
  <c r="K518" i="15"/>
  <c r="J518" i="15"/>
  <c r="I518" i="15"/>
  <c r="H518" i="15"/>
  <c r="G518" i="15"/>
  <c r="F518" i="15"/>
  <c r="E518" i="15"/>
  <c r="D518" i="15"/>
  <c r="C518" i="15"/>
  <c r="B518" i="15"/>
  <c r="R517" i="15"/>
  <c r="Q517" i="15"/>
  <c r="P517" i="15"/>
  <c r="O517" i="15"/>
  <c r="N517" i="15"/>
  <c r="M517" i="15"/>
  <c r="L517" i="15"/>
  <c r="K517" i="15"/>
  <c r="J517" i="15"/>
  <c r="I517" i="15"/>
  <c r="H517" i="15"/>
  <c r="G517" i="15"/>
  <c r="F517" i="15"/>
  <c r="E517" i="15"/>
  <c r="D517" i="15"/>
  <c r="C517" i="15"/>
  <c r="B517" i="15"/>
  <c r="R516" i="15"/>
  <c r="Q516" i="15"/>
  <c r="P516" i="15"/>
  <c r="O516" i="15"/>
  <c r="N516" i="15"/>
  <c r="M516" i="15"/>
  <c r="L516" i="15"/>
  <c r="K516" i="15"/>
  <c r="J516" i="15"/>
  <c r="I516" i="15"/>
  <c r="H516" i="15"/>
  <c r="G516" i="15"/>
  <c r="F516" i="15"/>
  <c r="E516" i="15"/>
  <c r="D516" i="15"/>
  <c r="C516" i="15"/>
  <c r="B516" i="15"/>
  <c r="R515" i="15"/>
  <c r="Q515" i="15"/>
  <c r="P515" i="15"/>
  <c r="O515" i="15"/>
  <c r="N515" i="15"/>
  <c r="M515" i="15"/>
  <c r="L515" i="15"/>
  <c r="K515" i="15"/>
  <c r="J515" i="15"/>
  <c r="I515" i="15"/>
  <c r="H515" i="15"/>
  <c r="G515" i="15"/>
  <c r="F515" i="15"/>
  <c r="E515" i="15"/>
  <c r="D515" i="15"/>
  <c r="C515" i="15"/>
  <c r="B515" i="15"/>
  <c r="R514" i="15"/>
  <c r="Q514" i="15"/>
  <c r="P514" i="15"/>
  <c r="O514" i="15"/>
  <c r="N514" i="15"/>
  <c r="M514" i="15"/>
  <c r="L514" i="15"/>
  <c r="K514" i="15"/>
  <c r="J514" i="15"/>
  <c r="I514" i="15"/>
  <c r="H514" i="15"/>
  <c r="G514" i="15"/>
  <c r="F514" i="15"/>
  <c r="E514" i="15"/>
  <c r="D514" i="15"/>
  <c r="C514" i="15"/>
  <c r="B514" i="15"/>
  <c r="R513" i="15"/>
  <c r="Q513" i="15"/>
  <c r="P513" i="15"/>
  <c r="O513" i="15"/>
  <c r="N513" i="15"/>
  <c r="M513" i="15"/>
  <c r="L513" i="15"/>
  <c r="K513" i="15"/>
  <c r="J513" i="15"/>
  <c r="I513" i="15"/>
  <c r="H513" i="15"/>
  <c r="G513" i="15"/>
  <c r="F513" i="15"/>
  <c r="E513" i="15"/>
  <c r="D513" i="15"/>
  <c r="C513" i="15"/>
  <c r="B513" i="15"/>
  <c r="R512" i="15"/>
  <c r="Q512" i="15"/>
  <c r="P512" i="15"/>
  <c r="O512" i="15"/>
  <c r="N512" i="15"/>
  <c r="M512" i="15"/>
  <c r="L512" i="15"/>
  <c r="K512" i="15"/>
  <c r="J512" i="15"/>
  <c r="I512" i="15"/>
  <c r="H512" i="15"/>
  <c r="G512" i="15"/>
  <c r="F512" i="15"/>
  <c r="E512" i="15"/>
  <c r="D512" i="15"/>
  <c r="C512" i="15"/>
  <c r="B512" i="15"/>
  <c r="R511" i="15"/>
  <c r="Q511" i="15"/>
  <c r="P511" i="15"/>
  <c r="O511" i="15"/>
  <c r="N511" i="15"/>
  <c r="M511" i="15"/>
  <c r="L511" i="15"/>
  <c r="K511" i="15"/>
  <c r="J511" i="15"/>
  <c r="I511" i="15"/>
  <c r="H511" i="15"/>
  <c r="G511" i="15"/>
  <c r="F511" i="15"/>
  <c r="E511" i="15"/>
  <c r="D511" i="15"/>
  <c r="C511" i="15"/>
  <c r="B511" i="15"/>
  <c r="R510" i="15"/>
  <c r="Q510" i="15"/>
  <c r="P510" i="15"/>
  <c r="O510" i="15"/>
  <c r="N510" i="15"/>
  <c r="M510" i="15"/>
  <c r="L510" i="15"/>
  <c r="K510" i="15"/>
  <c r="J510" i="15"/>
  <c r="I510" i="15"/>
  <c r="H510" i="15"/>
  <c r="G510" i="15"/>
  <c r="F510" i="15"/>
  <c r="E510" i="15"/>
  <c r="D510" i="15"/>
  <c r="C510" i="15"/>
  <c r="B510" i="15"/>
  <c r="R509" i="15"/>
  <c r="Q509" i="15"/>
  <c r="P509" i="15"/>
  <c r="O509" i="15"/>
  <c r="N509" i="15"/>
  <c r="M509" i="15"/>
  <c r="L509" i="15"/>
  <c r="K509" i="15"/>
  <c r="J509" i="15"/>
  <c r="I509" i="15"/>
  <c r="H509" i="15"/>
  <c r="G509" i="15"/>
  <c r="F509" i="15"/>
  <c r="E509" i="15"/>
  <c r="D509" i="15"/>
  <c r="C509" i="15"/>
  <c r="B509" i="15"/>
  <c r="R508" i="15"/>
  <c r="Q508" i="15"/>
  <c r="P508" i="15"/>
  <c r="O508" i="15"/>
  <c r="N508" i="15"/>
  <c r="M508" i="15"/>
  <c r="L508" i="15"/>
  <c r="K508" i="15"/>
  <c r="J508" i="15"/>
  <c r="I508" i="15"/>
  <c r="H508" i="15"/>
  <c r="G508" i="15"/>
  <c r="F508" i="15"/>
  <c r="E508" i="15"/>
  <c r="D508" i="15"/>
  <c r="C508" i="15"/>
  <c r="B508" i="15"/>
  <c r="R507" i="15"/>
  <c r="Q507" i="15"/>
  <c r="P507" i="15"/>
  <c r="O507" i="15"/>
  <c r="N507" i="15"/>
  <c r="M507" i="15"/>
  <c r="L507" i="15"/>
  <c r="K507" i="15"/>
  <c r="J507" i="15"/>
  <c r="I507" i="15"/>
  <c r="H507" i="15"/>
  <c r="G507" i="15"/>
  <c r="F507" i="15"/>
  <c r="E507" i="15"/>
  <c r="D507" i="15"/>
  <c r="C507" i="15"/>
  <c r="B507" i="15"/>
  <c r="R506" i="15"/>
  <c r="Q506" i="15"/>
  <c r="P506" i="15"/>
  <c r="O506" i="15"/>
  <c r="N506" i="15"/>
  <c r="M506" i="15"/>
  <c r="L506" i="15"/>
  <c r="K506" i="15"/>
  <c r="J506" i="15"/>
  <c r="I506" i="15"/>
  <c r="H506" i="15"/>
  <c r="G506" i="15"/>
  <c r="F506" i="15"/>
  <c r="E506" i="15"/>
  <c r="D506" i="15"/>
  <c r="C506" i="15"/>
  <c r="B506" i="15"/>
  <c r="R505" i="15"/>
  <c r="Q505" i="15"/>
  <c r="P505" i="15"/>
  <c r="O505" i="15"/>
  <c r="N505" i="15"/>
  <c r="M505" i="15"/>
  <c r="L505" i="15"/>
  <c r="K505" i="15"/>
  <c r="J505" i="15"/>
  <c r="I505" i="15"/>
  <c r="H505" i="15"/>
  <c r="G505" i="15"/>
  <c r="F505" i="15"/>
  <c r="E505" i="15"/>
  <c r="D505" i="15"/>
  <c r="C505" i="15"/>
  <c r="B505" i="15"/>
  <c r="R504" i="15"/>
  <c r="Q504" i="15"/>
  <c r="P504" i="15"/>
  <c r="O504" i="15"/>
  <c r="N504" i="15"/>
  <c r="M504" i="15"/>
  <c r="L504" i="15"/>
  <c r="K504" i="15"/>
  <c r="J504" i="15"/>
  <c r="I504" i="15"/>
  <c r="H504" i="15"/>
  <c r="G504" i="15"/>
  <c r="F504" i="15"/>
  <c r="E504" i="15"/>
  <c r="D504" i="15"/>
  <c r="C504" i="15"/>
  <c r="B504" i="15"/>
  <c r="R503" i="15"/>
  <c r="Q503" i="15"/>
  <c r="P503" i="15"/>
  <c r="O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R502" i="15"/>
  <c r="Q502" i="15"/>
  <c r="P502" i="15"/>
  <c r="O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R501" i="15"/>
  <c r="Q501" i="15"/>
  <c r="P501" i="15"/>
  <c r="O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R500" i="15"/>
  <c r="Q500" i="15"/>
  <c r="P500" i="15"/>
  <c r="O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R499" i="15"/>
  <c r="Q499" i="15"/>
  <c r="P499" i="15"/>
  <c r="O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R498" i="15"/>
  <c r="Q498" i="15"/>
  <c r="P498" i="15"/>
  <c r="O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R497" i="15"/>
  <c r="Q497" i="15"/>
  <c r="P497" i="15"/>
  <c r="O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R496" i="15"/>
  <c r="Q496" i="15"/>
  <c r="P496" i="15"/>
  <c r="O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R495" i="15"/>
  <c r="Q495" i="15"/>
  <c r="P495" i="15"/>
  <c r="O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R494" i="15"/>
  <c r="Q494" i="15"/>
  <c r="P494" i="15"/>
  <c r="O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R493" i="15"/>
  <c r="Q493" i="15"/>
  <c r="P493" i="15"/>
  <c r="O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R492" i="15"/>
  <c r="Q492" i="15"/>
  <c r="P492" i="15"/>
  <c r="O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R491" i="15"/>
  <c r="Q491" i="15"/>
  <c r="P491" i="15"/>
  <c r="O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R490" i="15"/>
  <c r="Q490" i="15"/>
  <c r="P490" i="15"/>
  <c r="O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R489" i="15"/>
  <c r="Q489" i="15"/>
  <c r="P489" i="15"/>
  <c r="O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R488" i="15"/>
  <c r="Q488" i="15"/>
  <c r="P488" i="15"/>
  <c r="O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R487" i="15"/>
  <c r="Q487" i="15"/>
  <c r="P487" i="15"/>
  <c r="O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R486" i="15"/>
  <c r="Q486" i="15"/>
  <c r="P486" i="15"/>
  <c r="O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R485" i="15"/>
  <c r="Q485" i="15"/>
  <c r="P485" i="15"/>
  <c r="O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R484" i="15"/>
  <c r="Q484" i="15"/>
  <c r="P484" i="15"/>
  <c r="O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R483" i="15"/>
  <c r="Q483" i="15"/>
  <c r="P483" i="15"/>
  <c r="O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R482" i="15"/>
  <c r="Q482" i="15"/>
  <c r="P482" i="15"/>
  <c r="O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R481" i="15"/>
  <c r="Q481" i="15"/>
  <c r="P481" i="15"/>
  <c r="O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R480" i="15"/>
  <c r="Q480" i="15"/>
  <c r="P480" i="15"/>
  <c r="O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R479" i="15"/>
  <c r="Q479" i="15"/>
  <c r="P479" i="15"/>
  <c r="O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R478" i="15"/>
  <c r="Q478" i="15"/>
  <c r="P478" i="15"/>
  <c r="O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R477" i="15"/>
  <c r="Q477" i="15"/>
  <c r="P477" i="15"/>
  <c r="O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R476" i="15"/>
  <c r="Q476" i="15"/>
  <c r="P476" i="15"/>
  <c r="O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R475" i="15"/>
  <c r="Q475" i="15"/>
  <c r="P475" i="15"/>
  <c r="O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R474" i="15"/>
  <c r="Q474" i="15"/>
  <c r="P474" i="15"/>
  <c r="O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R473" i="15"/>
  <c r="Q473" i="15"/>
  <c r="P473" i="15"/>
  <c r="O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R472" i="15"/>
  <c r="Q472" i="15"/>
  <c r="P472" i="15"/>
  <c r="O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R471" i="15"/>
  <c r="Q471" i="15"/>
  <c r="P471" i="15"/>
  <c r="O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R470" i="15"/>
  <c r="Q470" i="15"/>
  <c r="P470" i="15"/>
  <c r="O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R469" i="15"/>
  <c r="Q469" i="15"/>
  <c r="P469" i="15"/>
  <c r="O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R468" i="15"/>
  <c r="Q468" i="15"/>
  <c r="P468" i="15"/>
  <c r="O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R467" i="15"/>
  <c r="Q467" i="15"/>
  <c r="P467" i="15"/>
  <c r="O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R466" i="15"/>
  <c r="Q466" i="15"/>
  <c r="P466" i="15"/>
  <c r="O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R465" i="15"/>
  <c r="Q465" i="15"/>
  <c r="P465" i="15"/>
  <c r="O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R464" i="15"/>
  <c r="Q464" i="15"/>
  <c r="P464" i="15"/>
  <c r="O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R463" i="15"/>
  <c r="Q463" i="15"/>
  <c r="P463" i="15"/>
  <c r="O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R462" i="15"/>
  <c r="Q462" i="15"/>
  <c r="P462" i="15"/>
  <c r="O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R461" i="15"/>
  <c r="Q461" i="15"/>
  <c r="P461" i="15"/>
  <c r="O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R460" i="15"/>
  <c r="Q460" i="15"/>
  <c r="P460" i="15"/>
  <c r="O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R459" i="15"/>
  <c r="Q459" i="15"/>
  <c r="P459" i="15"/>
  <c r="O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R458" i="15"/>
  <c r="Q458" i="15"/>
  <c r="P458" i="15"/>
  <c r="O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R457" i="15"/>
  <c r="Q457" i="15"/>
  <c r="P457" i="15"/>
  <c r="O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R456" i="15"/>
  <c r="Q456" i="15"/>
  <c r="P456" i="15"/>
  <c r="O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R455" i="15"/>
  <c r="Q455" i="15"/>
  <c r="P455" i="15"/>
  <c r="O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R454" i="15"/>
  <c r="Q454" i="15"/>
  <c r="P454" i="15"/>
  <c r="O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R453" i="15"/>
  <c r="Q453" i="15"/>
  <c r="P453" i="15"/>
  <c r="O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R452" i="15"/>
  <c r="Q452" i="15"/>
  <c r="P452" i="15"/>
  <c r="O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R451" i="15"/>
  <c r="Q451" i="15"/>
  <c r="P451" i="15"/>
  <c r="O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R450" i="15"/>
  <c r="Q450" i="15"/>
  <c r="P450" i="15"/>
  <c r="O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R449" i="15"/>
  <c r="Q449" i="15"/>
  <c r="P449" i="15"/>
  <c r="O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R448" i="15"/>
  <c r="Q448" i="15"/>
  <c r="P448" i="15"/>
  <c r="O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R447" i="15"/>
  <c r="Q447" i="15"/>
  <c r="P447" i="15"/>
  <c r="O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R446" i="15"/>
  <c r="Q446" i="15"/>
  <c r="P446" i="15"/>
  <c r="O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R445" i="15"/>
  <c r="Q445" i="15"/>
  <c r="P445" i="15"/>
  <c r="O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R444" i="15"/>
  <c r="Q444" i="15"/>
  <c r="P444" i="15"/>
  <c r="O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R443" i="15"/>
  <c r="Q443" i="15"/>
  <c r="P443" i="15"/>
  <c r="O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R442" i="15"/>
  <c r="Q442" i="15"/>
  <c r="P442" i="15"/>
  <c r="O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R441" i="15"/>
  <c r="Q441" i="15"/>
  <c r="P441" i="15"/>
  <c r="O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R440" i="15"/>
  <c r="Q440" i="15"/>
  <c r="P440" i="15"/>
  <c r="O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R439" i="15"/>
  <c r="Q439" i="15"/>
  <c r="P439" i="15"/>
  <c r="O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R438" i="15"/>
  <c r="Q438" i="15"/>
  <c r="P438" i="15"/>
  <c r="O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R437" i="15"/>
  <c r="Q437" i="15"/>
  <c r="P437" i="15"/>
  <c r="O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R436" i="15"/>
  <c r="Q436" i="15"/>
  <c r="P436" i="15"/>
  <c r="O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R435" i="15"/>
  <c r="Q435" i="15"/>
  <c r="P435" i="15"/>
  <c r="O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R434" i="15"/>
  <c r="Q434" i="15"/>
  <c r="P434" i="15"/>
  <c r="O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R433" i="15"/>
  <c r="Q433" i="15"/>
  <c r="P433" i="15"/>
  <c r="O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R432" i="15"/>
  <c r="Q432" i="15"/>
  <c r="P432" i="15"/>
  <c r="O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R431" i="15"/>
  <c r="Q431" i="15"/>
  <c r="P431" i="15"/>
  <c r="O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R430" i="15"/>
  <c r="Q430" i="15"/>
  <c r="P430" i="15"/>
  <c r="O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R429" i="15"/>
  <c r="Q429" i="15"/>
  <c r="P429" i="15"/>
  <c r="O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R428" i="15"/>
  <c r="Q428" i="15"/>
  <c r="P428" i="15"/>
  <c r="O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R427" i="15"/>
  <c r="Q427" i="15"/>
  <c r="P427" i="15"/>
  <c r="O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R426" i="15"/>
  <c r="Q426" i="15"/>
  <c r="P426" i="15"/>
  <c r="O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R425" i="15"/>
  <c r="Q425" i="15"/>
  <c r="P425" i="15"/>
  <c r="O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R424" i="15"/>
  <c r="Q424" i="15"/>
  <c r="P424" i="15"/>
  <c r="O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R423" i="15"/>
  <c r="Q423" i="15"/>
  <c r="P423" i="15"/>
  <c r="O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R422" i="15"/>
  <c r="Q422" i="15"/>
  <c r="P422" i="15"/>
  <c r="O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R421" i="15"/>
  <c r="Q421" i="15"/>
  <c r="P421" i="15"/>
  <c r="O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R420" i="15"/>
  <c r="Q420" i="15"/>
  <c r="P420" i="15"/>
  <c r="O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R419" i="15"/>
  <c r="Q419" i="15"/>
  <c r="P419" i="15"/>
  <c r="O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R418" i="15"/>
  <c r="Q418" i="15"/>
  <c r="P418" i="15"/>
  <c r="O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R417" i="15"/>
  <c r="Q417" i="15"/>
  <c r="P417" i="15"/>
  <c r="O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R416" i="15"/>
  <c r="Q416" i="15"/>
  <c r="P416" i="15"/>
  <c r="O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R415" i="15"/>
  <c r="Q415" i="15"/>
  <c r="P415" i="15"/>
  <c r="O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R414" i="15"/>
  <c r="Q414" i="15"/>
  <c r="P414" i="15"/>
  <c r="O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R413" i="15"/>
  <c r="Q413" i="15"/>
  <c r="P413" i="15"/>
  <c r="O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R412" i="15"/>
  <c r="Q412" i="15"/>
  <c r="P412" i="15"/>
  <c r="O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R411" i="15"/>
  <c r="Q411" i="15"/>
  <c r="P411" i="15"/>
  <c r="O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R410" i="15"/>
  <c r="Q410" i="15"/>
  <c r="P410" i="15"/>
  <c r="O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R409" i="15"/>
  <c r="Q409" i="15"/>
  <c r="P409" i="15"/>
  <c r="O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R408" i="15"/>
  <c r="Q408" i="15"/>
  <c r="P408" i="15"/>
  <c r="O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R407" i="15"/>
  <c r="Q407" i="15"/>
  <c r="P407" i="15"/>
  <c r="O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R406" i="15"/>
  <c r="Q406" i="15"/>
  <c r="P406" i="15"/>
  <c r="O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R405" i="15"/>
  <c r="Q405" i="15"/>
  <c r="P405" i="15"/>
  <c r="O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R404" i="15"/>
  <c r="Q404" i="15"/>
  <c r="P404" i="15"/>
  <c r="O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R403" i="15"/>
  <c r="Q403" i="15"/>
  <c r="P403" i="15"/>
  <c r="O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R402" i="15"/>
  <c r="Q402" i="15"/>
  <c r="P402" i="15"/>
  <c r="O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R401" i="15"/>
  <c r="Q401" i="15"/>
  <c r="P401" i="15"/>
  <c r="O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R400" i="15"/>
  <c r="Q400" i="15"/>
  <c r="P400" i="15"/>
  <c r="O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R399" i="15"/>
  <c r="Q399" i="15"/>
  <c r="P399" i="15"/>
  <c r="O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R398" i="15"/>
  <c r="Q398" i="15"/>
  <c r="P398" i="15"/>
  <c r="O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R397" i="15"/>
  <c r="Q397" i="15"/>
  <c r="P397" i="15"/>
  <c r="O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R396" i="15"/>
  <c r="Q396" i="15"/>
  <c r="P396" i="15"/>
  <c r="O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R395" i="15"/>
  <c r="Q395" i="15"/>
  <c r="P395" i="15"/>
  <c r="O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R394" i="15"/>
  <c r="Q394" i="15"/>
  <c r="P394" i="15"/>
  <c r="O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R393" i="15"/>
  <c r="Q393" i="15"/>
  <c r="P393" i="15"/>
  <c r="O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R392" i="15"/>
  <c r="Q392" i="15"/>
  <c r="P392" i="15"/>
  <c r="O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R391" i="15"/>
  <c r="Q391" i="15"/>
  <c r="P391" i="15"/>
  <c r="O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R390" i="15"/>
  <c r="Q390" i="15"/>
  <c r="P390" i="15"/>
  <c r="O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R389" i="15"/>
  <c r="Q389" i="15"/>
  <c r="P389" i="15"/>
  <c r="O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R388" i="15"/>
  <c r="Q388" i="15"/>
  <c r="P388" i="15"/>
  <c r="O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R387" i="15"/>
  <c r="Q387" i="15"/>
  <c r="P387" i="15"/>
  <c r="O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R386" i="15"/>
  <c r="Q386" i="15"/>
  <c r="P386" i="15"/>
  <c r="O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R385" i="15"/>
  <c r="Q385" i="15"/>
  <c r="P385" i="15"/>
  <c r="O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R384" i="15"/>
  <c r="Q384" i="15"/>
  <c r="P384" i="15"/>
  <c r="O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R383" i="15"/>
  <c r="Q383" i="15"/>
  <c r="P383" i="15"/>
  <c r="O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R382" i="15"/>
  <c r="Q382" i="15"/>
  <c r="P382" i="15"/>
  <c r="O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R381" i="15"/>
  <c r="Q381" i="15"/>
  <c r="P381" i="15"/>
  <c r="O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R380" i="15"/>
  <c r="Q380" i="15"/>
  <c r="P380" i="15"/>
  <c r="O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R379" i="15"/>
  <c r="Q379" i="15"/>
  <c r="P379" i="15"/>
  <c r="O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R378" i="15"/>
  <c r="Q378" i="15"/>
  <c r="P378" i="15"/>
  <c r="O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R377" i="15"/>
  <c r="Q377" i="15"/>
  <c r="P377" i="15"/>
  <c r="O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R376" i="15"/>
  <c r="Q376" i="15"/>
  <c r="P376" i="15"/>
  <c r="O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R375" i="15"/>
  <c r="Q375" i="15"/>
  <c r="P375" i="15"/>
  <c r="O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R374" i="15"/>
  <c r="Q374" i="15"/>
  <c r="P374" i="15"/>
  <c r="O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R373" i="15"/>
  <c r="Q373" i="15"/>
  <c r="P373" i="15"/>
  <c r="O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R372" i="15"/>
  <c r="Q372" i="15"/>
  <c r="P372" i="15"/>
  <c r="O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R371" i="15"/>
  <c r="Q371" i="15"/>
  <c r="P371" i="15"/>
  <c r="O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R370" i="15"/>
  <c r="Q370" i="15"/>
  <c r="P370" i="15"/>
  <c r="O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R369" i="15"/>
  <c r="Q369" i="15"/>
  <c r="P369" i="15"/>
  <c r="O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R368" i="15"/>
  <c r="Q368" i="15"/>
  <c r="P368" i="15"/>
  <c r="O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R367" i="15"/>
  <c r="Q367" i="15"/>
  <c r="P367" i="15"/>
  <c r="O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R366" i="15"/>
  <c r="Q366" i="15"/>
  <c r="P366" i="15"/>
  <c r="O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R365" i="15"/>
  <c r="Q365" i="15"/>
  <c r="P365" i="15"/>
  <c r="O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R364" i="15"/>
  <c r="Q364" i="15"/>
  <c r="P364" i="15"/>
  <c r="O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R363" i="15"/>
  <c r="Q363" i="15"/>
  <c r="P363" i="15"/>
  <c r="O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R362" i="15"/>
  <c r="Q362" i="15"/>
  <c r="P362" i="15"/>
  <c r="O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R361" i="15"/>
  <c r="Q361" i="15"/>
  <c r="P361" i="15"/>
  <c r="O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R360" i="15"/>
  <c r="Q360" i="15"/>
  <c r="P360" i="15"/>
  <c r="O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R359" i="15"/>
  <c r="Q359" i="15"/>
  <c r="P359" i="15"/>
  <c r="O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R358" i="15"/>
  <c r="Q358" i="15"/>
  <c r="P358" i="15"/>
  <c r="O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R357" i="15"/>
  <c r="Q357" i="15"/>
  <c r="P357" i="15"/>
  <c r="O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R356" i="15"/>
  <c r="Q356" i="15"/>
  <c r="P356" i="15"/>
  <c r="O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R355" i="15"/>
  <c r="Q355" i="15"/>
  <c r="P355" i="15"/>
  <c r="O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R354" i="15"/>
  <c r="Q354" i="15"/>
  <c r="P354" i="15"/>
  <c r="O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R353" i="15"/>
  <c r="Q353" i="15"/>
  <c r="P353" i="15"/>
  <c r="O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R352" i="15"/>
  <c r="Q352" i="15"/>
  <c r="P352" i="15"/>
  <c r="O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R351" i="15"/>
  <c r="Q351" i="15"/>
  <c r="P351" i="15"/>
  <c r="O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R349" i="15"/>
  <c r="Q349" i="15"/>
  <c r="P349" i="15"/>
  <c r="O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R348" i="15"/>
  <c r="Q348" i="15"/>
  <c r="P348" i="15"/>
  <c r="O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R347" i="15"/>
  <c r="Q347" i="15"/>
  <c r="P347" i="15"/>
  <c r="O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R346" i="15"/>
  <c r="Q346" i="15"/>
  <c r="P346" i="15"/>
  <c r="O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R345" i="15"/>
  <c r="Q345" i="15"/>
  <c r="P345" i="15"/>
  <c r="O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R344" i="15"/>
  <c r="Q344" i="15"/>
  <c r="P344" i="15"/>
  <c r="O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R343" i="15"/>
  <c r="Q343" i="15"/>
  <c r="P343" i="15"/>
  <c r="O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R342" i="15"/>
  <c r="Q342" i="15"/>
  <c r="P342" i="15"/>
  <c r="O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R341" i="15"/>
  <c r="Q341" i="15"/>
  <c r="P341" i="15"/>
  <c r="O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R340" i="15"/>
  <c r="Q340" i="15"/>
  <c r="P340" i="15"/>
  <c r="O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R339" i="15"/>
  <c r="Q339" i="15"/>
  <c r="P339" i="15"/>
  <c r="O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R338" i="15"/>
  <c r="Q338" i="15"/>
  <c r="P338" i="15"/>
  <c r="O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R337" i="15"/>
  <c r="Q337" i="15"/>
  <c r="P337" i="15"/>
  <c r="O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R336" i="15"/>
  <c r="Q336" i="15"/>
  <c r="P336" i="15"/>
  <c r="O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R335" i="15"/>
  <c r="Q335" i="15"/>
  <c r="P335" i="15"/>
  <c r="O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R334" i="15"/>
  <c r="Q334" i="15"/>
  <c r="P334" i="15"/>
  <c r="O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R333" i="15"/>
  <c r="Q333" i="15"/>
  <c r="P333" i="15"/>
  <c r="O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R332" i="15"/>
  <c r="Q332" i="15"/>
  <c r="P332" i="15"/>
  <c r="O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R331" i="15"/>
  <c r="Q331" i="15"/>
  <c r="P331" i="15"/>
  <c r="O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R330" i="15"/>
  <c r="Q330" i="15"/>
  <c r="P330" i="15"/>
  <c r="O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R329" i="15"/>
  <c r="Q329" i="15"/>
  <c r="P329" i="15"/>
  <c r="O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R328" i="15"/>
  <c r="Q328" i="15"/>
  <c r="P328" i="15"/>
  <c r="O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R327" i="15"/>
  <c r="Q327" i="15"/>
  <c r="P327" i="15"/>
  <c r="O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R326" i="15"/>
  <c r="Q326" i="15"/>
  <c r="P326" i="15"/>
  <c r="O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R325" i="15"/>
  <c r="Q325" i="15"/>
  <c r="P325" i="15"/>
  <c r="O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R324" i="15"/>
  <c r="Q324" i="15"/>
  <c r="P324" i="15"/>
  <c r="O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R323" i="15"/>
  <c r="Q323" i="15"/>
  <c r="P323" i="15"/>
  <c r="O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R322" i="15"/>
  <c r="Q322" i="15"/>
  <c r="P322" i="15"/>
  <c r="O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R321" i="15"/>
  <c r="Q321" i="15"/>
  <c r="P321" i="15"/>
  <c r="O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R320" i="15"/>
  <c r="Q320" i="15"/>
  <c r="P320" i="15"/>
  <c r="O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R319" i="15"/>
  <c r="Q319" i="15"/>
  <c r="P319" i="15"/>
  <c r="O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R318" i="15"/>
  <c r="Q318" i="15"/>
  <c r="P318" i="15"/>
  <c r="O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R317" i="15"/>
  <c r="Q317" i="15"/>
  <c r="P317" i="15"/>
  <c r="O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R315" i="15"/>
  <c r="Q315" i="15"/>
  <c r="P315" i="15"/>
  <c r="O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R314" i="15"/>
  <c r="Q314" i="15"/>
  <c r="P314" i="15"/>
  <c r="O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R313" i="15"/>
  <c r="Q313" i="15"/>
  <c r="P313" i="15"/>
  <c r="O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R312" i="15"/>
  <c r="Q312" i="15"/>
  <c r="P312" i="15"/>
  <c r="O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R311" i="15"/>
  <c r="Q311" i="15"/>
  <c r="P311" i="15"/>
  <c r="O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R310" i="15"/>
  <c r="Q310" i="15"/>
  <c r="P310" i="15"/>
  <c r="O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R309" i="15"/>
  <c r="Q309" i="15"/>
  <c r="P309" i="15"/>
  <c r="O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R308" i="15"/>
  <c r="Q308" i="15"/>
  <c r="P308" i="15"/>
  <c r="O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R307" i="15"/>
  <c r="Q307" i="15"/>
  <c r="P307" i="15"/>
  <c r="O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R306" i="15"/>
  <c r="Q306" i="15"/>
  <c r="P306" i="15"/>
  <c r="O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R305" i="15"/>
  <c r="Q305" i="15"/>
  <c r="P305" i="15"/>
  <c r="O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R304" i="15"/>
  <c r="Q304" i="15"/>
  <c r="P304" i="15"/>
  <c r="O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R303" i="15"/>
  <c r="Q303" i="15"/>
  <c r="P303" i="15"/>
  <c r="O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R302" i="15"/>
  <c r="Q302" i="15"/>
  <c r="P302" i="15"/>
  <c r="O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R301" i="15"/>
  <c r="Q301" i="15"/>
  <c r="P301" i="15"/>
  <c r="O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R300" i="15"/>
  <c r="Q300" i="15"/>
  <c r="P300" i="15"/>
  <c r="O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R299" i="15"/>
  <c r="Q299" i="15"/>
  <c r="P299" i="15"/>
  <c r="O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R298" i="15"/>
  <c r="Q298" i="15"/>
  <c r="P298" i="15"/>
  <c r="O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R297" i="15"/>
  <c r="Q297" i="15"/>
  <c r="P297" i="15"/>
  <c r="O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R296" i="15"/>
  <c r="Q296" i="15"/>
  <c r="P296" i="15"/>
  <c r="O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R295" i="15"/>
  <c r="Q295" i="15"/>
  <c r="P295" i="15"/>
  <c r="O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R294" i="15"/>
  <c r="Q294" i="15"/>
  <c r="P294" i="15"/>
  <c r="O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R293" i="15"/>
  <c r="Q293" i="15"/>
  <c r="P293" i="15"/>
  <c r="O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R292" i="15"/>
  <c r="Q292" i="15"/>
  <c r="P292" i="15"/>
  <c r="O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R291" i="15"/>
  <c r="Q291" i="15"/>
  <c r="P291" i="15"/>
  <c r="O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R290" i="15"/>
  <c r="Q290" i="15"/>
  <c r="P290" i="15"/>
  <c r="O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R289" i="15"/>
  <c r="Q289" i="15"/>
  <c r="P289" i="15"/>
  <c r="O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R288" i="15"/>
  <c r="Q288" i="15"/>
  <c r="P288" i="15"/>
  <c r="O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R287" i="15"/>
  <c r="Q287" i="15"/>
  <c r="P287" i="15"/>
  <c r="O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R285" i="15"/>
  <c r="Q285" i="15"/>
  <c r="P285" i="15"/>
  <c r="O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R281" i="15"/>
  <c r="Q281" i="15"/>
  <c r="P281" i="15"/>
  <c r="O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R279" i="15"/>
  <c r="Q279" i="15"/>
  <c r="P279" i="15"/>
  <c r="O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R275" i="15"/>
  <c r="Q275" i="15"/>
  <c r="P275" i="15"/>
  <c r="O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R242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C41" i="14"/>
  <c r="C42" i="14" s="1"/>
  <c r="C40" i="14"/>
  <c r="C35" i="14"/>
  <c r="C27" i="14"/>
  <c r="C28" i="14" s="1"/>
  <c r="C26" i="14"/>
  <c r="C21" i="14"/>
  <c r="C13" i="14"/>
  <c r="C14" i="14" s="1"/>
  <c r="C12" i="14"/>
  <c r="C7" i="14"/>
  <c r="T541" i="16" l="1"/>
  <c r="T557" i="16"/>
  <c r="T573" i="16"/>
  <c r="S30" i="15"/>
  <c r="S14" i="15"/>
  <c r="S46" i="15"/>
  <c r="S62" i="15"/>
  <c r="S78" i="15"/>
  <c r="S94" i="15"/>
  <c r="S110" i="15"/>
  <c r="S126" i="15"/>
  <c r="S142" i="15"/>
  <c r="S158" i="15"/>
  <c r="S174" i="15"/>
  <c r="S190" i="15"/>
  <c r="S206" i="15"/>
  <c r="T222" i="15"/>
  <c r="S238" i="15"/>
  <c r="T253" i="15"/>
  <c r="T604" i="16"/>
  <c r="T605" i="16"/>
  <c r="T620" i="16"/>
  <c r="T621" i="16"/>
  <c r="T636" i="16"/>
  <c r="T637" i="16"/>
  <c r="T652" i="16"/>
  <c r="T653" i="16"/>
  <c r="T668" i="16"/>
  <c r="T669" i="16"/>
  <c r="T684" i="16"/>
  <c r="T685" i="16"/>
  <c r="T700" i="16"/>
  <c r="T701" i="16"/>
  <c r="S716" i="16"/>
  <c r="T717" i="16"/>
  <c r="T6" i="17"/>
  <c r="T7" i="17"/>
  <c r="T22" i="17"/>
  <c r="T23" i="17"/>
  <c r="T38" i="17"/>
  <c r="T39" i="17"/>
  <c r="T54" i="17"/>
  <c r="T55" i="17"/>
  <c r="T70" i="17"/>
  <c r="T71" i="17"/>
  <c r="T86" i="17"/>
  <c r="T87" i="17"/>
  <c r="T102" i="17"/>
  <c r="T103" i="17"/>
  <c r="T118" i="17"/>
  <c r="T119" i="17"/>
  <c r="T134" i="17"/>
  <c r="T135" i="17"/>
  <c r="T150" i="17"/>
  <c r="T151" i="17"/>
  <c r="T166" i="17"/>
  <c r="T167" i="17"/>
  <c r="S182" i="17"/>
  <c r="T183" i="17"/>
  <c r="T289" i="15"/>
  <c r="T836" i="15"/>
  <c r="T868" i="15"/>
  <c r="T48" i="16"/>
  <c r="T383" i="16"/>
  <c r="S400" i="16"/>
  <c r="T466" i="16"/>
  <c r="S481" i="16"/>
  <c r="S497" i="16"/>
  <c r="S513" i="16"/>
  <c r="T369" i="16"/>
  <c r="T464" i="16"/>
  <c r="T465" i="16"/>
  <c r="T323" i="16"/>
  <c r="T53" i="16"/>
  <c r="T69" i="16"/>
  <c r="T85" i="16"/>
  <c r="T101" i="16"/>
  <c r="S244" i="16"/>
  <c r="S260" i="16"/>
  <c r="S261" i="16"/>
  <c r="T6" i="16"/>
  <c r="T22" i="16"/>
  <c r="T363" i="15"/>
  <c r="T379" i="15"/>
  <c r="T395" i="15"/>
  <c r="T411" i="15"/>
  <c r="T427" i="15"/>
  <c r="T444" i="15"/>
  <c r="T460" i="15"/>
  <c r="S475" i="15"/>
  <c r="S491" i="15"/>
  <c r="S507" i="15"/>
  <c r="S523" i="15"/>
  <c r="S539" i="15"/>
  <c r="S555" i="15"/>
  <c r="S571" i="15"/>
  <c r="T588" i="15"/>
  <c r="S603" i="15"/>
  <c r="T620" i="15"/>
  <c r="S635" i="15"/>
  <c r="T651" i="15"/>
  <c r="T667" i="15"/>
  <c r="T683" i="15"/>
  <c r="T699" i="15"/>
  <c r="T715" i="15"/>
  <c r="T731" i="15"/>
  <c r="T747" i="15"/>
  <c r="S300" i="15"/>
  <c r="S316" i="15"/>
  <c r="S332" i="15"/>
  <c r="T845" i="15"/>
  <c r="T861" i="15"/>
  <c r="T364" i="15"/>
  <c r="T380" i="15"/>
  <c r="T396" i="15"/>
  <c r="T412" i="15"/>
  <c r="T428" i="15"/>
  <c r="T443" i="15"/>
  <c r="T459" i="15"/>
  <c r="T476" i="15"/>
  <c r="T492" i="15"/>
  <c r="T508" i="15"/>
  <c r="T524" i="15"/>
  <c r="T540" i="15"/>
  <c r="T556" i="15"/>
  <c r="T572" i="15"/>
  <c r="S587" i="15"/>
  <c r="T604" i="15"/>
  <c r="T619" i="15"/>
  <c r="T636" i="15"/>
  <c r="T652" i="15"/>
  <c r="T668" i="15"/>
  <c r="T684" i="15"/>
  <c r="T700" i="15"/>
  <c r="T716" i="15"/>
  <c r="T732" i="15"/>
  <c r="T748" i="15"/>
  <c r="T762" i="15"/>
  <c r="S764" i="15"/>
  <c r="T792" i="15"/>
  <c r="T269" i="15"/>
  <c r="T17" i="15"/>
  <c r="T49" i="15"/>
  <c r="T81" i="15"/>
  <c r="T97" i="15"/>
  <c r="S115" i="15"/>
  <c r="S131" i="15"/>
  <c r="S147" i="15"/>
  <c r="S163" i="15"/>
  <c r="S179" i="15"/>
  <c r="S195" i="15"/>
  <c r="T209" i="15"/>
  <c r="S211" i="15"/>
  <c r="T225" i="15"/>
  <c r="S227" i="15"/>
  <c r="S243" i="15"/>
  <c r="T257" i="15"/>
  <c r="S337" i="15"/>
  <c r="T367" i="15"/>
  <c r="T368" i="15"/>
  <c r="T383" i="15"/>
  <c r="T384" i="15"/>
  <c r="T399" i="15"/>
  <c r="T400" i="15"/>
  <c r="T415" i="15"/>
  <c r="T416" i="15"/>
  <c r="T431" i="15"/>
  <c r="T432" i="15"/>
  <c r="T447" i="15"/>
  <c r="T448" i="15"/>
  <c r="T337" i="15"/>
  <c r="S353" i="15"/>
  <c r="S369" i="15"/>
  <c r="S385" i="15"/>
  <c r="S401" i="15"/>
  <c r="S417" i="15"/>
  <c r="S225" i="15"/>
  <c r="S19" i="15"/>
  <c r="S35" i="15"/>
  <c r="S99" i="15"/>
  <c r="S100" i="15"/>
  <c r="S116" i="15"/>
  <c r="T273" i="15"/>
  <c r="T275" i="15"/>
  <c r="T306" i="15"/>
  <c r="T3" i="15"/>
  <c r="T5" i="15"/>
  <c r="T19" i="15"/>
  <c r="T21" i="15"/>
  <c r="T35" i="15"/>
  <c r="T37" i="15"/>
  <c r="T51" i="15"/>
  <c r="T53" i="15"/>
  <c r="T67" i="15"/>
  <c r="T69" i="15"/>
  <c r="T83" i="15"/>
  <c r="T85" i="15"/>
  <c r="T33" i="15"/>
  <c r="S3" i="15"/>
  <c r="S36" i="15"/>
  <c r="S52" i="15"/>
  <c r="S68" i="15"/>
  <c r="S83" i="15"/>
  <c r="T98" i="15"/>
  <c r="T4" i="15"/>
  <c r="T22" i="15"/>
  <c r="T54" i="15"/>
  <c r="T68" i="15"/>
  <c r="T86" i="15"/>
  <c r="T100" i="15"/>
  <c r="S118" i="15"/>
  <c r="T132" i="15"/>
  <c r="T164" i="15"/>
  <c r="S166" i="15"/>
  <c r="T212" i="15"/>
  <c r="S214" i="15"/>
  <c r="T228" i="15"/>
  <c r="S230" i="15"/>
  <c r="T244" i="15"/>
  <c r="T260" i="15"/>
  <c r="S338" i="15"/>
  <c r="T339" i="15"/>
  <c r="T353" i="15"/>
  <c r="S354" i="15"/>
  <c r="T355" i="15"/>
  <c r="T369" i="15"/>
  <c r="S370" i="15"/>
  <c r="T371" i="15"/>
  <c r="T385" i="15"/>
  <c r="S386" i="15"/>
  <c r="T387" i="15"/>
  <c r="T401" i="15"/>
  <c r="S402" i="15"/>
  <c r="T403" i="15"/>
  <c r="T417" i="15"/>
  <c r="S418" i="15"/>
  <c r="T419" i="15"/>
  <c r="T433" i="15"/>
  <c r="S434" i="15"/>
  <c r="T435" i="15"/>
  <c r="T449" i="15"/>
  <c r="T451" i="15"/>
  <c r="S67" i="15"/>
  <c r="S51" i="15"/>
  <c r="S84" i="15"/>
  <c r="T36" i="15"/>
  <c r="T52" i="15"/>
  <c r="T70" i="15"/>
  <c r="T84" i="15"/>
  <c r="T102" i="15"/>
  <c r="T116" i="15"/>
  <c r="S134" i="15"/>
  <c r="T148" i="15"/>
  <c r="T180" i="15"/>
  <c r="S182" i="15"/>
  <c r="T196" i="15"/>
  <c r="S198" i="15"/>
  <c r="T7" i="15"/>
  <c r="T23" i="15"/>
  <c r="T39" i="15"/>
  <c r="T55" i="15"/>
  <c r="T71" i="15"/>
  <c r="T87" i="15"/>
  <c r="T103" i="15"/>
  <c r="T119" i="15"/>
  <c r="T135" i="15"/>
  <c r="T151" i="15"/>
  <c r="T167" i="15"/>
  <c r="T183" i="15"/>
  <c r="T199" i="15"/>
  <c r="T215" i="15"/>
  <c r="S209" i="15"/>
  <c r="T65" i="15"/>
  <c r="S4" i="15"/>
  <c r="S20" i="15"/>
  <c r="T82" i="15"/>
  <c r="T6" i="15"/>
  <c r="T20" i="15"/>
  <c r="T38" i="15"/>
  <c r="S150" i="15"/>
  <c r="T8" i="15"/>
  <c r="T24" i="15"/>
  <c r="T40" i="15"/>
  <c r="T56" i="15"/>
  <c r="T72" i="15"/>
  <c r="T88" i="15"/>
  <c r="T104" i="15"/>
  <c r="T118" i="15"/>
  <c r="T120" i="15"/>
  <c r="T134" i="15"/>
  <c r="T136" i="15"/>
  <c r="T150" i="15"/>
  <c r="T152" i="15"/>
  <c r="T166" i="15"/>
  <c r="T168" i="15"/>
  <c r="T182" i="15"/>
  <c r="T184" i="15"/>
  <c r="T198" i="15"/>
  <c r="T200" i="15"/>
  <c r="T214" i="15"/>
  <c r="T216" i="15"/>
  <c r="T230" i="15"/>
  <c r="T232" i="15"/>
  <c r="T916" i="15"/>
  <c r="S17" i="15"/>
  <c r="S73" i="15"/>
  <c r="S89" i="15"/>
  <c r="S105" i="15"/>
  <c r="S120" i="15"/>
  <c r="S121" i="15"/>
  <c r="S136" i="15"/>
  <c r="S137" i="15"/>
  <c r="S152" i="15"/>
  <c r="S153" i="15"/>
  <c r="S168" i="15"/>
  <c r="S169" i="15"/>
  <c r="S184" i="15"/>
  <c r="S185" i="15"/>
  <c r="S200" i="15"/>
  <c r="S201" i="15"/>
  <c r="S216" i="15"/>
  <c r="S217" i="15"/>
  <c r="S232" i="15"/>
  <c r="S233" i="15"/>
  <c r="T247" i="15"/>
  <c r="S264" i="15"/>
  <c r="S9" i="15"/>
  <c r="T10" i="15"/>
  <c r="T42" i="15"/>
  <c r="T58" i="15"/>
  <c r="T74" i="15"/>
  <c r="T186" i="15"/>
  <c r="T202" i="15"/>
  <c r="T218" i="15"/>
  <c r="T234" i="15"/>
  <c r="S250" i="15"/>
  <c r="T266" i="15"/>
  <c r="S280" i="15"/>
  <c r="T281" i="15"/>
  <c r="T359" i="15"/>
  <c r="T375" i="15"/>
  <c r="T391" i="15"/>
  <c r="T407" i="15"/>
  <c r="T423" i="15"/>
  <c r="T439" i="15"/>
  <c r="S33" i="15"/>
  <c r="S41" i="15"/>
  <c r="T122" i="15"/>
  <c r="T154" i="15"/>
  <c r="T170" i="15"/>
  <c r="T360" i="15"/>
  <c r="T376" i="15"/>
  <c r="T392" i="15"/>
  <c r="T408" i="15"/>
  <c r="T424" i="15"/>
  <c r="S97" i="15"/>
  <c r="S25" i="15"/>
  <c r="T90" i="15"/>
  <c r="T106" i="15"/>
  <c r="T11" i="15"/>
  <c r="T59" i="15"/>
  <c r="T75" i="15"/>
  <c r="T92" i="15"/>
  <c r="T107" i="15"/>
  <c r="T124" i="15"/>
  <c r="T139" i="15"/>
  <c r="T156" i="15"/>
  <c r="S171" i="15"/>
  <c r="T187" i="15"/>
  <c r="T204" i="15"/>
  <c r="S219" i="15"/>
  <c r="T220" i="15"/>
  <c r="S235" i="15"/>
  <c r="T236" i="15"/>
  <c r="T250" i="15"/>
  <c r="S251" i="15"/>
  <c r="T330" i="15"/>
  <c r="S49" i="15"/>
  <c r="S57" i="15"/>
  <c r="T138" i="15"/>
  <c r="T27" i="15"/>
  <c r="T43" i="15"/>
  <c r="T91" i="15"/>
  <c r="T108" i="15"/>
  <c r="T123" i="15"/>
  <c r="T140" i="15"/>
  <c r="S155" i="15"/>
  <c r="T172" i="15"/>
  <c r="T188" i="15"/>
  <c r="S203" i="15"/>
  <c r="T12" i="15"/>
  <c r="T13" i="15"/>
  <c r="T28" i="15"/>
  <c r="T29" i="15"/>
  <c r="T44" i="15"/>
  <c r="T45" i="15"/>
  <c r="T60" i="15"/>
  <c r="T61" i="15"/>
  <c r="T76" i="15"/>
  <c r="T77" i="15"/>
  <c r="S92" i="15"/>
  <c r="T93" i="15"/>
  <c r="T109" i="15"/>
  <c r="T125" i="15"/>
  <c r="S65" i="15"/>
  <c r="T26" i="15"/>
  <c r="S13" i="15"/>
  <c r="T14" i="15"/>
  <c r="S29" i="15"/>
  <c r="T30" i="15"/>
  <c r="S45" i="15"/>
  <c r="T46" i="15"/>
  <c r="S61" i="15"/>
  <c r="T62" i="15"/>
  <c r="S77" i="15"/>
  <c r="T78" i="15"/>
  <c r="S93" i="15"/>
  <c r="T94" i="15"/>
  <c r="T110" i="15"/>
  <c r="T126" i="15"/>
  <c r="T142" i="15"/>
  <c r="T158" i="15"/>
  <c r="T174" i="15"/>
  <c r="T190" i="15"/>
  <c r="T206" i="15"/>
  <c r="T238" i="15"/>
  <c r="T276" i="15"/>
  <c r="S284" i="15"/>
  <c r="T316" i="15"/>
  <c r="T332" i="15"/>
  <c r="T15" i="15"/>
  <c r="S16" i="15"/>
  <c r="T31" i="15"/>
  <c r="S32" i="15"/>
  <c r="T47" i="15"/>
  <c r="S48" i="15"/>
  <c r="T63" i="15"/>
  <c r="S64" i="15"/>
  <c r="T79" i="15"/>
  <c r="S80" i="15"/>
  <c r="T95" i="15"/>
  <c r="S96" i="15"/>
  <c r="T111" i="15"/>
  <c r="S112" i="15"/>
  <c r="T127" i="15"/>
  <c r="S128" i="15"/>
  <c r="T143" i="15"/>
  <c r="S144" i="15"/>
  <c r="T159" i="15"/>
  <c r="S160" i="15"/>
  <c r="T175" i="15"/>
  <c r="S176" i="15"/>
  <c r="T191" i="15"/>
  <c r="S192" i="15"/>
  <c r="T207" i="15"/>
  <c r="S208" i="15"/>
  <c r="T223" i="15"/>
  <c r="S224" i="15"/>
  <c r="T239" i="15"/>
  <c r="T240" i="15"/>
  <c r="T254" i="15"/>
  <c r="T255" i="15"/>
  <c r="S81" i="15"/>
  <c r="T287" i="15"/>
  <c r="S685" i="15"/>
  <c r="S701" i="15"/>
  <c r="S717" i="15"/>
  <c r="S733" i="15"/>
  <c r="S749" i="15"/>
  <c r="T764" i="15"/>
  <c r="T766" i="15"/>
  <c r="T782" i="15"/>
  <c r="T271" i="15"/>
  <c r="T288" i="15"/>
  <c r="T302" i="15"/>
  <c r="T2" i="15"/>
  <c r="T16" i="15"/>
  <c r="T18" i="15"/>
  <c r="T32" i="15"/>
  <c r="T34" i="15"/>
  <c r="T48" i="15"/>
  <c r="T50" i="15"/>
  <c r="T64" i="15"/>
  <c r="T66" i="15"/>
  <c r="T80" i="15"/>
  <c r="S82" i="15"/>
  <c r="T96" i="15"/>
  <c r="S98" i="15"/>
  <c r="T112" i="15"/>
  <c r="T113" i="15"/>
  <c r="T114" i="15"/>
  <c r="T128" i="15"/>
  <c r="T129" i="15"/>
  <c r="T130" i="15"/>
  <c r="T144" i="15"/>
  <c r="T342" i="15"/>
  <c r="T356" i="15"/>
  <c r="T358" i="15"/>
  <c r="T372" i="15"/>
  <c r="T374" i="15"/>
  <c r="T388" i="15"/>
  <c r="T390" i="15"/>
  <c r="T404" i="15"/>
  <c r="T406" i="15"/>
  <c r="T420" i="15"/>
  <c r="T422" i="15"/>
  <c r="T436" i="15"/>
  <c r="T438" i="15"/>
  <c r="T452" i="15"/>
  <c r="T454" i="15"/>
  <c r="T468" i="15"/>
  <c r="T470" i="15"/>
  <c r="T484" i="15"/>
  <c r="T486" i="15"/>
  <c r="T500" i="15"/>
  <c r="T502" i="15"/>
  <c r="T516" i="15"/>
  <c r="T518" i="15"/>
  <c r="T532" i="15"/>
  <c r="T534" i="15"/>
  <c r="T548" i="15"/>
  <c r="T550" i="15"/>
  <c r="T564" i="15"/>
  <c r="T566" i="15"/>
  <c r="T580" i="15"/>
  <c r="T582" i="15"/>
  <c r="T596" i="15"/>
  <c r="T598" i="15"/>
  <c r="T612" i="15"/>
  <c r="T614" i="15"/>
  <c r="T628" i="15"/>
  <c r="T630" i="15"/>
  <c r="T644" i="15"/>
  <c r="T646" i="15"/>
  <c r="T660" i="15"/>
  <c r="T662" i="15"/>
  <c r="T676" i="15"/>
  <c r="T678" i="15"/>
  <c r="T692" i="15"/>
  <c r="T694" i="15"/>
  <c r="T708" i="15"/>
  <c r="T710" i="15"/>
  <c r="T724" i="15"/>
  <c r="T726" i="15"/>
  <c r="T740" i="15"/>
  <c r="T742" i="15"/>
  <c r="T756" i="15"/>
  <c r="T758" i="15"/>
  <c r="S790" i="15"/>
  <c r="T820" i="15"/>
  <c r="T867" i="15"/>
  <c r="T929" i="15"/>
  <c r="T603" i="16"/>
  <c r="T619" i="16"/>
  <c r="T667" i="16"/>
  <c r="S715" i="16"/>
  <c r="S5" i="17"/>
  <c r="T455" i="15"/>
  <c r="T471" i="15"/>
  <c r="S486" i="15"/>
  <c r="T487" i="15"/>
  <c r="S502" i="15"/>
  <c r="T503" i="15"/>
  <c r="S518" i="15"/>
  <c r="T519" i="15"/>
  <c r="S534" i="15"/>
  <c r="T535" i="15"/>
  <c r="S550" i="15"/>
  <c r="T551" i="15"/>
  <c r="S566" i="15"/>
  <c r="T567" i="15"/>
  <c r="T583" i="15"/>
  <c r="T599" i="15"/>
  <c r="T615" i="15"/>
  <c r="T631" i="15"/>
  <c r="T647" i="15"/>
  <c r="T663" i="15"/>
  <c r="T679" i="15"/>
  <c r="T695" i="15"/>
  <c r="T711" i="15"/>
  <c r="T727" i="15"/>
  <c r="T743" i="15"/>
  <c r="T759" i="15"/>
  <c r="T775" i="15"/>
  <c r="T852" i="15"/>
  <c r="S931" i="15"/>
  <c r="S932" i="15"/>
  <c r="T62" i="16"/>
  <c r="T78" i="16"/>
  <c r="T94" i="16"/>
  <c r="T110" i="16"/>
  <c r="T126" i="16"/>
  <c r="T142" i="16"/>
  <c r="T158" i="16"/>
  <c r="T174" i="16"/>
  <c r="T190" i="16"/>
  <c r="T206" i="16"/>
  <c r="T222" i="16"/>
  <c r="T238" i="16"/>
  <c r="T254" i="16"/>
  <c r="T269" i="16"/>
  <c r="T440" i="15"/>
  <c r="T632" i="15"/>
  <c r="T648" i="15"/>
  <c r="T664" i="15"/>
  <c r="T680" i="15"/>
  <c r="T696" i="15"/>
  <c r="T712" i="15"/>
  <c r="T728" i="15"/>
  <c r="T744" i="15"/>
  <c r="S776" i="15"/>
  <c r="T790" i="15"/>
  <c r="T855" i="15"/>
  <c r="T884" i="15"/>
  <c r="T900" i="15"/>
  <c r="T931" i="15"/>
  <c r="T932" i="15"/>
  <c r="S360" i="15"/>
  <c r="T361" i="15"/>
  <c r="S376" i="15"/>
  <c r="T377" i="15"/>
  <c r="S392" i="15"/>
  <c r="T393" i="15"/>
  <c r="S408" i="15"/>
  <c r="T409" i="15"/>
  <c r="S424" i="15"/>
  <c r="T425" i="15"/>
  <c r="S440" i="15"/>
  <c r="T441" i="15"/>
  <c r="T456" i="15"/>
  <c r="T457" i="15"/>
  <c r="T472" i="15"/>
  <c r="T473" i="15"/>
  <c r="T488" i="15"/>
  <c r="T489" i="15"/>
  <c r="T504" i="15"/>
  <c r="T505" i="15"/>
  <c r="T520" i="15"/>
  <c r="T521" i="15"/>
  <c r="T536" i="15"/>
  <c r="T537" i="15"/>
  <c r="T552" i="15"/>
  <c r="T553" i="15"/>
  <c r="T568" i="15"/>
  <c r="T569" i="15"/>
  <c r="T584" i="15"/>
  <c r="T585" i="15"/>
  <c r="T600" i="15"/>
  <c r="T601" i="15"/>
  <c r="T616" i="15"/>
  <c r="T617" i="15"/>
  <c r="S632" i="15"/>
  <c r="T633" i="15"/>
  <c r="S648" i="15"/>
  <c r="T649" i="15"/>
  <c r="S664" i="15"/>
  <c r="T665" i="15"/>
  <c r="S680" i="15"/>
  <c r="T681" i="15"/>
  <c r="S696" i="15"/>
  <c r="T697" i="15"/>
  <c r="S712" i="15"/>
  <c r="T713" i="15"/>
  <c r="S728" i="15"/>
  <c r="T729" i="15"/>
  <c r="S744" i="15"/>
  <c r="T745" i="15"/>
  <c r="T760" i="15"/>
  <c r="T777" i="15"/>
  <c r="S793" i="15"/>
  <c r="S856" i="15"/>
  <c r="T47" i="16"/>
  <c r="S63" i="16"/>
  <c r="S64" i="16"/>
  <c r="S79" i="16"/>
  <c r="S80" i="16"/>
  <c r="S95" i="16"/>
  <c r="S96" i="16"/>
  <c r="T509" i="16"/>
  <c r="T510" i="16"/>
  <c r="S589" i="16"/>
  <c r="S590" i="16"/>
  <c r="S605" i="16"/>
  <c r="S606" i="16"/>
  <c r="S621" i="16"/>
  <c r="S622" i="16"/>
  <c r="S637" i="16"/>
  <c r="S638" i="16"/>
  <c r="S653" i="16"/>
  <c r="S654" i="16"/>
  <c r="T141" i="15"/>
  <c r="T155" i="15"/>
  <c r="T157" i="15"/>
  <c r="T171" i="15"/>
  <c r="T173" i="15"/>
  <c r="T189" i="15"/>
  <c r="T203" i="15"/>
  <c r="T205" i="15"/>
  <c r="T219" i="15"/>
  <c r="T221" i="15"/>
  <c r="T235" i="15"/>
  <c r="T237" i="15"/>
  <c r="T251" i="15"/>
  <c r="S268" i="15"/>
  <c r="T362" i="15"/>
  <c r="T378" i="15"/>
  <c r="T394" i="15"/>
  <c r="T410" i="15"/>
  <c r="T426" i="15"/>
  <c r="T442" i="15"/>
  <c r="T458" i="15"/>
  <c r="T474" i="15"/>
  <c r="T490" i="15"/>
  <c r="T506" i="15"/>
  <c r="T522" i="15"/>
  <c r="T538" i="15"/>
  <c r="T554" i="15"/>
  <c r="T570" i="15"/>
  <c r="T586" i="15"/>
  <c r="T602" i="15"/>
  <c r="T618" i="15"/>
  <c r="T634" i="15"/>
  <c r="T650" i="15"/>
  <c r="T666" i="15"/>
  <c r="T682" i="15"/>
  <c r="T698" i="15"/>
  <c r="T714" i="15"/>
  <c r="T730" i="15"/>
  <c r="T746" i="15"/>
  <c r="T761" i="15"/>
  <c r="S762" i="15"/>
  <c r="T794" i="15"/>
  <c r="T810" i="15"/>
  <c r="T826" i="15"/>
  <c r="T851" i="15"/>
  <c r="T527" i="16"/>
  <c r="T575" i="16"/>
  <c r="S763" i="15"/>
  <c r="T778" i="15"/>
  <c r="T793" i="15"/>
  <c r="T858" i="15"/>
  <c r="T918" i="15"/>
  <c r="S920" i="15"/>
  <c r="T16" i="16"/>
  <c r="T32" i="16"/>
  <c r="T49" i="16"/>
  <c r="T50" i="16"/>
  <c r="T64" i="16"/>
  <c r="T65" i="16"/>
  <c r="T66" i="16"/>
  <c r="T289" i="16"/>
  <c r="T337" i="16"/>
  <c r="S401" i="16"/>
  <c r="T401" i="16"/>
  <c r="T286" i="15"/>
  <c r="S348" i="15"/>
  <c r="S364" i="15"/>
  <c r="S365" i="15"/>
  <c r="S380" i="15"/>
  <c r="S381" i="15"/>
  <c r="S396" i="15"/>
  <c r="S397" i="15"/>
  <c r="S412" i="15"/>
  <c r="S413" i="15"/>
  <c r="S428" i="15"/>
  <c r="S429" i="15"/>
  <c r="S444" i="15"/>
  <c r="S445" i="15"/>
  <c r="S460" i="15"/>
  <c r="S461" i="15"/>
  <c r="T475" i="15"/>
  <c r="S476" i="15"/>
  <c r="S477" i="15"/>
  <c r="T491" i="15"/>
  <c r="S492" i="15"/>
  <c r="S493" i="15"/>
  <c r="T507" i="15"/>
  <c r="S508" i="15"/>
  <c r="S509" i="15"/>
  <c r="T523" i="15"/>
  <c r="S524" i="15"/>
  <c r="S525" i="15"/>
  <c r="T539" i="15"/>
  <c r="S540" i="15"/>
  <c r="S541" i="15"/>
  <c r="T555" i="15"/>
  <c r="S556" i="15"/>
  <c r="S557" i="15"/>
  <c r="T571" i="15"/>
  <c r="S572" i="15"/>
  <c r="S573" i="15"/>
  <c r="T587" i="15"/>
  <c r="S588" i="15"/>
  <c r="S589" i="15"/>
  <c r="T603" i="15"/>
  <c r="S604" i="15"/>
  <c r="S605" i="15"/>
  <c r="S620" i="15"/>
  <c r="S621" i="15"/>
  <c r="T635" i="15"/>
  <c r="S636" i="15"/>
  <c r="S637" i="15"/>
  <c r="S652" i="15"/>
  <c r="S653" i="15"/>
  <c r="S668" i="15"/>
  <c r="S669" i="15"/>
  <c r="S684" i="15"/>
  <c r="S700" i="15"/>
  <c r="S716" i="15"/>
  <c r="S732" i="15"/>
  <c r="S748" i="15"/>
  <c r="T763" i="15"/>
  <c r="T780" i="15"/>
  <c r="T828" i="15"/>
  <c r="S906" i="15"/>
  <c r="T907" i="15"/>
  <c r="T922" i="15"/>
  <c r="S291" i="16"/>
  <c r="T354" i="16"/>
  <c r="T356" i="16"/>
  <c r="T385" i="16"/>
  <c r="T387" i="16"/>
  <c r="T417" i="16"/>
  <c r="T433" i="16"/>
  <c r="T449" i="16"/>
  <c r="T451" i="16"/>
  <c r="T496" i="16"/>
  <c r="S498" i="16"/>
  <c r="T498" i="16"/>
  <c r="T530" i="16"/>
  <c r="T370" i="16"/>
  <c r="T386" i="16"/>
  <c r="S387" i="16"/>
  <c r="T388" i="16"/>
  <c r="T514" i="16"/>
  <c r="T145" i="15"/>
  <c r="T146" i="15"/>
  <c r="T160" i="15"/>
  <c r="T161" i="15"/>
  <c r="T162" i="15"/>
  <c r="T176" i="15"/>
  <c r="T177" i="15"/>
  <c r="T178" i="15"/>
  <c r="T192" i="15"/>
  <c r="T193" i="15"/>
  <c r="T194" i="15"/>
  <c r="T208" i="15"/>
  <c r="T210" i="15"/>
  <c r="T224" i="15"/>
  <c r="T226" i="15"/>
  <c r="T241" i="15"/>
  <c r="T242" i="15"/>
  <c r="T319" i="15"/>
  <c r="T320" i="15"/>
  <c r="T349" i="15"/>
  <c r="T350" i="15"/>
  <c r="T365" i="15"/>
  <c r="T366" i="15"/>
  <c r="T381" i="15"/>
  <c r="T382" i="15"/>
  <c r="T397" i="15"/>
  <c r="T398" i="15"/>
  <c r="T413" i="15"/>
  <c r="T414" i="15"/>
  <c r="T429" i="15"/>
  <c r="T430" i="15"/>
  <c r="T445" i="15"/>
  <c r="T446" i="15"/>
  <c r="T461" i="15"/>
  <c r="T462" i="15"/>
  <c r="T477" i="15"/>
  <c r="T478" i="15"/>
  <c r="T493" i="15"/>
  <c r="T494" i="15"/>
  <c r="T509" i="15"/>
  <c r="T510" i="15"/>
  <c r="T525" i="15"/>
  <c r="T526" i="15"/>
  <c r="T541" i="15"/>
  <c r="T542" i="15"/>
  <c r="T557" i="15"/>
  <c r="T558" i="15"/>
  <c r="T573" i="15"/>
  <c r="T574" i="15"/>
  <c r="T589" i="15"/>
  <c r="T590" i="15"/>
  <c r="T605" i="15"/>
  <c r="T606" i="15"/>
  <c r="T621" i="15"/>
  <c r="T622" i="15"/>
  <c r="T637" i="15"/>
  <c r="T638" i="15"/>
  <c r="T653" i="15"/>
  <c r="T654" i="15"/>
  <c r="T669" i="15"/>
  <c r="T670" i="15"/>
  <c r="T685" i="15"/>
  <c r="T686" i="15"/>
  <c r="T701" i="15"/>
  <c r="T702" i="15"/>
  <c r="T717" i="15"/>
  <c r="T718" i="15"/>
  <c r="T733" i="15"/>
  <c r="T734" i="15"/>
  <c r="T749" i="15"/>
  <c r="T750" i="15"/>
  <c r="T767" i="15"/>
  <c r="S782" i="15"/>
  <c r="T783" i="15"/>
  <c r="S798" i="15"/>
  <c r="T799" i="15"/>
  <c r="T814" i="15"/>
  <c r="S845" i="15"/>
  <c r="T876" i="15"/>
  <c r="T877" i="15"/>
  <c r="T892" i="15"/>
  <c r="T23" i="16"/>
  <c r="T290" i="16"/>
  <c r="T321" i="16"/>
  <c r="T326" i="16"/>
  <c r="T463" i="15"/>
  <c r="S464" i="15"/>
  <c r="T479" i="15"/>
  <c r="S480" i="15"/>
  <c r="T495" i="15"/>
  <c r="S496" i="15"/>
  <c r="T511" i="15"/>
  <c r="S512" i="15"/>
  <c r="T527" i="15"/>
  <c r="S528" i="15"/>
  <c r="T543" i="15"/>
  <c r="S544" i="15"/>
  <c r="T559" i="15"/>
  <c r="S560" i="15"/>
  <c r="T575" i="15"/>
  <c r="S576" i="15"/>
  <c r="T591" i="15"/>
  <c r="S592" i="15"/>
  <c r="T607" i="15"/>
  <c r="S608" i="15"/>
  <c r="T623" i="15"/>
  <c r="S624" i="15"/>
  <c r="T639" i="15"/>
  <c r="S640" i="15"/>
  <c r="T655" i="15"/>
  <c r="S656" i="15"/>
  <c r="T671" i="15"/>
  <c r="S672" i="15"/>
  <c r="T687" i="15"/>
  <c r="S688" i="15"/>
  <c r="T703" i="15"/>
  <c r="S704" i="15"/>
  <c r="T719" i="15"/>
  <c r="S720" i="15"/>
  <c r="T735" i="15"/>
  <c r="S736" i="15"/>
  <c r="T751" i="15"/>
  <c r="S752" i="15"/>
  <c r="T798" i="15"/>
  <c r="S799" i="15"/>
  <c r="S815" i="15"/>
  <c r="S831" i="15"/>
  <c r="T846" i="15"/>
  <c r="T925" i="15"/>
  <c r="T55" i="16"/>
  <c r="T71" i="16"/>
  <c r="T87" i="16"/>
  <c r="T103" i="16"/>
  <c r="T119" i="16"/>
  <c r="T135" i="16"/>
  <c r="T151" i="16"/>
  <c r="T167" i="16"/>
  <c r="T183" i="16"/>
  <c r="T199" i="16"/>
  <c r="T215" i="16"/>
  <c r="T231" i="16"/>
  <c r="T247" i="16"/>
  <c r="T261" i="16"/>
  <c r="T263" i="16"/>
  <c r="T277" i="16"/>
  <c r="S533" i="16"/>
  <c r="S549" i="16"/>
  <c r="S433" i="15"/>
  <c r="S449" i="15"/>
  <c r="S465" i="15"/>
  <c r="S481" i="15"/>
  <c r="S497" i="15"/>
  <c r="S513" i="15"/>
  <c r="S529" i="15"/>
  <c r="S545" i="15"/>
  <c r="S561" i="15"/>
  <c r="S577" i="15"/>
  <c r="S593" i="15"/>
  <c r="S609" i="15"/>
  <c r="S625" i="15"/>
  <c r="S641" i="15"/>
  <c r="S657" i="15"/>
  <c r="S673" i="15"/>
  <c r="S689" i="15"/>
  <c r="S705" i="15"/>
  <c r="S721" i="15"/>
  <c r="S737" i="15"/>
  <c r="S753" i="15"/>
  <c r="T768" i="15"/>
  <c r="T815" i="15"/>
  <c r="T831" i="15"/>
  <c r="S847" i="15"/>
  <c r="S863" i="15"/>
  <c r="S894" i="15"/>
  <c r="T8" i="16"/>
  <c r="T9" i="16"/>
  <c r="T280" i="16"/>
  <c r="T518" i="16"/>
  <c r="T99" i="15"/>
  <c r="T101" i="15"/>
  <c r="T115" i="15"/>
  <c r="T117" i="15"/>
  <c r="T131" i="15"/>
  <c r="S132" i="15"/>
  <c r="T133" i="15"/>
  <c r="T147" i="15"/>
  <c r="S148" i="15"/>
  <c r="T149" i="15"/>
  <c r="T163" i="15"/>
  <c r="S164" i="15"/>
  <c r="T165" i="15"/>
  <c r="T179" i="15"/>
  <c r="S180" i="15"/>
  <c r="T181" i="15"/>
  <c r="T195" i="15"/>
  <c r="S196" i="15"/>
  <c r="T197" i="15"/>
  <c r="T211" i="15"/>
  <c r="S212" i="15"/>
  <c r="T213" i="15"/>
  <c r="T227" i="15"/>
  <c r="S228" i="15"/>
  <c r="T229" i="15"/>
  <c r="T243" i="15"/>
  <c r="T305" i="15"/>
  <c r="T321" i="15"/>
  <c r="S322" i="15"/>
  <c r="T354" i="15"/>
  <c r="T370" i="15"/>
  <c r="T386" i="15"/>
  <c r="T402" i="15"/>
  <c r="T418" i="15"/>
  <c r="T434" i="15"/>
  <c r="T450" i="15"/>
  <c r="T464" i="15"/>
  <c r="T466" i="15"/>
  <c r="T480" i="15"/>
  <c r="T482" i="15"/>
  <c r="T496" i="15"/>
  <c r="T498" i="15"/>
  <c r="T512" i="15"/>
  <c r="T514" i="15"/>
  <c r="T528" i="15"/>
  <c r="T530" i="15"/>
  <c r="T544" i="15"/>
  <c r="T546" i="15"/>
  <c r="T560" i="15"/>
  <c r="T562" i="15"/>
  <c r="T576" i="15"/>
  <c r="T578" i="15"/>
  <c r="T592" i="15"/>
  <c r="T594" i="15"/>
  <c r="T608" i="15"/>
  <c r="T610" i="15"/>
  <c r="T624" i="15"/>
  <c r="T626" i="15"/>
  <c r="T640" i="15"/>
  <c r="T642" i="15"/>
  <c r="T656" i="15"/>
  <c r="T658" i="15"/>
  <c r="T672" i="15"/>
  <c r="T674" i="15"/>
  <c r="T688" i="15"/>
  <c r="T690" i="15"/>
  <c r="T704" i="15"/>
  <c r="T706" i="15"/>
  <c r="T720" i="15"/>
  <c r="T722" i="15"/>
  <c r="T736" i="15"/>
  <c r="T738" i="15"/>
  <c r="T752" i="15"/>
  <c r="T754" i="15"/>
  <c r="T769" i="15"/>
  <c r="T770" i="15"/>
  <c r="T847" i="15"/>
  <c r="T863" i="15"/>
  <c r="T879" i="15"/>
  <c r="T880" i="15"/>
  <c r="T895" i="15"/>
  <c r="S911" i="15"/>
  <c r="T465" i="15"/>
  <c r="S467" i="15"/>
  <c r="T481" i="15"/>
  <c r="S483" i="15"/>
  <c r="T497" i="15"/>
  <c r="S499" i="15"/>
  <c r="T513" i="15"/>
  <c r="S515" i="15"/>
  <c r="T529" i="15"/>
  <c r="S531" i="15"/>
  <c r="T545" i="15"/>
  <c r="S547" i="15"/>
  <c r="T561" i="15"/>
  <c r="S563" i="15"/>
  <c r="T577" i="15"/>
  <c r="S579" i="15"/>
  <c r="T593" i="15"/>
  <c r="S595" i="15"/>
  <c r="T609" i="15"/>
  <c r="S611" i="15"/>
  <c r="T625" i="15"/>
  <c r="S627" i="15"/>
  <c r="T641" i="15"/>
  <c r="S643" i="15"/>
  <c r="T657" i="15"/>
  <c r="S659" i="15"/>
  <c r="T673" i="15"/>
  <c r="S675" i="15"/>
  <c r="T689" i="15"/>
  <c r="S691" i="15"/>
  <c r="T705" i="15"/>
  <c r="S707" i="15"/>
  <c r="T721" i="15"/>
  <c r="S723" i="15"/>
  <c r="T737" i="15"/>
  <c r="S739" i="15"/>
  <c r="T753" i="15"/>
  <c r="S755" i="15"/>
  <c r="S770" i="15"/>
  <c r="T785" i="15"/>
  <c r="S865" i="15"/>
  <c r="S881" i="15"/>
  <c r="T911" i="15"/>
  <c r="S927" i="15"/>
  <c r="S26" i="16"/>
  <c r="T43" i="16"/>
  <c r="S122" i="16"/>
  <c r="S138" i="16"/>
  <c r="S154" i="16"/>
  <c r="S170" i="16"/>
  <c r="S186" i="16"/>
  <c r="S202" i="16"/>
  <c r="T217" i="16"/>
  <c r="S218" i="16"/>
  <c r="T231" i="15"/>
  <c r="S247" i="15"/>
  <c r="T293" i="15"/>
  <c r="T325" i="15"/>
  <c r="S356" i="15"/>
  <c r="S372" i="15"/>
  <c r="S388" i="15"/>
  <c r="S404" i="15"/>
  <c r="S420" i="15"/>
  <c r="S436" i="15"/>
  <c r="S452" i="15"/>
  <c r="S468" i="15"/>
  <c r="S484" i="15"/>
  <c r="S500" i="15"/>
  <c r="S516" i="15"/>
  <c r="S532" i="15"/>
  <c r="S548" i="15"/>
  <c r="S564" i="15"/>
  <c r="S580" i="15"/>
  <c r="S596" i="15"/>
  <c r="S612" i="15"/>
  <c r="S628" i="15"/>
  <c r="S644" i="15"/>
  <c r="S660" i="15"/>
  <c r="S676" i="15"/>
  <c r="S692" i="15"/>
  <c r="S708" i="15"/>
  <c r="S724" i="15"/>
  <c r="S740" i="15"/>
  <c r="S756" i="15"/>
  <c r="T771" i="15"/>
  <c r="S787" i="15"/>
  <c r="T788" i="15"/>
  <c r="T804" i="15"/>
  <c r="S820" i="15"/>
  <c r="S836" i="15"/>
  <c r="T865" i="15"/>
  <c r="T927" i="15"/>
  <c r="T11" i="16"/>
  <c r="T12" i="16"/>
  <c r="T27" i="16"/>
  <c r="S43" i="16"/>
  <c r="S58" i="16"/>
  <c r="T59" i="16"/>
  <c r="S346" i="16"/>
  <c r="S362" i="16"/>
  <c r="T363" i="16"/>
  <c r="T378" i="16"/>
  <c r="T292" i="15"/>
  <c r="T308" i="15"/>
  <c r="T341" i="15"/>
  <c r="T357" i="15"/>
  <c r="T373" i="15"/>
  <c r="T389" i="15"/>
  <c r="T405" i="15"/>
  <c r="T421" i="15"/>
  <c r="T437" i="15"/>
  <c r="T453" i="15"/>
  <c r="T467" i="15"/>
  <c r="T469" i="15"/>
  <c r="T483" i="15"/>
  <c r="T485" i="15"/>
  <c r="T499" i="15"/>
  <c r="T501" i="15"/>
  <c r="T515" i="15"/>
  <c r="T517" i="15"/>
  <c r="T531" i="15"/>
  <c r="T533" i="15"/>
  <c r="T547" i="15"/>
  <c r="T549" i="15"/>
  <c r="T563" i="15"/>
  <c r="T565" i="15"/>
  <c r="T579" i="15"/>
  <c r="T581" i="15"/>
  <c r="T595" i="15"/>
  <c r="T597" i="15"/>
  <c r="T611" i="15"/>
  <c r="T613" i="15"/>
  <c r="T627" i="15"/>
  <c r="T629" i="15"/>
  <c r="T643" i="15"/>
  <c r="T645" i="15"/>
  <c r="T659" i="15"/>
  <c r="T661" i="15"/>
  <c r="T675" i="15"/>
  <c r="T677" i="15"/>
  <c r="T691" i="15"/>
  <c r="T693" i="15"/>
  <c r="T707" i="15"/>
  <c r="T709" i="15"/>
  <c r="T723" i="15"/>
  <c r="T725" i="15"/>
  <c r="T739" i="15"/>
  <c r="T741" i="15"/>
  <c r="T755" i="15"/>
  <c r="T757" i="15"/>
  <c r="T772" i="15"/>
  <c r="T773" i="15"/>
  <c r="T787" i="15"/>
  <c r="T789" i="15"/>
  <c r="T803" i="15"/>
  <c r="T819" i="15"/>
  <c r="T835" i="15"/>
  <c r="S867" i="15"/>
  <c r="S868" i="15"/>
  <c r="T881" i="15"/>
  <c r="T913" i="15"/>
  <c r="S13" i="16"/>
  <c r="S45" i="16"/>
  <c r="S59" i="16"/>
  <c r="T60" i="16"/>
  <c r="S21" i="17"/>
  <c r="S37" i="17"/>
  <c r="T165" i="17"/>
  <c r="T181" i="17"/>
  <c r="T197" i="17"/>
  <c r="T39" i="16"/>
  <c r="T52" i="16"/>
  <c r="T68" i="16"/>
  <c r="T70" i="16"/>
  <c r="T84" i="16"/>
  <c r="T86" i="16"/>
  <c r="T100" i="16"/>
  <c r="T102" i="16"/>
  <c r="T116" i="16"/>
  <c r="T117" i="16"/>
  <c r="T118" i="16"/>
  <c r="T132" i="16"/>
  <c r="T133" i="16"/>
  <c r="T134" i="16"/>
  <c r="T148" i="16"/>
  <c r="T149" i="16"/>
  <c r="T150" i="16"/>
  <c r="T164" i="16"/>
  <c r="T165" i="16"/>
  <c r="T166" i="16"/>
  <c r="T180" i="16"/>
  <c r="T181" i="16"/>
  <c r="T182" i="16"/>
  <c r="T196" i="16"/>
  <c r="T197" i="16"/>
  <c r="T198" i="16"/>
  <c r="T212" i="16"/>
  <c r="T213" i="16"/>
  <c r="T214" i="16"/>
  <c r="T228" i="16"/>
  <c r="T229" i="16"/>
  <c r="T230" i="16"/>
  <c r="T244" i="16"/>
  <c r="T245" i="16"/>
  <c r="T246" i="16"/>
  <c r="T260" i="16"/>
  <c r="T262" i="16"/>
  <c r="T278" i="16"/>
  <c r="T306" i="16"/>
  <c r="T322" i="16"/>
  <c r="S323" i="16"/>
  <c r="T324" i="16"/>
  <c r="T400" i="16"/>
  <c r="T402" i="16"/>
  <c r="S417" i="16"/>
  <c r="S432" i="16"/>
  <c r="S433" i="16"/>
  <c r="S465" i="16"/>
  <c r="S480" i="16"/>
  <c r="S496" i="16"/>
  <c r="T525" i="16"/>
  <c r="S603" i="16"/>
  <c r="S619" i="16"/>
  <c r="T635" i="16"/>
  <c r="T651" i="16"/>
  <c r="S667" i="16"/>
  <c r="T683" i="16"/>
  <c r="T699" i="16"/>
  <c r="T715" i="16"/>
  <c r="T716" i="16"/>
  <c r="T5" i="17"/>
  <c r="T21" i="17"/>
  <c r="T37" i="17"/>
  <c r="T53" i="17"/>
  <c r="T69" i="17"/>
  <c r="T85" i="17"/>
  <c r="T101" i="17"/>
  <c r="T117" i="17"/>
  <c r="T133" i="17"/>
  <c r="T149" i="17"/>
  <c r="T182" i="17"/>
  <c r="T196" i="17"/>
  <c r="S197" i="17"/>
  <c r="S198" i="17"/>
  <c r="S669" i="16"/>
  <c r="S670" i="16"/>
  <c r="S685" i="16"/>
  <c r="S686" i="16"/>
  <c r="S701" i="16"/>
  <c r="S702" i="16"/>
  <c r="S717" i="16"/>
  <c r="S718" i="16"/>
  <c r="S7" i="17"/>
  <c r="S8" i="17"/>
  <c r="S23" i="17"/>
  <c r="S24" i="17"/>
  <c r="S39" i="17"/>
  <c r="S40" i="17"/>
  <c r="S55" i="17"/>
  <c r="S56" i="17"/>
  <c r="S71" i="17"/>
  <c r="S72" i="17"/>
  <c r="S87" i="17"/>
  <c r="S88" i="17"/>
  <c r="S103" i="17"/>
  <c r="S104" i="17"/>
  <c r="S119" i="17"/>
  <c r="S120" i="17"/>
  <c r="S135" i="17"/>
  <c r="T136" i="17"/>
  <c r="S151" i="17"/>
  <c r="T152" i="17"/>
  <c r="S167" i="17"/>
  <c r="T168" i="17"/>
  <c r="S183" i="17"/>
  <c r="T184" i="17"/>
  <c r="T198" i="17"/>
  <c r="T199" i="17"/>
  <c r="T200" i="17"/>
  <c r="T57" i="16"/>
  <c r="T72" i="16"/>
  <c r="T73" i="16"/>
  <c r="T88" i="16"/>
  <c r="T89" i="16"/>
  <c r="T104" i="16"/>
  <c r="T105" i="16"/>
  <c r="T120" i="16"/>
  <c r="T121" i="16"/>
  <c r="T136" i="16"/>
  <c r="T137" i="16"/>
  <c r="T152" i="16"/>
  <c r="T153" i="16"/>
  <c r="T168" i="16"/>
  <c r="T169" i="16"/>
  <c r="T184" i="16"/>
  <c r="T185" i="16"/>
  <c r="T200" i="16"/>
  <c r="S201" i="16"/>
  <c r="T216" i="16"/>
  <c r="S217" i="16"/>
  <c r="T232" i="16"/>
  <c r="T248" i="16"/>
  <c r="T264" i="16"/>
  <c r="T281" i="16"/>
  <c r="T309" i="16"/>
  <c r="T353" i="16"/>
  <c r="T418" i="16"/>
  <c r="T434" i="16"/>
  <c r="T450" i="16"/>
  <c r="S451" i="16"/>
  <c r="T452" i="16"/>
  <c r="T481" i="16"/>
  <c r="T497" i="16"/>
  <c r="S514" i="16"/>
  <c r="T576" i="16"/>
  <c r="T607" i="16"/>
  <c r="T623" i="16"/>
  <c r="T639" i="16"/>
  <c r="T655" i="16"/>
  <c r="T671" i="16"/>
  <c r="T687" i="16"/>
  <c r="T703" i="16"/>
  <c r="T719" i="16"/>
  <c r="T9" i="17"/>
  <c r="T25" i="17"/>
  <c r="T41" i="17"/>
  <c r="T57" i="17"/>
  <c r="T73" i="17"/>
  <c r="T89" i="17"/>
  <c r="T105" i="17"/>
  <c r="T121" i="17"/>
  <c r="T137" i="17"/>
  <c r="T153" i="17"/>
  <c r="T169" i="17"/>
  <c r="T185" i="17"/>
  <c r="S233" i="16"/>
  <c r="S234" i="16"/>
  <c r="S249" i="16"/>
  <c r="S250" i="16"/>
  <c r="S265" i="16"/>
  <c r="T341" i="16"/>
  <c r="T390" i="16"/>
  <c r="T482" i="16"/>
  <c r="T513" i="16"/>
  <c r="S561" i="16"/>
  <c r="T590" i="16"/>
  <c r="T606" i="16"/>
  <c r="T622" i="16"/>
  <c r="T638" i="16"/>
  <c r="T654" i="16"/>
  <c r="T670" i="16"/>
  <c r="T686" i="16"/>
  <c r="S688" i="16"/>
  <c r="T702" i="16"/>
  <c r="T718" i="16"/>
  <c r="S720" i="16"/>
  <c r="T8" i="17"/>
  <c r="S10" i="17"/>
  <c r="T24" i="17"/>
  <c r="S26" i="17"/>
  <c r="T40" i="17"/>
  <c r="S42" i="17"/>
  <c r="T56" i="17"/>
  <c r="S58" i="17"/>
  <c r="T72" i="17"/>
  <c r="S74" i="17"/>
  <c r="T88" i="17"/>
  <c r="S90" i="17"/>
  <c r="T104" i="17"/>
  <c r="S106" i="17"/>
  <c r="T120" i="17"/>
  <c r="S122" i="17"/>
  <c r="S138" i="17"/>
  <c r="S154" i="17"/>
  <c r="T170" i="17"/>
  <c r="T186" i="17"/>
  <c r="T201" i="17"/>
  <c r="S202" i="17"/>
  <c r="S74" i="16"/>
  <c r="T75" i="16"/>
  <c r="S90" i="16"/>
  <c r="T91" i="16"/>
  <c r="S106" i="16"/>
  <c r="T107" i="16"/>
  <c r="T123" i="16"/>
  <c r="T139" i="16"/>
  <c r="T155" i="16"/>
  <c r="T171" i="16"/>
  <c r="T187" i="16"/>
  <c r="T201" i="16"/>
  <c r="T203" i="16"/>
  <c r="T219" i="16"/>
  <c r="T233" i="16"/>
  <c r="T235" i="16"/>
  <c r="T249" i="16"/>
  <c r="T251" i="16"/>
  <c r="T265" i="16"/>
  <c r="T373" i="16"/>
  <c r="T454" i="16"/>
  <c r="S562" i="16"/>
  <c r="S578" i="16"/>
  <c r="S592" i="16"/>
  <c r="S593" i="16"/>
  <c r="S608" i="16"/>
  <c r="S609" i="16"/>
  <c r="S624" i="16"/>
  <c r="S625" i="16"/>
  <c r="S640" i="16"/>
  <c r="S641" i="16"/>
  <c r="S656" i="16"/>
  <c r="S657" i="16"/>
  <c r="S672" i="16"/>
  <c r="S673" i="16"/>
  <c r="S689" i="16"/>
  <c r="S704" i="16"/>
  <c r="S705" i="16"/>
  <c r="S721" i="16"/>
  <c r="S11" i="17"/>
  <c r="S27" i="17"/>
  <c r="S43" i="17"/>
  <c r="S59" i="17"/>
  <c r="S75" i="17"/>
  <c r="S91" i="17"/>
  <c r="S107" i="17"/>
  <c r="S123" i="17"/>
  <c r="S139" i="17"/>
  <c r="S155" i="17"/>
  <c r="S171" i="17"/>
  <c r="S187" i="17"/>
  <c r="T203" i="17"/>
  <c r="S75" i="16"/>
  <c r="T76" i="16"/>
  <c r="S91" i="16"/>
  <c r="T92" i="16"/>
  <c r="S107" i="16"/>
  <c r="T108" i="16"/>
  <c r="T122" i="16"/>
  <c r="S123" i="16"/>
  <c r="T124" i="16"/>
  <c r="T138" i="16"/>
  <c r="S139" i="16"/>
  <c r="T140" i="16"/>
  <c r="T154" i="16"/>
  <c r="S155" i="16"/>
  <c r="T156" i="16"/>
  <c r="T170" i="16"/>
  <c r="S171" i="16"/>
  <c r="T172" i="16"/>
  <c r="T186" i="16"/>
  <c r="S187" i="16"/>
  <c r="T188" i="16"/>
  <c r="T202" i="16"/>
  <c r="S203" i="16"/>
  <c r="T204" i="16"/>
  <c r="T218" i="16"/>
  <c r="S219" i="16"/>
  <c r="T220" i="16"/>
  <c r="T234" i="16"/>
  <c r="S235" i="16"/>
  <c r="T236" i="16"/>
  <c r="T250" i="16"/>
  <c r="S251" i="16"/>
  <c r="T252" i="16"/>
  <c r="S267" i="16"/>
  <c r="S298" i="16"/>
  <c r="T299" i="16"/>
  <c r="T314" i="16"/>
  <c r="T405" i="16"/>
  <c r="T437" i="16"/>
  <c r="T545" i="16"/>
  <c r="T547" i="16"/>
  <c r="T561" i="16"/>
  <c r="T577" i="16"/>
  <c r="T578" i="16"/>
  <c r="T608" i="16"/>
  <c r="S610" i="16"/>
  <c r="T624" i="16"/>
  <c r="S626" i="16"/>
  <c r="T640" i="16"/>
  <c r="S642" i="16"/>
  <c r="T656" i="16"/>
  <c r="S658" i="16"/>
  <c r="T672" i="16"/>
  <c r="S674" i="16"/>
  <c r="T688" i="16"/>
  <c r="S690" i="16"/>
  <c r="T704" i="16"/>
  <c r="S706" i="16"/>
  <c r="T720" i="16"/>
  <c r="S722" i="16"/>
  <c r="T10" i="17"/>
  <c r="S12" i="17"/>
  <c r="T26" i="17"/>
  <c r="S28" i="17"/>
  <c r="T42" i="17"/>
  <c r="S44" i="17"/>
  <c r="T58" i="17"/>
  <c r="S60" i="17"/>
  <c r="T74" i="17"/>
  <c r="S76" i="17"/>
  <c r="T90" i="17"/>
  <c r="S92" i="17"/>
  <c r="T106" i="17"/>
  <c r="S108" i="17"/>
  <c r="T122" i="17"/>
  <c r="S124" i="17"/>
  <c r="T138" i="17"/>
  <c r="S140" i="17"/>
  <c r="T154" i="17"/>
  <c r="S156" i="17"/>
  <c r="S172" i="17"/>
  <c r="S188" i="17"/>
  <c r="T202" i="17"/>
  <c r="S203" i="17"/>
  <c r="S204" i="17"/>
  <c r="S61" i="16"/>
  <c r="S77" i="16"/>
  <c r="S93" i="16"/>
  <c r="S109" i="16"/>
  <c r="S125" i="16"/>
  <c r="S141" i="16"/>
  <c r="S157" i="16"/>
  <c r="S173" i="16"/>
  <c r="S189" i="16"/>
  <c r="S205" i="16"/>
  <c r="S221" i="16"/>
  <c r="S237" i="16"/>
  <c r="S253" i="16"/>
  <c r="T267" i="16"/>
  <c r="T268" i="16"/>
  <c r="S314" i="16"/>
  <c r="T331" i="16"/>
  <c r="T502" i="16"/>
  <c r="S531" i="16"/>
  <c r="T532" i="16"/>
  <c r="T546" i="16"/>
  <c r="T548" i="16"/>
  <c r="T562" i="16"/>
  <c r="T593" i="16"/>
  <c r="T595" i="16"/>
  <c r="T609" i="16"/>
  <c r="T611" i="16"/>
  <c r="T625" i="16"/>
  <c r="T627" i="16"/>
  <c r="T641" i="16"/>
  <c r="T643" i="16"/>
  <c r="T657" i="16"/>
  <c r="T659" i="16"/>
  <c r="T673" i="16"/>
  <c r="T675" i="16"/>
  <c r="T689" i="16"/>
  <c r="T691" i="16"/>
  <c r="T705" i="16"/>
  <c r="T707" i="16"/>
  <c r="T721" i="16"/>
  <c r="T723" i="16"/>
  <c r="T11" i="17"/>
  <c r="T13" i="17"/>
  <c r="T27" i="17"/>
  <c r="T29" i="17"/>
  <c r="T43" i="17"/>
  <c r="T45" i="17"/>
  <c r="T59" i="17"/>
  <c r="T61" i="17"/>
  <c r="T75" i="17"/>
  <c r="T77" i="17"/>
  <c r="T91" i="17"/>
  <c r="T93" i="17"/>
  <c r="T107" i="17"/>
  <c r="T109" i="17"/>
  <c r="T123" i="17"/>
  <c r="T125" i="17"/>
  <c r="T139" i="17"/>
  <c r="T141" i="17"/>
  <c r="T155" i="17"/>
  <c r="T157" i="17"/>
  <c r="T171" i="17"/>
  <c r="T173" i="17"/>
  <c r="T187" i="17"/>
  <c r="T189" i="17"/>
  <c r="T205" i="17"/>
  <c r="T594" i="16"/>
  <c r="T596" i="16"/>
  <c r="T610" i="16"/>
  <c r="T612" i="16"/>
  <c r="T626" i="16"/>
  <c r="T628" i="16"/>
  <c r="T642" i="16"/>
  <c r="T644" i="16"/>
  <c r="T658" i="16"/>
  <c r="T660" i="16"/>
  <c r="T674" i="16"/>
  <c r="T676" i="16"/>
  <c r="T690" i="16"/>
  <c r="T692" i="16"/>
  <c r="T706" i="16"/>
  <c r="T708" i="16"/>
  <c r="T722" i="16"/>
  <c r="T724" i="16"/>
  <c r="T12" i="17"/>
  <c r="T14" i="17"/>
  <c r="T28" i="17"/>
  <c r="T30" i="17"/>
  <c r="T44" i="17"/>
  <c r="T46" i="17"/>
  <c r="T60" i="17"/>
  <c r="T62" i="17"/>
  <c r="T76" i="17"/>
  <c r="T78" i="17"/>
  <c r="T92" i="17"/>
  <c r="T94" i="17"/>
  <c r="T108" i="17"/>
  <c r="T110" i="17"/>
  <c r="T124" i="17"/>
  <c r="T126" i="17"/>
  <c r="T140" i="17"/>
  <c r="T142" i="17"/>
  <c r="T156" i="17"/>
  <c r="T158" i="17"/>
  <c r="T172" i="17"/>
  <c r="T174" i="17"/>
  <c r="T188" i="17"/>
  <c r="T190" i="17"/>
  <c r="T204" i="17"/>
  <c r="S205" i="17"/>
  <c r="T206" i="17"/>
  <c r="S48" i="16"/>
  <c r="T61" i="16"/>
  <c r="T77" i="16"/>
  <c r="T93" i="16"/>
  <c r="T109" i="16"/>
  <c r="T125" i="16"/>
  <c r="T141" i="16"/>
  <c r="T157" i="16"/>
  <c r="T173" i="16"/>
  <c r="T175" i="16"/>
  <c r="T189" i="16"/>
  <c r="T191" i="16"/>
  <c r="T205" i="16"/>
  <c r="T207" i="16"/>
  <c r="T221" i="16"/>
  <c r="T223" i="16"/>
  <c r="T237" i="16"/>
  <c r="T239" i="16"/>
  <c r="T253" i="16"/>
  <c r="T255" i="16"/>
  <c r="S287" i="16"/>
  <c r="S363" i="16"/>
  <c r="S378" i="16"/>
  <c r="T395" i="16"/>
  <c r="T442" i="16"/>
  <c r="S518" i="16"/>
  <c r="T519" i="16"/>
  <c r="T534" i="16"/>
  <c r="T550" i="16"/>
  <c r="S613" i="16"/>
  <c r="S629" i="16"/>
  <c r="S645" i="16"/>
  <c r="S661" i="16"/>
  <c r="S677" i="16"/>
  <c r="S693" i="16"/>
  <c r="S709" i="16"/>
  <c r="S725" i="16"/>
  <c r="S15" i="17"/>
  <c r="S31" i="17"/>
  <c r="S47" i="17"/>
  <c r="S63" i="17"/>
  <c r="S79" i="17"/>
  <c r="S95" i="17"/>
  <c r="S111" i="17"/>
  <c r="S127" i="17"/>
  <c r="S143" i="17"/>
  <c r="S159" i="17"/>
  <c r="S175" i="17"/>
  <c r="S191" i="17"/>
  <c r="S111" i="16"/>
  <c r="S112" i="16"/>
  <c r="T127" i="16"/>
  <c r="S128" i="16"/>
  <c r="T143" i="16"/>
  <c r="S144" i="16"/>
  <c r="T159" i="16"/>
  <c r="S160" i="16"/>
  <c r="S175" i="16"/>
  <c r="S176" i="16"/>
  <c r="S191" i="16"/>
  <c r="S192" i="16"/>
  <c r="S207" i="16"/>
  <c r="S208" i="16"/>
  <c r="S223" i="16"/>
  <c r="S224" i="16"/>
  <c r="S239" i="16"/>
  <c r="S240" i="16"/>
  <c r="S255" i="16"/>
  <c r="S256" i="16"/>
  <c r="T317" i="16"/>
  <c r="T333" i="16"/>
  <c r="T427" i="16"/>
  <c r="T505" i="16"/>
  <c r="T535" i="16"/>
  <c r="T582" i="16"/>
  <c r="T614" i="16"/>
  <c r="T630" i="16"/>
  <c r="T646" i="16"/>
  <c r="T662" i="16"/>
  <c r="T678" i="16"/>
  <c r="T693" i="16"/>
  <c r="T694" i="16"/>
  <c r="T710" i="16"/>
  <c r="T726" i="16"/>
  <c r="T16" i="17"/>
  <c r="T32" i="17"/>
  <c r="T48" i="17"/>
  <c r="T64" i="17"/>
  <c r="T80" i="17"/>
  <c r="T96" i="17"/>
  <c r="T112" i="17"/>
  <c r="T128" i="17"/>
  <c r="T144" i="17"/>
  <c r="T160" i="17"/>
  <c r="T176" i="17"/>
  <c r="T192" i="17"/>
  <c r="S207" i="17"/>
  <c r="T208" i="17"/>
  <c r="T919" i="15"/>
  <c r="T63" i="16"/>
  <c r="T79" i="16"/>
  <c r="T95" i="16"/>
  <c r="T111" i="16"/>
  <c r="T349" i="16"/>
  <c r="T350" i="16"/>
  <c r="T396" i="16"/>
  <c r="S427" i="16"/>
  <c r="T613" i="16"/>
  <c r="T615" i="16"/>
  <c r="T629" i="16"/>
  <c r="T631" i="16"/>
  <c r="T645" i="16"/>
  <c r="T647" i="16"/>
  <c r="T661" i="16"/>
  <c r="T663" i="16"/>
  <c r="T677" i="16"/>
  <c r="T679" i="16"/>
  <c r="T695" i="16"/>
  <c r="T709" i="16"/>
  <c r="T711" i="16"/>
  <c r="T725" i="16"/>
  <c r="T727" i="16"/>
  <c r="T17" i="17"/>
  <c r="T33" i="17"/>
  <c r="T49" i="17"/>
  <c r="T65" i="17"/>
  <c r="T81" i="17"/>
  <c r="T97" i="17"/>
  <c r="T113" i="17"/>
  <c r="T129" i="17"/>
  <c r="T145" i="17"/>
  <c r="T161" i="17"/>
  <c r="T177" i="17"/>
  <c r="T193" i="17"/>
  <c r="T80" i="16"/>
  <c r="T81" i="16"/>
  <c r="T82" i="16"/>
  <c r="T96" i="16"/>
  <c r="T97" i="16"/>
  <c r="T98" i="16"/>
  <c r="T112" i="16"/>
  <c r="T113" i="16"/>
  <c r="T114" i="16"/>
  <c r="T128" i="16"/>
  <c r="T129" i="16"/>
  <c r="T130" i="16"/>
  <c r="T144" i="16"/>
  <c r="T145" i="16"/>
  <c r="T146" i="16"/>
  <c r="T160" i="16"/>
  <c r="T161" i="16"/>
  <c r="T162" i="16"/>
  <c r="T176" i="16"/>
  <c r="T177" i="16"/>
  <c r="T178" i="16"/>
  <c r="T192" i="16"/>
  <c r="T193" i="16"/>
  <c r="T194" i="16"/>
  <c r="T208" i="16"/>
  <c r="T209" i="16"/>
  <c r="T210" i="16"/>
  <c r="T224" i="16"/>
  <c r="T225" i="16"/>
  <c r="T226" i="16"/>
  <c r="T240" i="16"/>
  <c r="T241" i="16"/>
  <c r="T242" i="16"/>
  <c r="T256" i="16"/>
  <c r="T257" i="16"/>
  <c r="T258" i="16"/>
  <c r="S305" i="16"/>
  <c r="T381" i="16"/>
  <c r="T397" i="16"/>
  <c r="T428" i="16"/>
  <c r="T444" i="16"/>
  <c r="T460" i="16"/>
  <c r="S491" i="16"/>
  <c r="T569" i="16"/>
  <c r="T616" i="16"/>
  <c r="T632" i="16"/>
  <c r="T648" i="16"/>
  <c r="T664" i="16"/>
  <c r="T680" i="16"/>
  <c r="T696" i="16"/>
  <c r="T712" i="16"/>
  <c r="T2" i="17"/>
  <c r="T18" i="17"/>
  <c r="T34" i="17"/>
  <c r="T50" i="17"/>
  <c r="T66" i="17"/>
  <c r="T82" i="17"/>
  <c r="T98" i="17"/>
  <c r="T114" i="17"/>
  <c r="T130" i="17"/>
  <c r="T146" i="17"/>
  <c r="T162" i="17"/>
  <c r="T178" i="17"/>
  <c r="T194" i="17"/>
  <c r="T209" i="17"/>
  <c r="S210" i="17"/>
  <c r="S842" i="15"/>
  <c r="T843" i="15"/>
  <c r="T874" i="15"/>
  <c r="T890" i="15"/>
  <c r="T921" i="15"/>
  <c r="S36" i="16"/>
  <c r="T67" i="16"/>
  <c r="T83" i="16"/>
  <c r="T99" i="16"/>
  <c r="T115" i="16"/>
  <c r="T131" i="16"/>
  <c r="T147" i="16"/>
  <c r="T163" i="16"/>
  <c r="T179" i="16"/>
  <c r="T195" i="16"/>
  <c r="T211" i="16"/>
  <c r="T227" i="16"/>
  <c r="T243" i="16"/>
  <c r="T259" i="16"/>
  <c r="T273" i="16"/>
  <c r="T305" i="16"/>
  <c r="T319" i="16"/>
  <c r="T335" i="16"/>
  <c r="S336" i="16"/>
  <c r="S337" i="16"/>
  <c r="S383" i="16"/>
  <c r="T413" i="16"/>
  <c r="T414" i="16"/>
  <c r="T445" i="16"/>
  <c r="T461" i="16"/>
  <c r="T492" i="16"/>
  <c r="T617" i="16"/>
  <c r="T633" i="16"/>
  <c r="T649" i="16"/>
  <c r="T713" i="16"/>
  <c r="T3" i="17"/>
  <c r="T19" i="17"/>
  <c r="T35" i="17"/>
  <c r="T51" i="17"/>
  <c r="T67" i="17"/>
  <c r="T83" i="17"/>
  <c r="T99" i="17"/>
  <c r="T115" i="17"/>
  <c r="T131" i="17"/>
  <c r="T147" i="17"/>
  <c r="T163" i="17"/>
  <c r="T179" i="17"/>
  <c r="T195" i="17"/>
  <c r="T211" i="17"/>
  <c r="S68" i="16"/>
  <c r="S84" i="16"/>
  <c r="S100" i="16"/>
  <c r="S116" i="16"/>
  <c r="S132" i="16"/>
  <c r="S148" i="16"/>
  <c r="S164" i="16"/>
  <c r="S180" i="16"/>
  <c r="S196" i="16"/>
  <c r="S212" i="16"/>
  <c r="S228" i="16"/>
  <c r="S275" i="16"/>
  <c r="T276" i="16"/>
  <c r="T336" i="16"/>
  <c r="T338" i="16"/>
  <c r="T351" i="16"/>
  <c r="S353" i="16"/>
  <c r="S368" i="16"/>
  <c r="S369" i="16"/>
  <c r="T447" i="16"/>
  <c r="T463" i="16"/>
  <c r="T477" i="16"/>
  <c r="T478" i="16"/>
  <c r="T586" i="16"/>
  <c r="S617" i="16"/>
  <c r="T618" i="16"/>
  <c r="S633" i="16"/>
  <c r="T634" i="16"/>
  <c r="S649" i="16"/>
  <c r="T650" i="16"/>
  <c r="T665" i="16"/>
  <c r="T666" i="16"/>
  <c r="T681" i="16"/>
  <c r="T682" i="16"/>
  <c r="T697" i="16"/>
  <c r="T698" i="16"/>
  <c r="S713" i="16"/>
  <c r="T714" i="16"/>
  <c r="S3" i="17"/>
  <c r="T4" i="17"/>
  <c r="S19" i="17"/>
  <c r="T20" i="17"/>
  <c r="S35" i="17"/>
  <c r="T36" i="17"/>
  <c r="S51" i="17"/>
  <c r="T52" i="17"/>
  <c r="S67" i="17"/>
  <c r="T68" i="17"/>
  <c r="S83" i="17"/>
  <c r="T84" i="17"/>
  <c r="S99" i="17"/>
  <c r="T100" i="17"/>
  <c r="T116" i="17"/>
  <c r="T132" i="17"/>
  <c r="T148" i="17"/>
  <c r="T164" i="17"/>
  <c r="T180" i="17"/>
  <c r="S196" i="17"/>
  <c r="T210" i="17"/>
  <c r="T212" i="17"/>
  <c r="T9" i="15"/>
  <c r="T25" i="15"/>
  <c r="T41" i="15"/>
  <c r="T57" i="15"/>
  <c r="T73" i="15"/>
  <c r="T89" i="15"/>
  <c r="T105" i="15"/>
  <c r="T121" i="15"/>
  <c r="T137" i="15"/>
  <c r="T153" i="15"/>
  <c r="T169" i="15"/>
  <c r="T185" i="15"/>
  <c r="T201" i="15"/>
  <c r="T217" i="15"/>
  <c r="T233" i="15"/>
  <c r="S260" i="15"/>
  <c r="T270" i="15"/>
  <c r="T295" i="15"/>
  <c r="S295" i="15"/>
  <c r="S308" i="15"/>
  <c r="T335" i="15"/>
  <c r="T336" i="15"/>
  <c r="S15" i="15"/>
  <c r="S31" i="15"/>
  <c r="S47" i="15"/>
  <c r="S63" i="15"/>
  <c r="S79" i="15"/>
  <c r="S95" i="15"/>
  <c r="S111" i="15"/>
  <c r="S127" i="15"/>
  <c r="S143" i="15"/>
  <c r="S159" i="15"/>
  <c r="S175" i="15"/>
  <c r="S191" i="15"/>
  <c r="S207" i="15"/>
  <c r="S223" i="15"/>
  <c r="S239" i="15"/>
  <c r="T245" i="15"/>
  <c r="S271" i="15"/>
  <c r="T283" i="15"/>
  <c r="T284" i="15"/>
  <c r="T296" i="15"/>
  <c r="T322" i="15"/>
  <c r="S10" i="15"/>
  <c r="S26" i="15"/>
  <c r="S42" i="15"/>
  <c r="S58" i="15"/>
  <c r="S74" i="15"/>
  <c r="S90" i="15"/>
  <c r="S106" i="15"/>
  <c r="S122" i="15"/>
  <c r="S138" i="15"/>
  <c r="S154" i="15"/>
  <c r="S170" i="15"/>
  <c r="S186" i="15"/>
  <c r="S202" i="15"/>
  <c r="S218" i="15"/>
  <c r="S234" i="15"/>
  <c r="S245" i="15"/>
  <c r="T261" i="15"/>
  <c r="S261" i="15"/>
  <c r="S296" i="15"/>
  <c r="T297" i="15"/>
  <c r="T309" i="15"/>
  <c r="T323" i="15"/>
  <c r="T351" i="15"/>
  <c r="T352" i="15"/>
  <c r="S5" i="15"/>
  <c r="S21" i="15"/>
  <c r="S37" i="15"/>
  <c r="S53" i="15"/>
  <c r="S69" i="15"/>
  <c r="S85" i="15"/>
  <c r="S101" i="15"/>
  <c r="S117" i="15"/>
  <c r="S133" i="15"/>
  <c r="S149" i="15"/>
  <c r="S165" i="15"/>
  <c r="S181" i="15"/>
  <c r="S197" i="15"/>
  <c r="S213" i="15"/>
  <c r="S229" i="15"/>
  <c r="T246" i="15"/>
  <c r="T252" i="15"/>
  <c r="S252" i="15"/>
  <c r="T262" i="15"/>
  <c r="T272" i="15"/>
  <c r="S285" i="15"/>
  <c r="T298" i="15"/>
  <c r="S298" i="15"/>
  <c r="T310" i="15"/>
  <c r="S324" i="15"/>
  <c r="T338" i="15"/>
  <c r="S240" i="15"/>
  <c r="S246" i="15"/>
  <c r="S253" i="15"/>
  <c r="T263" i="15"/>
  <c r="S263" i="15"/>
  <c r="S273" i="15"/>
  <c r="T311" i="15"/>
  <c r="S311" i="15"/>
  <c r="S11" i="15"/>
  <c r="S27" i="15"/>
  <c r="S43" i="15"/>
  <c r="S59" i="15"/>
  <c r="S75" i="15"/>
  <c r="S91" i="15"/>
  <c r="S107" i="15"/>
  <c r="S123" i="15"/>
  <c r="S139" i="15"/>
  <c r="S187" i="15"/>
  <c r="T264" i="15"/>
  <c r="T285" i="15"/>
  <c r="T299" i="15"/>
  <c r="T300" i="15"/>
  <c r="T312" i="15"/>
  <c r="T324" i="15"/>
  <c r="T326" i="15"/>
  <c r="S340" i="15"/>
  <c r="S6" i="15"/>
  <c r="S22" i="15"/>
  <c r="S38" i="15"/>
  <c r="S54" i="15"/>
  <c r="S70" i="15"/>
  <c r="S86" i="15"/>
  <c r="S102" i="15"/>
  <c r="S287" i="15"/>
  <c r="S312" i="15"/>
  <c r="T313" i="15"/>
  <c r="T327" i="15"/>
  <c r="S327" i="15"/>
  <c r="S113" i="15"/>
  <c r="S129" i="15"/>
  <c r="S145" i="15"/>
  <c r="S161" i="15"/>
  <c r="S177" i="15"/>
  <c r="S193" i="15"/>
  <c r="S241" i="15"/>
  <c r="S254" i="15"/>
  <c r="T265" i="15"/>
  <c r="T274" i="15"/>
  <c r="S301" i="15"/>
  <c r="T314" i="15"/>
  <c r="S314" i="15"/>
  <c r="T328" i="15"/>
  <c r="T340" i="15"/>
  <c r="S12" i="15"/>
  <c r="S28" i="15"/>
  <c r="S44" i="15"/>
  <c r="S60" i="15"/>
  <c r="S76" i="15"/>
  <c r="S108" i="15"/>
  <c r="S124" i="15"/>
  <c r="S140" i="15"/>
  <c r="S156" i="15"/>
  <c r="S172" i="15"/>
  <c r="S188" i="15"/>
  <c r="S204" i="15"/>
  <c r="S220" i="15"/>
  <c r="S236" i="15"/>
  <c r="T248" i="15"/>
  <c r="S276" i="15"/>
  <c r="S289" i="15"/>
  <c r="S328" i="15"/>
  <c r="T329" i="15"/>
  <c r="T343" i="15"/>
  <c r="S343" i="15"/>
  <c r="S7" i="15"/>
  <c r="S23" i="15"/>
  <c r="S39" i="15"/>
  <c r="S55" i="15"/>
  <c r="S71" i="15"/>
  <c r="S87" i="15"/>
  <c r="S103" i="15"/>
  <c r="S119" i="15"/>
  <c r="S135" i="15"/>
  <c r="S151" i="15"/>
  <c r="S167" i="15"/>
  <c r="S183" i="15"/>
  <c r="S199" i="15"/>
  <c r="S215" i="15"/>
  <c r="S231" i="15"/>
  <c r="S248" i="15"/>
  <c r="S255" i="15"/>
  <c r="S266" i="15"/>
  <c r="T301" i="15"/>
  <c r="T315" i="15"/>
  <c r="T344" i="15"/>
  <c r="S2" i="15"/>
  <c r="S18" i="15"/>
  <c r="S34" i="15"/>
  <c r="S50" i="15"/>
  <c r="S66" i="15"/>
  <c r="S114" i="15"/>
  <c r="S130" i="15"/>
  <c r="S146" i="15"/>
  <c r="S162" i="15"/>
  <c r="S178" i="15"/>
  <c r="S194" i="15"/>
  <c r="S210" i="15"/>
  <c r="S226" i="15"/>
  <c r="S242" i="15"/>
  <c r="T249" i="15"/>
  <c r="T277" i="15"/>
  <c r="T290" i="15"/>
  <c r="T303" i="15"/>
  <c r="S303" i="15"/>
  <c r="S344" i="15"/>
  <c r="T345" i="15"/>
  <c r="S109" i="15"/>
  <c r="S125" i="15"/>
  <c r="S141" i="15"/>
  <c r="S157" i="15"/>
  <c r="S173" i="15"/>
  <c r="S189" i="15"/>
  <c r="S205" i="15"/>
  <c r="S221" i="15"/>
  <c r="S237" i="15"/>
  <c r="S249" i="15"/>
  <c r="T256" i="15"/>
  <c r="S256" i="15"/>
  <c r="T267" i="15"/>
  <c r="T268" i="15"/>
  <c r="T278" i="15"/>
  <c r="S290" i="15"/>
  <c r="T291" i="15"/>
  <c r="T304" i="15"/>
  <c r="S317" i="15"/>
  <c r="T331" i="15"/>
  <c r="T346" i="15"/>
  <c r="S8" i="15"/>
  <c r="S24" i="15"/>
  <c r="S40" i="15"/>
  <c r="S56" i="15"/>
  <c r="S72" i="15"/>
  <c r="S88" i="15"/>
  <c r="S104" i="15"/>
  <c r="S257" i="15"/>
  <c r="T279" i="15"/>
  <c r="S279" i="15"/>
  <c r="S292" i="15"/>
  <c r="S305" i="15"/>
  <c r="S269" i="15"/>
  <c r="T280" i="15"/>
  <c r="T317" i="15"/>
  <c r="T318" i="15"/>
  <c r="S333" i="15"/>
  <c r="T347" i="15"/>
  <c r="T348" i="15"/>
  <c r="S222" i="15"/>
  <c r="S244" i="15"/>
  <c r="T258" i="15"/>
  <c r="T259" i="15"/>
  <c r="S259" i="15"/>
  <c r="T282" i="15"/>
  <c r="S282" i="15"/>
  <c r="T294" i="15"/>
  <c r="S306" i="15"/>
  <c r="T307" i="15"/>
  <c r="S321" i="15"/>
  <c r="T333" i="15"/>
  <c r="T334" i="15"/>
  <c r="S349" i="15"/>
  <c r="S359" i="15"/>
  <c r="S375" i="15"/>
  <c r="S391" i="15"/>
  <c r="S407" i="15"/>
  <c r="S423" i="15"/>
  <c r="S439" i="15"/>
  <c r="S455" i="15"/>
  <c r="S471" i="15"/>
  <c r="S487" i="15"/>
  <c r="S503" i="15"/>
  <c r="S519" i="15"/>
  <c r="S535" i="15"/>
  <c r="S551" i="15"/>
  <c r="S567" i="15"/>
  <c r="S583" i="15"/>
  <c r="S599" i="15"/>
  <c r="S615" i="15"/>
  <c r="S631" i="15"/>
  <c r="S647" i="15"/>
  <c r="S663" i="15"/>
  <c r="S679" i="15"/>
  <c r="S695" i="15"/>
  <c r="S711" i="15"/>
  <c r="S727" i="15"/>
  <c r="S743" i="15"/>
  <c r="S759" i="15"/>
  <c r="T765" i="15"/>
  <c r="T776" i="15"/>
  <c r="S783" i="15"/>
  <c r="T791" i="15"/>
  <c r="S810" i="15"/>
  <c r="T832" i="15"/>
  <c r="T844" i="15"/>
  <c r="T854" i="15"/>
  <c r="T54" i="16"/>
  <c r="S54" i="16"/>
  <c r="S258" i="15"/>
  <c r="S274" i="15"/>
  <c r="S450" i="15"/>
  <c r="S466" i="15"/>
  <c r="S482" i="15"/>
  <c r="S498" i="15"/>
  <c r="S514" i="15"/>
  <c r="S530" i="15"/>
  <c r="S546" i="15"/>
  <c r="S562" i="15"/>
  <c r="S578" i="15"/>
  <c r="S594" i="15"/>
  <c r="S610" i="15"/>
  <c r="S626" i="15"/>
  <c r="S642" i="15"/>
  <c r="S658" i="15"/>
  <c r="S674" i="15"/>
  <c r="S690" i="15"/>
  <c r="S706" i="15"/>
  <c r="S722" i="15"/>
  <c r="S738" i="15"/>
  <c r="S754" i="15"/>
  <c r="S765" i="15"/>
  <c r="S792" i="15"/>
  <c r="T800" i="15"/>
  <c r="T811" i="15"/>
  <c r="T821" i="15"/>
  <c r="S821" i="15"/>
  <c r="T857" i="15"/>
  <c r="S857" i="15"/>
  <c r="T869" i="15"/>
  <c r="S869" i="15"/>
  <c r="T882" i="15"/>
  <c r="S895" i="15"/>
  <c r="T933" i="15"/>
  <c r="S933" i="15"/>
  <c r="T14" i="16"/>
  <c r="S27" i="16"/>
  <c r="T40" i="16"/>
  <c r="T41" i="16"/>
  <c r="S760" i="15"/>
  <c r="S771" i="15"/>
  <c r="S777" i="15"/>
  <c r="T784" i="15"/>
  <c r="S822" i="15"/>
  <c r="S833" i="15"/>
  <c r="T834" i="15"/>
  <c r="S846" i="15"/>
  <c r="T856" i="15"/>
  <c r="S870" i="15"/>
  <c r="T908" i="15"/>
  <c r="T909" i="15"/>
  <c r="T920" i="15"/>
  <c r="T2" i="16"/>
  <c r="T13" i="16"/>
  <c r="S456" i="15"/>
  <c r="S472" i="15"/>
  <c r="S488" i="15"/>
  <c r="S504" i="15"/>
  <c r="S520" i="15"/>
  <c r="S536" i="15"/>
  <c r="S552" i="15"/>
  <c r="S568" i="15"/>
  <c r="S584" i="15"/>
  <c r="S600" i="15"/>
  <c r="S616" i="15"/>
  <c r="S766" i="15"/>
  <c r="S784" i="15"/>
  <c r="S801" i="15"/>
  <c r="T802" i="15"/>
  <c r="T812" i="15"/>
  <c r="T813" i="15"/>
  <c r="T823" i="15"/>
  <c r="T833" i="15"/>
  <c r="S858" i="15"/>
  <c r="T871" i="15"/>
  <c r="S883" i="15"/>
  <c r="S884" i="15"/>
  <c r="T896" i="15"/>
  <c r="S922" i="15"/>
  <c r="T3" i="16"/>
  <c r="S15" i="16"/>
  <c r="S16" i="16"/>
  <c r="T28" i="16"/>
  <c r="S42" i="16"/>
  <c r="T56" i="16"/>
  <c r="S275" i="15"/>
  <c r="S291" i="15"/>
  <c r="S307" i="15"/>
  <c r="S323" i="15"/>
  <c r="S339" i="15"/>
  <c r="S355" i="15"/>
  <c r="S371" i="15"/>
  <c r="S387" i="15"/>
  <c r="S403" i="15"/>
  <c r="S419" i="15"/>
  <c r="S435" i="15"/>
  <c r="S451" i="15"/>
  <c r="T801" i="15"/>
  <c r="T822" i="15"/>
  <c r="S824" i="15"/>
  <c r="S835" i="15"/>
  <c r="T859" i="15"/>
  <c r="T870" i="15"/>
  <c r="S872" i="15"/>
  <c r="T883" i="15"/>
  <c r="S897" i="15"/>
  <c r="S910" i="15"/>
  <c r="T923" i="15"/>
  <c r="S4" i="16"/>
  <c r="T15" i="16"/>
  <c r="S29" i="16"/>
  <c r="S270" i="15"/>
  <c r="S286" i="15"/>
  <c r="S302" i="15"/>
  <c r="S318" i="15"/>
  <c r="S334" i="15"/>
  <c r="S350" i="15"/>
  <c r="S366" i="15"/>
  <c r="S382" i="15"/>
  <c r="S398" i="15"/>
  <c r="S414" i="15"/>
  <c r="S430" i="15"/>
  <c r="S446" i="15"/>
  <c r="S462" i="15"/>
  <c r="S478" i="15"/>
  <c r="S494" i="15"/>
  <c r="S510" i="15"/>
  <c r="S526" i="15"/>
  <c r="S542" i="15"/>
  <c r="S558" i="15"/>
  <c r="S574" i="15"/>
  <c r="S590" i="15"/>
  <c r="S606" i="15"/>
  <c r="S622" i="15"/>
  <c r="S638" i="15"/>
  <c r="S654" i="15"/>
  <c r="S670" i="15"/>
  <c r="S686" i="15"/>
  <c r="S702" i="15"/>
  <c r="S718" i="15"/>
  <c r="S734" i="15"/>
  <c r="S750" i="15"/>
  <c r="S761" i="15"/>
  <c r="S772" i="15"/>
  <c r="S778" i="15"/>
  <c r="S785" i="15"/>
  <c r="S803" i="15"/>
  <c r="S814" i="15"/>
  <c r="T825" i="15"/>
  <c r="S825" i="15"/>
  <c r="T873" i="15"/>
  <c r="T885" i="15"/>
  <c r="S885" i="15"/>
  <c r="T898" i="15"/>
  <c r="T5" i="16"/>
  <c r="T17" i="16"/>
  <c r="S17" i="16"/>
  <c r="T30" i="16"/>
  <c r="T44" i="16"/>
  <c r="S265" i="15"/>
  <c r="S281" i="15"/>
  <c r="S297" i="15"/>
  <c r="S313" i="15"/>
  <c r="S329" i="15"/>
  <c r="S345" i="15"/>
  <c r="S361" i="15"/>
  <c r="S377" i="15"/>
  <c r="S393" i="15"/>
  <c r="S409" i="15"/>
  <c r="S425" i="15"/>
  <c r="S441" i="15"/>
  <c r="S457" i="15"/>
  <c r="S473" i="15"/>
  <c r="S489" i="15"/>
  <c r="S505" i="15"/>
  <c r="S521" i="15"/>
  <c r="S537" i="15"/>
  <c r="S553" i="15"/>
  <c r="S569" i="15"/>
  <c r="S585" i="15"/>
  <c r="S601" i="15"/>
  <c r="S617" i="15"/>
  <c r="S633" i="15"/>
  <c r="S649" i="15"/>
  <c r="S665" i="15"/>
  <c r="S681" i="15"/>
  <c r="S697" i="15"/>
  <c r="S713" i="15"/>
  <c r="S729" i="15"/>
  <c r="S745" i="15"/>
  <c r="S767" i="15"/>
  <c r="T786" i="15"/>
  <c r="S786" i="15"/>
  <c r="T824" i="15"/>
  <c r="T848" i="15"/>
  <c r="T860" i="15"/>
  <c r="T872" i="15"/>
  <c r="T897" i="15"/>
  <c r="T924" i="15"/>
  <c r="T4" i="16"/>
  <c r="T18" i="16"/>
  <c r="T29" i="16"/>
  <c r="T779" i="15"/>
  <c r="S779" i="15"/>
  <c r="S794" i="15"/>
  <c r="S804" i="15"/>
  <c r="S826" i="15"/>
  <c r="T837" i="15"/>
  <c r="S837" i="15"/>
  <c r="S861" i="15"/>
  <c r="S874" i="15"/>
  <c r="T886" i="15"/>
  <c r="T887" i="15"/>
  <c r="S899" i="15"/>
  <c r="S900" i="15"/>
  <c r="T912" i="15"/>
  <c r="S6" i="16"/>
  <c r="T19" i="16"/>
  <c r="S31" i="16"/>
  <c r="S32" i="16"/>
  <c r="T46" i="16"/>
  <c r="S319" i="15"/>
  <c r="S335" i="15"/>
  <c r="S351" i="15"/>
  <c r="S367" i="15"/>
  <c r="S383" i="15"/>
  <c r="S399" i="15"/>
  <c r="S415" i="15"/>
  <c r="S431" i="15"/>
  <c r="S447" i="15"/>
  <c r="S463" i="15"/>
  <c r="S479" i="15"/>
  <c r="S495" i="15"/>
  <c r="S511" i="15"/>
  <c r="S527" i="15"/>
  <c r="S543" i="15"/>
  <c r="S559" i="15"/>
  <c r="S575" i="15"/>
  <c r="S591" i="15"/>
  <c r="S607" i="15"/>
  <c r="S623" i="15"/>
  <c r="S639" i="15"/>
  <c r="S655" i="15"/>
  <c r="S671" i="15"/>
  <c r="S687" i="15"/>
  <c r="S703" i="15"/>
  <c r="S719" i="15"/>
  <c r="S735" i="15"/>
  <c r="S751" i="15"/>
  <c r="S773" i="15"/>
  <c r="T795" i="15"/>
  <c r="T827" i="15"/>
  <c r="S838" i="15"/>
  <c r="S849" i="15"/>
  <c r="T850" i="15"/>
  <c r="S862" i="15"/>
  <c r="T875" i="15"/>
  <c r="S888" i="15"/>
  <c r="T899" i="15"/>
  <c r="S926" i="15"/>
  <c r="T7" i="16"/>
  <c r="S20" i="16"/>
  <c r="T31" i="16"/>
  <c r="T45" i="16"/>
  <c r="S330" i="15"/>
  <c r="S346" i="15"/>
  <c r="S362" i="15"/>
  <c r="S378" i="15"/>
  <c r="S394" i="15"/>
  <c r="S410" i="15"/>
  <c r="S426" i="15"/>
  <c r="S442" i="15"/>
  <c r="S458" i="15"/>
  <c r="S474" i="15"/>
  <c r="S490" i="15"/>
  <c r="S506" i="15"/>
  <c r="S522" i="15"/>
  <c r="S538" i="15"/>
  <c r="S554" i="15"/>
  <c r="S570" i="15"/>
  <c r="S586" i="15"/>
  <c r="S602" i="15"/>
  <c r="S618" i="15"/>
  <c r="S634" i="15"/>
  <c r="S650" i="15"/>
  <c r="S666" i="15"/>
  <c r="S682" i="15"/>
  <c r="S698" i="15"/>
  <c r="S714" i="15"/>
  <c r="S730" i="15"/>
  <c r="S746" i="15"/>
  <c r="S768" i="15"/>
  <c r="S780" i="15"/>
  <c r="T805" i="15"/>
  <c r="S805" i="15"/>
  <c r="T839" i="15"/>
  <c r="T849" i="15"/>
  <c r="T889" i="15"/>
  <c r="T901" i="15"/>
  <c r="S901" i="15"/>
  <c r="S913" i="15"/>
  <c r="T914" i="15"/>
  <c r="T21" i="16"/>
  <c r="T33" i="16"/>
  <c r="S33" i="16"/>
  <c r="S47" i="16"/>
  <c r="S277" i="15"/>
  <c r="S293" i="15"/>
  <c r="S309" i="15"/>
  <c r="S325" i="15"/>
  <c r="S341" i="15"/>
  <c r="S357" i="15"/>
  <c r="S373" i="15"/>
  <c r="S389" i="15"/>
  <c r="S405" i="15"/>
  <c r="S421" i="15"/>
  <c r="S437" i="15"/>
  <c r="S453" i="15"/>
  <c r="S469" i="15"/>
  <c r="S485" i="15"/>
  <c r="S501" i="15"/>
  <c r="S517" i="15"/>
  <c r="S533" i="15"/>
  <c r="S549" i="15"/>
  <c r="S565" i="15"/>
  <c r="S581" i="15"/>
  <c r="S597" i="15"/>
  <c r="S613" i="15"/>
  <c r="S629" i="15"/>
  <c r="S645" i="15"/>
  <c r="S661" i="15"/>
  <c r="S677" i="15"/>
  <c r="S693" i="15"/>
  <c r="S709" i="15"/>
  <c r="S725" i="15"/>
  <c r="S741" i="15"/>
  <c r="S757" i="15"/>
  <c r="S774" i="15"/>
  <c r="T796" i="15"/>
  <c r="T797" i="15"/>
  <c r="S806" i="15"/>
  <c r="T816" i="15"/>
  <c r="T829" i="15"/>
  <c r="T838" i="15"/>
  <c r="S840" i="15"/>
  <c r="S851" i="15"/>
  <c r="T888" i="15"/>
  <c r="T20" i="16"/>
  <c r="T34" i="16"/>
  <c r="S272" i="15"/>
  <c r="S288" i="15"/>
  <c r="S304" i="15"/>
  <c r="S320" i="15"/>
  <c r="S336" i="15"/>
  <c r="S352" i="15"/>
  <c r="S368" i="15"/>
  <c r="S384" i="15"/>
  <c r="S400" i="15"/>
  <c r="S416" i="15"/>
  <c r="S432" i="15"/>
  <c r="S448" i="15"/>
  <c r="T774" i="15"/>
  <c r="T781" i="15"/>
  <c r="S788" i="15"/>
  <c r="T807" i="15"/>
  <c r="T841" i="15"/>
  <c r="S841" i="15"/>
  <c r="S852" i="15"/>
  <c r="T864" i="15"/>
  <c r="S890" i="15"/>
  <c r="T902" i="15"/>
  <c r="T903" i="15"/>
  <c r="S915" i="15"/>
  <c r="S916" i="15"/>
  <c r="T928" i="15"/>
  <c r="S22" i="16"/>
  <c r="T35" i="16"/>
  <c r="S267" i="15"/>
  <c r="S283" i="15"/>
  <c r="S299" i="15"/>
  <c r="S315" i="15"/>
  <c r="S331" i="15"/>
  <c r="S347" i="15"/>
  <c r="S363" i="15"/>
  <c r="S379" i="15"/>
  <c r="S395" i="15"/>
  <c r="S411" i="15"/>
  <c r="S427" i="15"/>
  <c r="S443" i="15"/>
  <c r="S459" i="15"/>
  <c r="S619" i="15"/>
  <c r="S651" i="15"/>
  <c r="S667" i="15"/>
  <c r="S683" i="15"/>
  <c r="S699" i="15"/>
  <c r="S715" i="15"/>
  <c r="S731" i="15"/>
  <c r="S747" i="15"/>
  <c r="S769" i="15"/>
  <c r="S781" i="15"/>
  <c r="T806" i="15"/>
  <c r="S808" i="15"/>
  <c r="S817" i="15"/>
  <c r="T818" i="15"/>
  <c r="T830" i="15"/>
  <c r="S830" i="15"/>
  <c r="T840" i="15"/>
  <c r="T842" i="15"/>
  <c r="S878" i="15"/>
  <c r="T891" i="15"/>
  <c r="S904" i="15"/>
  <c r="T915" i="15"/>
  <c r="S10" i="16"/>
  <c r="S262" i="15"/>
  <c r="S278" i="15"/>
  <c r="S294" i="15"/>
  <c r="S310" i="15"/>
  <c r="S326" i="15"/>
  <c r="S342" i="15"/>
  <c r="S358" i="15"/>
  <c r="S374" i="15"/>
  <c r="S390" i="15"/>
  <c r="S406" i="15"/>
  <c r="S422" i="15"/>
  <c r="S438" i="15"/>
  <c r="S454" i="15"/>
  <c r="S470" i="15"/>
  <c r="S582" i="15"/>
  <c r="S598" i="15"/>
  <c r="S614" i="15"/>
  <c r="S630" i="15"/>
  <c r="S646" i="15"/>
  <c r="S662" i="15"/>
  <c r="S678" i="15"/>
  <c r="S694" i="15"/>
  <c r="S710" i="15"/>
  <c r="S726" i="15"/>
  <c r="S742" i="15"/>
  <c r="S758" i="15"/>
  <c r="S775" i="15"/>
  <c r="T809" i="15"/>
  <c r="T817" i="15"/>
  <c r="T853" i="15"/>
  <c r="S853" i="15"/>
  <c r="T866" i="15"/>
  <c r="S879" i="15"/>
  <c r="T905" i="15"/>
  <c r="T917" i="15"/>
  <c r="S917" i="15"/>
  <c r="S929" i="15"/>
  <c r="T930" i="15"/>
  <c r="S11" i="16"/>
  <c r="T37" i="16"/>
  <c r="T51" i="16"/>
  <c r="S789" i="15"/>
  <c r="T808" i="15"/>
  <c r="S809" i="15"/>
  <c r="S819" i="15"/>
  <c r="S854" i="15"/>
  <c r="T893" i="15"/>
  <c r="T904" i="15"/>
  <c r="T906" i="15"/>
  <c r="S918" i="15"/>
  <c r="T24" i="16"/>
  <c r="T25" i="16"/>
  <c r="T36" i="16"/>
  <c r="T38" i="16"/>
  <c r="S38" i="16"/>
  <c r="S52" i="16"/>
  <c r="T862" i="15"/>
  <c r="S873" i="15"/>
  <c r="T878" i="15"/>
  <c r="S889" i="15"/>
  <c r="T894" i="15"/>
  <c r="S905" i="15"/>
  <c r="T910" i="15"/>
  <c r="S921" i="15"/>
  <c r="T926" i="15"/>
  <c r="S5" i="16"/>
  <c r="T10" i="16"/>
  <c r="S21" i="16"/>
  <c r="T26" i="16"/>
  <c r="S37" i="16"/>
  <c r="T42" i="16"/>
  <c r="S53" i="16"/>
  <c r="T58" i="16"/>
  <c r="S69" i="16"/>
  <c r="T74" i="16"/>
  <c r="S85" i="16"/>
  <c r="T90" i="16"/>
  <c r="S101" i="16"/>
  <c r="T106" i="16"/>
  <c r="S117" i="16"/>
  <c r="S133" i="16"/>
  <c r="S149" i="16"/>
  <c r="S165" i="16"/>
  <c r="S181" i="16"/>
  <c r="S197" i="16"/>
  <c r="S213" i="16"/>
  <c r="S229" i="16"/>
  <c r="S245" i="16"/>
  <c r="T275" i="16"/>
  <c r="T286" i="16"/>
  <c r="S286" i="16"/>
  <c r="T298" i="16"/>
  <c r="T310" i="16"/>
  <c r="T362" i="16"/>
  <c r="T374" i="16"/>
  <c r="T399" i="16"/>
  <c r="T426" i="16"/>
  <c r="T438" i="16"/>
  <c r="S464" i="16"/>
  <c r="T490" i="16"/>
  <c r="T503" i="16"/>
  <c r="S517" i="16"/>
  <c r="T531" i="16"/>
  <c r="T544" i="16"/>
  <c r="S546" i="16"/>
  <c r="T560" i="16"/>
  <c r="T574" i="16"/>
  <c r="T587" i="16"/>
  <c r="T588" i="16"/>
  <c r="T589" i="16"/>
  <c r="T311" i="16"/>
  <c r="S311" i="16"/>
  <c r="S349" i="16"/>
  <c r="T375" i="16"/>
  <c r="S375" i="16"/>
  <c r="S413" i="16"/>
  <c r="T439" i="16"/>
  <c r="S439" i="16"/>
  <c r="S477" i="16"/>
  <c r="T504" i="16"/>
  <c r="S504" i="16"/>
  <c r="T312" i="16"/>
  <c r="S312" i="16"/>
  <c r="T376" i="16"/>
  <c r="S376" i="16"/>
  <c r="T440" i="16"/>
  <c r="S440" i="16"/>
  <c r="S70" i="16"/>
  <c r="S86" i="16"/>
  <c r="S102" i="16"/>
  <c r="S118" i="16"/>
  <c r="S134" i="16"/>
  <c r="S150" i="16"/>
  <c r="S166" i="16"/>
  <c r="S182" i="16"/>
  <c r="S198" i="16"/>
  <c r="S214" i="16"/>
  <c r="S230" i="16"/>
  <c r="S246" i="16"/>
  <c r="S262" i="16"/>
  <c r="S277" i="16"/>
  <c r="T287" i="16"/>
  <c r="T288" i="16"/>
  <c r="S289" i="16"/>
  <c r="T300" i="16"/>
  <c r="S300" i="16"/>
  <c r="T313" i="16"/>
  <c r="S325" i="16"/>
  <c r="S338" i="16"/>
  <c r="S351" i="16"/>
  <c r="T364" i="16"/>
  <c r="S364" i="16"/>
  <c r="T377" i="16"/>
  <c r="S389" i="16"/>
  <c r="S402" i="16"/>
  <c r="T415" i="16"/>
  <c r="S428" i="16"/>
  <c r="T441" i="16"/>
  <c r="S453" i="16"/>
  <c r="S466" i="16"/>
  <c r="T479" i="16"/>
  <c r="T491" i="16"/>
  <c r="S492" i="16"/>
  <c r="T506" i="16"/>
  <c r="T520" i="16"/>
  <c r="S520" i="16"/>
  <c r="S547" i="16"/>
  <c r="S577" i="16"/>
  <c r="T591" i="16"/>
  <c r="S49" i="16"/>
  <c r="S65" i="16"/>
  <c r="S81" i="16"/>
  <c r="S97" i="16"/>
  <c r="S113" i="16"/>
  <c r="S129" i="16"/>
  <c r="S145" i="16"/>
  <c r="S161" i="16"/>
  <c r="S177" i="16"/>
  <c r="S193" i="16"/>
  <c r="S209" i="16"/>
  <c r="S225" i="16"/>
  <c r="S241" i="16"/>
  <c r="S257" i="16"/>
  <c r="S268" i="16"/>
  <c r="T521" i="16"/>
  <c r="T563" i="16"/>
  <c r="S800" i="15"/>
  <c r="S816" i="15"/>
  <c r="S832" i="15"/>
  <c r="S848" i="15"/>
  <c r="S864" i="15"/>
  <c r="S880" i="15"/>
  <c r="S896" i="15"/>
  <c r="S912" i="15"/>
  <c r="S928" i="15"/>
  <c r="S12" i="16"/>
  <c r="S28" i="16"/>
  <c r="S44" i="16"/>
  <c r="S60" i="16"/>
  <c r="S76" i="16"/>
  <c r="S92" i="16"/>
  <c r="S108" i="16"/>
  <c r="S124" i="16"/>
  <c r="S140" i="16"/>
  <c r="S156" i="16"/>
  <c r="S172" i="16"/>
  <c r="S188" i="16"/>
  <c r="S204" i="16"/>
  <c r="S220" i="16"/>
  <c r="S236" i="16"/>
  <c r="S252" i="16"/>
  <c r="T279" i="16"/>
  <c r="S279" i="16"/>
  <c r="S290" i="16"/>
  <c r="T301" i="16"/>
  <c r="S301" i="16"/>
  <c r="T315" i="16"/>
  <c r="T325" i="16"/>
  <c r="T327" i="16"/>
  <c r="S327" i="16"/>
  <c r="T339" i="16"/>
  <c r="S352" i="16"/>
  <c r="T365" i="16"/>
  <c r="S365" i="16"/>
  <c r="T379" i="16"/>
  <c r="T389" i="16"/>
  <c r="T391" i="16"/>
  <c r="S391" i="16"/>
  <c r="T403" i="16"/>
  <c r="S416" i="16"/>
  <c r="T429" i="16"/>
  <c r="S429" i="16"/>
  <c r="T453" i="16"/>
  <c r="T455" i="16"/>
  <c r="S455" i="16"/>
  <c r="T467" i="16"/>
  <c r="T493" i="16"/>
  <c r="S493" i="16"/>
  <c r="S507" i="16"/>
  <c r="T522" i="16"/>
  <c r="T536" i="16"/>
  <c r="S536" i="16"/>
  <c r="S563" i="16"/>
  <c r="T564" i="16"/>
  <c r="S795" i="15"/>
  <c r="S811" i="15"/>
  <c r="S827" i="15"/>
  <c r="S843" i="15"/>
  <c r="S859" i="15"/>
  <c r="S875" i="15"/>
  <c r="S891" i="15"/>
  <c r="S907" i="15"/>
  <c r="S923" i="15"/>
  <c r="S7" i="16"/>
  <c r="S23" i="16"/>
  <c r="S39" i="16"/>
  <c r="S55" i="16"/>
  <c r="S71" i="16"/>
  <c r="S87" i="16"/>
  <c r="S103" i="16"/>
  <c r="S119" i="16"/>
  <c r="S135" i="16"/>
  <c r="S151" i="16"/>
  <c r="S167" i="16"/>
  <c r="S183" i="16"/>
  <c r="S199" i="16"/>
  <c r="S215" i="16"/>
  <c r="S231" i="16"/>
  <c r="S247" i="16"/>
  <c r="S263" i="16"/>
  <c r="T302" i="16"/>
  <c r="S302" i="16"/>
  <c r="T328" i="16"/>
  <c r="S328" i="16"/>
  <c r="S339" i="16"/>
  <c r="T340" i="16"/>
  <c r="T352" i="16"/>
  <c r="T366" i="16"/>
  <c r="S379" i="16"/>
  <c r="T392" i="16"/>
  <c r="S392" i="16"/>
  <c r="S403" i="16"/>
  <c r="T404" i="16"/>
  <c r="T416" i="16"/>
  <c r="T430" i="16"/>
  <c r="T443" i="16"/>
  <c r="T456" i="16"/>
  <c r="S456" i="16"/>
  <c r="S467" i="16"/>
  <c r="T468" i="16"/>
  <c r="T480" i="16"/>
  <c r="T494" i="16"/>
  <c r="T507" i="16"/>
  <c r="T508" i="16"/>
  <c r="T537" i="16"/>
  <c r="S550" i="16"/>
  <c r="T551" i="16"/>
  <c r="S565" i="16"/>
  <c r="T579" i="16"/>
  <c r="T592" i="16"/>
  <c r="S594" i="16"/>
  <c r="S886" i="15"/>
  <c r="S902" i="15"/>
  <c r="S2" i="16"/>
  <c r="S18" i="16"/>
  <c r="S34" i="16"/>
  <c r="S50" i="16"/>
  <c r="S66" i="16"/>
  <c r="S82" i="16"/>
  <c r="S98" i="16"/>
  <c r="S114" i="16"/>
  <c r="S130" i="16"/>
  <c r="S146" i="16"/>
  <c r="S162" i="16"/>
  <c r="S178" i="16"/>
  <c r="S194" i="16"/>
  <c r="S210" i="16"/>
  <c r="S226" i="16"/>
  <c r="S242" i="16"/>
  <c r="S258" i="16"/>
  <c r="S269" i="16"/>
  <c r="S280" i="16"/>
  <c r="T291" i="16"/>
  <c r="S303" i="16"/>
  <c r="T316" i="16"/>
  <c r="S316" i="16"/>
  <c r="T329" i="16"/>
  <c r="S341" i="16"/>
  <c r="S354" i="16"/>
  <c r="S367" i="16"/>
  <c r="T380" i="16"/>
  <c r="S380" i="16"/>
  <c r="T393" i="16"/>
  <c r="S405" i="16"/>
  <c r="S418" i="16"/>
  <c r="T431" i="16"/>
  <c r="S444" i="16"/>
  <c r="T457" i="16"/>
  <c r="S469" i="16"/>
  <c r="S482" i="16"/>
  <c r="T495" i="16"/>
  <c r="S509" i="16"/>
  <c r="S523" i="16"/>
  <c r="T538" i="16"/>
  <c r="T552" i="16"/>
  <c r="S552" i="16"/>
  <c r="T566" i="16"/>
  <c r="T580" i="16"/>
  <c r="T330" i="16"/>
  <c r="T342" i="16"/>
  <c r="T394" i="16"/>
  <c r="T406" i="16"/>
  <c r="T458" i="16"/>
  <c r="T470" i="16"/>
  <c r="T523" i="16"/>
  <c r="T524" i="16"/>
  <c r="T553" i="16"/>
  <c r="S566" i="16"/>
  <c r="T567" i="16"/>
  <c r="S581" i="16"/>
  <c r="S796" i="15"/>
  <c r="S812" i="15"/>
  <c r="S828" i="15"/>
  <c r="S844" i="15"/>
  <c r="S860" i="15"/>
  <c r="S876" i="15"/>
  <c r="S892" i="15"/>
  <c r="S908" i="15"/>
  <c r="S924" i="15"/>
  <c r="S8" i="16"/>
  <c r="S24" i="16"/>
  <c r="S40" i="16"/>
  <c r="S56" i="16"/>
  <c r="S72" i="16"/>
  <c r="S88" i="16"/>
  <c r="S104" i="16"/>
  <c r="S120" i="16"/>
  <c r="S136" i="16"/>
  <c r="S152" i="16"/>
  <c r="S168" i="16"/>
  <c r="S184" i="16"/>
  <c r="S200" i="16"/>
  <c r="S216" i="16"/>
  <c r="S232" i="16"/>
  <c r="S248" i="16"/>
  <c r="S264" i="16"/>
  <c r="T270" i="16"/>
  <c r="S270" i="16"/>
  <c r="T292" i="16"/>
  <c r="T303" i="16"/>
  <c r="T304" i="16"/>
  <c r="S317" i="16"/>
  <c r="S330" i="16"/>
  <c r="T343" i="16"/>
  <c r="S343" i="16"/>
  <c r="T355" i="16"/>
  <c r="T367" i="16"/>
  <c r="S381" i="16"/>
  <c r="T407" i="16"/>
  <c r="S407" i="16"/>
  <c r="T419" i="16"/>
  <c r="S445" i="16"/>
  <c r="T471" i="16"/>
  <c r="S471" i="16"/>
  <c r="T483" i="16"/>
  <c r="T511" i="16"/>
  <c r="S525" i="16"/>
  <c r="S539" i="16"/>
  <c r="T554" i="16"/>
  <c r="T568" i="16"/>
  <c r="S568" i="16"/>
  <c r="S791" i="15"/>
  <c r="S807" i="15"/>
  <c r="S823" i="15"/>
  <c r="S839" i="15"/>
  <c r="S855" i="15"/>
  <c r="S871" i="15"/>
  <c r="S887" i="15"/>
  <c r="S903" i="15"/>
  <c r="S919" i="15"/>
  <c r="S3" i="16"/>
  <c r="S19" i="16"/>
  <c r="S35" i="16"/>
  <c r="S51" i="16"/>
  <c r="S67" i="16"/>
  <c r="S83" i="16"/>
  <c r="S99" i="16"/>
  <c r="S115" i="16"/>
  <c r="S131" i="16"/>
  <c r="S147" i="16"/>
  <c r="S163" i="16"/>
  <c r="S179" i="16"/>
  <c r="S195" i="16"/>
  <c r="S211" i="16"/>
  <c r="S227" i="16"/>
  <c r="S243" i="16"/>
  <c r="S259" i="16"/>
  <c r="S271" i="16"/>
  <c r="T282" i="16"/>
  <c r="S293" i="16"/>
  <c r="T318" i="16"/>
  <c r="S331" i="16"/>
  <c r="T344" i="16"/>
  <c r="S344" i="16"/>
  <c r="S355" i="16"/>
  <c r="T368" i="16"/>
  <c r="T382" i="16"/>
  <c r="S395" i="16"/>
  <c r="T408" i="16"/>
  <c r="S408" i="16"/>
  <c r="S419" i="16"/>
  <c r="T420" i="16"/>
  <c r="T432" i="16"/>
  <c r="T446" i="16"/>
  <c r="T459" i="16"/>
  <c r="T472" i="16"/>
  <c r="S472" i="16"/>
  <c r="S483" i="16"/>
  <c r="T484" i="16"/>
  <c r="S512" i="16"/>
  <c r="T526" i="16"/>
  <c r="T539" i="16"/>
  <c r="T540" i="16"/>
  <c r="S555" i="16"/>
  <c r="T581" i="16"/>
  <c r="S582" i="16"/>
  <c r="T583" i="16"/>
  <c r="S597" i="16"/>
  <c r="S802" i="15"/>
  <c r="S818" i="15"/>
  <c r="S834" i="15"/>
  <c r="S850" i="15"/>
  <c r="S866" i="15"/>
  <c r="S882" i="15"/>
  <c r="S898" i="15"/>
  <c r="S914" i="15"/>
  <c r="S930" i="15"/>
  <c r="S14" i="16"/>
  <c r="S30" i="16"/>
  <c r="S46" i="16"/>
  <c r="S62" i="16"/>
  <c r="S78" i="16"/>
  <c r="S94" i="16"/>
  <c r="S110" i="16"/>
  <c r="S126" i="16"/>
  <c r="S142" i="16"/>
  <c r="S158" i="16"/>
  <c r="S174" i="16"/>
  <c r="S190" i="16"/>
  <c r="S206" i="16"/>
  <c r="S222" i="16"/>
  <c r="S238" i="16"/>
  <c r="S254" i="16"/>
  <c r="S282" i="16"/>
  <c r="T283" i="16"/>
  <c r="T294" i="16"/>
  <c r="S306" i="16"/>
  <c r="S319" i="16"/>
  <c r="T332" i="16"/>
  <c r="S332" i="16"/>
  <c r="T345" i="16"/>
  <c r="S357" i="16"/>
  <c r="S370" i="16"/>
  <c r="S396" i="16"/>
  <c r="T409" i="16"/>
  <c r="S421" i="16"/>
  <c r="S434" i="16"/>
  <c r="S460" i="16"/>
  <c r="T473" i="16"/>
  <c r="S485" i="16"/>
  <c r="S541" i="16"/>
  <c r="T570" i="16"/>
  <c r="T584" i="16"/>
  <c r="S584" i="16"/>
  <c r="T598" i="16"/>
  <c r="S797" i="15"/>
  <c r="S813" i="15"/>
  <c r="S829" i="15"/>
  <c r="S877" i="15"/>
  <c r="S893" i="15"/>
  <c r="S909" i="15"/>
  <c r="S925" i="15"/>
  <c r="S9" i="16"/>
  <c r="S25" i="16"/>
  <c r="S41" i="16"/>
  <c r="S57" i="16"/>
  <c r="S73" i="16"/>
  <c r="S89" i="16"/>
  <c r="S105" i="16"/>
  <c r="S121" i="16"/>
  <c r="S137" i="16"/>
  <c r="S153" i="16"/>
  <c r="S169" i="16"/>
  <c r="S185" i="16"/>
  <c r="T271" i="16"/>
  <c r="T272" i="16"/>
  <c r="S273" i="16"/>
  <c r="T293" i="16"/>
  <c r="T295" i="16"/>
  <c r="S295" i="16"/>
  <c r="T346" i="16"/>
  <c r="T358" i="16"/>
  <c r="T410" i="16"/>
  <c r="T422" i="16"/>
  <c r="T474" i="16"/>
  <c r="T486" i="16"/>
  <c r="T499" i="16"/>
  <c r="T512" i="16"/>
  <c r="S528" i="16"/>
  <c r="T542" i="16"/>
  <c r="T555" i="16"/>
  <c r="T556" i="16"/>
  <c r="T585" i="16"/>
  <c r="T597" i="16"/>
  <c r="T599" i="16"/>
  <c r="T284" i="16"/>
  <c r="S284" i="16"/>
  <c r="S296" i="16"/>
  <c r="T307" i="16"/>
  <c r="S320" i="16"/>
  <c r="S321" i="16"/>
  <c r="S333" i="16"/>
  <c r="T347" i="16"/>
  <c r="T357" i="16"/>
  <c r="T359" i="16"/>
  <c r="S359" i="16"/>
  <c r="T371" i="16"/>
  <c r="S384" i="16"/>
  <c r="S385" i="16"/>
  <c r="S397" i="16"/>
  <c r="T411" i="16"/>
  <c r="T421" i="16"/>
  <c r="T423" i="16"/>
  <c r="S423" i="16"/>
  <c r="T435" i="16"/>
  <c r="S448" i="16"/>
  <c r="S449" i="16"/>
  <c r="S461" i="16"/>
  <c r="S486" i="16"/>
  <c r="T487" i="16"/>
  <c r="S487" i="16"/>
  <c r="S499" i="16"/>
  <c r="T500" i="16"/>
  <c r="S529" i="16"/>
  <c r="T543" i="16"/>
  <c r="S557" i="16"/>
  <c r="S571" i="16"/>
  <c r="S585" i="16"/>
  <c r="T600" i="16"/>
  <c r="S600" i="16"/>
  <c r="S127" i="16"/>
  <c r="S143" i="16"/>
  <c r="S159" i="16"/>
  <c r="T266" i="16"/>
  <c r="S274" i="16"/>
  <c r="T296" i="16"/>
  <c r="S307" i="16"/>
  <c r="T308" i="16"/>
  <c r="T320" i="16"/>
  <c r="T334" i="16"/>
  <c r="S347" i="16"/>
  <c r="T360" i="16"/>
  <c r="S360" i="16"/>
  <c r="S371" i="16"/>
  <c r="T372" i="16"/>
  <c r="T384" i="16"/>
  <c r="T398" i="16"/>
  <c r="S411" i="16"/>
  <c r="T424" i="16"/>
  <c r="S424" i="16"/>
  <c r="S435" i="16"/>
  <c r="T436" i="16"/>
  <c r="T448" i="16"/>
  <c r="T462" i="16"/>
  <c r="T475" i="16"/>
  <c r="T488" i="16"/>
  <c r="S488" i="16"/>
  <c r="S501" i="16"/>
  <c r="T515" i="16"/>
  <c r="T528" i="16"/>
  <c r="S530" i="16"/>
  <c r="S544" i="16"/>
  <c r="T558" i="16"/>
  <c r="T571" i="16"/>
  <c r="T572" i="16"/>
  <c r="T601" i="16"/>
  <c r="S266" i="16"/>
  <c r="T274" i="16"/>
  <c r="T285" i="16"/>
  <c r="S285" i="16"/>
  <c r="T297" i="16"/>
  <c r="S309" i="16"/>
  <c r="S322" i="16"/>
  <c r="S335" i="16"/>
  <c r="T348" i="16"/>
  <c r="S348" i="16"/>
  <c r="T361" i="16"/>
  <c r="S373" i="16"/>
  <c r="S386" i="16"/>
  <c r="S399" i="16"/>
  <c r="T412" i="16"/>
  <c r="S412" i="16"/>
  <c r="T425" i="16"/>
  <c r="S437" i="16"/>
  <c r="S450" i="16"/>
  <c r="T476" i="16"/>
  <c r="S476" i="16"/>
  <c r="T489" i="16"/>
  <c r="S515" i="16"/>
  <c r="T516" i="16"/>
  <c r="T529" i="16"/>
  <c r="S545" i="16"/>
  <c r="T559" i="16"/>
  <c r="S573" i="16"/>
  <c r="S587" i="16"/>
  <c r="S601" i="16"/>
  <c r="T602" i="16"/>
  <c r="S272" i="16"/>
  <c r="S288" i="16"/>
  <c r="S304" i="16"/>
  <c r="T469" i="16"/>
  <c r="T485" i="16"/>
  <c r="T501" i="16"/>
  <c r="T517" i="16"/>
  <c r="T533" i="16"/>
  <c r="T549" i="16"/>
  <c r="S560" i="16"/>
  <c r="T565" i="16"/>
  <c r="S576" i="16"/>
  <c r="T15" i="17"/>
  <c r="T31" i="17"/>
  <c r="T47" i="17"/>
  <c r="T63" i="17"/>
  <c r="T79" i="17"/>
  <c r="T95" i="17"/>
  <c r="T111" i="17"/>
  <c r="T127" i="17"/>
  <c r="T143" i="17"/>
  <c r="T159" i="17"/>
  <c r="S170" i="17"/>
  <c r="T175" i="17"/>
  <c r="S186" i="17"/>
  <c r="T191" i="17"/>
  <c r="T207" i="17"/>
  <c r="S283" i="16"/>
  <c r="S299" i="16"/>
  <c r="S315" i="16"/>
  <c r="S443" i="16"/>
  <c r="S459" i="16"/>
  <c r="S475" i="16"/>
  <c r="S635" i="16"/>
  <c r="S651" i="16"/>
  <c r="S683" i="16"/>
  <c r="S699" i="16"/>
  <c r="S53" i="17"/>
  <c r="S69" i="17"/>
  <c r="S85" i="17"/>
  <c r="S101" i="17"/>
  <c r="S117" i="17"/>
  <c r="S133" i="17"/>
  <c r="S149" i="17"/>
  <c r="S165" i="17"/>
  <c r="S181" i="17"/>
  <c r="S278" i="16"/>
  <c r="S294" i="16"/>
  <c r="S310" i="16"/>
  <c r="S326" i="16"/>
  <c r="S342" i="16"/>
  <c r="S358" i="16"/>
  <c r="S374" i="16"/>
  <c r="S390" i="16"/>
  <c r="S406" i="16"/>
  <c r="S422" i="16"/>
  <c r="S438" i="16"/>
  <c r="S454" i="16"/>
  <c r="S470" i="16"/>
  <c r="S502" i="16"/>
  <c r="S534" i="16"/>
  <c r="S598" i="16"/>
  <c r="S614" i="16"/>
  <c r="S630" i="16"/>
  <c r="S646" i="16"/>
  <c r="S662" i="16"/>
  <c r="S678" i="16"/>
  <c r="S694" i="16"/>
  <c r="S710" i="16"/>
  <c r="S726" i="16"/>
  <c r="S16" i="17"/>
  <c r="S32" i="17"/>
  <c r="S48" i="17"/>
  <c r="S64" i="17"/>
  <c r="S80" i="17"/>
  <c r="S96" i="17"/>
  <c r="S112" i="17"/>
  <c r="S128" i="17"/>
  <c r="S144" i="17"/>
  <c r="S160" i="17"/>
  <c r="S176" i="17"/>
  <c r="S192" i="17"/>
  <c r="S208" i="17"/>
  <c r="S508" i="16"/>
  <c r="S524" i="16"/>
  <c r="S540" i="16"/>
  <c r="S556" i="16"/>
  <c r="S572" i="16"/>
  <c r="S588" i="16"/>
  <c r="S604" i="16"/>
  <c r="S620" i="16"/>
  <c r="S636" i="16"/>
  <c r="S652" i="16"/>
  <c r="S668" i="16"/>
  <c r="S684" i="16"/>
  <c r="S700" i="16"/>
  <c r="S6" i="17"/>
  <c r="S22" i="17"/>
  <c r="S38" i="17"/>
  <c r="S54" i="17"/>
  <c r="S70" i="17"/>
  <c r="S86" i="17"/>
  <c r="S102" i="17"/>
  <c r="S118" i="17"/>
  <c r="S134" i="17"/>
  <c r="S150" i="17"/>
  <c r="S166" i="17"/>
  <c r="S503" i="16"/>
  <c r="S519" i="16"/>
  <c r="S535" i="16"/>
  <c r="S551" i="16"/>
  <c r="S567" i="16"/>
  <c r="S583" i="16"/>
  <c r="S599" i="16"/>
  <c r="S615" i="16"/>
  <c r="S631" i="16"/>
  <c r="S647" i="16"/>
  <c r="S663" i="16"/>
  <c r="S679" i="16"/>
  <c r="S695" i="16"/>
  <c r="S711" i="16"/>
  <c r="S727" i="16"/>
  <c r="S17" i="17"/>
  <c r="S33" i="17"/>
  <c r="S49" i="17"/>
  <c r="S65" i="17"/>
  <c r="S81" i="17"/>
  <c r="S97" i="17"/>
  <c r="S113" i="17"/>
  <c r="S129" i="17"/>
  <c r="S145" i="17"/>
  <c r="S161" i="17"/>
  <c r="S177" i="17"/>
  <c r="S193" i="17"/>
  <c r="S209" i="17"/>
  <c r="S199" i="17"/>
  <c r="S616" i="16"/>
  <c r="S632" i="16"/>
  <c r="S648" i="16"/>
  <c r="S664" i="16"/>
  <c r="S680" i="16"/>
  <c r="S696" i="16"/>
  <c r="S712" i="16"/>
  <c r="S2" i="17"/>
  <c r="S18" i="17"/>
  <c r="S34" i="17"/>
  <c r="S50" i="17"/>
  <c r="S66" i="17"/>
  <c r="S82" i="17"/>
  <c r="S98" i="17"/>
  <c r="S114" i="17"/>
  <c r="S130" i="17"/>
  <c r="S146" i="17"/>
  <c r="S162" i="17"/>
  <c r="S178" i="17"/>
  <c r="S194" i="17"/>
  <c r="S579" i="16"/>
  <c r="S595" i="16"/>
  <c r="S611" i="16"/>
  <c r="S627" i="16"/>
  <c r="S643" i="16"/>
  <c r="S659" i="16"/>
  <c r="S675" i="16"/>
  <c r="S691" i="16"/>
  <c r="S707" i="16"/>
  <c r="S723" i="16"/>
  <c r="S13" i="17"/>
  <c r="S29" i="17"/>
  <c r="S45" i="17"/>
  <c r="S61" i="17"/>
  <c r="S77" i="17"/>
  <c r="S93" i="17"/>
  <c r="S109" i="17"/>
  <c r="S125" i="17"/>
  <c r="S141" i="17"/>
  <c r="S157" i="17"/>
  <c r="S173" i="17"/>
  <c r="S189" i="17"/>
  <c r="S318" i="16"/>
  <c r="S334" i="16"/>
  <c r="S350" i="16"/>
  <c r="S366" i="16"/>
  <c r="S382" i="16"/>
  <c r="S398" i="16"/>
  <c r="S414" i="16"/>
  <c r="S430" i="16"/>
  <c r="S446" i="16"/>
  <c r="S462" i="16"/>
  <c r="S478" i="16"/>
  <c r="S494" i="16"/>
  <c r="S510" i="16"/>
  <c r="S526" i="16"/>
  <c r="S542" i="16"/>
  <c r="S558" i="16"/>
  <c r="S574" i="16"/>
  <c r="S136" i="17"/>
  <c r="S152" i="17"/>
  <c r="S168" i="17"/>
  <c r="S184" i="17"/>
  <c r="S200" i="17"/>
  <c r="S281" i="16"/>
  <c r="S297" i="16"/>
  <c r="S313" i="16"/>
  <c r="S329" i="16"/>
  <c r="S345" i="16"/>
  <c r="S361" i="16"/>
  <c r="S377" i="16"/>
  <c r="S393" i="16"/>
  <c r="S409" i="16"/>
  <c r="S425" i="16"/>
  <c r="S441" i="16"/>
  <c r="S457" i="16"/>
  <c r="S473" i="16"/>
  <c r="S489" i="16"/>
  <c r="S505" i="16"/>
  <c r="S521" i="16"/>
  <c r="S537" i="16"/>
  <c r="S553" i="16"/>
  <c r="S569" i="16"/>
  <c r="S665" i="16"/>
  <c r="S681" i="16"/>
  <c r="S697" i="16"/>
  <c r="S115" i="17"/>
  <c r="S131" i="17"/>
  <c r="S147" i="17"/>
  <c r="S163" i="17"/>
  <c r="S179" i="17"/>
  <c r="S195" i="17"/>
  <c r="S211" i="17"/>
  <c r="S276" i="16"/>
  <c r="S292" i="16"/>
  <c r="S308" i="16"/>
  <c r="S324" i="16"/>
  <c r="S340" i="16"/>
  <c r="S356" i="16"/>
  <c r="S372" i="16"/>
  <c r="S388" i="16"/>
  <c r="S404" i="16"/>
  <c r="S420" i="16"/>
  <c r="S436" i="16"/>
  <c r="S452" i="16"/>
  <c r="S468" i="16"/>
  <c r="S484" i="16"/>
  <c r="S500" i="16"/>
  <c r="S516" i="16"/>
  <c r="S532" i="16"/>
  <c r="S548" i="16"/>
  <c r="S564" i="16"/>
  <c r="S580" i="16"/>
  <c r="S596" i="16"/>
  <c r="S612" i="16"/>
  <c r="S628" i="16"/>
  <c r="S644" i="16"/>
  <c r="S660" i="16"/>
  <c r="S676" i="16"/>
  <c r="S692" i="16"/>
  <c r="S708" i="16"/>
  <c r="S724" i="16"/>
  <c r="S14" i="17"/>
  <c r="S30" i="17"/>
  <c r="S46" i="17"/>
  <c r="S62" i="17"/>
  <c r="S78" i="17"/>
  <c r="S94" i="17"/>
  <c r="S110" i="17"/>
  <c r="S126" i="17"/>
  <c r="S142" i="17"/>
  <c r="S158" i="17"/>
  <c r="S174" i="17"/>
  <c r="S190" i="17"/>
  <c r="S206" i="17"/>
  <c r="S415" i="16"/>
  <c r="S431" i="16"/>
  <c r="S447" i="16"/>
  <c r="S463" i="16"/>
  <c r="S479" i="16"/>
  <c r="S495" i="16"/>
  <c r="S511" i="16"/>
  <c r="S527" i="16"/>
  <c r="S543" i="16"/>
  <c r="S559" i="16"/>
  <c r="S575" i="16"/>
  <c r="S591" i="16"/>
  <c r="S607" i="16"/>
  <c r="S623" i="16"/>
  <c r="S639" i="16"/>
  <c r="S655" i="16"/>
  <c r="S671" i="16"/>
  <c r="S687" i="16"/>
  <c r="S703" i="16"/>
  <c r="S719" i="16"/>
  <c r="S9" i="17"/>
  <c r="S25" i="17"/>
  <c r="S41" i="17"/>
  <c r="S57" i="17"/>
  <c r="S73" i="17"/>
  <c r="S89" i="17"/>
  <c r="S105" i="17"/>
  <c r="S121" i="17"/>
  <c r="S137" i="17"/>
  <c r="S153" i="17"/>
  <c r="S169" i="17"/>
  <c r="S185" i="17"/>
  <c r="S201" i="17"/>
  <c r="S394" i="16"/>
  <c r="S410" i="16"/>
  <c r="S426" i="16"/>
  <c r="S442" i="16"/>
  <c r="S458" i="16"/>
  <c r="S474" i="16"/>
  <c r="S490" i="16"/>
  <c r="S506" i="16"/>
  <c r="S522" i="16"/>
  <c r="S538" i="16"/>
  <c r="S554" i="16"/>
  <c r="S570" i="16"/>
  <c r="S586" i="16"/>
  <c r="S602" i="16"/>
  <c r="S618" i="16"/>
  <c r="S634" i="16"/>
  <c r="S650" i="16"/>
  <c r="S666" i="16"/>
  <c r="S682" i="16"/>
  <c r="S698" i="16"/>
  <c r="S714" i="16"/>
  <c r="S4" i="17"/>
  <c r="S20" i="17"/>
  <c r="S36" i="17"/>
  <c r="S52" i="17"/>
  <c r="S68" i="17"/>
  <c r="S84" i="17"/>
  <c r="S100" i="17"/>
  <c r="S116" i="17"/>
  <c r="S132" i="17"/>
  <c r="S148" i="17"/>
  <c r="S164" i="17"/>
  <c r="S180" i="17"/>
  <c r="S212" i="17"/>
  <c r="B57" i="14" l="1"/>
  <c r="C31" i="14"/>
  <c r="C46" i="14"/>
  <c r="B53" i="14"/>
  <c r="B56" i="14"/>
  <c r="B54" i="14"/>
  <c r="B65" i="14"/>
  <c r="C44" i="14"/>
  <c r="B60" i="14"/>
  <c r="C17" i="14"/>
  <c r="B55" i="14"/>
  <c r="C58" i="14"/>
  <c r="C63" i="14"/>
  <c r="C52" i="14"/>
  <c r="C57" i="14"/>
  <c r="C62" i="14"/>
  <c r="C51" i="14"/>
  <c r="C56" i="14"/>
  <c r="C61" i="14"/>
  <c r="C66" i="14"/>
  <c r="C50" i="14"/>
  <c r="C24" i="14"/>
  <c r="C55" i="14"/>
  <c r="C60" i="14"/>
  <c r="C23" i="14"/>
  <c r="C65" i="14"/>
  <c r="C54" i="14"/>
  <c r="C59" i="14"/>
  <c r="C64" i="14"/>
  <c r="C53" i="14"/>
  <c r="C16" i="14"/>
  <c r="B50" i="14"/>
  <c r="B66" i="14"/>
  <c r="B61" i="14"/>
  <c r="B51" i="14"/>
  <c r="C32" i="14"/>
  <c r="B62" i="14"/>
  <c r="C10" i="14"/>
  <c r="C18" i="14"/>
  <c r="B63" i="14"/>
  <c r="C30" i="14"/>
  <c r="B64" i="14"/>
  <c r="C9" i="14"/>
  <c r="D63" i="14"/>
  <c r="C38" i="14"/>
  <c r="D52" i="14"/>
  <c r="C37" i="14"/>
  <c r="D57" i="14"/>
  <c r="D62" i="14"/>
  <c r="D51" i="14"/>
  <c r="D56" i="14"/>
  <c r="D61" i="14"/>
  <c r="D50" i="14"/>
  <c r="D66" i="14"/>
  <c r="D55" i="14"/>
  <c r="D60" i="14"/>
  <c r="D65" i="14"/>
  <c r="D54" i="14"/>
  <c r="D59" i="14"/>
  <c r="D64" i="14"/>
  <c r="D53" i="14"/>
  <c r="D58" i="14"/>
  <c r="C45" i="14"/>
  <c r="B52" i="14"/>
  <c r="B58" i="14"/>
  <c r="B59" i="14"/>
</calcChain>
</file>

<file path=xl/sharedStrings.xml><?xml version="1.0" encoding="utf-8"?>
<sst xmlns="http://schemas.openxmlformats.org/spreadsheetml/2006/main" count="25188" uniqueCount="1012">
  <si>
    <t>Parking Survey Sheet</t>
  </si>
  <si>
    <t>Date:</t>
  </si>
  <si>
    <t>Route #:</t>
  </si>
  <si>
    <t>Mega Mall</t>
  </si>
  <si>
    <t>Name/Surname:</t>
  </si>
  <si>
    <t>_____________</t>
  </si>
  <si>
    <t>Time</t>
  </si>
  <si>
    <t>Zone</t>
  </si>
  <si>
    <t>License Number</t>
  </si>
  <si>
    <t>Vehicle Type</t>
  </si>
  <si>
    <t>Location</t>
  </si>
  <si>
    <t>Parking Method</t>
  </si>
  <si>
    <t>Legal/Illegal</t>
  </si>
  <si>
    <t>7=7:00
14=14:00
midnight=00:00 &amp; etc.</t>
  </si>
  <si>
    <t>Zone XXX</t>
  </si>
  <si>
    <t>11XX111</t>
  </si>
  <si>
    <t>C - Sedan
T - Truck
M - Motorcycle</t>
  </si>
  <si>
    <t>OS - On-Street
FP - Footpath
SB - Setback</t>
  </si>
  <si>
    <t>PA - Parallel
A - 45 Degree
PP - Perpendicular</t>
  </si>
  <si>
    <t>L - Legal
I - Illegal</t>
  </si>
  <si>
    <t>7 - 8</t>
  </si>
  <si>
    <t>-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</si>
  <si>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</si>
  <si>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</si>
  <si>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</si>
  <si>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</si>
  <si>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</si>
  <si>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</si>
  <si>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</si>
  <si>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</si>
  <si>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</si>
  <si>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</si>
  <si>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</si>
  <si>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</si>
  <si>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</si>
  <si>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</si>
  <si>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</si>
  <si>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</si>
  <si>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07IL007</t>
  </si>
  <si>
    <t>C - Sedan</t>
  </si>
  <si>
    <t>SB - Setback</t>
  </si>
  <si>
    <t>PP - Perpendicular</t>
  </si>
  <si>
    <t>L</t>
  </si>
  <si>
    <t>99PD990</t>
  </si>
  <si>
    <t>28LS242</t>
  </si>
  <si>
    <t>50WV551</t>
  </si>
  <si>
    <t>OS - On-Street</t>
  </si>
  <si>
    <t>PA - Parallel</t>
  </si>
  <si>
    <t>37HJ375</t>
  </si>
  <si>
    <t>37NF169</t>
  </si>
  <si>
    <t>73DG737</t>
  </si>
  <si>
    <t>A - 45 Degree</t>
  </si>
  <si>
    <t>37RI946</t>
  </si>
  <si>
    <t>37JC072</t>
  </si>
  <si>
    <t xml:space="preserve">37HJ375 </t>
  </si>
  <si>
    <t>14VU114</t>
  </si>
  <si>
    <t>99NM929</t>
  </si>
  <si>
    <t>37NJ375</t>
  </si>
  <si>
    <t>80TC080</t>
  </si>
  <si>
    <t>03XX066</t>
  </si>
  <si>
    <t>23XB001</t>
  </si>
  <si>
    <t>37FL524</t>
  </si>
  <si>
    <t>37IA928</t>
  </si>
  <si>
    <t>Е300РН</t>
  </si>
  <si>
    <t>37ZS894</t>
  </si>
  <si>
    <t>34VF410</t>
  </si>
  <si>
    <t>71TV707</t>
  </si>
  <si>
    <t>01VO010</t>
  </si>
  <si>
    <t>37SW353</t>
  </si>
  <si>
    <t>35TL410</t>
  </si>
  <si>
    <t>33SS101</t>
  </si>
  <si>
    <t>37HJ312</t>
  </si>
  <si>
    <t>35RN692</t>
  </si>
  <si>
    <t>88GI588</t>
  </si>
  <si>
    <t>37KW325</t>
  </si>
  <si>
    <t>51AF222</t>
  </si>
  <si>
    <t>36WV366</t>
  </si>
  <si>
    <t>35RO931</t>
  </si>
  <si>
    <t>37TB304</t>
  </si>
  <si>
    <t>37JP187</t>
  </si>
  <si>
    <t>01FM010</t>
  </si>
  <si>
    <t>20MM006</t>
  </si>
  <si>
    <t>44YYY554</t>
  </si>
  <si>
    <t>10TV505</t>
  </si>
  <si>
    <t>70LD070</t>
  </si>
  <si>
    <t>37TS404</t>
  </si>
  <si>
    <t>PP-467-EP</t>
  </si>
  <si>
    <t>70AP170</t>
  </si>
  <si>
    <t>13VS113</t>
  </si>
  <si>
    <t>97TZ007</t>
  </si>
  <si>
    <t>67XX592</t>
  </si>
  <si>
    <t>77IR177</t>
  </si>
  <si>
    <t>13SS936</t>
  </si>
  <si>
    <t>36NX656</t>
  </si>
  <si>
    <t>T - Truck</t>
  </si>
  <si>
    <t>44YY554</t>
  </si>
  <si>
    <t>T306AH250</t>
  </si>
  <si>
    <t>70AT770</t>
  </si>
  <si>
    <t>37CW635</t>
  </si>
  <si>
    <t>99CI991</t>
  </si>
  <si>
    <t>01NZ020</t>
  </si>
  <si>
    <t>37HB097</t>
  </si>
  <si>
    <t>88TK880</t>
  </si>
  <si>
    <t>37LW925</t>
  </si>
  <si>
    <t>74QO444</t>
  </si>
  <si>
    <t>36FX038</t>
  </si>
  <si>
    <t>37EM796</t>
  </si>
  <si>
    <t>35RM692</t>
  </si>
  <si>
    <t>E300PN126</t>
  </si>
  <si>
    <t>35KW325</t>
  </si>
  <si>
    <t>40PP404</t>
  </si>
  <si>
    <t>E300PH126</t>
  </si>
  <si>
    <t>ՊՆ0404Մ</t>
  </si>
  <si>
    <t>77JP277</t>
  </si>
  <si>
    <t>34DR398</t>
  </si>
  <si>
    <t>41SQ001</t>
  </si>
  <si>
    <t>34LM827</t>
  </si>
  <si>
    <t>03QQ006</t>
  </si>
  <si>
    <t>88XX878</t>
  </si>
  <si>
    <t>06OU006</t>
  </si>
  <si>
    <t>36FQ131</t>
  </si>
  <si>
    <t>33NW303</t>
  </si>
  <si>
    <t>36GV945</t>
  </si>
  <si>
    <t>19DD001</t>
  </si>
  <si>
    <t>01OK100</t>
  </si>
  <si>
    <t>07AE101</t>
  </si>
  <si>
    <t>37SZ894</t>
  </si>
  <si>
    <t>36VF410</t>
  </si>
  <si>
    <t>34OF795</t>
  </si>
  <si>
    <t>66ER699</t>
  </si>
  <si>
    <t>10OO065</t>
  </si>
  <si>
    <t>37CJ631</t>
  </si>
  <si>
    <t>37SF623</t>
  </si>
  <si>
    <t>600DD90</t>
  </si>
  <si>
    <t>37OZ120</t>
  </si>
  <si>
    <t>59AV555</t>
  </si>
  <si>
    <t>09NZ020</t>
  </si>
  <si>
    <t>35MO920</t>
  </si>
  <si>
    <t>10ZD055</t>
  </si>
  <si>
    <t>41GH441</t>
  </si>
  <si>
    <t>48SS889</t>
  </si>
  <si>
    <t>87AM778</t>
  </si>
  <si>
    <t>37JO058</t>
  </si>
  <si>
    <t>88WW787</t>
  </si>
  <si>
    <t>37SE623</t>
  </si>
  <si>
    <t>37LB271</t>
  </si>
  <si>
    <t>37TB230</t>
  </si>
  <si>
    <t>33JJ133</t>
  </si>
  <si>
    <t>37UN355</t>
  </si>
  <si>
    <t>37TO819</t>
  </si>
  <si>
    <t>37LN941</t>
  </si>
  <si>
    <t>99GJ991</t>
  </si>
  <si>
    <t>111II23</t>
  </si>
  <si>
    <t>88WW878</t>
  </si>
  <si>
    <t>37BC946</t>
  </si>
  <si>
    <t>16US184</t>
  </si>
  <si>
    <t>34UF293</t>
  </si>
  <si>
    <t>01GN077</t>
  </si>
  <si>
    <t>99YY995</t>
  </si>
  <si>
    <t>10ID104</t>
  </si>
  <si>
    <t>37JQ076</t>
  </si>
  <si>
    <t>65D123AM</t>
  </si>
  <si>
    <t>37GS544</t>
  </si>
  <si>
    <t>777SM77</t>
  </si>
  <si>
    <t>37NI482</t>
  </si>
  <si>
    <t>33AG330</t>
  </si>
  <si>
    <t>37AY102</t>
  </si>
  <si>
    <t>01ID104</t>
  </si>
  <si>
    <t>36TV185</t>
  </si>
  <si>
    <t>36QZ143</t>
  </si>
  <si>
    <t>37SD003</t>
  </si>
  <si>
    <t>37MW386</t>
  </si>
  <si>
    <t>05OD080</t>
  </si>
  <si>
    <t>AR-077-RM</t>
  </si>
  <si>
    <t>37KW875</t>
  </si>
  <si>
    <t>37KS981</t>
  </si>
  <si>
    <t>37PB139</t>
  </si>
  <si>
    <t>21GA211</t>
  </si>
  <si>
    <t>11WW220</t>
  </si>
  <si>
    <t>55HM525</t>
  </si>
  <si>
    <t>SX808SX</t>
  </si>
  <si>
    <t>10FJ777</t>
  </si>
  <si>
    <t>37NR834</t>
  </si>
  <si>
    <t>50SP900</t>
  </si>
  <si>
    <t>AR077RM</t>
  </si>
  <si>
    <t>35QC724</t>
  </si>
  <si>
    <t>31RR300</t>
  </si>
  <si>
    <t>92OP002</t>
  </si>
  <si>
    <t>37JX985</t>
  </si>
  <si>
    <t>37ER546</t>
  </si>
  <si>
    <t>96AA699</t>
  </si>
  <si>
    <t>35OQ177</t>
  </si>
  <si>
    <t>22JL122</t>
  </si>
  <si>
    <t>37KX347</t>
  </si>
  <si>
    <t>37NW477</t>
  </si>
  <si>
    <t>36SM975</t>
  </si>
  <si>
    <t>88LX777</t>
  </si>
  <si>
    <t>88AA882</t>
  </si>
  <si>
    <t>90US055</t>
  </si>
  <si>
    <t>37OY169</t>
  </si>
  <si>
    <t>35UR433</t>
  </si>
  <si>
    <t>50NA451</t>
  </si>
  <si>
    <t>54JJ044</t>
  </si>
  <si>
    <t>96AA639</t>
  </si>
  <si>
    <t>10VV966</t>
  </si>
  <si>
    <t>09HN090</t>
  </si>
  <si>
    <t>14WO001</t>
  </si>
  <si>
    <t>01IK110</t>
  </si>
  <si>
    <t>68MN688</t>
  </si>
  <si>
    <t>37PY602</t>
  </si>
  <si>
    <t>77LD277</t>
  </si>
  <si>
    <t>50KA050</t>
  </si>
  <si>
    <t>14VW001</t>
  </si>
  <si>
    <t>37CK789</t>
  </si>
  <si>
    <t>37KX348</t>
  </si>
  <si>
    <t>37RI088</t>
  </si>
  <si>
    <t>36GG044</t>
  </si>
  <si>
    <t>37DQ271</t>
  </si>
  <si>
    <t>37QZ472</t>
  </si>
  <si>
    <t>22XX332</t>
  </si>
  <si>
    <t>68DA688</t>
  </si>
  <si>
    <t>001RR20</t>
  </si>
  <si>
    <t>36OQ 971</t>
  </si>
  <si>
    <t>35XS161</t>
  </si>
  <si>
    <t>21YY200</t>
  </si>
  <si>
    <t>77IT711</t>
  </si>
  <si>
    <t>10SO999</t>
  </si>
  <si>
    <t>04OO464</t>
  </si>
  <si>
    <t>90SS777</t>
  </si>
  <si>
    <t>99OB919</t>
  </si>
  <si>
    <t>88AI088</t>
  </si>
  <si>
    <t>86AR777</t>
  </si>
  <si>
    <t>80ZI100</t>
  </si>
  <si>
    <t>07OJ707</t>
  </si>
  <si>
    <t>44KI144</t>
  </si>
  <si>
    <t>30GG044</t>
  </si>
  <si>
    <t>01BB711</t>
  </si>
  <si>
    <t>51DD010</t>
  </si>
  <si>
    <t>37GR145</t>
  </si>
  <si>
    <t>72BB277</t>
  </si>
  <si>
    <t>66GR866</t>
  </si>
  <si>
    <t>77ZX100</t>
  </si>
  <si>
    <t>35XZ161</t>
  </si>
  <si>
    <t>99SA998</t>
  </si>
  <si>
    <t>35DC890</t>
  </si>
  <si>
    <t>35GG044</t>
  </si>
  <si>
    <t>36VX360</t>
  </si>
  <si>
    <t>37PC243</t>
  </si>
  <si>
    <t>37DX201</t>
  </si>
  <si>
    <t>96FF090</t>
  </si>
  <si>
    <t>863HS61</t>
  </si>
  <si>
    <t>08DC808</t>
  </si>
  <si>
    <t>88DC808</t>
  </si>
  <si>
    <t>37OI894</t>
  </si>
  <si>
    <t>37PJ736</t>
  </si>
  <si>
    <t>37EX669</t>
  </si>
  <si>
    <t>45TS444</t>
  </si>
  <si>
    <t>37AQ683</t>
  </si>
  <si>
    <t>19UT199</t>
  </si>
  <si>
    <t>36QP876</t>
  </si>
  <si>
    <t>70AB707</t>
  </si>
  <si>
    <t>36MG562</t>
  </si>
  <si>
    <t>37HG659</t>
  </si>
  <si>
    <t>88RL388</t>
  </si>
  <si>
    <t>47BV007</t>
  </si>
  <si>
    <t>37ZS539</t>
  </si>
  <si>
    <t>18GG777</t>
  </si>
  <si>
    <t>80FN808</t>
  </si>
  <si>
    <t>35MG562</t>
  </si>
  <si>
    <t>22GA225</t>
  </si>
  <si>
    <t>35SX161</t>
  </si>
  <si>
    <t>35KW875</t>
  </si>
  <si>
    <t>35ML026</t>
  </si>
  <si>
    <t>91OK991</t>
  </si>
  <si>
    <t>50SS333</t>
  </si>
  <si>
    <t>67XX670</t>
  </si>
  <si>
    <t>085CQ61</t>
  </si>
  <si>
    <t>07VD010</t>
  </si>
  <si>
    <t>36RC540</t>
  </si>
  <si>
    <t>37NX098</t>
  </si>
  <si>
    <t>90FF090</t>
  </si>
  <si>
    <t>25XS161</t>
  </si>
  <si>
    <t>01AS099</t>
  </si>
  <si>
    <t>37UQ843</t>
  </si>
  <si>
    <t>37RE116</t>
  </si>
  <si>
    <t>37BP262</t>
  </si>
  <si>
    <t>77AV505</t>
  </si>
  <si>
    <t>20QO200</t>
  </si>
  <si>
    <t>35FM186</t>
  </si>
  <si>
    <t>491DG61</t>
  </si>
  <si>
    <t>01IX066</t>
  </si>
  <si>
    <t>99XN998</t>
  </si>
  <si>
    <t>36UD398</t>
  </si>
  <si>
    <t>20ZO011</t>
  </si>
  <si>
    <t>01VA015</t>
  </si>
  <si>
    <t>36FP038</t>
  </si>
  <si>
    <t>90VY099</t>
  </si>
  <si>
    <t>33PR333</t>
  </si>
  <si>
    <t>10SO 999</t>
  </si>
  <si>
    <t>no number</t>
  </si>
  <si>
    <t>90VV099</t>
  </si>
  <si>
    <t>08GC808</t>
  </si>
  <si>
    <t>13SL110</t>
  </si>
  <si>
    <t>09II090</t>
  </si>
  <si>
    <t>777AG17</t>
  </si>
  <si>
    <t>99VY099</t>
  </si>
  <si>
    <t>37RE037</t>
  </si>
  <si>
    <t>86CM7777</t>
  </si>
  <si>
    <t>08AA202</t>
  </si>
  <si>
    <t>81AI811</t>
  </si>
  <si>
    <t>37LI131</t>
  </si>
  <si>
    <t>10DJ888</t>
  </si>
  <si>
    <t>02SU791</t>
  </si>
  <si>
    <t>34ST490</t>
  </si>
  <si>
    <t>91XO991</t>
  </si>
  <si>
    <t>34RC463</t>
  </si>
  <si>
    <t>37KT085</t>
  </si>
  <si>
    <t>30NN777</t>
  </si>
  <si>
    <t>37ER139</t>
  </si>
  <si>
    <t>37RZ190</t>
  </si>
  <si>
    <t>37IA352</t>
  </si>
  <si>
    <t>90GC101</t>
  </si>
  <si>
    <t>37PR656</t>
  </si>
  <si>
    <t>37HP716</t>
  </si>
  <si>
    <t>35XS841</t>
  </si>
  <si>
    <t>09RV003</t>
  </si>
  <si>
    <t>37HK906</t>
  </si>
  <si>
    <t>99JJ933</t>
  </si>
  <si>
    <t>77HH045</t>
  </si>
  <si>
    <t>37AQ439</t>
  </si>
  <si>
    <t>37KZ571</t>
  </si>
  <si>
    <t>28D008AM</t>
  </si>
  <si>
    <t>37OQ565</t>
  </si>
  <si>
    <t>01JI505</t>
  </si>
  <si>
    <t>70MM701</t>
  </si>
  <si>
    <t>55MQ155</t>
  </si>
  <si>
    <t>88MB688</t>
  </si>
  <si>
    <t>8693FE</t>
  </si>
  <si>
    <t>15TA150</t>
  </si>
  <si>
    <t>36DA231</t>
  </si>
  <si>
    <t>90CC004</t>
  </si>
  <si>
    <t>37EB570</t>
  </si>
  <si>
    <t>33RF733</t>
  </si>
  <si>
    <t>22NN770</t>
  </si>
  <si>
    <t>01UU455</t>
  </si>
  <si>
    <t>06MO060</t>
  </si>
  <si>
    <t>11VP660</t>
  </si>
  <si>
    <t>MO-009-KS</t>
  </si>
  <si>
    <t>37BP397</t>
  </si>
  <si>
    <t>18GA888</t>
  </si>
  <si>
    <t>77MX717</t>
  </si>
  <si>
    <t>37ED788</t>
  </si>
  <si>
    <t>610CA61</t>
  </si>
  <si>
    <t>37DB006</t>
  </si>
  <si>
    <t>55HC545</t>
  </si>
  <si>
    <t>37CT178</t>
  </si>
  <si>
    <t>02SE011</t>
  </si>
  <si>
    <t>80HS088</t>
  </si>
  <si>
    <t>99QH996</t>
  </si>
  <si>
    <t>37FJ925</t>
  </si>
  <si>
    <t>02VP077</t>
  </si>
  <si>
    <t>11WW202</t>
  </si>
  <si>
    <t>36FA126</t>
  </si>
  <si>
    <t>37OZ457</t>
  </si>
  <si>
    <t>37HE340</t>
  </si>
  <si>
    <t>66RR600</t>
  </si>
  <si>
    <t>96PO696</t>
  </si>
  <si>
    <t>37RE890</t>
  </si>
  <si>
    <t>37BJ434</t>
  </si>
  <si>
    <t>55FR545</t>
  </si>
  <si>
    <t>09FF800</t>
  </si>
  <si>
    <t>77BJ770</t>
  </si>
  <si>
    <t>77QS727</t>
  </si>
  <si>
    <t>90VV555</t>
  </si>
  <si>
    <t>57ZX007</t>
  </si>
  <si>
    <t>36NA858</t>
  </si>
  <si>
    <t>35TG982</t>
  </si>
  <si>
    <t>35QG846</t>
  </si>
  <si>
    <t>37QU344</t>
  </si>
  <si>
    <t>020BG01</t>
  </si>
  <si>
    <t>35MV500</t>
  </si>
  <si>
    <t>10RE001</t>
  </si>
  <si>
    <t>37GA822</t>
  </si>
  <si>
    <t>75LF075</t>
  </si>
  <si>
    <t>36UR091</t>
  </si>
  <si>
    <t>08LL101</t>
  </si>
  <si>
    <t>37MG865</t>
  </si>
  <si>
    <t>37TV671</t>
  </si>
  <si>
    <t>87HO877</t>
  </si>
  <si>
    <t>37KV732</t>
  </si>
  <si>
    <t>36SN838</t>
  </si>
  <si>
    <t>37MJ865</t>
  </si>
  <si>
    <t>33SS232</t>
  </si>
  <si>
    <t>59AE500</t>
  </si>
  <si>
    <t>08UJ080</t>
  </si>
  <si>
    <t>37HV375</t>
  </si>
  <si>
    <t>GA-838-RO</t>
  </si>
  <si>
    <t>02ON001</t>
  </si>
  <si>
    <t>40VV101</t>
  </si>
  <si>
    <t>70ZM077</t>
  </si>
  <si>
    <t>01AN112</t>
  </si>
  <si>
    <t>GA838RO</t>
  </si>
  <si>
    <t>89RD899</t>
  </si>
  <si>
    <t>140VV101</t>
  </si>
  <si>
    <t>37RL045</t>
  </si>
  <si>
    <t>01SJ505</t>
  </si>
  <si>
    <t>16NN066</t>
  </si>
  <si>
    <t>37SY346</t>
  </si>
  <si>
    <t>015DC01</t>
  </si>
  <si>
    <t>37VU250</t>
  </si>
  <si>
    <t>90CM909</t>
  </si>
  <si>
    <t>80OG11</t>
  </si>
  <si>
    <t>53AA335</t>
  </si>
  <si>
    <t>70RW707</t>
  </si>
  <si>
    <t>77BX773</t>
  </si>
  <si>
    <t>33KK393</t>
  </si>
  <si>
    <t>01FI123</t>
  </si>
  <si>
    <t>37TG982</t>
  </si>
  <si>
    <t>40GG022</t>
  </si>
  <si>
    <t>37IA277</t>
  </si>
  <si>
    <t>X031HP790</t>
  </si>
  <si>
    <t>94MM994</t>
  </si>
  <si>
    <t>37BS782</t>
  </si>
  <si>
    <t>1865L</t>
  </si>
  <si>
    <t>14FV004</t>
  </si>
  <si>
    <t>03BL103</t>
  </si>
  <si>
    <t>36NA585</t>
  </si>
  <si>
    <t>36AC271</t>
  </si>
  <si>
    <t>37LP644</t>
  </si>
  <si>
    <t>87TA877</t>
  </si>
  <si>
    <t>37KO562</t>
  </si>
  <si>
    <t>10WP010</t>
  </si>
  <si>
    <t>77YM775</t>
  </si>
  <si>
    <t>12TK112</t>
  </si>
  <si>
    <t>37NJ667</t>
  </si>
  <si>
    <t>1048L</t>
  </si>
  <si>
    <t>36QL517</t>
  </si>
  <si>
    <t>37UN170</t>
  </si>
  <si>
    <t>55TT855</t>
  </si>
  <si>
    <t>71TT171</t>
  </si>
  <si>
    <t>10QQ003</t>
  </si>
  <si>
    <t>37VR331</t>
  </si>
  <si>
    <t>87AN807</t>
  </si>
  <si>
    <t>58GG800</t>
  </si>
  <si>
    <t>37EO087</t>
  </si>
  <si>
    <t>37ZX458</t>
  </si>
  <si>
    <t>22DS922</t>
  </si>
  <si>
    <t>37QM698</t>
  </si>
  <si>
    <t>77XI117</t>
  </si>
  <si>
    <t>02EO010</t>
  </si>
  <si>
    <t>37AL836</t>
  </si>
  <si>
    <t>37RI509</t>
  </si>
  <si>
    <t>100RR12</t>
  </si>
  <si>
    <t>37ZQ374</t>
  </si>
  <si>
    <t>60GL001</t>
  </si>
  <si>
    <t>37AB248</t>
  </si>
  <si>
    <t>25DE025</t>
  </si>
  <si>
    <t>01VU005</t>
  </si>
  <si>
    <t>37QK299</t>
  </si>
  <si>
    <t>37LI069</t>
  </si>
  <si>
    <t>34RT790</t>
  </si>
  <si>
    <t>37PH485</t>
  </si>
  <si>
    <t>37SH732</t>
  </si>
  <si>
    <t>01CQ050</t>
  </si>
  <si>
    <t>96RP669</t>
  </si>
  <si>
    <t>37PI827</t>
  </si>
  <si>
    <t>37BY364</t>
  </si>
  <si>
    <t>17TX007</t>
  </si>
  <si>
    <t>88ZX909</t>
  </si>
  <si>
    <t>11LL199</t>
  </si>
  <si>
    <t>06UU231</t>
  </si>
  <si>
    <t>35FF418</t>
  </si>
  <si>
    <t>077RO01</t>
  </si>
  <si>
    <t>36VZ164</t>
  </si>
  <si>
    <t>34QQ734</t>
  </si>
  <si>
    <t>87KN987</t>
  </si>
  <si>
    <t>30PV020</t>
  </si>
  <si>
    <t>33PU148</t>
  </si>
  <si>
    <t>37DW348</t>
  </si>
  <si>
    <t>37CE212</t>
  </si>
  <si>
    <t>37QH790</t>
  </si>
  <si>
    <t>25GV005</t>
  </si>
  <si>
    <t>О448ХА</t>
  </si>
  <si>
    <t>44QU144</t>
  </si>
  <si>
    <t>88ZV848</t>
  </si>
  <si>
    <t>824DA61</t>
  </si>
  <si>
    <t>35QG756</t>
  </si>
  <si>
    <t>11AZ110</t>
  </si>
  <si>
    <t>206HJ61</t>
  </si>
  <si>
    <t>37NI984</t>
  </si>
  <si>
    <t>37RJ419</t>
  </si>
  <si>
    <t>36AR996</t>
  </si>
  <si>
    <t>35ZO221</t>
  </si>
  <si>
    <t>486AC</t>
  </si>
  <si>
    <t>M - Motorcycle</t>
  </si>
  <si>
    <t>37SH914</t>
  </si>
  <si>
    <t>35VF041</t>
  </si>
  <si>
    <t>37PV840</t>
  </si>
  <si>
    <t>37MH339</t>
  </si>
  <si>
    <t>06VH606</t>
  </si>
  <si>
    <t>15GL444</t>
  </si>
  <si>
    <t>O448XA47</t>
  </si>
  <si>
    <t>37RP384</t>
  </si>
  <si>
    <t>37OR907</t>
  </si>
  <si>
    <t>37GH210</t>
  </si>
  <si>
    <t>10AS404</t>
  </si>
  <si>
    <t>90NI090</t>
  </si>
  <si>
    <t>96AR996</t>
  </si>
  <si>
    <t>37NH868</t>
  </si>
  <si>
    <t>01AR018</t>
  </si>
  <si>
    <t>11HF101</t>
  </si>
  <si>
    <t>01AK018</t>
  </si>
  <si>
    <t>37KR510</t>
  </si>
  <si>
    <t>55UL556</t>
  </si>
  <si>
    <t>37SE823</t>
  </si>
  <si>
    <t>AH747</t>
  </si>
  <si>
    <t>35CS812</t>
  </si>
  <si>
    <t>34MU919</t>
  </si>
  <si>
    <t>88OM880</t>
  </si>
  <si>
    <t>37MZ001</t>
  </si>
  <si>
    <t>01PG700</t>
  </si>
  <si>
    <t>37LR177</t>
  </si>
  <si>
    <t>37MI</t>
  </si>
  <si>
    <t>36AD691</t>
  </si>
  <si>
    <t>37AU344</t>
  </si>
  <si>
    <t>37JK930</t>
  </si>
  <si>
    <t>56YY566</t>
  </si>
  <si>
    <t>29JK029</t>
  </si>
  <si>
    <t>20NN201</t>
  </si>
  <si>
    <t>11CC600</t>
  </si>
  <si>
    <t>35QH756</t>
  </si>
  <si>
    <t>79EX779</t>
  </si>
  <si>
    <t>01AO100</t>
  </si>
  <si>
    <t>93LV933</t>
  </si>
  <si>
    <t>01GV005</t>
  </si>
  <si>
    <t>55VN525</t>
  </si>
  <si>
    <t>28KK001</t>
  </si>
  <si>
    <t>37NQ755</t>
  </si>
  <si>
    <t>36VF041</t>
  </si>
  <si>
    <t>41RE777</t>
  </si>
  <si>
    <t>13SU818</t>
  </si>
  <si>
    <t>37RE251</t>
  </si>
  <si>
    <t>10AU100</t>
  </si>
  <si>
    <t>10ZA900</t>
  </si>
  <si>
    <t>80AR888</t>
  </si>
  <si>
    <t>37KR506</t>
  </si>
  <si>
    <t>37KW441</t>
  </si>
  <si>
    <t>218CV61</t>
  </si>
  <si>
    <t>15CL444</t>
  </si>
  <si>
    <t>16GL444</t>
  </si>
  <si>
    <t>03TT070</t>
  </si>
  <si>
    <t>40DO401</t>
  </si>
  <si>
    <t>36GG510</t>
  </si>
  <si>
    <t>37FL445</t>
  </si>
  <si>
    <t>37HQ790</t>
  </si>
  <si>
    <t>07HH077</t>
  </si>
  <si>
    <t>999EE76</t>
  </si>
  <si>
    <t>77EA778</t>
  </si>
  <si>
    <t>13ZW013</t>
  </si>
  <si>
    <t>98QZ999</t>
  </si>
  <si>
    <t>37MH390</t>
  </si>
  <si>
    <t>37JE356</t>
  </si>
  <si>
    <t>37TB092</t>
  </si>
  <si>
    <t>01OI105</t>
  </si>
  <si>
    <t>37MI403</t>
  </si>
  <si>
    <t>37RA595</t>
  </si>
  <si>
    <t>09RR919</t>
  </si>
  <si>
    <t>88ZV849</t>
  </si>
  <si>
    <t>35SO005</t>
  </si>
  <si>
    <t>06VN606</t>
  </si>
  <si>
    <t>37LM936</t>
  </si>
  <si>
    <t>37LV773</t>
  </si>
  <si>
    <t>25GS255</t>
  </si>
  <si>
    <t>37ZF136</t>
  </si>
  <si>
    <t>99LT999</t>
  </si>
  <si>
    <t>99RR669</t>
  </si>
  <si>
    <t>07AG727</t>
  </si>
  <si>
    <t>37AQ508</t>
  </si>
  <si>
    <t>05AO050</t>
  </si>
  <si>
    <t>14DO014</t>
  </si>
  <si>
    <t>77EX707</t>
  </si>
  <si>
    <t>37ZN967</t>
  </si>
  <si>
    <t>60MS060</t>
  </si>
  <si>
    <t>40DP500</t>
  </si>
  <si>
    <t>14DO414</t>
  </si>
  <si>
    <t>42RS340</t>
  </si>
  <si>
    <t>11NA111</t>
  </si>
  <si>
    <t>09AM199</t>
  </si>
  <si>
    <t>36QZ326</t>
  </si>
  <si>
    <t>36TS294</t>
  </si>
  <si>
    <t>66VH606</t>
  </si>
  <si>
    <t>70SE070</t>
  </si>
  <si>
    <t>62LL111</t>
  </si>
  <si>
    <t>55QQ450</t>
  </si>
  <si>
    <t>77UW717</t>
  </si>
  <si>
    <t>02LL021</t>
  </si>
  <si>
    <t>10VG505</t>
  </si>
  <si>
    <t>05ML105</t>
  </si>
  <si>
    <t>36AL506</t>
  </si>
  <si>
    <t>88BB844</t>
  </si>
  <si>
    <t>66ND661</t>
  </si>
  <si>
    <t>01SQ088</t>
  </si>
  <si>
    <t>77TD277</t>
  </si>
  <si>
    <t>44YA441</t>
  </si>
  <si>
    <t>36UF941</t>
  </si>
  <si>
    <t>15MI015</t>
  </si>
  <si>
    <t>99KS989</t>
  </si>
  <si>
    <t>21QD011</t>
  </si>
  <si>
    <t>77WJ778</t>
  </si>
  <si>
    <t>572SL01</t>
  </si>
  <si>
    <t>35TP120</t>
  </si>
  <si>
    <t>15VO005</t>
  </si>
  <si>
    <t>54EB544</t>
  </si>
  <si>
    <t>15KK007</t>
  </si>
  <si>
    <t>36AV096</t>
  </si>
  <si>
    <t>08RI088</t>
  </si>
  <si>
    <t>37QK243</t>
  </si>
  <si>
    <t>90PP002</t>
  </si>
  <si>
    <t>34AC855</t>
  </si>
  <si>
    <t>36XC181</t>
  </si>
  <si>
    <t>37CE202</t>
  </si>
  <si>
    <t>35ZA478</t>
  </si>
  <si>
    <t>98TN098</t>
  </si>
  <si>
    <t>55TT055</t>
  </si>
  <si>
    <t>37GR519</t>
  </si>
  <si>
    <t>77NX797</t>
  </si>
  <si>
    <t>37XP802</t>
  </si>
  <si>
    <t>37SB649</t>
  </si>
  <si>
    <t>87MB887</t>
  </si>
  <si>
    <t>25QO500</t>
  </si>
  <si>
    <t>70VL033</t>
  </si>
  <si>
    <t>37PW610</t>
  </si>
  <si>
    <t>99LI998</t>
  </si>
  <si>
    <t>369HS61</t>
  </si>
  <si>
    <t>03ER101</t>
  </si>
  <si>
    <t>36MN362</t>
  </si>
  <si>
    <t>71TI701</t>
  </si>
  <si>
    <t>37RB427</t>
  </si>
  <si>
    <t>47HH044</t>
  </si>
  <si>
    <t>99YH199</t>
  </si>
  <si>
    <t>65OS199</t>
  </si>
  <si>
    <t>37VL773</t>
  </si>
  <si>
    <t>54LM548</t>
  </si>
  <si>
    <t>001DD44</t>
  </si>
  <si>
    <t>35TN683</t>
  </si>
  <si>
    <t>28QD029</t>
  </si>
  <si>
    <t>37TN683</t>
  </si>
  <si>
    <t>90MR909</t>
  </si>
  <si>
    <t>54 LM548</t>
  </si>
  <si>
    <t>66NN669</t>
  </si>
  <si>
    <t>19NN777</t>
  </si>
  <si>
    <t>10OT099</t>
  </si>
  <si>
    <t>37TJ380</t>
  </si>
  <si>
    <t>FP - Footpath</t>
  </si>
  <si>
    <t>97NO777</t>
  </si>
  <si>
    <t>37SH255</t>
  </si>
  <si>
    <t>01VV101</t>
  </si>
  <si>
    <t>37RI650</t>
  </si>
  <si>
    <t>78GG088</t>
  </si>
  <si>
    <t>23NA023</t>
  </si>
  <si>
    <t>88MW848</t>
  </si>
  <si>
    <t>77SO111</t>
  </si>
  <si>
    <t>02CC800</t>
  </si>
  <si>
    <t>01HI077</t>
  </si>
  <si>
    <t>36DT578</t>
  </si>
  <si>
    <t>40FF400</t>
  </si>
  <si>
    <t>36MA360</t>
  </si>
  <si>
    <t>80BB807</t>
  </si>
  <si>
    <t>70VD808</t>
  </si>
  <si>
    <t>66MM770</t>
  </si>
  <si>
    <t>07JJ047</t>
  </si>
  <si>
    <t>37OG693</t>
  </si>
  <si>
    <t>10ZX022</t>
  </si>
  <si>
    <t>19OO001</t>
  </si>
  <si>
    <t>10VR770</t>
  </si>
  <si>
    <t>12AH112</t>
  </si>
  <si>
    <t>333XX37</t>
  </si>
  <si>
    <t>34RT069</t>
  </si>
  <si>
    <t>50CC066</t>
  </si>
  <si>
    <t>97ZQ777</t>
  </si>
  <si>
    <t>10IA110</t>
  </si>
  <si>
    <t>34PT069</t>
  </si>
  <si>
    <t>37JZ498</t>
  </si>
  <si>
    <t>37NO669</t>
  </si>
  <si>
    <t>10AI110</t>
  </si>
  <si>
    <t>35GV931</t>
  </si>
  <si>
    <t>90AG190</t>
  </si>
  <si>
    <t>13OU235</t>
  </si>
  <si>
    <t>88EM855</t>
  </si>
  <si>
    <t>07GH717</t>
  </si>
  <si>
    <t>37PL762</t>
  </si>
  <si>
    <t>21DY021</t>
  </si>
  <si>
    <t>92OZ222</t>
  </si>
  <si>
    <t>01VM202</t>
  </si>
  <si>
    <t>44EE321</t>
  </si>
  <si>
    <t>70CC075</t>
  </si>
  <si>
    <t>37ZR224</t>
  </si>
  <si>
    <t>37MH952</t>
  </si>
  <si>
    <t>71IP001</t>
  </si>
  <si>
    <t>37NH608</t>
  </si>
  <si>
    <t>01QK055</t>
  </si>
  <si>
    <t>37HO296</t>
  </si>
  <si>
    <t>55XR554</t>
  </si>
  <si>
    <t>36VC014</t>
  </si>
  <si>
    <t>07CC101</t>
  </si>
  <si>
    <t>10GM300</t>
  </si>
  <si>
    <t>04AG044</t>
  </si>
  <si>
    <t>34TM867</t>
  </si>
  <si>
    <t>01GD015</t>
  </si>
  <si>
    <t>37MA228</t>
  </si>
  <si>
    <t>17QU017</t>
  </si>
  <si>
    <t>60LM088</t>
  </si>
  <si>
    <t>10NR500</t>
  </si>
  <si>
    <t>01DR044</t>
  </si>
  <si>
    <t>10NR</t>
  </si>
  <si>
    <t>71JZ007</t>
  </si>
  <si>
    <t>37EP315</t>
  </si>
  <si>
    <t>50AA909</t>
  </si>
  <si>
    <t>37PY649</t>
  </si>
  <si>
    <t>07NE077</t>
  </si>
  <si>
    <t>23AN300</t>
  </si>
  <si>
    <t>05SZ101</t>
  </si>
  <si>
    <t>70RN011</t>
  </si>
  <si>
    <t>37SH470</t>
  </si>
  <si>
    <t>37OH765</t>
  </si>
  <si>
    <t>77OQ797</t>
  </si>
  <si>
    <t>77JZ007</t>
  </si>
  <si>
    <t>02II005</t>
  </si>
  <si>
    <t>56AR565</t>
  </si>
  <si>
    <t>500VVV50</t>
  </si>
  <si>
    <t>37PQ751</t>
  </si>
  <si>
    <t>80HE707</t>
  </si>
  <si>
    <t>04TT050</t>
  </si>
  <si>
    <t>22RE221</t>
  </si>
  <si>
    <t>10XP110</t>
  </si>
  <si>
    <t>36UZ821</t>
  </si>
  <si>
    <t>25YY055</t>
  </si>
  <si>
    <t>37ZX379</t>
  </si>
  <si>
    <t>35TD182</t>
  </si>
  <si>
    <t>37HV869</t>
  </si>
  <si>
    <t>13AA131</t>
  </si>
  <si>
    <t>77QS777</t>
  </si>
  <si>
    <t>85DK888</t>
  </si>
  <si>
    <t>88ON888</t>
  </si>
  <si>
    <t>35VC457</t>
  </si>
  <si>
    <t>70IU707</t>
  </si>
  <si>
    <t>09ED707</t>
  </si>
  <si>
    <t>37FH594</t>
  </si>
  <si>
    <t>17UP001</t>
  </si>
  <si>
    <t>31SO970</t>
  </si>
  <si>
    <t>88VO333</t>
  </si>
  <si>
    <t>99QB919</t>
  </si>
  <si>
    <t>36DL144</t>
  </si>
  <si>
    <t>37TJ636</t>
  </si>
  <si>
    <t>44AA405</t>
  </si>
  <si>
    <t>92OZ202</t>
  </si>
  <si>
    <t>36AA568</t>
  </si>
  <si>
    <t>05YV100</t>
  </si>
  <si>
    <t>37GW957</t>
  </si>
  <si>
    <t>37FW220</t>
  </si>
  <si>
    <t>92TV222</t>
  </si>
  <si>
    <t>23UU002</t>
  </si>
  <si>
    <t>37ZX286</t>
  </si>
  <si>
    <t>37LK027</t>
  </si>
  <si>
    <t>05FU010</t>
  </si>
  <si>
    <t>37PX961</t>
  </si>
  <si>
    <t>36QN834</t>
  </si>
  <si>
    <t>54AC545</t>
  </si>
  <si>
    <t>37NK042</t>
  </si>
  <si>
    <t>37MV170</t>
  </si>
  <si>
    <t>13RU131</t>
  </si>
  <si>
    <t>60ID099</t>
  </si>
  <si>
    <t>37TC428</t>
  </si>
  <si>
    <t>36RN293</t>
  </si>
  <si>
    <t>P</t>
  </si>
  <si>
    <t>37SG316</t>
  </si>
  <si>
    <t>13SL038</t>
  </si>
  <si>
    <t>37AC595</t>
  </si>
  <si>
    <t>90XY100</t>
  </si>
  <si>
    <t>10OU700</t>
  </si>
  <si>
    <t>11OO100</t>
  </si>
  <si>
    <t>16UU777</t>
  </si>
  <si>
    <t>66GG055</t>
  </si>
  <si>
    <t>50AB055</t>
  </si>
  <si>
    <t>48ZZ008</t>
  </si>
  <si>
    <t>34AS959</t>
  </si>
  <si>
    <t>10TT808</t>
  </si>
  <si>
    <t>90XH100</t>
  </si>
  <si>
    <t>30LL677</t>
  </si>
  <si>
    <t>37CW708</t>
  </si>
  <si>
    <t>71LY777</t>
  </si>
  <si>
    <t>08QL808</t>
  </si>
  <si>
    <t>36FX358</t>
  </si>
  <si>
    <t>30AO355</t>
  </si>
  <si>
    <t>43JG045</t>
  </si>
  <si>
    <t>37MT593</t>
  </si>
  <si>
    <t>10VR007</t>
  </si>
  <si>
    <t>36LM006</t>
  </si>
  <si>
    <t>57CQ007</t>
  </si>
  <si>
    <t>11PN133</t>
  </si>
  <si>
    <t>34OD083</t>
  </si>
  <si>
    <t>51CR100</t>
  </si>
  <si>
    <t>44NO444</t>
  </si>
  <si>
    <t>04QQ070</t>
  </si>
  <si>
    <t>37XV938</t>
  </si>
  <si>
    <t>32OL998</t>
  </si>
  <si>
    <t>54TL054</t>
  </si>
  <si>
    <t>15AK005</t>
  </si>
  <si>
    <t>30ZZ013</t>
  </si>
  <si>
    <t>77HA017</t>
  </si>
  <si>
    <t>09AA069</t>
  </si>
  <si>
    <t>36DM351</t>
  </si>
  <si>
    <t>07GS001</t>
  </si>
  <si>
    <t>17TI717</t>
  </si>
  <si>
    <t>08QO707</t>
  </si>
  <si>
    <t>01OQ404</t>
  </si>
  <si>
    <t>28KR288</t>
  </si>
  <si>
    <t>71VA700</t>
  </si>
  <si>
    <t>37JK465</t>
  </si>
  <si>
    <t>27PP222</t>
  </si>
  <si>
    <t>77QQ557</t>
  </si>
  <si>
    <t>37ZS183</t>
  </si>
  <si>
    <t>10MG100</t>
  </si>
  <si>
    <t>35SC926</t>
  </si>
  <si>
    <t>71SQ007</t>
  </si>
  <si>
    <t>01NZ007</t>
  </si>
  <si>
    <t>51TR111</t>
  </si>
  <si>
    <t>64SS294</t>
  </si>
  <si>
    <t>93QD333</t>
  </si>
  <si>
    <t>90NN505</t>
  </si>
  <si>
    <t>10DC100</t>
  </si>
  <si>
    <t>30AQ030</t>
  </si>
  <si>
    <t>74ON004</t>
  </si>
  <si>
    <t>37ER678</t>
  </si>
  <si>
    <t>92AB002</t>
  </si>
  <si>
    <t>30NO030</t>
  </si>
  <si>
    <t>08ME808</t>
  </si>
  <si>
    <t>07BI707</t>
  </si>
  <si>
    <t>08GD080</t>
  </si>
  <si>
    <t>10UO700</t>
  </si>
  <si>
    <t>01RH007</t>
  </si>
  <si>
    <t>73OU777</t>
  </si>
  <si>
    <t>08AA069</t>
  </si>
  <si>
    <t>17US240</t>
  </si>
  <si>
    <t>15PT150</t>
  </si>
  <si>
    <t>07NY077</t>
  </si>
  <si>
    <t>76MR777</t>
  </si>
  <si>
    <t>45JG045</t>
  </si>
  <si>
    <t>35AO355</t>
  </si>
  <si>
    <t>35FM006</t>
  </si>
  <si>
    <t>44AH744</t>
  </si>
  <si>
    <t>36GS980</t>
  </si>
  <si>
    <t>35MG962</t>
  </si>
  <si>
    <t>37CH449</t>
  </si>
  <si>
    <t>p</t>
  </si>
  <si>
    <t>77TC117</t>
  </si>
  <si>
    <t>77UL757</t>
  </si>
  <si>
    <t>99SV979</t>
  </si>
  <si>
    <t>37KV079</t>
  </si>
  <si>
    <t>37BP971</t>
  </si>
  <si>
    <t>34AO355</t>
  </si>
  <si>
    <t>44UN444</t>
  </si>
  <si>
    <t>17DL017</t>
  </si>
  <si>
    <t>52AN552</t>
  </si>
  <si>
    <t>34QV518</t>
  </si>
  <si>
    <t>70YN070</t>
  </si>
  <si>
    <t>88SB887</t>
  </si>
  <si>
    <t>37OQ200</t>
  </si>
  <si>
    <t>37VK650</t>
  </si>
  <si>
    <t>13TV333</t>
  </si>
  <si>
    <t>73ON377</t>
  </si>
  <si>
    <t>89II555</t>
  </si>
  <si>
    <t>37CA364</t>
  </si>
  <si>
    <t>37DW929</t>
  </si>
  <si>
    <t>37LM006</t>
  </si>
  <si>
    <t>05DL501</t>
  </si>
  <si>
    <t>06AA808</t>
  </si>
  <si>
    <t>38MT593</t>
  </si>
  <si>
    <t>07DM777</t>
  </si>
  <si>
    <t>37PY894</t>
  </si>
  <si>
    <t>20FF088</t>
  </si>
  <si>
    <t>10EG077</t>
  </si>
  <si>
    <t>76JJ776</t>
  </si>
  <si>
    <t>10AU010</t>
  </si>
  <si>
    <t>37FW879</t>
  </si>
  <si>
    <t>37OQ900</t>
  </si>
  <si>
    <t>962CT61</t>
  </si>
  <si>
    <t>77XS557</t>
  </si>
  <si>
    <t>37UZ815</t>
  </si>
  <si>
    <t>50ZL100</t>
  </si>
  <si>
    <t>228KR288</t>
  </si>
  <si>
    <t>80GD080</t>
  </si>
  <si>
    <t>11SQ007</t>
  </si>
  <si>
    <t>77MN773</t>
  </si>
  <si>
    <t>51XD005</t>
  </si>
  <si>
    <t>08UC088</t>
  </si>
  <si>
    <t>37MW905</t>
  </si>
  <si>
    <t>08GP808</t>
  </si>
  <si>
    <t>36MF611</t>
  </si>
  <si>
    <t>80KV808</t>
  </si>
  <si>
    <t>10CY101</t>
  </si>
  <si>
    <t>49II111</t>
  </si>
  <si>
    <t>99II994</t>
  </si>
  <si>
    <t>73ON777</t>
  </si>
  <si>
    <t>199GG99</t>
  </si>
  <si>
    <t>81TG881</t>
  </si>
  <si>
    <t>68UU007</t>
  </si>
  <si>
    <t>37OZ815</t>
  </si>
  <si>
    <t>27P222</t>
  </si>
  <si>
    <t>88XX588</t>
  </si>
  <si>
    <t>14SQ001</t>
  </si>
  <si>
    <t>55TT885</t>
  </si>
  <si>
    <t>77ZA774</t>
  </si>
  <si>
    <t>01DS007</t>
  </si>
  <si>
    <t>30DD044</t>
  </si>
  <si>
    <t>31PF11</t>
  </si>
  <si>
    <t>17OU700</t>
  </si>
  <si>
    <t>77SX557</t>
  </si>
  <si>
    <t>37LA134</t>
  </si>
  <si>
    <t>01IZ010</t>
  </si>
  <si>
    <t>51ZD005</t>
  </si>
  <si>
    <t>17JJ001</t>
  </si>
  <si>
    <t>35SG393</t>
  </si>
  <si>
    <t>18SM881</t>
  </si>
  <si>
    <t>77LI775</t>
  </si>
  <si>
    <t>33PA533</t>
  </si>
  <si>
    <t>12FF100</t>
  </si>
  <si>
    <t>10UC101</t>
  </si>
  <si>
    <t>99ND993</t>
  </si>
  <si>
    <t>80XH100</t>
  </si>
  <si>
    <t>37KG383</t>
  </si>
  <si>
    <t>645HR61</t>
  </si>
  <si>
    <t>48CG777</t>
  </si>
  <si>
    <t>88AG108</t>
  </si>
  <si>
    <t>37CW106</t>
  </si>
  <si>
    <t>759TM21</t>
  </si>
  <si>
    <t>61HO661</t>
  </si>
  <si>
    <t>37OI823</t>
  </si>
  <si>
    <t>77NY777</t>
  </si>
  <si>
    <t>99II555</t>
  </si>
  <si>
    <t>35SG392</t>
  </si>
  <si>
    <t>11OV211</t>
  </si>
  <si>
    <t>88PP338</t>
  </si>
  <si>
    <t>35QL692</t>
  </si>
  <si>
    <t>20OU088</t>
  </si>
  <si>
    <t>90XN100</t>
  </si>
  <si>
    <t>70SQ007</t>
  </si>
  <si>
    <t>22HD225</t>
  </si>
  <si>
    <t>17US247</t>
  </si>
  <si>
    <t>32NV998</t>
  </si>
  <si>
    <t>01QU777</t>
  </si>
  <si>
    <t>68JJ068</t>
  </si>
  <si>
    <t>37NW971</t>
  </si>
  <si>
    <t>37MX375</t>
  </si>
  <si>
    <t>99OO299</t>
  </si>
  <si>
    <t>37OJ253</t>
  </si>
  <si>
    <t>37TT707</t>
  </si>
  <si>
    <t>38TN888</t>
  </si>
  <si>
    <t>M276KC550</t>
  </si>
  <si>
    <t>58VL585</t>
  </si>
  <si>
    <t>37SX538</t>
  </si>
  <si>
    <t>34ASA959</t>
  </si>
  <si>
    <t>77GV797</t>
  </si>
  <si>
    <t>34QZ908</t>
  </si>
  <si>
    <t>37QC595</t>
  </si>
  <si>
    <t>50PG505</t>
  </si>
  <si>
    <t>37NZ463</t>
  </si>
  <si>
    <t>77GG117</t>
  </si>
  <si>
    <t>90DD033</t>
  </si>
  <si>
    <t>36DR083</t>
  </si>
  <si>
    <t>17NN017</t>
  </si>
  <si>
    <t>11AZ101</t>
  </si>
  <si>
    <t>50QX050</t>
  </si>
  <si>
    <t>88OF898</t>
  </si>
  <si>
    <t>37SH327</t>
  </si>
  <si>
    <t>37CQ079</t>
  </si>
  <si>
    <t>37HZ463</t>
  </si>
  <si>
    <t>37AC555</t>
  </si>
  <si>
    <t>no number 1</t>
  </si>
  <si>
    <t>no number 2</t>
  </si>
  <si>
    <t>no number 3</t>
  </si>
  <si>
    <t>no number 4</t>
  </si>
  <si>
    <t>no number 5</t>
  </si>
  <si>
    <t>PARKING SURVEY ANALYSIS — MEGA MALL</t>
  </si>
  <si>
    <t>Formal capacity</t>
  </si>
  <si>
    <t>Methodology replicated from "Parking Survey Sheet v5" (Komitas) ANALYSIS sheet.</t>
  </si>
  <si>
    <t>Every number below is a live formula referencing CALC Combined / CALC On-Street / CALC Off-Street,</t>
  </si>
  <si>
    <t>which derive each vehicle's hourly presence via COUNTIFS against United Data. Enter zone capacities (yellow, right).</t>
  </si>
  <si>
    <t>COMBINED — ALL ZONES</t>
  </si>
  <si>
    <t>Unique vehicles</t>
  </si>
  <si>
    <t>PARKING DURATION</t>
  </si>
  <si>
    <t>Average parking duration</t>
  </si>
  <si>
    <t>hours</t>
  </si>
  <si>
    <t>Median parking duration</t>
  </si>
  <si>
    <t>PARKING SPACE TURNOVER</t>
  </si>
  <si>
    <t># parking events</t>
  </si>
  <si>
    <t>P (mall parking)</t>
  </si>
  <si>
    <t>(sum of zone capacities →)</t>
  </si>
  <si>
    <t>Turnover per parking space (incl. illegal parking)</t>
  </si>
  <si>
    <t>events per space</t>
  </si>
  <si>
    <t>LONG-TERM PARKING (share of vehicles by total hours parked)</t>
  </si>
  <si>
    <t>Parked the full survey window (17 h)</t>
  </si>
  <si>
    <t>Parked 16+ hours</t>
  </si>
  <si>
    <t>Parked 12+ hours</t>
  </si>
  <si>
    <t>ON-STREET — ZONES 59–69</t>
  </si>
  <si>
    <t>OFF-STREET — OFF-STREET</t>
  </si>
  <si>
    <t>DURATION DISTRIBUTION — vehicles by total hours parked (COUNTIF)</t>
  </si>
  <si>
    <t>Total hours</t>
  </si>
  <si>
    <t>Combined</t>
  </si>
  <si>
    <t>On-Street</t>
  </si>
  <si>
    <t>Off-Street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</si>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</sst>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5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</font>
    <font>
      <b/>
      <sz val="12"/>
      <color theme="1"/>
      <name val="Arial"/>
    </font>
    <font>
      <sz val="10"/>
      <color rgb="FF434343"/>
      <name val="Roboto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rgb="FF434343"/>
      <name val="Roboto"/>
    </font>
    <font>
      <b/>
      <sz val="11"/>
      <color theme="1"/>
      <name val="Calibri"/>
    </font>
    <font>
      <b/>
      <sz val="14"/>
      <color theme="1"/>
      <name val="Calibri"/>
    </font>
    <font>
      <b/>
      <sz val="11"/>
      <color rgb="FF3054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20" fontId="3" fillId="0" borderId="0" xfId="0" applyNumberFormat="1" applyFont="1"/>
    <xf numFmtId="0" fontId="3" fillId="0" borderId="0" xfId="0" applyFont="1"/>
    <xf numFmtId="20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" fontId="7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9" fontId="8" fillId="3" borderId="0" xfId="0" applyNumberFormat="1" applyFont="1" applyFill="1" applyAlignment="1">
      <alignment horizontal="center" vertical="center"/>
    </xf>
    <xf numFmtId="0" fontId="10" fillId="3" borderId="0" xfId="0" applyFont="1" applyFill="1"/>
    <xf numFmtId="164" fontId="11" fillId="3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/>
    </xf>
    <xf numFmtId="0" fontId="11" fillId="3" borderId="0" xfId="0" applyFont="1" applyFill="1"/>
    <xf numFmtId="0" fontId="3" fillId="3" borderId="0" xfId="0" applyFont="1" applyFill="1"/>
    <xf numFmtId="0" fontId="11" fillId="3" borderId="4" xfId="0" applyFont="1" applyFill="1" applyBorder="1" applyAlignment="1">
      <alignment horizontal="center" vertical="center"/>
    </xf>
    <xf numFmtId="19" fontId="11" fillId="3" borderId="0" xfId="0" applyNumberFormat="1" applyFont="1" applyFill="1" applyAlignment="1">
      <alignment horizontal="right"/>
    </xf>
    <xf numFmtId="0" fontId="3" fillId="3" borderId="4" xfId="0" applyFont="1" applyFill="1" applyBorder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9" fontId="11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5" borderId="0" xfId="0" applyFill="1"/>
    <xf numFmtId="10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8" fillId="3" borderId="5" xfId="0" applyFont="1" applyFill="1" applyBorder="1" applyAlignment="1">
      <alignment horizontal="center" vertical="center"/>
    </xf>
    <xf numFmtId="0" fontId="2" fillId="4" borderId="6" xfId="0" applyFont="1" applyFill="1" applyBorder="1"/>
    <xf numFmtId="0" fontId="2" fillId="3" borderId="7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1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59-style" pivot="0" count="2" xr9:uid="{00000000-0011-0000-FFFF-FFFF00000000}">
      <tableStyleElement type="firstRowStripe" dxfId="3"/>
      <tableStyleElement type="secondRowStripe" dxfId="2"/>
    </tableStyle>
    <tableStyle name="61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:G25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59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13:O14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6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workbookViewId="0">
      <selection sqref="A1:G1"/>
    </sheetView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9" t="s">
        <v>20</v>
      </c>
      <c r="B9" s="9" t="s">
        <v>21</v>
      </c>
      <c r="C9" s="9" t="s">
        <v>21</v>
      </c>
      <c r="D9" s="9" t="s">
        <v>21</v>
      </c>
      <c r="E9" s="9" t="s">
        <v>21</v>
      </c>
      <c r="F9" s="9" t="s">
        <v>21</v>
      </c>
      <c r="G9" s="10" t="s">
        <v>21</v>
      </c>
    </row>
    <row r="10" spans="1:7" x14ac:dyDescent="0.2">
      <c r="A10" s="9" t="s">
        <v>22</v>
      </c>
      <c r="B10" s="9" t="s">
        <v>21</v>
      </c>
      <c r="C10" s="9" t="s">
        <v>21</v>
      </c>
      <c r="D10" s="9" t="s">
        <v>21</v>
      </c>
      <c r="E10" s="9" t="s">
        <v>21</v>
      </c>
      <c r="F10" s="9" t="s">
        <v>21</v>
      </c>
      <c r="G10" s="10" t="s">
        <v>21</v>
      </c>
    </row>
    <row r="11" spans="1:7" x14ac:dyDescent="0.2">
      <c r="A11" s="9" t="s">
        <v>23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10" t="s">
        <v>21</v>
      </c>
    </row>
    <row r="12" spans="1:7" x14ac:dyDescent="0.2">
      <c r="A12" s="9" t="s">
        <v>24</v>
      </c>
      <c r="B12" s="9" t="s">
        <v>21</v>
      </c>
      <c r="C12" s="9" t="s">
        <v>21</v>
      </c>
      <c r="D12" s="9" t="s">
        <v>21</v>
      </c>
      <c r="E12" s="9" t="s">
        <v>21</v>
      </c>
      <c r="F12" s="9" t="s">
        <v>21</v>
      </c>
      <c r="G12" s="10" t="s">
        <v>21</v>
      </c>
    </row>
    <row r="13" spans="1:7" x14ac:dyDescent="0.2">
      <c r="A13" s="9" t="s">
        <v>25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10" t="s">
        <v>21</v>
      </c>
    </row>
    <row r="14" spans="1:7" x14ac:dyDescent="0.2">
      <c r="A14" s="9" t="s">
        <v>26</v>
      </c>
      <c r="B14" s="9" t="s">
        <v>21</v>
      </c>
      <c r="C14" s="9" t="s">
        <v>21</v>
      </c>
      <c r="D14" s="9" t="s">
        <v>21</v>
      </c>
      <c r="E14" s="9" t="s">
        <v>21</v>
      </c>
      <c r="F14" s="9" t="s">
        <v>21</v>
      </c>
      <c r="G14" s="10" t="s">
        <v>21</v>
      </c>
    </row>
    <row r="15" spans="1:7" x14ac:dyDescent="0.2">
      <c r="A15" s="9" t="s">
        <v>27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10" t="s">
        <v>21</v>
      </c>
    </row>
    <row r="16" spans="1:7" x14ac:dyDescent="0.2">
      <c r="A16" s="9" t="s">
        <v>28</v>
      </c>
      <c r="B16" s="9" t="s">
        <v>21</v>
      </c>
      <c r="C16" s="9" t="s">
        <v>21</v>
      </c>
      <c r="D16" s="9" t="s">
        <v>21</v>
      </c>
      <c r="E16" s="9" t="s">
        <v>21</v>
      </c>
      <c r="F16" s="9" t="s">
        <v>21</v>
      </c>
      <c r="G16" s="10" t="s">
        <v>21</v>
      </c>
    </row>
    <row r="17" spans="1:7" x14ac:dyDescent="0.2">
      <c r="A17" s="9" t="s">
        <v>29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10" t="s">
        <v>21</v>
      </c>
    </row>
    <row r="18" spans="1:7" x14ac:dyDescent="0.2">
      <c r="A18" s="9" t="s">
        <v>30</v>
      </c>
      <c r="B18" s="9" t="s">
        <v>21</v>
      </c>
      <c r="C18" s="9" t="s">
        <v>21</v>
      </c>
      <c r="D18" s="9" t="s">
        <v>21</v>
      </c>
      <c r="E18" s="9" t="s">
        <v>21</v>
      </c>
      <c r="F18" s="9" t="s">
        <v>21</v>
      </c>
      <c r="G18" s="10" t="s">
        <v>21</v>
      </c>
    </row>
    <row r="19" spans="1:7" x14ac:dyDescent="0.2">
      <c r="A19" s="9" t="s">
        <v>31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10" t="s">
        <v>21</v>
      </c>
    </row>
    <row r="20" spans="1:7" x14ac:dyDescent="0.2">
      <c r="A20" s="9" t="s">
        <v>32</v>
      </c>
      <c r="B20" s="9" t="s">
        <v>21</v>
      </c>
      <c r="C20" s="9" t="s">
        <v>21</v>
      </c>
      <c r="D20" s="9" t="s">
        <v>21</v>
      </c>
      <c r="E20" s="9" t="s">
        <v>21</v>
      </c>
      <c r="F20" s="9" t="s">
        <v>21</v>
      </c>
      <c r="G20" s="10" t="s">
        <v>21</v>
      </c>
    </row>
    <row r="21" spans="1:7" x14ac:dyDescent="0.2">
      <c r="A21" s="9" t="s">
        <v>33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10" t="s">
        <v>21</v>
      </c>
    </row>
    <row r="22" spans="1:7" x14ac:dyDescent="0.2">
      <c r="A22" s="9" t="s">
        <v>34</v>
      </c>
      <c r="B22" s="9" t="s">
        <v>21</v>
      </c>
      <c r="C22" s="9" t="s">
        <v>21</v>
      </c>
      <c r="D22" s="9" t="s">
        <v>21</v>
      </c>
      <c r="E22" s="9" t="s">
        <v>21</v>
      </c>
      <c r="F22" s="9" t="s">
        <v>21</v>
      </c>
      <c r="G22" s="10" t="s">
        <v>21</v>
      </c>
    </row>
    <row r="23" spans="1:7" x14ac:dyDescent="0.2">
      <c r="A23" s="9" t="s">
        <v>35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10" t="s">
        <v>21</v>
      </c>
    </row>
    <row r="24" spans="1:7" x14ac:dyDescent="0.2">
      <c r="A24" s="9" t="s">
        <v>36</v>
      </c>
      <c r="B24" s="9" t="s">
        <v>21</v>
      </c>
      <c r="C24" s="9" t="s">
        <v>21</v>
      </c>
      <c r="D24" s="9" t="s">
        <v>21</v>
      </c>
      <c r="E24" s="9" t="s">
        <v>21</v>
      </c>
      <c r="F24" s="9" t="s">
        <v>21</v>
      </c>
      <c r="G24" s="10" t="s">
        <v>21</v>
      </c>
    </row>
    <row r="25" spans="1:7" x14ac:dyDescent="0.2">
      <c r="A25" s="9" t="s">
        <v>37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10" t="s">
        <v>21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6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36" t="s">
        <v>20</v>
      </c>
      <c r="B9" s="9">
        <v>60</v>
      </c>
      <c r="C9" s="9" t="s">
        <v>38</v>
      </c>
      <c r="D9" s="9" t="s">
        <v>39</v>
      </c>
      <c r="E9" s="9" t="s">
        <v>40</v>
      </c>
      <c r="F9" s="9" t="s">
        <v>41</v>
      </c>
      <c r="G9" s="10" t="s">
        <v>42</v>
      </c>
    </row>
    <row r="10" spans="1:7" x14ac:dyDescent="0.2">
      <c r="A10" s="37"/>
      <c r="B10" s="9">
        <v>60</v>
      </c>
      <c r="C10" s="9" t="s">
        <v>43</v>
      </c>
      <c r="D10" s="9" t="s">
        <v>39</v>
      </c>
      <c r="E10" s="9" t="s">
        <v>40</v>
      </c>
      <c r="F10" s="9" t="s">
        <v>41</v>
      </c>
      <c r="G10" s="10" t="s">
        <v>42</v>
      </c>
    </row>
    <row r="11" spans="1:7" x14ac:dyDescent="0.2">
      <c r="A11" s="38"/>
      <c r="B11" s="9">
        <v>60</v>
      </c>
      <c r="C11" s="9" t="s">
        <v>44</v>
      </c>
      <c r="D11" s="9" t="s">
        <v>39</v>
      </c>
      <c r="E11" s="9" t="s">
        <v>40</v>
      </c>
      <c r="F11" s="9" t="s">
        <v>41</v>
      </c>
      <c r="G11" s="10" t="s">
        <v>42</v>
      </c>
    </row>
    <row r="12" spans="1:7" x14ac:dyDescent="0.2">
      <c r="A12" s="9" t="s">
        <v>22</v>
      </c>
      <c r="B12" s="9" t="s">
        <v>21</v>
      </c>
      <c r="C12" s="9" t="s">
        <v>21</v>
      </c>
      <c r="D12" s="9" t="s">
        <v>21</v>
      </c>
      <c r="E12" s="9" t="s">
        <v>21</v>
      </c>
      <c r="F12" s="9" t="s">
        <v>21</v>
      </c>
      <c r="G12" s="10" t="s">
        <v>21</v>
      </c>
    </row>
    <row r="13" spans="1:7" x14ac:dyDescent="0.2">
      <c r="A13" s="9" t="s">
        <v>23</v>
      </c>
      <c r="B13" s="9">
        <v>60</v>
      </c>
      <c r="C13" s="9" t="s">
        <v>45</v>
      </c>
      <c r="D13" s="9" t="s">
        <v>39</v>
      </c>
      <c r="E13" s="9" t="s">
        <v>46</v>
      </c>
      <c r="F13" s="9" t="s">
        <v>47</v>
      </c>
      <c r="G13" s="10" t="s">
        <v>42</v>
      </c>
    </row>
    <row r="14" spans="1:7" x14ac:dyDescent="0.2">
      <c r="A14" s="36" t="s">
        <v>25</v>
      </c>
      <c r="B14" s="9">
        <v>60</v>
      </c>
      <c r="C14" s="9" t="s">
        <v>48</v>
      </c>
      <c r="D14" s="9" t="s">
        <v>39</v>
      </c>
      <c r="E14" s="9" t="s">
        <v>46</v>
      </c>
      <c r="F14" s="9" t="s">
        <v>47</v>
      </c>
      <c r="G14" s="10" t="s">
        <v>42</v>
      </c>
    </row>
    <row r="15" spans="1:7" x14ac:dyDescent="0.2">
      <c r="A15" s="39"/>
      <c r="B15" s="9">
        <v>60</v>
      </c>
      <c r="C15" s="9" t="s">
        <v>49</v>
      </c>
      <c r="D15" s="9" t="s">
        <v>39</v>
      </c>
      <c r="E15" s="9" t="s">
        <v>46</v>
      </c>
      <c r="F15" s="9" t="s">
        <v>47</v>
      </c>
      <c r="G15" s="10" t="s">
        <v>42</v>
      </c>
    </row>
    <row r="16" spans="1:7" x14ac:dyDescent="0.2">
      <c r="A16" s="37"/>
      <c r="B16" s="9">
        <v>60</v>
      </c>
      <c r="C16" s="9" t="s">
        <v>50</v>
      </c>
      <c r="D16" s="9" t="s">
        <v>39</v>
      </c>
      <c r="E16" s="9" t="s">
        <v>46</v>
      </c>
      <c r="F16" s="9" t="s">
        <v>51</v>
      </c>
      <c r="G16" s="10" t="s">
        <v>42</v>
      </c>
    </row>
    <row r="17" spans="1:7" x14ac:dyDescent="0.2">
      <c r="A17" s="39"/>
      <c r="B17" s="9">
        <v>60</v>
      </c>
      <c r="C17" s="9" t="s">
        <v>49</v>
      </c>
      <c r="D17" s="9" t="s">
        <v>39</v>
      </c>
      <c r="E17" s="9" t="s">
        <v>46</v>
      </c>
      <c r="F17" s="9" t="s">
        <v>47</v>
      </c>
      <c r="G17" s="10" t="s">
        <v>42</v>
      </c>
    </row>
    <row r="18" spans="1:7" x14ac:dyDescent="0.2">
      <c r="A18" s="40"/>
      <c r="B18" s="9">
        <v>60</v>
      </c>
      <c r="C18" s="9" t="s">
        <v>48</v>
      </c>
      <c r="D18" s="9" t="s">
        <v>39</v>
      </c>
      <c r="E18" s="9" t="s">
        <v>46</v>
      </c>
      <c r="F18" s="9" t="s">
        <v>47</v>
      </c>
      <c r="G18" s="10" t="s">
        <v>42</v>
      </c>
    </row>
    <row r="19" spans="1:7" x14ac:dyDescent="0.2">
      <c r="A19" s="36" t="s">
        <v>26</v>
      </c>
      <c r="B19" s="9">
        <v>60</v>
      </c>
      <c r="C19" s="9" t="s">
        <v>52</v>
      </c>
      <c r="D19" s="9" t="s">
        <v>39</v>
      </c>
      <c r="E19" s="9" t="s">
        <v>46</v>
      </c>
      <c r="F19" s="9" t="s">
        <v>47</v>
      </c>
      <c r="G19" s="10" t="s">
        <v>42</v>
      </c>
    </row>
    <row r="20" spans="1:7" x14ac:dyDescent="0.2">
      <c r="A20" s="40"/>
      <c r="B20" s="9">
        <v>60</v>
      </c>
      <c r="C20" s="9" t="s">
        <v>53</v>
      </c>
      <c r="D20" s="9" t="s">
        <v>39</v>
      </c>
      <c r="E20" s="9" t="s">
        <v>46</v>
      </c>
      <c r="F20" s="9" t="s">
        <v>47</v>
      </c>
      <c r="G20" s="10" t="s">
        <v>42</v>
      </c>
    </row>
    <row r="21" spans="1:7" x14ac:dyDescent="0.2">
      <c r="A21" s="9" t="s">
        <v>27</v>
      </c>
      <c r="B21" s="9">
        <v>60</v>
      </c>
      <c r="C21" s="9" t="s">
        <v>48</v>
      </c>
      <c r="D21" s="9" t="s">
        <v>39</v>
      </c>
      <c r="E21" s="9" t="s">
        <v>46</v>
      </c>
      <c r="F21" s="9" t="s">
        <v>47</v>
      </c>
      <c r="G21" s="10" t="s">
        <v>42</v>
      </c>
    </row>
    <row r="22" spans="1:7" x14ac:dyDescent="0.2">
      <c r="A22" s="9" t="s">
        <v>28</v>
      </c>
      <c r="B22" s="9">
        <v>60</v>
      </c>
      <c r="C22" s="9" t="s">
        <v>48</v>
      </c>
      <c r="D22" s="9" t="s">
        <v>39</v>
      </c>
      <c r="E22" s="9" t="s">
        <v>46</v>
      </c>
      <c r="F22" s="9" t="s">
        <v>47</v>
      </c>
      <c r="G22" s="10" t="s">
        <v>42</v>
      </c>
    </row>
    <row r="23" spans="1:7" x14ac:dyDescent="0.2">
      <c r="A23" s="36" t="s">
        <v>29</v>
      </c>
      <c r="B23" s="9">
        <v>60</v>
      </c>
      <c r="C23" s="9" t="s">
        <v>54</v>
      </c>
      <c r="D23" s="9" t="s">
        <v>39</v>
      </c>
      <c r="E23" s="9" t="s">
        <v>46</v>
      </c>
      <c r="F23" s="9" t="s">
        <v>47</v>
      </c>
      <c r="G23" s="10" t="s">
        <v>42</v>
      </c>
    </row>
    <row r="24" spans="1:7" x14ac:dyDescent="0.2">
      <c r="A24" s="40"/>
      <c r="B24" s="9">
        <v>60</v>
      </c>
      <c r="C24" s="9" t="s">
        <v>55</v>
      </c>
      <c r="D24" s="9" t="s">
        <v>39</v>
      </c>
      <c r="E24" s="9" t="s">
        <v>46</v>
      </c>
      <c r="F24" s="9" t="s">
        <v>47</v>
      </c>
      <c r="G24" s="10" t="s">
        <v>42</v>
      </c>
    </row>
    <row r="25" spans="1:7" x14ac:dyDescent="0.2">
      <c r="A25" s="36" t="s">
        <v>30</v>
      </c>
      <c r="B25" s="9">
        <v>60</v>
      </c>
      <c r="C25" s="9" t="s">
        <v>48</v>
      </c>
      <c r="D25" s="9" t="s">
        <v>39</v>
      </c>
      <c r="E25" s="9" t="s">
        <v>46</v>
      </c>
      <c r="F25" s="9" t="s">
        <v>51</v>
      </c>
      <c r="G25" s="10" t="s">
        <v>42</v>
      </c>
    </row>
    <row r="26" spans="1:7" x14ac:dyDescent="0.2">
      <c r="A26" s="40"/>
      <c r="B26" s="9">
        <v>60</v>
      </c>
      <c r="C26" s="9" t="s">
        <v>56</v>
      </c>
      <c r="D26" s="9" t="s">
        <v>39</v>
      </c>
      <c r="E26" s="9" t="s">
        <v>46</v>
      </c>
      <c r="F26" s="9" t="s">
        <v>51</v>
      </c>
      <c r="G26" s="10" t="s">
        <v>42</v>
      </c>
    </row>
    <row r="27" spans="1:7" x14ac:dyDescent="0.2">
      <c r="A27" s="36" t="s">
        <v>31</v>
      </c>
      <c r="B27" s="9">
        <v>60</v>
      </c>
      <c r="C27" s="9" t="s">
        <v>57</v>
      </c>
      <c r="D27" s="9" t="s">
        <v>39</v>
      </c>
      <c r="E27" s="9" t="s">
        <v>46</v>
      </c>
      <c r="F27" s="9" t="s">
        <v>47</v>
      </c>
      <c r="G27" s="10" t="s">
        <v>42</v>
      </c>
    </row>
    <row r="28" spans="1:7" x14ac:dyDescent="0.2">
      <c r="A28" s="40"/>
      <c r="B28" s="9">
        <v>60</v>
      </c>
      <c r="C28" s="9" t="s">
        <v>58</v>
      </c>
      <c r="D28" s="9" t="s">
        <v>39</v>
      </c>
      <c r="E28" s="9" t="s">
        <v>46</v>
      </c>
      <c r="F28" s="9" t="s">
        <v>47</v>
      </c>
      <c r="G28" s="10" t="s">
        <v>42</v>
      </c>
    </row>
    <row r="29" spans="1:7" x14ac:dyDescent="0.2">
      <c r="A29" s="9" t="s">
        <v>32</v>
      </c>
      <c r="B29" s="9">
        <v>60</v>
      </c>
      <c r="C29" s="9" t="s">
        <v>48</v>
      </c>
      <c r="D29" s="9" t="s">
        <v>39</v>
      </c>
      <c r="E29" s="9" t="s">
        <v>46</v>
      </c>
      <c r="F29" s="9" t="s">
        <v>47</v>
      </c>
      <c r="G29" s="10" t="s">
        <v>42</v>
      </c>
    </row>
    <row r="30" spans="1:7" x14ac:dyDescent="0.2">
      <c r="A30" s="9" t="s">
        <v>33</v>
      </c>
      <c r="B30" s="9">
        <v>60</v>
      </c>
      <c r="C30" s="9" t="s">
        <v>48</v>
      </c>
      <c r="D30" s="9" t="s">
        <v>39</v>
      </c>
      <c r="E30" s="9" t="s">
        <v>46</v>
      </c>
      <c r="F30" s="9" t="s">
        <v>47</v>
      </c>
      <c r="G30" s="10" t="s">
        <v>42</v>
      </c>
    </row>
    <row r="31" spans="1:7" x14ac:dyDescent="0.2">
      <c r="A31" s="9" t="s">
        <v>34</v>
      </c>
      <c r="B31" s="9">
        <v>60</v>
      </c>
      <c r="C31" s="9" t="s">
        <v>48</v>
      </c>
      <c r="D31" s="9" t="s">
        <v>39</v>
      </c>
      <c r="E31" s="9" t="s">
        <v>46</v>
      </c>
      <c r="F31" s="9" t="s">
        <v>47</v>
      </c>
      <c r="G31" s="10" t="s">
        <v>42</v>
      </c>
    </row>
    <row r="32" spans="1:7" x14ac:dyDescent="0.2">
      <c r="A32" s="9" t="s">
        <v>35</v>
      </c>
      <c r="B32" s="9">
        <v>60</v>
      </c>
      <c r="C32" s="9" t="s">
        <v>57</v>
      </c>
      <c r="D32" s="9" t="s">
        <v>39</v>
      </c>
      <c r="E32" s="9" t="s">
        <v>46</v>
      </c>
      <c r="F32" s="9" t="s">
        <v>47</v>
      </c>
      <c r="G32" s="10" t="s">
        <v>42</v>
      </c>
    </row>
    <row r="33" spans="1:7" x14ac:dyDescent="0.2">
      <c r="A33" s="36" t="s">
        <v>36</v>
      </c>
      <c r="B33" s="9">
        <v>60</v>
      </c>
      <c r="C33" s="9" t="s">
        <v>59</v>
      </c>
      <c r="D33" s="9" t="s">
        <v>39</v>
      </c>
      <c r="E33" s="9" t="s">
        <v>46</v>
      </c>
      <c r="F33" s="9" t="s">
        <v>47</v>
      </c>
      <c r="G33" s="10" t="s">
        <v>42</v>
      </c>
    </row>
    <row r="34" spans="1:7" x14ac:dyDescent="0.2">
      <c r="A34" s="40"/>
      <c r="B34" s="9">
        <v>60</v>
      </c>
      <c r="C34" s="9" t="s">
        <v>60</v>
      </c>
      <c r="D34" s="9" t="s">
        <v>39</v>
      </c>
      <c r="E34" s="9" t="s">
        <v>46</v>
      </c>
      <c r="F34" s="9" t="s">
        <v>47</v>
      </c>
      <c r="G34" s="10" t="s">
        <v>42</v>
      </c>
    </row>
    <row r="35" spans="1:7" x14ac:dyDescent="0.2">
      <c r="A35" s="11"/>
      <c r="B35" s="12"/>
      <c r="C35" s="12"/>
      <c r="D35" s="12"/>
      <c r="E35" s="12"/>
      <c r="F35" s="12"/>
      <c r="G35" s="13"/>
    </row>
    <row r="36" spans="1:7" x14ac:dyDescent="0.2">
      <c r="A36" s="11"/>
      <c r="B36" s="12"/>
      <c r="C36" s="12"/>
      <c r="D36" s="12"/>
      <c r="E36" s="12"/>
      <c r="F36" s="12"/>
      <c r="G36" s="13"/>
    </row>
  </sheetData>
  <mergeCells count="8">
    <mergeCell ref="A25:A26"/>
    <mergeCell ref="A27:A28"/>
    <mergeCell ref="A33:A34"/>
    <mergeCell ref="A1:G1"/>
    <mergeCell ref="A9:A11"/>
    <mergeCell ref="A14:A18"/>
    <mergeCell ref="A19:A20"/>
    <mergeCell ref="A23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352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15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15" x14ac:dyDescent="0.2">
      <c r="A2" s="1"/>
      <c r="B2" s="2"/>
      <c r="C2" s="2"/>
      <c r="D2" s="2"/>
      <c r="E2" s="2"/>
      <c r="F2" s="2"/>
      <c r="G2" s="2"/>
    </row>
    <row r="3" spans="1:15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15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x14ac:dyDescent="0.2">
      <c r="A6" s="1"/>
      <c r="B6" s="2"/>
      <c r="C6" s="2"/>
      <c r="D6" s="2"/>
      <c r="E6" s="2"/>
      <c r="F6" s="2"/>
      <c r="G6" s="2"/>
    </row>
    <row r="7" spans="1:15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5" x14ac:dyDescent="0.2">
      <c r="A9" s="9" t="s">
        <v>20</v>
      </c>
      <c r="B9" s="9">
        <v>61</v>
      </c>
      <c r="C9" s="9" t="s">
        <v>61</v>
      </c>
      <c r="D9" s="9" t="s">
        <v>39</v>
      </c>
      <c r="E9" s="9" t="s">
        <v>46</v>
      </c>
      <c r="F9" s="9" t="s">
        <v>41</v>
      </c>
      <c r="G9" s="10" t="s">
        <v>42</v>
      </c>
    </row>
    <row r="10" spans="1:15" x14ac:dyDescent="0.2">
      <c r="A10" s="36" t="s">
        <v>22</v>
      </c>
      <c r="B10" s="9">
        <v>61</v>
      </c>
      <c r="C10" s="9" t="s">
        <v>38</v>
      </c>
      <c r="D10" s="9" t="s">
        <v>39</v>
      </c>
      <c r="E10" s="9" t="s">
        <v>46</v>
      </c>
      <c r="F10" s="9" t="s">
        <v>41</v>
      </c>
      <c r="G10" s="10" t="s">
        <v>42</v>
      </c>
      <c r="I10" s="14"/>
      <c r="J10" s="14"/>
      <c r="K10" s="14"/>
      <c r="L10" s="14"/>
      <c r="M10" s="14"/>
      <c r="N10" s="14"/>
      <c r="O10" s="14"/>
    </row>
    <row r="11" spans="1:15" x14ac:dyDescent="0.2">
      <c r="A11" s="39"/>
      <c r="B11" s="9">
        <v>61</v>
      </c>
      <c r="C11" s="9" t="s">
        <v>62</v>
      </c>
      <c r="D11" s="9" t="s">
        <v>39</v>
      </c>
      <c r="E11" s="9" t="s">
        <v>46</v>
      </c>
      <c r="F11" s="9" t="s">
        <v>41</v>
      </c>
      <c r="G11" s="10" t="s">
        <v>42</v>
      </c>
      <c r="I11" s="14"/>
      <c r="J11" s="14"/>
      <c r="K11" s="14"/>
      <c r="L11" s="14"/>
      <c r="M11" s="14"/>
      <c r="N11" s="14"/>
      <c r="O11" s="14"/>
    </row>
    <row r="12" spans="1:15" x14ac:dyDescent="0.2">
      <c r="A12" s="37"/>
      <c r="B12" s="9">
        <v>61</v>
      </c>
      <c r="C12" s="9" t="s">
        <v>43</v>
      </c>
      <c r="D12" s="9" t="s">
        <v>39</v>
      </c>
      <c r="E12" s="9" t="s">
        <v>46</v>
      </c>
      <c r="F12" s="9" t="s">
        <v>41</v>
      </c>
      <c r="G12" s="10" t="s">
        <v>42</v>
      </c>
      <c r="I12" s="14"/>
      <c r="J12" s="14"/>
      <c r="K12" s="14"/>
      <c r="L12" s="14"/>
      <c r="M12" s="14"/>
      <c r="N12" s="14"/>
      <c r="O12" s="14"/>
    </row>
    <row r="13" spans="1:15" x14ac:dyDescent="0.2">
      <c r="A13" s="38"/>
      <c r="B13" s="9">
        <v>61</v>
      </c>
      <c r="C13" s="9" t="s">
        <v>44</v>
      </c>
      <c r="D13" s="9" t="s">
        <v>39</v>
      </c>
      <c r="E13" s="9" t="s">
        <v>46</v>
      </c>
      <c r="F13" s="9" t="s">
        <v>41</v>
      </c>
      <c r="G13" s="10" t="s">
        <v>42</v>
      </c>
      <c r="I13" s="15"/>
      <c r="J13" s="16"/>
      <c r="K13" s="17"/>
      <c r="L13" s="17"/>
      <c r="M13" s="17"/>
      <c r="N13" s="17"/>
      <c r="O13" s="18"/>
    </row>
    <row r="14" spans="1:15" x14ac:dyDescent="0.2">
      <c r="A14" s="36" t="s">
        <v>23</v>
      </c>
      <c r="B14" s="9">
        <v>61</v>
      </c>
      <c r="C14" s="9" t="s">
        <v>38</v>
      </c>
      <c r="D14" s="9" t="s">
        <v>39</v>
      </c>
      <c r="E14" s="9" t="s">
        <v>40</v>
      </c>
      <c r="F14" s="9" t="s">
        <v>41</v>
      </c>
      <c r="G14" s="10" t="s">
        <v>42</v>
      </c>
      <c r="I14" s="15"/>
      <c r="J14" s="16"/>
      <c r="K14" s="17"/>
      <c r="L14" s="17"/>
      <c r="M14" s="17"/>
      <c r="N14" s="17"/>
      <c r="O14" s="18"/>
    </row>
    <row r="15" spans="1:15" x14ac:dyDescent="0.2">
      <c r="A15" s="39"/>
      <c r="B15" s="9">
        <v>61</v>
      </c>
      <c r="C15" s="9" t="s">
        <v>63</v>
      </c>
      <c r="D15" s="9" t="s">
        <v>39</v>
      </c>
      <c r="E15" s="9" t="s">
        <v>40</v>
      </c>
      <c r="F15" s="9" t="s">
        <v>41</v>
      </c>
      <c r="G15" s="10" t="s">
        <v>42</v>
      </c>
      <c r="I15" s="14"/>
      <c r="J15" s="14"/>
      <c r="K15" s="14"/>
      <c r="L15" s="14"/>
      <c r="M15" s="14"/>
      <c r="N15" s="14"/>
      <c r="O15" s="14"/>
    </row>
    <row r="16" spans="1:15" x14ac:dyDescent="0.2">
      <c r="A16" s="37"/>
      <c r="B16" s="9">
        <v>61</v>
      </c>
      <c r="C16" s="9" t="s">
        <v>64</v>
      </c>
      <c r="D16" s="9" t="s">
        <v>39</v>
      </c>
      <c r="E16" s="9" t="s">
        <v>40</v>
      </c>
      <c r="F16" s="9" t="s">
        <v>41</v>
      </c>
      <c r="G16" s="10" t="s">
        <v>42</v>
      </c>
      <c r="I16" s="14"/>
      <c r="J16" s="14"/>
      <c r="K16" s="14"/>
      <c r="L16" s="14"/>
      <c r="M16" s="14"/>
      <c r="N16" s="14"/>
      <c r="O16" s="14"/>
    </row>
    <row r="17" spans="1:15" x14ac:dyDescent="0.2">
      <c r="A17" s="39"/>
      <c r="B17" s="9">
        <v>61</v>
      </c>
      <c r="C17" s="9" t="s">
        <v>65</v>
      </c>
      <c r="D17" s="9" t="s">
        <v>39</v>
      </c>
      <c r="E17" s="9" t="s">
        <v>40</v>
      </c>
      <c r="F17" s="9" t="s">
        <v>41</v>
      </c>
      <c r="G17" s="10" t="s">
        <v>42</v>
      </c>
      <c r="I17" s="14"/>
      <c r="J17" s="14"/>
      <c r="K17" s="14"/>
      <c r="L17" s="14"/>
      <c r="M17" s="14"/>
      <c r="N17" s="14"/>
      <c r="O17" s="14"/>
    </row>
    <row r="18" spans="1:15" x14ac:dyDescent="0.2">
      <c r="A18" s="37"/>
      <c r="B18" s="9">
        <v>61</v>
      </c>
      <c r="C18" s="9" t="s">
        <v>62</v>
      </c>
      <c r="D18" s="9" t="s">
        <v>39</v>
      </c>
      <c r="E18" s="9" t="s">
        <v>40</v>
      </c>
      <c r="F18" s="9" t="s">
        <v>41</v>
      </c>
      <c r="G18" s="10" t="s">
        <v>42</v>
      </c>
      <c r="I18" s="14"/>
      <c r="J18" s="14"/>
      <c r="K18" s="14"/>
      <c r="L18" s="14"/>
      <c r="M18" s="14"/>
      <c r="N18" s="14"/>
      <c r="O18" s="14"/>
    </row>
    <row r="19" spans="1:15" x14ac:dyDescent="0.2">
      <c r="A19" s="39"/>
      <c r="B19" s="9">
        <v>61</v>
      </c>
      <c r="C19" s="9" t="s">
        <v>66</v>
      </c>
      <c r="D19" s="9" t="s">
        <v>39</v>
      </c>
      <c r="E19" s="9" t="s">
        <v>40</v>
      </c>
      <c r="F19" s="9" t="s">
        <v>41</v>
      </c>
      <c r="G19" s="10" t="s">
        <v>42</v>
      </c>
      <c r="I19" s="14"/>
      <c r="J19" s="14"/>
      <c r="K19" s="14"/>
      <c r="L19" s="14"/>
      <c r="M19" s="14"/>
      <c r="N19" s="14"/>
      <c r="O19" s="14"/>
    </row>
    <row r="20" spans="1:15" x14ac:dyDescent="0.2">
      <c r="A20" s="37"/>
      <c r="B20" s="9">
        <v>61</v>
      </c>
      <c r="C20" s="9" t="s">
        <v>67</v>
      </c>
      <c r="D20" s="9" t="s">
        <v>39</v>
      </c>
      <c r="E20" s="9" t="s">
        <v>40</v>
      </c>
      <c r="F20" s="9" t="s">
        <v>41</v>
      </c>
      <c r="G20" s="10" t="s">
        <v>42</v>
      </c>
      <c r="I20" s="14"/>
      <c r="J20" s="14"/>
      <c r="K20" s="14"/>
      <c r="L20" s="14"/>
      <c r="M20" s="14"/>
      <c r="N20" s="14"/>
      <c r="O20" s="14"/>
    </row>
    <row r="21" spans="1:15" x14ac:dyDescent="0.2">
      <c r="A21" s="39"/>
      <c r="B21" s="9">
        <v>61</v>
      </c>
      <c r="C21" s="9" t="s">
        <v>43</v>
      </c>
      <c r="D21" s="9" t="s">
        <v>39</v>
      </c>
      <c r="E21" s="9" t="s">
        <v>40</v>
      </c>
      <c r="F21" s="9" t="s">
        <v>41</v>
      </c>
      <c r="G21" s="10" t="s">
        <v>42</v>
      </c>
    </row>
    <row r="22" spans="1:15" x14ac:dyDescent="0.2">
      <c r="A22" s="37"/>
      <c r="B22" s="9">
        <v>61</v>
      </c>
      <c r="C22" s="9" t="s">
        <v>68</v>
      </c>
      <c r="D22" s="9" t="s">
        <v>39</v>
      </c>
      <c r="E22" s="9" t="s">
        <v>40</v>
      </c>
      <c r="F22" s="9" t="s">
        <v>41</v>
      </c>
      <c r="G22" s="10" t="s">
        <v>42</v>
      </c>
    </row>
    <row r="23" spans="1:15" x14ac:dyDescent="0.2">
      <c r="A23" s="39"/>
      <c r="B23" s="9">
        <v>61</v>
      </c>
      <c r="C23" s="9" t="s">
        <v>69</v>
      </c>
      <c r="D23" s="9" t="s">
        <v>39</v>
      </c>
      <c r="E23" s="9" t="s">
        <v>40</v>
      </c>
      <c r="F23" s="9" t="s">
        <v>41</v>
      </c>
      <c r="G23" s="10" t="s">
        <v>42</v>
      </c>
    </row>
    <row r="24" spans="1:15" x14ac:dyDescent="0.2">
      <c r="A24" s="37"/>
      <c r="B24" s="9">
        <v>61</v>
      </c>
      <c r="C24" s="9" t="s">
        <v>44</v>
      </c>
      <c r="D24" s="9" t="s">
        <v>39</v>
      </c>
      <c r="E24" s="9" t="s">
        <v>40</v>
      </c>
      <c r="F24" s="9" t="s">
        <v>41</v>
      </c>
      <c r="G24" s="10" t="s">
        <v>42</v>
      </c>
    </row>
    <row r="25" spans="1:15" x14ac:dyDescent="0.2">
      <c r="A25" s="38"/>
      <c r="B25" s="9">
        <v>61</v>
      </c>
      <c r="C25" s="9" t="s">
        <v>70</v>
      </c>
      <c r="D25" s="9" t="s">
        <v>39</v>
      </c>
      <c r="E25" s="9" t="s">
        <v>40</v>
      </c>
      <c r="F25" s="9" t="s">
        <v>41</v>
      </c>
      <c r="G25" s="10" t="s">
        <v>42</v>
      </c>
    </row>
    <row r="26" spans="1:15" x14ac:dyDescent="0.2">
      <c r="A26" s="36" t="s">
        <v>24</v>
      </c>
      <c r="B26" s="9">
        <v>61</v>
      </c>
      <c r="C26" s="9" t="s">
        <v>48</v>
      </c>
      <c r="D26" s="9" t="s">
        <v>39</v>
      </c>
      <c r="E26" s="9" t="s">
        <v>46</v>
      </c>
      <c r="F26" s="9" t="s">
        <v>47</v>
      </c>
      <c r="G26" s="10" t="s">
        <v>42</v>
      </c>
    </row>
    <row r="27" spans="1:15" x14ac:dyDescent="0.2">
      <c r="A27" s="39"/>
      <c r="B27" s="9">
        <v>61</v>
      </c>
      <c r="C27" s="9" t="s">
        <v>71</v>
      </c>
      <c r="D27" s="9" t="s">
        <v>39</v>
      </c>
      <c r="E27" s="9" t="s">
        <v>46</v>
      </c>
      <c r="F27" s="9" t="s">
        <v>47</v>
      </c>
      <c r="G27" s="10" t="s">
        <v>42</v>
      </c>
    </row>
    <row r="28" spans="1:15" x14ac:dyDescent="0.2">
      <c r="A28" s="37"/>
      <c r="B28" s="9">
        <v>61</v>
      </c>
      <c r="C28" s="9" t="s">
        <v>72</v>
      </c>
      <c r="D28" s="9" t="s">
        <v>39</v>
      </c>
      <c r="E28" s="9" t="s">
        <v>46</v>
      </c>
      <c r="F28" s="9" t="s">
        <v>51</v>
      </c>
      <c r="G28" s="10" t="s">
        <v>42</v>
      </c>
    </row>
    <row r="29" spans="1:15" x14ac:dyDescent="0.2">
      <c r="A29" s="39"/>
      <c r="B29" s="9">
        <v>61</v>
      </c>
      <c r="C29" s="9" t="s">
        <v>38</v>
      </c>
      <c r="D29" s="9" t="s">
        <v>39</v>
      </c>
      <c r="E29" s="9" t="s">
        <v>46</v>
      </c>
      <c r="F29" s="9" t="s">
        <v>51</v>
      </c>
      <c r="G29" s="10" t="s">
        <v>42</v>
      </c>
    </row>
    <row r="30" spans="1:15" x14ac:dyDescent="0.2">
      <c r="A30" s="37"/>
      <c r="B30" s="9">
        <v>61</v>
      </c>
      <c r="C30" s="9" t="s">
        <v>73</v>
      </c>
      <c r="D30" s="9" t="s">
        <v>39</v>
      </c>
      <c r="E30" s="9" t="s">
        <v>46</v>
      </c>
      <c r="F30" s="9" t="s">
        <v>51</v>
      </c>
      <c r="G30" s="10" t="s">
        <v>42</v>
      </c>
    </row>
    <row r="31" spans="1:15" x14ac:dyDescent="0.2">
      <c r="A31" s="39"/>
      <c r="B31" s="9">
        <v>61</v>
      </c>
      <c r="C31" s="9" t="s">
        <v>74</v>
      </c>
      <c r="D31" s="9" t="s">
        <v>39</v>
      </c>
      <c r="E31" s="9" t="s">
        <v>46</v>
      </c>
      <c r="F31" s="9" t="s">
        <v>51</v>
      </c>
      <c r="G31" s="10" t="s">
        <v>42</v>
      </c>
    </row>
    <row r="32" spans="1:15" x14ac:dyDescent="0.2">
      <c r="A32" s="37"/>
      <c r="B32" s="9">
        <v>61</v>
      </c>
      <c r="C32" s="9" t="s">
        <v>64</v>
      </c>
      <c r="D32" s="9" t="s">
        <v>39</v>
      </c>
      <c r="E32" s="9" t="s">
        <v>46</v>
      </c>
      <c r="F32" s="9" t="s">
        <v>47</v>
      </c>
      <c r="G32" s="10" t="s">
        <v>42</v>
      </c>
    </row>
    <row r="33" spans="1:7" x14ac:dyDescent="0.2">
      <c r="A33" s="39"/>
      <c r="B33" s="9">
        <v>61</v>
      </c>
      <c r="C33" s="9" t="s">
        <v>65</v>
      </c>
      <c r="D33" s="9" t="s">
        <v>39</v>
      </c>
      <c r="E33" s="9" t="s">
        <v>46</v>
      </c>
      <c r="F33" s="9" t="s">
        <v>51</v>
      </c>
      <c r="G33" s="10" t="s">
        <v>42</v>
      </c>
    </row>
    <row r="34" spans="1:7" x14ac:dyDescent="0.2">
      <c r="A34" s="37"/>
      <c r="B34" s="9">
        <v>61</v>
      </c>
      <c r="C34" s="9" t="s">
        <v>75</v>
      </c>
      <c r="D34" s="9" t="s">
        <v>39</v>
      </c>
      <c r="E34" s="9" t="s">
        <v>46</v>
      </c>
      <c r="F34" s="9" t="s">
        <v>51</v>
      </c>
      <c r="G34" s="10" t="s">
        <v>42</v>
      </c>
    </row>
    <row r="35" spans="1:7" x14ac:dyDescent="0.2">
      <c r="A35" s="39"/>
      <c r="B35" s="9">
        <v>61</v>
      </c>
      <c r="C35" s="9" t="s">
        <v>62</v>
      </c>
      <c r="D35" s="9" t="s">
        <v>39</v>
      </c>
      <c r="E35" s="9" t="s">
        <v>46</v>
      </c>
      <c r="F35" s="9" t="s">
        <v>51</v>
      </c>
      <c r="G35" s="10" t="s">
        <v>42</v>
      </c>
    </row>
    <row r="36" spans="1:7" x14ac:dyDescent="0.2">
      <c r="A36" s="37"/>
      <c r="B36" s="9">
        <v>61</v>
      </c>
      <c r="C36" s="9" t="s">
        <v>67</v>
      </c>
      <c r="D36" s="9" t="s">
        <v>39</v>
      </c>
      <c r="E36" s="9" t="s">
        <v>46</v>
      </c>
      <c r="F36" s="9" t="s">
        <v>51</v>
      </c>
      <c r="G36" s="10" t="s">
        <v>42</v>
      </c>
    </row>
    <row r="37" spans="1:7" ht="12.75" x14ac:dyDescent="0.2">
      <c r="A37" s="39"/>
      <c r="B37" s="9">
        <v>61</v>
      </c>
      <c r="C37" s="9" t="s">
        <v>76</v>
      </c>
      <c r="D37" s="9" t="s">
        <v>39</v>
      </c>
      <c r="E37" s="9" t="s">
        <v>46</v>
      </c>
      <c r="F37" s="9" t="s">
        <v>51</v>
      </c>
      <c r="G37" s="10" t="s">
        <v>42</v>
      </c>
    </row>
    <row r="38" spans="1:7" ht="12.75" x14ac:dyDescent="0.2">
      <c r="A38" s="37"/>
      <c r="B38" s="9">
        <v>61</v>
      </c>
      <c r="C38" s="9" t="s">
        <v>77</v>
      </c>
      <c r="D38" s="9" t="s">
        <v>39</v>
      </c>
      <c r="E38" s="9" t="s">
        <v>46</v>
      </c>
      <c r="F38" s="9" t="s">
        <v>51</v>
      </c>
      <c r="G38" s="10" t="s">
        <v>42</v>
      </c>
    </row>
    <row r="39" spans="1:7" ht="12.75" x14ac:dyDescent="0.2">
      <c r="A39" s="39"/>
      <c r="B39" s="9">
        <v>61</v>
      </c>
      <c r="C39" s="9" t="s">
        <v>78</v>
      </c>
      <c r="D39" s="9" t="s">
        <v>39</v>
      </c>
      <c r="E39" s="9" t="s">
        <v>46</v>
      </c>
      <c r="F39" s="9" t="s">
        <v>51</v>
      </c>
      <c r="G39" s="10" t="s">
        <v>42</v>
      </c>
    </row>
    <row r="40" spans="1:7" ht="12.75" x14ac:dyDescent="0.2">
      <c r="A40" s="37"/>
      <c r="B40" s="9">
        <v>61</v>
      </c>
      <c r="C40" s="9" t="s">
        <v>79</v>
      </c>
      <c r="D40" s="9" t="s">
        <v>39</v>
      </c>
      <c r="E40" s="9" t="s">
        <v>46</v>
      </c>
      <c r="F40" s="9" t="s">
        <v>51</v>
      </c>
      <c r="G40" s="10" t="s">
        <v>42</v>
      </c>
    </row>
    <row r="41" spans="1:7" ht="12.75" x14ac:dyDescent="0.2">
      <c r="A41" s="39"/>
      <c r="B41" s="9">
        <v>61</v>
      </c>
      <c r="C41" s="9" t="s">
        <v>44</v>
      </c>
      <c r="D41" s="9" t="s">
        <v>39</v>
      </c>
      <c r="E41" s="9" t="s">
        <v>46</v>
      </c>
      <c r="F41" s="9" t="s">
        <v>51</v>
      </c>
      <c r="G41" s="10" t="s">
        <v>42</v>
      </c>
    </row>
    <row r="42" spans="1:7" ht="12.75" x14ac:dyDescent="0.2">
      <c r="A42" s="37"/>
      <c r="B42" s="9">
        <v>61</v>
      </c>
      <c r="C42" s="9" t="s">
        <v>70</v>
      </c>
      <c r="D42" s="9" t="s">
        <v>39</v>
      </c>
      <c r="E42" s="9" t="s">
        <v>46</v>
      </c>
      <c r="F42" s="9" t="s">
        <v>51</v>
      </c>
      <c r="G42" s="10" t="s">
        <v>42</v>
      </c>
    </row>
    <row r="43" spans="1:7" ht="12.75" x14ac:dyDescent="0.2">
      <c r="A43" s="39"/>
      <c r="B43" s="9">
        <v>61</v>
      </c>
      <c r="C43" s="9" t="s">
        <v>80</v>
      </c>
      <c r="D43" s="9" t="s">
        <v>39</v>
      </c>
      <c r="E43" s="9" t="s">
        <v>46</v>
      </c>
      <c r="F43" s="9" t="s">
        <v>51</v>
      </c>
      <c r="G43" s="10" t="s">
        <v>42</v>
      </c>
    </row>
    <row r="44" spans="1:7" ht="12.75" x14ac:dyDescent="0.2">
      <c r="A44" s="37"/>
      <c r="B44" s="9">
        <v>61</v>
      </c>
      <c r="C44" s="9" t="s">
        <v>81</v>
      </c>
      <c r="D44" s="9" t="s">
        <v>39</v>
      </c>
      <c r="E44" s="9" t="s">
        <v>46</v>
      </c>
      <c r="F44" s="9" t="s">
        <v>51</v>
      </c>
      <c r="G44" s="10" t="s">
        <v>42</v>
      </c>
    </row>
    <row r="45" spans="1:7" ht="12.75" x14ac:dyDescent="0.2">
      <c r="A45" s="39"/>
      <c r="B45" s="9">
        <v>61</v>
      </c>
      <c r="C45" s="9" t="s">
        <v>82</v>
      </c>
      <c r="D45" s="9" t="s">
        <v>39</v>
      </c>
      <c r="E45" s="9" t="s">
        <v>46</v>
      </c>
      <c r="F45" s="9" t="s">
        <v>51</v>
      </c>
      <c r="G45" s="10" t="s">
        <v>42</v>
      </c>
    </row>
    <row r="46" spans="1:7" ht="12.75" x14ac:dyDescent="0.2">
      <c r="A46" s="37"/>
      <c r="B46" s="9">
        <v>61</v>
      </c>
      <c r="C46" s="9" t="s">
        <v>83</v>
      </c>
      <c r="D46" s="9" t="s">
        <v>39</v>
      </c>
      <c r="E46" s="9" t="s">
        <v>46</v>
      </c>
      <c r="F46" s="9" t="s">
        <v>51</v>
      </c>
      <c r="G46" s="10" t="s">
        <v>42</v>
      </c>
    </row>
    <row r="47" spans="1:7" ht="12.75" x14ac:dyDescent="0.2">
      <c r="A47" s="39"/>
      <c r="B47" s="9">
        <v>61</v>
      </c>
      <c r="C47" s="9" t="s">
        <v>84</v>
      </c>
      <c r="D47" s="9" t="s">
        <v>39</v>
      </c>
      <c r="E47" s="9" t="s">
        <v>46</v>
      </c>
      <c r="F47" s="9" t="s">
        <v>51</v>
      </c>
      <c r="G47" s="10" t="s">
        <v>42</v>
      </c>
    </row>
    <row r="48" spans="1:7" ht="12.75" x14ac:dyDescent="0.2">
      <c r="A48" s="37"/>
      <c r="B48" s="9">
        <v>61</v>
      </c>
      <c r="C48" s="9" t="s">
        <v>85</v>
      </c>
      <c r="D48" s="9" t="s">
        <v>39</v>
      </c>
      <c r="E48" s="9" t="s">
        <v>46</v>
      </c>
      <c r="F48" s="9" t="s">
        <v>51</v>
      </c>
      <c r="G48" s="10" t="s">
        <v>42</v>
      </c>
    </row>
    <row r="49" spans="1:7" ht="12.75" x14ac:dyDescent="0.2">
      <c r="A49" s="39"/>
      <c r="B49" s="9">
        <v>61</v>
      </c>
      <c r="C49" s="9" t="s">
        <v>86</v>
      </c>
      <c r="D49" s="9" t="s">
        <v>39</v>
      </c>
      <c r="E49" s="9" t="s">
        <v>46</v>
      </c>
      <c r="F49" s="9" t="s">
        <v>51</v>
      </c>
      <c r="G49" s="10" t="s">
        <v>42</v>
      </c>
    </row>
    <row r="50" spans="1:7" ht="12.75" x14ac:dyDescent="0.2">
      <c r="A50" s="37"/>
      <c r="B50" s="9">
        <v>61</v>
      </c>
      <c r="C50" s="9" t="s">
        <v>87</v>
      </c>
      <c r="D50" s="9" t="s">
        <v>39</v>
      </c>
      <c r="E50" s="9" t="s">
        <v>46</v>
      </c>
      <c r="F50" s="9" t="s">
        <v>51</v>
      </c>
      <c r="G50" s="10" t="s">
        <v>42</v>
      </c>
    </row>
    <row r="51" spans="1:7" ht="12.75" x14ac:dyDescent="0.2">
      <c r="A51" s="39"/>
      <c r="B51" s="9">
        <v>61</v>
      </c>
      <c r="C51" s="9" t="s">
        <v>88</v>
      </c>
      <c r="D51" s="9" t="s">
        <v>39</v>
      </c>
      <c r="E51" s="9" t="s">
        <v>46</v>
      </c>
      <c r="F51" s="9" t="s">
        <v>51</v>
      </c>
      <c r="G51" s="10" t="s">
        <v>42</v>
      </c>
    </row>
    <row r="52" spans="1:7" ht="12.75" x14ac:dyDescent="0.2">
      <c r="A52" s="40"/>
      <c r="B52" s="9">
        <v>61</v>
      </c>
      <c r="C52" s="9" t="s">
        <v>89</v>
      </c>
      <c r="D52" s="9" t="s">
        <v>39</v>
      </c>
      <c r="E52" s="9" t="s">
        <v>46</v>
      </c>
      <c r="F52" s="9" t="s">
        <v>51</v>
      </c>
      <c r="G52" s="10" t="s">
        <v>42</v>
      </c>
    </row>
    <row r="53" spans="1:7" ht="12.75" x14ac:dyDescent="0.2">
      <c r="A53" s="36" t="s">
        <v>25</v>
      </c>
      <c r="B53" s="9">
        <v>61</v>
      </c>
      <c r="C53" s="9" t="s">
        <v>90</v>
      </c>
      <c r="D53" s="9" t="s">
        <v>39</v>
      </c>
      <c r="E53" s="9" t="s">
        <v>46</v>
      </c>
      <c r="F53" s="9" t="s">
        <v>41</v>
      </c>
      <c r="G53" s="10" t="s">
        <v>42</v>
      </c>
    </row>
    <row r="54" spans="1:7" ht="12.75" x14ac:dyDescent="0.2">
      <c r="A54" s="37"/>
      <c r="B54" s="9">
        <v>61</v>
      </c>
      <c r="C54" s="9" t="s">
        <v>91</v>
      </c>
      <c r="D54" s="9" t="s">
        <v>39</v>
      </c>
      <c r="E54" s="9" t="s">
        <v>46</v>
      </c>
      <c r="F54" s="9" t="s">
        <v>41</v>
      </c>
      <c r="G54" s="10" t="s">
        <v>42</v>
      </c>
    </row>
    <row r="55" spans="1:7" ht="12.75" x14ac:dyDescent="0.2">
      <c r="A55" s="39"/>
      <c r="B55" s="9">
        <v>61</v>
      </c>
      <c r="C55" s="9" t="s">
        <v>92</v>
      </c>
      <c r="D55" s="9" t="s">
        <v>39</v>
      </c>
      <c r="E55" s="9" t="s">
        <v>46</v>
      </c>
      <c r="F55" s="9" t="s">
        <v>41</v>
      </c>
      <c r="G55" s="10" t="s">
        <v>42</v>
      </c>
    </row>
    <row r="56" spans="1:7" ht="12.75" x14ac:dyDescent="0.2">
      <c r="A56" s="37"/>
      <c r="B56" s="9">
        <v>61</v>
      </c>
      <c r="C56" s="9" t="s">
        <v>85</v>
      </c>
      <c r="D56" s="9" t="s">
        <v>39</v>
      </c>
      <c r="E56" s="9" t="s">
        <v>46</v>
      </c>
      <c r="F56" s="9" t="s">
        <v>41</v>
      </c>
      <c r="G56" s="10" t="s">
        <v>42</v>
      </c>
    </row>
    <row r="57" spans="1:7" ht="12.75" x14ac:dyDescent="0.2">
      <c r="A57" s="39"/>
      <c r="B57" s="9">
        <v>61</v>
      </c>
      <c r="C57" s="9" t="s">
        <v>93</v>
      </c>
      <c r="D57" s="9" t="s">
        <v>94</v>
      </c>
      <c r="E57" s="9" t="s">
        <v>46</v>
      </c>
      <c r="F57" s="9" t="s">
        <v>41</v>
      </c>
      <c r="G57" s="10" t="s">
        <v>42</v>
      </c>
    </row>
    <row r="58" spans="1:7" ht="12.75" x14ac:dyDescent="0.2">
      <c r="A58" s="37"/>
      <c r="B58" s="9">
        <v>61</v>
      </c>
      <c r="C58" s="9" t="s">
        <v>83</v>
      </c>
      <c r="D58" s="9" t="s">
        <v>39</v>
      </c>
      <c r="E58" s="9" t="s">
        <v>46</v>
      </c>
      <c r="F58" s="9" t="s">
        <v>41</v>
      </c>
      <c r="G58" s="10" t="s">
        <v>42</v>
      </c>
    </row>
    <row r="59" spans="1:7" ht="12.75" x14ac:dyDescent="0.2">
      <c r="A59" s="39"/>
      <c r="B59" s="9">
        <v>61</v>
      </c>
      <c r="C59" s="9" t="s">
        <v>95</v>
      </c>
      <c r="D59" s="9" t="s">
        <v>39</v>
      </c>
      <c r="E59" s="9" t="s">
        <v>46</v>
      </c>
      <c r="F59" s="9" t="s">
        <v>41</v>
      </c>
      <c r="G59" s="10" t="s">
        <v>42</v>
      </c>
    </row>
    <row r="60" spans="1:7" ht="12.75" x14ac:dyDescent="0.2">
      <c r="A60" s="37"/>
      <c r="B60" s="9">
        <v>61</v>
      </c>
      <c r="C60" s="9" t="s">
        <v>96</v>
      </c>
      <c r="D60" s="9" t="s">
        <v>39</v>
      </c>
      <c r="E60" s="9" t="s">
        <v>46</v>
      </c>
      <c r="F60" s="9" t="s">
        <v>41</v>
      </c>
      <c r="G60" s="10" t="s">
        <v>42</v>
      </c>
    </row>
    <row r="61" spans="1:7" ht="12.75" x14ac:dyDescent="0.2">
      <c r="A61" s="39"/>
      <c r="B61" s="9">
        <v>61</v>
      </c>
      <c r="C61" s="9" t="s">
        <v>97</v>
      </c>
      <c r="D61" s="9" t="s">
        <v>39</v>
      </c>
      <c r="E61" s="9" t="s">
        <v>46</v>
      </c>
      <c r="F61" s="9" t="s">
        <v>41</v>
      </c>
      <c r="G61" s="10" t="s">
        <v>42</v>
      </c>
    </row>
    <row r="62" spans="1:7" ht="12.75" x14ac:dyDescent="0.2">
      <c r="A62" s="37"/>
      <c r="B62" s="9">
        <v>61</v>
      </c>
      <c r="C62" s="9" t="s">
        <v>66</v>
      </c>
      <c r="D62" s="9" t="s">
        <v>39</v>
      </c>
      <c r="E62" s="9" t="s">
        <v>46</v>
      </c>
      <c r="F62" s="9" t="s">
        <v>41</v>
      </c>
      <c r="G62" s="10" t="s">
        <v>42</v>
      </c>
    </row>
    <row r="63" spans="1:7" ht="12.75" x14ac:dyDescent="0.2">
      <c r="A63" s="39"/>
      <c r="B63" s="9">
        <v>61</v>
      </c>
      <c r="C63" s="9" t="s">
        <v>98</v>
      </c>
      <c r="D63" s="9" t="s">
        <v>39</v>
      </c>
      <c r="E63" s="9" t="s">
        <v>46</v>
      </c>
      <c r="F63" s="9" t="s">
        <v>41</v>
      </c>
      <c r="G63" s="10" t="s">
        <v>42</v>
      </c>
    </row>
    <row r="64" spans="1:7" ht="12.75" x14ac:dyDescent="0.2">
      <c r="A64" s="37"/>
      <c r="B64" s="9">
        <v>61</v>
      </c>
      <c r="C64" s="9" t="s">
        <v>80</v>
      </c>
      <c r="D64" s="9" t="s">
        <v>39</v>
      </c>
      <c r="E64" s="9" t="s">
        <v>46</v>
      </c>
      <c r="F64" s="9" t="s">
        <v>41</v>
      </c>
      <c r="G64" s="10" t="s">
        <v>42</v>
      </c>
    </row>
    <row r="65" spans="1:7" ht="12.75" x14ac:dyDescent="0.2">
      <c r="A65" s="39"/>
      <c r="B65" s="9">
        <v>61</v>
      </c>
      <c r="C65" s="9" t="s">
        <v>99</v>
      </c>
      <c r="D65" s="9" t="s">
        <v>39</v>
      </c>
      <c r="E65" s="9" t="s">
        <v>46</v>
      </c>
      <c r="F65" s="9" t="s">
        <v>41</v>
      </c>
      <c r="G65" s="10" t="s">
        <v>42</v>
      </c>
    </row>
    <row r="66" spans="1:7" ht="12.75" x14ac:dyDescent="0.2">
      <c r="A66" s="37"/>
      <c r="B66" s="9">
        <v>61</v>
      </c>
      <c r="C66" s="9" t="s">
        <v>100</v>
      </c>
      <c r="D66" s="9" t="s">
        <v>39</v>
      </c>
      <c r="E66" s="9" t="s">
        <v>46</v>
      </c>
      <c r="F66" s="9" t="s">
        <v>41</v>
      </c>
      <c r="G66" s="10" t="s">
        <v>42</v>
      </c>
    </row>
    <row r="67" spans="1:7" ht="12.75" x14ac:dyDescent="0.2">
      <c r="A67" s="39"/>
      <c r="B67" s="9">
        <v>61</v>
      </c>
      <c r="C67" s="9" t="s">
        <v>101</v>
      </c>
      <c r="D67" s="9" t="s">
        <v>39</v>
      </c>
      <c r="E67" s="9" t="s">
        <v>46</v>
      </c>
      <c r="F67" s="9" t="s">
        <v>41</v>
      </c>
      <c r="G67" s="10" t="s">
        <v>42</v>
      </c>
    </row>
    <row r="68" spans="1:7" ht="12.75" x14ac:dyDescent="0.2">
      <c r="A68" s="37"/>
      <c r="B68" s="9">
        <v>61</v>
      </c>
      <c r="C68" s="9" t="s">
        <v>102</v>
      </c>
      <c r="D68" s="9" t="s">
        <v>39</v>
      </c>
      <c r="E68" s="9" t="s">
        <v>46</v>
      </c>
      <c r="F68" s="9" t="s">
        <v>51</v>
      </c>
      <c r="G68" s="10" t="s">
        <v>42</v>
      </c>
    </row>
    <row r="69" spans="1:7" ht="12.75" x14ac:dyDescent="0.2">
      <c r="A69" s="39"/>
      <c r="B69" s="9">
        <v>61</v>
      </c>
      <c r="C69" s="9" t="s">
        <v>103</v>
      </c>
      <c r="D69" s="9" t="s">
        <v>39</v>
      </c>
      <c r="E69" s="9" t="s">
        <v>46</v>
      </c>
      <c r="F69" s="9" t="s">
        <v>51</v>
      </c>
      <c r="G69" s="10" t="s">
        <v>42</v>
      </c>
    </row>
    <row r="70" spans="1:7" ht="12.75" x14ac:dyDescent="0.2">
      <c r="A70" s="37"/>
      <c r="B70" s="9">
        <v>61</v>
      </c>
      <c r="C70" s="9" t="s">
        <v>67</v>
      </c>
      <c r="D70" s="9" t="s">
        <v>39</v>
      </c>
      <c r="E70" s="9" t="s">
        <v>46</v>
      </c>
      <c r="F70" s="9" t="s">
        <v>51</v>
      </c>
      <c r="G70" s="10" t="s">
        <v>42</v>
      </c>
    </row>
    <row r="71" spans="1:7" ht="12.75" x14ac:dyDescent="0.2">
      <c r="A71" s="38"/>
      <c r="B71" s="9">
        <v>61</v>
      </c>
      <c r="C71" s="9" t="s">
        <v>75</v>
      </c>
      <c r="D71" s="9" t="s">
        <v>39</v>
      </c>
      <c r="E71" s="9" t="s">
        <v>46</v>
      </c>
      <c r="F71" s="9" t="s">
        <v>51</v>
      </c>
      <c r="G71" s="10" t="s">
        <v>42</v>
      </c>
    </row>
    <row r="72" spans="1:7" ht="12.75" x14ac:dyDescent="0.2">
      <c r="A72" s="36" t="s">
        <v>26</v>
      </c>
      <c r="B72" s="9">
        <v>61</v>
      </c>
      <c r="C72" s="9" t="s">
        <v>104</v>
      </c>
      <c r="D72" s="9" t="s">
        <v>39</v>
      </c>
      <c r="E72" s="9" t="s">
        <v>46</v>
      </c>
      <c r="F72" s="9" t="s">
        <v>51</v>
      </c>
      <c r="G72" s="10" t="s">
        <v>42</v>
      </c>
    </row>
    <row r="73" spans="1:7" ht="12.75" x14ac:dyDescent="0.2">
      <c r="A73" s="39"/>
      <c r="B73" s="9">
        <v>61</v>
      </c>
      <c r="C73" s="9" t="s">
        <v>70</v>
      </c>
      <c r="D73" s="9" t="s">
        <v>39</v>
      </c>
      <c r="E73" s="9" t="s">
        <v>46</v>
      </c>
      <c r="F73" s="9" t="s">
        <v>51</v>
      </c>
      <c r="G73" s="10" t="s">
        <v>42</v>
      </c>
    </row>
    <row r="74" spans="1:7" ht="12.75" x14ac:dyDescent="0.2">
      <c r="A74" s="37"/>
      <c r="B74" s="9">
        <v>61</v>
      </c>
      <c r="C74" s="9" t="s">
        <v>62</v>
      </c>
      <c r="D74" s="9" t="s">
        <v>39</v>
      </c>
      <c r="E74" s="9" t="s">
        <v>46</v>
      </c>
      <c r="F74" s="9" t="s">
        <v>51</v>
      </c>
      <c r="G74" s="10" t="s">
        <v>42</v>
      </c>
    </row>
    <row r="75" spans="1:7" ht="12.75" x14ac:dyDescent="0.2">
      <c r="A75" s="39"/>
      <c r="B75" s="9">
        <v>61</v>
      </c>
      <c r="C75" s="9" t="s">
        <v>105</v>
      </c>
      <c r="D75" s="9" t="s">
        <v>39</v>
      </c>
      <c r="E75" s="9" t="s">
        <v>46</v>
      </c>
      <c r="F75" s="9" t="s">
        <v>47</v>
      </c>
      <c r="G75" s="10" t="s">
        <v>42</v>
      </c>
    </row>
    <row r="76" spans="1:7" ht="12.75" x14ac:dyDescent="0.2">
      <c r="A76" s="37"/>
      <c r="B76" s="9">
        <v>61</v>
      </c>
      <c r="C76" s="9" t="s">
        <v>106</v>
      </c>
      <c r="D76" s="9" t="s">
        <v>39</v>
      </c>
      <c r="E76" s="9" t="s">
        <v>46</v>
      </c>
      <c r="F76" s="9" t="s">
        <v>51</v>
      </c>
      <c r="G76" s="10" t="s">
        <v>42</v>
      </c>
    </row>
    <row r="77" spans="1:7" ht="12.75" x14ac:dyDescent="0.2">
      <c r="A77" s="39"/>
      <c r="B77" s="9">
        <v>61</v>
      </c>
      <c r="C77" s="9" t="s">
        <v>65</v>
      </c>
      <c r="D77" s="9" t="s">
        <v>39</v>
      </c>
      <c r="E77" s="9" t="s">
        <v>46</v>
      </c>
      <c r="F77" s="9" t="s">
        <v>51</v>
      </c>
      <c r="G77" s="10" t="s">
        <v>42</v>
      </c>
    </row>
    <row r="78" spans="1:7" ht="12.75" x14ac:dyDescent="0.2">
      <c r="A78" s="37"/>
      <c r="B78" s="9">
        <v>61</v>
      </c>
      <c r="C78" s="9" t="s">
        <v>107</v>
      </c>
      <c r="D78" s="9" t="s">
        <v>39</v>
      </c>
      <c r="E78" s="9" t="s">
        <v>46</v>
      </c>
      <c r="F78" s="9" t="s">
        <v>51</v>
      </c>
      <c r="G78" s="10" t="s">
        <v>42</v>
      </c>
    </row>
    <row r="79" spans="1:7" ht="12.75" x14ac:dyDescent="0.2">
      <c r="A79" s="39"/>
      <c r="B79" s="9">
        <v>61</v>
      </c>
      <c r="C79" s="9" t="s">
        <v>64</v>
      </c>
      <c r="D79" s="9" t="s">
        <v>39</v>
      </c>
      <c r="E79" s="9" t="s">
        <v>46</v>
      </c>
      <c r="F79" s="9" t="s">
        <v>51</v>
      </c>
      <c r="G79" s="10" t="s">
        <v>42</v>
      </c>
    </row>
    <row r="80" spans="1:7" ht="12.75" x14ac:dyDescent="0.2">
      <c r="A80" s="37"/>
      <c r="B80" s="9">
        <v>61</v>
      </c>
      <c r="C80" s="9" t="s">
        <v>38</v>
      </c>
      <c r="D80" s="9" t="s">
        <v>39</v>
      </c>
      <c r="E80" s="9" t="s">
        <v>46</v>
      </c>
      <c r="F80" s="9" t="s">
        <v>51</v>
      </c>
      <c r="G80" s="10" t="s">
        <v>42</v>
      </c>
    </row>
    <row r="81" spans="1:7" ht="12.75" x14ac:dyDescent="0.2">
      <c r="A81" s="39"/>
      <c r="B81" s="9">
        <v>61</v>
      </c>
      <c r="C81" s="9" t="s">
        <v>108</v>
      </c>
      <c r="D81" s="9" t="s">
        <v>39</v>
      </c>
      <c r="E81" s="9" t="s">
        <v>46</v>
      </c>
      <c r="F81" s="9" t="s">
        <v>51</v>
      </c>
      <c r="G81" s="10" t="s">
        <v>42</v>
      </c>
    </row>
    <row r="82" spans="1:7" ht="12.75" x14ac:dyDescent="0.2">
      <c r="A82" s="37"/>
      <c r="B82" s="9">
        <v>61</v>
      </c>
      <c r="C82" s="9" t="s">
        <v>64</v>
      </c>
      <c r="D82" s="9" t="s">
        <v>39</v>
      </c>
      <c r="E82" s="9" t="s">
        <v>46</v>
      </c>
      <c r="F82" s="9" t="s">
        <v>51</v>
      </c>
      <c r="G82" s="10" t="s">
        <v>42</v>
      </c>
    </row>
    <row r="83" spans="1:7" ht="12.75" x14ac:dyDescent="0.2">
      <c r="A83" s="39"/>
      <c r="B83" s="9">
        <v>61</v>
      </c>
      <c r="C83" s="9" t="s">
        <v>73</v>
      </c>
      <c r="D83" s="9" t="s">
        <v>39</v>
      </c>
      <c r="E83" s="9" t="s">
        <v>46</v>
      </c>
      <c r="F83" s="9" t="s">
        <v>51</v>
      </c>
      <c r="G83" s="10" t="s">
        <v>42</v>
      </c>
    </row>
    <row r="84" spans="1:7" ht="12.75" x14ac:dyDescent="0.2">
      <c r="A84" s="37"/>
      <c r="B84" s="9">
        <v>61</v>
      </c>
      <c r="C84" s="9" t="s">
        <v>109</v>
      </c>
      <c r="D84" s="9" t="s">
        <v>39</v>
      </c>
      <c r="E84" s="9" t="s">
        <v>46</v>
      </c>
      <c r="F84" s="9" t="s">
        <v>51</v>
      </c>
      <c r="G84" s="10" t="s">
        <v>42</v>
      </c>
    </row>
    <row r="85" spans="1:7" ht="12.75" x14ac:dyDescent="0.2">
      <c r="A85" s="39"/>
      <c r="B85" s="9">
        <v>61</v>
      </c>
      <c r="C85" s="9" t="s">
        <v>110</v>
      </c>
      <c r="D85" s="9" t="s">
        <v>39</v>
      </c>
      <c r="E85" s="9" t="s">
        <v>46</v>
      </c>
      <c r="F85" s="9" t="s">
        <v>51</v>
      </c>
      <c r="G85" s="10" t="s">
        <v>42</v>
      </c>
    </row>
    <row r="86" spans="1:7" ht="12.75" x14ac:dyDescent="0.2">
      <c r="A86" s="37"/>
      <c r="B86" s="9">
        <v>61</v>
      </c>
      <c r="C86" s="9" t="s">
        <v>110</v>
      </c>
      <c r="D86" s="9" t="s">
        <v>39</v>
      </c>
      <c r="E86" s="9" t="s">
        <v>46</v>
      </c>
      <c r="F86" s="9" t="s">
        <v>51</v>
      </c>
      <c r="G86" s="10" t="s">
        <v>42</v>
      </c>
    </row>
    <row r="87" spans="1:7" ht="12.75" x14ac:dyDescent="0.2">
      <c r="A87" s="39"/>
      <c r="B87" s="9">
        <v>61</v>
      </c>
      <c r="C87" s="9" t="s">
        <v>73</v>
      </c>
      <c r="D87" s="9" t="s">
        <v>39</v>
      </c>
      <c r="E87" s="9" t="s">
        <v>46</v>
      </c>
      <c r="F87" s="9" t="s">
        <v>51</v>
      </c>
      <c r="G87" s="10" t="s">
        <v>42</v>
      </c>
    </row>
    <row r="88" spans="1:7" ht="12.75" x14ac:dyDescent="0.2">
      <c r="A88" s="37"/>
      <c r="B88" s="9">
        <v>61</v>
      </c>
      <c r="C88" s="9" t="s">
        <v>74</v>
      </c>
      <c r="D88" s="9" t="s">
        <v>39</v>
      </c>
      <c r="E88" s="9" t="s">
        <v>46</v>
      </c>
      <c r="F88" s="9" t="s">
        <v>51</v>
      </c>
      <c r="G88" s="10" t="s">
        <v>42</v>
      </c>
    </row>
    <row r="89" spans="1:7" ht="12.75" x14ac:dyDescent="0.2">
      <c r="A89" s="39"/>
      <c r="B89" s="9">
        <v>61</v>
      </c>
      <c r="C89" s="9" t="s">
        <v>111</v>
      </c>
      <c r="D89" s="9" t="s">
        <v>39</v>
      </c>
      <c r="E89" s="9" t="s">
        <v>46</v>
      </c>
      <c r="F89" s="9" t="s">
        <v>51</v>
      </c>
      <c r="G89" s="10" t="s">
        <v>42</v>
      </c>
    </row>
    <row r="90" spans="1:7" ht="12.75" x14ac:dyDescent="0.2">
      <c r="A90" s="37"/>
      <c r="B90" s="9">
        <v>61</v>
      </c>
      <c r="C90" s="9" t="s">
        <v>64</v>
      </c>
      <c r="D90" s="9" t="s">
        <v>39</v>
      </c>
      <c r="E90" s="9" t="s">
        <v>46</v>
      </c>
      <c r="F90" s="9" t="s">
        <v>51</v>
      </c>
      <c r="G90" s="10" t="s">
        <v>42</v>
      </c>
    </row>
    <row r="91" spans="1:7" ht="12.75" x14ac:dyDescent="0.2">
      <c r="A91" s="39"/>
      <c r="B91" s="9">
        <v>61</v>
      </c>
      <c r="C91" s="9" t="s">
        <v>38</v>
      </c>
      <c r="D91" s="9" t="s">
        <v>39</v>
      </c>
      <c r="E91" s="9" t="s">
        <v>46</v>
      </c>
      <c r="F91" s="9" t="s">
        <v>51</v>
      </c>
      <c r="G91" s="10" t="s">
        <v>42</v>
      </c>
    </row>
    <row r="92" spans="1:7" ht="12.75" x14ac:dyDescent="0.2">
      <c r="A92" s="37"/>
      <c r="B92" s="9">
        <v>61</v>
      </c>
      <c r="C92" s="9" t="s">
        <v>107</v>
      </c>
      <c r="D92" s="9" t="s">
        <v>39</v>
      </c>
      <c r="E92" s="9" t="s">
        <v>46</v>
      </c>
      <c r="F92" s="9" t="s">
        <v>51</v>
      </c>
      <c r="G92" s="10" t="s">
        <v>42</v>
      </c>
    </row>
    <row r="93" spans="1:7" ht="12.75" x14ac:dyDescent="0.2">
      <c r="A93" s="39"/>
      <c r="B93" s="9">
        <v>61</v>
      </c>
      <c r="C93" s="9" t="s">
        <v>65</v>
      </c>
      <c r="D93" s="9" t="s">
        <v>39</v>
      </c>
      <c r="E93" s="9" t="s">
        <v>46</v>
      </c>
      <c r="F93" s="9" t="s">
        <v>51</v>
      </c>
      <c r="G93" s="10" t="s">
        <v>42</v>
      </c>
    </row>
    <row r="94" spans="1:7" ht="12.75" x14ac:dyDescent="0.2">
      <c r="A94" s="37"/>
      <c r="B94" s="9">
        <v>61</v>
      </c>
      <c r="C94" s="9" t="s">
        <v>106</v>
      </c>
      <c r="D94" s="9" t="s">
        <v>39</v>
      </c>
      <c r="E94" s="9" t="s">
        <v>46</v>
      </c>
      <c r="F94" s="9" t="s">
        <v>51</v>
      </c>
      <c r="G94" s="10" t="s">
        <v>42</v>
      </c>
    </row>
    <row r="95" spans="1:7" ht="12.75" x14ac:dyDescent="0.2">
      <c r="A95" s="39"/>
      <c r="B95" s="9">
        <v>61</v>
      </c>
      <c r="C95" s="9" t="s">
        <v>62</v>
      </c>
      <c r="D95" s="9" t="s">
        <v>39</v>
      </c>
      <c r="E95" s="9" t="s">
        <v>46</v>
      </c>
      <c r="F95" s="9" t="s">
        <v>51</v>
      </c>
      <c r="G95" s="10" t="s">
        <v>42</v>
      </c>
    </row>
    <row r="96" spans="1:7" ht="12.75" x14ac:dyDescent="0.2">
      <c r="A96" s="37"/>
      <c r="B96" s="9">
        <v>61</v>
      </c>
      <c r="C96" s="9" t="s">
        <v>75</v>
      </c>
      <c r="D96" s="9" t="s">
        <v>39</v>
      </c>
      <c r="E96" s="9" t="s">
        <v>46</v>
      </c>
      <c r="F96" s="9" t="s">
        <v>51</v>
      </c>
      <c r="G96" s="10" t="s">
        <v>42</v>
      </c>
    </row>
    <row r="97" spans="1:7" ht="12.75" x14ac:dyDescent="0.2">
      <c r="A97" s="39"/>
      <c r="B97" s="9">
        <v>61</v>
      </c>
      <c r="C97" s="9" t="s">
        <v>67</v>
      </c>
      <c r="D97" s="9" t="s">
        <v>39</v>
      </c>
      <c r="E97" s="9" t="s">
        <v>46</v>
      </c>
      <c r="F97" s="9" t="s">
        <v>51</v>
      </c>
      <c r="G97" s="10" t="s">
        <v>42</v>
      </c>
    </row>
    <row r="98" spans="1:7" ht="12.75" x14ac:dyDescent="0.2">
      <c r="A98" s="37"/>
      <c r="B98" s="9">
        <v>61</v>
      </c>
      <c r="C98" s="9" t="s">
        <v>112</v>
      </c>
      <c r="D98" s="9" t="s">
        <v>39</v>
      </c>
      <c r="E98" s="9" t="s">
        <v>46</v>
      </c>
      <c r="F98" s="9" t="s">
        <v>51</v>
      </c>
      <c r="G98" s="10" t="s">
        <v>42</v>
      </c>
    </row>
    <row r="99" spans="1:7" ht="12.75" x14ac:dyDescent="0.2">
      <c r="A99" s="39"/>
      <c r="B99" s="9">
        <v>61</v>
      </c>
      <c r="C99" s="9" t="s">
        <v>103</v>
      </c>
      <c r="D99" s="9" t="s">
        <v>39</v>
      </c>
      <c r="E99" s="9" t="s">
        <v>46</v>
      </c>
      <c r="F99" s="9" t="s">
        <v>51</v>
      </c>
      <c r="G99" s="10" t="s">
        <v>42</v>
      </c>
    </row>
    <row r="100" spans="1:7" ht="12.75" x14ac:dyDescent="0.2">
      <c r="A100" s="37"/>
      <c r="B100" s="9">
        <v>61</v>
      </c>
      <c r="C100" s="9" t="s">
        <v>102</v>
      </c>
      <c r="D100" s="9" t="s">
        <v>39</v>
      </c>
      <c r="E100" s="9" t="s">
        <v>46</v>
      </c>
      <c r="F100" s="9" t="s">
        <v>51</v>
      </c>
      <c r="G100" s="10" t="s">
        <v>42</v>
      </c>
    </row>
    <row r="101" spans="1:7" ht="12.75" x14ac:dyDescent="0.2">
      <c r="A101" s="39"/>
      <c r="B101" s="9">
        <v>61</v>
      </c>
      <c r="C101" s="9" t="s">
        <v>113</v>
      </c>
      <c r="D101" s="9" t="s">
        <v>39</v>
      </c>
      <c r="E101" s="9" t="s">
        <v>46</v>
      </c>
      <c r="F101" s="9" t="s">
        <v>51</v>
      </c>
      <c r="G101" s="10" t="s">
        <v>42</v>
      </c>
    </row>
    <row r="102" spans="1:7" ht="12.75" x14ac:dyDescent="0.2">
      <c r="A102" s="37"/>
      <c r="B102" s="9">
        <v>61</v>
      </c>
      <c r="C102" s="9" t="s">
        <v>100</v>
      </c>
      <c r="D102" s="9" t="s">
        <v>39</v>
      </c>
      <c r="E102" s="9" t="s">
        <v>46</v>
      </c>
      <c r="F102" s="9" t="s">
        <v>51</v>
      </c>
      <c r="G102" s="10" t="s">
        <v>42</v>
      </c>
    </row>
    <row r="103" spans="1:7" ht="12.75" x14ac:dyDescent="0.2">
      <c r="A103" s="39"/>
      <c r="B103" s="9">
        <v>61</v>
      </c>
      <c r="C103" s="9" t="s">
        <v>70</v>
      </c>
      <c r="D103" s="9" t="s">
        <v>39</v>
      </c>
      <c r="E103" s="9" t="s">
        <v>46</v>
      </c>
      <c r="F103" s="9" t="s">
        <v>51</v>
      </c>
      <c r="G103" s="10" t="s">
        <v>42</v>
      </c>
    </row>
    <row r="104" spans="1:7" ht="12.75" x14ac:dyDescent="0.2">
      <c r="A104" s="37"/>
      <c r="B104" s="9">
        <v>61</v>
      </c>
      <c r="C104" s="9" t="s">
        <v>104</v>
      </c>
      <c r="D104" s="9" t="s">
        <v>39</v>
      </c>
      <c r="E104" s="9" t="s">
        <v>46</v>
      </c>
      <c r="F104" s="9" t="s">
        <v>51</v>
      </c>
      <c r="G104" s="10" t="s">
        <v>42</v>
      </c>
    </row>
    <row r="105" spans="1:7" ht="12.75" x14ac:dyDescent="0.2">
      <c r="A105" s="39"/>
      <c r="B105" s="9">
        <v>61</v>
      </c>
      <c r="C105" s="9" t="s">
        <v>80</v>
      </c>
      <c r="D105" s="9" t="s">
        <v>39</v>
      </c>
      <c r="E105" s="9" t="s">
        <v>46</v>
      </c>
      <c r="F105" s="9" t="s">
        <v>51</v>
      </c>
      <c r="G105" s="10" t="s">
        <v>42</v>
      </c>
    </row>
    <row r="106" spans="1:7" ht="12.75" x14ac:dyDescent="0.2">
      <c r="A106" s="37"/>
      <c r="B106" s="9">
        <v>61</v>
      </c>
      <c r="C106" s="9" t="s">
        <v>98</v>
      </c>
      <c r="D106" s="9" t="s">
        <v>39</v>
      </c>
      <c r="E106" s="9" t="s">
        <v>46</v>
      </c>
      <c r="F106" s="9" t="s">
        <v>51</v>
      </c>
      <c r="G106" s="10" t="s">
        <v>42</v>
      </c>
    </row>
    <row r="107" spans="1:7" ht="12.75" x14ac:dyDescent="0.2">
      <c r="A107" s="39"/>
      <c r="B107" s="9">
        <v>61</v>
      </c>
      <c r="C107" s="9" t="s">
        <v>66</v>
      </c>
      <c r="D107" s="9" t="s">
        <v>39</v>
      </c>
      <c r="E107" s="9" t="s">
        <v>46</v>
      </c>
      <c r="F107" s="9" t="s">
        <v>51</v>
      </c>
      <c r="G107" s="10" t="s">
        <v>42</v>
      </c>
    </row>
    <row r="108" spans="1:7" ht="12.75" x14ac:dyDescent="0.2">
      <c r="A108" s="37"/>
      <c r="B108" s="9">
        <v>61</v>
      </c>
      <c r="C108" s="9" t="s">
        <v>97</v>
      </c>
      <c r="D108" s="9" t="s">
        <v>39</v>
      </c>
      <c r="E108" s="9" t="s">
        <v>46</v>
      </c>
      <c r="F108" s="9" t="s">
        <v>51</v>
      </c>
      <c r="G108" s="10" t="s">
        <v>42</v>
      </c>
    </row>
    <row r="109" spans="1:7" ht="12.75" x14ac:dyDescent="0.2">
      <c r="A109" s="39"/>
      <c r="B109" s="9">
        <v>61</v>
      </c>
      <c r="C109" s="9" t="s">
        <v>114</v>
      </c>
      <c r="D109" s="9" t="s">
        <v>39</v>
      </c>
      <c r="E109" s="9" t="s">
        <v>46</v>
      </c>
      <c r="F109" s="9" t="s">
        <v>51</v>
      </c>
      <c r="G109" s="10" t="s">
        <v>42</v>
      </c>
    </row>
    <row r="110" spans="1:7" ht="12.75" x14ac:dyDescent="0.2">
      <c r="A110" s="37"/>
      <c r="B110" s="9">
        <v>61</v>
      </c>
      <c r="C110" s="9" t="s">
        <v>95</v>
      </c>
      <c r="D110" s="9" t="s">
        <v>39</v>
      </c>
      <c r="E110" s="9" t="s">
        <v>46</v>
      </c>
      <c r="F110" s="9" t="s">
        <v>51</v>
      </c>
      <c r="G110" s="10" t="s">
        <v>42</v>
      </c>
    </row>
    <row r="111" spans="1:7" ht="12.75" x14ac:dyDescent="0.2">
      <c r="A111" s="39"/>
      <c r="B111" s="9">
        <v>61</v>
      </c>
      <c r="C111" s="9" t="s">
        <v>83</v>
      </c>
      <c r="D111" s="9" t="s">
        <v>39</v>
      </c>
      <c r="E111" s="9" t="s">
        <v>46</v>
      </c>
      <c r="F111" s="9" t="s">
        <v>51</v>
      </c>
      <c r="G111" s="10" t="s">
        <v>42</v>
      </c>
    </row>
    <row r="112" spans="1:7" ht="12.75" x14ac:dyDescent="0.2">
      <c r="A112" s="37"/>
      <c r="B112" s="9">
        <v>61</v>
      </c>
      <c r="C112" s="9" t="s">
        <v>115</v>
      </c>
      <c r="D112" s="9" t="s">
        <v>39</v>
      </c>
      <c r="E112" s="9" t="s">
        <v>46</v>
      </c>
      <c r="F112" s="9" t="s">
        <v>51</v>
      </c>
      <c r="G112" s="10" t="s">
        <v>42</v>
      </c>
    </row>
    <row r="113" spans="1:7" ht="12.75" x14ac:dyDescent="0.2">
      <c r="A113" s="39"/>
      <c r="B113" s="9">
        <v>61</v>
      </c>
      <c r="C113" s="9" t="s">
        <v>116</v>
      </c>
      <c r="D113" s="9" t="s">
        <v>39</v>
      </c>
      <c r="E113" s="9" t="s">
        <v>46</v>
      </c>
      <c r="F113" s="9" t="s">
        <v>51</v>
      </c>
      <c r="G113" s="10" t="s">
        <v>42</v>
      </c>
    </row>
    <row r="114" spans="1:7" ht="12.75" x14ac:dyDescent="0.2">
      <c r="A114" s="37"/>
      <c r="B114" s="9">
        <v>61</v>
      </c>
      <c r="C114" s="9" t="s">
        <v>85</v>
      </c>
      <c r="D114" s="9" t="s">
        <v>39</v>
      </c>
      <c r="E114" s="9" t="s">
        <v>46</v>
      </c>
      <c r="F114" s="9" t="s">
        <v>51</v>
      </c>
      <c r="G114" s="10" t="s">
        <v>42</v>
      </c>
    </row>
    <row r="115" spans="1:7" ht="12.75" x14ac:dyDescent="0.2">
      <c r="A115" s="38"/>
      <c r="B115" s="9">
        <v>61</v>
      </c>
      <c r="C115" s="9" t="s">
        <v>101</v>
      </c>
      <c r="D115" s="9" t="s">
        <v>39</v>
      </c>
      <c r="E115" s="9" t="s">
        <v>46</v>
      </c>
      <c r="F115" s="9" t="s">
        <v>51</v>
      </c>
      <c r="G115" s="10" t="s">
        <v>42</v>
      </c>
    </row>
    <row r="116" spans="1:7" ht="12.75" x14ac:dyDescent="0.2">
      <c r="A116" s="36" t="s">
        <v>27</v>
      </c>
      <c r="B116" s="9">
        <v>61</v>
      </c>
      <c r="C116" s="9" t="s">
        <v>105</v>
      </c>
      <c r="D116" s="9" t="s">
        <v>39</v>
      </c>
      <c r="E116" s="9" t="s">
        <v>46</v>
      </c>
      <c r="F116" s="9" t="s">
        <v>47</v>
      </c>
      <c r="G116" s="10" t="s">
        <v>42</v>
      </c>
    </row>
    <row r="117" spans="1:7" ht="12.75" x14ac:dyDescent="0.2">
      <c r="A117" s="39"/>
      <c r="B117" s="9">
        <v>61</v>
      </c>
      <c r="C117" s="9" t="s">
        <v>107</v>
      </c>
      <c r="D117" s="9" t="s">
        <v>39</v>
      </c>
      <c r="E117" s="9" t="s">
        <v>46</v>
      </c>
      <c r="F117" s="9" t="s">
        <v>41</v>
      </c>
      <c r="G117" s="10" t="s">
        <v>42</v>
      </c>
    </row>
    <row r="118" spans="1:7" ht="12.75" x14ac:dyDescent="0.2">
      <c r="A118" s="37"/>
      <c r="B118" s="9">
        <v>61</v>
      </c>
      <c r="C118" s="9" t="s">
        <v>38</v>
      </c>
      <c r="D118" s="9" t="s">
        <v>39</v>
      </c>
      <c r="E118" s="9" t="s">
        <v>46</v>
      </c>
      <c r="F118" s="9" t="s">
        <v>41</v>
      </c>
      <c r="G118" s="10" t="s">
        <v>42</v>
      </c>
    </row>
    <row r="119" spans="1:7" ht="12.75" x14ac:dyDescent="0.2">
      <c r="A119" s="39"/>
      <c r="B119" s="9">
        <v>61</v>
      </c>
      <c r="C119" s="9" t="s">
        <v>111</v>
      </c>
      <c r="D119" s="9" t="s">
        <v>39</v>
      </c>
      <c r="E119" s="9" t="s">
        <v>46</v>
      </c>
      <c r="F119" s="9" t="s">
        <v>41</v>
      </c>
      <c r="G119" s="10" t="s">
        <v>42</v>
      </c>
    </row>
    <row r="120" spans="1:7" ht="12.75" x14ac:dyDescent="0.2">
      <c r="A120" s="37"/>
      <c r="B120" s="9">
        <v>61</v>
      </c>
      <c r="C120" s="9" t="s">
        <v>73</v>
      </c>
      <c r="D120" s="9" t="s">
        <v>39</v>
      </c>
      <c r="E120" s="9" t="s">
        <v>46</v>
      </c>
      <c r="F120" s="9" t="s">
        <v>41</v>
      </c>
      <c r="G120" s="10" t="s">
        <v>42</v>
      </c>
    </row>
    <row r="121" spans="1:7" ht="12.75" x14ac:dyDescent="0.2">
      <c r="A121" s="39"/>
      <c r="B121" s="9">
        <v>61</v>
      </c>
      <c r="C121" s="9" t="s">
        <v>110</v>
      </c>
      <c r="D121" s="9" t="s">
        <v>39</v>
      </c>
      <c r="E121" s="9" t="s">
        <v>46</v>
      </c>
      <c r="F121" s="9" t="s">
        <v>41</v>
      </c>
      <c r="G121" s="10" t="s">
        <v>42</v>
      </c>
    </row>
    <row r="122" spans="1:7" ht="12.75" x14ac:dyDescent="0.2">
      <c r="A122" s="37"/>
      <c r="B122" s="9">
        <v>61</v>
      </c>
      <c r="C122" s="9" t="s">
        <v>117</v>
      </c>
      <c r="D122" s="9" t="s">
        <v>39</v>
      </c>
      <c r="E122" s="9" t="s">
        <v>46</v>
      </c>
      <c r="F122" s="9" t="s">
        <v>41</v>
      </c>
      <c r="G122" s="10" t="s">
        <v>42</v>
      </c>
    </row>
    <row r="123" spans="1:7" ht="12.75" x14ac:dyDescent="0.2">
      <c r="A123" s="39"/>
      <c r="B123" s="9">
        <v>61</v>
      </c>
      <c r="C123" s="9" t="s">
        <v>65</v>
      </c>
      <c r="D123" s="9" t="s">
        <v>39</v>
      </c>
      <c r="E123" s="9" t="s">
        <v>46</v>
      </c>
      <c r="F123" s="9" t="s">
        <v>41</v>
      </c>
      <c r="G123" s="10" t="s">
        <v>42</v>
      </c>
    </row>
    <row r="124" spans="1:7" ht="12.75" x14ac:dyDescent="0.2">
      <c r="A124" s="37"/>
      <c r="B124" s="9">
        <v>61</v>
      </c>
      <c r="C124" s="9" t="s">
        <v>62</v>
      </c>
      <c r="D124" s="9" t="s">
        <v>39</v>
      </c>
      <c r="E124" s="9" t="s">
        <v>46</v>
      </c>
      <c r="F124" s="9" t="s">
        <v>41</v>
      </c>
      <c r="G124" s="10" t="s">
        <v>42</v>
      </c>
    </row>
    <row r="125" spans="1:7" ht="12.75" x14ac:dyDescent="0.2">
      <c r="A125" s="39"/>
      <c r="B125" s="9">
        <v>61</v>
      </c>
      <c r="C125" s="9" t="s">
        <v>75</v>
      </c>
      <c r="D125" s="9" t="s">
        <v>39</v>
      </c>
      <c r="E125" s="9" t="s">
        <v>46</v>
      </c>
      <c r="F125" s="9" t="s">
        <v>41</v>
      </c>
      <c r="G125" s="10" t="s">
        <v>42</v>
      </c>
    </row>
    <row r="126" spans="1:7" ht="12.75" x14ac:dyDescent="0.2">
      <c r="A126" s="37"/>
      <c r="B126" s="9">
        <v>61</v>
      </c>
      <c r="C126" s="9" t="s">
        <v>118</v>
      </c>
      <c r="D126" s="9" t="s">
        <v>39</v>
      </c>
      <c r="E126" s="9" t="s">
        <v>46</v>
      </c>
      <c r="F126" s="9" t="s">
        <v>51</v>
      </c>
      <c r="G126" s="10" t="s">
        <v>42</v>
      </c>
    </row>
    <row r="127" spans="1:7" ht="12.75" x14ac:dyDescent="0.2">
      <c r="A127" s="39"/>
      <c r="B127" s="9">
        <v>61</v>
      </c>
      <c r="C127" s="9" t="s">
        <v>67</v>
      </c>
      <c r="D127" s="9" t="s">
        <v>39</v>
      </c>
      <c r="E127" s="9" t="s">
        <v>46</v>
      </c>
      <c r="F127" s="9" t="s">
        <v>51</v>
      </c>
      <c r="G127" s="10" t="s">
        <v>42</v>
      </c>
    </row>
    <row r="128" spans="1:7" ht="12.75" x14ac:dyDescent="0.2">
      <c r="A128" s="37"/>
      <c r="B128" s="9">
        <v>61</v>
      </c>
      <c r="C128" s="9" t="s">
        <v>119</v>
      </c>
      <c r="D128" s="9" t="s">
        <v>39</v>
      </c>
      <c r="E128" s="9" t="s">
        <v>46</v>
      </c>
      <c r="F128" s="9" t="s">
        <v>51</v>
      </c>
      <c r="G128" s="10" t="s">
        <v>42</v>
      </c>
    </row>
    <row r="129" spans="1:7" ht="12.75" x14ac:dyDescent="0.2">
      <c r="A129" s="39"/>
      <c r="B129" s="9">
        <v>61</v>
      </c>
      <c r="C129" s="9" t="s">
        <v>102</v>
      </c>
      <c r="D129" s="9" t="s">
        <v>39</v>
      </c>
      <c r="E129" s="9" t="s">
        <v>46</v>
      </c>
      <c r="F129" s="9" t="s">
        <v>51</v>
      </c>
      <c r="G129" s="10" t="s">
        <v>42</v>
      </c>
    </row>
    <row r="130" spans="1:7" ht="12.75" x14ac:dyDescent="0.2">
      <c r="A130" s="37"/>
      <c r="B130" s="9">
        <v>61</v>
      </c>
      <c r="C130" s="9" t="s">
        <v>113</v>
      </c>
      <c r="D130" s="9" t="s">
        <v>39</v>
      </c>
      <c r="E130" s="9" t="s">
        <v>46</v>
      </c>
      <c r="F130" s="9" t="s">
        <v>51</v>
      </c>
      <c r="G130" s="10" t="s">
        <v>42</v>
      </c>
    </row>
    <row r="131" spans="1:7" ht="12.75" x14ac:dyDescent="0.2">
      <c r="A131" s="39"/>
      <c r="B131" s="9">
        <v>61</v>
      </c>
      <c r="C131" s="9" t="s">
        <v>101</v>
      </c>
      <c r="D131" s="9" t="s">
        <v>39</v>
      </c>
      <c r="E131" s="9" t="s">
        <v>46</v>
      </c>
      <c r="F131" s="9" t="s">
        <v>51</v>
      </c>
      <c r="G131" s="10" t="s">
        <v>42</v>
      </c>
    </row>
    <row r="132" spans="1:7" ht="12.75" x14ac:dyDescent="0.2">
      <c r="A132" s="37"/>
      <c r="B132" s="9">
        <v>61</v>
      </c>
      <c r="C132" s="9" t="s">
        <v>100</v>
      </c>
      <c r="D132" s="9" t="s">
        <v>39</v>
      </c>
      <c r="E132" s="9" t="s">
        <v>46</v>
      </c>
      <c r="F132" s="9" t="s">
        <v>51</v>
      </c>
      <c r="G132" s="10" t="s">
        <v>42</v>
      </c>
    </row>
    <row r="133" spans="1:7" ht="12.75" x14ac:dyDescent="0.2">
      <c r="A133" s="39"/>
      <c r="B133" s="9">
        <v>61</v>
      </c>
      <c r="C133" s="9" t="s">
        <v>80</v>
      </c>
      <c r="D133" s="9" t="s">
        <v>39</v>
      </c>
      <c r="E133" s="9" t="s">
        <v>46</v>
      </c>
      <c r="F133" s="9" t="s">
        <v>41</v>
      </c>
      <c r="G133" s="10" t="s">
        <v>42</v>
      </c>
    </row>
    <row r="134" spans="1:7" ht="12.75" x14ac:dyDescent="0.2">
      <c r="A134" s="37"/>
      <c r="B134" s="9">
        <v>61</v>
      </c>
      <c r="C134" s="9" t="s">
        <v>98</v>
      </c>
      <c r="D134" s="9" t="s">
        <v>39</v>
      </c>
      <c r="E134" s="9" t="s">
        <v>46</v>
      </c>
      <c r="F134" s="9" t="s">
        <v>41</v>
      </c>
      <c r="G134" s="10" t="s">
        <v>42</v>
      </c>
    </row>
    <row r="135" spans="1:7" ht="12.75" x14ac:dyDescent="0.2">
      <c r="A135" s="39"/>
      <c r="B135" s="9">
        <v>61</v>
      </c>
      <c r="C135" s="9" t="s">
        <v>120</v>
      </c>
      <c r="D135" s="9" t="s">
        <v>39</v>
      </c>
      <c r="E135" s="9" t="s">
        <v>46</v>
      </c>
      <c r="F135" s="9" t="s">
        <v>41</v>
      </c>
      <c r="G135" s="10" t="s">
        <v>42</v>
      </c>
    </row>
    <row r="136" spans="1:7" ht="12.75" x14ac:dyDescent="0.2">
      <c r="A136" s="37"/>
      <c r="B136" s="9">
        <v>61</v>
      </c>
      <c r="C136" s="9" t="s">
        <v>121</v>
      </c>
      <c r="D136" s="9" t="s">
        <v>39</v>
      </c>
      <c r="E136" s="9" t="s">
        <v>46</v>
      </c>
      <c r="F136" s="9" t="s">
        <v>41</v>
      </c>
      <c r="G136" s="10" t="s">
        <v>42</v>
      </c>
    </row>
    <row r="137" spans="1:7" ht="12.75" x14ac:dyDescent="0.2">
      <c r="A137" s="39"/>
      <c r="B137" s="9">
        <v>61</v>
      </c>
      <c r="C137" s="9" t="s">
        <v>70</v>
      </c>
      <c r="D137" s="9" t="s">
        <v>39</v>
      </c>
      <c r="E137" s="9" t="s">
        <v>46</v>
      </c>
      <c r="F137" s="9" t="s">
        <v>41</v>
      </c>
      <c r="G137" s="10" t="s">
        <v>42</v>
      </c>
    </row>
    <row r="138" spans="1:7" ht="12.75" x14ac:dyDescent="0.2">
      <c r="A138" s="37"/>
      <c r="B138" s="9">
        <v>61</v>
      </c>
      <c r="C138" s="9" t="s">
        <v>66</v>
      </c>
      <c r="D138" s="9" t="s">
        <v>39</v>
      </c>
      <c r="E138" s="9" t="s">
        <v>46</v>
      </c>
      <c r="F138" s="9" t="s">
        <v>41</v>
      </c>
      <c r="G138" s="10" t="s">
        <v>42</v>
      </c>
    </row>
    <row r="139" spans="1:7" ht="12.75" x14ac:dyDescent="0.2">
      <c r="A139" s="39"/>
      <c r="B139" s="9">
        <v>61</v>
      </c>
      <c r="C139" s="9" t="s">
        <v>97</v>
      </c>
      <c r="D139" s="9" t="s">
        <v>39</v>
      </c>
      <c r="E139" s="9" t="s">
        <v>46</v>
      </c>
      <c r="F139" s="9" t="s">
        <v>41</v>
      </c>
      <c r="G139" s="10" t="s">
        <v>42</v>
      </c>
    </row>
    <row r="140" spans="1:7" ht="12.75" x14ac:dyDescent="0.2">
      <c r="A140" s="37"/>
      <c r="B140" s="9">
        <v>61</v>
      </c>
      <c r="C140" s="9" t="s">
        <v>122</v>
      </c>
      <c r="D140" s="9" t="s">
        <v>39</v>
      </c>
      <c r="E140" s="9" t="s">
        <v>46</v>
      </c>
      <c r="F140" s="9" t="s">
        <v>41</v>
      </c>
      <c r="G140" s="10" t="s">
        <v>42</v>
      </c>
    </row>
    <row r="141" spans="1:7" ht="12.75" x14ac:dyDescent="0.2">
      <c r="A141" s="39"/>
      <c r="B141" s="9">
        <v>61</v>
      </c>
      <c r="C141" s="9" t="s">
        <v>95</v>
      </c>
      <c r="D141" s="9" t="s">
        <v>39</v>
      </c>
      <c r="E141" s="9" t="s">
        <v>46</v>
      </c>
      <c r="F141" s="9" t="s">
        <v>41</v>
      </c>
      <c r="G141" s="10" t="s">
        <v>42</v>
      </c>
    </row>
    <row r="142" spans="1:7" ht="12.75" x14ac:dyDescent="0.2">
      <c r="A142" s="37"/>
      <c r="B142" s="9">
        <v>61</v>
      </c>
      <c r="C142" s="9" t="s">
        <v>83</v>
      </c>
      <c r="D142" s="9" t="s">
        <v>39</v>
      </c>
      <c r="E142" s="9" t="s">
        <v>46</v>
      </c>
      <c r="F142" s="9" t="s">
        <v>41</v>
      </c>
      <c r="G142" s="10" t="s">
        <v>42</v>
      </c>
    </row>
    <row r="143" spans="1:7" ht="12.75" x14ac:dyDescent="0.2">
      <c r="A143" s="39"/>
      <c r="B143" s="9">
        <v>61</v>
      </c>
      <c r="C143" s="9" t="s">
        <v>115</v>
      </c>
      <c r="D143" s="9" t="s">
        <v>39</v>
      </c>
      <c r="E143" s="9" t="s">
        <v>46</v>
      </c>
      <c r="F143" s="9" t="s">
        <v>41</v>
      </c>
      <c r="G143" s="10" t="s">
        <v>42</v>
      </c>
    </row>
    <row r="144" spans="1:7" ht="12.75" x14ac:dyDescent="0.2">
      <c r="A144" s="37"/>
      <c r="B144" s="9">
        <v>61</v>
      </c>
      <c r="C144" s="9" t="s">
        <v>123</v>
      </c>
      <c r="D144" s="9" t="s">
        <v>39</v>
      </c>
      <c r="E144" s="9" t="s">
        <v>46</v>
      </c>
      <c r="F144" s="9" t="s">
        <v>41</v>
      </c>
      <c r="G144" s="10" t="s">
        <v>42</v>
      </c>
    </row>
    <row r="145" spans="1:7" ht="12.75" x14ac:dyDescent="0.2">
      <c r="A145" s="39"/>
      <c r="B145" s="9">
        <v>61</v>
      </c>
      <c r="C145" s="9" t="s">
        <v>124</v>
      </c>
      <c r="D145" s="9" t="s">
        <v>39</v>
      </c>
      <c r="E145" s="9" t="s">
        <v>46</v>
      </c>
      <c r="F145" s="9" t="s">
        <v>41</v>
      </c>
      <c r="G145" s="10" t="s">
        <v>42</v>
      </c>
    </row>
    <row r="146" spans="1:7" ht="12.75" x14ac:dyDescent="0.2">
      <c r="A146" s="40"/>
      <c r="B146" s="9">
        <v>61</v>
      </c>
      <c r="C146" s="9" t="s">
        <v>85</v>
      </c>
      <c r="D146" s="9" t="s">
        <v>39</v>
      </c>
      <c r="E146" s="9" t="s">
        <v>46</v>
      </c>
      <c r="F146" s="9" t="s">
        <v>41</v>
      </c>
      <c r="G146" s="10" t="s">
        <v>42</v>
      </c>
    </row>
    <row r="147" spans="1:7" ht="12.75" x14ac:dyDescent="0.2">
      <c r="A147" s="36" t="s">
        <v>28</v>
      </c>
      <c r="B147" s="9">
        <v>61</v>
      </c>
      <c r="C147" s="9" t="s">
        <v>107</v>
      </c>
      <c r="D147" s="9" t="s">
        <v>39</v>
      </c>
      <c r="E147" s="9" t="s">
        <v>46</v>
      </c>
      <c r="F147" s="9" t="s">
        <v>51</v>
      </c>
      <c r="G147" s="10" t="s">
        <v>42</v>
      </c>
    </row>
    <row r="148" spans="1:7" ht="12.75" x14ac:dyDescent="0.2">
      <c r="A148" s="37"/>
      <c r="B148" s="9">
        <v>61</v>
      </c>
      <c r="C148" s="9" t="s">
        <v>38</v>
      </c>
      <c r="D148" s="9" t="s">
        <v>39</v>
      </c>
      <c r="E148" s="9" t="s">
        <v>46</v>
      </c>
      <c r="F148" s="9" t="s">
        <v>51</v>
      </c>
      <c r="G148" s="10" t="s">
        <v>42</v>
      </c>
    </row>
    <row r="149" spans="1:7" ht="12.75" x14ac:dyDescent="0.2">
      <c r="A149" s="39"/>
      <c r="B149" s="9">
        <v>61</v>
      </c>
      <c r="C149" s="9" t="s">
        <v>108</v>
      </c>
      <c r="D149" s="9" t="s">
        <v>39</v>
      </c>
      <c r="E149" s="9" t="s">
        <v>46</v>
      </c>
      <c r="F149" s="9" t="s">
        <v>51</v>
      </c>
      <c r="G149" s="10" t="s">
        <v>42</v>
      </c>
    </row>
    <row r="150" spans="1:7" ht="12.75" x14ac:dyDescent="0.2">
      <c r="A150" s="37"/>
      <c r="B150" s="9">
        <v>61</v>
      </c>
      <c r="C150" s="9" t="s">
        <v>73</v>
      </c>
      <c r="D150" s="9" t="s">
        <v>39</v>
      </c>
      <c r="E150" s="9" t="s">
        <v>46</v>
      </c>
      <c r="F150" s="9" t="s">
        <v>51</v>
      </c>
      <c r="G150" s="10" t="s">
        <v>42</v>
      </c>
    </row>
    <row r="151" spans="1:7" ht="12.75" x14ac:dyDescent="0.2">
      <c r="A151" s="39"/>
      <c r="B151" s="9">
        <v>61</v>
      </c>
      <c r="C151" s="9" t="s">
        <v>125</v>
      </c>
      <c r="D151" s="9" t="s">
        <v>39</v>
      </c>
      <c r="E151" s="9" t="s">
        <v>46</v>
      </c>
      <c r="F151" s="9" t="s">
        <v>47</v>
      </c>
      <c r="G151" s="10" t="s">
        <v>42</v>
      </c>
    </row>
    <row r="152" spans="1:7" ht="12.75" x14ac:dyDescent="0.2">
      <c r="A152" s="37"/>
      <c r="B152" s="9">
        <v>61</v>
      </c>
      <c r="C152" s="9" t="s">
        <v>110</v>
      </c>
      <c r="D152" s="9" t="s">
        <v>39</v>
      </c>
      <c r="E152" s="9" t="s">
        <v>46</v>
      </c>
      <c r="F152" s="9" t="s">
        <v>51</v>
      </c>
      <c r="G152" s="10" t="s">
        <v>42</v>
      </c>
    </row>
    <row r="153" spans="1:7" ht="12.75" x14ac:dyDescent="0.2">
      <c r="A153" s="39"/>
      <c r="B153" s="9">
        <v>61</v>
      </c>
      <c r="C153" s="9" t="s">
        <v>126</v>
      </c>
      <c r="D153" s="9" t="s">
        <v>39</v>
      </c>
      <c r="E153" s="9" t="s">
        <v>46</v>
      </c>
      <c r="F153" s="9" t="s">
        <v>51</v>
      </c>
      <c r="G153" s="10" t="s">
        <v>42</v>
      </c>
    </row>
    <row r="154" spans="1:7" ht="12.75" x14ac:dyDescent="0.2">
      <c r="A154" s="37"/>
      <c r="B154" s="9">
        <v>61</v>
      </c>
      <c r="C154" s="9" t="s">
        <v>127</v>
      </c>
      <c r="D154" s="9" t="s">
        <v>39</v>
      </c>
      <c r="E154" s="9" t="s">
        <v>46</v>
      </c>
      <c r="F154" s="9" t="s">
        <v>51</v>
      </c>
      <c r="G154" s="10" t="s">
        <v>42</v>
      </c>
    </row>
    <row r="155" spans="1:7" ht="12.75" x14ac:dyDescent="0.2">
      <c r="A155" s="39"/>
      <c r="B155" s="9">
        <v>61</v>
      </c>
      <c r="C155" s="9" t="s">
        <v>128</v>
      </c>
      <c r="D155" s="9" t="s">
        <v>39</v>
      </c>
      <c r="E155" s="9" t="s">
        <v>46</v>
      </c>
      <c r="F155" s="9" t="s">
        <v>51</v>
      </c>
      <c r="G155" s="10" t="s">
        <v>42</v>
      </c>
    </row>
    <row r="156" spans="1:7" ht="12.75" x14ac:dyDescent="0.2">
      <c r="A156" s="37"/>
      <c r="B156" s="9">
        <v>61</v>
      </c>
      <c r="C156" s="9" t="s">
        <v>129</v>
      </c>
      <c r="D156" s="9" t="s">
        <v>39</v>
      </c>
      <c r="E156" s="9" t="s">
        <v>46</v>
      </c>
      <c r="F156" s="9" t="s">
        <v>51</v>
      </c>
      <c r="G156" s="10" t="s">
        <v>42</v>
      </c>
    </row>
    <row r="157" spans="1:7" ht="12.75" x14ac:dyDescent="0.2">
      <c r="A157" s="39"/>
      <c r="B157" s="9">
        <v>61</v>
      </c>
      <c r="C157" s="9" t="s">
        <v>62</v>
      </c>
      <c r="D157" s="9" t="s">
        <v>39</v>
      </c>
      <c r="E157" s="9" t="s">
        <v>46</v>
      </c>
      <c r="F157" s="9" t="s">
        <v>51</v>
      </c>
      <c r="G157" s="10" t="s">
        <v>42</v>
      </c>
    </row>
    <row r="158" spans="1:7" ht="12.75" x14ac:dyDescent="0.2">
      <c r="A158" s="37"/>
      <c r="B158" s="9">
        <v>61</v>
      </c>
      <c r="C158" s="9" t="s">
        <v>118</v>
      </c>
      <c r="D158" s="9" t="s">
        <v>39</v>
      </c>
      <c r="E158" s="9" t="s">
        <v>46</v>
      </c>
      <c r="F158" s="9" t="s">
        <v>51</v>
      </c>
      <c r="G158" s="10" t="s">
        <v>42</v>
      </c>
    </row>
    <row r="159" spans="1:7" ht="12.75" x14ac:dyDescent="0.2">
      <c r="A159" s="39"/>
      <c r="B159" s="9">
        <v>61</v>
      </c>
      <c r="C159" s="9" t="s">
        <v>67</v>
      </c>
      <c r="D159" s="9" t="s">
        <v>39</v>
      </c>
      <c r="E159" s="9" t="s">
        <v>46</v>
      </c>
      <c r="F159" s="9" t="s">
        <v>51</v>
      </c>
      <c r="G159" s="10" t="s">
        <v>42</v>
      </c>
    </row>
    <row r="160" spans="1:7" ht="12.75" x14ac:dyDescent="0.2">
      <c r="A160" s="37"/>
      <c r="B160" s="9">
        <v>61</v>
      </c>
      <c r="C160" s="9" t="s">
        <v>102</v>
      </c>
      <c r="D160" s="9" t="s">
        <v>39</v>
      </c>
      <c r="E160" s="9" t="s">
        <v>46</v>
      </c>
      <c r="F160" s="9" t="s">
        <v>51</v>
      </c>
      <c r="G160" s="10" t="s">
        <v>42</v>
      </c>
    </row>
    <row r="161" spans="1:7" ht="12.75" x14ac:dyDescent="0.2">
      <c r="A161" s="39"/>
      <c r="B161" s="9">
        <v>61</v>
      </c>
      <c r="C161" s="9" t="s">
        <v>113</v>
      </c>
      <c r="D161" s="9" t="s">
        <v>39</v>
      </c>
      <c r="E161" s="9" t="s">
        <v>46</v>
      </c>
      <c r="F161" s="9" t="s">
        <v>47</v>
      </c>
      <c r="G161" s="10" t="s">
        <v>42</v>
      </c>
    </row>
    <row r="162" spans="1:7" ht="12.75" x14ac:dyDescent="0.2">
      <c r="A162" s="37"/>
      <c r="B162" s="9">
        <v>61</v>
      </c>
      <c r="C162" s="9" t="s">
        <v>101</v>
      </c>
      <c r="D162" s="9" t="s">
        <v>39</v>
      </c>
      <c r="E162" s="9" t="s">
        <v>46</v>
      </c>
      <c r="F162" s="9" t="s">
        <v>51</v>
      </c>
      <c r="G162" s="10" t="s">
        <v>42</v>
      </c>
    </row>
    <row r="163" spans="1:7" ht="12.75" x14ac:dyDescent="0.2">
      <c r="A163" s="39"/>
      <c r="B163" s="9">
        <v>61</v>
      </c>
      <c r="C163" s="9" t="s">
        <v>100</v>
      </c>
      <c r="D163" s="9" t="s">
        <v>39</v>
      </c>
      <c r="E163" s="9" t="s">
        <v>46</v>
      </c>
      <c r="F163" s="9" t="s">
        <v>51</v>
      </c>
      <c r="G163" s="10" t="s">
        <v>42</v>
      </c>
    </row>
    <row r="164" spans="1:7" ht="12.75" x14ac:dyDescent="0.2">
      <c r="A164" s="37"/>
      <c r="B164" s="9">
        <v>61</v>
      </c>
      <c r="C164" s="9" t="s">
        <v>70</v>
      </c>
      <c r="D164" s="9" t="s">
        <v>39</v>
      </c>
      <c r="E164" s="9" t="s">
        <v>46</v>
      </c>
      <c r="F164" s="9" t="s">
        <v>51</v>
      </c>
      <c r="G164" s="10" t="s">
        <v>42</v>
      </c>
    </row>
    <row r="165" spans="1:7" ht="12.75" x14ac:dyDescent="0.2">
      <c r="A165" s="39"/>
      <c r="B165" s="9">
        <v>61</v>
      </c>
      <c r="C165" s="9" t="s">
        <v>130</v>
      </c>
      <c r="D165" s="9" t="s">
        <v>39</v>
      </c>
      <c r="E165" s="9" t="s">
        <v>46</v>
      </c>
      <c r="F165" s="9" t="s">
        <v>51</v>
      </c>
      <c r="G165" s="10" t="s">
        <v>42</v>
      </c>
    </row>
    <row r="166" spans="1:7" ht="12.75" x14ac:dyDescent="0.2">
      <c r="A166" s="37"/>
      <c r="B166" s="9">
        <v>61</v>
      </c>
      <c r="C166" s="9" t="s">
        <v>131</v>
      </c>
      <c r="D166" s="9" t="s">
        <v>39</v>
      </c>
      <c r="E166" s="9" t="s">
        <v>46</v>
      </c>
      <c r="F166" s="9" t="s">
        <v>51</v>
      </c>
      <c r="G166" s="10" t="s">
        <v>42</v>
      </c>
    </row>
    <row r="167" spans="1:7" ht="12.75" x14ac:dyDescent="0.2">
      <c r="A167" s="39"/>
      <c r="B167" s="9">
        <v>61</v>
      </c>
      <c r="C167" s="9" t="s">
        <v>80</v>
      </c>
      <c r="D167" s="9" t="s">
        <v>39</v>
      </c>
      <c r="E167" s="9" t="s">
        <v>46</v>
      </c>
      <c r="F167" s="9" t="s">
        <v>51</v>
      </c>
      <c r="G167" s="10" t="s">
        <v>42</v>
      </c>
    </row>
    <row r="168" spans="1:7" ht="12.75" x14ac:dyDescent="0.2">
      <c r="A168" s="37"/>
      <c r="B168" s="9">
        <v>61</v>
      </c>
      <c r="C168" s="9" t="s">
        <v>98</v>
      </c>
      <c r="D168" s="9" t="s">
        <v>39</v>
      </c>
      <c r="E168" s="9" t="s">
        <v>46</v>
      </c>
      <c r="F168" s="9" t="s">
        <v>51</v>
      </c>
      <c r="G168" s="10" t="s">
        <v>42</v>
      </c>
    </row>
    <row r="169" spans="1:7" ht="12.75" x14ac:dyDescent="0.2">
      <c r="A169" s="39"/>
      <c r="B169" s="9">
        <v>61</v>
      </c>
      <c r="C169" s="9" t="s">
        <v>66</v>
      </c>
      <c r="D169" s="9" t="s">
        <v>39</v>
      </c>
      <c r="E169" s="9" t="s">
        <v>46</v>
      </c>
      <c r="F169" s="9" t="s">
        <v>51</v>
      </c>
      <c r="G169" s="10" t="s">
        <v>42</v>
      </c>
    </row>
    <row r="170" spans="1:7" ht="12.75" x14ac:dyDescent="0.2">
      <c r="A170" s="37"/>
      <c r="B170" s="9">
        <v>61</v>
      </c>
      <c r="C170" s="9" t="s">
        <v>97</v>
      </c>
      <c r="D170" s="9" t="s">
        <v>39</v>
      </c>
      <c r="E170" s="9" t="s">
        <v>46</v>
      </c>
      <c r="F170" s="9" t="s">
        <v>51</v>
      </c>
      <c r="G170" s="10" t="s">
        <v>42</v>
      </c>
    </row>
    <row r="171" spans="1:7" ht="12.75" x14ac:dyDescent="0.2">
      <c r="A171" s="39"/>
      <c r="B171" s="9">
        <v>61</v>
      </c>
      <c r="C171" s="9" t="s">
        <v>95</v>
      </c>
      <c r="D171" s="9" t="s">
        <v>39</v>
      </c>
      <c r="E171" s="9" t="s">
        <v>46</v>
      </c>
      <c r="F171" s="9" t="s">
        <v>51</v>
      </c>
      <c r="G171" s="10" t="s">
        <v>42</v>
      </c>
    </row>
    <row r="172" spans="1:7" ht="12.75" x14ac:dyDescent="0.2">
      <c r="A172" s="37"/>
      <c r="B172" s="9">
        <v>61</v>
      </c>
      <c r="C172" s="9" t="s">
        <v>132</v>
      </c>
      <c r="D172" s="9" t="s">
        <v>39</v>
      </c>
      <c r="E172" s="9" t="s">
        <v>46</v>
      </c>
      <c r="F172" s="9" t="s">
        <v>51</v>
      </c>
      <c r="G172" s="10" t="s">
        <v>42</v>
      </c>
    </row>
    <row r="173" spans="1:7" ht="12.75" x14ac:dyDescent="0.2">
      <c r="A173" s="39"/>
      <c r="B173" s="9">
        <v>61</v>
      </c>
      <c r="C173" s="9" t="s">
        <v>123</v>
      </c>
      <c r="D173" s="9" t="s">
        <v>39</v>
      </c>
      <c r="E173" s="9" t="s">
        <v>46</v>
      </c>
      <c r="F173" s="9" t="s">
        <v>51</v>
      </c>
      <c r="G173" s="10" t="s">
        <v>42</v>
      </c>
    </row>
    <row r="174" spans="1:7" ht="12.75" x14ac:dyDescent="0.2">
      <c r="A174" s="37"/>
      <c r="B174" s="9">
        <v>61</v>
      </c>
      <c r="C174" s="9" t="s">
        <v>124</v>
      </c>
      <c r="D174" s="9" t="s">
        <v>39</v>
      </c>
      <c r="E174" s="9" t="s">
        <v>46</v>
      </c>
      <c r="F174" s="9" t="s">
        <v>51</v>
      </c>
      <c r="G174" s="10" t="s">
        <v>42</v>
      </c>
    </row>
    <row r="175" spans="1:7" ht="12.75" x14ac:dyDescent="0.2">
      <c r="A175" s="38"/>
      <c r="B175" s="9">
        <v>61</v>
      </c>
      <c r="C175" s="9" t="s">
        <v>85</v>
      </c>
      <c r="D175" s="9" t="s">
        <v>39</v>
      </c>
      <c r="E175" s="9" t="s">
        <v>46</v>
      </c>
      <c r="F175" s="9" t="s">
        <v>51</v>
      </c>
      <c r="G175" s="10" t="s">
        <v>42</v>
      </c>
    </row>
    <row r="176" spans="1:7" ht="12.75" x14ac:dyDescent="0.2">
      <c r="A176" s="36" t="s">
        <v>29</v>
      </c>
      <c r="B176" s="9">
        <v>61</v>
      </c>
      <c r="C176" s="9" t="s">
        <v>133</v>
      </c>
      <c r="D176" s="9" t="s">
        <v>39</v>
      </c>
      <c r="E176" s="9" t="s">
        <v>46</v>
      </c>
      <c r="F176" s="9" t="s">
        <v>51</v>
      </c>
      <c r="G176" s="10" t="s">
        <v>42</v>
      </c>
    </row>
    <row r="177" spans="1:7" ht="12.75" x14ac:dyDescent="0.2">
      <c r="A177" s="39"/>
      <c r="B177" s="9">
        <v>61</v>
      </c>
      <c r="C177" s="9" t="s">
        <v>38</v>
      </c>
      <c r="D177" s="9" t="s">
        <v>39</v>
      </c>
      <c r="E177" s="9" t="s">
        <v>46</v>
      </c>
      <c r="F177" s="9" t="s">
        <v>41</v>
      </c>
      <c r="G177" s="10" t="s">
        <v>42</v>
      </c>
    </row>
    <row r="178" spans="1:7" ht="12.75" x14ac:dyDescent="0.2">
      <c r="A178" s="37"/>
      <c r="B178" s="9">
        <v>61</v>
      </c>
      <c r="C178" s="9" t="s">
        <v>111</v>
      </c>
      <c r="D178" s="9" t="s">
        <v>39</v>
      </c>
      <c r="E178" s="9" t="s">
        <v>46</v>
      </c>
      <c r="F178" s="9" t="s">
        <v>41</v>
      </c>
      <c r="G178" s="10" t="s">
        <v>42</v>
      </c>
    </row>
    <row r="179" spans="1:7" ht="12.75" x14ac:dyDescent="0.2">
      <c r="A179" s="39"/>
      <c r="B179" s="9">
        <v>61</v>
      </c>
      <c r="C179" s="9" t="s">
        <v>73</v>
      </c>
      <c r="D179" s="9" t="s">
        <v>39</v>
      </c>
      <c r="E179" s="9" t="s">
        <v>46</v>
      </c>
      <c r="F179" s="9" t="s">
        <v>41</v>
      </c>
      <c r="G179" s="10" t="s">
        <v>42</v>
      </c>
    </row>
    <row r="180" spans="1:7" ht="12.75" x14ac:dyDescent="0.2">
      <c r="A180" s="37"/>
      <c r="B180" s="9">
        <v>61</v>
      </c>
      <c r="C180" s="9" t="s">
        <v>110</v>
      </c>
      <c r="D180" s="9" t="s">
        <v>39</v>
      </c>
      <c r="E180" s="9" t="s">
        <v>46</v>
      </c>
      <c r="F180" s="9" t="s">
        <v>41</v>
      </c>
      <c r="G180" s="10" t="s">
        <v>42</v>
      </c>
    </row>
    <row r="181" spans="1:7" ht="12.75" x14ac:dyDescent="0.2">
      <c r="A181" s="39"/>
      <c r="B181" s="9">
        <v>61</v>
      </c>
      <c r="C181" s="9" t="s">
        <v>64</v>
      </c>
      <c r="D181" s="9" t="s">
        <v>39</v>
      </c>
      <c r="E181" s="9" t="s">
        <v>46</v>
      </c>
      <c r="F181" s="9" t="s">
        <v>41</v>
      </c>
      <c r="G181" s="10" t="s">
        <v>42</v>
      </c>
    </row>
    <row r="182" spans="1:7" ht="12.75" x14ac:dyDescent="0.2">
      <c r="A182" s="37"/>
      <c r="B182" s="9">
        <v>61</v>
      </c>
      <c r="C182" s="9" t="s">
        <v>65</v>
      </c>
      <c r="D182" s="9" t="s">
        <v>39</v>
      </c>
      <c r="E182" s="9" t="s">
        <v>46</v>
      </c>
      <c r="F182" s="9" t="s">
        <v>41</v>
      </c>
      <c r="G182" s="10" t="s">
        <v>42</v>
      </c>
    </row>
    <row r="183" spans="1:7" ht="12.75" x14ac:dyDescent="0.2">
      <c r="A183" s="39"/>
      <c r="B183" s="9">
        <v>61</v>
      </c>
      <c r="C183" s="9" t="s">
        <v>62</v>
      </c>
      <c r="D183" s="9" t="s">
        <v>39</v>
      </c>
      <c r="E183" s="9" t="s">
        <v>46</v>
      </c>
      <c r="F183" s="9" t="s">
        <v>41</v>
      </c>
      <c r="G183" s="10" t="s">
        <v>42</v>
      </c>
    </row>
    <row r="184" spans="1:7" ht="12.75" x14ac:dyDescent="0.2">
      <c r="A184" s="37"/>
      <c r="B184" s="9">
        <v>61</v>
      </c>
      <c r="C184" s="9" t="s">
        <v>134</v>
      </c>
      <c r="D184" s="9" t="s">
        <v>39</v>
      </c>
      <c r="E184" s="9" t="s">
        <v>46</v>
      </c>
      <c r="F184" s="9" t="s">
        <v>41</v>
      </c>
      <c r="G184" s="10" t="s">
        <v>42</v>
      </c>
    </row>
    <row r="185" spans="1:7" ht="12.75" x14ac:dyDescent="0.2">
      <c r="A185" s="39"/>
      <c r="B185" s="9">
        <v>61</v>
      </c>
      <c r="C185" s="9" t="s">
        <v>118</v>
      </c>
      <c r="D185" s="9" t="s">
        <v>39</v>
      </c>
      <c r="E185" s="9" t="s">
        <v>46</v>
      </c>
      <c r="F185" s="9" t="s">
        <v>41</v>
      </c>
      <c r="G185" s="10" t="s">
        <v>42</v>
      </c>
    </row>
    <row r="186" spans="1:7" ht="12.75" x14ac:dyDescent="0.2">
      <c r="A186" s="37"/>
      <c r="B186" s="9">
        <v>61</v>
      </c>
      <c r="C186" s="9" t="s">
        <v>67</v>
      </c>
      <c r="D186" s="9" t="s">
        <v>39</v>
      </c>
      <c r="E186" s="9" t="s">
        <v>46</v>
      </c>
      <c r="F186" s="9" t="s">
        <v>41</v>
      </c>
      <c r="G186" s="10" t="s">
        <v>42</v>
      </c>
    </row>
    <row r="187" spans="1:7" ht="12.75" x14ac:dyDescent="0.2">
      <c r="A187" s="39"/>
      <c r="B187" s="9">
        <v>61</v>
      </c>
      <c r="C187" s="9" t="s">
        <v>135</v>
      </c>
      <c r="D187" s="9" t="s">
        <v>39</v>
      </c>
      <c r="E187" s="9" t="s">
        <v>46</v>
      </c>
      <c r="F187" s="9" t="s">
        <v>41</v>
      </c>
      <c r="G187" s="10" t="s">
        <v>42</v>
      </c>
    </row>
    <row r="188" spans="1:7" ht="12.75" x14ac:dyDescent="0.2">
      <c r="A188" s="37"/>
      <c r="B188" s="9">
        <v>61</v>
      </c>
      <c r="C188" s="9" t="s">
        <v>93</v>
      </c>
      <c r="D188" s="9" t="s">
        <v>94</v>
      </c>
      <c r="E188" s="9" t="s">
        <v>46</v>
      </c>
      <c r="F188" s="9" t="s">
        <v>41</v>
      </c>
      <c r="G188" s="10" t="s">
        <v>42</v>
      </c>
    </row>
    <row r="189" spans="1:7" ht="12.75" x14ac:dyDescent="0.2">
      <c r="A189" s="39"/>
      <c r="B189" s="9">
        <v>61</v>
      </c>
      <c r="C189" s="9" t="s">
        <v>101</v>
      </c>
      <c r="D189" s="9" t="s">
        <v>39</v>
      </c>
      <c r="E189" s="9" t="s">
        <v>46</v>
      </c>
      <c r="F189" s="9" t="s">
        <v>41</v>
      </c>
      <c r="G189" s="10" t="s">
        <v>42</v>
      </c>
    </row>
    <row r="190" spans="1:7" ht="12.75" x14ac:dyDescent="0.2">
      <c r="A190" s="37"/>
      <c r="B190" s="9">
        <v>61</v>
      </c>
      <c r="C190" s="9" t="s">
        <v>136</v>
      </c>
      <c r="D190" s="9" t="s">
        <v>39</v>
      </c>
      <c r="E190" s="9" t="s">
        <v>46</v>
      </c>
      <c r="F190" s="9" t="s">
        <v>41</v>
      </c>
      <c r="G190" s="10" t="s">
        <v>42</v>
      </c>
    </row>
    <row r="191" spans="1:7" ht="12.75" x14ac:dyDescent="0.2">
      <c r="A191" s="39"/>
      <c r="B191" s="9">
        <v>61</v>
      </c>
      <c r="C191" s="9" t="s">
        <v>137</v>
      </c>
      <c r="D191" s="9" t="s">
        <v>39</v>
      </c>
      <c r="E191" s="9" t="s">
        <v>46</v>
      </c>
      <c r="F191" s="9" t="s">
        <v>41</v>
      </c>
      <c r="G191" s="10" t="s">
        <v>42</v>
      </c>
    </row>
    <row r="192" spans="1:7" ht="12.75" x14ac:dyDescent="0.2">
      <c r="A192" s="37"/>
      <c r="B192" s="9">
        <v>61</v>
      </c>
      <c r="C192" s="9" t="s">
        <v>70</v>
      </c>
      <c r="D192" s="9" t="s">
        <v>39</v>
      </c>
      <c r="E192" s="9" t="s">
        <v>46</v>
      </c>
      <c r="F192" s="9" t="s">
        <v>41</v>
      </c>
      <c r="G192" s="10" t="s">
        <v>42</v>
      </c>
    </row>
    <row r="193" spans="1:7" ht="12.75" x14ac:dyDescent="0.2">
      <c r="A193" s="39"/>
      <c r="B193" s="9">
        <v>61</v>
      </c>
      <c r="C193" s="9" t="s">
        <v>138</v>
      </c>
      <c r="D193" s="9" t="s">
        <v>39</v>
      </c>
      <c r="E193" s="9" t="s">
        <v>46</v>
      </c>
      <c r="F193" s="9" t="s">
        <v>41</v>
      </c>
      <c r="G193" s="10" t="s">
        <v>42</v>
      </c>
    </row>
    <row r="194" spans="1:7" ht="12.75" x14ac:dyDescent="0.2">
      <c r="A194" s="37"/>
      <c r="B194" s="9">
        <v>61</v>
      </c>
      <c r="C194" s="9" t="s">
        <v>139</v>
      </c>
      <c r="D194" s="9" t="s">
        <v>39</v>
      </c>
      <c r="E194" s="9" t="s">
        <v>46</v>
      </c>
      <c r="F194" s="9" t="s">
        <v>41</v>
      </c>
      <c r="G194" s="10" t="s">
        <v>42</v>
      </c>
    </row>
    <row r="195" spans="1:7" ht="12.75" x14ac:dyDescent="0.2">
      <c r="A195" s="39"/>
      <c r="B195" s="9">
        <v>61</v>
      </c>
      <c r="C195" s="9" t="s">
        <v>140</v>
      </c>
      <c r="D195" s="9" t="s">
        <v>39</v>
      </c>
      <c r="E195" s="9" t="s">
        <v>46</v>
      </c>
      <c r="F195" s="9" t="s">
        <v>41</v>
      </c>
      <c r="G195" s="10" t="s">
        <v>42</v>
      </c>
    </row>
    <row r="196" spans="1:7" ht="12.75" x14ac:dyDescent="0.2">
      <c r="A196" s="37"/>
      <c r="B196" s="9">
        <v>61</v>
      </c>
      <c r="C196" s="9" t="s">
        <v>66</v>
      </c>
      <c r="D196" s="9" t="s">
        <v>39</v>
      </c>
      <c r="E196" s="9" t="s">
        <v>46</v>
      </c>
      <c r="F196" s="9" t="s">
        <v>41</v>
      </c>
      <c r="G196" s="10" t="s">
        <v>42</v>
      </c>
    </row>
    <row r="197" spans="1:7" ht="12.75" x14ac:dyDescent="0.2">
      <c r="A197" s="39"/>
      <c r="B197" s="9">
        <v>61</v>
      </c>
      <c r="C197" s="9" t="s">
        <v>141</v>
      </c>
      <c r="D197" s="9" t="s">
        <v>39</v>
      </c>
      <c r="E197" s="9" t="s">
        <v>46</v>
      </c>
      <c r="F197" s="9" t="s">
        <v>41</v>
      </c>
      <c r="G197" s="10" t="s">
        <v>42</v>
      </c>
    </row>
    <row r="198" spans="1:7" ht="12.75" x14ac:dyDescent="0.2">
      <c r="A198" s="37"/>
      <c r="B198" s="9">
        <v>61</v>
      </c>
      <c r="C198" s="9" t="s">
        <v>142</v>
      </c>
      <c r="D198" s="9" t="s">
        <v>39</v>
      </c>
      <c r="E198" s="9" t="s">
        <v>46</v>
      </c>
      <c r="F198" s="9" t="s">
        <v>41</v>
      </c>
      <c r="G198" s="10" t="s">
        <v>42</v>
      </c>
    </row>
    <row r="199" spans="1:7" ht="12.75" x14ac:dyDescent="0.2">
      <c r="A199" s="39"/>
      <c r="B199" s="9">
        <v>61</v>
      </c>
      <c r="C199" s="9" t="s">
        <v>95</v>
      </c>
      <c r="D199" s="9" t="s">
        <v>39</v>
      </c>
      <c r="E199" s="9" t="s">
        <v>46</v>
      </c>
      <c r="F199" s="9" t="s">
        <v>41</v>
      </c>
      <c r="G199" s="10" t="s">
        <v>42</v>
      </c>
    </row>
    <row r="200" spans="1:7" ht="12.75" x14ac:dyDescent="0.2">
      <c r="A200" s="37"/>
      <c r="B200" s="9">
        <v>61</v>
      </c>
      <c r="C200" s="9" t="s">
        <v>143</v>
      </c>
      <c r="D200" s="9" t="s">
        <v>39</v>
      </c>
      <c r="E200" s="9" t="s">
        <v>46</v>
      </c>
      <c r="F200" s="9" t="s">
        <v>41</v>
      </c>
      <c r="G200" s="10" t="s">
        <v>42</v>
      </c>
    </row>
    <row r="201" spans="1:7" ht="12.75" x14ac:dyDescent="0.2">
      <c r="A201" s="39"/>
      <c r="B201" s="9">
        <v>61</v>
      </c>
      <c r="C201" s="9" t="s">
        <v>144</v>
      </c>
      <c r="D201" s="9" t="s">
        <v>39</v>
      </c>
      <c r="E201" s="9" t="s">
        <v>46</v>
      </c>
      <c r="F201" s="9" t="s">
        <v>41</v>
      </c>
      <c r="G201" s="10" t="s">
        <v>42</v>
      </c>
    </row>
    <row r="202" spans="1:7" ht="12.75" x14ac:dyDescent="0.2">
      <c r="A202" s="37"/>
      <c r="B202" s="9">
        <v>61</v>
      </c>
      <c r="C202" s="9" t="s">
        <v>145</v>
      </c>
      <c r="D202" s="9" t="s">
        <v>39</v>
      </c>
      <c r="E202" s="9" t="s">
        <v>46</v>
      </c>
      <c r="F202" s="9" t="s">
        <v>41</v>
      </c>
      <c r="G202" s="10" t="s">
        <v>42</v>
      </c>
    </row>
    <row r="203" spans="1:7" ht="12.75" x14ac:dyDescent="0.2">
      <c r="A203" s="39"/>
      <c r="B203" s="9">
        <v>61</v>
      </c>
      <c r="C203" s="9" t="s">
        <v>146</v>
      </c>
      <c r="D203" s="9" t="s">
        <v>39</v>
      </c>
      <c r="E203" s="9" t="s">
        <v>46</v>
      </c>
      <c r="F203" s="9" t="s">
        <v>41</v>
      </c>
      <c r="G203" s="10" t="s">
        <v>42</v>
      </c>
    </row>
    <row r="204" spans="1:7" ht="12.75" x14ac:dyDescent="0.2">
      <c r="A204" s="40"/>
      <c r="B204" s="9">
        <v>61</v>
      </c>
      <c r="C204" s="9" t="s">
        <v>85</v>
      </c>
      <c r="D204" s="9" t="s">
        <v>39</v>
      </c>
      <c r="E204" s="9" t="s">
        <v>46</v>
      </c>
      <c r="F204" s="9" t="s">
        <v>41</v>
      </c>
      <c r="G204" s="10" t="s">
        <v>42</v>
      </c>
    </row>
    <row r="205" spans="1:7" ht="12.75" x14ac:dyDescent="0.2">
      <c r="A205" s="36" t="s">
        <v>30</v>
      </c>
      <c r="B205" s="9">
        <v>61</v>
      </c>
      <c r="C205" s="9" t="s">
        <v>107</v>
      </c>
      <c r="D205" s="9" t="s">
        <v>39</v>
      </c>
      <c r="E205" s="9" t="s">
        <v>46</v>
      </c>
      <c r="F205" s="9" t="s">
        <v>51</v>
      </c>
      <c r="G205" s="10" t="s">
        <v>42</v>
      </c>
    </row>
    <row r="206" spans="1:7" ht="12.75" x14ac:dyDescent="0.2">
      <c r="A206" s="37"/>
      <c r="B206" s="9">
        <v>61</v>
      </c>
      <c r="C206" s="9" t="s">
        <v>38</v>
      </c>
      <c r="D206" s="9" t="s">
        <v>39</v>
      </c>
      <c r="E206" s="9" t="s">
        <v>46</v>
      </c>
      <c r="F206" s="9" t="s">
        <v>51</v>
      </c>
      <c r="G206" s="10" t="s">
        <v>42</v>
      </c>
    </row>
    <row r="207" spans="1:7" ht="12.75" x14ac:dyDescent="0.2">
      <c r="A207" s="39"/>
      <c r="B207" s="9">
        <v>61</v>
      </c>
      <c r="C207" s="9" t="s">
        <v>108</v>
      </c>
      <c r="D207" s="9" t="s">
        <v>39</v>
      </c>
      <c r="E207" s="9" t="s">
        <v>46</v>
      </c>
      <c r="F207" s="9" t="s">
        <v>51</v>
      </c>
      <c r="G207" s="10" t="s">
        <v>42</v>
      </c>
    </row>
    <row r="208" spans="1:7" ht="12.75" x14ac:dyDescent="0.2">
      <c r="A208" s="37"/>
      <c r="B208" s="9">
        <v>61</v>
      </c>
      <c r="C208" s="9" t="s">
        <v>73</v>
      </c>
      <c r="D208" s="9" t="s">
        <v>39</v>
      </c>
      <c r="E208" s="9" t="s">
        <v>46</v>
      </c>
      <c r="F208" s="9" t="s">
        <v>51</v>
      </c>
      <c r="G208" s="10" t="s">
        <v>42</v>
      </c>
    </row>
    <row r="209" spans="1:7" ht="12.75" x14ac:dyDescent="0.2">
      <c r="A209" s="39"/>
      <c r="B209" s="9">
        <v>61</v>
      </c>
      <c r="C209" s="9" t="s">
        <v>110</v>
      </c>
      <c r="D209" s="9" t="s">
        <v>39</v>
      </c>
      <c r="E209" s="9" t="s">
        <v>46</v>
      </c>
      <c r="F209" s="9" t="s">
        <v>51</v>
      </c>
      <c r="G209" s="10" t="s">
        <v>42</v>
      </c>
    </row>
    <row r="210" spans="1:7" ht="12.75" x14ac:dyDescent="0.2">
      <c r="A210" s="37"/>
      <c r="B210" s="9">
        <v>61</v>
      </c>
      <c r="C210" s="9" t="s">
        <v>109</v>
      </c>
      <c r="D210" s="9" t="s">
        <v>39</v>
      </c>
      <c r="E210" s="9" t="s">
        <v>46</v>
      </c>
      <c r="F210" s="9" t="s">
        <v>51</v>
      </c>
      <c r="G210" s="10" t="s">
        <v>42</v>
      </c>
    </row>
    <row r="211" spans="1:7" ht="12.75" x14ac:dyDescent="0.2">
      <c r="A211" s="39"/>
      <c r="B211" s="9">
        <v>61</v>
      </c>
      <c r="C211" s="9" t="s">
        <v>64</v>
      </c>
      <c r="D211" s="9" t="s">
        <v>39</v>
      </c>
      <c r="E211" s="9" t="s">
        <v>46</v>
      </c>
      <c r="F211" s="9" t="s">
        <v>51</v>
      </c>
      <c r="G211" s="10" t="s">
        <v>42</v>
      </c>
    </row>
    <row r="212" spans="1:7" ht="12.75" x14ac:dyDescent="0.2">
      <c r="A212" s="37"/>
      <c r="B212" s="9">
        <v>61</v>
      </c>
      <c r="C212" s="9" t="s">
        <v>65</v>
      </c>
      <c r="D212" s="9" t="s">
        <v>39</v>
      </c>
      <c r="E212" s="9" t="s">
        <v>46</v>
      </c>
      <c r="F212" s="9" t="s">
        <v>51</v>
      </c>
      <c r="G212" s="10" t="s">
        <v>42</v>
      </c>
    </row>
    <row r="213" spans="1:7" ht="12.75" x14ac:dyDescent="0.2">
      <c r="A213" s="39"/>
      <c r="B213" s="9">
        <v>61</v>
      </c>
      <c r="C213" s="9" t="s">
        <v>106</v>
      </c>
      <c r="D213" s="9" t="s">
        <v>94</v>
      </c>
      <c r="E213" s="9" t="s">
        <v>46</v>
      </c>
      <c r="F213" s="9" t="s">
        <v>51</v>
      </c>
      <c r="G213" s="10" t="s">
        <v>42</v>
      </c>
    </row>
    <row r="214" spans="1:7" ht="12.75" x14ac:dyDescent="0.2">
      <c r="A214" s="37"/>
      <c r="B214" s="9">
        <v>61</v>
      </c>
      <c r="C214" s="9" t="s">
        <v>147</v>
      </c>
      <c r="D214" s="9" t="s">
        <v>39</v>
      </c>
      <c r="E214" s="9" t="s">
        <v>46</v>
      </c>
      <c r="F214" s="9" t="s">
        <v>51</v>
      </c>
      <c r="G214" s="10" t="s">
        <v>42</v>
      </c>
    </row>
    <row r="215" spans="1:7" ht="12.75" x14ac:dyDescent="0.2">
      <c r="A215" s="39"/>
      <c r="B215" s="9">
        <v>61</v>
      </c>
      <c r="C215" s="9" t="s">
        <v>67</v>
      </c>
      <c r="D215" s="9" t="s">
        <v>39</v>
      </c>
      <c r="E215" s="9" t="s">
        <v>46</v>
      </c>
      <c r="F215" s="9" t="s">
        <v>51</v>
      </c>
      <c r="G215" s="10" t="s">
        <v>42</v>
      </c>
    </row>
    <row r="216" spans="1:7" ht="12.75" x14ac:dyDescent="0.2">
      <c r="A216" s="37"/>
      <c r="B216" s="9">
        <v>61</v>
      </c>
      <c r="C216" s="9" t="s">
        <v>135</v>
      </c>
      <c r="D216" s="9" t="s">
        <v>39</v>
      </c>
      <c r="E216" s="9" t="s">
        <v>46</v>
      </c>
      <c r="F216" s="9" t="s">
        <v>51</v>
      </c>
      <c r="G216" s="10" t="s">
        <v>42</v>
      </c>
    </row>
    <row r="217" spans="1:7" ht="12.75" x14ac:dyDescent="0.2">
      <c r="A217" s="39"/>
      <c r="B217" s="9">
        <v>61</v>
      </c>
      <c r="C217" s="9" t="s">
        <v>148</v>
      </c>
      <c r="D217" s="9" t="s">
        <v>39</v>
      </c>
      <c r="E217" s="9" t="s">
        <v>46</v>
      </c>
      <c r="F217" s="9" t="s">
        <v>51</v>
      </c>
      <c r="G217" s="10" t="s">
        <v>42</v>
      </c>
    </row>
    <row r="218" spans="1:7" ht="12.75" x14ac:dyDescent="0.2">
      <c r="A218" s="37"/>
      <c r="B218" s="9">
        <v>61</v>
      </c>
      <c r="C218" s="9" t="s">
        <v>93</v>
      </c>
      <c r="D218" s="9" t="s">
        <v>94</v>
      </c>
      <c r="E218" s="9" t="s">
        <v>46</v>
      </c>
      <c r="F218" s="9" t="s">
        <v>51</v>
      </c>
      <c r="G218" s="10" t="s">
        <v>42</v>
      </c>
    </row>
    <row r="219" spans="1:7" ht="12.75" x14ac:dyDescent="0.2">
      <c r="A219" s="39"/>
      <c r="B219" s="9">
        <v>61</v>
      </c>
      <c r="C219" s="9" t="s">
        <v>101</v>
      </c>
      <c r="D219" s="9" t="s">
        <v>39</v>
      </c>
      <c r="E219" s="9" t="s">
        <v>46</v>
      </c>
      <c r="F219" s="9" t="s">
        <v>51</v>
      </c>
      <c r="G219" s="10" t="s">
        <v>42</v>
      </c>
    </row>
    <row r="220" spans="1:7" ht="12.75" x14ac:dyDescent="0.2">
      <c r="A220" s="37"/>
      <c r="B220" s="9">
        <v>61</v>
      </c>
      <c r="C220" s="9" t="s">
        <v>149</v>
      </c>
      <c r="D220" s="9" t="s">
        <v>39</v>
      </c>
      <c r="E220" s="9" t="s">
        <v>46</v>
      </c>
      <c r="F220" s="9" t="s">
        <v>51</v>
      </c>
      <c r="G220" s="10" t="s">
        <v>42</v>
      </c>
    </row>
    <row r="221" spans="1:7" ht="12.75" x14ac:dyDescent="0.2">
      <c r="A221" s="39"/>
      <c r="B221" s="9">
        <v>61</v>
      </c>
      <c r="C221" s="9" t="s">
        <v>70</v>
      </c>
      <c r="D221" s="9" t="s">
        <v>39</v>
      </c>
      <c r="E221" s="9" t="s">
        <v>46</v>
      </c>
      <c r="F221" s="9" t="s">
        <v>51</v>
      </c>
      <c r="G221" s="10" t="s">
        <v>42</v>
      </c>
    </row>
    <row r="222" spans="1:7" ht="12.75" x14ac:dyDescent="0.2">
      <c r="A222" s="37"/>
      <c r="B222" s="9">
        <v>61</v>
      </c>
      <c r="C222" s="9" t="s">
        <v>150</v>
      </c>
      <c r="D222" s="9" t="s">
        <v>39</v>
      </c>
      <c r="E222" s="9" t="s">
        <v>46</v>
      </c>
      <c r="F222" s="9" t="s">
        <v>51</v>
      </c>
      <c r="G222" s="10" t="s">
        <v>42</v>
      </c>
    </row>
    <row r="223" spans="1:7" ht="12.75" x14ac:dyDescent="0.2">
      <c r="A223" s="39"/>
      <c r="B223" s="9">
        <v>61</v>
      </c>
      <c r="C223" s="9" t="s">
        <v>151</v>
      </c>
      <c r="D223" s="9" t="s">
        <v>39</v>
      </c>
      <c r="E223" s="9" t="s">
        <v>46</v>
      </c>
      <c r="F223" s="9" t="s">
        <v>51</v>
      </c>
      <c r="G223" s="10" t="s">
        <v>42</v>
      </c>
    </row>
    <row r="224" spans="1:7" ht="12.75" x14ac:dyDescent="0.2">
      <c r="A224" s="37"/>
      <c r="B224" s="9">
        <v>61</v>
      </c>
      <c r="C224" s="9" t="s">
        <v>152</v>
      </c>
      <c r="D224" s="9" t="s">
        <v>39</v>
      </c>
      <c r="E224" s="9" t="s">
        <v>46</v>
      </c>
      <c r="F224" s="9" t="s">
        <v>51</v>
      </c>
      <c r="G224" s="10" t="s">
        <v>42</v>
      </c>
    </row>
    <row r="225" spans="1:7" ht="12.75" x14ac:dyDescent="0.2">
      <c r="A225" s="39"/>
      <c r="B225" s="9">
        <v>61</v>
      </c>
      <c r="C225" s="9" t="s">
        <v>66</v>
      </c>
      <c r="D225" s="9" t="s">
        <v>39</v>
      </c>
      <c r="E225" s="9" t="s">
        <v>46</v>
      </c>
      <c r="F225" s="9" t="s">
        <v>51</v>
      </c>
      <c r="G225" s="10" t="s">
        <v>42</v>
      </c>
    </row>
    <row r="226" spans="1:7" ht="12.75" x14ac:dyDescent="0.2">
      <c r="A226" s="37"/>
      <c r="B226" s="9">
        <v>61</v>
      </c>
      <c r="C226" s="9" t="s">
        <v>95</v>
      </c>
      <c r="D226" s="9" t="s">
        <v>39</v>
      </c>
      <c r="E226" s="9" t="s">
        <v>46</v>
      </c>
      <c r="F226" s="9" t="s">
        <v>51</v>
      </c>
      <c r="G226" s="10" t="s">
        <v>42</v>
      </c>
    </row>
    <row r="227" spans="1:7" ht="12.75" x14ac:dyDescent="0.2">
      <c r="A227" s="39"/>
      <c r="B227" s="9">
        <v>61</v>
      </c>
      <c r="C227" s="9" t="s">
        <v>142</v>
      </c>
      <c r="D227" s="9" t="s">
        <v>39</v>
      </c>
      <c r="E227" s="9" t="s">
        <v>46</v>
      </c>
      <c r="F227" s="9" t="s">
        <v>51</v>
      </c>
      <c r="G227" s="10" t="s">
        <v>42</v>
      </c>
    </row>
    <row r="228" spans="1:7" ht="12.75" x14ac:dyDescent="0.2">
      <c r="A228" s="37"/>
      <c r="B228" s="9">
        <v>61</v>
      </c>
      <c r="C228" s="9" t="s">
        <v>153</v>
      </c>
      <c r="D228" s="9" t="s">
        <v>39</v>
      </c>
      <c r="E228" s="9" t="s">
        <v>46</v>
      </c>
      <c r="F228" s="9" t="s">
        <v>51</v>
      </c>
      <c r="G228" s="10" t="s">
        <v>42</v>
      </c>
    </row>
    <row r="229" spans="1:7" ht="12.75" x14ac:dyDescent="0.2">
      <c r="A229" s="39"/>
      <c r="B229" s="9">
        <v>61</v>
      </c>
      <c r="C229" s="9" t="s">
        <v>154</v>
      </c>
      <c r="D229" s="9" t="s">
        <v>39</v>
      </c>
      <c r="E229" s="9" t="s">
        <v>46</v>
      </c>
      <c r="F229" s="9" t="s">
        <v>51</v>
      </c>
      <c r="G229" s="10" t="s">
        <v>42</v>
      </c>
    </row>
    <row r="230" spans="1:7" ht="12.75" x14ac:dyDescent="0.2">
      <c r="A230" s="40"/>
      <c r="B230" s="9">
        <v>61</v>
      </c>
      <c r="C230" s="9" t="s">
        <v>85</v>
      </c>
      <c r="D230" s="9" t="s">
        <v>39</v>
      </c>
      <c r="E230" s="9" t="s">
        <v>46</v>
      </c>
      <c r="F230" s="9" t="s">
        <v>51</v>
      </c>
      <c r="G230" s="10" t="s">
        <v>42</v>
      </c>
    </row>
    <row r="231" spans="1:7" ht="12.75" x14ac:dyDescent="0.2">
      <c r="A231" s="36" t="s">
        <v>31</v>
      </c>
      <c r="B231" s="9">
        <v>61</v>
      </c>
      <c r="C231" s="9" t="s">
        <v>155</v>
      </c>
      <c r="D231" s="9" t="s">
        <v>39</v>
      </c>
      <c r="E231" s="9" t="s">
        <v>46</v>
      </c>
      <c r="F231" s="9" t="s">
        <v>41</v>
      </c>
      <c r="G231" s="10" t="s">
        <v>42</v>
      </c>
    </row>
    <row r="232" spans="1:7" ht="12.75" x14ac:dyDescent="0.2">
      <c r="A232" s="37"/>
      <c r="B232" s="9">
        <v>61</v>
      </c>
      <c r="C232" s="9" t="s">
        <v>38</v>
      </c>
      <c r="D232" s="9" t="s">
        <v>39</v>
      </c>
      <c r="E232" s="9" t="s">
        <v>46</v>
      </c>
      <c r="F232" s="9" t="s">
        <v>41</v>
      </c>
      <c r="G232" s="10" t="s">
        <v>42</v>
      </c>
    </row>
    <row r="233" spans="1:7" ht="12.75" x14ac:dyDescent="0.2">
      <c r="A233" s="39"/>
      <c r="B233" s="9">
        <v>61</v>
      </c>
      <c r="C233" s="9" t="s">
        <v>111</v>
      </c>
      <c r="D233" s="9" t="s">
        <v>39</v>
      </c>
      <c r="E233" s="9" t="s">
        <v>46</v>
      </c>
      <c r="F233" s="9" t="s">
        <v>41</v>
      </c>
      <c r="G233" s="10" t="s">
        <v>42</v>
      </c>
    </row>
    <row r="234" spans="1:7" ht="12.75" x14ac:dyDescent="0.2">
      <c r="A234" s="37"/>
      <c r="B234" s="9">
        <v>61</v>
      </c>
      <c r="C234" s="9" t="s">
        <v>73</v>
      </c>
      <c r="D234" s="9" t="s">
        <v>39</v>
      </c>
      <c r="E234" s="9" t="s">
        <v>46</v>
      </c>
      <c r="F234" s="9" t="s">
        <v>41</v>
      </c>
      <c r="G234" s="10" t="s">
        <v>42</v>
      </c>
    </row>
    <row r="235" spans="1:7" ht="12.75" x14ac:dyDescent="0.2">
      <c r="A235" s="39"/>
      <c r="B235" s="9">
        <v>61</v>
      </c>
      <c r="C235" s="9" t="s">
        <v>110</v>
      </c>
      <c r="D235" s="9" t="s">
        <v>39</v>
      </c>
      <c r="E235" s="9" t="s">
        <v>46</v>
      </c>
      <c r="F235" s="9" t="s">
        <v>41</v>
      </c>
      <c r="G235" s="10" t="s">
        <v>42</v>
      </c>
    </row>
    <row r="236" spans="1:7" ht="12.75" x14ac:dyDescent="0.2">
      <c r="A236" s="37"/>
      <c r="B236" s="9">
        <v>61</v>
      </c>
      <c r="C236" s="9" t="s">
        <v>156</v>
      </c>
      <c r="D236" s="9" t="s">
        <v>39</v>
      </c>
      <c r="E236" s="9" t="s">
        <v>46</v>
      </c>
      <c r="F236" s="9" t="s">
        <v>41</v>
      </c>
      <c r="G236" s="10" t="s">
        <v>42</v>
      </c>
    </row>
    <row r="237" spans="1:7" ht="12.75" x14ac:dyDescent="0.2">
      <c r="A237" s="39"/>
      <c r="B237" s="9">
        <v>61</v>
      </c>
      <c r="C237" s="9" t="s">
        <v>64</v>
      </c>
      <c r="D237" s="9" t="s">
        <v>39</v>
      </c>
      <c r="E237" s="9" t="s">
        <v>46</v>
      </c>
      <c r="F237" s="9" t="s">
        <v>41</v>
      </c>
      <c r="G237" s="10" t="s">
        <v>42</v>
      </c>
    </row>
    <row r="238" spans="1:7" ht="12.75" x14ac:dyDescent="0.2">
      <c r="A238" s="37"/>
      <c r="B238" s="9">
        <v>61</v>
      </c>
      <c r="C238" s="9" t="s">
        <v>65</v>
      </c>
      <c r="D238" s="9" t="s">
        <v>39</v>
      </c>
      <c r="E238" s="9" t="s">
        <v>46</v>
      </c>
      <c r="F238" s="9" t="s">
        <v>41</v>
      </c>
      <c r="G238" s="10" t="s">
        <v>42</v>
      </c>
    </row>
    <row r="239" spans="1:7" ht="12.75" x14ac:dyDescent="0.2">
      <c r="A239" s="39"/>
      <c r="B239" s="9">
        <v>61</v>
      </c>
      <c r="C239" s="9" t="s">
        <v>118</v>
      </c>
      <c r="D239" s="9" t="s">
        <v>39</v>
      </c>
      <c r="E239" s="9" t="s">
        <v>46</v>
      </c>
      <c r="F239" s="9" t="s">
        <v>41</v>
      </c>
      <c r="G239" s="10" t="s">
        <v>42</v>
      </c>
    </row>
    <row r="240" spans="1:7" ht="12.75" x14ac:dyDescent="0.2">
      <c r="A240" s="37"/>
      <c r="B240" s="9">
        <v>61</v>
      </c>
      <c r="C240" s="9" t="s">
        <v>62</v>
      </c>
      <c r="D240" s="9" t="s">
        <v>39</v>
      </c>
      <c r="E240" s="9" t="s">
        <v>46</v>
      </c>
      <c r="F240" s="9" t="s">
        <v>41</v>
      </c>
      <c r="G240" s="10" t="s">
        <v>42</v>
      </c>
    </row>
    <row r="241" spans="1:7" ht="12.75" x14ac:dyDescent="0.2">
      <c r="A241" s="39"/>
      <c r="B241" s="9">
        <v>61</v>
      </c>
      <c r="C241" s="9" t="s">
        <v>157</v>
      </c>
      <c r="D241" s="9" t="s">
        <v>39</v>
      </c>
      <c r="E241" s="9" t="s">
        <v>46</v>
      </c>
      <c r="F241" s="9" t="s">
        <v>41</v>
      </c>
      <c r="G241" s="10" t="s">
        <v>42</v>
      </c>
    </row>
    <row r="242" spans="1:7" ht="12.75" x14ac:dyDescent="0.2">
      <c r="A242" s="37"/>
      <c r="B242" s="9">
        <v>61</v>
      </c>
      <c r="C242" s="9" t="s">
        <v>67</v>
      </c>
      <c r="D242" s="9" t="s">
        <v>39</v>
      </c>
      <c r="E242" s="9" t="s">
        <v>46</v>
      </c>
      <c r="F242" s="9" t="s">
        <v>41</v>
      </c>
      <c r="G242" s="10" t="s">
        <v>42</v>
      </c>
    </row>
    <row r="243" spans="1:7" ht="12.75" x14ac:dyDescent="0.2">
      <c r="A243" s="39"/>
      <c r="B243" s="9">
        <v>61</v>
      </c>
      <c r="C243" s="9" t="s">
        <v>135</v>
      </c>
      <c r="D243" s="9" t="s">
        <v>39</v>
      </c>
      <c r="E243" s="9" t="s">
        <v>46</v>
      </c>
      <c r="F243" s="9" t="s">
        <v>41</v>
      </c>
      <c r="G243" s="10" t="s">
        <v>42</v>
      </c>
    </row>
    <row r="244" spans="1:7" ht="12.75" x14ac:dyDescent="0.2">
      <c r="A244" s="37"/>
      <c r="B244" s="9">
        <v>61</v>
      </c>
      <c r="C244" s="9" t="s">
        <v>158</v>
      </c>
      <c r="D244" s="9" t="s">
        <v>39</v>
      </c>
      <c r="E244" s="9" t="s">
        <v>46</v>
      </c>
      <c r="F244" s="9" t="s">
        <v>41</v>
      </c>
      <c r="G244" s="10" t="s">
        <v>42</v>
      </c>
    </row>
    <row r="245" spans="1:7" ht="12.75" x14ac:dyDescent="0.2">
      <c r="A245" s="39"/>
      <c r="B245" s="9">
        <v>61</v>
      </c>
      <c r="C245" s="9" t="s">
        <v>93</v>
      </c>
      <c r="D245" s="9" t="s">
        <v>39</v>
      </c>
      <c r="E245" s="9" t="s">
        <v>46</v>
      </c>
      <c r="F245" s="9" t="s">
        <v>41</v>
      </c>
      <c r="G245" s="10" t="s">
        <v>42</v>
      </c>
    </row>
    <row r="246" spans="1:7" ht="12.75" x14ac:dyDescent="0.2">
      <c r="A246" s="37"/>
      <c r="B246" s="9">
        <v>61</v>
      </c>
      <c r="C246" s="9" t="s">
        <v>101</v>
      </c>
      <c r="D246" s="9" t="s">
        <v>39</v>
      </c>
      <c r="E246" s="9" t="s">
        <v>46</v>
      </c>
      <c r="F246" s="9" t="s">
        <v>51</v>
      </c>
      <c r="G246" s="10" t="s">
        <v>42</v>
      </c>
    </row>
    <row r="247" spans="1:7" ht="12.75" x14ac:dyDescent="0.2">
      <c r="A247" s="39"/>
      <c r="B247" s="9">
        <v>61</v>
      </c>
      <c r="C247" s="9" t="s">
        <v>149</v>
      </c>
      <c r="D247" s="9" t="s">
        <v>39</v>
      </c>
      <c r="E247" s="9" t="s">
        <v>46</v>
      </c>
      <c r="F247" s="9" t="s">
        <v>51</v>
      </c>
      <c r="G247" s="10" t="s">
        <v>42</v>
      </c>
    </row>
    <row r="248" spans="1:7" ht="12.75" x14ac:dyDescent="0.2">
      <c r="A248" s="37"/>
      <c r="B248" s="9">
        <v>61</v>
      </c>
      <c r="C248" s="9" t="s">
        <v>159</v>
      </c>
      <c r="D248" s="9" t="s">
        <v>39</v>
      </c>
      <c r="E248" s="9" t="s">
        <v>46</v>
      </c>
      <c r="F248" s="9" t="s">
        <v>41</v>
      </c>
      <c r="G248" s="10" t="s">
        <v>42</v>
      </c>
    </row>
    <row r="249" spans="1:7" ht="12.75" x14ac:dyDescent="0.2">
      <c r="A249" s="39"/>
      <c r="B249" s="9">
        <v>61</v>
      </c>
      <c r="C249" s="9" t="s">
        <v>150</v>
      </c>
      <c r="D249" s="9" t="s">
        <v>39</v>
      </c>
      <c r="E249" s="9" t="s">
        <v>46</v>
      </c>
      <c r="F249" s="9" t="s">
        <v>41</v>
      </c>
      <c r="G249" s="10" t="s">
        <v>42</v>
      </c>
    </row>
    <row r="250" spans="1:7" ht="12.75" x14ac:dyDescent="0.2">
      <c r="A250" s="37"/>
      <c r="B250" s="9">
        <v>61</v>
      </c>
      <c r="C250" s="9" t="s">
        <v>160</v>
      </c>
      <c r="D250" s="9" t="s">
        <v>39</v>
      </c>
      <c r="E250" s="9" t="s">
        <v>46</v>
      </c>
      <c r="F250" s="9" t="s">
        <v>41</v>
      </c>
      <c r="G250" s="10" t="s">
        <v>42</v>
      </c>
    </row>
    <row r="251" spans="1:7" ht="12.75" x14ac:dyDescent="0.2">
      <c r="A251" s="39"/>
      <c r="B251" s="9">
        <v>61</v>
      </c>
      <c r="C251" s="9" t="s">
        <v>66</v>
      </c>
      <c r="D251" s="9" t="s">
        <v>39</v>
      </c>
      <c r="E251" s="9" t="s">
        <v>46</v>
      </c>
      <c r="F251" s="9" t="s">
        <v>41</v>
      </c>
      <c r="G251" s="10" t="s">
        <v>42</v>
      </c>
    </row>
    <row r="252" spans="1:7" ht="12.75" x14ac:dyDescent="0.2">
      <c r="A252" s="37"/>
      <c r="B252" s="9">
        <v>61</v>
      </c>
      <c r="C252" s="9" t="s">
        <v>142</v>
      </c>
      <c r="D252" s="9" t="s">
        <v>39</v>
      </c>
      <c r="E252" s="9" t="s">
        <v>46</v>
      </c>
      <c r="F252" s="9" t="s">
        <v>41</v>
      </c>
      <c r="G252" s="10" t="s">
        <v>42</v>
      </c>
    </row>
    <row r="253" spans="1:7" ht="12.75" x14ac:dyDescent="0.2">
      <c r="A253" s="39"/>
      <c r="B253" s="9">
        <v>61</v>
      </c>
      <c r="C253" s="9" t="s">
        <v>95</v>
      </c>
      <c r="D253" s="9" t="s">
        <v>39</v>
      </c>
      <c r="E253" s="9" t="s">
        <v>46</v>
      </c>
      <c r="F253" s="9" t="s">
        <v>41</v>
      </c>
      <c r="G253" s="10" t="s">
        <v>42</v>
      </c>
    </row>
    <row r="254" spans="1:7" ht="12.75" x14ac:dyDescent="0.2">
      <c r="A254" s="40"/>
      <c r="B254" s="9">
        <v>61</v>
      </c>
      <c r="C254" s="9" t="s">
        <v>161</v>
      </c>
      <c r="D254" s="9" t="s">
        <v>39</v>
      </c>
      <c r="E254" s="9" t="s">
        <v>46</v>
      </c>
      <c r="F254" s="9" t="s">
        <v>41</v>
      </c>
      <c r="G254" s="10" t="s">
        <v>42</v>
      </c>
    </row>
    <row r="255" spans="1:7" ht="12.75" x14ac:dyDescent="0.2">
      <c r="A255" s="36" t="s">
        <v>32</v>
      </c>
      <c r="B255" s="9">
        <v>61</v>
      </c>
      <c r="C255" s="9" t="s">
        <v>162</v>
      </c>
      <c r="D255" s="9" t="s">
        <v>39</v>
      </c>
      <c r="E255" s="9" t="s">
        <v>46</v>
      </c>
      <c r="F255" s="9" t="s">
        <v>51</v>
      </c>
      <c r="G255" s="10" t="s">
        <v>42</v>
      </c>
    </row>
    <row r="256" spans="1:7" ht="12.75" x14ac:dyDescent="0.2">
      <c r="A256" s="37"/>
      <c r="B256" s="9">
        <v>61</v>
      </c>
      <c r="C256" s="9" t="s">
        <v>38</v>
      </c>
      <c r="D256" s="9" t="s">
        <v>39</v>
      </c>
      <c r="E256" s="9" t="s">
        <v>46</v>
      </c>
      <c r="F256" s="9" t="s">
        <v>51</v>
      </c>
      <c r="G256" s="10" t="s">
        <v>42</v>
      </c>
    </row>
    <row r="257" spans="1:7" ht="12.75" x14ac:dyDescent="0.2">
      <c r="A257" s="39"/>
      <c r="B257" s="9">
        <v>61</v>
      </c>
      <c r="C257" s="9" t="s">
        <v>73</v>
      </c>
      <c r="D257" s="9" t="s">
        <v>39</v>
      </c>
      <c r="E257" s="9" t="s">
        <v>46</v>
      </c>
      <c r="F257" s="9" t="s">
        <v>51</v>
      </c>
      <c r="G257" s="10" t="s">
        <v>42</v>
      </c>
    </row>
    <row r="258" spans="1:7" ht="12.75" x14ac:dyDescent="0.2">
      <c r="A258" s="37"/>
      <c r="B258" s="9">
        <v>61</v>
      </c>
      <c r="C258" s="9" t="s">
        <v>110</v>
      </c>
      <c r="D258" s="9" t="s">
        <v>39</v>
      </c>
      <c r="E258" s="9" t="s">
        <v>46</v>
      </c>
      <c r="F258" s="9" t="s">
        <v>51</v>
      </c>
      <c r="G258" s="10" t="s">
        <v>42</v>
      </c>
    </row>
    <row r="259" spans="1:7" ht="12.75" x14ac:dyDescent="0.2">
      <c r="A259" s="39"/>
      <c r="B259" s="9">
        <v>61</v>
      </c>
      <c r="C259" s="9" t="s">
        <v>163</v>
      </c>
      <c r="D259" s="9" t="s">
        <v>39</v>
      </c>
      <c r="E259" s="9" t="s">
        <v>46</v>
      </c>
      <c r="F259" s="9" t="s">
        <v>51</v>
      </c>
      <c r="G259" s="10" t="s">
        <v>42</v>
      </c>
    </row>
    <row r="260" spans="1:7" ht="12.75" x14ac:dyDescent="0.2">
      <c r="A260" s="37"/>
      <c r="B260" s="9">
        <v>61</v>
      </c>
      <c r="C260" s="9" t="s">
        <v>118</v>
      </c>
      <c r="D260" s="9" t="s">
        <v>39</v>
      </c>
      <c r="E260" s="9" t="s">
        <v>46</v>
      </c>
      <c r="F260" s="9" t="s">
        <v>51</v>
      </c>
      <c r="G260" s="10" t="s">
        <v>42</v>
      </c>
    </row>
    <row r="261" spans="1:7" ht="12.75" x14ac:dyDescent="0.2">
      <c r="A261" s="39"/>
      <c r="B261" s="9">
        <v>61</v>
      </c>
      <c r="C261" s="9" t="s">
        <v>164</v>
      </c>
      <c r="D261" s="9" t="s">
        <v>39</v>
      </c>
      <c r="E261" s="9" t="s">
        <v>46</v>
      </c>
      <c r="F261" s="9" t="s">
        <v>51</v>
      </c>
      <c r="G261" s="10" t="s">
        <v>42</v>
      </c>
    </row>
    <row r="262" spans="1:7" ht="12.75" x14ac:dyDescent="0.2">
      <c r="A262" s="37"/>
      <c r="B262" s="9">
        <v>61</v>
      </c>
      <c r="C262" s="9" t="s">
        <v>65</v>
      </c>
      <c r="D262" s="9" t="s">
        <v>39</v>
      </c>
      <c r="E262" s="9" t="s">
        <v>46</v>
      </c>
      <c r="F262" s="9" t="s">
        <v>51</v>
      </c>
      <c r="G262" s="10" t="s">
        <v>42</v>
      </c>
    </row>
    <row r="263" spans="1:7" ht="12.75" x14ac:dyDescent="0.2">
      <c r="A263" s="39"/>
      <c r="B263" s="9">
        <v>61</v>
      </c>
      <c r="C263" s="9" t="s">
        <v>62</v>
      </c>
      <c r="D263" s="9" t="s">
        <v>39</v>
      </c>
      <c r="E263" s="9" t="s">
        <v>46</v>
      </c>
      <c r="F263" s="9" t="s">
        <v>51</v>
      </c>
      <c r="G263" s="10" t="s">
        <v>42</v>
      </c>
    </row>
    <row r="264" spans="1:7" ht="12.75" x14ac:dyDescent="0.2">
      <c r="A264" s="37"/>
      <c r="B264" s="9">
        <v>61</v>
      </c>
      <c r="C264" s="9" t="s">
        <v>165</v>
      </c>
      <c r="D264" s="9" t="s">
        <v>39</v>
      </c>
      <c r="E264" s="9" t="s">
        <v>46</v>
      </c>
      <c r="F264" s="9" t="s">
        <v>51</v>
      </c>
      <c r="G264" s="10" t="s">
        <v>42</v>
      </c>
    </row>
    <row r="265" spans="1:7" ht="12.75" x14ac:dyDescent="0.2">
      <c r="A265" s="39"/>
      <c r="B265" s="9">
        <v>61</v>
      </c>
      <c r="C265" s="9" t="s">
        <v>67</v>
      </c>
      <c r="D265" s="9" t="s">
        <v>39</v>
      </c>
      <c r="E265" s="9" t="s">
        <v>46</v>
      </c>
      <c r="F265" s="9" t="s">
        <v>51</v>
      </c>
      <c r="G265" s="10" t="s">
        <v>42</v>
      </c>
    </row>
    <row r="266" spans="1:7" ht="12.75" x14ac:dyDescent="0.2">
      <c r="A266" s="37"/>
      <c r="B266" s="9">
        <v>61</v>
      </c>
      <c r="C266" s="9" t="s">
        <v>166</v>
      </c>
      <c r="D266" s="9" t="s">
        <v>39</v>
      </c>
      <c r="E266" s="9" t="s">
        <v>46</v>
      </c>
      <c r="F266" s="9" t="s">
        <v>51</v>
      </c>
      <c r="G266" s="10" t="s">
        <v>42</v>
      </c>
    </row>
    <row r="267" spans="1:7" ht="12.75" x14ac:dyDescent="0.2">
      <c r="A267" s="39"/>
      <c r="B267" s="9">
        <v>61</v>
      </c>
      <c r="C267" s="9" t="s">
        <v>158</v>
      </c>
      <c r="D267" s="9" t="s">
        <v>39</v>
      </c>
      <c r="E267" s="9" t="s">
        <v>46</v>
      </c>
      <c r="F267" s="9" t="s">
        <v>51</v>
      </c>
      <c r="G267" s="10" t="s">
        <v>42</v>
      </c>
    </row>
    <row r="268" spans="1:7" ht="12.75" x14ac:dyDescent="0.2">
      <c r="A268" s="37"/>
      <c r="B268" s="9">
        <v>61</v>
      </c>
      <c r="C268" s="9" t="s">
        <v>101</v>
      </c>
      <c r="D268" s="9" t="s">
        <v>39</v>
      </c>
      <c r="E268" s="9" t="s">
        <v>46</v>
      </c>
      <c r="F268" s="9" t="s">
        <v>51</v>
      </c>
      <c r="G268" s="10" t="s">
        <v>42</v>
      </c>
    </row>
    <row r="269" spans="1:7" ht="12.75" x14ac:dyDescent="0.2">
      <c r="A269" s="39"/>
      <c r="B269" s="9">
        <v>61</v>
      </c>
      <c r="C269" s="9" t="s">
        <v>167</v>
      </c>
      <c r="D269" s="9" t="s">
        <v>39</v>
      </c>
      <c r="E269" s="9" t="s">
        <v>46</v>
      </c>
      <c r="F269" s="9" t="s">
        <v>51</v>
      </c>
      <c r="G269" s="10" t="s">
        <v>42</v>
      </c>
    </row>
    <row r="270" spans="1:7" ht="12.75" x14ac:dyDescent="0.2">
      <c r="A270" s="37"/>
      <c r="B270" s="9">
        <v>61</v>
      </c>
      <c r="C270" s="9" t="s">
        <v>168</v>
      </c>
      <c r="D270" s="9" t="s">
        <v>39</v>
      </c>
      <c r="E270" s="9" t="s">
        <v>46</v>
      </c>
      <c r="F270" s="9" t="s">
        <v>51</v>
      </c>
      <c r="G270" s="10" t="s">
        <v>42</v>
      </c>
    </row>
    <row r="271" spans="1:7" ht="12.75" x14ac:dyDescent="0.2">
      <c r="A271" s="39"/>
      <c r="B271" s="9">
        <v>61</v>
      </c>
      <c r="C271" s="9" t="s">
        <v>169</v>
      </c>
      <c r="D271" s="9" t="s">
        <v>39</v>
      </c>
      <c r="E271" s="9" t="s">
        <v>46</v>
      </c>
      <c r="F271" s="9" t="s">
        <v>51</v>
      </c>
      <c r="G271" s="10" t="s">
        <v>42</v>
      </c>
    </row>
    <row r="272" spans="1:7" ht="12.75" x14ac:dyDescent="0.2">
      <c r="A272" s="37"/>
      <c r="B272" s="9">
        <v>61</v>
      </c>
      <c r="C272" s="9" t="s">
        <v>142</v>
      </c>
      <c r="D272" s="9" t="s">
        <v>39</v>
      </c>
      <c r="E272" s="9" t="s">
        <v>46</v>
      </c>
      <c r="F272" s="9" t="s">
        <v>51</v>
      </c>
      <c r="G272" s="10" t="s">
        <v>42</v>
      </c>
    </row>
    <row r="273" spans="1:7" ht="12.75" x14ac:dyDescent="0.2">
      <c r="A273" s="39"/>
      <c r="B273" s="9">
        <v>61</v>
      </c>
      <c r="C273" s="9" t="s">
        <v>95</v>
      </c>
      <c r="D273" s="9" t="s">
        <v>39</v>
      </c>
      <c r="E273" s="9" t="s">
        <v>46</v>
      </c>
      <c r="F273" s="9" t="s">
        <v>51</v>
      </c>
      <c r="G273" s="10" t="s">
        <v>42</v>
      </c>
    </row>
    <row r="274" spans="1:7" ht="12.75" x14ac:dyDescent="0.2">
      <c r="A274" s="37"/>
      <c r="B274" s="9">
        <v>61</v>
      </c>
      <c r="C274" s="9" t="s">
        <v>170</v>
      </c>
      <c r="D274" s="9" t="s">
        <v>39</v>
      </c>
      <c r="E274" s="9" t="s">
        <v>46</v>
      </c>
      <c r="F274" s="9" t="s">
        <v>51</v>
      </c>
      <c r="G274" s="10" t="s">
        <v>42</v>
      </c>
    </row>
    <row r="275" spans="1:7" ht="12.75" x14ac:dyDescent="0.2">
      <c r="A275" s="39"/>
      <c r="B275" s="9">
        <v>61</v>
      </c>
      <c r="C275" s="9" t="s">
        <v>171</v>
      </c>
      <c r="D275" s="9" t="s">
        <v>39</v>
      </c>
      <c r="E275" s="9" t="s">
        <v>46</v>
      </c>
      <c r="F275" s="9" t="s">
        <v>51</v>
      </c>
      <c r="G275" s="10" t="s">
        <v>42</v>
      </c>
    </row>
    <row r="276" spans="1:7" ht="12.75" x14ac:dyDescent="0.2">
      <c r="A276" s="37"/>
      <c r="B276" s="9">
        <v>61</v>
      </c>
      <c r="C276" s="9" t="s">
        <v>172</v>
      </c>
      <c r="D276" s="9" t="s">
        <v>39</v>
      </c>
      <c r="E276" s="9" t="s">
        <v>46</v>
      </c>
      <c r="F276" s="9" t="s">
        <v>51</v>
      </c>
      <c r="G276" s="10" t="s">
        <v>42</v>
      </c>
    </row>
    <row r="277" spans="1:7" ht="12.75" x14ac:dyDescent="0.2">
      <c r="A277" s="39"/>
      <c r="B277" s="9">
        <v>61</v>
      </c>
      <c r="C277" s="9" t="s">
        <v>173</v>
      </c>
      <c r="D277" s="9" t="s">
        <v>39</v>
      </c>
      <c r="E277" s="9" t="s">
        <v>46</v>
      </c>
      <c r="F277" s="9" t="s">
        <v>51</v>
      </c>
      <c r="G277" s="10" t="s">
        <v>42</v>
      </c>
    </row>
    <row r="278" spans="1:7" ht="12.75" x14ac:dyDescent="0.2">
      <c r="A278" s="40"/>
      <c r="B278" s="9">
        <v>61</v>
      </c>
      <c r="C278" s="9" t="s">
        <v>174</v>
      </c>
      <c r="D278" s="9" t="s">
        <v>39</v>
      </c>
      <c r="E278" s="9" t="s">
        <v>46</v>
      </c>
      <c r="F278" s="9" t="s">
        <v>51</v>
      </c>
      <c r="G278" s="10" t="s">
        <v>42</v>
      </c>
    </row>
    <row r="279" spans="1:7" ht="12.75" x14ac:dyDescent="0.2">
      <c r="A279" s="36" t="s">
        <v>33</v>
      </c>
      <c r="B279" s="9">
        <v>61</v>
      </c>
      <c r="C279" s="9" t="s">
        <v>175</v>
      </c>
      <c r="D279" s="9" t="s">
        <v>39</v>
      </c>
      <c r="E279" s="9" t="s">
        <v>46</v>
      </c>
      <c r="F279" s="9" t="s">
        <v>51</v>
      </c>
      <c r="G279" s="10" t="s">
        <v>42</v>
      </c>
    </row>
    <row r="280" spans="1:7" ht="12.75" x14ac:dyDescent="0.2">
      <c r="A280" s="37"/>
      <c r="B280" s="9">
        <v>61</v>
      </c>
      <c r="C280" s="9" t="s">
        <v>107</v>
      </c>
      <c r="D280" s="9" t="s">
        <v>39</v>
      </c>
      <c r="E280" s="9" t="s">
        <v>46</v>
      </c>
      <c r="F280" s="9" t="s">
        <v>51</v>
      </c>
      <c r="G280" s="10" t="s">
        <v>42</v>
      </c>
    </row>
    <row r="281" spans="1:7" ht="12.75" x14ac:dyDescent="0.2">
      <c r="A281" s="39"/>
      <c r="B281" s="9">
        <v>61</v>
      </c>
      <c r="C281" s="9" t="s">
        <v>73</v>
      </c>
      <c r="D281" s="9" t="s">
        <v>39</v>
      </c>
      <c r="E281" s="9" t="s">
        <v>46</v>
      </c>
      <c r="F281" s="9" t="s">
        <v>41</v>
      </c>
      <c r="G281" s="10" t="s">
        <v>42</v>
      </c>
    </row>
    <row r="282" spans="1:7" ht="12.75" x14ac:dyDescent="0.2">
      <c r="A282" s="37"/>
      <c r="B282" s="9">
        <v>61</v>
      </c>
      <c r="C282" s="9" t="s">
        <v>163</v>
      </c>
      <c r="D282" s="9" t="s">
        <v>39</v>
      </c>
      <c r="E282" s="9" t="s">
        <v>46</v>
      </c>
      <c r="F282" s="9" t="s">
        <v>41</v>
      </c>
      <c r="G282" s="10" t="s">
        <v>42</v>
      </c>
    </row>
    <row r="283" spans="1:7" ht="12.75" x14ac:dyDescent="0.2">
      <c r="A283" s="39"/>
      <c r="B283" s="9">
        <v>61</v>
      </c>
      <c r="C283" s="9" t="s">
        <v>118</v>
      </c>
      <c r="D283" s="9" t="s">
        <v>39</v>
      </c>
      <c r="E283" s="9" t="s">
        <v>46</v>
      </c>
      <c r="F283" s="9" t="s">
        <v>41</v>
      </c>
      <c r="G283" s="10" t="s">
        <v>42</v>
      </c>
    </row>
    <row r="284" spans="1:7" ht="12.75" x14ac:dyDescent="0.2">
      <c r="A284" s="37"/>
      <c r="B284" s="9">
        <v>61</v>
      </c>
      <c r="C284" s="9" t="s">
        <v>62</v>
      </c>
      <c r="D284" s="9" t="s">
        <v>39</v>
      </c>
      <c r="E284" s="9" t="s">
        <v>46</v>
      </c>
      <c r="F284" s="9" t="s">
        <v>41</v>
      </c>
      <c r="G284" s="10" t="s">
        <v>42</v>
      </c>
    </row>
    <row r="285" spans="1:7" ht="12.75" x14ac:dyDescent="0.2">
      <c r="A285" s="39"/>
      <c r="B285" s="9">
        <v>61</v>
      </c>
      <c r="C285" s="9" t="s">
        <v>101</v>
      </c>
      <c r="D285" s="9" t="s">
        <v>39</v>
      </c>
      <c r="E285" s="9" t="s">
        <v>46</v>
      </c>
      <c r="F285" s="9" t="s">
        <v>41</v>
      </c>
      <c r="G285" s="10" t="s">
        <v>42</v>
      </c>
    </row>
    <row r="286" spans="1:7" ht="12.75" x14ac:dyDescent="0.2">
      <c r="A286" s="37"/>
      <c r="B286" s="9">
        <v>61</v>
      </c>
      <c r="C286" s="9" t="s">
        <v>176</v>
      </c>
      <c r="D286" s="9" t="s">
        <v>39</v>
      </c>
      <c r="E286" s="9" t="s">
        <v>46</v>
      </c>
      <c r="F286" s="9" t="s">
        <v>41</v>
      </c>
      <c r="G286" s="10" t="s">
        <v>42</v>
      </c>
    </row>
    <row r="287" spans="1:7" ht="12.75" x14ac:dyDescent="0.2">
      <c r="A287" s="39"/>
      <c r="B287" s="9">
        <v>61</v>
      </c>
      <c r="C287" s="9" t="s">
        <v>177</v>
      </c>
      <c r="D287" s="9" t="s">
        <v>39</v>
      </c>
      <c r="E287" s="9" t="s">
        <v>46</v>
      </c>
      <c r="F287" s="9" t="s">
        <v>41</v>
      </c>
      <c r="G287" s="10" t="s">
        <v>42</v>
      </c>
    </row>
    <row r="288" spans="1:7" ht="12.75" x14ac:dyDescent="0.2">
      <c r="A288" s="37"/>
      <c r="B288" s="9">
        <v>61</v>
      </c>
      <c r="C288" s="9" t="s">
        <v>178</v>
      </c>
      <c r="D288" s="9" t="s">
        <v>39</v>
      </c>
      <c r="E288" s="9" t="s">
        <v>46</v>
      </c>
      <c r="F288" s="9" t="s">
        <v>41</v>
      </c>
      <c r="G288" s="10" t="s">
        <v>42</v>
      </c>
    </row>
    <row r="289" spans="1:7" ht="12.75" x14ac:dyDescent="0.2">
      <c r="A289" s="39"/>
      <c r="B289" s="9">
        <v>61</v>
      </c>
      <c r="C289" s="9" t="s">
        <v>179</v>
      </c>
      <c r="D289" s="9" t="s">
        <v>39</v>
      </c>
      <c r="E289" s="9" t="s">
        <v>46</v>
      </c>
      <c r="F289" s="9" t="s">
        <v>41</v>
      </c>
      <c r="G289" s="10" t="s">
        <v>42</v>
      </c>
    </row>
    <row r="290" spans="1:7" ht="12.75" x14ac:dyDescent="0.2">
      <c r="A290" s="37"/>
      <c r="B290" s="9">
        <v>61</v>
      </c>
      <c r="C290" s="9" t="s">
        <v>180</v>
      </c>
      <c r="D290" s="9" t="s">
        <v>39</v>
      </c>
      <c r="E290" s="9" t="s">
        <v>46</v>
      </c>
      <c r="F290" s="9" t="s">
        <v>41</v>
      </c>
      <c r="G290" s="10" t="s">
        <v>42</v>
      </c>
    </row>
    <row r="291" spans="1:7" ht="12.75" x14ac:dyDescent="0.2">
      <c r="A291" s="39"/>
      <c r="B291" s="9">
        <v>61</v>
      </c>
      <c r="C291" s="9" t="s">
        <v>181</v>
      </c>
      <c r="D291" s="9" t="s">
        <v>39</v>
      </c>
      <c r="E291" s="9" t="s">
        <v>46</v>
      </c>
      <c r="F291" s="9" t="s">
        <v>41</v>
      </c>
      <c r="G291" s="10" t="s">
        <v>42</v>
      </c>
    </row>
    <row r="292" spans="1:7" ht="12.75" x14ac:dyDescent="0.2">
      <c r="A292" s="37"/>
      <c r="B292" s="9">
        <v>61</v>
      </c>
      <c r="C292" s="9" t="s">
        <v>142</v>
      </c>
      <c r="D292" s="9" t="s">
        <v>39</v>
      </c>
      <c r="E292" s="9" t="s">
        <v>46</v>
      </c>
      <c r="F292" s="9" t="s">
        <v>41</v>
      </c>
      <c r="G292" s="10" t="s">
        <v>42</v>
      </c>
    </row>
    <row r="293" spans="1:7" ht="12.75" x14ac:dyDescent="0.2">
      <c r="A293" s="39"/>
      <c r="B293" s="9">
        <v>61</v>
      </c>
      <c r="C293" s="9" t="s">
        <v>182</v>
      </c>
      <c r="D293" s="9" t="s">
        <v>39</v>
      </c>
      <c r="E293" s="9" t="s">
        <v>46</v>
      </c>
      <c r="F293" s="9" t="s">
        <v>41</v>
      </c>
      <c r="G293" s="10" t="s">
        <v>42</v>
      </c>
    </row>
    <row r="294" spans="1:7" ht="12.75" x14ac:dyDescent="0.2">
      <c r="A294" s="37"/>
      <c r="B294" s="9">
        <v>61</v>
      </c>
      <c r="C294" s="9" t="s">
        <v>171</v>
      </c>
      <c r="D294" s="9" t="s">
        <v>39</v>
      </c>
      <c r="E294" s="9" t="s">
        <v>46</v>
      </c>
      <c r="F294" s="9" t="s">
        <v>41</v>
      </c>
      <c r="G294" s="10" t="s">
        <v>42</v>
      </c>
    </row>
    <row r="295" spans="1:7" ht="12.75" x14ac:dyDescent="0.2">
      <c r="A295" s="39"/>
      <c r="B295" s="9">
        <v>61</v>
      </c>
      <c r="C295" s="9" t="s">
        <v>183</v>
      </c>
      <c r="D295" s="9" t="s">
        <v>39</v>
      </c>
      <c r="E295" s="9" t="s">
        <v>46</v>
      </c>
      <c r="F295" s="9" t="s">
        <v>41</v>
      </c>
      <c r="G295" s="10" t="s">
        <v>42</v>
      </c>
    </row>
    <row r="296" spans="1:7" ht="12.75" x14ac:dyDescent="0.2">
      <c r="A296" s="40"/>
      <c r="B296" s="9">
        <v>61</v>
      </c>
      <c r="C296" s="9" t="s">
        <v>184</v>
      </c>
      <c r="D296" s="9" t="s">
        <v>39</v>
      </c>
      <c r="E296" s="9" t="s">
        <v>46</v>
      </c>
      <c r="F296" s="9" t="s">
        <v>41</v>
      </c>
      <c r="G296" s="10" t="s">
        <v>42</v>
      </c>
    </row>
    <row r="297" spans="1:7" ht="12.75" x14ac:dyDescent="0.2">
      <c r="A297" s="36" t="s">
        <v>34</v>
      </c>
      <c r="B297" s="9">
        <v>61</v>
      </c>
      <c r="C297" s="9" t="s">
        <v>185</v>
      </c>
      <c r="D297" s="9" t="s">
        <v>39</v>
      </c>
      <c r="E297" s="9" t="s">
        <v>46</v>
      </c>
      <c r="F297" s="9" t="s">
        <v>41</v>
      </c>
      <c r="G297" s="10" t="s">
        <v>42</v>
      </c>
    </row>
    <row r="298" spans="1:7" ht="12.75" x14ac:dyDescent="0.2">
      <c r="A298" s="37"/>
      <c r="B298" s="9">
        <v>61</v>
      </c>
      <c r="C298" s="9" t="s">
        <v>186</v>
      </c>
      <c r="D298" s="9" t="s">
        <v>39</v>
      </c>
      <c r="E298" s="9" t="s">
        <v>46</v>
      </c>
      <c r="F298" s="9" t="s">
        <v>41</v>
      </c>
      <c r="G298" s="10" t="s">
        <v>42</v>
      </c>
    </row>
    <row r="299" spans="1:7" ht="12.75" x14ac:dyDescent="0.2">
      <c r="A299" s="39"/>
      <c r="B299" s="9">
        <v>61</v>
      </c>
      <c r="C299" s="9" t="s">
        <v>184</v>
      </c>
      <c r="D299" s="9" t="s">
        <v>39</v>
      </c>
      <c r="E299" s="9" t="s">
        <v>46</v>
      </c>
      <c r="F299" s="9" t="s">
        <v>41</v>
      </c>
      <c r="G299" s="10" t="s">
        <v>42</v>
      </c>
    </row>
    <row r="300" spans="1:7" ht="12.75" x14ac:dyDescent="0.2">
      <c r="A300" s="37"/>
      <c r="B300" s="9">
        <v>61</v>
      </c>
      <c r="C300" s="9" t="s">
        <v>187</v>
      </c>
      <c r="D300" s="9" t="s">
        <v>39</v>
      </c>
      <c r="E300" s="9" t="s">
        <v>46</v>
      </c>
      <c r="F300" s="9" t="s">
        <v>41</v>
      </c>
      <c r="G300" s="10" t="s">
        <v>42</v>
      </c>
    </row>
    <row r="301" spans="1:7" ht="12.75" x14ac:dyDescent="0.2">
      <c r="A301" s="39"/>
      <c r="B301" s="9">
        <v>61</v>
      </c>
      <c r="C301" s="9" t="s">
        <v>188</v>
      </c>
      <c r="D301" s="9" t="s">
        <v>39</v>
      </c>
      <c r="E301" s="9" t="s">
        <v>46</v>
      </c>
      <c r="F301" s="9" t="s">
        <v>41</v>
      </c>
      <c r="G301" s="10" t="s">
        <v>42</v>
      </c>
    </row>
    <row r="302" spans="1:7" ht="12.75" x14ac:dyDescent="0.2">
      <c r="A302" s="37"/>
      <c r="B302" s="9">
        <v>61</v>
      </c>
      <c r="C302" s="9" t="s">
        <v>142</v>
      </c>
      <c r="D302" s="9" t="s">
        <v>39</v>
      </c>
      <c r="E302" s="9" t="s">
        <v>46</v>
      </c>
      <c r="F302" s="9" t="s">
        <v>41</v>
      </c>
      <c r="G302" s="10" t="s">
        <v>42</v>
      </c>
    </row>
    <row r="303" spans="1:7" ht="12.75" x14ac:dyDescent="0.2">
      <c r="A303" s="39"/>
      <c r="B303" s="9">
        <v>61</v>
      </c>
      <c r="C303" s="9" t="s">
        <v>189</v>
      </c>
      <c r="D303" s="9" t="s">
        <v>39</v>
      </c>
      <c r="E303" s="9" t="s">
        <v>46</v>
      </c>
      <c r="F303" s="9" t="s">
        <v>41</v>
      </c>
      <c r="G303" s="10" t="s">
        <v>42</v>
      </c>
    </row>
    <row r="304" spans="1:7" ht="12.75" x14ac:dyDescent="0.2">
      <c r="A304" s="37"/>
      <c r="B304" s="9">
        <v>61</v>
      </c>
      <c r="C304" s="9" t="s">
        <v>180</v>
      </c>
      <c r="D304" s="9" t="s">
        <v>39</v>
      </c>
      <c r="E304" s="9" t="s">
        <v>46</v>
      </c>
      <c r="F304" s="9" t="s">
        <v>41</v>
      </c>
      <c r="G304" s="10" t="s">
        <v>42</v>
      </c>
    </row>
    <row r="305" spans="1:7" ht="12.75" x14ac:dyDescent="0.2">
      <c r="A305" s="39"/>
      <c r="B305" s="9">
        <v>61</v>
      </c>
      <c r="C305" s="9" t="s">
        <v>190</v>
      </c>
      <c r="D305" s="9" t="s">
        <v>39</v>
      </c>
      <c r="E305" s="9" t="s">
        <v>46</v>
      </c>
      <c r="F305" s="9" t="s">
        <v>41</v>
      </c>
      <c r="G305" s="10" t="s">
        <v>42</v>
      </c>
    </row>
    <row r="306" spans="1:7" ht="12.75" x14ac:dyDescent="0.2">
      <c r="A306" s="37"/>
      <c r="B306" s="9">
        <v>61</v>
      </c>
      <c r="C306" s="9" t="s">
        <v>177</v>
      </c>
      <c r="D306" s="9" t="s">
        <v>39</v>
      </c>
      <c r="E306" s="9" t="s">
        <v>46</v>
      </c>
      <c r="F306" s="9" t="s">
        <v>41</v>
      </c>
      <c r="G306" s="10" t="s">
        <v>42</v>
      </c>
    </row>
    <row r="307" spans="1:7" ht="12.75" x14ac:dyDescent="0.2">
      <c r="A307" s="39"/>
      <c r="B307" s="9">
        <v>61</v>
      </c>
      <c r="C307" s="9" t="s">
        <v>191</v>
      </c>
      <c r="D307" s="9" t="s">
        <v>39</v>
      </c>
      <c r="E307" s="9" t="s">
        <v>46</v>
      </c>
      <c r="F307" s="9" t="s">
        <v>41</v>
      </c>
      <c r="G307" s="10" t="s">
        <v>42</v>
      </c>
    </row>
    <row r="308" spans="1:7" ht="12.75" x14ac:dyDescent="0.2">
      <c r="A308" s="37"/>
      <c r="B308" s="9">
        <v>61</v>
      </c>
      <c r="C308" s="9" t="s">
        <v>192</v>
      </c>
      <c r="D308" s="9" t="s">
        <v>39</v>
      </c>
      <c r="E308" s="9" t="s">
        <v>46</v>
      </c>
      <c r="F308" s="9" t="s">
        <v>41</v>
      </c>
      <c r="G308" s="10" t="s">
        <v>42</v>
      </c>
    </row>
    <row r="309" spans="1:7" ht="12.75" x14ac:dyDescent="0.2">
      <c r="A309" s="39"/>
      <c r="B309" s="9">
        <v>61</v>
      </c>
      <c r="C309" s="9" t="s">
        <v>193</v>
      </c>
      <c r="D309" s="9" t="s">
        <v>39</v>
      </c>
      <c r="E309" s="9" t="s">
        <v>46</v>
      </c>
      <c r="F309" s="9" t="s">
        <v>41</v>
      </c>
      <c r="G309" s="10" t="s">
        <v>42</v>
      </c>
    </row>
    <row r="310" spans="1:7" ht="12.75" x14ac:dyDescent="0.2">
      <c r="A310" s="37"/>
      <c r="B310" s="9">
        <v>61</v>
      </c>
      <c r="C310" s="9" t="s">
        <v>194</v>
      </c>
      <c r="D310" s="9" t="s">
        <v>39</v>
      </c>
      <c r="E310" s="9" t="s">
        <v>46</v>
      </c>
      <c r="F310" s="9" t="s">
        <v>41</v>
      </c>
      <c r="G310" s="10" t="s">
        <v>42</v>
      </c>
    </row>
    <row r="311" spans="1:7" ht="12.75" x14ac:dyDescent="0.2">
      <c r="A311" s="39"/>
      <c r="B311" s="9">
        <v>61</v>
      </c>
      <c r="C311" s="9" t="s">
        <v>62</v>
      </c>
      <c r="D311" s="9" t="s">
        <v>39</v>
      </c>
      <c r="E311" s="9" t="s">
        <v>46</v>
      </c>
      <c r="F311" s="9" t="s">
        <v>41</v>
      </c>
      <c r="G311" s="10" t="s">
        <v>42</v>
      </c>
    </row>
    <row r="312" spans="1:7" ht="12.75" x14ac:dyDescent="0.2">
      <c r="A312" s="37"/>
      <c r="B312" s="9">
        <v>61</v>
      </c>
      <c r="C312" s="9" t="s">
        <v>118</v>
      </c>
      <c r="D312" s="9" t="s">
        <v>39</v>
      </c>
      <c r="E312" s="9" t="s">
        <v>46</v>
      </c>
      <c r="F312" s="9" t="s">
        <v>41</v>
      </c>
      <c r="G312" s="10" t="s">
        <v>42</v>
      </c>
    </row>
    <row r="313" spans="1:7" ht="12.75" x14ac:dyDescent="0.2">
      <c r="A313" s="39"/>
      <c r="B313" s="9">
        <v>61</v>
      </c>
      <c r="C313" s="9" t="s">
        <v>195</v>
      </c>
      <c r="D313" s="9" t="s">
        <v>39</v>
      </c>
      <c r="E313" s="9" t="s">
        <v>46</v>
      </c>
      <c r="F313" s="9" t="s">
        <v>41</v>
      </c>
      <c r="G313" s="10" t="s">
        <v>42</v>
      </c>
    </row>
    <row r="314" spans="1:7" ht="12.75" x14ac:dyDescent="0.2">
      <c r="A314" s="37"/>
      <c r="B314" s="9">
        <v>61</v>
      </c>
      <c r="C314" s="9" t="s">
        <v>196</v>
      </c>
      <c r="D314" s="9" t="s">
        <v>39</v>
      </c>
      <c r="E314" s="9" t="s">
        <v>46</v>
      </c>
      <c r="F314" s="9" t="s">
        <v>41</v>
      </c>
      <c r="G314" s="10" t="s">
        <v>42</v>
      </c>
    </row>
    <row r="315" spans="1:7" ht="12.75" x14ac:dyDescent="0.2">
      <c r="A315" s="38"/>
      <c r="B315" s="9">
        <v>61</v>
      </c>
      <c r="C315" s="9" t="s">
        <v>73</v>
      </c>
      <c r="D315" s="9" t="s">
        <v>39</v>
      </c>
      <c r="E315" s="9" t="s">
        <v>46</v>
      </c>
      <c r="F315" s="9" t="s">
        <v>41</v>
      </c>
      <c r="G315" s="10" t="s">
        <v>42</v>
      </c>
    </row>
    <row r="316" spans="1:7" ht="12.75" x14ac:dyDescent="0.2">
      <c r="A316" s="36" t="s">
        <v>35</v>
      </c>
      <c r="B316" s="9">
        <v>61</v>
      </c>
      <c r="C316" s="9" t="s">
        <v>197</v>
      </c>
      <c r="D316" s="9" t="s">
        <v>39</v>
      </c>
      <c r="E316" s="9" t="s">
        <v>40</v>
      </c>
      <c r="F316" s="9" t="s">
        <v>51</v>
      </c>
      <c r="G316" s="10" t="s">
        <v>42</v>
      </c>
    </row>
    <row r="317" spans="1:7" ht="12.75" x14ac:dyDescent="0.2">
      <c r="A317" s="39"/>
      <c r="B317" s="9">
        <v>61</v>
      </c>
      <c r="C317" s="9" t="s">
        <v>73</v>
      </c>
      <c r="D317" s="9" t="s">
        <v>39</v>
      </c>
      <c r="E317" s="9" t="s">
        <v>40</v>
      </c>
      <c r="F317" s="9" t="s">
        <v>41</v>
      </c>
      <c r="G317" s="10" t="s">
        <v>42</v>
      </c>
    </row>
    <row r="318" spans="1:7" ht="12.75" x14ac:dyDescent="0.2">
      <c r="A318" s="37"/>
      <c r="B318" s="9">
        <v>61</v>
      </c>
      <c r="C318" s="9" t="s">
        <v>196</v>
      </c>
      <c r="D318" s="9" t="s">
        <v>39</v>
      </c>
      <c r="E318" s="9" t="s">
        <v>40</v>
      </c>
      <c r="F318" s="9" t="s">
        <v>51</v>
      </c>
      <c r="G318" s="10" t="s">
        <v>42</v>
      </c>
    </row>
    <row r="319" spans="1:7" ht="12.75" x14ac:dyDescent="0.2">
      <c r="A319" s="39"/>
      <c r="B319" s="9">
        <v>61</v>
      </c>
      <c r="C319" s="9" t="s">
        <v>198</v>
      </c>
      <c r="D319" s="9" t="s">
        <v>39</v>
      </c>
      <c r="E319" s="9" t="s">
        <v>40</v>
      </c>
      <c r="F319" s="9" t="s">
        <v>51</v>
      </c>
      <c r="G319" s="10" t="s">
        <v>42</v>
      </c>
    </row>
    <row r="320" spans="1:7" ht="12.75" x14ac:dyDescent="0.2">
      <c r="A320" s="37"/>
      <c r="B320" s="9">
        <v>61</v>
      </c>
      <c r="C320" s="9" t="s">
        <v>199</v>
      </c>
      <c r="D320" s="9" t="s">
        <v>39</v>
      </c>
      <c r="E320" s="9" t="s">
        <v>40</v>
      </c>
      <c r="F320" s="9" t="s">
        <v>51</v>
      </c>
      <c r="G320" s="10" t="s">
        <v>42</v>
      </c>
    </row>
    <row r="321" spans="1:7" ht="12.75" x14ac:dyDescent="0.2">
      <c r="A321" s="39"/>
      <c r="B321" s="9">
        <v>61</v>
      </c>
      <c r="C321" s="9" t="s">
        <v>118</v>
      </c>
      <c r="D321" s="9" t="s">
        <v>39</v>
      </c>
      <c r="E321" s="9" t="s">
        <v>40</v>
      </c>
      <c r="F321" s="9" t="s">
        <v>51</v>
      </c>
      <c r="G321" s="10" t="s">
        <v>42</v>
      </c>
    </row>
    <row r="322" spans="1:7" ht="12.75" x14ac:dyDescent="0.2">
      <c r="A322" s="37"/>
      <c r="B322" s="9">
        <v>61</v>
      </c>
      <c r="C322" s="9" t="s">
        <v>62</v>
      </c>
      <c r="D322" s="9" t="s">
        <v>39</v>
      </c>
      <c r="E322" s="9" t="s">
        <v>40</v>
      </c>
      <c r="F322" s="9" t="s">
        <v>41</v>
      </c>
      <c r="G322" s="10" t="s">
        <v>42</v>
      </c>
    </row>
    <row r="323" spans="1:7" ht="12.75" x14ac:dyDescent="0.2">
      <c r="A323" s="39"/>
      <c r="B323" s="9">
        <v>61</v>
      </c>
      <c r="C323" s="9" t="s">
        <v>200</v>
      </c>
      <c r="D323" s="9" t="s">
        <v>39</v>
      </c>
      <c r="E323" s="9" t="s">
        <v>40</v>
      </c>
      <c r="F323" s="9" t="s">
        <v>41</v>
      </c>
      <c r="G323" s="10" t="s">
        <v>42</v>
      </c>
    </row>
    <row r="324" spans="1:7" ht="12.75" x14ac:dyDescent="0.2">
      <c r="A324" s="37"/>
      <c r="B324" s="9">
        <v>61</v>
      </c>
      <c r="C324" s="9" t="s">
        <v>192</v>
      </c>
      <c r="D324" s="9" t="s">
        <v>39</v>
      </c>
      <c r="E324" s="9" t="s">
        <v>40</v>
      </c>
      <c r="F324" s="9" t="s">
        <v>51</v>
      </c>
      <c r="G324" s="10" t="s">
        <v>42</v>
      </c>
    </row>
    <row r="325" spans="1:7" ht="12.75" x14ac:dyDescent="0.2">
      <c r="A325" s="39"/>
      <c r="B325" s="9">
        <v>61</v>
      </c>
      <c r="C325" s="9" t="s">
        <v>201</v>
      </c>
      <c r="D325" s="9" t="s">
        <v>39</v>
      </c>
      <c r="E325" s="9" t="s">
        <v>40</v>
      </c>
      <c r="F325" s="9" t="s">
        <v>41</v>
      </c>
      <c r="G325" s="10" t="s">
        <v>42</v>
      </c>
    </row>
    <row r="326" spans="1:7" ht="12.75" x14ac:dyDescent="0.2">
      <c r="A326" s="37"/>
      <c r="B326" s="9">
        <v>61</v>
      </c>
      <c r="C326" s="9" t="s">
        <v>191</v>
      </c>
      <c r="D326" s="9" t="s">
        <v>39</v>
      </c>
      <c r="E326" s="9" t="s">
        <v>40</v>
      </c>
      <c r="F326" s="9" t="s">
        <v>51</v>
      </c>
      <c r="G326" s="10" t="s">
        <v>42</v>
      </c>
    </row>
    <row r="327" spans="1:7" ht="12.75" x14ac:dyDescent="0.2">
      <c r="A327" s="39"/>
      <c r="B327" s="9">
        <v>61</v>
      </c>
      <c r="C327" s="9" t="s">
        <v>177</v>
      </c>
      <c r="D327" s="9" t="s">
        <v>39</v>
      </c>
      <c r="E327" s="9" t="s">
        <v>40</v>
      </c>
      <c r="F327" s="9" t="s">
        <v>51</v>
      </c>
      <c r="G327" s="10" t="s">
        <v>42</v>
      </c>
    </row>
    <row r="328" spans="1:7" ht="12.75" x14ac:dyDescent="0.2">
      <c r="A328" s="37"/>
      <c r="B328" s="9">
        <v>61</v>
      </c>
      <c r="C328" s="9" t="s">
        <v>202</v>
      </c>
      <c r="D328" s="9" t="s">
        <v>39</v>
      </c>
      <c r="E328" s="9" t="s">
        <v>40</v>
      </c>
      <c r="F328" s="9" t="s">
        <v>51</v>
      </c>
      <c r="G328" s="10" t="s">
        <v>42</v>
      </c>
    </row>
    <row r="329" spans="1:7" ht="12.75" x14ac:dyDescent="0.2">
      <c r="A329" s="39"/>
      <c r="B329" s="9">
        <v>61</v>
      </c>
      <c r="C329" s="9" t="s">
        <v>203</v>
      </c>
      <c r="D329" s="9" t="s">
        <v>39</v>
      </c>
      <c r="E329" s="9" t="s">
        <v>40</v>
      </c>
      <c r="F329" s="9" t="s">
        <v>51</v>
      </c>
      <c r="G329" s="10" t="s">
        <v>42</v>
      </c>
    </row>
    <row r="330" spans="1:7" ht="12.75" x14ac:dyDescent="0.2">
      <c r="A330" s="37"/>
      <c r="B330" s="9">
        <v>61</v>
      </c>
      <c r="C330" s="9" t="s">
        <v>189</v>
      </c>
      <c r="D330" s="9" t="s">
        <v>39</v>
      </c>
      <c r="E330" s="9" t="s">
        <v>40</v>
      </c>
      <c r="F330" s="9" t="s">
        <v>51</v>
      </c>
      <c r="G330" s="10" t="s">
        <v>42</v>
      </c>
    </row>
    <row r="331" spans="1:7" ht="12.75" x14ac:dyDescent="0.2">
      <c r="A331" s="39"/>
      <c r="B331" s="9">
        <v>61</v>
      </c>
      <c r="C331" s="9" t="s">
        <v>204</v>
      </c>
      <c r="D331" s="9" t="s">
        <v>39</v>
      </c>
      <c r="E331" s="9" t="s">
        <v>40</v>
      </c>
      <c r="F331" s="9" t="s">
        <v>51</v>
      </c>
      <c r="G331" s="10" t="s">
        <v>42</v>
      </c>
    </row>
    <row r="332" spans="1:7" ht="12.75" x14ac:dyDescent="0.2">
      <c r="A332" s="37"/>
      <c r="B332" s="9">
        <v>61</v>
      </c>
      <c r="C332" s="9" t="s">
        <v>142</v>
      </c>
      <c r="D332" s="9" t="s">
        <v>39</v>
      </c>
      <c r="E332" s="9" t="s">
        <v>40</v>
      </c>
      <c r="F332" s="9" t="s">
        <v>51</v>
      </c>
      <c r="G332" s="10" t="s">
        <v>42</v>
      </c>
    </row>
    <row r="333" spans="1:7" ht="12.75" x14ac:dyDescent="0.2">
      <c r="A333" s="39"/>
      <c r="B333" s="9">
        <v>61</v>
      </c>
      <c r="C333" s="9" t="s">
        <v>205</v>
      </c>
      <c r="D333" s="9" t="s">
        <v>39</v>
      </c>
      <c r="E333" s="9" t="s">
        <v>40</v>
      </c>
      <c r="F333" s="9" t="s">
        <v>41</v>
      </c>
      <c r="G333" s="10" t="s">
        <v>42</v>
      </c>
    </row>
    <row r="334" spans="1:7" ht="12.75" x14ac:dyDescent="0.2">
      <c r="A334" s="37"/>
      <c r="B334" s="9">
        <v>61</v>
      </c>
      <c r="C334" s="9" t="s">
        <v>188</v>
      </c>
      <c r="D334" s="9" t="s">
        <v>39</v>
      </c>
      <c r="E334" s="9" t="s">
        <v>40</v>
      </c>
      <c r="F334" s="9" t="s">
        <v>41</v>
      </c>
      <c r="G334" s="10" t="s">
        <v>42</v>
      </c>
    </row>
    <row r="335" spans="1:7" ht="12.75" x14ac:dyDescent="0.2">
      <c r="A335" s="38"/>
      <c r="B335" s="9">
        <v>61</v>
      </c>
      <c r="C335" s="9" t="s">
        <v>187</v>
      </c>
      <c r="D335" s="9" t="s">
        <v>39</v>
      </c>
      <c r="E335" s="9" t="s">
        <v>40</v>
      </c>
      <c r="F335" s="9" t="s">
        <v>41</v>
      </c>
      <c r="G335" s="10" t="s">
        <v>42</v>
      </c>
    </row>
    <row r="336" spans="1:7" ht="12.75" x14ac:dyDescent="0.2">
      <c r="A336" s="36" t="s">
        <v>36</v>
      </c>
      <c r="B336" s="9">
        <v>61</v>
      </c>
      <c r="C336" s="9" t="s">
        <v>206</v>
      </c>
      <c r="D336" s="9" t="s">
        <v>39</v>
      </c>
      <c r="E336" s="9" t="s">
        <v>46</v>
      </c>
      <c r="F336" s="9" t="s">
        <v>51</v>
      </c>
      <c r="G336" s="10" t="s">
        <v>42</v>
      </c>
    </row>
    <row r="337" spans="1:7" ht="12.75" x14ac:dyDescent="0.2">
      <c r="A337" s="39"/>
      <c r="B337" s="9">
        <v>61</v>
      </c>
      <c r="C337" s="9" t="s">
        <v>73</v>
      </c>
      <c r="D337" s="9" t="s">
        <v>39</v>
      </c>
      <c r="E337" s="9" t="s">
        <v>46</v>
      </c>
      <c r="F337" s="9" t="s">
        <v>51</v>
      </c>
      <c r="G337" s="10" t="s">
        <v>42</v>
      </c>
    </row>
    <row r="338" spans="1:7" ht="12.75" x14ac:dyDescent="0.2">
      <c r="A338" s="37"/>
      <c r="B338" s="9">
        <v>61</v>
      </c>
      <c r="C338" s="9" t="s">
        <v>207</v>
      </c>
      <c r="D338" s="9" t="s">
        <v>39</v>
      </c>
      <c r="E338" s="9" t="s">
        <v>46</v>
      </c>
      <c r="F338" s="9" t="s">
        <v>51</v>
      </c>
      <c r="G338" s="10" t="s">
        <v>42</v>
      </c>
    </row>
    <row r="339" spans="1:7" ht="12.75" x14ac:dyDescent="0.2">
      <c r="A339" s="39"/>
      <c r="B339" s="9">
        <v>61</v>
      </c>
      <c r="C339" s="9" t="s">
        <v>208</v>
      </c>
      <c r="D339" s="9" t="s">
        <v>39</v>
      </c>
      <c r="E339" s="9" t="s">
        <v>46</v>
      </c>
      <c r="F339" s="9" t="s">
        <v>51</v>
      </c>
      <c r="G339" s="10" t="s">
        <v>42</v>
      </c>
    </row>
    <row r="340" spans="1:7" ht="12.75" x14ac:dyDescent="0.2">
      <c r="A340" s="37"/>
      <c r="B340" s="9">
        <v>61</v>
      </c>
      <c r="C340" s="9" t="s">
        <v>209</v>
      </c>
      <c r="D340" s="9" t="s">
        <v>39</v>
      </c>
      <c r="E340" s="9" t="s">
        <v>46</v>
      </c>
      <c r="F340" s="9" t="s">
        <v>51</v>
      </c>
      <c r="G340" s="10" t="s">
        <v>42</v>
      </c>
    </row>
    <row r="341" spans="1:7" ht="12.75" x14ac:dyDescent="0.2">
      <c r="A341" s="39"/>
      <c r="B341" s="9">
        <v>61</v>
      </c>
      <c r="C341" s="9" t="s">
        <v>200</v>
      </c>
      <c r="D341" s="9" t="s">
        <v>39</v>
      </c>
      <c r="E341" s="9" t="s">
        <v>46</v>
      </c>
      <c r="F341" s="9" t="s">
        <v>51</v>
      </c>
      <c r="G341" s="10" t="s">
        <v>42</v>
      </c>
    </row>
    <row r="342" spans="1:7" ht="12.75" x14ac:dyDescent="0.2">
      <c r="A342" s="37"/>
      <c r="B342" s="9">
        <v>61</v>
      </c>
      <c r="C342" s="9" t="s">
        <v>210</v>
      </c>
      <c r="D342" s="9" t="s">
        <v>39</v>
      </c>
      <c r="E342" s="9" t="s">
        <v>46</v>
      </c>
      <c r="F342" s="9" t="s">
        <v>51</v>
      </c>
      <c r="G342" s="10" t="s">
        <v>42</v>
      </c>
    </row>
    <row r="343" spans="1:7" ht="12.75" x14ac:dyDescent="0.2">
      <c r="A343" s="39"/>
      <c r="B343" s="9">
        <v>61</v>
      </c>
      <c r="C343" s="9" t="s">
        <v>211</v>
      </c>
      <c r="D343" s="9" t="s">
        <v>39</v>
      </c>
      <c r="E343" s="9" t="s">
        <v>46</v>
      </c>
      <c r="F343" s="9" t="s">
        <v>51</v>
      </c>
      <c r="G343" s="10" t="s">
        <v>42</v>
      </c>
    </row>
    <row r="344" spans="1:7" ht="12.75" x14ac:dyDescent="0.2">
      <c r="A344" s="37"/>
      <c r="B344" s="9">
        <v>61</v>
      </c>
      <c r="C344" s="9" t="s">
        <v>212</v>
      </c>
      <c r="D344" s="9" t="s">
        <v>39</v>
      </c>
      <c r="E344" s="9" t="s">
        <v>46</v>
      </c>
      <c r="F344" s="9" t="s">
        <v>51</v>
      </c>
      <c r="G344" s="10" t="s">
        <v>42</v>
      </c>
    </row>
    <row r="345" spans="1:7" ht="12.75" x14ac:dyDescent="0.2">
      <c r="A345" s="39"/>
      <c r="B345" s="9">
        <v>61</v>
      </c>
      <c r="C345" s="9" t="s">
        <v>202</v>
      </c>
      <c r="D345" s="9" t="s">
        <v>39</v>
      </c>
      <c r="E345" s="9" t="s">
        <v>46</v>
      </c>
      <c r="F345" s="9" t="s">
        <v>51</v>
      </c>
      <c r="G345" s="10" t="s">
        <v>42</v>
      </c>
    </row>
    <row r="346" spans="1:7" ht="12.75" x14ac:dyDescent="0.2">
      <c r="A346" s="37"/>
      <c r="B346" s="9">
        <v>61</v>
      </c>
      <c r="C346" s="9" t="s">
        <v>213</v>
      </c>
      <c r="D346" s="9" t="s">
        <v>39</v>
      </c>
      <c r="E346" s="9" t="s">
        <v>46</v>
      </c>
      <c r="F346" s="9" t="s">
        <v>51</v>
      </c>
      <c r="G346" s="10" t="s">
        <v>42</v>
      </c>
    </row>
    <row r="347" spans="1:7" ht="12.75" x14ac:dyDescent="0.2">
      <c r="A347" s="39"/>
      <c r="B347" s="9">
        <v>61</v>
      </c>
      <c r="C347" s="9" t="s">
        <v>214</v>
      </c>
      <c r="D347" s="9" t="s">
        <v>39</v>
      </c>
      <c r="E347" s="9" t="s">
        <v>46</v>
      </c>
      <c r="F347" s="9" t="s">
        <v>51</v>
      </c>
      <c r="G347" s="10" t="s">
        <v>42</v>
      </c>
    </row>
    <row r="348" spans="1:7" ht="12.75" x14ac:dyDescent="0.2">
      <c r="A348" s="40"/>
      <c r="B348" s="9">
        <v>61</v>
      </c>
      <c r="C348" s="9" t="s">
        <v>187</v>
      </c>
      <c r="D348" s="9" t="s">
        <v>39</v>
      </c>
      <c r="E348" s="9" t="s">
        <v>46</v>
      </c>
      <c r="F348" s="9" t="s">
        <v>51</v>
      </c>
      <c r="G348" s="10" t="s">
        <v>42</v>
      </c>
    </row>
    <row r="349" spans="1:7" ht="12.75" x14ac:dyDescent="0.2">
      <c r="A349" s="11"/>
      <c r="B349" s="12"/>
      <c r="C349" s="12"/>
      <c r="D349" s="12"/>
      <c r="E349" s="12"/>
      <c r="F349" s="12"/>
      <c r="G349" s="13"/>
    </row>
    <row r="350" spans="1:7" ht="12.75" x14ac:dyDescent="0.2">
      <c r="A350" s="11"/>
      <c r="B350" s="12"/>
      <c r="C350" s="12"/>
      <c r="D350" s="12"/>
      <c r="E350" s="12"/>
      <c r="F350" s="12"/>
      <c r="G350" s="13"/>
    </row>
    <row r="351" spans="1:7" ht="12.75" x14ac:dyDescent="0.2">
      <c r="A351" s="11"/>
      <c r="B351" s="12"/>
      <c r="C351" s="12"/>
      <c r="D351" s="12"/>
      <c r="E351" s="12"/>
      <c r="F351" s="12"/>
      <c r="G351" s="13"/>
    </row>
    <row r="352" spans="1:7" ht="12.75" x14ac:dyDescent="0.2">
      <c r="A352" s="11"/>
      <c r="B352" s="12"/>
      <c r="C352" s="12"/>
      <c r="D352" s="12"/>
      <c r="E352" s="12"/>
      <c r="F352" s="12"/>
      <c r="G352" s="13"/>
    </row>
  </sheetData>
  <mergeCells count="16">
    <mergeCell ref="A72:A115"/>
    <mergeCell ref="A116:A146"/>
    <mergeCell ref="A316:A335"/>
    <mergeCell ref="A336:A348"/>
    <mergeCell ref="A147:A175"/>
    <mergeCell ref="A176:A204"/>
    <mergeCell ref="A205:A230"/>
    <mergeCell ref="A231:A254"/>
    <mergeCell ref="A255:A278"/>
    <mergeCell ref="A279:A296"/>
    <mergeCell ref="A297:A315"/>
    <mergeCell ref="A1:G1"/>
    <mergeCell ref="A10:A13"/>
    <mergeCell ref="A14:A25"/>
    <mergeCell ref="A26:A52"/>
    <mergeCell ref="A53:A7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71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36" t="s">
        <v>20</v>
      </c>
      <c r="B9" s="9">
        <v>62</v>
      </c>
      <c r="C9" s="9" t="s">
        <v>215</v>
      </c>
      <c r="D9" s="9" t="s">
        <v>39</v>
      </c>
      <c r="E9" s="9" t="s">
        <v>40</v>
      </c>
      <c r="F9" s="9" t="s">
        <v>51</v>
      </c>
      <c r="G9" s="10" t="s">
        <v>42</v>
      </c>
    </row>
    <row r="10" spans="1:7" x14ac:dyDescent="0.2">
      <c r="A10" s="37"/>
      <c r="B10" s="9">
        <v>62</v>
      </c>
      <c r="C10" s="9" t="s">
        <v>216</v>
      </c>
      <c r="D10" s="9" t="s">
        <v>39</v>
      </c>
      <c r="E10" s="9" t="s">
        <v>40</v>
      </c>
      <c r="F10" s="9" t="s">
        <v>41</v>
      </c>
      <c r="G10" s="10" t="s">
        <v>42</v>
      </c>
    </row>
    <row r="11" spans="1:7" x14ac:dyDescent="0.2">
      <c r="A11" s="39"/>
      <c r="B11" s="9">
        <v>62</v>
      </c>
      <c r="C11" s="9" t="s">
        <v>217</v>
      </c>
      <c r="D11" s="9" t="s">
        <v>39</v>
      </c>
      <c r="E11" s="9" t="s">
        <v>40</v>
      </c>
      <c r="F11" s="9" t="s">
        <v>41</v>
      </c>
      <c r="G11" s="10" t="s">
        <v>42</v>
      </c>
    </row>
    <row r="12" spans="1:7" x14ac:dyDescent="0.2">
      <c r="A12" s="40"/>
      <c r="B12" s="9">
        <v>62</v>
      </c>
      <c r="C12" s="9" t="s">
        <v>218</v>
      </c>
      <c r="D12" s="9" t="s">
        <v>39</v>
      </c>
      <c r="E12" s="9" t="s">
        <v>40</v>
      </c>
      <c r="F12" s="9" t="s">
        <v>41</v>
      </c>
      <c r="G12" s="10" t="s">
        <v>42</v>
      </c>
    </row>
    <row r="13" spans="1:7" x14ac:dyDescent="0.2">
      <c r="A13" s="36" t="s">
        <v>22</v>
      </c>
      <c r="B13" s="9">
        <v>62</v>
      </c>
      <c r="C13" s="9" t="s">
        <v>61</v>
      </c>
      <c r="D13" s="9" t="s">
        <v>39</v>
      </c>
      <c r="E13" s="9" t="s">
        <v>46</v>
      </c>
      <c r="F13" s="9" t="s">
        <v>41</v>
      </c>
      <c r="G13" s="10" t="s">
        <v>42</v>
      </c>
    </row>
    <row r="14" spans="1:7" x14ac:dyDescent="0.2">
      <c r="A14" s="40"/>
      <c r="B14" s="9">
        <v>62</v>
      </c>
      <c r="C14" s="9" t="s">
        <v>215</v>
      </c>
      <c r="D14" s="9" t="s">
        <v>39</v>
      </c>
      <c r="E14" s="9" t="s">
        <v>46</v>
      </c>
      <c r="F14" s="9" t="s">
        <v>51</v>
      </c>
      <c r="G14" s="10" t="s">
        <v>42</v>
      </c>
    </row>
    <row r="15" spans="1:7" x14ac:dyDescent="0.2">
      <c r="A15" s="36" t="s">
        <v>23</v>
      </c>
      <c r="B15" s="9">
        <v>62</v>
      </c>
      <c r="C15" s="9" t="s">
        <v>61</v>
      </c>
      <c r="D15" s="9" t="s">
        <v>39</v>
      </c>
      <c r="E15" s="9" t="s">
        <v>40</v>
      </c>
      <c r="F15" s="9" t="s">
        <v>41</v>
      </c>
      <c r="G15" s="10" t="s">
        <v>42</v>
      </c>
    </row>
    <row r="16" spans="1:7" x14ac:dyDescent="0.2">
      <c r="A16" s="37"/>
      <c r="B16" s="9">
        <v>62</v>
      </c>
      <c r="C16" s="9" t="s">
        <v>219</v>
      </c>
      <c r="D16" s="9" t="s">
        <v>39</v>
      </c>
      <c r="E16" s="9" t="s">
        <v>40</v>
      </c>
      <c r="F16" s="9" t="s">
        <v>51</v>
      </c>
      <c r="G16" s="10" t="s">
        <v>42</v>
      </c>
    </row>
    <row r="17" spans="1:7" x14ac:dyDescent="0.2">
      <c r="A17" s="39"/>
      <c r="B17" s="9">
        <v>62</v>
      </c>
      <c r="C17" s="9" t="s">
        <v>220</v>
      </c>
      <c r="D17" s="9" t="s">
        <v>39</v>
      </c>
      <c r="E17" s="9" t="s">
        <v>40</v>
      </c>
      <c r="F17" s="9" t="s">
        <v>51</v>
      </c>
      <c r="G17" s="10" t="s">
        <v>42</v>
      </c>
    </row>
    <row r="18" spans="1:7" x14ac:dyDescent="0.2">
      <c r="A18" s="37"/>
      <c r="B18" s="9">
        <v>62</v>
      </c>
      <c r="C18" s="9" t="s">
        <v>221</v>
      </c>
      <c r="D18" s="9" t="s">
        <v>39</v>
      </c>
      <c r="E18" s="9" t="s">
        <v>40</v>
      </c>
      <c r="F18" s="9" t="s">
        <v>51</v>
      </c>
      <c r="G18" s="10" t="s">
        <v>42</v>
      </c>
    </row>
    <row r="19" spans="1:7" x14ac:dyDescent="0.2">
      <c r="A19" s="38"/>
      <c r="B19" s="9">
        <v>62</v>
      </c>
      <c r="C19" s="9" t="s">
        <v>222</v>
      </c>
      <c r="D19" s="9" t="s">
        <v>39</v>
      </c>
      <c r="E19" s="9" t="s">
        <v>40</v>
      </c>
      <c r="F19" s="9" t="s">
        <v>51</v>
      </c>
      <c r="G19" s="10" t="s">
        <v>42</v>
      </c>
    </row>
    <row r="20" spans="1:7" x14ac:dyDescent="0.2">
      <c r="A20" s="36" t="s">
        <v>24</v>
      </c>
      <c r="B20" s="9">
        <v>62</v>
      </c>
      <c r="C20" s="9" t="s">
        <v>223</v>
      </c>
      <c r="D20" s="9" t="s">
        <v>39</v>
      </c>
      <c r="E20" s="9" t="s">
        <v>46</v>
      </c>
      <c r="F20" s="9" t="s">
        <v>51</v>
      </c>
      <c r="G20" s="10" t="s">
        <v>42</v>
      </c>
    </row>
    <row r="21" spans="1:7" x14ac:dyDescent="0.2">
      <c r="A21" s="39"/>
      <c r="B21" s="9">
        <v>62</v>
      </c>
      <c r="C21" s="9" t="s">
        <v>224</v>
      </c>
      <c r="D21" s="9" t="s">
        <v>39</v>
      </c>
      <c r="E21" s="9" t="s">
        <v>46</v>
      </c>
      <c r="F21" s="9" t="s">
        <v>51</v>
      </c>
      <c r="G21" s="10" t="s">
        <v>42</v>
      </c>
    </row>
    <row r="22" spans="1:7" x14ac:dyDescent="0.2">
      <c r="A22" s="37"/>
      <c r="B22" s="9">
        <v>62</v>
      </c>
      <c r="C22" s="9" t="s">
        <v>225</v>
      </c>
      <c r="D22" s="9" t="s">
        <v>39</v>
      </c>
      <c r="E22" s="9" t="s">
        <v>46</v>
      </c>
      <c r="F22" s="9" t="s">
        <v>51</v>
      </c>
      <c r="G22" s="10" t="s">
        <v>42</v>
      </c>
    </row>
    <row r="23" spans="1:7" x14ac:dyDescent="0.2">
      <c r="A23" s="39"/>
      <c r="B23" s="9">
        <v>62</v>
      </c>
      <c r="C23" s="9" t="s">
        <v>221</v>
      </c>
      <c r="D23" s="9" t="s">
        <v>39</v>
      </c>
      <c r="E23" s="9" t="s">
        <v>46</v>
      </c>
      <c r="F23" s="9" t="s">
        <v>51</v>
      </c>
      <c r="G23" s="10" t="s">
        <v>42</v>
      </c>
    </row>
    <row r="24" spans="1:7" x14ac:dyDescent="0.2">
      <c r="A24" s="37"/>
      <c r="B24" s="9">
        <v>62</v>
      </c>
      <c r="C24" s="9" t="s">
        <v>226</v>
      </c>
      <c r="D24" s="9" t="s">
        <v>39</v>
      </c>
      <c r="E24" s="9" t="s">
        <v>46</v>
      </c>
      <c r="F24" s="9" t="s">
        <v>51</v>
      </c>
      <c r="G24" s="10" t="s">
        <v>42</v>
      </c>
    </row>
    <row r="25" spans="1:7" x14ac:dyDescent="0.2">
      <c r="A25" s="39"/>
      <c r="B25" s="9">
        <v>62</v>
      </c>
      <c r="C25" s="9" t="s">
        <v>227</v>
      </c>
      <c r="D25" s="9" t="s">
        <v>39</v>
      </c>
      <c r="E25" s="9" t="s">
        <v>46</v>
      </c>
      <c r="F25" s="9" t="s">
        <v>51</v>
      </c>
      <c r="G25" s="10" t="s">
        <v>42</v>
      </c>
    </row>
    <row r="26" spans="1:7" x14ac:dyDescent="0.2">
      <c r="A26" s="37"/>
      <c r="B26" s="9">
        <v>62</v>
      </c>
      <c r="C26" s="9" t="s">
        <v>216</v>
      </c>
      <c r="D26" s="9" t="s">
        <v>39</v>
      </c>
      <c r="E26" s="9" t="s">
        <v>46</v>
      </c>
      <c r="F26" s="9" t="s">
        <v>51</v>
      </c>
      <c r="G26" s="10" t="s">
        <v>42</v>
      </c>
    </row>
    <row r="27" spans="1:7" x14ac:dyDescent="0.2">
      <c r="A27" s="39"/>
      <c r="B27" s="9">
        <v>62</v>
      </c>
      <c r="C27" s="9" t="s">
        <v>228</v>
      </c>
      <c r="D27" s="9" t="s">
        <v>39</v>
      </c>
      <c r="E27" s="9" t="s">
        <v>46</v>
      </c>
      <c r="F27" s="9" t="s">
        <v>51</v>
      </c>
      <c r="G27" s="10" t="s">
        <v>42</v>
      </c>
    </row>
    <row r="28" spans="1:7" x14ac:dyDescent="0.2">
      <c r="A28" s="37"/>
      <c r="B28" s="9">
        <v>62</v>
      </c>
      <c r="C28" s="9" t="s">
        <v>229</v>
      </c>
      <c r="D28" s="9" t="s">
        <v>39</v>
      </c>
      <c r="E28" s="9" t="s">
        <v>46</v>
      </c>
      <c r="F28" s="9" t="s">
        <v>51</v>
      </c>
      <c r="G28" s="10" t="s">
        <v>42</v>
      </c>
    </row>
    <row r="29" spans="1:7" x14ac:dyDescent="0.2">
      <c r="A29" s="39"/>
      <c r="B29" s="9">
        <v>62</v>
      </c>
      <c r="C29" s="9" t="s">
        <v>230</v>
      </c>
      <c r="D29" s="9" t="s">
        <v>39</v>
      </c>
      <c r="E29" s="9" t="s">
        <v>46</v>
      </c>
      <c r="F29" s="9" t="s">
        <v>51</v>
      </c>
      <c r="G29" s="10" t="s">
        <v>42</v>
      </c>
    </row>
    <row r="30" spans="1:7" x14ac:dyDescent="0.2">
      <c r="A30" s="37"/>
      <c r="B30" s="9">
        <v>62</v>
      </c>
      <c r="C30" s="9" t="s">
        <v>231</v>
      </c>
      <c r="D30" s="9" t="s">
        <v>39</v>
      </c>
      <c r="E30" s="9" t="s">
        <v>46</v>
      </c>
      <c r="F30" s="9" t="s">
        <v>51</v>
      </c>
      <c r="G30" s="10" t="s">
        <v>42</v>
      </c>
    </row>
    <row r="31" spans="1:7" x14ac:dyDescent="0.2">
      <c r="A31" s="39"/>
      <c r="B31" s="9">
        <v>62</v>
      </c>
      <c r="C31" s="9" t="s">
        <v>232</v>
      </c>
      <c r="D31" s="9" t="s">
        <v>39</v>
      </c>
      <c r="E31" s="9" t="s">
        <v>46</v>
      </c>
      <c r="F31" s="9" t="s">
        <v>51</v>
      </c>
      <c r="G31" s="10" t="s">
        <v>42</v>
      </c>
    </row>
    <row r="32" spans="1:7" x14ac:dyDescent="0.2">
      <c r="A32" s="37"/>
      <c r="B32" s="9">
        <v>62</v>
      </c>
      <c r="C32" s="9" t="s">
        <v>233</v>
      </c>
      <c r="D32" s="9" t="s">
        <v>39</v>
      </c>
      <c r="E32" s="9" t="s">
        <v>46</v>
      </c>
      <c r="F32" s="9" t="s">
        <v>51</v>
      </c>
      <c r="G32" s="10" t="s">
        <v>42</v>
      </c>
    </row>
    <row r="33" spans="1:7" x14ac:dyDescent="0.2">
      <c r="A33" s="38"/>
      <c r="B33" s="9">
        <v>62</v>
      </c>
      <c r="C33" s="9" t="s">
        <v>234</v>
      </c>
      <c r="D33" s="9" t="s">
        <v>39</v>
      </c>
      <c r="E33" s="9" t="s">
        <v>46</v>
      </c>
      <c r="F33" s="9" t="s">
        <v>51</v>
      </c>
      <c r="G33" s="10" t="s">
        <v>42</v>
      </c>
    </row>
    <row r="34" spans="1:7" x14ac:dyDescent="0.2">
      <c r="A34" s="36" t="s">
        <v>25</v>
      </c>
      <c r="B34" s="9">
        <v>62</v>
      </c>
      <c r="C34" s="9" t="s">
        <v>234</v>
      </c>
      <c r="D34" s="9" t="s">
        <v>39</v>
      </c>
      <c r="E34" s="9" t="s">
        <v>46</v>
      </c>
      <c r="F34" s="9" t="s">
        <v>41</v>
      </c>
      <c r="G34" s="10" t="s">
        <v>42</v>
      </c>
    </row>
    <row r="35" spans="1:7" x14ac:dyDescent="0.2">
      <c r="A35" s="39"/>
      <c r="B35" s="9">
        <v>62</v>
      </c>
      <c r="C35" s="9" t="s">
        <v>233</v>
      </c>
      <c r="D35" s="9" t="s">
        <v>39</v>
      </c>
      <c r="E35" s="9" t="s">
        <v>46</v>
      </c>
      <c r="F35" s="9" t="s">
        <v>41</v>
      </c>
      <c r="G35" s="10" t="s">
        <v>42</v>
      </c>
    </row>
    <row r="36" spans="1:7" x14ac:dyDescent="0.2">
      <c r="A36" s="37"/>
      <c r="B36" s="9">
        <v>62</v>
      </c>
      <c r="C36" s="9" t="s">
        <v>232</v>
      </c>
      <c r="D36" s="9" t="s">
        <v>39</v>
      </c>
      <c r="E36" s="9" t="s">
        <v>46</v>
      </c>
      <c r="F36" s="9" t="s">
        <v>41</v>
      </c>
      <c r="G36" s="10" t="s">
        <v>42</v>
      </c>
    </row>
    <row r="37" spans="1:7" ht="12.75" x14ac:dyDescent="0.2">
      <c r="A37" s="39"/>
      <c r="B37" s="9">
        <v>62</v>
      </c>
      <c r="C37" s="9" t="s">
        <v>230</v>
      </c>
      <c r="D37" s="9" t="s">
        <v>39</v>
      </c>
      <c r="E37" s="9" t="s">
        <v>46</v>
      </c>
      <c r="F37" s="9" t="s">
        <v>41</v>
      </c>
      <c r="G37" s="10" t="s">
        <v>42</v>
      </c>
    </row>
    <row r="38" spans="1:7" ht="12.75" x14ac:dyDescent="0.2">
      <c r="A38" s="37"/>
      <c r="B38" s="9">
        <v>62</v>
      </c>
      <c r="C38" s="9" t="s">
        <v>231</v>
      </c>
      <c r="D38" s="9" t="s">
        <v>39</v>
      </c>
      <c r="E38" s="9" t="s">
        <v>46</v>
      </c>
      <c r="F38" s="9" t="s">
        <v>41</v>
      </c>
      <c r="G38" s="10" t="s">
        <v>42</v>
      </c>
    </row>
    <row r="39" spans="1:7" ht="12.75" x14ac:dyDescent="0.2">
      <c r="A39" s="39"/>
      <c r="B39" s="9">
        <v>62</v>
      </c>
      <c r="C39" s="9" t="s">
        <v>229</v>
      </c>
      <c r="D39" s="9" t="s">
        <v>39</v>
      </c>
      <c r="E39" s="9" t="s">
        <v>46</v>
      </c>
      <c r="F39" s="9" t="s">
        <v>41</v>
      </c>
      <c r="G39" s="10" t="s">
        <v>42</v>
      </c>
    </row>
    <row r="40" spans="1:7" ht="12.75" x14ac:dyDescent="0.2">
      <c r="A40" s="37"/>
      <c r="B40" s="9">
        <v>62</v>
      </c>
      <c r="C40" s="9" t="s">
        <v>228</v>
      </c>
      <c r="D40" s="9" t="s">
        <v>39</v>
      </c>
      <c r="E40" s="9" t="s">
        <v>46</v>
      </c>
      <c r="F40" s="9" t="s">
        <v>41</v>
      </c>
      <c r="G40" s="10" t="s">
        <v>42</v>
      </c>
    </row>
    <row r="41" spans="1:7" ht="12.75" x14ac:dyDescent="0.2">
      <c r="A41" s="39"/>
      <c r="B41" s="9">
        <v>62</v>
      </c>
      <c r="C41" s="9" t="s">
        <v>235</v>
      </c>
      <c r="D41" s="9" t="s">
        <v>39</v>
      </c>
      <c r="E41" s="9" t="s">
        <v>46</v>
      </c>
      <c r="F41" s="9" t="s">
        <v>41</v>
      </c>
      <c r="G41" s="10" t="s">
        <v>42</v>
      </c>
    </row>
    <row r="42" spans="1:7" ht="12.75" x14ac:dyDescent="0.2">
      <c r="A42" s="37"/>
      <c r="B42" s="9">
        <v>62</v>
      </c>
      <c r="C42" s="9" t="s">
        <v>227</v>
      </c>
      <c r="D42" s="9" t="s">
        <v>39</v>
      </c>
      <c r="E42" s="9" t="s">
        <v>46</v>
      </c>
      <c r="F42" s="9" t="s">
        <v>41</v>
      </c>
      <c r="G42" s="10" t="s">
        <v>42</v>
      </c>
    </row>
    <row r="43" spans="1:7" ht="12.75" x14ac:dyDescent="0.2">
      <c r="A43" s="39"/>
      <c r="B43" s="9">
        <v>62</v>
      </c>
      <c r="C43" s="9" t="s">
        <v>226</v>
      </c>
      <c r="D43" s="9" t="s">
        <v>39</v>
      </c>
      <c r="E43" s="9" t="s">
        <v>46</v>
      </c>
      <c r="F43" s="9" t="s">
        <v>41</v>
      </c>
      <c r="G43" s="10" t="s">
        <v>42</v>
      </c>
    </row>
    <row r="44" spans="1:7" ht="12.75" x14ac:dyDescent="0.2">
      <c r="A44" s="37"/>
      <c r="B44" s="9">
        <v>62</v>
      </c>
      <c r="C44" s="9" t="s">
        <v>236</v>
      </c>
      <c r="D44" s="9" t="s">
        <v>39</v>
      </c>
      <c r="E44" s="9" t="s">
        <v>46</v>
      </c>
      <c r="F44" s="9" t="s">
        <v>41</v>
      </c>
      <c r="G44" s="10" t="s">
        <v>42</v>
      </c>
    </row>
    <row r="45" spans="1:7" ht="12.75" x14ac:dyDescent="0.2">
      <c r="A45" s="39"/>
      <c r="B45" s="9">
        <v>62</v>
      </c>
      <c r="C45" s="9" t="s">
        <v>237</v>
      </c>
      <c r="D45" s="9" t="s">
        <v>39</v>
      </c>
      <c r="E45" s="9" t="s">
        <v>46</v>
      </c>
      <c r="F45" s="9" t="s">
        <v>41</v>
      </c>
      <c r="G45" s="10" t="s">
        <v>42</v>
      </c>
    </row>
    <row r="46" spans="1:7" ht="12.75" x14ac:dyDescent="0.2">
      <c r="A46" s="37"/>
      <c r="B46" s="9">
        <v>62</v>
      </c>
      <c r="C46" s="9" t="s">
        <v>87</v>
      </c>
      <c r="D46" s="9" t="s">
        <v>39</v>
      </c>
      <c r="E46" s="9" t="s">
        <v>46</v>
      </c>
      <c r="F46" s="9" t="s">
        <v>41</v>
      </c>
      <c r="G46" s="10" t="s">
        <v>42</v>
      </c>
    </row>
    <row r="47" spans="1:7" ht="12.75" x14ac:dyDescent="0.2">
      <c r="A47" s="39"/>
      <c r="B47" s="9">
        <v>62</v>
      </c>
      <c r="C47" s="9" t="s">
        <v>238</v>
      </c>
      <c r="D47" s="9" t="s">
        <v>39</v>
      </c>
      <c r="E47" s="9" t="s">
        <v>46</v>
      </c>
      <c r="F47" s="9" t="s">
        <v>41</v>
      </c>
      <c r="G47" s="10" t="s">
        <v>42</v>
      </c>
    </row>
    <row r="48" spans="1:7" ht="12.75" x14ac:dyDescent="0.2">
      <c r="A48" s="37"/>
      <c r="B48" s="9">
        <v>62</v>
      </c>
      <c r="C48" s="9" t="s">
        <v>239</v>
      </c>
      <c r="D48" s="9" t="s">
        <v>39</v>
      </c>
      <c r="E48" s="9" t="s">
        <v>46</v>
      </c>
      <c r="F48" s="9" t="s">
        <v>41</v>
      </c>
      <c r="G48" s="10" t="s">
        <v>42</v>
      </c>
    </row>
    <row r="49" spans="1:7" ht="12.75" x14ac:dyDescent="0.2">
      <c r="A49" s="39"/>
      <c r="B49" s="9">
        <v>62</v>
      </c>
      <c r="C49" s="9" t="s">
        <v>221</v>
      </c>
      <c r="D49" s="9" t="s">
        <v>39</v>
      </c>
      <c r="E49" s="9" t="s">
        <v>46</v>
      </c>
      <c r="F49" s="9" t="s">
        <v>41</v>
      </c>
      <c r="G49" s="10" t="s">
        <v>42</v>
      </c>
    </row>
    <row r="50" spans="1:7" ht="12.75" x14ac:dyDescent="0.2">
      <c r="A50" s="37"/>
      <c r="B50" s="9">
        <v>62</v>
      </c>
      <c r="C50" s="9" t="s">
        <v>240</v>
      </c>
      <c r="D50" s="9" t="s">
        <v>39</v>
      </c>
      <c r="E50" s="9" t="s">
        <v>46</v>
      </c>
      <c r="F50" s="9" t="s">
        <v>41</v>
      </c>
      <c r="G50" s="10" t="s">
        <v>42</v>
      </c>
    </row>
    <row r="51" spans="1:7" ht="12.75" x14ac:dyDescent="0.2">
      <c r="A51" s="39"/>
      <c r="B51" s="9">
        <v>62</v>
      </c>
      <c r="C51" s="9" t="s">
        <v>225</v>
      </c>
      <c r="D51" s="9" t="s">
        <v>39</v>
      </c>
      <c r="E51" s="9" t="s">
        <v>46</v>
      </c>
      <c r="F51" s="9" t="s">
        <v>41</v>
      </c>
      <c r="G51" s="10" t="s">
        <v>42</v>
      </c>
    </row>
    <row r="52" spans="1:7" ht="12.75" x14ac:dyDescent="0.2">
      <c r="A52" s="37"/>
      <c r="B52" s="9">
        <v>62</v>
      </c>
      <c r="C52" s="9" t="s">
        <v>174</v>
      </c>
      <c r="D52" s="9" t="s">
        <v>39</v>
      </c>
      <c r="E52" s="9" t="s">
        <v>46</v>
      </c>
      <c r="F52" s="9" t="s">
        <v>41</v>
      </c>
      <c r="G52" s="10" t="s">
        <v>42</v>
      </c>
    </row>
    <row r="53" spans="1:7" ht="12.75" x14ac:dyDescent="0.2">
      <c r="A53" s="39"/>
      <c r="B53" s="9">
        <v>62</v>
      </c>
      <c r="C53" s="9" t="s">
        <v>224</v>
      </c>
      <c r="D53" s="9" t="s">
        <v>39</v>
      </c>
      <c r="E53" s="9" t="s">
        <v>46</v>
      </c>
      <c r="F53" s="9" t="s">
        <v>41</v>
      </c>
      <c r="G53" s="10" t="s">
        <v>42</v>
      </c>
    </row>
    <row r="54" spans="1:7" ht="12.75" x14ac:dyDescent="0.2">
      <c r="A54" s="37"/>
      <c r="B54" s="9">
        <v>62</v>
      </c>
      <c r="C54" s="9" t="s">
        <v>223</v>
      </c>
      <c r="D54" s="9" t="s">
        <v>39</v>
      </c>
      <c r="E54" s="9" t="s">
        <v>46</v>
      </c>
      <c r="F54" s="9" t="s">
        <v>41</v>
      </c>
      <c r="G54" s="10" t="s">
        <v>42</v>
      </c>
    </row>
    <row r="55" spans="1:7" ht="12.75" x14ac:dyDescent="0.2">
      <c r="A55" s="38"/>
      <c r="B55" s="9">
        <v>62</v>
      </c>
      <c r="C55" s="9" t="s">
        <v>241</v>
      </c>
      <c r="D55" s="9" t="s">
        <v>39</v>
      </c>
      <c r="E55" s="9" t="s">
        <v>46</v>
      </c>
      <c r="F55" s="9" t="s">
        <v>41</v>
      </c>
      <c r="G55" s="10" t="s">
        <v>42</v>
      </c>
    </row>
    <row r="56" spans="1:7" ht="12.75" x14ac:dyDescent="0.2">
      <c r="A56" s="36" t="s">
        <v>26</v>
      </c>
      <c r="B56" s="9">
        <v>62</v>
      </c>
      <c r="C56" s="9" t="s">
        <v>241</v>
      </c>
      <c r="D56" s="9" t="s">
        <v>39</v>
      </c>
      <c r="E56" s="9" t="s">
        <v>46</v>
      </c>
      <c r="F56" s="9" t="s">
        <v>51</v>
      </c>
      <c r="G56" s="10" t="s">
        <v>42</v>
      </c>
    </row>
    <row r="57" spans="1:7" ht="12.75" x14ac:dyDescent="0.2">
      <c r="A57" s="39"/>
      <c r="B57" s="9">
        <v>62</v>
      </c>
      <c r="C57" s="9" t="s">
        <v>242</v>
      </c>
      <c r="D57" s="9" t="s">
        <v>39</v>
      </c>
      <c r="E57" s="9" t="s">
        <v>46</v>
      </c>
      <c r="F57" s="9" t="s">
        <v>51</v>
      </c>
      <c r="G57" s="10" t="s">
        <v>42</v>
      </c>
    </row>
    <row r="58" spans="1:7" ht="12.75" x14ac:dyDescent="0.2">
      <c r="A58" s="37"/>
      <c r="B58" s="9">
        <v>62</v>
      </c>
      <c r="C58" s="9" t="s">
        <v>243</v>
      </c>
      <c r="D58" s="9" t="s">
        <v>39</v>
      </c>
      <c r="E58" s="9" t="s">
        <v>46</v>
      </c>
      <c r="F58" s="9" t="s">
        <v>51</v>
      </c>
      <c r="G58" s="10" t="s">
        <v>42</v>
      </c>
    </row>
    <row r="59" spans="1:7" ht="12.75" x14ac:dyDescent="0.2">
      <c r="A59" s="39"/>
      <c r="B59" s="9">
        <v>62</v>
      </c>
      <c r="C59" s="9" t="s">
        <v>225</v>
      </c>
      <c r="D59" s="9" t="s">
        <v>39</v>
      </c>
      <c r="E59" s="9" t="s">
        <v>46</v>
      </c>
      <c r="F59" s="9" t="s">
        <v>51</v>
      </c>
      <c r="G59" s="10" t="s">
        <v>42</v>
      </c>
    </row>
    <row r="60" spans="1:7" ht="12.75" x14ac:dyDescent="0.2">
      <c r="A60" s="37"/>
      <c r="B60" s="9">
        <v>62</v>
      </c>
      <c r="C60" s="9" t="s">
        <v>221</v>
      </c>
      <c r="D60" s="9" t="s">
        <v>39</v>
      </c>
      <c r="E60" s="9" t="s">
        <v>46</v>
      </c>
      <c r="F60" s="9" t="s">
        <v>51</v>
      </c>
      <c r="G60" s="10" t="s">
        <v>42</v>
      </c>
    </row>
    <row r="61" spans="1:7" ht="12.75" x14ac:dyDescent="0.2">
      <c r="A61" s="39"/>
      <c r="B61" s="9">
        <v>62</v>
      </c>
      <c r="C61" s="9" t="s">
        <v>239</v>
      </c>
      <c r="D61" s="9" t="s">
        <v>39</v>
      </c>
      <c r="E61" s="9" t="s">
        <v>46</v>
      </c>
      <c r="F61" s="9" t="s">
        <v>51</v>
      </c>
      <c r="G61" s="10" t="s">
        <v>42</v>
      </c>
    </row>
    <row r="62" spans="1:7" ht="12.75" x14ac:dyDescent="0.2">
      <c r="A62" s="37"/>
      <c r="B62" s="9">
        <v>62</v>
      </c>
      <c r="C62" s="9" t="s">
        <v>244</v>
      </c>
      <c r="D62" s="9" t="s">
        <v>39</v>
      </c>
      <c r="E62" s="9" t="s">
        <v>46</v>
      </c>
      <c r="F62" s="9" t="s">
        <v>51</v>
      </c>
      <c r="G62" s="10" t="s">
        <v>42</v>
      </c>
    </row>
    <row r="63" spans="1:7" ht="12.75" x14ac:dyDescent="0.2">
      <c r="A63" s="39"/>
      <c r="B63" s="9">
        <v>62</v>
      </c>
      <c r="C63" s="9" t="s">
        <v>87</v>
      </c>
      <c r="D63" s="9" t="s">
        <v>39</v>
      </c>
      <c r="E63" s="9" t="s">
        <v>46</v>
      </c>
      <c r="F63" s="9" t="s">
        <v>51</v>
      </c>
      <c r="G63" s="10" t="s">
        <v>42</v>
      </c>
    </row>
    <row r="64" spans="1:7" ht="12.75" x14ac:dyDescent="0.2">
      <c r="A64" s="37"/>
      <c r="B64" s="9">
        <v>62</v>
      </c>
      <c r="C64" s="9" t="s">
        <v>237</v>
      </c>
      <c r="D64" s="9" t="s">
        <v>39</v>
      </c>
      <c r="E64" s="9" t="s">
        <v>46</v>
      </c>
      <c r="F64" s="9" t="s">
        <v>51</v>
      </c>
      <c r="G64" s="10" t="s">
        <v>42</v>
      </c>
    </row>
    <row r="65" spans="1:7" ht="12.75" x14ac:dyDescent="0.2">
      <c r="A65" s="39"/>
      <c r="B65" s="9">
        <v>62</v>
      </c>
      <c r="C65" s="9" t="s">
        <v>236</v>
      </c>
      <c r="D65" s="9" t="s">
        <v>39</v>
      </c>
      <c r="E65" s="9" t="s">
        <v>46</v>
      </c>
      <c r="F65" s="9" t="s">
        <v>51</v>
      </c>
      <c r="G65" s="10" t="s">
        <v>42</v>
      </c>
    </row>
    <row r="66" spans="1:7" ht="12.75" x14ac:dyDescent="0.2">
      <c r="A66" s="37"/>
      <c r="B66" s="9">
        <v>62</v>
      </c>
      <c r="C66" s="9" t="s">
        <v>226</v>
      </c>
      <c r="D66" s="9" t="s">
        <v>39</v>
      </c>
      <c r="E66" s="9" t="s">
        <v>46</v>
      </c>
      <c r="F66" s="9" t="s">
        <v>51</v>
      </c>
      <c r="G66" s="10" t="s">
        <v>42</v>
      </c>
    </row>
    <row r="67" spans="1:7" ht="12.75" x14ac:dyDescent="0.2">
      <c r="A67" s="39"/>
      <c r="B67" s="9">
        <v>62</v>
      </c>
      <c r="C67" s="9" t="s">
        <v>227</v>
      </c>
      <c r="D67" s="9" t="s">
        <v>39</v>
      </c>
      <c r="E67" s="9" t="s">
        <v>46</v>
      </c>
      <c r="F67" s="9" t="s">
        <v>51</v>
      </c>
      <c r="G67" s="10" t="s">
        <v>42</v>
      </c>
    </row>
    <row r="68" spans="1:7" ht="12.75" x14ac:dyDescent="0.2">
      <c r="A68" s="37"/>
      <c r="B68" s="9">
        <v>62</v>
      </c>
      <c r="C68" s="9" t="s">
        <v>245</v>
      </c>
      <c r="D68" s="9" t="s">
        <v>39</v>
      </c>
      <c r="E68" s="9" t="s">
        <v>46</v>
      </c>
      <c r="F68" s="9" t="s">
        <v>51</v>
      </c>
      <c r="G68" s="10" t="s">
        <v>42</v>
      </c>
    </row>
    <row r="69" spans="1:7" ht="12.75" x14ac:dyDescent="0.2">
      <c r="A69" s="39"/>
      <c r="B69" s="9">
        <v>62</v>
      </c>
      <c r="C69" s="9" t="s">
        <v>246</v>
      </c>
      <c r="D69" s="9" t="s">
        <v>39</v>
      </c>
      <c r="E69" s="9" t="s">
        <v>46</v>
      </c>
      <c r="F69" s="9" t="s">
        <v>51</v>
      </c>
      <c r="G69" s="10" t="s">
        <v>42</v>
      </c>
    </row>
    <row r="70" spans="1:7" ht="12.75" x14ac:dyDescent="0.2">
      <c r="A70" s="37"/>
      <c r="B70" s="9">
        <v>62</v>
      </c>
      <c r="C70" s="9" t="s">
        <v>228</v>
      </c>
      <c r="D70" s="9" t="s">
        <v>39</v>
      </c>
      <c r="E70" s="9" t="s">
        <v>46</v>
      </c>
      <c r="F70" s="9" t="s">
        <v>51</v>
      </c>
      <c r="G70" s="10" t="s">
        <v>42</v>
      </c>
    </row>
    <row r="71" spans="1:7" ht="12.75" x14ac:dyDescent="0.2">
      <c r="A71" s="39"/>
      <c r="B71" s="9">
        <v>62</v>
      </c>
      <c r="C71" s="9" t="s">
        <v>229</v>
      </c>
      <c r="D71" s="9" t="s">
        <v>39</v>
      </c>
      <c r="E71" s="9" t="s">
        <v>46</v>
      </c>
      <c r="F71" s="9" t="s">
        <v>51</v>
      </c>
      <c r="G71" s="10" t="s">
        <v>42</v>
      </c>
    </row>
    <row r="72" spans="1:7" ht="12.75" x14ac:dyDescent="0.2">
      <c r="A72" s="37"/>
      <c r="B72" s="9">
        <v>62</v>
      </c>
      <c r="C72" s="9" t="s">
        <v>231</v>
      </c>
      <c r="D72" s="9" t="s">
        <v>39</v>
      </c>
      <c r="E72" s="9" t="s">
        <v>46</v>
      </c>
      <c r="F72" s="9" t="s">
        <v>51</v>
      </c>
      <c r="G72" s="10" t="s">
        <v>42</v>
      </c>
    </row>
    <row r="73" spans="1:7" ht="12.75" x14ac:dyDescent="0.2">
      <c r="A73" s="39"/>
      <c r="B73" s="9">
        <v>62</v>
      </c>
      <c r="C73" s="9" t="s">
        <v>230</v>
      </c>
      <c r="D73" s="9" t="s">
        <v>39</v>
      </c>
      <c r="E73" s="9" t="s">
        <v>46</v>
      </c>
      <c r="F73" s="9" t="s">
        <v>51</v>
      </c>
      <c r="G73" s="10" t="s">
        <v>42</v>
      </c>
    </row>
    <row r="74" spans="1:7" ht="12.75" x14ac:dyDescent="0.2">
      <c r="A74" s="37"/>
      <c r="B74" s="9">
        <v>62</v>
      </c>
      <c r="C74" s="9" t="s">
        <v>232</v>
      </c>
      <c r="D74" s="9" t="s">
        <v>39</v>
      </c>
      <c r="E74" s="9" t="s">
        <v>46</v>
      </c>
      <c r="F74" s="9" t="s">
        <v>51</v>
      </c>
      <c r="G74" s="10" t="s">
        <v>42</v>
      </c>
    </row>
    <row r="75" spans="1:7" ht="12.75" x14ac:dyDescent="0.2">
      <c r="A75" s="39"/>
      <c r="B75" s="9">
        <v>62</v>
      </c>
      <c r="C75" s="9" t="s">
        <v>233</v>
      </c>
      <c r="D75" s="9" t="s">
        <v>39</v>
      </c>
      <c r="E75" s="9" t="s">
        <v>46</v>
      </c>
      <c r="F75" s="9" t="s">
        <v>51</v>
      </c>
      <c r="G75" s="10" t="s">
        <v>42</v>
      </c>
    </row>
    <row r="76" spans="1:7" ht="12.75" x14ac:dyDescent="0.2">
      <c r="A76" s="40"/>
      <c r="B76" s="9">
        <v>62</v>
      </c>
      <c r="C76" s="9" t="s">
        <v>234</v>
      </c>
      <c r="D76" s="9" t="s">
        <v>39</v>
      </c>
      <c r="E76" s="9" t="s">
        <v>46</v>
      </c>
      <c r="F76" s="9" t="s">
        <v>51</v>
      </c>
      <c r="G76" s="10" t="s">
        <v>42</v>
      </c>
    </row>
    <row r="77" spans="1:7" ht="12.75" x14ac:dyDescent="0.2">
      <c r="A77" s="36" t="s">
        <v>27</v>
      </c>
      <c r="B77" s="9">
        <v>62</v>
      </c>
      <c r="C77" s="9" t="s">
        <v>224</v>
      </c>
      <c r="D77" s="9" t="s">
        <v>39</v>
      </c>
      <c r="E77" s="9" t="s">
        <v>46</v>
      </c>
      <c r="F77" s="9" t="s">
        <v>41</v>
      </c>
      <c r="G77" s="10" t="s">
        <v>42</v>
      </c>
    </row>
    <row r="78" spans="1:7" ht="12.75" x14ac:dyDescent="0.2">
      <c r="A78" s="37"/>
      <c r="B78" s="9">
        <v>62</v>
      </c>
      <c r="C78" s="9" t="s">
        <v>223</v>
      </c>
      <c r="D78" s="9" t="s">
        <v>39</v>
      </c>
      <c r="E78" s="9" t="s">
        <v>46</v>
      </c>
      <c r="F78" s="9" t="s">
        <v>41</v>
      </c>
      <c r="G78" s="10" t="s">
        <v>42</v>
      </c>
    </row>
    <row r="79" spans="1:7" ht="12.75" x14ac:dyDescent="0.2">
      <c r="A79" s="39"/>
      <c r="B79" s="9">
        <v>62</v>
      </c>
      <c r="C79" s="9" t="s">
        <v>243</v>
      </c>
      <c r="D79" s="9" t="s">
        <v>39</v>
      </c>
      <c r="E79" s="9" t="s">
        <v>46</v>
      </c>
      <c r="F79" s="9" t="s">
        <v>41</v>
      </c>
      <c r="G79" s="10" t="s">
        <v>42</v>
      </c>
    </row>
    <row r="80" spans="1:7" ht="12.75" x14ac:dyDescent="0.2">
      <c r="A80" s="37"/>
      <c r="B80" s="9">
        <v>62</v>
      </c>
      <c r="C80" s="9" t="s">
        <v>174</v>
      </c>
      <c r="D80" s="9" t="s">
        <v>39</v>
      </c>
      <c r="E80" s="9" t="s">
        <v>46</v>
      </c>
      <c r="F80" s="9" t="s">
        <v>41</v>
      </c>
      <c r="G80" s="10" t="s">
        <v>42</v>
      </c>
    </row>
    <row r="81" spans="1:7" ht="12.75" x14ac:dyDescent="0.2">
      <c r="A81" s="39"/>
      <c r="B81" s="9">
        <v>62</v>
      </c>
      <c r="C81" s="9" t="s">
        <v>225</v>
      </c>
      <c r="D81" s="9" t="s">
        <v>39</v>
      </c>
      <c r="E81" s="9" t="s">
        <v>46</v>
      </c>
      <c r="F81" s="9" t="s">
        <v>41</v>
      </c>
      <c r="G81" s="10" t="s">
        <v>42</v>
      </c>
    </row>
    <row r="82" spans="1:7" ht="12.75" x14ac:dyDescent="0.2">
      <c r="A82" s="37"/>
      <c r="B82" s="9">
        <v>62</v>
      </c>
      <c r="C82" s="9" t="s">
        <v>221</v>
      </c>
      <c r="D82" s="9" t="s">
        <v>39</v>
      </c>
      <c r="E82" s="9" t="s">
        <v>46</v>
      </c>
      <c r="F82" s="9" t="s">
        <v>41</v>
      </c>
      <c r="G82" s="10" t="s">
        <v>42</v>
      </c>
    </row>
    <row r="83" spans="1:7" ht="12.75" x14ac:dyDescent="0.2">
      <c r="A83" s="39"/>
      <c r="B83" s="9">
        <v>62</v>
      </c>
      <c r="C83" s="9" t="s">
        <v>239</v>
      </c>
      <c r="D83" s="9" t="s">
        <v>39</v>
      </c>
      <c r="E83" s="9" t="s">
        <v>46</v>
      </c>
      <c r="F83" s="9" t="s">
        <v>41</v>
      </c>
      <c r="G83" s="10" t="s">
        <v>42</v>
      </c>
    </row>
    <row r="84" spans="1:7" ht="12.75" x14ac:dyDescent="0.2">
      <c r="A84" s="37"/>
      <c r="B84" s="9">
        <v>62</v>
      </c>
      <c r="C84" s="9" t="s">
        <v>247</v>
      </c>
      <c r="D84" s="9" t="s">
        <v>39</v>
      </c>
      <c r="E84" s="9" t="s">
        <v>46</v>
      </c>
      <c r="F84" s="9" t="s">
        <v>51</v>
      </c>
      <c r="G84" s="10" t="s">
        <v>42</v>
      </c>
    </row>
    <row r="85" spans="1:7" ht="12.75" x14ac:dyDescent="0.2">
      <c r="A85" s="39"/>
      <c r="B85" s="9">
        <v>62</v>
      </c>
      <c r="C85" s="9" t="s">
        <v>87</v>
      </c>
      <c r="D85" s="9" t="s">
        <v>39</v>
      </c>
      <c r="E85" s="9" t="s">
        <v>46</v>
      </c>
      <c r="F85" s="9" t="s">
        <v>41</v>
      </c>
      <c r="G85" s="10" t="s">
        <v>42</v>
      </c>
    </row>
    <row r="86" spans="1:7" ht="12.75" x14ac:dyDescent="0.2">
      <c r="A86" s="37"/>
      <c r="B86" s="9">
        <v>62</v>
      </c>
      <c r="C86" s="9" t="s">
        <v>237</v>
      </c>
      <c r="D86" s="9" t="s">
        <v>39</v>
      </c>
      <c r="E86" s="9" t="s">
        <v>46</v>
      </c>
      <c r="F86" s="9" t="s">
        <v>41</v>
      </c>
      <c r="G86" s="10" t="s">
        <v>42</v>
      </c>
    </row>
    <row r="87" spans="1:7" ht="12.75" x14ac:dyDescent="0.2">
      <c r="A87" s="39"/>
      <c r="B87" s="9">
        <v>62</v>
      </c>
      <c r="C87" s="9" t="s">
        <v>248</v>
      </c>
      <c r="D87" s="9" t="s">
        <v>39</v>
      </c>
      <c r="E87" s="9" t="s">
        <v>46</v>
      </c>
      <c r="F87" s="9" t="s">
        <v>41</v>
      </c>
      <c r="G87" s="10" t="s">
        <v>42</v>
      </c>
    </row>
    <row r="88" spans="1:7" ht="12.75" x14ac:dyDescent="0.2">
      <c r="A88" s="37"/>
      <c r="B88" s="9">
        <v>62</v>
      </c>
      <c r="C88" s="9" t="s">
        <v>217</v>
      </c>
      <c r="D88" s="9" t="s">
        <v>39</v>
      </c>
      <c r="E88" s="9" t="s">
        <v>46</v>
      </c>
      <c r="F88" s="9" t="s">
        <v>41</v>
      </c>
      <c r="G88" s="10" t="s">
        <v>42</v>
      </c>
    </row>
    <row r="89" spans="1:7" ht="12.75" x14ac:dyDescent="0.2">
      <c r="A89" s="39"/>
      <c r="B89" s="9">
        <v>62</v>
      </c>
      <c r="C89" s="9" t="s">
        <v>226</v>
      </c>
      <c r="D89" s="9" t="s">
        <v>39</v>
      </c>
      <c r="E89" s="9" t="s">
        <v>46</v>
      </c>
      <c r="F89" s="9" t="s">
        <v>41</v>
      </c>
      <c r="G89" s="10" t="s">
        <v>42</v>
      </c>
    </row>
    <row r="90" spans="1:7" ht="12.75" x14ac:dyDescent="0.2">
      <c r="A90" s="37"/>
      <c r="B90" s="9">
        <v>62</v>
      </c>
      <c r="C90" s="9" t="s">
        <v>227</v>
      </c>
      <c r="D90" s="9" t="s">
        <v>39</v>
      </c>
      <c r="E90" s="9" t="s">
        <v>46</v>
      </c>
      <c r="F90" s="9" t="s">
        <v>41</v>
      </c>
      <c r="G90" s="10" t="s">
        <v>42</v>
      </c>
    </row>
    <row r="91" spans="1:7" ht="12.75" x14ac:dyDescent="0.2">
      <c r="A91" s="39"/>
      <c r="B91" s="9">
        <v>62</v>
      </c>
      <c r="C91" s="9" t="s">
        <v>216</v>
      </c>
      <c r="D91" s="9" t="s">
        <v>39</v>
      </c>
      <c r="E91" s="9" t="s">
        <v>46</v>
      </c>
      <c r="F91" s="9" t="s">
        <v>41</v>
      </c>
      <c r="G91" s="10" t="s">
        <v>42</v>
      </c>
    </row>
    <row r="92" spans="1:7" ht="12.75" x14ac:dyDescent="0.2">
      <c r="A92" s="37"/>
      <c r="B92" s="9">
        <v>62</v>
      </c>
      <c r="C92" s="9" t="s">
        <v>246</v>
      </c>
      <c r="D92" s="9" t="s">
        <v>39</v>
      </c>
      <c r="E92" s="9" t="s">
        <v>46</v>
      </c>
      <c r="F92" s="9" t="s">
        <v>41</v>
      </c>
      <c r="G92" s="10" t="s">
        <v>42</v>
      </c>
    </row>
    <row r="93" spans="1:7" ht="12.75" x14ac:dyDescent="0.2">
      <c r="A93" s="39"/>
      <c r="B93" s="9">
        <v>62</v>
      </c>
      <c r="C93" s="9" t="s">
        <v>229</v>
      </c>
      <c r="D93" s="9" t="s">
        <v>39</v>
      </c>
      <c r="E93" s="9" t="s">
        <v>46</v>
      </c>
      <c r="F93" s="9" t="s">
        <v>41</v>
      </c>
      <c r="G93" s="10" t="s">
        <v>42</v>
      </c>
    </row>
    <row r="94" spans="1:7" ht="12.75" x14ac:dyDescent="0.2">
      <c r="A94" s="37"/>
      <c r="B94" s="9">
        <v>62</v>
      </c>
      <c r="C94" s="9" t="s">
        <v>230</v>
      </c>
      <c r="D94" s="9" t="s">
        <v>39</v>
      </c>
      <c r="E94" s="9" t="s">
        <v>46</v>
      </c>
      <c r="F94" s="9" t="s">
        <v>41</v>
      </c>
      <c r="G94" s="10" t="s">
        <v>42</v>
      </c>
    </row>
    <row r="95" spans="1:7" ht="12.75" x14ac:dyDescent="0.2">
      <c r="A95" s="39"/>
      <c r="B95" s="9">
        <v>62</v>
      </c>
      <c r="C95" s="9" t="s">
        <v>249</v>
      </c>
      <c r="D95" s="9" t="s">
        <v>39</v>
      </c>
      <c r="E95" s="9" t="s">
        <v>46</v>
      </c>
      <c r="F95" s="9" t="s">
        <v>41</v>
      </c>
      <c r="G95" s="10" t="s">
        <v>42</v>
      </c>
    </row>
    <row r="96" spans="1:7" ht="12.75" x14ac:dyDescent="0.2">
      <c r="A96" s="37"/>
      <c r="B96" s="9">
        <v>62</v>
      </c>
      <c r="C96" s="9" t="s">
        <v>232</v>
      </c>
      <c r="D96" s="9" t="s">
        <v>39</v>
      </c>
      <c r="E96" s="9" t="s">
        <v>46</v>
      </c>
      <c r="F96" s="9" t="s">
        <v>41</v>
      </c>
      <c r="G96" s="10" t="s">
        <v>42</v>
      </c>
    </row>
    <row r="97" spans="1:7" ht="12.75" x14ac:dyDescent="0.2">
      <c r="A97" s="39"/>
      <c r="B97" s="9">
        <v>62</v>
      </c>
      <c r="C97" s="9" t="s">
        <v>233</v>
      </c>
      <c r="D97" s="9" t="s">
        <v>39</v>
      </c>
      <c r="E97" s="9" t="s">
        <v>46</v>
      </c>
      <c r="F97" s="9" t="s">
        <v>41</v>
      </c>
      <c r="G97" s="10" t="s">
        <v>42</v>
      </c>
    </row>
    <row r="98" spans="1:7" ht="12.75" x14ac:dyDescent="0.2">
      <c r="A98" s="37"/>
      <c r="B98" s="9">
        <v>62</v>
      </c>
      <c r="C98" s="9" t="s">
        <v>250</v>
      </c>
      <c r="D98" s="9" t="s">
        <v>39</v>
      </c>
      <c r="E98" s="9" t="s">
        <v>46</v>
      </c>
      <c r="F98" s="9" t="s">
        <v>41</v>
      </c>
      <c r="G98" s="10" t="s">
        <v>42</v>
      </c>
    </row>
    <row r="99" spans="1:7" ht="12.75" x14ac:dyDescent="0.2">
      <c r="A99" s="39"/>
      <c r="B99" s="9">
        <v>62</v>
      </c>
      <c r="C99" s="9" t="s">
        <v>251</v>
      </c>
      <c r="D99" s="9" t="s">
        <v>39</v>
      </c>
      <c r="E99" s="9" t="s">
        <v>46</v>
      </c>
      <c r="F99" s="9" t="s">
        <v>41</v>
      </c>
      <c r="G99" s="10" t="s">
        <v>42</v>
      </c>
    </row>
    <row r="100" spans="1:7" ht="12.75" x14ac:dyDescent="0.2">
      <c r="A100" s="40"/>
      <c r="B100" s="9">
        <v>62</v>
      </c>
      <c r="C100" s="9" t="s">
        <v>252</v>
      </c>
      <c r="D100" s="9" t="s">
        <v>39</v>
      </c>
      <c r="E100" s="9" t="s">
        <v>46</v>
      </c>
      <c r="F100" s="9" t="s">
        <v>41</v>
      </c>
      <c r="G100" s="10" t="s">
        <v>42</v>
      </c>
    </row>
    <row r="101" spans="1:7" ht="12.75" x14ac:dyDescent="0.2">
      <c r="A101" s="36" t="s">
        <v>28</v>
      </c>
      <c r="B101" s="9">
        <v>62</v>
      </c>
      <c r="C101" s="9" t="s">
        <v>224</v>
      </c>
      <c r="D101" s="9" t="s">
        <v>39</v>
      </c>
      <c r="E101" s="9" t="s">
        <v>46</v>
      </c>
      <c r="F101" s="9" t="s">
        <v>51</v>
      </c>
      <c r="G101" s="10" t="s">
        <v>42</v>
      </c>
    </row>
    <row r="102" spans="1:7" ht="12.75" x14ac:dyDescent="0.2">
      <c r="A102" s="37"/>
      <c r="B102" s="9">
        <v>62</v>
      </c>
      <c r="C102" s="9" t="s">
        <v>253</v>
      </c>
      <c r="D102" s="9" t="s">
        <v>39</v>
      </c>
      <c r="E102" s="9" t="s">
        <v>46</v>
      </c>
      <c r="F102" s="9" t="s">
        <v>51</v>
      </c>
      <c r="G102" s="10" t="s">
        <v>42</v>
      </c>
    </row>
    <row r="103" spans="1:7" ht="12.75" x14ac:dyDescent="0.2">
      <c r="A103" s="39"/>
      <c r="B103" s="9">
        <v>62</v>
      </c>
      <c r="C103" s="9" t="s">
        <v>223</v>
      </c>
      <c r="D103" s="9" t="s">
        <v>39</v>
      </c>
      <c r="E103" s="9" t="s">
        <v>46</v>
      </c>
      <c r="F103" s="9" t="s">
        <v>51</v>
      </c>
      <c r="G103" s="10" t="s">
        <v>42</v>
      </c>
    </row>
    <row r="104" spans="1:7" ht="12.75" x14ac:dyDescent="0.2">
      <c r="A104" s="37"/>
      <c r="B104" s="9">
        <v>62</v>
      </c>
      <c r="C104" s="9" t="s">
        <v>243</v>
      </c>
      <c r="D104" s="9" t="s">
        <v>39</v>
      </c>
      <c r="E104" s="9" t="s">
        <v>46</v>
      </c>
      <c r="F104" s="9" t="s">
        <v>51</v>
      </c>
      <c r="G104" s="10" t="s">
        <v>42</v>
      </c>
    </row>
    <row r="105" spans="1:7" ht="12.75" x14ac:dyDescent="0.2">
      <c r="A105" s="39"/>
      <c r="B105" s="9">
        <v>62</v>
      </c>
      <c r="C105" s="9" t="s">
        <v>174</v>
      </c>
      <c r="D105" s="9" t="s">
        <v>39</v>
      </c>
      <c r="E105" s="9" t="s">
        <v>46</v>
      </c>
      <c r="F105" s="9" t="s">
        <v>51</v>
      </c>
      <c r="G105" s="10" t="s">
        <v>42</v>
      </c>
    </row>
    <row r="106" spans="1:7" ht="12.75" x14ac:dyDescent="0.2">
      <c r="A106" s="37"/>
      <c r="B106" s="9">
        <v>62</v>
      </c>
      <c r="C106" s="9" t="s">
        <v>225</v>
      </c>
      <c r="D106" s="9" t="s">
        <v>39</v>
      </c>
      <c r="E106" s="9" t="s">
        <v>46</v>
      </c>
      <c r="F106" s="9" t="s">
        <v>51</v>
      </c>
      <c r="G106" s="10" t="s">
        <v>42</v>
      </c>
    </row>
    <row r="107" spans="1:7" ht="12.75" x14ac:dyDescent="0.2">
      <c r="A107" s="39"/>
      <c r="B107" s="9">
        <v>62</v>
      </c>
      <c r="C107" s="9" t="s">
        <v>254</v>
      </c>
      <c r="D107" s="9" t="s">
        <v>39</v>
      </c>
      <c r="E107" s="9" t="s">
        <v>46</v>
      </c>
      <c r="F107" s="9" t="s">
        <v>51</v>
      </c>
      <c r="G107" s="10" t="s">
        <v>42</v>
      </c>
    </row>
    <row r="108" spans="1:7" ht="12.75" x14ac:dyDescent="0.2">
      <c r="A108" s="37"/>
      <c r="B108" s="9">
        <v>62</v>
      </c>
      <c r="C108" s="9" t="s">
        <v>255</v>
      </c>
      <c r="D108" s="9" t="s">
        <v>39</v>
      </c>
      <c r="E108" s="9" t="s">
        <v>46</v>
      </c>
      <c r="F108" s="9" t="s">
        <v>47</v>
      </c>
      <c r="G108" s="10" t="s">
        <v>42</v>
      </c>
    </row>
    <row r="109" spans="1:7" ht="12.75" x14ac:dyDescent="0.2">
      <c r="A109" s="39"/>
      <c r="B109" s="9">
        <v>62</v>
      </c>
      <c r="C109" s="9" t="s">
        <v>221</v>
      </c>
      <c r="D109" s="9" t="s">
        <v>39</v>
      </c>
      <c r="E109" s="9" t="s">
        <v>46</v>
      </c>
      <c r="F109" s="9" t="s">
        <v>51</v>
      </c>
      <c r="G109" s="10" t="s">
        <v>42</v>
      </c>
    </row>
    <row r="110" spans="1:7" ht="12.75" x14ac:dyDescent="0.2">
      <c r="A110" s="37"/>
      <c r="B110" s="9">
        <v>62</v>
      </c>
      <c r="C110" s="9" t="s">
        <v>239</v>
      </c>
      <c r="D110" s="9" t="s">
        <v>39</v>
      </c>
      <c r="E110" s="9" t="s">
        <v>46</v>
      </c>
      <c r="F110" s="9" t="s">
        <v>51</v>
      </c>
      <c r="G110" s="10" t="s">
        <v>42</v>
      </c>
    </row>
    <row r="111" spans="1:7" ht="12.75" x14ac:dyDescent="0.2">
      <c r="A111" s="39"/>
      <c r="B111" s="9">
        <v>62</v>
      </c>
      <c r="C111" s="9" t="s">
        <v>256</v>
      </c>
      <c r="D111" s="9" t="s">
        <v>39</v>
      </c>
      <c r="E111" s="9" t="s">
        <v>46</v>
      </c>
      <c r="F111" s="9" t="s">
        <v>51</v>
      </c>
      <c r="G111" s="10" t="s">
        <v>42</v>
      </c>
    </row>
    <row r="112" spans="1:7" ht="12.75" x14ac:dyDescent="0.2">
      <c r="A112" s="37"/>
      <c r="B112" s="9">
        <v>62</v>
      </c>
      <c r="C112" s="9" t="s">
        <v>257</v>
      </c>
      <c r="D112" s="9" t="s">
        <v>39</v>
      </c>
      <c r="E112" s="9" t="s">
        <v>46</v>
      </c>
      <c r="F112" s="9" t="s">
        <v>51</v>
      </c>
      <c r="G112" s="10" t="s">
        <v>42</v>
      </c>
    </row>
    <row r="113" spans="1:7" ht="12.75" x14ac:dyDescent="0.2">
      <c r="A113" s="39"/>
      <c r="B113" s="9">
        <v>62</v>
      </c>
      <c r="C113" s="9" t="s">
        <v>87</v>
      </c>
      <c r="D113" s="9" t="s">
        <v>39</v>
      </c>
      <c r="E113" s="9" t="s">
        <v>46</v>
      </c>
      <c r="F113" s="9" t="s">
        <v>51</v>
      </c>
      <c r="G113" s="10" t="s">
        <v>42</v>
      </c>
    </row>
    <row r="114" spans="1:7" ht="12.75" x14ac:dyDescent="0.2">
      <c r="A114" s="37"/>
      <c r="B114" s="9">
        <v>62</v>
      </c>
      <c r="C114" s="9" t="s">
        <v>237</v>
      </c>
      <c r="D114" s="9" t="s">
        <v>39</v>
      </c>
      <c r="E114" s="9" t="s">
        <v>46</v>
      </c>
      <c r="F114" s="9" t="s">
        <v>51</v>
      </c>
      <c r="G114" s="10" t="s">
        <v>42</v>
      </c>
    </row>
    <row r="115" spans="1:7" ht="12.75" x14ac:dyDescent="0.2">
      <c r="A115" s="39"/>
      <c r="B115" s="9">
        <v>62</v>
      </c>
      <c r="C115" s="9" t="s">
        <v>248</v>
      </c>
      <c r="D115" s="9" t="s">
        <v>39</v>
      </c>
      <c r="E115" s="9" t="s">
        <v>46</v>
      </c>
      <c r="F115" s="9" t="s">
        <v>51</v>
      </c>
      <c r="G115" s="10" t="s">
        <v>42</v>
      </c>
    </row>
    <row r="116" spans="1:7" ht="12.75" x14ac:dyDescent="0.2">
      <c r="A116" s="37"/>
      <c r="B116" s="9">
        <v>62</v>
      </c>
      <c r="C116" s="9" t="s">
        <v>258</v>
      </c>
      <c r="D116" s="9" t="s">
        <v>39</v>
      </c>
      <c r="E116" s="9" t="s">
        <v>46</v>
      </c>
      <c r="F116" s="9" t="s">
        <v>51</v>
      </c>
      <c r="G116" s="10" t="s">
        <v>42</v>
      </c>
    </row>
    <row r="117" spans="1:7" ht="12.75" x14ac:dyDescent="0.2">
      <c r="A117" s="39"/>
      <c r="B117" s="9">
        <v>62</v>
      </c>
      <c r="C117" s="9" t="s">
        <v>226</v>
      </c>
      <c r="D117" s="9" t="s">
        <v>39</v>
      </c>
      <c r="E117" s="9" t="s">
        <v>46</v>
      </c>
      <c r="F117" s="9" t="s">
        <v>51</v>
      </c>
      <c r="G117" s="10" t="s">
        <v>42</v>
      </c>
    </row>
    <row r="118" spans="1:7" ht="12.75" x14ac:dyDescent="0.2">
      <c r="A118" s="37"/>
      <c r="B118" s="9">
        <v>62</v>
      </c>
      <c r="C118" s="9" t="s">
        <v>227</v>
      </c>
      <c r="D118" s="9" t="s">
        <v>39</v>
      </c>
      <c r="E118" s="9" t="s">
        <v>46</v>
      </c>
      <c r="F118" s="9" t="s">
        <v>51</v>
      </c>
      <c r="G118" s="10" t="s">
        <v>42</v>
      </c>
    </row>
    <row r="119" spans="1:7" ht="12.75" x14ac:dyDescent="0.2">
      <c r="A119" s="39"/>
      <c r="B119" s="9">
        <v>62</v>
      </c>
      <c r="C119" s="9" t="s">
        <v>259</v>
      </c>
      <c r="D119" s="9" t="s">
        <v>39</v>
      </c>
      <c r="E119" s="9" t="s">
        <v>46</v>
      </c>
      <c r="F119" s="9" t="s">
        <v>51</v>
      </c>
      <c r="G119" s="10" t="s">
        <v>42</v>
      </c>
    </row>
    <row r="120" spans="1:7" ht="12.75" x14ac:dyDescent="0.2">
      <c r="A120" s="37"/>
      <c r="B120" s="9">
        <v>62</v>
      </c>
      <c r="C120" s="9" t="s">
        <v>260</v>
      </c>
      <c r="D120" s="9" t="s">
        <v>94</v>
      </c>
      <c r="E120" s="9" t="s">
        <v>46</v>
      </c>
      <c r="F120" s="9" t="s">
        <v>51</v>
      </c>
      <c r="G120" s="10" t="s">
        <v>42</v>
      </c>
    </row>
    <row r="121" spans="1:7" ht="12.75" x14ac:dyDescent="0.2">
      <c r="A121" s="39"/>
      <c r="B121" s="9">
        <v>62</v>
      </c>
      <c r="C121" s="9" t="s">
        <v>230</v>
      </c>
      <c r="D121" s="9" t="s">
        <v>39</v>
      </c>
      <c r="E121" s="9" t="s">
        <v>46</v>
      </c>
      <c r="F121" s="9" t="s">
        <v>51</v>
      </c>
      <c r="G121" s="10" t="s">
        <v>42</v>
      </c>
    </row>
    <row r="122" spans="1:7" ht="12.75" x14ac:dyDescent="0.2">
      <c r="A122" s="37"/>
      <c r="B122" s="9">
        <v>62</v>
      </c>
      <c r="C122" s="9" t="s">
        <v>249</v>
      </c>
      <c r="D122" s="9" t="s">
        <v>94</v>
      </c>
      <c r="E122" s="9" t="s">
        <v>46</v>
      </c>
      <c r="F122" s="9" t="s">
        <v>51</v>
      </c>
      <c r="G122" s="10" t="s">
        <v>42</v>
      </c>
    </row>
    <row r="123" spans="1:7" ht="12.75" x14ac:dyDescent="0.2">
      <c r="A123" s="39"/>
      <c r="B123" s="9">
        <v>62</v>
      </c>
      <c r="C123" s="9" t="s">
        <v>261</v>
      </c>
      <c r="D123" s="9" t="s">
        <v>39</v>
      </c>
      <c r="E123" s="9" t="s">
        <v>46</v>
      </c>
      <c r="F123" s="9" t="s">
        <v>51</v>
      </c>
      <c r="G123" s="10" t="s">
        <v>42</v>
      </c>
    </row>
    <row r="124" spans="1:7" ht="12.75" x14ac:dyDescent="0.2">
      <c r="A124" s="37"/>
      <c r="B124" s="9">
        <v>62</v>
      </c>
      <c r="C124" s="9" t="s">
        <v>233</v>
      </c>
      <c r="D124" s="9" t="s">
        <v>39</v>
      </c>
      <c r="E124" s="9" t="s">
        <v>46</v>
      </c>
      <c r="F124" s="9" t="s">
        <v>51</v>
      </c>
      <c r="G124" s="10" t="s">
        <v>42</v>
      </c>
    </row>
    <row r="125" spans="1:7" ht="12.75" x14ac:dyDescent="0.2">
      <c r="A125" s="38"/>
      <c r="B125" s="9">
        <v>62</v>
      </c>
      <c r="C125" s="9" t="s">
        <v>262</v>
      </c>
      <c r="D125" s="9" t="s">
        <v>39</v>
      </c>
      <c r="E125" s="9" t="s">
        <v>46</v>
      </c>
      <c r="F125" s="9" t="s">
        <v>51</v>
      </c>
      <c r="G125" s="10" t="s">
        <v>42</v>
      </c>
    </row>
    <row r="126" spans="1:7" ht="12.75" x14ac:dyDescent="0.2">
      <c r="A126" s="36" t="s">
        <v>29</v>
      </c>
      <c r="B126" s="9">
        <v>62</v>
      </c>
      <c r="C126" s="9" t="s">
        <v>224</v>
      </c>
      <c r="D126" s="9" t="s">
        <v>39</v>
      </c>
      <c r="E126" s="9" t="s">
        <v>46</v>
      </c>
      <c r="F126" s="9" t="s">
        <v>41</v>
      </c>
      <c r="G126" s="10" t="s">
        <v>42</v>
      </c>
    </row>
    <row r="127" spans="1:7" ht="12.75" x14ac:dyDescent="0.2">
      <c r="A127" s="39"/>
      <c r="B127" s="9">
        <v>62</v>
      </c>
      <c r="C127" s="9" t="s">
        <v>223</v>
      </c>
      <c r="D127" s="9" t="s">
        <v>39</v>
      </c>
      <c r="E127" s="9" t="s">
        <v>46</v>
      </c>
      <c r="F127" s="9" t="s">
        <v>41</v>
      </c>
      <c r="G127" s="10" t="s">
        <v>42</v>
      </c>
    </row>
    <row r="128" spans="1:7" ht="12.75" x14ac:dyDescent="0.2">
      <c r="A128" s="37"/>
      <c r="B128" s="9">
        <v>62</v>
      </c>
      <c r="C128" s="9" t="s">
        <v>243</v>
      </c>
      <c r="D128" s="9" t="s">
        <v>39</v>
      </c>
      <c r="E128" s="9" t="s">
        <v>46</v>
      </c>
      <c r="F128" s="9" t="s">
        <v>41</v>
      </c>
      <c r="G128" s="10" t="s">
        <v>42</v>
      </c>
    </row>
    <row r="129" spans="1:7" ht="12.75" x14ac:dyDescent="0.2">
      <c r="A129" s="39"/>
      <c r="B129" s="9">
        <v>62</v>
      </c>
      <c r="C129" s="9" t="s">
        <v>174</v>
      </c>
      <c r="D129" s="9" t="s">
        <v>39</v>
      </c>
      <c r="E129" s="9" t="s">
        <v>46</v>
      </c>
      <c r="F129" s="9" t="s">
        <v>41</v>
      </c>
      <c r="G129" s="10" t="s">
        <v>42</v>
      </c>
    </row>
    <row r="130" spans="1:7" ht="12.75" x14ac:dyDescent="0.2">
      <c r="A130" s="37"/>
      <c r="B130" s="9">
        <v>62</v>
      </c>
      <c r="C130" s="9" t="s">
        <v>225</v>
      </c>
      <c r="D130" s="9" t="s">
        <v>39</v>
      </c>
      <c r="E130" s="9" t="s">
        <v>46</v>
      </c>
      <c r="F130" s="9" t="s">
        <v>41</v>
      </c>
      <c r="G130" s="10" t="s">
        <v>42</v>
      </c>
    </row>
    <row r="131" spans="1:7" ht="12.75" x14ac:dyDescent="0.2">
      <c r="A131" s="39"/>
      <c r="B131" s="9">
        <v>62</v>
      </c>
      <c r="C131" s="9" t="s">
        <v>263</v>
      </c>
      <c r="D131" s="9" t="s">
        <v>39</v>
      </c>
      <c r="E131" s="9" t="s">
        <v>46</v>
      </c>
      <c r="F131" s="9" t="s">
        <v>41</v>
      </c>
      <c r="G131" s="10" t="s">
        <v>42</v>
      </c>
    </row>
    <row r="132" spans="1:7" ht="12.75" x14ac:dyDescent="0.2">
      <c r="A132" s="37"/>
      <c r="B132" s="9">
        <v>62</v>
      </c>
      <c r="C132" s="9" t="s">
        <v>221</v>
      </c>
      <c r="D132" s="9" t="s">
        <v>39</v>
      </c>
      <c r="E132" s="9" t="s">
        <v>46</v>
      </c>
      <c r="F132" s="9" t="s">
        <v>41</v>
      </c>
      <c r="G132" s="10" t="s">
        <v>42</v>
      </c>
    </row>
    <row r="133" spans="1:7" ht="12.75" x14ac:dyDescent="0.2">
      <c r="A133" s="39"/>
      <c r="B133" s="9">
        <v>62</v>
      </c>
      <c r="C133" s="9" t="s">
        <v>239</v>
      </c>
      <c r="D133" s="9" t="s">
        <v>39</v>
      </c>
      <c r="E133" s="9" t="s">
        <v>46</v>
      </c>
      <c r="F133" s="9" t="s">
        <v>41</v>
      </c>
      <c r="G133" s="10" t="s">
        <v>42</v>
      </c>
    </row>
    <row r="134" spans="1:7" ht="12.75" x14ac:dyDescent="0.2">
      <c r="A134" s="37"/>
      <c r="B134" s="9">
        <v>62</v>
      </c>
      <c r="C134" s="9" t="s">
        <v>256</v>
      </c>
      <c r="D134" s="9" t="s">
        <v>39</v>
      </c>
      <c r="E134" s="9" t="s">
        <v>46</v>
      </c>
      <c r="F134" s="9" t="s">
        <v>41</v>
      </c>
      <c r="G134" s="10" t="s">
        <v>42</v>
      </c>
    </row>
    <row r="135" spans="1:7" ht="12.75" x14ac:dyDescent="0.2">
      <c r="A135" s="39"/>
      <c r="B135" s="9">
        <v>62</v>
      </c>
      <c r="C135" s="9" t="s">
        <v>264</v>
      </c>
      <c r="D135" s="9" t="s">
        <v>39</v>
      </c>
      <c r="E135" s="9" t="s">
        <v>46</v>
      </c>
      <c r="F135" s="9" t="s">
        <v>41</v>
      </c>
      <c r="G135" s="10" t="s">
        <v>42</v>
      </c>
    </row>
    <row r="136" spans="1:7" ht="12.75" x14ac:dyDescent="0.2">
      <c r="A136" s="37"/>
      <c r="B136" s="9">
        <v>62</v>
      </c>
      <c r="C136" s="9" t="s">
        <v>87</v>
      </c>
      <c r="D136" s="9" t="s">
        <v>39</v>
      </c>
      <c r="E136" s="9" t="s">
        <v>46</v>
      </c>
      <c r="F136" s="9" t="s">
        <v>41</v>
      </c>
      <c r="G136" s="10" t="s">
        <v>42</v>
      </c>
    </row>
    <row r="137" spans="1:7" ht="12.75" x14ac:dyDescent="0.2">
      <c r="A137" s="39"/>
      <c r="B137" s="9">
        <v>62</v>
      </c>
      <c r="C137" s="9" t="s">
        <v>237</v>
      </c>
      <c r="D137" s="9" t="s">
        <v>39</v>
      </c>
      <c r="E137" s="9" t="s">
        <v>46</v>
      </c>
      <c r="F137" s="9" t="s">
        <v>47</v>
      </c>
      <c r="G137" s="10" t="s">
        <v>42</v>
      </c>
    </row>
    <row r="138" spans="1:7" ht="12.75" x14ac:dyDescent="0.2">
      <c r="A138" s="37"/>
      <c r="B138" s="9">
        <v>62</v>
      </c>
      <c r="C138" s="9" t="s">
        <v>265</v>
      </c>
      <c r="D138" s="9" t="s">
        <v>39</v>
      </c>
      <c r="E138" s="9" t="s">
        <v>46</v>
      </c>
      <c r="F138" s="9" t="s">
        <v>41</v>
      </c>
      <c r="G138" s="10" t="s">
        <v>42</v>
      </c>
    </row>
    <row r="139" spans="1:7" ht="12.75" x14ac:dyDescent="0.2">
      <c r="A139" s="39"/>
      <c r="B139" s="9">
        <v>62</v>
      </c>
      <c r="C139" s="9" t="s">
        <v>248</v>
      </c>
      <c r="D139" s="9" t="s">
        <v>39</v>
      </c>
      <c r="E139" s="9" t="s">
        <v>46</v>
      </c>
      <c r="F139" s="9" t="s">
        <v>41</v>
      </c>
      <c r="G139" s="10" t="s">
        <v>42</v>
      </c>
    </row>
    <row r="140" spans="1:7" ht="12.75" x14ac:dyDescent="0.2">
      <c r="A140" s="37"/>
      <c r="B140" s="9">
        <v>62</v>
      </c>
      <c r="C140" s="9" t="s">
        <v>266</v>
      </c>
      <c r="D140" s="9" t="s">
        <v>39</v>
      </c>
      <c r="E140" s="9" t="s">
        <v>46</v>
      </c>
      <c r="F140" s="9" t="s">
        <v>41</v>
      </c>
      <c r="G140" s="10" t="s">
        <v>42</v>
      </c>
    </row>
    <row r="141" spans="1:7" ht="12.75" x14ac:dyDescent="0.2">
      <c r="A141" s="39"/>
      <c r="B141" s="9">
        <v>62</v>
      </c>
      <c r="C141" s="9" t="s">
        <v>226</v>
      </c>
      <c r="D141" s="9" t="s">
        <v>39</v>
      </c>
      <c r="E141" s="9" t="s">
        <v>46</v>
      </c>
      <c r="F141" s="9" t="s">
        <v>41</v>
      </c>
      <c r="G141" s="10" t="s">
        <v>42</v>
      </c>
    </row>
    <row r="142" spans="1:7" ht="12.75" x14ac:dyDescent="0.2">
      <c r="A142" s="37"/>
      <c r="B142" s="9">
        <v>62</v>
      </c>
      <c r="C142" s="9" t="s">
        <v>227</v>
      </c>
      <c r="D142" s="9" t="s">
        <v>39</v>
      </c>
      <c r="E142" s="9" t="s">
        <v>46</v>
      </c>
      <c r="F142" s="9" t="s">
        <v>41</v>
      </c>
      <c r="G142" s="10" t="s">
        <v>42</v>
      </c>
    </row>
    <row r="143" spans="1:7" ht="12.75" x14ac:dyDescent="0.2">
      <c r="A143" s="39"/>
      <c r="B143" s="9">
        <v>62</v>
      </c>
      <c r="C143" s="9" t="s">
        <v>216</v>
      </c>
      <c r="D143" s="9" t="s">
        <v>39</v>
      </c>
      <c r="E143" s="9" t="s">
        <v>46</v>
      </c>
      <c r="F143" s="9" t="s">
        <v>41</v>
      </c>
      <c r="G143" s="10" t="s">
        <v>42</v>
      </c>
    </row>
    <row r="144" spans="1:7" ht="12.75" x14ac:dyDescent="0.2">
      <c r="A144" s="37"/>
      <c r="B144" s="9">
        <v>62</v>
      </c>
      <c r="C144" s="9" t="s">
        <v>229</v>
      </c>
      <c r="D144" s="9" t="s">
        <v>39</v>
      </c>
      <c r="E144" s="9" t="s">
        <v>40</v>
      </c>
      <c r="F144" s="9" t="s">
        <v>41</v>
      </c>
      <c r="G144" s="10" t="s">
        <v>42</v>
      </c>
    </row>
    <row r="145" spans="1:7" ht="12.75" x14ac:dyDescent="0.2">
      <c r="A145" s="39"/>
      <c r="B145" s="9">
        <v>62</v>
      </c>
      <c r="C145" s="9" t="s">
        <v>232</v>
      </c>
      <c r="D145" s="9" t="s">
        <v>39</v>
      </c>
      <c r="E145" s="9" t="s">
        <v>46</v>
      </c>
      <c r="F145" s="9" t="s">
        <v>41</v>
      </c>
      <c r="G145" s="10" t="s">
        <v>42</v>
      </c>
    </row>
    <row r="146" spans="1:7" ht="12.75" x14ac:dyDescent="0.2">
      <c r="A146" s="37"/>
      <c r="B146" s="9">
        <v>62</v>
      </c>
      <c r="C146" s="9" t="s">
        <v>267</v>
      </c>
      <c r="D146" s="9" t="s">
        <v>39</v>
      </c>
      <c r="E146" s="9" t="s">
        <v>46</v>
      </c>
      <c r="F146" s="9" t="s">
        <v>41</v>
      </c>
      <c r="G146" s="10" t="s">
        <v>42</v>
      </c>
    </row>
    <row r="147" spans="1:7" ht="12.75" x14ac:dyDescent="0.2">
      <c r="A147" s="39"/>
      <c r="B147" s="9">
        <v>62</v>
      </c>
      <c r="C147" s="9" t="s">
        <v>230</v>
      </c>
      <c r="D147" s="9" t="s">
        <v>39</v>
      </c>
      <c r="E147" s="9" t="s">
        <v>46</v>
      </c>
      <c r="F147" s="9" t="s">
        <v>41</v>
      </c>
      <c r="G147" s="10" t="s">
        <v>42</v>
      </c>
    </row>
    <row r="148" spans="1:7" ht="12.75" x14ac:dyDescent="0.2">
      <c r="A148" s="37"/>
      <c r="B148" s="9">
        <v>62</v>
      </c>
      <c r="C148" s="9" t="s">
        <v>249</v>
      </c>
      <c r="D148" s="9" t="s">
        <v>39</v>
      </c>
      <c r="E148" s="9" t="s">
        <v>46</v>
      </c>
      <c r="F148" s="9" t="s">
        <v>41</v>
      </c>
      <c r="G148" s="10" t="s">
        <v>42</v>
      </c>
    </row>
    <row r="149" spans="1:7" ht="12.75" x14ac:dyDescent="0.2">
      <c r="A149" s="39"/>
      <c r="B149" s="9">
        <v>62</v>
      </c>
      <c r="C149" s="9" t="s">
        <v>268</v>
      </c>
      <c r="D149" s="9" t="s">
        <v>39</v>
      </c>
      <c r="E149" s="9" t="s">
        <v>46</v>
      </c>
      <c r="F149" s="9" t="s">
        <v>41</v>
      </c>
      <c r="G149" s="10" t="s">
        <v>42</v>
      </c>
    </row>
    <row r="150" spans="1:7" ht="12.75" x14ac:dyDescent="0.2">
      <c r="A150" s="37"/>
      <c r="B150" s="9">
        <v>62</v>
      </c>
      <c r="C150" s="9" t="s">
        <v>233</v>
      </c>
      <c r="D150" s="9" t="s">
        <v>39</v>
      </c>
      <c r="E150" s="9" t="s">
        <v>46</v>
      </c>
      <c r="F150" s="9" t="s">
        <v>41</v>
      </c>
      <c r="G150" s="10" t="s">
        <v>42</v>
      </c>
    </row>
    <row r="151" spans="1:7" ht="12.75" x14ac:dyDescent="0.2">
      <c r="A151" s="39"/>
      <c r="B151" s="9">
        <v>62</v>
      </c>
      <c r="C151" s="9" t="s">
        <v>269</v>
      </c>
      <c r="D151" s="9" t="s">
        <v>39</v>
      </c>
      <c r="E151" s="9" t="s">
        <v>46</v>
      </c>
      <c r="F151" s="9" t="s">
        <v>41</v>
      </c>
      <c r="G151" s="10" t="s">
        <v>42</v>
      </c>
    </row>
    <row r="152" spans="1:7" ht="12.75" x14ac:dyDescent="0.2">
      <c r="A152" s="37"/>
      <c r="B152" s="9">
        <v>62</v>
      </c>
      <c r="C152" s="9" t="s">
        <v>251</v>
      </c>
      <c r="D152" s="9" t="s">
        <v>39</v>
      </c>
      <c r="E152" s="9" t="s">
        <v>46</v>
      </c>
      <c r="F152" s="9" t="s">
        <v>41</v>
      </c>
      <c r="G152" s="10" t="s">
        <v>42</v>
      </c>
    </row>
    <row r="153" spans="1:7" ht="12.75" x14ac:dyDescent="0.2">
      <c r="A153" s="38"/>
      <c r="B153" s="9">
        <v>62</v>
      </c>
      <c r="C153" s="9" t="s">
        <v>252</v>
      </c>
      <c r="D153" s="9" t="s">
        <v>39</v>
      </c>
      <c r="E153" s="9" t="s">
        <v>46</v>
      </c>
      <c r="F153" s="9" t="s">
        <v>41</v>
      </c>
      <c r="G153" s="10" t="s">
        <v>42</v>
      </c>
    </row>
    <row r="154" spans="1:7" ht="12.75" x14ac:dyDescent="0.2">
      <c r="A154" s="36" t="s">
        <v>30</v>
      </c>
      <c r="B154" s="9">
        <v>62</v>
      </c>
      <c r="C154" s="9" t="s">
        <v>224</v>
      </c>
      <c r="D154" s="9" t="s">
        <v>39</v>
      </c>
      <c r="E154" s="9" t="s">
        <v>46</v>
      </c>
      <c r="F154" s="9" t="s">
        <v>51</v>
      </c>
      <c r="G154" s="10" t="s">
        <v>42</v>
      </c>
    </row>
    <row r="155" spans="1:7" ht="12.75" x14ac:dyDescent="0.2">
      <c r="A155" s="39"/>
      <c r="B155" s="9">
        <v>62</v>
      </c>
      <c r="C155" s="9" t="s">
        <v>270</v>
      </c>
      <c r="D155" s="9" t="s">
        <v>39</v>
      </c>
      <c r="E155" s="9" t="s">
        <v>46</v>
      </c>
      <c r="F155" s="9" t="s">
        <v>51</v>
      </c>
      <c r="G155" s="10" t="s">
        <v>42</v>
      </c>
    </row>
    <row r="156" spans="1:7" ht="12.75" x14ac:dyDescent="0.2">
      <c r="A156" s="37"/>
      <c r="B156" s="9">
        <v>62</v>
      </c>
      <c r="C156" s="9" t="s">
        <v>243</v>
      </c>
      <c r="D156" s="9" t="s">
        <v>39</v>
      </c>
      <c r="E156" s="9" t="s">
        <v>46</v>
      </c>
      <c r="F156" s="9" t="s">
        <v>51</v>
      </c>
      <c r="G156" s="10" t="s">
        <v>42</v>
      </c>
    </row>
    <row r="157" spans="1:7" ht="12.75" x14ac:dyDescent="0.2">
      <c r="A157" s="39"/>
      <c r="B157" s="9">
        <v>62</v>
      </c>
      <c r="C157" s="9" t="s">
        <v>271</v>
      </c>
      <c r="D157" s="9" t="s">
        <v>39</v>
      </c>
      <c r="E157" s="9" t="s">
        <v>46</v>
      </c>
      <c r="F157" s="9" t="s">
        <v>51</v>
      </c>
      <c r="G157" s="10" t="s">
        <v>42</v>
      </c>
    </row>
    <row r="158" spans="1:7" ht="12.75" x14ac:dyDescent="0.2">
      <c r="A158" s="37"/>
      <c r="B158" s="9">
        <v>62</v>
      </c>
      <c r="C158" s="9" t="s">
        <v>225</v>
      </c>
      <c r="D158" s="9" t="s">
        <v>39</v>
      </c>
      <c r="E158" s="9" t="s">
        <v>46</v>
      </c>
      <c r="F158" s="9" t="s">
        <v>51</v>
      </c>
      <c r="G158" s="10" t="s">
        <v>42</v>
      </c>
    </row>
    <row r="159" spans="1:7" ht="12.75" x14ac:dyDescent="0.2">
      <c r="A159" s="39"/>
      <c r="B159" s="9">
        <v>62</v>
      </c>
      <c r="C159" s="9" t="s">
        <v>272</v>
      </c>
      <c r="D159" s="9" t="s">
        <v>39</v>
      </c>
      <c r="E159" s="9" t="s">
        <v>46</v>
      </c>
      <c r="F159" s="9" t="s">
        <v>51</v>
      </c>
      <c r="G159" s="10" t="s">
        <v>42</v>
      </c>
    </row>
    <row r="160" spans="1:7" ht="12.75" x14ac:dyDescent="0.2">
      <c r="A160" s="37"/>
      <c r="B160" s="9">
        <v>62</v>
      </c>
      <c r="C160" s="9" t="s">
        <v>273</v>
      </c>
      <c r="D160" s="9" t="s">
        <v>39</v>
      </c>
      <c r="E160" s="9" t="s">
        <v>46</v>
      </c>
      <c r="F160" s="9" t="s">
        <v>51</v>
      </c>
      <c r="G160" s="10" t="s">
        <v>42</v>
      </c>
    </row>
    <row r="161" spans="1:7" ht="12.75" x14ac:dyDescent="0.2">
      <c r="A161" s="39"/>
      <c r="B161" s="9">
        <v>62</v>
      </c>
      <c r="C161" s="9" t="s">
        <v>239</v>
      </c>
      <c r="D161" s="9" t="s">
        <v>39</v>
      </c>
      <c r="E161" s="9" t="s">
        <v>46</v>
      </c>
      <c r="F161" s="9" t="s">
        <v>51</v>
      </c>
      <c r="G161" s="10" t="s">
        <v>42</v>
      </c>
    </row>
    <row r="162" spans="1:7" ht="12.75" x14ac:dyDescent="0.2">
      <c r="A162" s="37"/>
      <c r="B162" s="9">
        <v>62</v>
      </c>
      <c r="C162" s="9" t="s">
        <v>274</v>
      </c>
      <c r="D162" s="9" t="s">
        <v>39</v>
      </c>
      <c r="E162" s="9" t="s">
        <v>46</v>
      </c>
      <c r="F162" s="9" t="s">
        <v>51</v>
      </c>
      <c r="G162" s="10" t="s">
        <v>42</v>
      </c>
    </row>
    <row r="163" spans="1:7" ht="12.75" x14ac:dyDescent="0.2">
      <c r="A163" s="39"/>
      <c r="B163" s="9">
        <v>62</v>
      </c>
      <c r="C163" s="9" t="s">
        <v>87</v>
      </c>
      <c r="D163" s="9" t="s">
        <v>39</v>
      </c>
      <c r="E163" s="9" t="s">
        <v>46</v>
      </c>
      <c r="F163" s="9" t="s">
        <v>51</v>
      </c>
      <c r="G163" s="10" t="s">
        <v>42</v>
      </c>
    </row>
    <row r="164" spans="1:7" ht="12.75" x14ac:dyDescent="0.2">
      <c r="A164" s="37"/>
      <c r="B164" s="9">
        <v>62</v>
      </c>
      <c r="C164" s="9" t="s">
        <v>237</v>
      </c>
      <c r="D164" s="9" t="s">
        <v>39</v>
      </c>
      <c r="E164" s="9" t="s">
        <v>46</v>
      </c>
      <c r="F164" s="9" t="s">
        <v>51</v>
      </c>
      <c r="G164" s="10" t="s">
        <v>42</v>
      </c>
    </row>
    <row r="165" spans="1:7" ht="12.75" x14ac:dyDescent="0.2">
      <c r="A165" s="39"/>
      <c r="B165" s="9">
        <v>62</v>
      </c>
      <c r="C165" s="9" t="s">
        <v>275</v>
      </c>
      <c r="D165" s="9" t="s">
        <v>39</v>
      </c>
      <c r="E165" s="9" t="s">
        <v>46</v>
      </c>
      <c r="F165" s="9" t="s">
        <v>51</v>
      </c>
      <c r="G165" s="10" t="s">
        <v>42</v>
      </c>
    </row>
    <row r="166" spans="1:7" ht="12.75" x14ac:dyDescent="0.2">
      <c r="A166" s="37"/>
      <c r="B166" s="9">
        <v>62</v>
      </c>
      <c r="C166" s="9" t="s">
        <v>248</v>
      </c>
      <c r="D166" s="9" t="s">
        <v>39</v>
      </c>
      <c r="E166" s="9" t="s">
        <v>46</v>
      </c>
      <c r="F166" s="9" t="s">
        <v>51</v>
      </c>
      <c r="G166" s="10" t="s">
        <v>42</v>
      </c>
    </row>
    <row r="167" spans="1:7" ht="12.75" x14ac:dyDescent="0.2">
      <c r="A167" s="39"/>
      <c r="B167" s="9">
        <v>62</v>
      </c>
      <c r="C167" s="9" t="s">
        <v>226</v>
      </c>
      <c r="D167" s="9" t="s">
        <v>39</v>
      </c>
      <c r="E167" s="9" t="s">
        <v>46</v>
      </c>
      <c r="F167" s="9" t="s">
        <v>51</v>
      </c>
      <c r="G167" s="10" t="s">
        <v>42</v>
      </c>
    </row>
    <row r="168" spans="1:7" ht="12.75" x14ac:dyDescent="0.2">
      <c r="A168" s="37"/>
      <c r="B168" s="9">
        <v>62</v>
      </c>
      <c r="C168" s="9" t="s">
        <v>227</v>
      </c>
      <c r="D168" s="9" t="s">
        <v>39</v>
      </c>
      <c r="E168" s="9" t="s">
        <v>46</v>
      </c>
      <c r="F168" s="9" t="s">
        <v>51</v>
      </c>
      <c r="G168" s="10" t="s">
        <v>42</v>
      </c>
    </row>
    <row r="169" spans="1:7" ht="12.75" x14ac:dyDescent="0.2">
      <c r="A169" s="39"/>
      <c r="B169" s="9">
        <v>62</v>
      </c>
      <c r="C169" s="9" t="s">
        <v>216</v>
      </c>
      <c r="D169" s="9" t="s">
        <v>39</v>
      </c>
      <c r="E169" s="9" t="s">
        <v>46</v>
      </c>
      <c r="F169" s="9" t="s">
        <v>51</v>
      </c>
      <c r="G169" s="10" t="s">
        <v>42</v>
      </c>
    </row>
    <row r="170" spans="1:7" ht="12.75" x14ac:dyDescent="0.2">
      <c r="A170" s="37"/>
      <c r="B170" s="9">
        <v>62</v>
      </c>
      <c r="C170" s="9" t="s">
        <v>229</v>
      </c>
      <c r="D170" s="9" t="s">
        <v>39</v>
      </c>
      <c r="E170" s="9" t="s">
        <v>46</v>
      </c>
      <c r="F170" s="9" t="s">
        <v>51</v>
      </c>
      <c r="G170" s="10" t="s">
        <v>42</v>
      </c>
    </row>
    <row r="171" spans="1:7" ht="12.75" x14ac:dyDescent="0.2">
      <c r="A171" s="39"/>
      <c r="B171" s="9">
        <v>62</v>
      </c>
      <c r="C171" s="9" t="s">
        <v>232</v>
      </c>
      <c r="D171" s="9" t="s">
        <v>39</v>
      </c>
      <c r="E171" s="9" t="s">
        <v>46</v>
      </c>
      <c r="F171" s="9" t="s">
        <v>51</v>
      </c>
      <c r="G171" s="10" t="s">
        <v>42</v>
      </c>
    </row>
    <row r="172" spans="1:7" ht="12.75" x14ac:dyDescent="0.2">
      <c r="A172" s="37"/>
      <c r="B172" s="9">
        <v>62</v>
      </c>
      <c r="C172" s="9" t="s">
        <v>267</v>
      </c>
      <c r="D172" s="9" t="s">
        <v>39</v>
      </c>
      <c r="E172" s="9" t="s">
        <v>46</v>
      </c>
      <c r="F172" s="9" t="s">
        <v>51</v>
      </c>
      <c r="G172" s="10" t="s">
        <v>42</v>
      </c>
    </row>
    <row r="173" spans="1:7" ht="12.75" x14ac:dyDescent="0.2">
      <c r="A173" s="39"/>
      <c r="B173" s="9">
        <v>62</v>
      </c>
      <c r="C173" s="9" t="s">
        <v>230</v>
      </c>
      <c r="D173" s="9" t="s">
        <v>39</v>
      </c>
      <c r="E173" s="9" t="s">
        <v>46</v>
      </c>
      <c r="F173" s="9" t="s">
        <v>51</v>
      </c>
      <c r="G173" s="10" t="s">
        <v>42</v>
      </c>
    </row>
    <row r="174" spans="1:7" ht="12.75" x14ac:dyDescent="0.2">
      <c r="A174" s="37"/>
      <c r="B174" s="9">
        <v>62</v>
      </c>
      <c r="C174" s="9" t="s">
        <v>249</v>
      </c>
      <c r="D174" s="9" t="s">
        <v>39</v>
      </c>
      <c r="E174" s="9" t="s">
        <v>46</v>
      </c>
      <c r="F174" s="9" t="s">
        <v>51</v>
      </c>
      <c r="G174" s="10" t="s">
        <v>42</v>
      </c>
    </row>
    <row r="175" spans="1:7" ht="12.75" x14ac:dyDescent="0.2">
      <c r="A175" s="39"/>
      <c r="B175" s="9">
        <v>62</v>
      </c>
      <c r="C175" s="9" t="s">
        <v>268</v>
      </c>
      <c r="D175" s="9" t="s">
        <v>39</v>
      </c>
      <c r="E175" s="9" t="s">
        <v>46</v>
      </c>
      <c r="F175" s="9" t="s">
        <v>51</v>
      </c>
      <c r="G175" s="10" t="s">
        <v>42</v>
      </c>
    </row>
    <row r="176" spans="1:7" ht="12.75" x14ac:dyDescent="0.2">
      <c r="A176" s="37"/>
      <c r="B176" s="9">
        <v>62</v>
      </c>
      <c r="C176" s="9" t="s">
        <v>233</v>
      </c>
      <c r="D176" s="9" t="s">
        <v>39</v>
      </c>
      <c r="E176" s="9" t="s">
        <v>46</v>
      </c>
      <c r="F176" s="9" t="s">
        <v>51</v>
      </c>
      <c r="G176" s="10" t="s">
        <v>42</v>
      </c>
    </row>
    <row r="177" spans="1:7" ht="12.75" x14ac:dyDescent="0.2">
      <c r="A177" s="38"/>
      <c r="B177" s="9">
        <v>62</v>
      </c>
      <c r="C177" s="9" t="s">
        <v>269</v>
      </c>
      <c r="D177" s="9" t="s">
        <v>39</v>
      </c>
      <c r="E177" s="9" t="s">
        <v>46</v>
      </c>
      <c r="F177" s="9" t="s">
        <v>47</v>
      </c>
      <c r="G177" s="10" t="s">
        <v>42</v>
      </c>
    </row>
    <row r="178" spans="1:7" ht="12.75" x14ac:dyDescent="0.2">
      <c r="A178" s="36" t="s">
        <v>31</v>
      </c>
      <c r="B178" s="9">
        <v>62</v>
      </c>
      <c r="C178" s="9" t="s">
        <v>224</v>
      </c>
      <c r="D178" s="9" t="s">
        <v>39</v>
      </c>
      <c r="E178" s="9" t="s">
        <v>46</v>
      </c>
      <c r="F178" s="9" t="s">
        <v>41</v>
      </c>
      <c r="G178" s="10" t="s">
        <v>42</v>
      </c>
    </row>
    <row r="179" spans="1:7" ht="12.75" x14ac:dyDescent="0.2">
      <c r="A179" s="39"/>
      <c r="B179" s="9">
        <v>62</v>
      </c>
      <c r="C179" s="9" t="s">
        <v>223</v>
      </c>
      <c r="D179" s="9" t="s">
        <v>39</v>
      </c>
      <c r="E179" s="9" t="s">
        <v>46</v>
      </c>
      <c r="F179" s="9" t="s">
        <v>41</v>
      </c>
      <c r="G179" s="10" t="s">
        <v>42</v>
      </c>
    </row>
    <row r="180" spans="1:7" ht="12.75" x14ac:dyDescent="0.2">
      <c r="A180" s="37"/>
      <c r="B180" s="9">
        <v>62</v>
      </c>
      <c r="C180" s="9" t="s">
        <v>174</v>
      </c>
      <c r="D180" s="9" t="s">
        <v>39</v>
      </c>
      <c r="E180" s="9" t="s">
        <v>46</v>
      </c>
      <c r="F180" s="9" t="s">
        <v>41</v>
      </c>
      <c r="G180" s="10" t="s">
        <v>42</v>
      </c>
    </row>
    <row r="181" spans="1:7" ht="12.75" x14ac:dyDescent="0.2">
      <c r="A181" s="39"/>
      <c r="B181" s="9">
        <v>62</v>
      </c>
      <c r="C181" s="9" t="s">
        <v>225</v>
      </c>
      <c r="D181" s="9" t="s">
        <v>39</v>
      </c>
      <c r="E181" s="9" t="s">
        <v>46</v>
      </c>
      <c r="F181" s="9" t="s">
        <v>41</v>
      </c>
      <c r="G181" s="10" t="s">
        <v>42</v>
      </c>
    </row>
    <row r="182" spans="1:7" ht="12.75" x14ac:dyDescent="0.2">
      <c r="A182" s="37"/>
      <c r="B182" s="9">
        <v>62</v>
      </c>
      <c r="C182" s="9" t="s">
        <v>276</v>
      </c>
      <c r="D182" s="9" t="s">
        <v>39</v>
      </c>
      <c r="E182" s="9" t="s">
        <v>46</v>
      </c>
      <c r="F182" s="9" t="s">
        <v>51</v>
      </c>
      <c r="G182" s="10" t="s">
        <v>42</v>
      </c>
    </row>
    <row r="183" spans="1:7" ht="12.75" x14ac:dyDescent="0.2">
      <c r="A183" s="39"/>
      <c r="B183" s="9">
        <v>62</v>
      </c>
      <c r="C183" s="9" t="s">
        <v>239</v>
      </c>
      <c r="D183" s="9" t="s">
        <v>39</v>
      </c>
      <c r="E183" s="9" t="s">
        <v>46</v>
      </c>
      <c r="F183" s="9" t="s">
        <v>51</v>
      </c>
      <c r="G183" s="10" t="s">
        <v>42</v>
      </c>
    </row>
    <row r="184" spans="1:7" ht="12.75" x14ac:dyDescent="0.2">
      <c r="A184" s="37"/>
      <c r="B184" s="9">
        <v>62</v>
      </c>
      <c r="C184" s="9" t="s">
        <v>87</v>
      </c>
      <c r="D184" s="9" t="s">
        <v>39</v>
      </c>
      <c r="E184" s="9" t="s">
        <v>46</v>
      </c>
      <c r="F184" s="9" t="s">
        <v>41</v>
      </c>
      <c r="G184" s="10" t="s">
        <v>42</v>
      </c>
    </row>
    <row r="185" spans="1:7" ht="12.75" x14ac:dyDescent="0.2">
      <c r="A185" s="39"/>
      <c r="B185" s="9">
        <v>62</v>
      </c>
      <c r="C185" s="9" t="s">
        <v>237</v>
      </c>
      <c r="D185" s="9" t="s">
        <v>39</v>
      </c>
      <c r="E185" s="9" t="s">
        <v>46</v>
      </c>
      <c r="F185" s="9" t="s">
        <v>51</v>
      </c>
      <c r="G185" s="10" t="s">
        <v>42</v>
      </c>
    </row>
    <row r="186" spans="1:7" ht="12.75" x14ac:dyDescent="0.2">
      <c r="A186" s="37"/>
      <c r="B186" s="9">
        <v>62</v>
      </c>
      <c r="C186" s="9" t="s">
        <v>248</v>
      </c>
      <c r="D186" s="9" t="s">
        <v>39</v>
      </c>
      <c r="E186" s="9" t="s">
        <v>46</v>
      </c>
      <c r="F186" s="9" t="s">
        <v>51</v>
      </c>
      <c r="G186" s="10" t="s">
        <v>42</v>
      </c>
    </row>
    <row r="187" spans="1:7" ht="12.75" x14ac:dyDescent="0.2">
      <c r="A187" s="39"/>
      <c r="B187" s="9">
        <v>62</v>
      </c>
      <c r="C187" s="9" t="s">
        <v>226</v>
      </c>
      <c r="D187" s="9" t="s">
        <v>39</v>
      </c>
      <c r="E187" s="9" t="s">
        <v>46</v>
      </c>
      <c r="F187" s="9" t="s">
        <v>41</v>
      </c>
      <c r="G187" s="10" t="s">
        <v>42</v>
      </c>
    </row>
    <row r="188" spans="1:7" ht="12.75" x14ac:dyDescent="0.2">
      <c r="A188" s="37"/>
      <c r="B188" s="9">
        <v>62</v>
      </c>
      <c r="C188" s="9" t="s">
        <v>227</v>
      </c>
      <c r="D188" s="9" t="s">
        <v>39</v>
      </c>
      <c r="E188" s="9" t="s">
        <v>46</v>
      </c>
      <c r="F188" s="9" t="s">
        <v>41</v>
      </c>
      <c r="G188" s="10" t="s">
        <v>42</v>
      </c>
    </row>
    <row r="189" spans="1:7" ht="12.75" x14ac:dyDescent="0.2">
      <c r="A189" s="39"/>
      <c r="B189" s="9">
        <v>62</v>
      </c>
      <c r="C189" s="9" t="s">
        <v>216</v>
      </c>
      <c r="D189" s="9" t="s">
        <v>39</v>
      </c>
      <c r="E189" s="9" t="s">
        <v>46</v>
      </c>
      <c r="F189" s="9" t="s">
        <v>41</v>
      </c>
      <c r="G189" s="10" t="s">
        <v>42</v>
      </c>
    </row>
    <row r="190" spans="1:7" ht="12.75" x14ac:dyDescent="0.2">
      <c r="A190" s="37"/>
      <c r="B190" s="9">
        <v>62</v>
      </c>
      <c r="C190" s="9" t="s">
        <v>229</v>
      </c>
      <c r="D190" s="9" t="s">
        <v>39</v>
      </c>
      <c r="E190" s="9" t="s">
        <v>46</v>
      </c>
      <c r="F190" s="9" t="s">
        <v>41</v>
      </c>
      <c r="G190" s="10" t="s">
        <v>42</v>
      </c>
    </row>
    <row r="191" spans="1:7" ht="12.75" x14ac:dyDescent="0.2">
      <c r="A191" s="39"/>
      <c r="B191" s="9">
        <v>62</v>
      </c>
      <c r="C191" s="9" t="s">
        <v>232</v>
      </c>
      <c r="D191" s="9" t="s">
        <v>39</v>
      </c>
      <c r="E191" s="9" t="s">
        <v>46</v>
      </c>
      <c r="F191" s="9" t="s">
        <v>41</v>
      </c>
      <c r="G191" s="10" t="s">
        <v>42</v>
      </c>
    </row>
    <row r="192" spans="1:7" ht="12.75" x14ac:dyDescent="0.2">
      <c r="A192" s="37"/>
      <c r="B192" s="9">
        <v>62</v>
      </c>
      <c r="C192" s="9" t="s">
        <v>267</v>
      </c>
      <c r="D192" s="9" t="s">
        <v>39</v>
      </c>
      <c r="E192" s="9" t="s">
        <v>46</v>
      </c>
      <c r="F192" s="9" t="s">
        <v>41</v>
      </c>
      <c r="G192" s="10" t="s">
        <v>42</v>
      </c>
    </row>
    <row r="193" spans="1:7" ht="12.75" x14ac:dyDescent="0.2">
      <c r="A193" s="39"/>
      <c r="B193" s="9">
        <v>62</v>
      </c>
      <c r="C193" s="9" t="s">
        <v>230</v>
      </c>
      <c r="D193" s="9" t="s">
        <v>39</v>
      </c>
      <c r="E193" s="9" t="s">
        <v>46</v>
      </c>
      <c r="F193" s="9" t="s">
        <v>41</v>
      </c>
      <c r="G193" s="10" t="s">
        <v>42</v>
      </c>
    </row>
    <row r="194" spans="1:7" ht="12.75" x14ac:dyDescent="0.2">
      <c r="A194" s="37"/>
      <c r="B194" s="9">
        <v>62</v>
      </c>
      <c r="C194" s="9" t="s">
        <v>249</v>
      </c>
      <c r="D194" s="9" t="s">
        <v>94</v>
      </c>
      <c r="E194" s="9" t="s">
        <v>46</v>
      </c>
      <c r="F194" s="9" t="s">
        <v>41</v>
      </c>
      <c r="G194" s="10" t="s">
        <v>42</v>
      </c>
    </row>
    <row r="195" spans="1:7" ht="12.75" x14ac:dyDescent="0.2">
      <c r="A195" s="39"/>
      <c r="B195" s="9">
        <v>62</v>
      </c>
      <c r="C195" s="9" t="s">
        <v>268</v>
      </c>
      <c r="D195" s="9" t="s">
        <v>39</v>
      </c>
      <c r="E195" s="9" t="s">
        <v>46</v>
      </c>
      <c r="F195" s="9" t="s">
        <v>41</v>
      </c>
      <c r="G195" s="10" t="s">
        <v>42</v>
      </c>
    </row>
    <row r="196" spans="1:7" ht="12.75" x14ac:dyDescent="0.2">
      <c r="A196" s="37"/>
      <c r="B196" s="9">
        <v>62</v>
      </c>
      <c r="C196" s="9" t="s">
        <v>233</v>
      </c>
      <c r="D196" s="9" t="s">
        <v>39</v>
      </c>
      <c r="E196" s="9" t="s">
        <v>46</v>
      </c>
      <c r="F196" s="9" t="s">
        <v>41</v>
      </c>
      <c r="G196" s="10" t="s">
        <v>42</v>
      </c>
    </row>
    <row r="197" spans="1:7" ht="12.75" x14ac:dyDescent="0.2">
      <c r="A197" s="38"/>
      <c r="B197" s="9">
        <v>62</v>
      </c>
      <c r="C197" s="9" t="s">
        <v>269</v>
      </c>
      <c r="D197" s="9" t="s">
        <v>39</v>
      </c>
      <c r="E197" s="9" t="s">
        <v>46</v>
      </c>
      <c r="F197" s="9" t="s">
        <v>41</v>
      </c>
      <c r="G197" s="10" t="s">
        <v>42</v>
      </c>
    </row>
    <row r="198" spans="1:7" ht="12.75" x14ac:dyDescent="0.2">
      <c r="A198" s="36" t="s">
        <v>32</v>
      </c>
      <c r="B198" s="9">
        <v>62</v>
      </c>
      <c r="C198" s="9" t="s">
        <v>224</v>
      </c>
      <c r="D198" s="9" t="s">
        <v>39</v>
      </c>
      <c r="E198" s="9" t="s">
        <v>46</v>
      </c>
      <c r="F198" s="9" t="s">
        <v>51</v>
      </c>
      <c r="G198" s="10" t="s">
        <v>42</v>
      </c>
    </row>
    <row r="199" spans="1:7" ht="12.75" x14ac:dyDescent="0.2">
      <c r="A199" s="39"/>
      <c r="B199" s="9">
        <v>62</v>
      </c>
      <c r="C199" s="9" t="s">
        <v>223</v>
      </c>
      <c r="D199" s="9" t="s">
        <v>39</v>
      </c>
      <c r="E199" s="9" t="s">
        <v>46</v>
      </c>
      <c r="F199" s="9" t="s">
        <v>51</v>
      </c>
      <c r="G199" s="10" t="s">
        <v>42</v>
      </c>
    </row>
    <row r="200" spans="1:7" ht="12.75" x14ac:dyDescent="0.2">
      <c r="A200" s="37"/>
      <c r="B200" s="9">
        <v>62</v>
      </c>
      <c r="C200" s="9" t="s">
        <v>225</v>
      </c>
      <c r="D200" s="9" t="s">
        <v>39</v>
      </c>
      <c r="E200" s="9" t="s">
        <v>46</v>
      </c>
      <c r="F200" s="9" t="s">
        <v>51</v>
      </c>
      <c r="G200" s="10" t="s">
        <v>42</v>
      </c>
    </row>
    <row r="201" spans="1:7" ht="12.75" x14ac:dyDescent="0.2">
      <c r="A201" s="39"/>
      <c r="B201" s="9">
        <v>62</v>
      </c>
      <c r="C201" s="9" t="s">
        <v>277</v>
      </c>
      <c r="D201" s="9" t="s">
        <v>39</v>
      </c>
      <c r="E201" s="9" t="s">
        <v>46</v>
      </c>
      <c r="F201" s="9" t="s">
        <v>51</v>
      </c>
      <c r="G201" s="10" t="s">
        <v>42</v>
      </c>
    </row>
    <row r="202" spans="1:7" ht="12.75" x14ac:dyDescent="0.2">
      <c r="A202" s="37"/>
      <c r="B202" s="9">
        <v>62</v>
      </c>
      <c r="C202" s="9" t="s">
        <v>278</v>
      </c>
      <c r="D202" s="9" t="s">
        <v>39</v>
      </c>
      <c r="E202" s="9" t="s">
        <v>46</v>
      </c>
      <c r="F202" s="9" t="s">
        <v>51</v>
      </c>
      <c r="G202" s="10" t="s">
        <v>42</v>
      </c>
    </row>
    <row r="203" spans="1:7" ht="12.75" x14ac:dyDescent="0.2">
      <c r="A203" s="39"/>
      <c r="B203" s="9">
        <v>62</v>
      </c>
      <c r="C203" s="9" t="s">
        <v>239</v>
      </c>
      <c r="D203" s="9" t="s">
        <v>39</v>
      </c>
      <c r="E203" s="9" t="s">
        <v>46</v>
      </c>
      <c r="F203" s="9" t="s">
        <v>51</v>
      </c>
      <c r="G203" s="10" t="s">
        <v>42</v>
      </c>
    </row>
    <row r="204" spans="1:7" ht="12.75" x14ac:dyDescent="0.2">
      <c r="A204" s="37"/>
      <c r="B204" s="9">
        <v>62</v>
      </c>
      <c r="C204" s="9" t="s">
        <v>87</v>
      </c>
      <c r="D204" s="9" t="s">
        <v>39</v>
      </c>
      <c r="E204" s="9" t="s">
        <v>46</v>
      </c>
      <c r="F204" s="9" t="s">
        <v>51</v>
      </c>
      <c r="G204" s="10" t="s">
        <v>42</v>
      </c>
    </row>
    <row r="205" spans="1:7" ht="12.75" x14ac:dyDescent="0.2">
      <c r="A205" s="39"/>
      <c r="B205" s="9">
        <v>62</v>
      </c>
      <c r="C205" s="9" t="s">
        <v>237</v>
      </c>
      <c r="D205" s="9" t="s">
        <v>39</v>
      </c>
      <c r="E205" s="9" t="s">
        <v>46</v>
      </c>
      <c r="F205" s="9" t="s">
        <v>51</v>
      </c>
      <c r="G205" s="10" t="s">
        <v>42</v>
      </c>
    </row>
    <row r="206" spans="1:7" ht="12.75" x14ac:dyDescent="0.2">
      <c r="A206" s="37"/>
      <c r="B206" s="9">
        <v>62</v>
      </c>
      <c r="C206" s="9" t="s">
        <v>248</v>
      </c>
      <c r="D206" s="9" t="s">
        <v>39</v>
      </c>
      <c r="E206" s="9" t="s">
        <v>46</v>
      </c>
      <c r="F206" s="9" t="s">
        <v>51</v>
      </c>
      <c r="G206" s="10" t="s">
        <v>42</v>
      </c>
    </row>
    <row r="207" spans="1:7" ht="12.75" x14ac:dyDescent="0.2">
      <c r="A207" s="39"/>
      <c r="B207" s="9">
        <v>62</v>
      </c>
      <c r="C207" s="9" t="s">
        <v>279</v>
      </c>
      <c r="D207" s="9" t="s">
        <v>39</v>
      </c>
      <c r="E207" s="9" t="s">
        <v>46</v>
      </c>
      <c r="F207" s="9" t="s">
        <v>51</v>
      </c>
      <c r="G207" s="10" t="s">
        <v>42</v>
      </c>
    </row>
    <row r="208" spans="1:7" ht="12.75" x14ac:dyDescent="0.2">
      <c r="A208" s="37"/>
      <c r="B208" s="9">
        <v>62</v>
      </c>
      <c r="C208" s="9" t="s">
        <v>226</v>
      </c>
      <c r="D208" s="9" t="s">
        <v>39</v>
      </c>
      <c r="E208" s="9" t="s">
        <v>46</v>
      </c>
      <c r="F208" s="9" t="s">
        <v>51</v>
      </c>
      <c r="G208" s="10" t="s">
        <v>42</v>
      </c>
    </row>
    <row r="209" spans="1:7" ht="12.75" x14ac:dyDescent="0.2">
      <c r="A209" s="39"/>
      <c r="B209" s="9">
        <v>62</v>
      </c>
      <c r="C209" s="9" t="s">
        <v>227</v>
      </c>
      <c r="D209" s="9" t="s">
        <v>39</v>
      </c>
      <c r="E209" s="9" t="s">
        <v>46</v>
      </c>
      <c r="F209" s="9" t="s">
        <v>51</v>
      </c>
      <c r="G209" s="10" t="s">
        <v>42</v>
      </c>
    </row>
    <row r="210" spans="1:7" ht="12.75" x14ac:dyDescent="0.2">
      <c r="A210" s="37"/>
      <c r="B210" s="9">
        <v>62</v>
      </c>
      <c r="C210" s="9" t="s">
        <v>216</v>
      </c>
      <c r="D210" s="9" t="s">
        <v>39</v>
      </c>
      <c r="E210" s="9" t="s">
        <v>46</v>
      </c>
      <c r="F210" s="9" t="s">
        <v>51</v>
      </c>
      <c r="G210" s="10" t="s">
        <v>42</v>
      </c>
    </row>
    <row r="211" spans="1:7" ht="12.75" x14ac:dyDescent="0.2">
      <c r="A211" s="39"/>
      <c r="B211" s="9">
        <v>62</v>
      </c>
      <c r="C211" s="9" t="s">
        <v>229</v>
      </c>
      <c r="D211" s="9" t="s">
        <v>39</v>
      </c>
      <c r="E211" s="9" t="s">
        <v>46</v>
      </c>
      <c r="F211" s="9" t="s">
        <v>51</v>
      </c>
      <c r="G211" s="10" t="s">
        <v>42</v>
      </c>
    </row>
    <row r="212" spans="1:7" ht="12.75" x14ac:dyDescent="0.2">
      <c r="A212" s="37"/>
      <c r="B212" s="9">
        <v>62</v>
      </c>
      <c r="C212" s="9" t="s">
        <v>232</v>
      </c>
      <c r="D212" s="9" t="s">
        <v>39</v>
      </c>
      <c r="E212" s="9" t="s">
        <v>46</v>
      </c>
      <c r="F212" s="9" t="s">
        <v>51</v>
      </c>
      <c r="G212" s="10" t="s">
        <v>42</v>
      </c>
    </row>
    <row r="213" spans="1:7" ht="12.75" x14ac:dyDescent="0.2">
      <c r="A213" s="39"/>
      <c r="B213" s="9">
        <v>62</v>
      </c>
      <c r="C213" s="9" t="s">
        <v>267</v>
      </c>
      <c r="D213" s="9" t="s">
        <v>39</v>
      </c>
      <c r="E213" s="9" t="s">
        <v>46</v>
      </c>
      <c r="F213" s="9" t="s">
        <v>51</v>
      </c>
      <c r="G213" s="10" t="s">
        <v>42</v>
      </c>
    </row>
    <row r="214" spans="1:7" ht="12.75" x14ac:dyDescent="0.2">
      <c r="A214" s="37"/>
      <c r="B214" s="9">
        <v>62</v>
      </c>
      <c r="C214" s="9" t="s">
        <v>230</v>
      </c>
      <c r="D214" s="9" t="s">
        <v>39</v>
      </c>
      <c r="E214" s="9" t="s">
        <v>46</v>
      </c>
      <c r="F214" s="9" t="s">
        <v>51</v>
      </c>
      <c r="G214" s="10" t="s">
        <v>42</v>
      </c>
    </row>
    <row r="215" spans="1:7" ht="12.75" x14ac:dyDescent="0.2">
      <c r="A215" s="39"/>
      <c r="B215" s="9">
        <v>62</v>
      </c>
      <c r="C215" s="9" t="s">
        <v>280</v>
      </c>
      <c r="D215" s="9" t="s">
        <v>39</v>
      </c>
      <c r="E215" s="9" t="s">
        <v>46</v>
      </c>
      <c r="F215" s="9" t="s">
        <v>51</v>
      </c>
      <c r="G215" s="10" t="s">
        <v>42</v>
      </c>
    </row>
    <row r="216" spans="1:7" ht="12.75" x14ac:dyDescent="0.2">
      <c r="A216" s="37"/>
      <c r="B216" s="9">
        <v>62</v>
      </c>
      <c r="C216" s="9" t="s">
        <v>268</v>
      </c>
      <c r="D216" s="9" t="s">
        <v>39</v>
      </c>
      <c r="E216" s="9" t="s">
        <v>46</v>
      </c>
      <c r="F216" s="9" t="s">
        <v>51</v>
      </c>
      <c r="G216" s="10" t="s">
        <v>42</v>
      </c>
    </row>
    <row r="217" spans="1:7" ht="12.75" x14ac:dyDescent="0.2">
      <c r="A217" s="39"/>
      <c r="B217" s="9">
        <v>62</v>
      </c>
      <c r="C217" s="9" t="s">
        <v>233</v>
      </c>
      <c r="D217" s="9" t="s">
        <v>39</v>
      </c>
      <c r="E217" s="9" t="s">
        <v>46</v>
      </c>
      <c r="F217" s="9" t="s">
        <v>51</v>
      </c>
      <c r="G217" s="10" t="s">
        <v>42</v>
      </c>
    </row>
    <row r="218" spans="1:7" ht="12.75" x14ac:dyDescent="0.2">
      <c r="A218" s="40"/>
      <c r="B218" s="9">
        <v>62</v>
      </c>
      <c r="C218" s="9" t="s">
        <v>269</v>
      </c>
      <c r="D218" s="9" t="s">
        <v>39</v>
      </c>
      <c r="E218" s="9" t="s">
        <v>46</v>
      </c>
      <c r="F218" s="9" t="s">
        <v>51</v>
      </c>
      <c r="G218" s="10" t="s">
        <v>42</v>
      </c>
    </row>
    <row r="219" spans="1:7" ht="12.75" x14ac:dyDescent="0.2">
      <c r="A219" s="36" t="s">
        <v>33</v>
      </c>
      <c r="B219" s="9">
        <v>62</v>
      </c>
      <c r="C219" s="9" t="s">
        <v>224</v>
      </c>
      <c r="D219" s="9" t="s">
        <v>39</v>
      </c>
      <c r="E219" s="9" t="s">
        <v>46</v>
      </c>
      <c r="F219" s="9" t="s">
        <v>41</v>
      </c>
      <c r="G219" s="10" t="s">
        <v>42</v>
      </c>
    </row>
    <row r="220" spans="1:7" ht="12.75" x14ac:dyDescent="0.2">
      <c r="A220" s="37"/>
      <c r="B220" s="9">
        <v>62</v>
      </c>
      <c r="C220" s="9" t="s">
        <v>281</v>
      </c>
      <c r="D220" s="9" t="s">
        <v>39</v>
      </c>
      <c r="E220" s="9" t="s">
        <v>46</v>
      </c>
      <c r="F220" s="9" t="s">
        <v>41</v>
      </c>
      <c r="G220" s="10" t="s">
        <v>42</v>
      </c>
    </row>
    <row r="221" spans="1:7" ht="12.75" x14ac:dyDescent="0.2">
      <c r="A221" s="39"/>
      <c r="B221" s="9">
        <v>62</v>
      </c>
      <c r="C221" s="9" t="s">
        <v>174</v>
      </c>
      <c r="D221" s="9" t="s">
        <v>39</v>
      </c>
      <c r="E221" s="9" t="s">
        <v>46</v>
      </c>
      <c r="F221" s="9" t="s">
        <v>41</v>
      </c>
      <c r="G221" s="10" t="s">
        <v>42</v>
      </c>
    </row>
    <row r="222" spans="1:7" ht="12.75" x14ac:dyDescent="0.2">
      <c r="A222" s="37"/>
      <c r="B222" s="9">
        <v>62</v>
      </c>
      <c r="C222" s="9" t="s">
        <v>225</v>
      </c>
      <c r="D222" s="9" t="s">
        <v>39</v>
      </c>
      <c r="E222" s="9" t="s">
        <v>46</v>
      </c>
      <c r="F222" s="9" t="s">
        <v>41</v>
      </c>
      <c r="G222" s="10" t="s">
        <v>42</v>
      </c>
    </row>
    <row r="223" spans="1:7" ht="12.75" x14ac:dyDescent="0.2">
      <c r="A223" s="39"/>
      <c r="B223" s="9">
        <v>62</v>
      </c>
      <c r="C223" s="9" t="s">
        <v>277</v>
      </c>
      <c r="D223" s="9" t="s">
        <v>39</v>
      </c>
      <c r="E223" s="9" t="s">
        <v>46</v>
      </c>
      <c r="F223" s="9" t="s">
        <v>41</v>
      </c>
      <c r="G223" s="10" t="s">
        <v>42</v>
      </c>
    </row>
    <row r="224" spans="1:7" ht="12.75" x14ac:dyDescent="0.2">
      <c r="A224" s="37"/>
      <c r="B224" s="9">
        <v>62</v>
      </c>
      <c r="C224" s="9" t="s">
        <v>278</v>
      </c>
      <c r="D224" s="9" t="s">
        <v>39</v>
      </c>
      <c r="E224" s="9" t="s">
        <v>46</v>
      </c>
      <c r="F224" s="9" t="s">
        <v>41</v>
      </c>
      <c r="G224" s="10" t="s">
        <v>42</v>
      </c>
    </row>
    <row r="225" spans="1:7" ht="12.75" x14ac:dyDescent="0.2">
      <c r="A225" s="39"/>
      <c r="B225" s="9">
        <v>62</v>
      </c>
      <c r="C225" s="9" t="s">
        <v>239</v>
      </c>
      <c r="D225" s="9" t="s">
        <v>39</v>
      </c>
      <c r="E225" s="9" t="s">
        <v>46</v>
      </c>
      <c r="F225" s="9" t="s">
        <v>41</v>
      </c>
      <c r="G225" s="10" t="s">
        <v>42</v>
      </c>
    </row>
    <row r="226" spans="1:7" ht="12.75" x14ac:dyDescent="0.2">
      <c r="A226" s="37"/>
      <c r="B226" s="9">
        <v>62</v>
      </c>
      <c r="C226" s="9" t="s">
        <v>282</v>
      </c>
      <c r="D226" s="9" t="s">
        <v>39</v>
      </c>
      <c r="E226" s="9" t="s">
        <v>46</v>
      </c>
      <c r="F226" s="9" t="s">
        <v>51</v>
      </c>
      <c r="G226" s="10" t="s">
        <v>42</v>
      </c>
    </row>
    <row r="227" spans="1:7" ht="12.75" x14ac:dyDescent="0.2">
      <c r="A227" s="39"/>
      <c r="B227" s="9">
        <v>62</v>
      </c>
      <c r="C227" s="9" t="s">
        <v>87</v>
      </c>
      <c r="D227" s="9" t="s">
        <v>39</v>
      </c>
      <c r="E227" s="9" t="s">
        <v>46</v>
      </c>
      <c r="F227" s="9" t="s">
        <v>41</v>
      </c>
      <c r="G227" s="10" t="s">
        <v>42</v>
      </c>
    </row>
    <row r="228" spans="1:7" ht="12.75" x14ac:dyDescent="0.2">
      <c r="A228" s="37"/>
      <c r="B228" s="9">
        <v>62</v>
      </c>
      <c r="C228" s="9" t="s">
        <v>237</v>
      </c>
      <c r="D228" s="9" t="s">
        <v>39</v>
      </c>
      <c r="E228" s="9" t="s">
        <v>46</v>
      </c>
      <c r="F228" s="9" t="s">
        <v>51</v>
      </c>
      <c r="G228" s="10" t="s">
        <v>42</v>
      </c>
    </row>
    <row r="229" spans="1:7" ht="12.75" x14ac:dyDescent="0.2">
      <c r="A229" s="39"/>
      <c r="B229" s="9">
        <v>62</v>
      </c>
      <c r="C229" s="9" t="s">
        <v>283</v>
      </c>
      <c r="D229" s="9" t="s">
        <v>39</v>
      </c>
      <c r="E229" s="9" t="s">
        <v>46</v>
      </c>
      <c r="F229" s="9" t="s">
        <v>51</v>
      </c>
      <c r="G229" s="10" t="s">
        <v>42</v>
      </c>
    </row>
    <row r="230" spans="1:7" ht="12.75" x14ac:dyDescent="0.2">
      <c r="A230" s="37"/>
      <c r="B230" s="9">
        <v>62</v>
      </c>
      <c r="C230" s="9" t="s">
        <v>248</v>
      </c>
      <c r="D230" s="9" t="s">
        <v>39</v>
      </c>
      <c r="E230" s="9" t="s">
        <v>46</v>
      </c>
      <c r="F230" s="9" t="s">
        <v>51</v>
      </c>
      <c r="G230" s="10" t="s">
        <v>42</v>
      </c>
    </row>
    <row r="231" spans="1:7" ht="12.75" x14ac:dyDescent="0.2">
      <c r="A231" s="39"/>
      <c r="B231" s="9">
        <v>62</v>
      </c>
      <c r="C231" s="9" t="s">
        <v>279</v>
      </c>
      <c r="D231" s="9" t="s">
        <v>39</v>
      </c>
      <c r="E231" s="9" t="s">
        <v>46</v>
      </c>
      <c r="F231" s="9" t="s">
        <v>41</v>
      </c>
      <c r="G231" s="10" t="s">
        <v>42</v>
      </c>
    </row>
    <row r="232" spans="1:7" ht="12.75" x14ac:dyDescent="0.2">
      <c r="A232" s="37"/>
      <c r="B232" s="9">
        <v>62</v>
      </c>
      <c r="C232" s="9" t="s">
        <v>218</v>
      </c>
      <c r="D232" s="9" t="s">
        <v>39</v>
      </c>
      <c r="E232" s="9" t="s">
        <v>46</v>
      </c>
      <c r="F232" s="9" t="s">
        <v>41</v>
      </c>
      <c r="G232" s="10" t="s">
        <v>42</v>
      </c>
    </row>
    <row r="233" spans="1:7" ht="12.75" x14ac:dyDescent="0.2">
      <c r="A233" s="39"/>
      <c r="B233" s="9">
        <v>62</v>
      </c>
      <c r="C233" s="9" t="s">
        <v>227</v>
      </c>
      <c r="D233" s="9" t="s">
        <v>39</v>
      </c>
      <c r="E233" s="9" t="s">
        <v>46</v>
      </c>
      <c r="F233" s="9" t="s">
        <v>41</v>
      </c>
      <c r="G233" s="10" t="s">
        <v>42</v>
      </c>
    </row>
    <row r="234" spans="1:7" ht="12.75" x14ac:dyDescent="0.2">
      <c r="A234" s="37"/>
      <c r="B234" s="9">
        <v>62</v>
      </c>
      <c r="C234" s="9" t="s">
        <v>284</v>
      </c>
      <c r="D234" s="9" t="s">
        <v>39</v>
      </c>
      <c r="E234" s="9" t="s">
        <v>46</v>
      </c>
      <c r="F234" s="9" t="s">
        <v>41</v>
      </c>
      <c r="G234" s="10" t="s">
        <v>42</v>
      </c>
    </row>
    <row r="235" spans="1:7" ht="12.75" x14ac:dyDescent="0.2">
      <c r="A235" s="39"/>
      <c r="B235" s="9">
        <v>62</v>
      </c>
      <c r="C235" s="9" t="s">
        <v>285</v>
      </c>
      <c r="D235" s="9" t="s">
        <v>39</v>
      </c>
      <c r="E235" s="9" t="s">
        <v>46</v>
      </c>
      <c r="F235" s="9" t="s">
        <v>41</v>
      </c>
      <c r="G235" s="10" t="s">
        <v>42</v>
      </c>
    </row>
    <row r="236" spans="1:7" ht="12.75" x14ac:dyDescent="0.2">
      <c r="A236" s="37"/>
      <c r="B236" s="9">
        <v>62</v>
      </c>
      <c r="C236" s="9" t="s">
        <v>249</v>
      </c>
      <c r="D236" s="9" t="s">
        <v>94</v>
      </c>
      <c r="E236" s="9" t="s">
        <v>46</v>
      </c>
      <c r="F236" s="9" t="s">
        <v>41</v>
      </c>
      <c r="G236" s="10" t="s">
        <v>42</v>
      </c>
    </row>
    <row r="237" spans="1:7" ht="12.75" x14ac:dyDescent="0.2">
      <c r="A237" s="39"/>
      <c r="B237" s="9">
        <v>62</v>
      </c>
      <c r="C237" s="9" t="s">
        <v>268</v>
      </c>
      <c r="D237" s="9" t="s">
        <v>39</v>
      </c>
      <c r="E237" s="9" t="s">
        <v>46</v>
      </c>
      <c r="F237" s="9" t="s">
        <v>41</v>
      </c>
      <c r="G237" s="10" t="s">
        <v>42</v>
      </c>
    </row>
    <row r="238" spans="1:7" ht="12.75" x14ac:dyDescent="0.2">
      <c r="A238" s="37"/>
      <c r="B238" s="9">
        <v>62</v>
      </c>
      <c r="C238" s="9" t="s">
        <v>286</v>
      </c>
      <c r="D238" s="9" t="s">
        <v>39</v>
      </c>
      <c r="E238" s="9" t="s">
        <v>46</v>
      </c>
      <c r="F238" s="9" t="s">
        <v>41</v>
      </c>
      <c r="G238" s="10" t="s">
        <v>42</v>
      </c>
    </row>
    <row r="239" spans="1:7" ht="12.75" x14ac:dyDescent="0.2">
      <c r="A239" s="38"/>
      <c r="B239" s="9">
        <v>62</v>
      </c>
      <c r="C239" s="9" t="s">
        <v>269</v>
      </c>
      <c r="D239" s="9" t="s">
        <v>39</v>
      </c>
      <c r="E239" s="9" t="s">
        <v>46</v>
      </c>
      <c r="F239" s="9" t="s">
        <v>41</v>
      </c>
      <c r="G239" s="10" t="s">
        <v>42</v>
      </c>
    </row>
    <row r="240" spans="1:7" ht="12.75" x14ac:dyDescent="0.2">
      <c r="A240" s="36" t="s">
        <v>34</v>
      </c>
      <c r="B240" s="9">
        <v>62</v>
      </c>
      <c r="C240" s="9" t="s">
        <v>233</v>
      </c>
      <c r="D240" s="9" t="s">
        <v>39</v>
      </c>
      <c r="E240" s="9" t="s">
        <v>46</v>
      </c>
      <c r="F240" s="9" t="s">
        <v>41</v>
      </c>
      <c r="G240" s="10" t="s">
        <v>42</v>
      </c>
    </row>
    <row r="241" spans="1:7" ht="12.75" x14ac:dyDescent="0.2">
      <c r="A241" s="39"/>
      <c r="B241" s="9">
        <v>62</v>
      </c>
      <c r="C241" s="9" t="s">
        <v>287</v>
      </c>
      <c r="D241" s="9" t="s">
        <v>39</v>
      </c>
      <c r="E241" s="9" t="s">
        <v>46</v>
      </c>
      <c r="F241" s="9" t="s">
        <v>41</v>
      </c>
      <c r="G241" s="10" t="s">
        <v>42</v>
      </c>
    </row>
    <row r="242" spans="1:7" ht="12.75" x14ac:dyDescent="0.2">
      <c r="A242" s="37"/>
      <c r="B242" s="9">
        <v>62</v>
      </c>
      <c r="C242" s="9" t="s">
        <v>249</v>
      </c>
      <c r="D242" s="9" t="s">
        <v>39</v>
      </c>
      <c r="E242" s="9" t="s">
        <v>46</v>
      </c>
      <c r="F242" s="9" t="s">
        <v>41</v>
      </c>
      <c r="G242" s="10" t="s">
        <v>42</v>
      </c>
    </row>
    <row r="243" spans="1:7" ht="12.75" x14ac:dyDescent="0.2">
      <c r="A243" s="39"/>
      <c r="B243" s="9">
        <v>62</v>
      </c>
      <c r="C243" s="9" t="s">
        <v>285</v>
      </c>
      <c r="D243" s="9" t="s">
        <v>39</v>
      </c>
      <c r="E243" s="9" t="s">
        <v>46</v>
      </c>
      <c r="F243" s="9" t="s">
        <v>41</v>
      </c>
      <c r="G243" s="10" t="s">
        <v>42</v>
      </c>
    </row>
    <row r="244" spans="1:7" ht="12.75" x14ac:dyDescent="0.2">
      <c r="A244" s="37"/>
      <c r="B244" s="9">
        <v>62</v>
      </c>
      <c r="C244" s="9" t="s">
        <v>288</v>
      </c>
      <c r="D244" s="9" t="s">
        <v>39</v>
      </c>
      <c r="E244" s="9" t="s">
        <v>46</v>
      </c>
      <c r="F244" s="9" t="s">
        <v>41</v>
      </c>
      <c r="G244" s="10" t="s">
        <v>42</v>
      </c>
    </row>
    <row r="245" spans="1:7" ht="12.75" x14ac:dyDescent="0.2">
      <c r="A245" s="39"/>
      <c r="B245" s="9">
        <v>62</v>
      </c>
      <c r="C245" s="9" t="s">
        <v>218</v>
      </c>
      <c r="D245" s="9" t="s">
        <v>39</v>
      </c>
      <c r="E245" s="9" t="s">
        <v>46</v>
      </c>
      <c r="F245" s="9" t="s">
        <v>41</v>
      </c>
      <c r="G245" s="10" t="s">
        <v>42</v>
      </c>
    </row>
    <row r="246" spans="1:7" ht="12.75" x14ac:dyDescent="0.2">
      <c r="A246" s="37"/>
      <c r="B246" s="9">
        <v>62</v>
      </c>
      <c r="C246" s="9" t="s">
        <v>279</v>
      </c>
      <c r="D246" s="9" t="s">
        <v>39</v>
      </c>
      <c r="E246" s="9" t="s">
        <v>46</v>
      </c>
      <c r="F246" s="9" t="s">
        <v>41</v>
      </c>
      <c r="G246" s="10" t="s">
        <v>42</v>
      </c>
    </row>
    <row r="247" spans="1:7" ht="12.75" x14ac:dyDescent="0.2">
      <c r="A247" s="39"/>
      <c r="B247" s="9">
        <v>62</v>
      </c>
      <c r="C247" s="9" t="s">
        <v>248</v>
      </c>
      <c r="D247" s="9" t="s">
        <v>39</v>
      </c>
      <c r="E247" s="9" t="s">
        <v>46</v>
      </c>
      <c r="F247" s="9" t="s">
        <v>51</v>
      </c>
      <c r="G247" s="10" t="s">
        <v>42</v>
      </c>
    </row>
    <row r="248" spans="1:7" ht="12.75" x14ac:dyDescent="0.2">
      <c r="A248" s="37"/>
      <c r="B248" s="9">
        <v>62</v>
      </c>
      <c r="C248" s="9" t="s">
        <v>217</v>
      </c>
      <c r="D248" s="9" t="s">
        <v>39</v>
      </c>
      <c r="E248" s="9" t="s">
        <v>46</v>
      </c>
      <c r="F248" s="9" t="s">
        <v>41</v>
      </c>
      <c r="G248" s="10" t="s">
        <v>42</v>
      </c>
    </row>
    <row r="249" spans="1:7" ht="12.75" x14ac:dyDescent="0.2">
      <c r="A249" s="39"/>
      <c r="B249" s="9">
        <v>62</v>
      </c>
      <c r="C249" s="9" t="s">
        <v>215</v>
      </c>
      <c r="D249" s="9" t="s">
        <v>39</v>
      </c>
      <c r="E249" s="9" t="s">
        <v>46</v>
      </c>
      <c r="F249" s="9" t="s">
        <v>41</v>
      </c>
      <c r="G249" s="10" t="s">
        <v>42</v>
      </c>
    </row>
    <row r="250" spans="1:7" ht="12.75" x14ac:dyDescent="0.2">
      <c r="A250" s="37"/>
      <c r="B250" s="9">
        <v>62</v>
      </c>
      <c r="C250" s="9" t="s">
        <v>239</v>
      </c>
      <c r="D250" s="9" t="s">
        <v>39</v>
      </c>
      <c r="E250" s="9" t="s">
        <v>46</v>
      </c>
      <c r="F250" s="9" t="s">
        <v>41</v>
      </c>
      <c r="G250" s="10" t="s">
        <v>42</v>
      </c>
    </row>
    <row r="251" spans="1:7" ht="12.75" x14ac:dyDescent="0.2">
      <c r="A251" s="39"/>
      <c r="B251" s="9">
        <v>62</v>
      </c>
      <c r="C251" s="9" t="s">
        <v>289</v>
      </c>
      <c r="D251" s="9" t="s">
        <v>39</v>
      </c>
      <c r="E251" s="9" t="s">
        <v>46</v>
      </c>
      <c r="F251" s="9" t="s">
        <v>41</v>
      </c>
      <c r="G251" s="10" t="s">
        <v>42</v>
      </c>
    </row>
    <row r="252" spans="1:7" ht="12.75" x14ac:dyDescent="0.2">
      <c r="A252" s="37"/>
      <c r="B252" s="9">
        <v>62</v>
      </c>
      <c r="C252" s="9" t="s">
        <v>225</v>
      </c>
      <c r="D252" s="9" t="s">
        <v>39</v>
      </c>
      <c r="E252" s="9" t="s">
        <v>46</v>
      </c>
      <c r="F252" s="9" t="s">
        <v>41</v>
      </c>
      <c r="G252" s="10" t="s">
        <v>42</v>
      </c>
    </row>
    <row r="253" spans="1:7" ht="12.75" x14ac:dyDescent="0.2">
      <c r="A253" s="39"/>
      <c r="B253" s="9">
        <v>62</v>
      </c>
      <c r="C253" s="9" t="s">
        <v>290</v>
      </c>
      <c r="D253" s="9" t="s">
        <v>39</v>
      </c>
      <c r="E253" s="9" t="s">
        <v>46</v>
      </c>
      <c r="F253" s="9" t="s">
        <v>41</v>
      </c>
      <c r="G253" s="10" t="s">
        <v>42</v>
      </c>
    </row>
    <row r="254" spans="1:7" ht="12.75" x14ac:dyDescent="0.2">
      <c r="A254" s="37"/>
      <c r="B254" s="9">
        <v>62</v>
      </c>
      <c r="C254" s="9" t="s">
        <v>291</v>
      </c>
      <c r="D254" s="9" t="s">
        <v>39</v>
      </c>
      <c r="E254" s="9" t="s">
        <v>46</v>
      </c>
      <c r="F254" s="9" t="s">
        <v>41</v>
      </c>
      <c r="G254" s="10" t="s">
        <v>42</v>
      </c>
    </row>
    <row r="255" spans="1:7" ht="12.75" x14ac:dyDescent="0.2">
      <c r="A255" s="39"/>
      <c r="B255" s="9">
        <v>62</v>
      </c>
      <c r="C255" s="9" t="s">
        <v>292</v>
      </c>
      <c r="D255" s="9" t="s">
        <v>39</v>
      </c>
      <c r="E255" s="9" t="s">
        <v>46</v>
      </c>
      <c r="F255" s="9" t="s">
        <v>41</v>
      </c>
      <c r="G255" s="10" t="s">
        <v>42</v>
      </c>
    </row>
    <row r="256" spans="1:7" ht="12.75" x14ac:dyDescent="0.2">
      <c r="A256" s="40"/>
      <c r="B256" s="9">
        <v>62</v>
      </c>
      <c r="C256" s="9" t="s">
        <v>293</v>
      </c>
      <c r="D256" s="9" t="s">
        <v>39</v>
      </c>
      <c r="E256" s="9" t="s">
        <v>46</v>
      </c>
      <c r="F256" s="9" t="s">
        <v>41</v>
      </c>
      <c r="G256" s="10" t="s">
        <v>42</v>
      </c>
    </row>
    <row r="257" spans="1:7" ht="12.75" x14ac:dyDescent="0.2">
      <c r="A257" s="36" t="s">
        <v>35</v>
      </c>
      <c r="B257" s="9">
        <v>62</v>
      </c>
      <c r="C257" s="9" t="s">
        <v>92</v>
      </c>
      <c r="D257" s="9" t="s">
        <v>39</v>
      </c>
      <c r="E257" s="9" t="s">
        <v>40</v>
      </c>
      <c r="F257" s="9" t="s">
        <v>41</v>
      </c>
      <c r="G257" s="10" t="s">
        <v>42</v>
      </c>
    </row>
    <row r="258" spans="1:7" ht="12.75" x14ac:dyDescent="0.2">
      <c r="A258" s="37"/>
      <c r="B258" s="9">
        <v>62</v>
      </c>
      <c r="C258" s="9" t="s">
        <v>292</v>
      </c>
      <c r="D258" s="9" t="s">
        <v>39</v>
      </c>
      <c r="E258" s="9" t="s">
        <v>40</v>
      </c>
      <c r="F258" s="9" t="s">
        <v>41</v>
      </c>
      <c r="G258" s="10" t="s">
        <v>42</v>
      </c>
    </row>
    <row r="259" spans="1:7" ht="12.75" x14ac:dyDescent="0.2">
      <c r="A259" s="39"/>
      <c r="B259" s="9">
        <v>62</v>
      </c>
      <c r="C259" s="9" t="s">
        <v>291</v>
      </c>
      <c r="D259" s="9" t="s">
        <v>39</v>
      </c>
      <c r="E259" s="9" t="s">
        <v>40</v>
      </c>
      <c r="F259" s="9" t="s">
        <v>51</v>
      </c>
      <c r="G259" s="10" t="s">
        <v>42</v>
      </c>
    </row>
    <row r="260" spans="1:7" ht="12.75" x14ac:dyDescent="0.2">
      <c r="A260" s="37"/>
      <c r="B260" s="9">
        <v>62</v>
      </c>
      <c r="C260" s="9" t="s">
        <v>225</v>
      </c>
      <c r="D260" s="9" t="s">
        <v>39</v>
      </c>
      <c r="E260" s="9" t="s">
        <v>40</v>
      </c>
      <c r="F260" s="9" t="s">
        <v>41</v>
      </c>
      <c r="G260" s="10" t="s">
        <v>42</v>
      </c>
    </row>
    <row r="261" spans="1:7" ht="12.75" x14ac:dyDescent="0.2">
      <c r="A261" s="39"/>
      <c r="B261" s="9">
        <v>62</v>
      </c>
      <c r="C261" s="9" t="s">
        <v>294</v>
      </c>
      <c r="D261" s="9" t="s">
        <v>39</v>
      </c>
      <c r="E261" s="9" t="s">
        <v>40</v>
      </c>
      <c r="F261" s="9" t="s">
        <v>41</v>
      </c>
      <c r="G261" s="10" t="s">
        <v>42</v>
      </c>
    </row>
    <row r="262" spans="1:7" ht="12.75" x14ac:dyDescent="0.2">
      <c r="A262" s="37"/>
      <c r="B262" s="9">
        <v>62</v>
      </c>
      <c r="C262" s="9" t="s">
        <v>239</v>
      </c>
      <c r="D262" s="9" t="s">
        <v>39</v>
      </c>
      <c r="E262" s="9" t="s">
        <v>40</v>
      </c>
      <c r="F262" s="9" t="s">
        <v>51</v>
      </c>
      <c r="G262" s="10" t="s">
        <v>42</v>
      </c>
    </row>
    <row r="263" spans="1:7" ht="12.75" x14ac:dyDescent="0.2">
      <c r="A263" s="38"/>
      <c r="B263" s="9">
        <v>62</v>
      </c>
      <c r="C263" s="9" t="s">
        <v>215</v>
      </c>
      <c r="D263" s="9" t="s">
        <v>39</v>
      </c>
      <c r="E263" s="9" t="s">
        <v>40</v>
      </c>
      <c r="F263" s="9" t="s">
        <v>41</v>
      </c>
      <c r="G263" s="10" t="s">
        <v>42</v>
      </c>
    </row>
    <row r="264" spans="1:7" ht="12.75" x14ac:dyDescent="0.2">
      <c r="A264" s="36" t="s">
        <v>36</v>
      </c>
      <c r="B264" s="9">
        <v>62</v>
      </c>
      <c r="C264" s="9" t="s">
        <v>291</v>
      </c>
      <c r="D264" s="9" t="s">
        <v>39</v>
      </c>
      <c r="E264" s="9" t="s">
        <v>46</v>
      </c>
      <c r="F264" s="9" t="s">
        <v>51</v>
      </c>
      <c r="G264" s="10" t="s">
        <v>42</v>
      </c>
    </row>
    <row r="265" spans="1:7" ht="12.75" x14ac:dyDescent="0.2">
      <c r="A265" s="39"/>
      <c r="B265" s="9">
        <v>62</v>
      </c>
      <c r="C265" s="9" t="s">
        <v>225</v>
      </c>
      <c r="D265" s="9" t="s">
        <v>39</v>
      </c>
      <c r="E265" s="9" t="s">
        <v>46</v>
      </c>
      <c r="F265" s="9" t="s">
        <v>41</v>
      </c>
      <c r="G265" s="10" t="s">
        <v>42</v>
      </c>
    </row>
    <row r="266" spans="1:7" ht="12.75" x14ac:dyDescent="0.2">
      <c r="A266" s="37"/>
      <c r="B266" s="9">
        <v>62</v>
      </c>
      <c r="C266" s="9" t="s">
        <v>295</v>
      </c>
      <c r="D266" s="9" t="s">
        <v>39</v>
      </c>
      <c r="E266" s="9" t="s">
        <v>46</v>
      </c>
      <c r="F266" s="9" t="s">
        <v>41</v>
      </c>
      <c r="G266" s="10" t="s">
        <v>42</v>
      </c>
    </row>
    <row r="267" spans="1:7" ht="12.75" x14ac:dyDescent="0.2">
      <c r="A267" s="39"/>
      <c r="B267" s="9">
        <v>62</v>
      </c>
      <c r="C267" s="9" t="s">
        <v>294</v>
      </c>
      <c r="D267" s="9" t="s">
        <v>39</v>
      </c>
      <c r="E267" s="9" t="s">
        <v>46</v>
      </c>
      <c r="F267" s="9" t="s">
        <v>41</v>
      </c>
      <c r="G267" s="10" t="s">
        <v>42</v>
      </c>
    </row>
    <row r="268" spans="1:7" ht="12.75" x14ac:dyDescent="0.2">
      <c r="A268" s="40"/>
      <c r="B268" s="9">
        <v>62</v>
      </c>
      <c r="C268" s="9" t="s">
        <v>215</v>
      </c>
      <c r="D268" s="9" t="s">
        <v>39</v>
      </c>
      <c r="E268" s="9" t="s">
        <v>46</v>
      </c>
      <c r="F268" s="9" t="s">
        <v>41</v>
      </c>
      <c r="G268" s="10" t="s">
        <v>42</v>
      </c>
    </row>
    <row r="269" spans="1:7" ht="12.75" x14ac:dyDescent="0.2">
      <c r="A269" s="11"/>
      <c r="B269" s="12"/>
      <c r="C269" s="12"/>
      <c r="D269" s="12"/>
      <c r="E269" s="12"/>
      <c r="F269" s="12"/>
      <c r="G269" s="13"/>
    </row>
    <row r="270" spans="1:7" ht="12.75" x14ac:dyDescent="0.2">
      <c r="A270" s="11"/>
      <c r="B270" s="12"/>
      <c r="C270" s="12"/>
      <c r="D270" s="12"/>
      <c r="E270" s="12"/>
      <c r="F270" s="12"/>
      <c r="G270" s="13"/>
    </row>
    <row r="271" spans="1:7" ht="12.75" x14ac:dyDescent="0.2">
      <c r="A271" s="11"/>
      <c r="B271" s="12"/>
      <c r="C271" s="12"/>
      <c r="D271" s="12"/>
      <c r="E271" s="12"/>
      <c r="F271" s="12"/>
      <c r="G271" s="13"/>
    </row>
  </sheetData>
  <mergeCells count="17">
    <mergeCell ref="A34:A55"/>
    <mergeCell ref="A56:A76"/>
    <mergeCell ref="A240:A256"/>
    <mergeCell ref="A257:A263"/>
    <mergeCell ref="A264:A268"/>
    <mergeCell ref="A77:A100"/>
    <mergeCell ref="A101:A125"/>
    <mergeCell ref="A126:A153"/>
    <mergeCell ref="A154:A177"/>
    <mergeCell ref="A178:A197"/>
    <mergeCell ref="A198:A218"/>
    <mergeCell ref="A219:A239"/>
    <mergeCell ref="A1:G1"/>
    <mergeCell ref="A9:A12"/>
    <mergeCell ref="A13:A14"/>
    <mergeCell ref="A15:A19"/>
    <mergeCell ref="A20:A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67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9" t="s">
        <v>20</v>
      </c>
      <c r="B9" s="9">
        <v>63</v>
      </c>
      <c r="C9" s="9" t="s">
        <v>296</v>
      </c>
      <c r="D9" s="9" t="s">
        <v>94</v>
      </c>
      <c r="E9" s="9" t="s">
        <v>46</v>
      </c>
      <c r="F9" s="9" t="s">
        <v>47</v>
      </c>
      <c r="G9" s="10" t="s">
        <v>42</v>
      </c>
    </row>
    <row r="10" spans="1:7" x14ac:dyDescent="0.2">
      <c r="A10" s="36" t="s">
        <v>22</v>
      </c>
      <c r="B10" s="9">
        <v>63</v>
      </c>
      <c r="C10" s="9" t="s">
        <v>227</v>
      </c>
      <c r="D10" s="9" t="s">
        <v>39</v>
      </c>
      <c r="E10" s="9" t="s">
        <v>46</v>
      </c>
      <c r="F10" s="9" t="s">
        <v>41</v>
      </c>
      <c r="G10" s="10" t="s">
        <v>42</v>
      </c>
    </row>
    <row r="11" spans="1:7" x14ac:dyDescent="0.2">
      <c r="A11" s="39"/>
      <c r="B11" s="9">
        <v>63</v>
      </c>
      <c r="C11" s="9" t="s">
        <v>216</v>
      </c>
      <c r="D11" s="9" t="s">
        <v>39</v>
      </c>
      <c r="E11" s="9" t="s">
        <v>46</v>
      </c>
      <c r="F11" s="9" t="s">
        <v>41</v>
      </c>
      <c r="G11" s="10" t="s">
        <v>42</v>
      </c>
    </row>
    <row r="12" spans="1:7" x14ac:dyDescent="0.2">
      <c r="A12" s="37"/>
      <c r="B12" s="9">
        <v>63</v>
      </c>
      <c r="C12" s="9" t="s">
        <v>218</v>
      </c>
      <c r="D12" s="9" t="s">
        <v>39</v>
      </c>
      <c r="E12" s="9" t="s">
        <v>46</v>
      </c>
      <c r="F12" s="9" t="s">
        <v>51</v>
      </c>
      <c r="G12" s="10" t="s">
        <v>42</v>
      </c>
    </row>
    <row r="13" spans="1:7" x14ac:dyDescent="0.2">
      <c r="A13" s="38"/>
      <c r="B13" s="9">
        <v>63</v>
      </c>
      <c r="C13" s="9" t="s">
        <v>297</v>
      </c>
      <c r="D13" s="9" t="s">
        <v>39</v>
      </c>
      <c r="E13" s="9" t="s">
        <v>46</v>
      </c>
      <c r="F13" s="9" t="s">
        <v>51</v>
      </c>
      <c r="G13" s="10" t="s">
        <v>42</v>
      </c>
    </row>
    <row r="14" spans="1:7" x14ac:dyDescent="0.2">
      <c r="A14" s="36" t="s">
        <v>23</v>
      </c>
      <c r="B14" s="9">
        <v>63</v>
      </c>
      <c r="C14" s="9" t="s">
        <v>298</v>
      </c>
      <c r="D14" s="9" t="s">
        <v>39</v>
      </c>
      <c r="E14" s="9" t="s">
        <v>40</v>
      </c>
      <c r="F14" s="9" t="s">
        <v>41</v>
      </c>
      <c r="G14" s="10" t="s">
        <v>42</v>
      </c>
    </row>
    <row r="15" spans="1:7" x14ac:dyDescent="0.2">
      <c r="A15" s="39"/>
      <c r="B15" s="9">
        <v>63</v>
      </c>
      <c r="C15" s="9" t="s">
        <v>227</v>
      </c>
      <c r="D15" s="9" t="s">
        <v>39</v>
      </c>
      <c r="E15" s="9" t="s">
        <v>40</v>
      </c>
      <c r="F15" s="9" t="s">
        <v>41</v>
      </c>
      <c r="G15" s="10" t="s">
        <v>42</v>
      </c>
    </row>
    <row r="16" spans="1:7" x14ac:dyDescent="0.2">
      <c r="A16" s="40"/>
      <c r="B16" s="9">
        <v>63</v>
      </c>
      <c r="C16" s="9" t="s">
        <v>216</v>
      </c>
      <c r="D16" s="9" t="s">
        <v>39</v>
      </c>
      <c r="E16" s="9" t="s">
        <v>40</v>
      </c>
      <c r="F16" s="9" t="s">
        <v>41</v>
      </c>
      <c r="G16" s="10" t="s">
        <v>42</v>
      </c>
    </row>
    <row r="17" spans="1:7" x14ac:dyDescent="0.2">
      <c r="A17" s="36" t="s">
        <v>24</v>
      </c>
      <c r="B17" s="9">
        <v>63</v>
      </c>
      <c r="C17" s="9" t="s">
        <v>251</v>
      </c>
      <c r="D17" s="9" t="s">
        <v>39</v>
      </c>
      <c r="E17" s="9" t="s">
        <v>46</v>
      </c>
      <c r="F17" s="9" t="s">
        <v>51</v>
      </c>
      <c r="G17" s="10" t="s">
        <v>42</v>
      </c>
    </row>
    <row r="18" spans="1:7" x14ac:dyDescent="0.2">
      <c r="A18" s="37"/>
      <c r="B18" s="9">
        <v>63</v>
      </c>
      <c r="C18" s="9" t="s">
        <v>252</v>
      </c>
      <c r="D18" s="9" t="s">
        <v>39</v>
      </c>
      <c r="E18" s="9" t="s">
        <v>46</v>
      </c>
      <c r="F18" s="9" t="s">
        <v>51</v>
      </c>
      <c r="G18" s="10" t="s">
        <v>42</v>
      </c>
    </row>
    <row r="19" spans="1:7" x14ac:dyDescent="0.2">
      <c r="A19" s="38"/>
      <c r="B19" s="9">
        <v>63</v>
      </c>
      <c r="C19" s="9" t="s">
        <v>296</v>
      </c>
      <c r="D19" s="9" t="s">
        <v>94</v>
      </c>
      <c r="E19" s="9" t="s">
        <v>46</v>
      </c>
      <c r="F19" s="9" t="s">
        <v>47</v>
      </c>
      <c r="G19" s="10" t="s">
        <v>42</v>
      </c>
    </row>
    <row r="20" spans="1:7" x14ac:dyDescent="0.2">
      <c r="A20" s="36" t="s">
        <v>25</v>
      </c>
      <c r="B20" s="9">
        <v>63</v>
      </c>
      <c r="C20" s="9" t="s">
        <v>299</v>
      </c>
      <c r="D20" s="9" t="s">
        <v>39</v>
      </c>
      <c r="E20" s="9" t="s">
        <v>46</v>
      </c>
      <c r="F20" s="9" t="s">
        <v>47</v>
      </c>
      <c r="G20" s="10" t="s">
        <v>42</v>
      </c>
    </row>
    <row r="21" spans="1:7" x14ac:dyDescent="0.2">
      <c r="A21" s="38"/>
      <c r="B21" s="9">
        <v>63</v>
      </c>
      <c r="C21" s="9" t="s">
        <v>300</v>
      </c>
      <c r="D21" s="9" t="s">
        <v>94</v>
      </c>
      <c r="E21" s="9" t="s">
        <v>46</v>
      </c>
      <c r="F21" s="9" t="s">
        <v>47</v>
      </c>
      <c r="G21" s="10" t="s">
        <v>42</v>
      </c>
    </row>
    <row r="22" spans="1:7" x14ac:dyDescent="0.2">
      <c r="A22" s="36" t="s">
        <v>26</v>
      </c>
      <c r="B22" s="9">
        <v>63</v>
      </c>
      <c r="C22" s="9" t="s">
        <v>301</v>
      </c>
      <c r="D22" s="9" t="s">
        <v>39</v>
      </c>
      <c r="E22" s="9" t="s">
        <v>46</v>
      </c>
      <c r="F22" s="9" t="s">
        <v>47</v>
      </c>
      <c r="G22" s="10" t="s">
        <v>42</v>
      </c>
    </row>
    <row r="23" spans="1:7" x14ac:dyDescent="0.2">
      <c r="A23" s="39"/>
      <c r="B23" s="9">
        <v>63</v>
      </c>
      <c r="C23" s="9" t="s">
        <v>252</v>
      </c>
      <c r="D23" s="9" t="s">
        <v>39</v>
      </c>
      <c r="E23" s="9" t="s">
        <v>46</v>
      </c>
      <c r="F23" s="9" t="s">
        <v>51</v>
      </c>
      <c r="G23" s="10" t="s">
        <v>42</v>
      </c>
    </row>
    <row r="24" spans="1:7" x14ac:dyDescent="0.2">
      <c r="A24" s="40"/>
      <c r="B24" s="9">
        <v>63</v>
      </c>
      <c r="C24" s="9" t="s">
        <v>296</v>
      </c>
      <c r="D24" s="9" t="s">
        <v>94</v>
      </c>
      <c r="E24" s="9" t="s">
        <v>46</v>
      </c>
      <c r="F24" s="9" t="s">
        <v>47</v>
      </c>
      <c r="G24" s="10" t="s">
        <v>42</v>
      </c>
    </row>
    <row r="25" spans="1:7" x14ac:dyDescent="0.2">
      <c r="A25" s="36" t="s">
        <v>27</v>
      </c>
      <c r="B25" s="9">
        <v>63</v>
      </c>
      <c r="C25" s="9" t="s">
        <v>302</v>
      </c>
      <c r="D25" s="9" t="s">
        <v>39</v>
      </c>
      <c r="E25" s="9" t="s">
        <v>46</v>
      </c>
      <c r="F25" s="9" t="s">
        <v>47</v>
      </c>
      <c r="G25" s="10" t="s">
        <v>42</v>
      </c>
    </row>
    <row r="26" spans="1:7" x14ac:dyDescent="0.2">
      <c r="A26" s="37"/>
      <c r="B26" s="9">
        <v>63</v>
      </c>
      <c r="C26" s="9" t="s">
        <v>303</v>
      </c>
      <c r="D26" s="9" t="s">
        <v>39</v>
      </c>
      <c r="E26" s="9" t="s">
        <v>46</v>
      </c>
      <c r="F26" s="9" t="s">
        <v>47</v>
      </c>
      <c r="G26" s="10" t="s">
        <v>42</v>
      </c>
    </row>
    <row r="27" spans="1:7" x14ac:dyDescent="0.2">
      <c r="A27" s="38"/>
      <c r="B27" s="9">
        <v>63</v>
      </c>
      <c r="C27" s="9" t="s">
        <v>296</v>
      </c>
      <c r="D27" s="9" t="s">
        <v>94</v>
      </c>
      <c r="E27" s="9" t="s">
        <v>46</v>
      </c>
      <c r="F27" s="9" t="s">
        <v>47</v>
      </c>
      <c r="G27" s="10" t="s">
        <v>42</v>
      </c>
    </row>
    <row r="28" spans="1:7" x14ac:dyDescent="0.2">
      <c r="A28" s="36" t="s">
        <v>28</v>
      </c>
      <c r="B28" s="9">
        <v>63</v>
      </c>
      <c r="C28" s="9" t="s">
        <v>251</v>
      </c>
      <c r="D28" s="9" t="s">
        <v>39</v>
      </c>
      <c r="E28" s="9" t="s">
        <v>46</v>
      </c>
      <c r="F28" s="9" t="s">
        <v>51</v>
      </c>
      <c r="G28" s="10" t="s">
        <v>42</v>
      </c>
    </row>
    <row r="29" spans="1:7" x14ac:dyDescent="0.2">
      <c r="A29" s="39"/>
      <c r="B29" s="9">
        <v>63</v>
      </c>
      <c r="C29" s="9" t="s">
        <v>252</v>
      </c>
      <c r="D29" s="9" t="s">
        <v>39</v>
      </c>
      <c r="E29" s="9" t="s">
        <v>46</v>
      </c>
      <c r="F29" s="9" t="s">
        <v>51</v>
      </c>
      <c r="G29" s="10" t="s">
        <v>42</v>
      </c>
    </row>
    <row r="30" spans="1:7" x14ac:dyDescent="0.2">
      <c r="A30" s="37"/>
      <c r="B30" s="9">
        <v>63</v>
      </c>
      <c r="C30" s="9" t="s">
        <v>304</v>
      </c>
      <c r="D30" s="9" t="s">
        <v>39</v>
      </c>
      <c r="E30" s="9" t="s">
        <v>46</v>
      </c>
      <c r="F30" s="9" t="s">
        <v>47</v>
      </c>
      <c r="G30" s="10" t="s">
        <v>42</v>
      </c>
    </row>
    <row r="31" spans="1:7" x14ac:dyDescent="0.2">
      <c r="A31" s="38"/>
      <c r="B31" s="9">
        <v>63</v>
      </c>
      <c r="C31" s="9" t="s">
        <v>305</v>
      </c>
      <c r="D31" s="9" t="s">
        <v>94</v>
      </c>
      <c r="E31" s="9" t="s">
        <v>46</v>
      </c>
      <c r="F31" s="9" t="s">
        <v>47</v>
      </c>
      <c r="G31" s="10" t="s">
        <v>42</v>
      </c>
    </row>
    <row r="32" spans="1:7" x14ac:dyDescent="0.2">
      <c r="A32" s="9" t="s">
        <v>29</v>
      </c>
      <c r="B32" s="9">
        <v>63</v>
      </c>
      <c r="C32" s="9" t="s">
        <v>296</v>
      </c>
      <c r="D32" s="9" t="s">
        <v>94</v>
      </c>
      <c r="E32" s="9" t="s">
        <v>46</v>
      </c>
      <c r="F32" s="9" t="s">
        <v>47</v>
      </c>
      <c r="G32" s="10" t="s">
        <v>42</v>
      </c>
    </row>
    <row r="33" spans="1:7" x14ac:dyDescent="0.2">
      <c r="A33" s="36" t="s">
        <v>30</v>
      </c>
      <c r="B33" s="9">
        <v>63</v>
      </c>
      <c r="C33" s="9" t="s">
        <v>251</v>
      </c>
      <c r="D33" s="9" t="s">
        <v>39</v>
      </c>
      <c r="E33" s="9" t="s">
        <v>46</v>
      </c>
      <c r="F33" s="9" t="s">
        <v>51</v>
      </c>
      <c r="G33" s="10" t="s">
        <v>42</v>
      </c>
    </row>
    <row r="34" spans="1:7" x14ac:dyDescent="0.2">
      <c r="A34" s="37"/>
      <c r="B34" s="9">
        <v>63</v>
      </c>
      <c r="C34" s="9" t="s">
        <v>252</v>
      </c>
      <c r="D34" s="9" t="s">
        <v>39</v>
      </c>
      <c r="E34" s="9" t="s">
        <v>46</v>
      </c>
      <c r="F34" s="9" t="s">
        <v>51</v>
      </c>
      <c r="G34" s="10" t="s">
        <v>42</v>
      </c>
    </row>
    <row r="35" spans="1:7" x14ac:dyDescent="0.2">
      <c r="A35" s="38"/>
      <c r="B35" s="9">
        <v>63</v>
      </c>
      <c r="C35" s="9" t="s">
        <v>305</v>
      </c>
      <c r="D35" s="9" t="s">
        <v>39</v>
      </c>
      <c r="E35" s="9" t="s">
        <v>46</v>
      </c>
      <c r="F35" s="9" t="s">
        <v>47</v>
      </c>
      <c r="G35" s="10" t="s">
        <v>42</v>
      </c>
    </row>
    <row r="36" spans="1:7" x14ac:dyDescent="0.2">
      <c r="A36" s="36" t="s">
        <v>31</v>
      </c>
      <c r="B36" s="9">
        <v>63</v>
      </c>
      <c r="C36" s="9" t="s">
        <v>306</v>
      </c>
      <c r="D36" s="9" t="s">
        <v>39</v>
      </c>
      <c r="E36" s="9" t="s">
        <v>46</v>
      </c>
      <c r="F36" s="9" t="s">
        <v>41</v>
      </c>
      <c r="G36" s="10" t="s">
        <v>42</v>
      </c>
    </row>
    <row r="37" spans="1:7" ht="12.75" x14ac:dyDescent="0.2">
      <c r="A37" s="38"/>
      <c r="B37" s="9">
        <v>63</v>
      </c>
      <c r="C37" s="9" t="s">
        <v>252</v>
      </c>
      <c r="D37" s="9" t="s">
        <v>39</v>
      </c>
      <c r="E37" s="9" t="s">
        <v>46</v>
      </c>
      <c r="F37" s="9" t="s">
        <v>41</v>
      </c>
      <c r="G37" s="10" t="s">
        <v>42</v>
      </c>
    </row>
    <row r="38" spans="1:7" ht="12.75" x14ac:dyDescent="0.2">
      <c r="A38" s="36" t="s">
        <v>32</v>
      </c>
      <c r="B38" s="9">
        <v>63</v>
      </c>
      <c r="C38" s="9" t="s">
        <v>251</v>
      </c>
      <c r="D38" s="9" t="s">
        <v>39</v>
      </c>
      <c r="E38" s="9" t="s">
        <v>46</v>
      </c>
      <c r="F38" s="9" t="s">
        <v>51</v>
      </c>
      <c r="G38" s="10" t="s">
        <v>42</v>
      </c>
    </row>
    <row r="39" spans="1:7" ht="12.75" x14ac:dyDescent="0.2">
      <c r="A39" s="39"/>
      <c r="B39" s="9">
        <v>63</v>
      </c>
      <c r="C39" s="9" t="s">
        <v>252</v>
      </c>
      <c r="D39" s="9" t="s">
        <v>39</v>
      </c>
      <c r="E39" s="9" t="s">
        <v>46</v>
      </c>
      <c r="F39" s="9" t="s">
        <v>51</v>
      </c>
      <c r="G39" s="10" t="s">
        <v>42</v>
      </c>
    </row>
    <row r="40" spans="1:7" ht="12.75" x14ac:dyDescent="0.2">
      <c r="A40" s="37"/>
      <c r="B40" s="9">
        <v>63</v>
      </c>
      <c r="C40" s="9" t="s">
        <v>307</v>
      </c>
      <c r="D40" s="9" t="s">
        <v>39</v>
      </c>
      <c r="E40" s="9" t="s">
        <v>46</v>
      </c>
      <c r="F40" s="9" t="s">
        <v>47</v>
      </c>
      <c r="G40" s="10" t="s">
        <v>42</v>
      </c>
    </row>
    <row r="41" spans="1:7" ht="12.75" x14ac:dyDescent="0.2">
      <c r="A41" s="39"/>
      <c r="B41" s="9">
        <v>63</v>
      </c>
      <c r="C41" s="9" t="s">
        <v>308</v>
      </c>
      <c r="D41" s="9" t="s">
        <v>39</v>
      </c>
      <c r="E41" s="9" t="s">
        <v>46</v>
      </c>
      <c r="F41" s="9" t="s">
        <v>47</v>
      </c>
      <c r="G41" s="10" t="s">
        <v>42</v>
      </c>
    </row>
    <row r="42" spans="1:7" ht="12.75" x14ac:dyDescent="0.2">
      <c r="A42" s="37"/>
      <c r="B42" s="9">
        <v>63</v>
      </c>
      <c r="C42" s="9" t="s">
        <v>231</v>
      </c>
      <c r="D42" s="9" t="s">
        <v>39</v>
      </c>
      <c r="E42" s="9" t="s">
        <v>46</v>
      </c>
      <c r="F42" s="9" t="s">
        <v>47</v>
      </c>
      <c r="G42" s="10" t="s">
        <v>42</v>
      </c>
    </row>
    <row r="43" spans="1:7" ht="12.75" x14ac:dyDescent="0.2">
      <c r="A43" s="38"/>
      <c r="B43" s="9">
        <v>63</v>
      </c>
      <c r="C43" s="9" t="s">
        <v>296</v>
      </c>
      <c r="D43" s="9" t="s">
        <v>94</v>
      </c>
      <c r="E43" s="9" t="s">
        <v>46</v>
      </c>
      <c r="F43" s="9" t="s">
        <v>47</v>
      </c>
      <c r="G43" s="10" t="s">
        <v>42</v>
      </c>
    </row>
    <row r="44" spans="1:7" ht="12.75" x14ac:dyDescent="0.2">
      <c r="A44" s="36" t="s">
        <v>33</v>
      </c>
      <c r="B44" s="9">
        <v>63</v>
      </c>
      <c r="C44" s="9" t="s">
        <v>251</v>
      </c>
      <c r="D44" s="9" t="s">
        <v>39</v>
      </c>
      <c r="E44" s="9" t="s">
        <v>46</v>
      </c>
      <c r="F44" s="9" t="s">
        <v>41</v>
      </c>
      <c r="G44" s="10" t="s">
        <v>42</v>
      </c>
    </row>
    <row r="45" spans="1:7" ht="12.75" x14ac:dyDescent="0.2">
      <c r="A45" s="38"/>
      <c r="B45" s="9">
        <v>63</v>
      </c>
      <c r="C45" s="9" t="s">
        <v>252</v>
      </c>
      <c r="D45" s="9" t="s">
        <v>39</v>
      </c>
      <c r="E45" s="9" t="s">
        <v>46</v>
      </c>
      <c r="F45" s="9" t="s">
        <v>41</v>
      </c>
      <c r="G45" s="10" t="s">
        <v>42</v>
      </c>
    </row>
    <row r="46" spans="1:7" ht="12.75" x14ac:dyDescent="0.2">
      <c r="A46" s="9" t="s">
        <v>34</v>
      </c>
      <c r="B46" s="9">
        <v>63</v>
      </c>
      <c r="C46" s="9" t="s">
        <v>252</v>
      </c>
      <c r="D46" s="9" t="s">
        <v>39</v>
      </c>
      <c r="E46" s="9" t="s">
        <v>46</v>
      </c>
      <c r="F46" s="9" t="s">
        <v>41</v>
      </c>
      <c r="G46" s="10" t="s">
        <v>42</v>
      </c>
    </row>
    <row r="47" spans="1:7" ht="12.75" x14ac:dyDescent="0.2">
      <c r="A47" s="36" t="s">
        <v>35</v>
      </c>
      <c r="B47" s="9">
        <v>63</v>
      </c>
      <c r="C47" s="9" t="s">
        <v>217</v>
      </c>
      <c r="D47" s="9" t="s">
        <v>39</v>
      </c>
      <c r="E47" s="9" t="s">
        <v>40</v>
      </c>
      <c r="F47" s="9" t="s">
        <v>51</v>
      </c>
      <c r="G47" s="10" t="s">
        <v>42</v>
      </c>
    </row>
    <row r="48" spans="1:7" ht="12.75" x14ac:dyDescent="0.2">
      <c r="A48" s="37"/>
      <c r="B48" s="9">
        <v>63</v>
      </c>
      <c r="C48" s="9" t="s">
        <v>248</v>
      </c>
      <c r="D48" s="9" t="s">
        <v>39</v>
      </c>
      <c r="E48" s="9" t="s">
        <v>40</v>
      </c>
      <c r="F48" s="9" t="s">
        <v>51</v>
      </c>
      <c r="G48" s="10" t="s">
        <v>42</v>
      </c>
    </row>
    <row r="49" spans="1:7" ht="12.75" x14ac:dyDescent="0.2">
      <c r="A49" s="39"/>
      <c r="B49" s="9">
        <v>63</v>
      </c>
      <c r="C49" s="9" t="s">
        <v>279</v>
      </c>
      <c r="D49" s="9" t="s">
        <v>39</v>
      </c>
      <c r="E49" s="9" t="s">
        <v>40</v>
      </c>
      <c r="F49" s="9" t="s">
        <v>41</v>
      </c>
      <c r="G49" s="10" t="s">
        <v>42</v>
      </c>
    </row>
    <row r="50" spans="1:7" ht="12.75" x14ac:dyDescent="0.2">
      <c r="A50" s="37"/>
      <c r="B50" s="9">
        <v>63</v>
      </c>
      <c r="C50" s="9" t="s">
        <v>218</v>
      </c>
      <c r="D50" s="9" t="s">
        <v>39</v>
      </c>
      <c r="E50" s="9" t="s">
        <v>40</v>
      </c>
      <c r="F50" s="9" t="s">
        <v>41</v>
      </c>
      <c r="G50" s="10" t="s">
        <v>42</v>
      </c>
    </row>
    <row r="51" spans="1:7" ht="12.75" x14ac:dyDescent="0.2">
      <c r="A51" s="39"/>
      <c r="B51" s="9">
        <v>63</v>
      </c>
      <c r="C51" s="9" t="s">
        <v>309</v>
      </c>
      <c r="D51" s="9" t="s">
        <v>39</v>
      </c>
      <c r="E51" s="9" t="s">
        <v>40</v>
      </c>
      <c r="F51" s="9" t="s">
        <v>41</v>
      </c>
      <c r="G51" s="10" t="s">
        <v>42</v>
      </c>
    </row>
    <row r="52" spans="1:7" ht="12.75" x14ac:dyDescent="0.2">
      <c r="A52" s="37"/>
      <c r="B52" s="9">
        <v>63</v>
      </c>
      <c r="C52" s="9" t="s">
        <v>310</v>
      </c>
      <c r="D52" s="9" t="s">
        <v>39</v>
      </c>
      <c r="E52" s="9" t="s">
        <v>40</v>
      </c>
      <c r="F52" s="9" t="s">
        <v>41</v>
      </c>
      <c r="G52" s="10" t="s">
        <v>42</v>
      </c>
    </row>
    <row r="53" spans="1:7" ht="12.75" x14ac:dyDescent="0.2">
      <c r="A53" s="38"/>
      <c r="B53" s="9">
        <v>63</v>
      </c>
      <c r="C53" s="9" t="s">
        <v>285</v>
      </c>
      <c r="D53" s="9" t="s">
        <v>39</v>
      </c>
      <c r="E53" s="9" t="s">
        <v>40</v>
      </c>
      <c r="F53" s="9" t="s">
        <v>41</v>
      </c>
      <c r="G53" s="10" t="s">
        <v>42</v>
      </c>
    </row>
    <row r="54" spans="1:7" ht="12.75" x14ac:dyDescent="0.2">
      <c r="A54" s="36" t="s">
        <v>36</v>
      </c>
      <c r="B54" s="9">
        <v>63</v>
      </c>
      <c r="C54" s="9" t="s">
        <v>217</v>
      </c>
      <c r="D54" s="9" t="s">
        <v>39</v>
      </c>
      <c r="E54" s="9" t="s">
        <v>46</v>
      </c>
      <c r="F54" s="9" t="s">
        <v>51</v>
      </c>
      <c r="G54" s="10" t="s">
        <v>42</v>
      </c>
    </row>
    <row r="55" spans="1:7" ht="12.75" x14ac:dyDescent="0.2">
      <c r="A55" s="39"/>
      <c r="B55" s="9">
        <v>63</v>
      </c>
      <c r="C55" s="9" t="s">
        <v>279</v>
      </c>
      <c r="D55" s="9" t="s">
        <v>39</v>
      </c>
      <c r="E55" s="9" t="s">
        <v>46</v>
      </c>
      <c r="F55" s="9" t="s">
        <v>41</v>
      </c>
      <c r="G55" s="10" t="s">
        <v>42</v>
      </c>
    </row>
    <row r="56" spans="1:7" ht="12.75" x14ac:dyDescent="0.2">
      <c r="A56" s="37"/>
      <c r="B56" s="9">
        <v>63</v>
      </c>
      <c r="C56" s="9" t="s">
        <v>218</v>
      </c>
      <c r="D56" s="9" t="s">
        <v>39</v>
      </c>
      <c r="E56" s="9" t="s">
        <v>46</v>
      </c>
      <c r="F56" s="9" t="s">
        <v>41</v>
      </c>
      <c r="G56" s="10" t="s">
        <v>42</v>
      </c>
    </row>
    <row r="57" spans="1:7" ht="12.75" x14ac:dyDescent="0.2">
      <c r="A57" s="39"/>
      <c r="B57" s="9">
        <v>63</v>
      </c>
      <c r="C57" s="9" t="s">
        <v>311</v>
      </c>
      <c r="D57" s="9" t="s">
        <v>39</v>
      </c>
      <c r="E57" s="9" t="s">
        <v>46</v>
      </c>
      <c r="F57" s="9" t="s">
        <v>41</v>
      </c>
      <c r="G57" s="10" t="s">
        <v>42</v>
      </c>
    </row>
    <row r="58" spans="1:7" ht="12.75" x14ac:dyDescent="0.2">
      <c r="A58" s="40"/>
      <c r="B58" s="9">
        <v>63</v>
      </c>
      <c r="C58" s="9" t="s">
        <v>285</v>
      </c>
      <c r="D58" s="9" t="s">
        <v>39</v>
      </c>
      <c r="E58" s="9" t="s">
        <v>46</v>
      </c>
      <c r="F58" s="9" t="s">
        <v>41</v>
      </c>
      <c r="G58" s="10" t="s">
        <v>42</v>
      </c>
    </row>
    <row r="59" spans="1:7" ht="12.75" x14ac:dyDescent="0.2">
      <c r="A59" s="11"/>
      <c r="B59" s="12"/>
      <c r="C59" s="12"/>
      <c r="D59" s="12"/>
      <c r="E59" s="12"/>
      <c r="F59" s="12"/>
      <c r="G59" s="13"/>
    </row>
    <row r="60" spans="1:7" ht="12.75" x14ac:dyDescent="0.2">
      <c r="A60" s="11"/>
      <c r="B60" s="12"/>
      <c r="C60" s="12"/>
      <c r="D60" s="12"/>
      <c r="E60" s="12"/>
      <c r="F60" s="12"/>
      <c r="G60" s="13"/>
    </row>
    <row r="61" spans="1:7" ht="12.75" x14ac:dyDescent="0.2">
      <c r="A61" s="11"/>
      <c r="B61" s="12"/>
      <c r="C61" s="12"/>
      <c r="D61" s="12"/>
      <c r="E61" s="12"/>
      <c r="F61" s="12"/>
      <c r="G61" s="13"/>
    </row>
    <row r="62" spans="1:7" ht="12.75" x14ac:dyDescent="0.2">
      <c r="A62" s="11"/>
      <c r="B62" s="12"/>
      <c r="C62" s="12"/>
      <c r="D62" s="12"/>
      <c r="E62" s="12"/>
      <c r="F62" s="12"/>
      <c r="G62" s="13"/>
    </row>
    <row r="63" spans="1:7" ht="12.75" x14ac:dyDescent="0.2">
      <c r="A63" s="11"/>
      <c r="B63" s="12"/>
      <c r="C63" s="12"/>
      <c r="D63" s="12"/>
      <c r="E63" s="12"/>
      <c r="F63" s="12"/>
      <c r="G63" s="13"/>
    </row>
    <row r="64" spans="1:7" ht="12.75" x14ac:dyDescent="0.2">
      <c r="A64" s="11"/>
      <c r="B64" s="12"/>
      <c r="C64" s="12"/>
      <c r="D64" s="12"/>
      <c r="E64" s="12"/>
      <c r="F64" s="12"/>
      <c r="G64" s="13"/>
    </row>
    <row r="65" spans="1:7" ht="12.75" x14ac:dyDescent="0.2">
      <c r="A65" s="11"/>
      <c r="B65" s="12"/>
      <c r="C65" s="12"/>
      <c r="D65" s="12"/>
      <c r="E65" s="12"/>
      <c r="F65" s="12"/>
      <c r="G65" s="13"/>
    </row>
    <row r="66" spans="1:7" ht="12.75" x14ac:dyDescent="0.2">
      <c r="A66" s="11"/>
      <c r="B66" s="12"/>
      <c r="C66" s="12"/>
      <c r="D66" s="12"/>
      <c r="E66" s="12"/>
      <c r="F66" s="12"/>
      <c r="G66" s="13"/>
    </row>
    <row r="67" spans="1:7" ht="12.75" x14ac:dyDescent="0.2">
      <c r="A67" s="11"/>
      <c r="B67" s="12"/>
      <c r="C67" s="12"/>
      <c r="D67" s="12"/>
      <c r="E67" s="12"/>
      <c r="F67" s="12"/>
      <c r="G67" s="13"/>
    </row>
  </sheetData>
  <mergeCells count="14">
    <mergeCell ref="A47:A53"/>
    <mergeCell ref="A54:A58"/>
    <mergeCell ref="A1:G1"/>
    <mergeCell ref="A10:A13"/>
    <mergeCell ref="A14:A16"/>
    <mergeCell ref="A17:A19"/>
    <mergeCell ref="A20:A21"/>
    <mergeCell ref="A22:A24"/>
    <mergeCell ref="A25:A27"/>
    <mergeCell ref="A28:A31"/>
    <mergeCell ref="A33:A35"/>
    <mergeCell ref="A36:A37"/>
    <mergeCell ref="A38:A43"/>
    <mergeCell ref="A44:A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83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9" t="s">
        <v>20</v>
      </c>
      <c r="B9" s="9" t="s">
        <v>21</v>
      </c>
      <c r="C9" s="9" t="s">
        <v>21</v>
      </c>
      <c r="D9" s="9" t="s">
        <v>21</v>
      </c>
      <c r="E9" s="9" t="s">
        <v>21</v>
      </c>
      <c r="F9" s="9" t="s">
        <v>21</v>
      </c>
      <c r="G9" s="10" t="s">
        <v>21</v>
      </c>
    </row>
    <row r="10" spans="1:7" x14ac:dyDescent="0.2">
      <c r="A10" s="36" t="s">
        <v>22</v>
      </c>
      <c r="B10" s="9">
        <v>64</v>
      </c>
      <c r="C10" s="9" t="s">
        <v>312</v>
      </c>
      <c r="D10" s="9" t="s">
        <v>39</v>
      </c>
      <c r="E10" s="9" t="s">
        <v>46</v>
      </c>
      <c r="F10" s="9" t="s">
        <v>47</v>
      </c>
      <c r="G10" s="10" t="s">
        <v>42</v>
      </c>
    </row>
    <row r="11" spans="1:7" x14ac:dyDescent="0.2">
      <c r="A11" s="38"/>
      <c r="B11" s="9">
        <v>64</v>
      </c>
      <c r="C11" s="9" t="s">
        <v>313</v>
      </c>
      <c r="D11" s="9" t="s">
        <v>39</v>
      </c>
      <c r="E11" s="9" t="s">
        <v>46</v>
      </c>
      <c r="F11" s="9" t="s">
        <v>47</v>
      </c>
      <c r="G11" s="10" t="s">
        <v>42</v>
      </c>
    </row>
    <row r="12" spans="1:7" x14ac:dyDescent="0.2">
      <c r="A12" s="36" t="s">
        <v>23</v>
      </c>
      <c r="B12" s="9">
        <v>64</v>
      </c>
      <c r="C12" s="9" t="s">
        <v>314</v>
      </c>
      <c r="D12" s="9" t="s">
        <v>39</v>
      </c>
      <c r="E12" s="9" t="s">
        <v>46</v>
      </c>
      <c r="F12" s="9" t="s">
        <v>47</v>
      </c>
      <c r="G12" s="10" t="s">
        <v>42</v>
      </c>
    </row>
    <row r="13" spans="1:7" x14ac:dyDescent="0.2">
      <c r="A13" s="39"/>
      <c r="B13" s="9">
        <v>64</v>
      </c>
      <c r="C13" s="9" t="s">
        <v>315</v>
      </c>
      <c r="D13" s="9" t="s">
        <v>39</v>
      </c>
      <c r="E13" s="9" t="s">
        <v>46</v>
      </c>
      <c r="F13" s="9" t="s">
        <v>47</v>
      </c>
      <c r="G13" s="10" t="s">
        <v>42</v>
      </c>
    </row>
    <row r="14" spans="1:7" x14ac:dyDescent="0.2">
      <c r="A14" s="37"/>
      <c r="B14" s="9">
        <v>64</v>
      </c>
      <c r="C14" s="9" t="s">
        <v>316</v>
      </c>
      <c r="D14" s="9" t="s">
        <v>39</v>
      </c>
      <c r="E14" s="9" t="s">
        <v>46</v>
      </c>
      <c r="F14" s="9" t="s">
        <v>47</v>
      </c>
      <c r="G14" s="10" t="s">
        <v>42</v>
      </c>
    </row>
    <row r="15" spans="1:7" x14ac:dyDescent="0.2">
      <c r="A15" s="38"/>
      <c r="B15" s="9">
        <v>64</v>
      </c>
      <c r="C15" s="9" t="s">
        <v>317</v>
      </c>
      <c r="D15" s="9" t="s">
        <v>39</v>
      </c>
      <c r="E15" s="9" t="s">
        <v>46</v>
      </c>
      <c r="F15" s="9" t="s">
        <v>47</v>
      </c>
      <c r="G15" s="10" t="s">
        <v>42</v>
      </c>
    </row>
    <row r="16" spans="1:7" x14ac:dyDescent="0.2">
      <c r="A16" s="36" t="s">
        <v>24</v>
      </c>
      <c r="B16" s="9">
        <v>64</v>
      </c>
      <c r="C16" s="9" t="s">
        <v>318</v>
      </c>
      <c r="D16" s="9" t="s">
        <v>39</v>
      </c>
      <c r="E16" s="9" t="s">
        <v>46</v>
      </c>
      <c r="F16" s="9" t="s">
        <v>47</v>
      </c>
      <c r="G16" s="10" t="s">
        <v>42</v>
      </c>
    </row>
    <row r="17" spans="1:7" x14ac:dyDescent="0.2">
      <c r="A17" s="39"/>
      <c r="B17" s="9">
        <v>64</v>
      </c>
      <c r="C17" s="9" t="s">
        <v>314</v>
      </c>
      <c r="D17" s="9" t="s">
        <v>39</v>
      </c>
      <c r="E17" s="9" t="s">
        <v>46</v>
      </c>
      <c r="F17" s="9" t="s">
        <v>47</v>
      </c>
      <c r="G17" s="10" t="s">
        <v>42</v>
      </c>
    </row>
    <row r="18" spans="1:7" x14ac:dyDescent="0.2">
      <c r="A18" s="40"/>
      <c r="B18" s="9">
        <v>64</v>
      </c>
      <c r="C18" s="9" t="s">
        <v>319</v>
      </c>
      <c r="D18" s="9" t="s">
        <v>39</v>
      </c>
      <c r="E18" s="9" t="s">
        <v>46</v>
      </c>
      <c r="F18" s="9" t="s">
        <v>47</v>
      </c>
      <c r="G18" s="10" t="s">
        <v>42</v>
      </c>
    </row>
    <row r="19" spans="1:7" x14ac:dyDescent="0.2">
      <c r="A19" s="36" t="s">
        <v>25</v>
      </c>
      <c r="B19" s="9">
        <v>64</v>
      </c>
      <c r="C19" s="9" t="s">
        <v>320</v>
      </c>
      <c r="D19" s="9" t="s">
        <v>39</v>
      </c>
      <c r="E19" s="9" t="s">
        <v>46</v>
      </c>
      <c r="F19" s="9" t="s">
        <v>41</v>
      </c>
      <c r="G19" s="10" t="s">
        <v>42</v>
      </c>
    </row>
    <row r="20" spans="1:7" x14ac:dyDescent="0.2">
      <c r="A20" s="37"/>
      <c r="B20" s="9">
        <v>64</v>
      </c>
      <c r="C20" s="9" t="s">
        <v>321</v>
      </c>
      <c r="D20" s="9" t="s">
        <v>39</v>
      </c>
      <c r="E20" s="9" t="s">
        <v>46</v>
      </c>
      <c r="F20" s="9" t="s">
        <v>41</v>
      </c>
      <c r="G20" s="10" t="s">
        <v>42</v>
      </c>
    </row>
    <row r="21" spans="1:7" x14ac:dyDescent="0.2">
      <c r="A21" s="39"/>
      <c r="B21" s="9">
        <v>64</v>
      </c>
      <c r="C21" s="9" t="s">
        <v>322</v>
      </c>
      <c r="D21" s="9" t="s">
        <v>39</v>
      </c>
      <c r="E21" s="9" t="s">
        <v>46</v>
      </c>
      <c r="F21" s="9" t="s">
        <v>41</v>
      </c>
      <c r="G21" s="10" t="s">
        <v>42</v>
      </c>
    </row>
    <row r="22" spans="1:7" x14ac:dyDescent="0.2">
      <c r="A22" s="37"/>
      <c r="B22" s="9">
        <v>64</v>
      </c>
      <c r="C22" s="9" t="s">
        <v>323</v>
      </c>
      <c r="D22" s="9" t="s">
        <v>39</v>
      </c>
      <c r="E22" s="9" t="s">
        <v>46</v>
      </c>
      <c r="F22" s="9" t="s">
        <v>47</v>
      </c>
      <c r="G22" s="10" t="s">
        <v>42</v>
      </c>
    </row>
    <row r="23" spans="1:7" x14ac:dyDescent="0.2">
      <c r="A23" s="39"/>
      <c r="B23" s="9">
        <v>64</v>
      </c>
      <c r="C23" s="9" t="s">
        <v>324</v>
      </c>
      <c r="D23" s="9" t="s">
        <v>39</v>
      </c>
      <c r="E23" s="9" t="s">
        <v>46</v>
      </c>
      <c r="F23" s="9" t="s">
        <v>47</v>
      </c>
      <c r="G23" s="10" t="s">
        <v>42</v>
      </c>
    </row>
    <row r="24" spans="1:7" x14ac:dyDescent="0.2">
      <c r="A24" s="37"/>
      <c r="B24" s="9">
        <v>64</v>
      </c>
      <c r="C24" s="9" t="s">
        <v>325</v>
      </c>
      <c r="D24" s="9" t="s">
        <v>39</v>
      </c>
      <c r="E24" s="9" t="s">
        <v>46</v>
      </c>
      <c r="F24" s="9" t="s">
        <v>47</v>
      </c>
      <c r="G24" s="10" t="s">
        <v>42</v>
      </c>
    </row>
    <row r="25" spans="1:7" x14ac:dyDescent="0.2">
      <c r="A25" s="39"/>
      <c r="B25" s="9">
        <v>64</v>
      </c>
      <c r="C25" s="9" t="s">
        <v>326</v>
      </c>
      <c r="D25" s="9" t="s">
        <v>39</v>
      </c>
      <c r="E25" s="9" t="s">
        <v>46</v>
      </c>
      <c r="F25" s="9" t="s">
        <v>47</v>
      </c>
      <c r="G25" s="10" t="s">
        <v>42</v>
      </c>
    </row>
    <row r="26" spans="1:7" x14ac:dyDescent="0.2">
      <c r="A26" s="37"/>
      <c r="B26" s="9">
        <v>64</v>
      </c>
      <c r="C26" s="9" t="s">
        <v>314</v>
      </c>
      <c r="D26" s="9" t="s">
        <v>39</v>
      </c>
      <c r="E26" s="9" t="s">
        <v>46</v>
      </c>
      <c r="F26" s="9" t="s">
        <v>47</v>
      </c>
      <c r="G26" s="10" t="s">
        <v>42</v>
      </c>
    </row>
    <row r="27" spans="1:7" x14ac:dyDescent="0.2">
      <c r="A27" s="39"/>
      <c r="B27" s="9">
        <v>64</v>
      </c>
      <c r="C27" s="9" t="s">
        <v>318</v>
      </c>
      <c r="D27" s="9" t="s">
        <v>39</v>
      </c>
      <c r="E27" s="9" t="s">
        <v>46</v>
      </c>
      <c r="F27" s="9" t="s">
        <v>47</v>
      </c>
      <c r="G27" s="10" t="s">
        <v>42</v>
      </c>
    </row>
    <row r="28" spans="1:7" x14ac:dyDescent="0.2">
      <c r="A28" s="40"/>
      <c r="B28" s="9">
        <v>64</v>
      </c>
      <c r="C28" s="9" t="s">
        <v>327</v>
      </c>
      <c r="D28" s="9" t="s">
        <v>39</v>
      </c>
      <c r="E28" s="9" t="s">
        <v>46</v>
      </c>
      <c r="F28" s="9" t="s">
        <v>47</v>
      </c>
      <c r="G28" s="10" t="s">
        <v>42</v>
      </c>
    </row>
    <row r="29" spans="1:7" x14ac:dyDescent="0.2">
      <c r="A29" s="36" t="s">
        <v>26</v>
      </c>
      <c r="B29" s="9">
        <v>64</v>
      </c>
      <c r="C29" s="9" t="s">
        <v>327</v>
      </c>
      <c r="D29" s="9" t="s">
        <v>39</v>
      </c>
      <c r="E29" s="9" t="s">
        <v>46</v>
      </c>
      <c r="F29" s="9" t="s">
        <v>47</v>
      </c>
      <c r="G29" s="10" t="s">
        <v>42</v>
      </c>
    </row>
    <row r="30" spans="1:7" x14ac:dyDescent="0.2">
      <c r="A30" s="37"/>
      <c r="B30" s="9">
        <v>64</v>
      </c>
      <c r="C30" s="9" t="s">
        <v>318</v>
      </c>
      <c r="D30" s="9" t="s">
        <v>39</v>
      </c>
      <c r="E30" s="9" t="s">
        <v>46</v>
      </c>
      <c r="F30" s="9" t="s">
        <v>47</v>
      </c>
      <c r="G30" s="10" t="s">
        <v>42</v>
      </c>
    </row>
    <row r="31" spans="1:7" x14ac:dyDescent="0.2">
      <c r="A31" s="39"/>
      <c r="B31" s="9">
        <v>64</v>
      </c>
      <c r="C31" s="9" t="s">
        <v>314</v>
      </c>
      <c r="D31" s="9" t="s">
        <v>39</v>
      </c>
      <c r="E31" s="9" t="s">
        <v>46</v>
      </c>
      <c r="F31" s="9" t="s">
        <v>47</v>
      </c>
      <c r="G31" s="10" t="s">
        <v>42</v>
      </c>
    </row>
    <row r="32" spans="1:7" x14ac:dyDescent="0.2">
      <c r="A32" s="40"/>
      <c r="B32" s="9">
        <v>64</v>
      </c>
      <c r="C32" s="9" t="s">
        <v>328</v>
      </c>
      <c r="D32" s="9" t="s">
        <v>39</v>
      </c>
      <c r="E32" s="9" t="s">
        <v>46</v>
      </c>
      <c r="F32" s="9" t="s">
        <v>47</v>
      </c>
      <c r="G32" s="10" t="s">
        <v>42</v>
      </c>
    </row>
    <row r="33" spans="1:7" x14ac:dyDescent="0.2">
      <c r="A33" s="36" t="s">
        <v>27</v>
      </c>
      <c r="B33" s="9">
        <v>64</v>
      </c>
      <c r="C33" s="9" t="s">
        <v>318</v>
      </c>
      <c r="D33" s="9" t="s">
        <v>39</v>
      </c>
      <c r="E33" s="9" t="s">
        <v>46</v>
      </c>
      <c r="F33" s="9" t="s">
        <v>47</v>
      </c>
      <c r="G33" s="10" t="s">
        <v>42</v>
      </c>
    </row>
    <row r="34" spans="1:7" x14ac:dyDescent="0.2">
      <c r="A34" s="37"/>
      <c r="B34" s="9">
        <v>64</v>
      </c>
      <c r="C34" s="9" t="s">
        <v>329</v>
      </c>
      <c r="D34" s="9" t="s">
        <v>39</v>
      </c>
      <c r="E34" s="9" t="s">
        <v>46</v>
      </c>
      <c r="F34" s="9" t="s">
        <v>47</v>
      </c>
      <c r="G34" s="10" t="s">
        <v>42</v>
      </c>
    </row>
    <row r="35" spans="1:7" x14ac:dyDescent="0.2">
      <c r="A35" s="39"/>
      <c r="B35" s="9">
        <v>64</v>
      </c>
      <c r="C35" s="9" t="s">
        <v>330</v>
      </c>
      <c r="D35" s="9" t="s">
        <v>39</v>
      </c>
      <c r="E35" s="9" t="s">
        <v>46</v>
      </c>
      <c r="F35" s="9" t="s">
        <v>47</v>
      </c>
      <c r="G35" s="10" t="s">
        <v>42</v>
      </c>
    </row>
    <row r="36" spans="1:7" x14ac:dyDescent="0.2">
      <c r="A36" s="37"/>
      <c r="B36" s="9">
        <v>64</v>
      </c>
      <c r="C36" s="9" t="s">
        <v>331</v>
      </c>
      <c r="D36" s="9" t="s">
        <v>39</v>
      </c>
      <c r="E36" s="9" t="s">
        <v>46</v>
      </c>
      <c r="F36" s="9" t="s">
        <v>47</v>
      </c>
      <c r="G36" s="10" t="s">
        <v>42</v>
      </c>
    </row>
    <row r="37" spans="1:7" ht="12.75" x14ac:dyDescent="0.2">
      <c r="A37" s="38"/>
      <c r="B37" s="9">
        <v>64</v>
      </c>
      <c r="C37" s="9" t="s">
        <v>332</v>
      </c>
      <c r="D37" s="9" t="s">
        <v>39</v>
      </c>
      <c r="E37" s="9" t="s">
        <v>46</v>
      </c>
      <c r="F37" s="9" t="s">
        <v>47</v>
      </c>
      <c r="G37" s="10" t="s">
        <v>42</v>
      </c>
    </row>
    <row r="38" spans="1:7" ht="12.75" x14ac:dyDescent="0.2">
      <c r="A38" s="36" t="s">
        <v>28</v>
      </c>
      <c r="B38" s="9">
        <v>64</v>
      </c>
      <c r="C38" s="9" t="s">
        <v>333</v>
      </c>
      <c r="D38" s="9" t="s">
        <v>39</v>
      </c>
      <c r="E38" s="9" t="s">
        <v>46</v>
      </c>
      <c r="F38" s="9" t="s">
        <v>47</v>
      </c>
      <c r="G38" s="10" t="s">
        <v>42</v>
      </c>
    </row>
    <row r="39" spans="1:7" ht="12.75" x14ac:dyDescent="0.2">
      <c r="A39" s="39"/>
      <c r="B39" s="9">
        <v>64</v>
      </c>
      <c r="C39" s="9" t="s">
        <v>334</v>
      </c>
      <c r="D39" s="9" t="s">
        <v>39</v>
      </c>
      <c r="E39" s="9" t="s">
        <v>46</v>
      </c>
      <c r="F39" s="9" t="s">
        <v>47</v>
      </c>
      <c r="G39" s="10" t="s">
        <v>42</v>
      </c>
    </row>
    <row r="40" spans="1:7" ht="12.75" x14ac:dyDescent="0.2">
      <c r="A40" s="37"/>
      <c r="B40" s="9">
        <v>64</v>
      </c>
      <c r="C40" s="9" t="s">
        <v>335</v>
      </c>
      <c r="D40" s="9" t="s">
        <v>39</v>
      </c>
      <c r="E40" s="9" t="s">
        <v>46</v>
      </c>
      <c r="F40" s="9" t="s">
        <v>47</v>
      </c>
      <c r="G40" s="10" t="s">
        <v>42</v>
      </c>
    </row>
    <row r="41" spans="1:7" ht="12.75" x14ac:dyDescent="0.2">
      <c r="A41" s="39"/>
      <c r="B41" s="9">
        <v>64</v>
      </c>
      <c r="C41" s="9" t="s">
        <v>336</v>
      </c>
      <c r="D41" s="9" t="s">
        <v>39</v>
      </c>
      <c r="E41" s="9" t="s">
        <v>46</v>
      </c>
      <c r="F41" s="9" t="s">
        <v>47</v>
      </c>
      <c r="G41" s="10" t="s">
        <v>42</v>
      </c>
    </row>
    <row r="42" spans="1:7" ht="12.75" x14ac:dyDescent="0.2">
      <c r="A42" s="40"/>
      <c r="B42" s="9">
        <v>64</v>
      </c>
      <c r="C42" s="9" t="s">
        <v>337</v>
      </c>
      <c r="D42" s="9" t="s">
        <v>39</v>
      </c>
      <c r="E42" s="9" t="s">
        <v>46</v>
      </c>
      <c r="F42" s="9" t="s">
        <v>47</v>
      </c>
      <c r="G42" s="10" t="s">
        <v>42</v>
      </c>
    </row>
    <row r="43" spans="1:7" ht="12.75" x14ac:dyDescent="0.2">
      <c r="A43" s="36" t="s">
        <v>29</v>
      </c>
      <c r="B43" s="9">
        <v>64</v>
      </c>
      <c r="C43" s="9" t="s">
        <v>338</v>
      </c>
      <c r="D43" s="9" t="s">
        <v>39</v>
      </c>
      <c r="E43" s="9" t="s">
        <v>46</v>
      </c>
      <c r="F43" s="9" t="s">
        <v>41</v>
      </c>
      <c r="G43" s="10" t="s">
        <v>42</v>
      </c>
    </row>
    <row r="44" spans="1:7" ht="12.75" x14ac:dyDescent="0.2">
      <c r="A44" s="37"/>
      <c r="B44" s="9">
        <v>64</v>
      </c>
      <c r="C44" s="9" t="s">
        <v>339</v>
      </c>
      <c r="D44" s="9" t="s">
        <v>39</v>
      </c>
      <c r="E44" s="9" t="s">
        <v>46</v>
      </c>
      <c r="F44" s="9" t="s">
        <v>47</v>
      </c>
      <c r="G44" s="10" t="s">
        <v>42</v>
      </c>
    </row>
    <row r="45" spans="1:7" ht="12.75" x14ac:dyDescent="0.2">
      <c r="A45" s="39"/>
      <c r="B45" s="9">
        <v>64</v>
      </c>
      <c r="C45" s="9" t="s">
        <v>340</v>
      </c>
      <c r="D45" s="9" t="s">
        <v>39</v>
      </c>
      <c r="E45" s="9" t="s">
        <v>46</v>
      </c>
      <c r="F45" s="9" t="s">
        <v>47</v>
      </c>
      <c r="G45" s="10" t="s">
        <v>42</v>
      </c>
    </row>
    <row r="46" spans="1:7" ht="12.75" x14ac:dyDescent="0.2">
      <c r="A46" s="37"/>
      <c r="B46" s="9">
        <v>64</v>
      </c>
      <c r="C46" s="9" t="s">
        <v>163</v>
      </c>
      <c r="D46" s="9" t="s">
        <v>39</v>
      </c>
      <c r="E46" s="9" t="s">
        <v>46</v>
      </c>
      <c r="F46" s="9" t="s">
        <v>47</v>
      </c>
      <c r="G46" s="10" t="s">
        <v>42</v>
      </c>
    </row>
    <row r="47" spans="1:7" ht="12.75" x14ac:dyDescent="0.2">
      <c r="A47" s="39"/>
      <c r="B47" s="9">
        <v>64</v>
      </c>
      <c r="C47" s="9" t="s">
        <v>341</v>
      </c>
      <c r="D47" s="9" t="s">
        <v>39</v>
      </c>
      <c r="E47" s="9" t="s">
        <v>46</v>
      </c>
      <c r="F47" s="9" t="s">
        <v>47</v>
      </c>
      <c r="G47" s="10" t="s">
        <v>42</v>
      </c>
    </row>
    <row r="48" spans="1:7" ht="12.75" x14ac:dyDescent="0.2">
      <c r="A48" s="37"/>
      <c r="B48" s="9">
        <v>64</v>
      </c>
      <c r="C48" s="9" t="s">
        <v>342</v>
      </c>
      <c r="D48" s="9" t="s">
        <v>39</v>
      </c>
      <c r="E48" s="9" t="s">
        <v>46</v>
      </c>
      <c r="F48" s="9" t="s">
        <v>41</v>
      </c>
      <c r="G48" s="10" t="s">
        <v>42</v>
      </c>
    </row>
    <row r="49" spans="1:7" ht="12.75" x14ac:dyDescent="0.2">
      <c r="A49" s="38"/>
      <c r="B49" s="9">
        <v>64</v>
      </c>
      <c r="C49" s="9" t="s">
        <v>343</v>
      </c>
      <c r="D49" s="9" t="s">
        <v>39</v>
      </c>
      <c r="E49" s="9" t="s">
        <v>46</v>
      </c>
      <c r="F49" s="9" t="s">
        <v>47</v>
      </c>
      <c r="G49" s="10" t="s">
        <v>42</v>
      </c>
    </row>
    <row r="50" spans="1:7" ht="12.75" x14ac:dyDescent="0.2">
      <c r="A50" s="36" t="s">
        <v>30</v>
      </c>
      <c r="B50" s="9">
        <v>64</v>
      </c>
      <c r="C50" s="9" t="s">
        <v>344</v>
      </c>
      <c r="D50" s="9" t="s">
        <v>39</v>
      </c>
      <c r="E50" s="9" t="s">
        <v>46</v>
      </c>
      <c r="F50" s="9" t="s">
        <v>47</v>
      </c>
      <c r="G50" s="10" t="s">
        <v>42</v>
      </c>
    </row>
    <row r="51" spans="1:7" ht="12.75" x14ac:dyDescent="0.2">
      <c r="A51" s="39"/>
      <c r="B51" s="9">
        <v>64</v>
      </c>
      <c r="C51" s="9" t="s">
        <v>345</v>
      </c>
      <c r="D51" s="9" t="s">
        <v>39</v>
      </c>
      <c r="E51" s="9" t="s">
        <v>46</v>
      </c>
      <c r="F51" s="9" t="s">
        <v>47</v>
      </c>
      <c r="G51" s="10" t="s">
        <v>42</v>
      </c>
    </row>
    <row r="52" spans="1:7" ht="12.75" x14ac:dyDescent="0.2">
      <c r="A52" s="37"/>
      <c r="B52" s="9">
        <v>64</v>
      </c>
      <c r="C52" s="9" t="s">
        <v>346</v>
      </c>
      <c r="D52" s="9" t="s">
        <v>39</v>
      </c>
      <c r="E52" s="9" t="s">
        <v>46</v>
      </c>
      <c r="F52" s="9" t="s">
        <v>47</v>
      </c>
      <c r="G52" s="10" t="s">
        <v>42</v>
      </c>
    </row>
    <row r="53" spans="1:7" ht="12.75" x14ac:dyDescent="0.2">
      <c r="A53" s="39"/>
      <c r="B53" s="9">
        <v>64</v>
      </c>
      <c r="C53" s="9" t="s">
        <v>347</v>
      </c>
      <c r="D53" s="9" t="s">
        <v>39</v>
      </c>
      <c r="E53" s="9" t="s">
        <v>46</v>
      </c>
      <c r="F53" s="9" t="s">
        <v>47</v>
      </c>
      <c r="G53" s="10" t="s">
        <v>42</v>
      </c>
    </row>
    <row r="54" spans="1:7" ht="12.75" x14ac:dyDescent="0.2">
      <c r="A54" s="40"/>
      <c r="B54" s="9">
        <v>64</v>
      </c>
      <c r="C54" s="9" t="s">
        <v>348</v>
      </c>
      <c r="D54" s="9" t="s">
        <v>39</v>
      </c>
      <c r="E54" s="9" t="s">
        <v>46</v>
      </c>
      <c r="F54" s="9" t="s">
        <v>47</v>
      </c>
      <c r="G54" s="10" t="s">
        <v>42</v>
      </c>
    </row>
    <row r="55" spans="1:7" ht="12.75" x14ac:dyDescent="0.2">
      <c r="A55" s="36" t="s">
        <v>31</v>
      </c>
      <c r="B55" s="9">
        <v>64</v>
      </c>
      <c r="C55" s="9" t="s">
        <v>349</v>
      </c>
      <c r="D55" s="9" t="s">
        <v>39</v>
      </c>
      <c r="E55" s="9" t="s">
        <v>46</v>
      </c>
      <c r="F55" s="9" t="s">
        <v>47</v>
      </c>
      <c r="G55" s="10" t="s">
        <v>42</v>
      </c>
    </row>
    <row r="56" spans="1:7" ht="12.75" x14ac:dyDescent="0.2">
      <c r="A56" s="37"/>
      <c r="B56" s="9">
        <v>64</v>
      </c>
      <c r="C56" s="9" t="s">
        <v>350</v>
      </c>
      <c r="D56" s="9" t="s">
        <v>39</v>
      </c>
      <c r="E56" s="9" t="s">
        <v>46</v>
      </c>
      <c r="F56" s="9" t="s">
        <v>47</v>
      </c>
      <c r="G56" s="10" t="s">
        <v>42</v>
      </c>
    </row>
    <row r="57" spans="1:7" ht="12.75" x14ac:dyDescent="0.2">
      <c r="A57" s="39"/>
      <c r="B57" s="9">
        <v>64</v>
      </c>
      <c r="C57" s="9" t="s">
        <v>351</v>
      </c>
      <c r="D57" s="9" t="s">
        <v>39</v>
      </c>
      <c r="E57" s="9" t="s">
        <v>46</v>
      </c>
      <c r="F57" s="9" t="s">
        <v>47</v>
      </c>
      <c r="G57" s="10" t="s">
        <v>42</v>
      </c>
    </row>
    <row r="58" spans="1:7" ht="12.75" x14ac:dyDescent="0.2">
      <c r="A58" s="40"/>
      <c r="B58" s="9">
        <v>64</v>
      </c>
      <c r="C58" s="9" t="s">
        <v>352</v>
      </c>
      <c r="D58" s="9" t="s">
        <v>39</v>
      </c>
      <c r="E58" s="9" t="s">
        <v>46</v>
      </c>
      <c r="F58" s="9" t="s">
        <v>47</v>
      </c>
      <c r="G58" s="10" t="s">
        <v>42</v>
      </c>
    </row>
    <row r="59" spans="1:7" ht="12.75" x14ac:dyDescent="0.2">
      <c r="A59" s="36" t="s">
        <v>32</v>
      </c>
      <c r="B59" s="9">
        <v>64</v>
      </c>
      <c r="C59" s="9" t="s">
        <v>350</v>
      </c>
      <c r="D59" s="9" t="s">
        <v>39</v>
      </c>
      <c r="E59" s="9" t="s">
        <v>46</v>
      </c>
      <c r="F59" s="9" t="s">
        <v>47</v>
      </c>
      <c r="G59" s="10" t="s">
        <v>42</v>
      </c>
    </row>
    <row r="60" spans="1:7" ht="12.75" x14ac:dyDescent="0.2">
      <c r="A60" s="40"/>
      <c r="B60" s="9">
        <v>64</v>
      </c>
      <c r="C60" s="9" t="s">
        <v>353</v>
      </c>
      <c r="D60" s="9" t="s">
        <v>39</v>
      </c>
      <c r="E60" s="9" t="s">
        <v>46</v>
      </c>
      <c r="F60" s="9" t="s">
        <v>47</v>
      </c>
      <c r="G60" s="10" t="s">
        <v>42</v>
      </c>
    </row>
    <row r="61" spans="1:7" ht="12.75" x14ac:dyDescent="0.2">
      <c r="A61" s="36" t="s">
        <v>33</v>
      </c>
      <c r="B61" s="9">
        <v>64</v>
      </c>
      <c r="C61" s="9" t="s">
        <v>354</v>
      </c>
      <c r="D61" s="9" t="s">
        <v>39</v>
      </c>
      <c r="E61" s="9" t="s">
        <v>46</v>
      </c>
      <c r="F61" s="9" t="s">
        <v>47</v>
      </c>
      <c r="G61" s="10" t="s">
        <v>42</v>
      </c>
    </row>
    <row r="62" spans="1:7" ht="12.75" x14ac:dyDescent="0.2">
      <c r="A62" s="37"/>
      <c r="B62" s="9">
        <v>64</v>
      </c>
      <c r="C62" s="9" t="s">
        <v>355</v>
      </c>
      <c r="D62" s="9" t="s">
        <v>39</v>
      </c>
      <c r="E62" s="9" t="s">
        <v>46</v>
      </c>
      <c r="F62" s="9" t="s">
        <v>47</v>
      </c>
      <c r="G62" s="10" t="s">
        <v>42</v>
      </c>
    </row>
    <row r="63" spans="1:7" ht="12.75" x14ac:dyDescent="0.2">
      <c r="A63" s="39"/>
      <c r="B63" s="9">
        <v>64</v>
      </c>
      <c r="C63" s="9" t="s">
        <v>356</v>
      </c>
      <c r="D63" s="9" t="s">
        <v>39</v>
      </c>
      <c r="E63" s="9" t="s">
        <v>46</v>
      </c>
      <c r="F63" s="9" t="s">
        <v>47</v>
      </c>
      <c r="G63" s="10" t="s">
        <v>42</v>
      </c>
    </row>
    <row r="64" spans="1:7" ht="12.75" x14ac:dyDescent="0.2">
      <c r="A64" s="37"/>
      <c r="B64" s="9">
        <v>64</v>
      </c>
      <c r="C64" s="9" t="s">
        <v>357</v>
      </c>
      <c r="D64" s="9" t="s">
        <v>39</v>
      </c>
      <c r="E64" s="9" t="s">
        <v>46</v>
      </c>
      <c r="F64" s="9" t="s">
        <v>47</v>
      </c>
      <c r="G64" s="10" t="s">
        <v>42</v>
      </c>
    </row>
    <row r="65" spans="1:7" ht="12.75" x14ac:dyDescent="0.2">
      <c r="A65" s="38"/>
      <c r="B65" s="9">
        <v>64</v>
      </c>
      <c r="C65" s="9" t="s">
        <v>358</v>
      </c>
      <c r="D65" s="9" t="s">
        <v>39</v>
      </c>
      <c r="E65" s="9" t="s">
        <v>46</v>
      </c>
      <c r="F65" s="9" t="s">
        <v>47</v>
      </c>
      <c r="G65" s="10" t="s">
        <v>42</v>
      </c>
    </row>
    <row r="66" spans="1:7" ht="12.75" x14ac:dyDescent="0.2">
      <c r="A66" s="36" t="s">
        <v>34</v>
      </c>
      <c r="B66" s="9">
        <v>64</v>
      </c>
      <c r="C66" s="9" t="s">
        <v>359</v>
      </c>
      <c r="D66" s="9" t="s">
        <v>39</v>
      </c>
      <c r="E66" s="9" t="s">
        <v>46</v>
      </c>
      <c r="F66" s="9" t="s">
        <v>47</v>
      </c>
      <c r="G66" s="10" t="s">
        <v>42</v>
      </c>
    </row>
    <row r="67" spans="1:7" ht="12.75" x14ac:dyDescent="0.2">
      <c r="A67" s="39"/>
      <c r="B67" s="9">
        <v>64</v>
      </c>
      <c r="C67" s="9" t="s">
        <v>360</v>
      </c>
      <c r="D67" s="9" t="s">
        <v>39</v>
      </c>
      <c r="E67" s="9" t="s">
        <v>46</v>
      </c>
      <c r="F67" s="9" t="s">
        <v>47</v>
      </c>
      <c r="G67" s="10" t="s">
        <v>42</v>
      </c>
    </row>
    <row r="68" spans="1:7" ht="12.75" x14ac:dyDescent="0.2">
      <c r="A68" s="37"/>
      <c r="B68" s="9">
        <v>64</v>
      </c>
      <c r="C68" s="9" t="s">
        <v>361</v>
      </c>
      <c r="D68" s="9" t="s">
        <v>39</v>
      </c>
      <c r="E68" s="9" t="s">
        <v>46</v>
      </c>
      <c r="F68" s="9" t="s">
        <v>47</v>
      </c>
      <c r="G68" s="10" t="s">
        <v>42</v>
      </c>
    </row>
    <row r="69" spans="1:7" ht="12.75" x14ac:dyDescent="0.2">
      <c r="A69" s="39"/>
      <c r="B69" s="9">
        <v>64</v>
      </c>
      <c r="C69" s="9" t="s">
        <v>362</v>
      </c>
      <c r="D69" s="9" t="s">
        <v>39</v>
      </c>
      <c r="E69" s="9" t="s">
        <v>46</v>
      </c>
      <c r="F69" s="9" t="s">
        <v>47</v>
      </c>
      <c r="G69" s="10" t="s">
        <v>42</v>
      </c>
    </row>
    <row r="70" spans="1:7" ht="12.75" x14ac:dyDescent="0.2">
      <c r="A70" s="37"/>
      <c r="B70" s="9">
        <v>64</v>
      </c>
      <c r="C70" s="9" t="s">
        <v>363</v>
      </c>
      <c r="D70" s="9" t="s">
        <v>39</v>
      </c>
      <c r="E70" s="9" t="s">
        <v>46</v>
      </c>
      <c r="F70" s="9" t="s">
        <v>47</v>
      </c>
      <c r="G70" s="10" t="s">
        <v>42</v>
      </c>
    </row>
    <row r="71" spans="1:7" ht="12.75" x14ac:dyDescent="0.2">
      <c r="A71" s="38"/>
      <c r="B71" s="9">
        <v>64</v>
      </c>
      <c r="C71" s="9" t="s">
        <v>355</v>
      </c>
      <c r="D71" s="9" t="s">
        <v>39</v>
      </c>
      <c r="E71" s="9" t="s">
        <v>46</v>
      </c>
      <c r="F71" s="9" t="s">
        <v>47</v>
      </c>
      <c r="G71" s="10" t="s">
        <v>42</v>
      </c>
    </row>
    <row r="72" spans="1:7" ht="12.75" x14ac:dyDescent="0.2">
      <c r="A72" s="36" t="s">
        <v>35</v>
      </c>
      <c r="B72" s="9">
        <v>64</v>
      </c>
      <c r="C72" s="9" t="s">
        <v>364</v>
      </c>
      <c r="D72" s="9" t="s">
        <v>39</v>
      </c>
      <c r="E72" s="9" t="s">
        <v>46</v>
      </c>
      <c r="F72" s="9" t="s">
        <v>47</v>
      </c>
      <c r="G72" s="10" t="s">
        <v>42</v>
      </c>
    </row>
    <row r="73" spans="1:7" ht="12.75" x14ac:dyDescent="0.2">
      <c r="A73" s="39"/>
      <c r="B73" s="9">
        <v>64</v>
      </c>
      <c r="C73" s="9" t="s">
        <v>365</v>
      </c>
      <c r="D73" s="9" t="s">
        <v>39</v>
      </c>
      <c r="E73" s="9" t="s">
        <v>46</v>
      </c>
      <c r="F73" s="9" t="s">
        <v>47</v>
      </c>
      <c r="G73" s="10" t="s">
        <v>42</v>
      </c>
    </row>
    <row r="74" spans="1:7" ht="12.75" x14ac:dyDescent="0.2">
      <c r="A74" s="37"/>
      <c r="B74" s="9">
        <v>64</v>
      </c>
      <c r="C74" s="9" t="s">
        <v>362</v>
      </c>
      <c r="D74" s="9" t="s">
        <v>39</v>
      </c>
      <c r="E74" s="9" t="s">
        <v>46</v>
      </c>
      <c r="F74" s="9" t="s">
        <v>51</v>
      </c>
      <c r="G74" s="10" t="s">
        <v>42</v>
      </c>
    </row>
    <row r="75" spans="1:7" ht="12.75" x14ac:dyDescent="0.2">
      <c r="A75" s="39"/>
      <c r="B75" s="9">
        <v>64</v>
      </c>
      <c r="C75" s="9" t="s">
        <v>319</v>
      </c>
      <c r="D75" s="9" t="s">
        <v>39</v>
      </c>
      <c r="E75" s="9" t="s">
        <v>46</v>
      </c>
      <c r="F75" s="9" t="s">
        <v>47</v>
      </c>
      <c r="G75" s="10" t="s">
        <v>42</v>
      </c>
    </row>
    <row r="76" spans="1:7" ht="12.75" x14ac:dyDescent="0.2">
      <c r="A76" s="37"/>
      <c r="B76" s="9">
        <v>64</v>
      </c>
      <c r="C76" s="9" t="s">
        <v>366</v>
      </c>
      <c r="D76" s="9" t="s">
        <v>39</v>
      </c>
      <c r="E76" s="9" t="s">
        <v>46</v>
      </c>
      <c r="F76" s="9" t="s">
        <v>47</v>
      </c>
      <c r="G76" s="10" t="s">
        <v>42</v>
      </c>
    </row>
    <row r="77" spans="1:7" ht="12.75" x14ac:dyDescent="0.2">
      <c r="A77" s="38"/>
      <c r="B77" s="9">
        <v>64</v>
      </c>
      <c r="C77" s="9" t="s">
        <v>367</v>
      </c>
      <c r="D77" s="9" t="s">
        <v>39</v>
      </c>
      <c r="E77" s="9" t="s">
        <v>46</v>
      </c>
      <c r="F77" s="9" t="s">
        <v>47</v>
      </c>
      <c r="G77" s="10" t="s">
        <v>42</v>
      </c>
    </row>
    <row r="78" spans="1:7" ht="12.75" x14ac:dyDescent="0.2">
      <c r="A78" s="36" t="s">
        <v>36</v>
      </c>
      <c r="B78" s="9">
        <v>64</v>
      </c>
      <c r="C78" s="9" t="s">
        <v>364</v>
      </c>
      <c r="D78" s="9" t="s">
        <v>39</v>
      </c>
      <c r="E78" s="9" t="s">
        <v>46</v>
      </c>
      <c r="F78" s="9" t="s">
        <v>47</v>
      </c>
      <c r="G78" s="10" t="s">
        <v>42</v>
      </c>
    </row>
    <row r="79" spans="1:7" ht="12.75" x14ac:dyDescent="0.2">
      <c r="A79" s="39"/>
      <c r="B79" s="9">
        <v>64</v>
      </c>
      <c r="C79" s="9" t="s">
        <v>368</v>
      </c>
      <c r="D79" s="9" t="s">
        <v>39</v>
      </c>
      <c r="E79" s="9" t="s">
        <v>46</v>
      </c>
      <c r="F79" s="9" t="s">
        <v>47</v>
      </c>
      <c r="G79" s="10" t="s">
        <v>42</v>
      </c>
    </row>
    <row r="80" spans="1:7" ht="12.75" x14ac:dyDescent="0.2">
      <c r="A80" s="37"/>
      <c r="B80" s="9">
        <v>64</v>
      </c>
      <c r="C80" s="9" t="s">
        <v>369</v>
      </c>
      <c r="D80" s="9" t="s">
        <v>39</v>
      </c>
      <c r="E80" s="9" t="s">
        <v>46</v>
      </c>
      <c r="F80" s="9" t="s">
        <v>47</v>
      </c>
      <c r="G80" s="10" t="s">
        <v>42</v>
      </c>
    </row>
    <row r="81" spans="1:7" ht="12.75" x14ac:dyDescent="0.2">
      <c r="A81" s="39"/>
      <c r="B81" s="9">
        <v>64</v>
      </c>
      <c r="C81" s="9" t="s">
        <v>370</v>
      </c>
      <c r="D81" s="9" t="s">
        <v>39</v>
      </c>
      <c r="E81" s="9" t="s">
        <v>46</v>
      </c>
      <c r="F81" s="9" t="s">
        <v>47</v>
      </c>
      <c r="G81" s="10" t="s">
        <v>42</v>
      </c>
    </row>
    <row r="82" spans="1:7" ht="12.75" x14ac:dyDescent="0.2">
      <c r="A82" s="37"/>
      <c r="B82" s="9">
        <v>64</v>
      </c>
      <c r="C82" s="9" t="s">
        <v>371</v>
      </c>
      <c r="D82" s="9" t="s">
        <v>39</v>
      </c>
      <c r="E82" s="9" t="s">
        <v>46</v>
      </c>
      <c r="F82" s="9" t="s">
        <v>47</v>
      </c>
      <c r="G82" s="10" t="s">
        <v>42</v>
      </c>
    </row>
    <row r="83" spans="1:7" ht="12.75" x14ac:dyDescent="0.2">
      <c r="A83" s="38"/>
      <c r="B83" s="9">
        <v>64</v>
      </c>
      <c r="C83" s="9" t="s">
        <v>372</v>
      </c>
      <c r="D83" s="9" t="s">
        <v>39</v>
      </c>
      <c r="E83" s="9" t="s">
        <v>46</v>
      </c>
      <c r="F83" s="9" t="s">
        <v>47</v>
      </c>
      <c r="G83" s="10" t="s">
        <v>42</v>
      </c>
    </row>
  </sheetData>
  <mergeCells count="16">
    <mergeCell ref="A29:A32"/>
    <mergeCell ref="A33:A37"/>
    <mergeCell ref="A72:A77"/>
    <mergeCell ref="A78:A83"/>
    <mergeCell ref="A38:A42"/>
    <mergeCell ref="A43:A49"/>
    <mergeCell ref="A50:A54"/>
    <mergeCell ref="A55:A58"/>
    <mergeCell ref="A59:A60"/>
    <mergeCell ref="A61:A65"/>
    <mergeCell ref="A66:A71"/>
    <mergeCell ref="A1:G1"/>
    <mergeCell ref="A10:A11"/>
    <mergeCell ref="A12:A15"/>
    <mergeCell ref="A16:A18"/>
    <mergeCell ref="A19:A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97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36" t="s">
        <v>20</v>
      </c>
      <c r="B9" s="9">
        <v>65</v>
      </c>
      <c r="C9" s="9" t="s">
        <v>317</v>
      </c>
      <c r="D9" s="9" t="s">
        <v>39</v>
      </c>
      <c r="E9" s="9" t="s">
        <v>40</v>
      </c>
      <c r="F9" s="9" t="s">
        <v>41</v>
      </c>
      <c r="G9" s="10" t="s">
        <v>42</v>
      </c>
    </row>
    <row r="10" spans="1:7" x14ac:dyDescent="0.2">
      <c r="A10" s="40"/>
      <c r="B10" s="9">
        <v>65</v>
      </c>
      <c r="C10" s="9" t="s">
        <v>373</v>
      </c>
      <c r="D10" s="9" t="s">
        <v>39</v>
      </c>
      <c r="E10" s="9" t="s">
        <v>46</v>
      </c>
      <c r="F10" s="9" t="s">
        <v>41</v>
      </c>
      <c r="G10" s="10" t="s">
        <v>42</v>
      </c>
    </row>
    <row r="11" spans="1:7" x14ac:dyDescent="0.2">
      <c r="A11" s="36" t="s">
        <v>22</v>
      </c>
      <c r="B11" s="9">
        <v>65</v>
      </c>
      <c r="C11" s="9" t="s">
        <v>317</v>
      </c>
      <c r="D11" s="9" t="s">
        <v>39</v>
      </c>
      <c r="E11" s="9" t="s">
        <v>40</v>
      </c>
      <c r="F11" s="9" t="s">
        <v>41</v>
      </c>
      <c r="G11" s="10" t="s">
        <v>42</v>
      </c>
    </row>
    <row r="12" spans="1:7" x14ac:dyDescent="0.2">
      <c r="A12" s="40"/>
      <c r="B12" s="9">
        <v>65</v>
      </c>
      <c r="C12" s="9" t="s">
        <v>373</v>
      </c>
      <c r="D12" s="9" t="s">
        <v>39</v>
      </c>
      <c r="E12" s="9" t="s">
        <v>40</v>
      </c>
      <c r="F12" s="9" t="s">
        <v>41</v>
      </c>
      <c r="G12" s="10" t="s">
        <v>42</v>
      </c>
    </row>
    <row r="13" spans="1:7" x14ac:dyDescent="0.2">
      <c r="A13" s="36" t="s">
        <v>23</v>
      </c>
      <c r="B13" s="9">
        <v>65</v>
      </c>
      <c r="C13" s="9" t="s">
        <v>320</v>
      </c>
      <c r="D13" s="9" t="s">
        <v>39</v>
      </c>
      <c r="E13" s="9" t="s">
        <v>40</v>
      </c>
      <c r="F13" s="9" t="s">
        <v>41</v>
      </c>
      <c r="G13" s="10" t="s">
        <v>42</v>
      </c>
    </row>
    <row r="14" spans="1:7" x14ac:dyDescent="0.2">
      <c r="A14" s="37"/>
      <c r="B14" s="9">
        <v>65</v>
      </c>
      <c r="C14" s="9" t="s">
        <v>374</v>
      </c>
      <c r="D14" s="9" t="s">
        <v>39</v>
      </c>
      <c r="E14" s="9" t="s">
        <v>40</v>
      </c>
      <c r="F14" s="9" t="s">
        <v>41</v>
      </c>
      <c r="G14" s="10" t="s">
        <v>42</v>
      </c>
    </row>
    <row r="15" spans="1:7" x14ac:dyDescent="0.2">
      <c r="A15" s="39"/>
      <c r="B15" s="9">
        <v>65</v>
      </c>
      <c r="C15" s="9" t="s">
        <v>375</v>
      </c>
      <c r="D15" s="9" t="s">
        <v>39</v>
      </c>
      <c r="E15" s="9" t="s">
        <v>40</v>
      </c>
      <c r="F15" s="9" t="s">
        <v>41</v>
      </c>
      <c r="G15" s="10" t="s">
        <v>42</v>
      </c>
    </row>
    <row r="16" spans="1:7" x14ac:dyDescent="0.2">
      <c r="A16" s="37"/>
      <c r="B16" s="9">
        <v>65</v>
      </c>
      <c r="C16" s="9" t="s">
        <v>376</v>
      </c>
      <c r="D16" s="9" t="s">
        <v>39</v>
      </c>
      <c r="E16" s="9" t="s">
        <v>40</v>
      </c>
      <c r="F16" s="9" t="s">
        <v>41</v>
      </c>
      <c r="G16" s="10" t="s">
        <v>42</v>
      </c>
    </row>
    <row r="17" spans="1:7" x14ac:dyDescent="0.2">
      <c r="A17" s="39"/>
      <c r="B17" s="9">
        <v>65</v>
      </c>
      <c r="C17" s="9" t="s">
        <v>377</v>
      </c>
      <c r="D17" s="9" t="s">
        <v>39</v>
      </c>
      <c r="E17" s="9" t="s">
        <v>40</v>
      </c>
      <c r="F17" s="9" t="s">
        <v>41</v>
      </c>
      <c r="G17" s="10" t="s">
        <v>42</v>
      </c>
    </row>
    <row r="18" spans="1:7" x14ac:dyDescent="0.2">
      <c r="A18" s="37"/>
      <c r="B18" s="9">
        <v>65</v>
      </c>
      <c r="C18" s="9" t="s">
        <v>373</v>
      </c>
      <c r="D18" s="9" t="s">
        <v>39</v>
      </c>
      <c r="E18" s="9" t="s">
        <v>40</v>
      </c>
      <c r="F18" s="9" t="s">
        <v>41</v>
      </c>
      <c r="G18" s="10" t="s">
        <v>42</v>
      </c>
    </row>
    <row r="19" spans="1:7" x14ac:dyDescent="0.2">
      <c r="A19" s="39"/>
      <c r="B19" s="9">
        <v>65</v>
      </c>
      <c r="C19" s="9" t="s">
        <v>378</v>
      </c>
      <c r="D19" s="9" t="s">
        <v>39</v>
      </c>
      <c r="E19" s="9" t="s">
        <v>40</v>
      </c>
      <c r="F19" s="9" t="s">
        <v>41</v>
      </c>
      <c r="G19" s="10" t="s">
        <v>42</v>
      </c>
    </row>
    <row r="20" spans="1:7" x14ac:dyDescent="0.2">
      <c r="A20" s="37"/>
      <c r="B20" s="9">
        <v>65</v>
      </c>
      <c r="C20" s="9" t="s">
        <v>379</v>
      </c>
      <c r="D20" s="9" t="s">
        <v>39</v>
      </c>
      <c r="E20" s="9" t="s">
        <v>40</v>
      </c>
      <c r="F20" s="9" t="s">
        <v>41</v>
      </c>
      <c r="G20" s="10" t="s">
        <v>42</v>
      </c>
    </row>
    <row r="21" spans="1:7" x14ac:dyDescent="0.2">
      <c r="A21" s="38"/>
      <c r="B21" s="9">
        <v>65</v>
      </c>
      <c r="C21" s="9" t="s">
        <v>380</v>
      </c>
      <c r="D21" s="9" t="s">
        <v>39</v>
      </c>
      <c r="E21" s="9" t="s">
        <v>40</v>
      </c>
      <c r="F21" s="9" t="s">
        <v>41</v>
      </c>
      <c r="G21" s="10" t="s">
        <v>42</v>
      </c>
    </row>
    <row r="22" spans="1:7" x14ac:dyDescent="0.2">
      <c r="A22" s="36" t="s">
        <v>24</v>
      </c>
      <c r="B22" s="9">
        <v>65</v>
      </c>
      <c r="C22" s="9" t="s">
        <v>381</v>
      </c>
      <c r="D22" s="9" t="s">
        <v>39</v>
      </c>
      <c r="E22" s="9" t="s">
        <v>46</v>
      </c>
      <c r="F22" s="9" t="s">
        <v>51</v>
      </c>
      <c r="G22" s="10" t="s">
        <v>42</v>
      </c>
    </row>
    <row r="23" spans="1:7" x14ac:dyDescent="0.2">
      <c r="A23" s="39"/>
      <c r="B23" s="9">
        <v>65</v>
      </c>
      <c r="C23" s="9" t="s">
        <v>321</v>
      </c>
      <c r="D23" s="9" t="s">
        <v>39</v>
      </c>
      <c r="E23" s="9" t="s">
        <v>46</v>
      </c>
      <c r="F23" s="9" t="s">
        <v>51</v>
      </c>
      <c r="G23" s="10" t="s">
        <v>42</v>
      </c>
    </row>
    <row r="24" spans="1:7" x14ac:dyDescent="0.2">
      <c r="A24" s="37"/>
      <c r="B24" s="9">
        <v>65</v>
      </c>
      <c r="C24" s="9" t="s">
        <v>382</v>
      </c>
      <c r="D24" s="9" t="s">
        <v>39</v>
      </c>
      <c r="E24" s="9" t="s">
        <v>46</v>
      </c>
      <c r="F24" s="9" t="s">
        <v>51</v>
      </c>
      <c r="G24" s="10" t="s">
        <v>42</v>
      </c>
    </row>
    <row r="25" spans="1:7" x14ac:dyDescent="0.2">
      <c r="A25" s="39"/>
      <c r="B25" s="9">
        <v>65</v>
      </c>
      <c r="C25" s="9" t="s">
        <v>322</v>
      </c>
      <c r="D25" s="9" t="s">
        <v>39</v>
      </c>
      <c r="E25" s="9" t="s">
        <v>46</v>
      </c>
      <c r="F25" s="9" t="s">
        <v>47</v>
      </c>
      <c r="G25" s="10" t="s">
        <v>42</v>
      </c>
    </row>
    <row r="26" spans="1:7" x14ac:dyDescent="0.2">
      <c r="A26" s="37"/>
      <c r="B26" s="9">
        <v>65</v>
      </c>
      <c r="C26" s="9" t="s">
        <v>320</v>
      </c>
      <c r="D26" s="9" t="s">
        <v>39</v>
      </c>
      <c r="E26" s="9" t="s">
        <v>46</v>
      </c>
      <c r="F26" s="9" t="s">
        <v>51</v>
      </c>
      <c r="G26" s="10" t="s">
        <v>42</v>
      </c>
    </row>
    <row r="27" spans="1:7" x14ac:dyDescent="0.2">
      <c r="A27" s="39"/>
      <c r="B27" s="9">
        <v>65</v>
      </c>
      <c r="C27" s="9" t="s">
        <v>383</v>
      </c>
      <c r="D27" s="9" t="s">
        <v>39</v>
      </c>
      <c r="E27" s="9" t="s">
        <v>46</v>
      </c>
      <c r="F27" s="9" t="s">
        <v>47</v>
      </c>
      <c r="G27" s="10" t="s">
        <v>42</v>
      </c>
    </row>
    <row r="28" spans="1:7" x14ac:dyDescent="0.2">
      <c r="A28" s="37"/>
      <c r="B28" s="9">
        <v>65</v>
      </c>
      <c r="C28" s="9" t="s">
        <v>384</v>
      </c>
      <c r="D28" s="9" t="s">
        <v>39</v>
      </c>
      <c r="E28" s="9" t="s">
        <v>46</v>
      </c>
      <c r="F28" s="9" t="s">
        <v>51</v>
      </c>
      <c r="G28" s="10" t="s">
        <v>42</v>
      </c>
    </row>
    <row r="29" spans="1:7" x14ac:dyDescent="0.2">
      <c r="A29" s="39"/>
      <c r="B29" s="9">
        <v>65</v>
      </c>
      <c r="C29" s="9" t="s">
        <v>385</v>
      </c>
      <c r="D29" s="9" t="s">
        <v>39</v>
      </c>
      <c r="E29" s="9" t="s">
        <v>46</v>
      </c>
      <c r="F29" s="9" t="s">
        <v>51</v>
      </c>
      <c r="G29" s="10" t="s">
        <v>42</v>
      </c>
    </row>
    <row r="30" spans="1:7" x14ac:dyDescent="0.2">
      <c r="A30" s="37"/>
      <c r="B30" s="9">
        <v>65</v>
      </c>
      <c r="C30" s="9" t="s">
        <v>375</v>
      </c>
      <c r="D30" s="9" t="s">
        <v>39</v>
      </c>
      <c r="E30" s="9" t="s">
        <v>46</v>
      </c>
      <c r="F30" s="9" t="s">
        <v>51</v>
      </c>
      <c r="G30" s="10" t="s">
        <v>42</v>
      </c>
    </row>
    <row r="31" spans="1:7" x14ac:dyDescent="0.2">
      <c r="A31" s="39"/>
      <c r="B31" s="9">
        <v>65</v>
      </c>
      <c r="C31" s="9" t="s">
        <v>376</v>
      </c>
      <c r="D31" s="9" t="s">
        <v>39</v>
      </c>
      <c r="E31" s="9" t="s">
        <v>46</v>
      </c>
      <c r="F31" s="9" t="s">
        <v>51</v>
      </c>
      <c r="G31" s="10" t="s">
        <v>42</v>
      </c>
    </row>
    <row r="32" spans="1:7" x14ac:dyDescent="0.2">
      <c r="A32" s="37"/>
      <c r="B32" s="9">
        <v>65</v>
      </c>
      <c r="C32" s="9" t="s">
        <v>386</v>
      </c>
      <c r="D32" s="9" t="s">
        <v>39</v>
      </c>
      <c r="E32" s="9" t="s">
        <v>46</v>
      </c>
      <c r="F32" s="9" t="s">
        <v>51</v>
      </c>
      <c r="G32" s="10" t="s">
        <v>42</v>
      </c>
    </row>
    <row r="33" spans="1:7" x14ac:dyDescent="0.2">
      <c r="A33" s="39"/>
      <c r="B33" s="9">
        <v>65</v>
      </c>
      <c r="C33" s="9" t="s">
        <v>387</v>
      </c>
      <c r="D33" s="9" t="s">
        <v>39</v>
      </c>
      <c r="E33" s="9" t="s">
        <v>46</v>
      </c>
      <c r="F33" s="9" t="s">
        <v>51</v>
      </c>
      <c r="G33" s="10" t="s">
        <v>42</v>
      </c>
    </row>
    <row r="34" spans="1:7" x14ac:dyDescent="0.2">
      <c r="A34" s="37"/>
      <c r="B34" s="9">
        <v>65</v>
      </c>
      <c r="C34" s="9" t="s">
        <v>388</v>
      </c>
      <c r="D34" s="9" t="s">
        <v>39</v>
      </c>
      <c r="E34" s="9" t="s">
        <v>46</v>
      </c>
      <c r="F34" s="9" t="s">
        <v>51</v>
      </c>
      <c r="G34" s="10" t="s">
        <v>42</v>
      </c>
    </row>
    <row r="35" spans="1:7" x14ac:dyDescent="0.2">
      <c r="A35" s="38"/>
      <c r="B35" s="9">
        <v>65</v>
      </c>
      <c r="C35" s="9" t="s">
        <v>373</v>
      </c>
      <c r="D35" s="9" t="s">
        <v>39</v>
      </c>
      <c r="E35" s="9" t="s">
        <v>46</v>
      </c>
      <c r="F35" s="9" t="s">
        <v>51</v>
      </c>
      <c r="G35" s="10" t="s">
        <v>42</v>
      </c>
    </row>
    <row r="36" spans="1:7" x14ac:dyDescent="0.2">
      <c r="A36" s="36" t="s">
        <v>25</v>
      </c>
      <c r="B36" s="9">
        <v>65</v>
      </c>
      <c r="C36" s="9" t="s">
        <v>389</v>
      </c>
      <c r="D36" s="9" t="s">
        <v>39</v>
      </c>
      <c r="E36" s="9" t="s">
        <v>46</v>
      </c>
      <c r="F36" s="9" t="s">
        <v>41</v>
      </c>
      <c r="G36" s="10" t="s">
        <v>42</v>
      </c>
    </row>
    <row r="37" spans="1:7" ht="12.75" x14ac:dyDescent="0.2">
      <c r="A37" s="39"/>
      <c r="B37" s="9">
        <v>65</v>
      </c>
      <c r="C37" s="9" t="s">
        <v>388</v>
      </c>
      <c r="D37" s="9" t="s">
        <v>39</v>
      </c>
      <c r="E37" s="9" t="s">
        <v>46</v>
      </c>
      <c r="F37" s="9" t="s">
        <v>41</v>
      </c>
      <c r="G37" s="10" t="s">
        <v>42</v>
      </c>
    </row>
    <row r="38" spans="1:7" ht="12.75" x14ac:dyDescent="0.2">
      <c r="A38" s="37"/>
      <c r="B38" s="9">
        <v>65</v>
      </c>
      <c r="C38" s="9" t="s">
        <v>390</v>
      </c>
      <c r="D38" s="9" t="s">
        <v>39</v>
      </c>
      <c r="E38" s="9" t="s">
        <v>46</v>
      </c>
      <c r="F38" s="9" t="s">
        <v>41</v>
      </c>
      <c r="G38" s="10" t="s">
        <v>42</v>
      </c>
    </row>
    <row r="39" spans="1:7" ht="12.75" x14ac:dyDescent="0.2">
      <c r="A39" s="39"/>
      <c r="B39" s="9">
        <v>65</v>
      </c>
      <c r="C39" s="9" t="s">
        <v>391</v>
      </c>
      <c r="D39" s="9" t="s">
        <v>39</v>
      </c>
      <c r="E39" s="9" t="s">
        <v>46</v>
      </c>
      <c r="F39" s="9" t="s">
        <v>41</v>
      </c>
      <c r="G39" s="10" t="s">
        <v>42</v>
      </c>
    </row>
    <row r="40" spans="1:7" ht="12.75" x14ac:dyDescent="0.2">
      <c r="A40" s="37"/>
      <c r="B40" s="9">
        <v>65</v>
      </c>
      <c r="C40" s="9" t="s">
        <v>376</v>
      </c>
      <c r="D40" s="9" t="s">
        <v>39</v>
      </c>
      <c r="E40" s="9" t="s">
        <v>46</v>
      </c>
      <c r="F40" s="9" t="s">
        <v>41</v>
      </c>
      <c r="G40" s="10" t="s">
        <v>42</v>
      </c>
    </row>
    <row r="41" spans="1:7" ht="12.75" x14ac:dyDescent="0.2">
      <c r="A41" s="39"/>
      <c r="B41" s="9">
        <v>65</v>
      </c>
      <c r="C41" s="9" t="s">
        <v>375</v>
      </c>
      <c r="D41" s="9" t="s">
        <v>39</v>
      </c>
      <c r="E41" s="9" t="s">
        <v>46</v>
      </c>
      <c r="F41" s="9" t="s">
        <v>41</v>
      </c>
      <c r="G41" s="10" t="s">
        <v>42</v>
      </c>
    </row>
    <row r="42" spans="1:7" ht="12.75" x14ac:dyDescent="0.2">
      <c r="A42" s="37"/>
      <c r="B42" s="9">
        <v>65</v>
      </c>
      <c r="C42" s="9" t="s">
        <v>392</v>
      </c>
      <c r="D42" s="9" t="s">
        <v>39</v>
      </c>
      <c r="E42" s="9" t="s">
        <v>46</v>
      </c>
      <c r="F42" s="9" t="s">
        <v>41</v>
      </c>
      <c r="G42" s="10" t="s">
        <v>42</v>
      </c>
    </row>
    <row r="43" spans="1:7" ht="12.75" x14ac:dyDescent="0.2">
      <c r="A43" s="38"/>
      <c r="B43" s="9">
        <v>65</v>
      </c>
      <c r="C43" s="9" t="s">
        <v>393</v>
      </c>
      <c r="D43" s="9" t="s">
        <v>39</v>
      </c>
      <c r="E43" s="9" t="s">
        <v>46</v>
      </c>
      <c r="F43" s="9" t="s">
        <v>41</v>
      </c>
      <c r="G43" s="10" t="s">
        <v>42</v>
      </c>
    </row>
    <row r="44" spans="1:7" ht="12.75" x14ac:dyDescent="0.2">
      <c r="A44" s="36" t="s">
        <v>26</v>
      </c>
      <c r="B44" s="9">
        <v>65</v>
      </c>
      <c r="C44" s="9" t="s">
        <v>322</v>
      </c>
      <c r="D44" s="9" t="s">
        <v>39</v>
      </c>
      <c r="E44" s="9" t="s">
        <v>46</v>
      </c>
      <c r="F44" s="9" t="s">
        <v>51</v>
      </c>
      <c r="G44" s="10" t="s">
        <v>42</v>
      </c>
    </row>
    <row r="45" spans="1:7" ht="12.75" x14ac:dyDescent="0.2">
      <c r="A45" s="39"/>
      <c r="B45" s="9">
        <v>65</v>
      </c>
      <c r="C45" s="9" t="s">
        <v>321</v>
      </c>
      <c r="D45" s="9" t="s">
        <v>39</v>
      </c>
      <c r="E45" s="9" t="s">
        <v>46</v>
      </c>
      <c r="F45" s="9" t="s">
        <v>51</v>
      </c>
      <c r="G45" s="10" t="s">
        <v>42</v>
      </c>
    </row>
    <row r="46" spans="1:7" ht="12.75" x14ac:dyDescent="0.2">
      <c r="A46" s="37"/>
      <c r="B46" s="9">
        <v>65</v>
      </c>
      <c r="C46" s="9" t="s">
        <v>320</v>
      </c>
      <c r="D46" s="9" t="s">
        <v>39</v>
      </c>
      <c r="E46" s="9" t="s">
        <v>46</v>
      </c>
      <c r="F46" s="9" t="s">
        <v>51</v>
      </c>
      <c r="G46" s="10" t="s">
        <v>42</v>
      </c>
    </row>
    <row r="47" spans="1:7" ht="12.75" x14ac:dyDescent="0.2">
      <c r="A47" s="39"/>
      <c r="B47" s="9">
        <v>65</v>
      </c>
      <c r="C47" s="9" t="s">
        <v>394</v>
      </c>
      <c r="D47" s="9" t="s">
        <v>39</v>
      </c>
      <c r="E47" s="9" t="s">
        <v>46</v>
      </c>
      <c r="F47" s="9" t="s">
        <v>47</v>
      </c>
      <c r="G47" s="10" t="s">
        <v>42</v>
      </c>
    </row>
    <row r="48" spans="1:7" ht="12.75" x14ac:dyDescent="0.2">
      <c r="A48" s="37"/>
      <c r="B48" s="9">
        <v>65</v>
      </c>
      <c r="C48" s="9" t="s">
        <v>395</v>
      </c>
      <c r="D48" s="9" t="s">
        <v>39</v>
      </c>
      <c r="E48" s="9" t="s">
        <v>46</v>
      </c>
      <c r="F48" s="9" t="s">
        <v>51</v>
      </c>
      <c r="G48" s="10" t="s">
        <v>42</v>
      </c>
    </row>
    <row r="49" spans="1:7" ht="12.75" x14ac:dyDescent="0.2">
      <c r="A49" s="39"/>
      <c r="B49" s="9">
        <v>65</v>
      </c>
      <c r="C49" s="9" t="s">
        <v>375</v>
      </c>
      <c r="D49" s="9" t="s">
        <v>39</v>
      </c>
      <c r="E49" s="9" t="s">
        <v>46</v>
      </c>
      <c r="F49" s="9" t="s">
        <v>51</v>
      </c>
      <c r="G49" s="10" t="s">
        <v>42</v>
      </c>
    </row>
    <row r="50" spans="1:7" ht="12.75" x14ac:dyDescent="0.2">
      <c r="A50" s="37"/>
      <c r="B50" s="9">
        <v>65</v>
      </c>
      <c r="C50" s="9" t="s">
        <v>376</v>
      </c>
      <c r="D50" s="9" t="s">
        <v>39</v>
      </c>
      <c r="E50" s="9" t="s">
        <v>46</v>
      </c>
      <c r="F50" s="9" t="s">
        <v>51</v>
      </c>
      <c r="G50" s="10" t="s">
        <v>42</v>
      </c>
    </row>
    <row r="51" spans="1:7" ht="12.75" x14ac:dyDescent="0.2">
      <c r="A51" s="39"/>
      <c r="B51" s="9">
        <v>65</v>
      </c>
      <c r="C51" s="9" t="s">
        <v>386</v>
      </c>
      <c r="D51" s="9" t="s">
        <v>39</v>
      </c>
      <c r="E51" s="9" t="s">
        <v>46</v>
      </c>
      <c r="F51" s="9" t="s">
        <v>51</v>
      </c>
      <c r="G51" s="10" t="s">
        <v>42</v>
      </c>
    </row>
    <row r="52" spans="1:7" ht="12.75" x14ac:dyDescent="0.2">
      <c r="A52" s="37"/>
      <c r="B52" s="9">
        <v>65</v>
      </c>
      <c r="C52" s="9" t="s">
        <v>388</v>
      </c>
      <c r="D52" s="9" t="s">
        <v>39</v>
      </c>
      <c r="E52" s="9" t="s">
        <v>46</v>
      </c>
      <c r="F52" s="9" t="s">
        <v>51</v>
      </c>
      <c r="G52" s="10" t="s">
        <v>42</v>
      </c>
    </row>
    <row r="53" spans="1:7" ht="12.75" x14ac:dyDescent="0.2">
      <c r="A53" s="39"/>
      <c r="B53" s="9">
        <v>65</v>
      </c>
      <c r="C53" s="9" t="s">
        <v>373</v>
      </c>
      <c r="D53" s="9" t="s">
        <v>39</v>
      </c>
      <c r="E53" s="9" t="s">
        <v>46</v>
      </c>
      <c r="F53" s="9" t="s">
        <v>51</v>
      </c>
      <c r="G53" s="10" t="s">
        <v>42</v>
      </c>
    </row>
    <row r="54" spans="1:7" ht="12.75" x14ac:dyDescent="0.2">
      <c r="A54" s="37"/>
      <c r="B54" s="9">
        <v>65</v>
      </c>
      <c r="C54" s="9" t="s">
        <v>396</v>
      </c>
      <c r="D54" s="9" t="s">
        <v>39</v>
      </c>
      <c r="E54" s="9" t="s">
        <v>46</v>
      </c>
      <c r="F54" s="9" t="s">
        <v>51</v>
      </c>
      <c r="G54" s="10" t="s">
        <v>42</v>
      </c>
    </row>
    <row r="55" spans="1:7" ht="12.75" x14ac:dyDescent="0.2">
      <c r="A55" s="39"/>
      <c r="B55" s="9">
        <v>65</v>
      </c>
      <c r="C55" s="9" t="s">
        <v>397</v>
      </c>
      <c r="D55" s="9" t="s">
        <v>39</v>
      </c>
      <c r="E55" s="9" t="s">
        <v>46</v>
      </c>
      <c r="F55" s="9" t="s">
        <v>51</v>
      </c>
      <c r="G55" s="10" t="s">
        <v>42</v>
      </c>
    </row>
    <row r="56" spans="1:7" ht="12.75" x14ac:dyDescent="0.2">
      <c r="A56" s="37"/>
      <c r="B56" s="9">
        <v>65</v>
      </c>
      <c r="C56" s="9" t="s">
        <v>398</v>
      </c>
      <c r="D56" s="9" t="s">
        <v>39</v>
      </c>
      <c r="E56" s="9" t="s">
        <v>46</v>
      </c>
      <c r="F56" s="9" t="s">
        <v>51</v>
      </c>
      <c r="G56" s="10" t="s">
        <v>42</v>
      </c>
    </row>
    <row r="57" spans="1:7" ht="12.75" x14ac:dyDescent="0.2">
      <c r="A57" s="38"/>
      <c r="B57" s="9">
        <v>65</v>
      </c>
      <c r="C57" s="9" t="s">
        <v>389</v>
      </c>
      <c r="D57" s="9" t="s">
        <v>39</v>
      </c>
      <c r="E57" s="9" t="s">
        <v>46</v>
      </c>
      <c r="F57" s="9" t="s">
        <v>51</v>
      </c>
      <c r="G57" s="10" t="s">
        <v>42</v>
      </c>
    </row>
    <row r="58" spans="1:7" ht="12.75" x14ac:dyDescent="0.2">
      <c r="A58" s="36" t="s">
        <v>27</v>
      </c>
      <c r="B58" s="9">
        <v>65</v>
      </c>
      <c r="C58" s="9" t="s">
        <v>399</v>
      </c>
      <c r="D58" s="9" t="s">
        <v>39</v>
      </c>
      <c r="E58" s="9" t="s">
        <v>46</v>
      </c>
      <c r="F58" s="9" t="s">
        <v>41</v>
      </c>
      <c r="G58" s="10" t="s">
        <v>42</v>
      </c>
    </row>
    <row r="59" spans="1:7" ht="12.75" x14ac:dyDescent="0.2">
      <c r="A59" s="39"/>
      <c r="B59" s="9">
        <v>65</v>
      </c>
      <c r="C59" s="9" t="s">
        <v>359</v>
      </c>
      <c r="D59" s="9" t="s">
        <v>39</v>
      </c>
      <c r="E59" s="9" t="s">
        <v>46</v>
      </c>
      <c r="F59" s="9" t="s">
        <v>41</v>
      </c>
      <c r="G59" s="10" t="s">
        <v>42</v>
      </c>
    </row>
    <row r="60" spans="1:7" ht="12.75" x14ac:dyDescent="0.2">
      <c r="A60" s="37"/>
      <c r="B60" s="9">
        <v>65</v>
      </c>
      <c r="C60" s="9" t="s">
        <v>375</v>
      </c>
      <c r="D60" s="9" t="s">
        <v>39</v>
      </c>
      <c r="E60" s="9" t="s">
        <v>46</v>
      </c>
      <c r="F60" s="9" t="s">
        <v>41</v>
      </c>
      <c r="G60" s="10" t="s">
        <v>42</v>
      </c>
    </row>
    <row r="61" spans="1:7" ht="12.75" x14ac:dyDescent="0.2">
      <c r="A61" s="39"/>
      <c r="B61" s="9">
        <v>65</v>
      </c>
      <c r="C61" s="9" t="s">
        <v>376</v>
      </c>
      <c r="D61" s="9" t="s">
        <v>39</v>
      </c>
      <c r="E61" s="9" t="s">
        <v>46</v>
      </c>
      <c r="F61" s="9" t="s">
        <v>41</v>
      </c>
      <c r="G61" s="10" t="s">
        <v>42</v>
      </c>
    </row>
    <row r="62" spans="1:7" ht="12.75" x14ac:dyDescent="0.2">
      <c r="A62" s="37"/>
      <c r="B62" s="9">
        <v>65</v>
      </c>
      <c r="C62" s="9" t="s">
        <v>391</v>
      </c>
      <c r="D62" s="9" t="s">
        <v>39</v>
      </c>
      <c r="E62" s="9" t="s">
        <v>46</v>
      </c>
      <c r="F62" s="9" t="s">
        <v>41</v>
      </c>
      <c r="G62" s="10" t="s">
        <v>42</v>
      </c>
    </row>
    <row r="63" spans="1:7" ht="12.75" x14ac:dyDescent="0.2">
      <c r="A63" s="39"/>
      <c r="B63" s="9">
        <v>65</v>
      </c>
      <c r="C63" s="9" t="s">
        <v>400</v>
      </c>
      <c r="D63" s="9" t="s">
        <v>39</v>
      </c>
      <c r="E63" s="9" t="s">
        <v>46</v>
      </c>
      <c r="F63" s="9" t="s">
        <v>41</v>
      </c>
      <c r="G63" s="10" t="s">
        <v>42</v>
      </c>
    </row>
    <row r="64" spans="1:7" ht="12.75" x14ac:dyDescent="0.2">
      <c r="A64" s="37"/>
      <c r="B64" s="9">
        <v>65</v>
      </c>
      <c r="C64" s="9" t="s">
        <v>388</v>
      </c>
      <c r="D64" s="9" t="s">
        <v>39</v>
      </c>
      <c r="E64" s="9" t="s">
        <v>46</v>
      </c>
      <c r="F64" s="9" t="s">
        <v>41</v>
      </c>
      <c r="G64" s="10" t="s">
        <v>42</v>
      </c>
    </row>
    <row r="65" spans="1:7" ht="12.75" x14ac:dyDescent="0.2">
      <c r="A65" s="39"/>
      <c r="B65" s="9">
        <v>65</v>
      </c>
      <c r="C65" s="9" t="s">
        <v>373</v>
      </c>
      <c r="D65" s="9" t="s">
        <v>39</v>
      </c>
      <c r="E65" s="9" t="s">
        <v>46</v>
      </c>
      <c r="F65" s="9" t="s">
        <v>41</v>
      </c>
      <c r="G65" s="10" t="s">
        <v>42</v>
      </c>
    </row>
    <row r="66" spans="1:7" ht="12.75" x14ac:dyDescent="0.2">
      <c r="A66" s="37"/>
      <c r="B66" s="9">
        <v>65</v>
      </c>
      <c r="C66" s="9" t="s">
        <v>401</v>
      </c>
      <c r="D66" s="9" t="s">
        <v>39</v>
      </c>
      <c r="E66" s="9" t="s">
        <v>46</v>
      </c>
      <c r="F66" s="9" t="s">
        <v>41</v>
      </c>
      <c r="G66" s="10" t="s">
        <v>42</v>
      </c>
    </row>
    <row r="67" spans="1:7" ht="12.75" x14ac:dyDescent="0.2">
      <c r="A67" s="39"/>
      <c r="B67" s="9">
        <v>65</v>
      </c>
      <c r="C67" s="9" t="s">
        <v>402</v>
      </c>
      <c r="D67" s="9" t="s">
        <v>39</v>
      </c>
      <c r="E67" s="9" t="s">
        <v>46</v>
      </c>
      <c r="F67" s="9" t="s">
        <v>41</v>
      </c>
      <c r="G67" s="10" t="s">
        <v>42</v>
      </c>
    </row>
    <row r="68" spans="1:7" ht="12.75" x14ac:dyDescent="0.2">
      <c r="A68" s="37"/>
      <c r="B68" s="9">
        <v>65</v>
      </c>
      <c r="C68" s="9" t="s">
        <v>403</v>
      </c>
      <c r="D68" s="9" t="s">
        <v>39</v>
      </c>
      <c r="E68" s="9" t="s">
        <v>46</v>
      </c>
      <c r="F68" s="9" t="s">
        <v>41</v>
      </c>
      <c r="G68" s="10" t="s">
        <v>42</v>
      </c>
    </row>
    <row r="69" spans="1:7" ht="12.75" x14ac:dyDescent="0.2">
      <c r="A69" s="39"/>
      <c r="B69" s="9">
        <v>65</v>
      </c>
      <c r="C69" s="9" t="s">
        <v>404</v>
      </c>
      <c r="D69" s="9" t="s">
        <v>94</v>
      </c>
      <c r="E69" s="9" t="s">
        <v>46</v>
      </c>
      <c r="F69" s="9" t="s">
        <v>41</v>
      </c>
      <c r="G69" s="10" t="s">
        <v>42</v>
      </c>
    </row>
    <row r="70" spans="1:7" ht="12.75" x14ac:dyDescent="0.2">
      <c r="A70" s="37"/>
      <c r="B70" s="9">
        <v>65</v>
      </c>
      <c r="C70" s="9" t="s">
        <v>405</v>
      </c>
      <c r="D70" s="9" t="s">
        <v>39</v>
      </c>
      <c r="E70" s="9" t="s">
        <v>40</v>
      </c>
      <c r="F70" s="9" t="s">
        <v>51</v>
      </c>
      <c r="G70" s="10" t="s">
        <v>42</v>
      </c>
    </row>
    <row r="71" spans="1:7" ht="12.75" x14ac:dyDescent="0.2">
      <c r="A71" s="39"/>
      <c r="B71" s="9">
        <v>65</v>
      </c>
      <c r="C71" s="9" t="s">
        <v>406</v>
      </c>
      <c r="D71" s="9" t="s">
        <v>39</v>
      </c>
      <c r="E71" s="9" t="s">
        <v>40</v>
      </c>
      <c r="F71" s="9" t="s">
        <v>51</v>
      </c>
      <c r="G71" s="10" t="s">
        <v>42</v>
      </c>
    </row>
    <row r="72" spans="1:7" ht="12.75" x14ac:dyDescent="0.2">
      <c r="A72" s="37"/>
      <c r="B72" s="9">
        <v>65</v>
      </c>
      <c r="C72" s="9" t="s">
        <v>407</v>
      </c>
      <c r="D72" s="9" t="s">
        <v>39</v>
      </c>
      <c r="E72" s="9" t="s">
        <v>40</v>
      </c>
      <c r="F72" s="9" t="s">
        <v>51</v>
      </c>
      <c r="G72" s="10" t="s">
        <v>42</v>
      </c>
    </row>
    <row r="73" spans="1:7" ht="12.75" x14ac:dyDescent="0.2">
      <c r="A73" s="39"/>
      <c r="B73" s="9">
        <v>65</v>
      </c>
      <c r="C73" s="9" t="s">
        <v>408</v>
      </c>
      <c r="D73" s="9" t="s">
        <v>39</v>
      </c>
      <c r="E73" s="9" t="s">
        <v>40</v>
      </c>
      <c r="F73" s="9" t="s">
        <v>51</v>
      </c>
      <c r="G73" s="10" t="s">
        <v>42</v>
      </c>
    </row>
    <row r="74" spans="1:7" ht="12.75" x14ac:dyDescent="0.2">
      <c r="A74" s="37"/>
      <c r="B74" s="9">
        <v>65</v>
      </c>
      <c r="C74" s="9" t="s">
        <v>409</v>
      </c>
      <c r="D74" s="9" t="s">
        <v>39</v>
      </c>
      <c r="E74" s="9" t="s">
        <v>40</v>
      </c>
      <c r="F74" s="9" t="s">
        <v>51</v>
      </c>
      <c r="G74" s="10" t="s">
        <v>42</v>
      </c>
    </row>
    <row r="75" spans="1:7" ht="12.75" x14ac:dyDescent="0.2">
      <c r="A75" s="39"/>
      <c r="B75" s="9">
        <v>65</v>
      </c>
      <c r="C75" s="9" t="s">
        <v>410</v>
      </c>
      <c r="D75" s="9" t="s">
        <v>39</v>
      </c>
      <c r="E75" s="9" t="s">
        <v>40</v>
      </c>
      <c r="F75" s="9" t="s">
        <v>51</v>
      </c>
      <c r="G75" s="10" t="s">
        <v>42</v>
      </c>
    </row>
    <row r="76" spans="1:7" ht="12.75" x14ac:dyDescent="0.2">
      <c r="A76" s="37"/>
      <c r="B76" s="9">
        <v>65</v>
      </c>
      <c r="C76" s="9" t="s">
        <v>411</v>
      </c>
      <c r="D76" s="9" t="s">
        <v>39</v>
      </c>
      <c r="E76" s="9" t="s">
        <v>40</v>
      </c>
      <c r="F76" s="9" t="s">
        <v>51</v>
      </c>
      <c r="G76" s="10" t="s">
        <v>42</v>
      </c>
    </row>
    <row r="77" spans="1:7" ht="12.75" x14ac:dyDescent="0.2">
      <c r="A77" s="39"/>
      <c r="B77" s="9">
        <v>65</v>
      </c>
      <c r="C77" s="9" t="s">
        <v>412</v>
      </c>
      <c r="D77" s="9" t="s">
        <v>39</v>
      </c>
      <c r="E77" s="9" t="s">
        <v>40</v>
      </c>
      <c r="F77" s="9" t="s">
        <v>51</v>
      </c>
      <c r="G77" s="10" t="s">
        <v>42</v>
      </c>
    </row>
    <row r="78" spans="1:7" ht="12.75" x14ac:dyDescent="0.2">
      <c r="A78" s="40"/>
      <c r="B78" s="9">
        <v>65</v>
      </c>
      <c r="C78" s="9" t="s">
        <v>413</v>
      </c>
      <c r="D78" s="9" t="s">
        <v>39</v>
      </c>
      <c r="E78" s="9" t="s">
        <v>40</v>
      </c>
      <c r="F78" s="9" t="s">
        <v>51</v>
      </c>
      <c r="G78" s="10" t="s">
        <v>42</v>
      </c>
    </row>
    <row r="79" spans="1:7" ht="12.75" x14ac:dyDescent="0.2">
      <c r="A79" s="36" t="s">
        <v>28</v>
      </c>
      <c r="B79" s="9">
        <v>65</v>
      </c>
      <c r="C79" s="9" t="s">
        <v>414</v>
      </c>
      <c r="D79" s="9" t="s">
        <v>39</v>
      </c>
      <c r="E79" s="9" t="s">
        <v>46</v>
      </c>
      <c r="F79" s="9" t="s">
        <v>51</v>
      </c>
      <c r="G79" s="10" t="s">
        <v>42</v>
      </c>
    </row>
    <row r="80" spans="1:7" ht="12.75" x14ac:dyDescent="0.2">
      <c r="A80" s="37"/>
      <c r="B80" s="9">
        <v>65</v>
      </c>
      <c r="C80" s="9" t="s">
        <v>322</v>
      </c>
      <c r="D80" s="9" t="s">
        <v>39</v>
      </c>
      <c r="E80" s="9" t="s">
        <v>46</v>
      </c>
      <c r="F80" s="9" t="s">
        <v>51</v>
      </c>
      <c r="G80" s="10" t="s">
        <v>42</v>
      </c>
    </row>
    <row r="81" spans="1:7" ht="12.75" x14ac:dyDescent="0.2">
      <c r="A81" s="39"/>
      <c r="B81" s="9">
        <v>65</v>
      </c>
      <c r="C81" s="9" t="s">
        <v>321</v>
      </c>
      <c r="D81" s="9" t="s">
        <v>39</v>
      </c>
      <c r="E81" s="9" t="s">
        <v>46</v>
      </c>
      <c r="F81" s="9" t="s">
        <v>51</v>
      </c>
      <c r="G81" s="10" t="s">
        <v>42</v>
      </c>
    </row>
    <row r="82" spans="1:7" ht="12.75" x14ac:dyDescent="0.2">
      <c r="A82" s="37"/>
      <c r="B82" s="9">
        <v>65</v>
      </c>
      <c r="C82" s="9" t="s">
        <v>415</v>
      </c>
      <c r="D82" s="9" t="s">
        <v>39</v>
      </c>
      <c r="E82" s="9" t="s">
        <v>46</v>
      </c>
      <c r="F82" s="9" t="s">
        <v>47</v>
      </c>
      <c r="G82" s="10" t="s">
        <v>42</v>
      </c>
    </row>
    <row r="83" spans="1:7" ht="12.75" x14ac:dyDescent="0.2">
      <c r="A83" s="39"/>
      <c r="B83" s="9">
        <v>65</v>
      </c>
      <c r="C83" s="9" t="s">
        <v>320</v>
      </c>
      <c r="D83" s="9" t="s">
        <v>39</v>
      </c>
      <c r="E83" s="9" t="s">
        <v>46</v>
      </c>
      <c r="F83" s="9" t="s">
        <v>51</v>
      </c>
      <c r="G83" s="10" t="s">
        <v>42</v>
      </c>
    </row>
    <row r="84" spans="1:7" ht="12.75" x14ac:dyDescent="0.2">
      <c r="A84" s="37"/>
      <c r="B84" s="9">
        <v>65</v>
      </c>
      <c r="C84" s="9" t="s">
        <v>399</v>
      </c>
      <c r="D84" s="9" t="s">
        <v>39</v>
      </c>
      <c r="E84" s="9" t="s">
        <v>46</v>
      </c>
      <c r="F84" s="9" t="s">
        <v>51</v>
      </c>
      <c r="G84" s="10" t="s">
        <v>42</v>
      </c>
    </row>
    <row r="85" spans="1:7" ht="12.75" x14ac:dyDescent="0.2">
      <c r="A85" s="39"/>
      <c r="B85" s="9">
        <v>65</v>
      </c>
      <c r="C85" s="9" t="s">
        <v>416</v>
      </c>
      <c r="D85" s="9" t="s">
        <v>39</v>
      </c>
      <c r="E85" s="9" t="s">
        <v>46</v>
      </c>
      <c r="F85" s="9" t="s">
        <v>51</v>
      </c>
      <c r="G85" s="10" t="s">
        <v>42</v>
      </c>
    </row>
    <row r="86" spans="1:7" ht="12.75" x14ac:dyDescent="0.2">
      <c r="A86" s="37"/>
      <c r="B86" s="9">
        <v>65</v>
      </c>
      <c r="C86" s="9" t="s">
        <v>375</v>
      </c>
      <c r="D86" s="9" t="s">
        <v>39</v>
      </c>
      <c r="E86" s="9" t="s">
        <v>46</v>
      </c>
      <c r="F86" s="9" t="s">
        <v>51</v>
      </c>
      <c r="G86" s="10" t="s">
        <v>42</v>
      </c>
    </row>
    <row r="87" spans="1:7" ht="12.75" x14ac:dyDescent="0.2">
      <c r="A87" s="39"/>
      <c r="B87" s="9">
        <v>65</v>
      </c>
      <c r="C87" s="9" t="s">
        <v>417</v>
      </c>
      <c r="D87" s="9" t="s">
        <v>39</v>
      </c>
      <c r="E87" s="9" t="s">
        <v>46</v>
      </c>
      <c r="F87" s="9" t="s">
        <v>51</v>
      </c>
      <c r="G87" s="10" t="s">
        <v>42</v>
      </c>
    </row>
    <row r="88" spans="1:7" ht="12.75" x14ac:dyDescent="0.2">
      <c r="A88" s="37"/>
      <c r="B88" s="9">
        <v>65</v>
      </c>
      <c r="C88" s="9" t="s">
        <v>391</v>
      </c>
      <c r="D88" s="9" t="s">
        <v>39</v>
      </c>
      <c r="E88" s="9" t="s">
        <v>46</v>
      </c>
      <c r="F88" s="9" t="s">
        <v>51</v>
      </c>
      <c r="G88" s="10" t="s">
        <v>42</v>
      </c>
    </row>
    <row r="89" spans="1:7" ht="12.75" x14ac:dyDescent="0.2">
      <c r="A89" s="39"/>
      <c r="B89" s="9">
        <v>65</v>
      </c>
      <c r="C89" s="9" t="s">
        <v>418</v>
      </c>
      <c r="D89" s="9" t="s">
        <v>39</v>
      </c>
      <c r="E89" s="9" t="s">
        <v>46</v>
      </c>
      <c r="F89" s="9" t="s">
        <v>51</v>
      </c>
      <c r="G89" s="10" t="s">
        <v>42</v>
      </c>
    </row>
    <row r="90" spans="1:7" ht="12.75" x14ac:dyDescent="0.2">
      <c r="A90" s="37"/>
      <c r="B90" s="9">
        <v>65</v>
      </c>
      <c r="C90" s="9" t="s">
        <v>388</v>
      </c>
      <c r="D90" s="9" t="s">
        <v>39</v>
      </c>
      <c r="E90" s="9" t="s">
        <v>46</v>
      </c>
      <c r="F90" s="9" t="s">
        <v>51</v>
      </c>
      <c r="G90" s="10" t="s">
        <v>42</v>
      </c>
    </row>
    <row r="91" spans="1:7" ht="12.75" x14ac:dyDescent="0.2">
      <c r="A91" s="39"/>
      <c r="B91" s="9">
        <v>65</v>
      </c>
      <c r="C91" s="9" t="s">
        <v>373</v>
      </c>
      <c r="D91" s="9" t="s">
        <v>39</v>
      </c>
      <c r="E91" s="9" t="s">
        <v>46</v>
      </c>
      <c r="F91" s="9" t="s">
        <v>51</v>
      </c>
      <c r="G91" s="10" t="s">
        <v>42</v>
      </c>
    </row>
    <row r="92" spans="1:7" ht="12.75" x14ac:dyDescent="0.2">
      <c r="A92" s="37"/>
      <c r="B92" s="9">
        <v>65</v>
      </c>
      <c r="C92" s="9" t="s">
        <v>419</v>
      </c>
      <c r="D92" s="9" t="s">
        <v>39</v>
      </c>
      <c r="E92" s="9" t="s">
        <v>46</v>
      </c>
      <c r="F92" s="9" t="s">
        <v>51</v>
      </c>
      <c r="G92" s="10" t="s">
        <v>42</v>
      </c>
    </row>
    <row r="93" spans="1:7" ht="12.75" x14ac:dyDescent="0.2">
      <c r="A93" s="39"/>
      <c r="B93" s="9">
        <v>65</v>
      </c>
      <c r="C93" s="9" t="s">
        <v>402</v>
      </c>
      <c r="D93" s="9" t="s">
        <v>39</v>
      </c>
      <c r="E93" s="9" t="s">
        <v>46</v>
      </c>
      <c r="F93" s="9" t="s">
        <v>51</v>
      </c>
      <c r="G93" s="10" t="s">
        <v>42</v>
      </c>
    </row>
    <row r="94" spans="1:7" ht="12.75" x14ac:dyDescent="0.2">
      <c r="A94" s="37"/>
      <c r="B94" s="9">
        <v>65</v>
      </c>
      <c r="C94" s="9" t="s">
        <v>398</v>
      </c>
      <c r="D94" s="9" t="s">
        <v>39</v>
      </c>
      <c r="E94" s="9" t="s">
        <v>46</v>
      </c>
      <c r="F94" s="9" t="s">
        <v>51</v>
      </c>
      <c r="G94" s="10" t="s">
        <v>42</v>
      </c>
    </row>
    <row r="95" spans="1:7" ht="12.75" x14ac:dyDescent="0.2">
      <c r="A95" s="38"/>
      <c r="B95" s="9">
        <v>65</v>
      </c>
      <c r="C95" s="9" t="s">
        <v>404</v>
      </c>
      <c r="D95" s="9" t="s">
        <v>94</v>
      </c>
      <c r="E95" s="9" t="s">
        <v>46</v>
      </c>
      <c r="F95" s="9" t="s">
        <v>51</v>
      </c>
      <c r="G95" s="10" t="s">
        <v>42</v>
      </c>
    </row>
    <row r="96" spans="1:7" ht="12.75" x14ac:dyDescent="0.2">
      <c r="A96" s="36" t="s">
        <v>29</v>
      </c>
      <c r="B96" s="9">
        <v>65</v>
      </c>
      <c r="C96" s="9" t="s">
        <v>420</v>
      </c>
      <c r="D96" s="9" t="s">
        <v>39</v>
      </c>
      <c r="E96" s="9" t="s">
        <v>46</v>
      </c>
      <c r="F96" s="9" t="s">
        <v>41</v>
      </c>
      <c r="G96" s="10" t="s">
        <v>42</v>
      </c>
    </row>
    <row r="97" spans="1:7" ht="12.75" x14ac:dyDescent="0.2">
      <c r="A97" s="39"/>
      <c r="B97" s="9">
        <v>65</v>
      </c>
      <c r="C97" s="9" t="s">
        <v>421</v>
      </c>
      <c r="D97" s="9" t="s">
        <v>94</v>
      </c>
      <c r="E97" s="9" t="s">
        <v>46</v>
      </c>
      <c r="F97" s="9" t="s">
        <v>41</v>
      </c>
      <c r="G97" s="10" t="s">
        <v>42</v>
      </c>
    </row>
    <row r="98" spans="1:7" ht="12.75" x14ac:dyDescent="0.2">
      <c r="A98" s="37"/>
      <c r="B98" s="9">
        <v>65</v>
      </c>
      <c r="C98" s="9" t="s">
        <v>375</v>
      </c>
      <c r="D98" s="9" t="s">
        <v>39</v>
      </c>
      <c r="E98" s="9" t="s">
        <v>46</v>
      </c>
      <c r="F98" s="9" t="s">
        <v>41</v>
      </c>
      <c r="G98" s="10" t="s">
        <v>42</v>
      </c>
    </row>
    <row r="99" spans="1:7" ht="12.75" x14ac:dyDescent="0.2">
      <c r="A99" s="39"/>
      <c r="B99" s="9">
        <v>65</v>
      </c>
      <c r="C99" s="9" t="s">
        <v>376</v>
      </c>
      <c r="D99" s="9" t="s">
        <v>39</v>
      </c>
      <c r="E99" s="9" t="s">
        <v>46</v>
      </c>
      <c r="F99" s="9" t="s">
        <v>41</v>
      </c>
      <c r="G99" s="10" t="s">
        <v>42</v>
      </c>
    </row>
    <row r="100" spans="1:7" ht="12.75" x14ac:dyDescent="0.2">
      <c r="A100" s="37"/>
      <c r="B100" s="9">
        <v>65</v>
      </c>
      <c r="C100" s="9" t="s">
        <v>391</v>
      </c>
      <c r="D100" s="9" t="s">
        <v>39</v>
      </c>
      <c r="E100" s="9" t="s">
        <v>46</v>
      </c>
      <c r="F100" s="9" t="s">
        <v>41</v>
      </c>
      <c r="G100" s="10" t="s">
        <v>42</v>
      </c>
    </row>
    <row r="101" spans="1:7" ht="12.75" x14ac:dyDescent="0.2">
      <c r="A101" s="39"/>
      <c r="B101" s="9">
        <v>65</v>
      </c>
      <c r="C101" s="9" t="s">
        <v>422</v>
      </c>
      <c r="D101" s="9" t="s">
        <v>39</v>
      </c>
      <c r="E101" s="9" t="s">
        <v>46</v>
      </c>
      <c r="F101" s="9" t="s">
        <v>41</v>
      </c>
      <c r="G101" s="10" t="s">
        <v>42</v>
      </c>
    </row>
    <row r="102" spans="1:7" ht="12.75" x14ac:dyDescent="0.2">
      <c r="A102" s="37"/>
      <c r="B102" s="9">
        <v>65</v>
      </c>
      <c r="C102" s="9" t="s">
        <v>388</v>
      </c>
      <c r="D102" s="9" t="s">
        <v>39</v>
      </c>
      <c r="E102" s="9" t="s">
        <v>46</v>
      </c>
      <c r="F102" s="9" t="s">
        <v>41</v>
      </c>
      <c r="G102" s="10" t="s">
        <v>42</v>
      </c>
    </row>
    <row r="103" spans="1:7" ht="12.75" x14ac:dyDescent="0.2">
      <c r="A103" s="39"/>
      <c r="B103" s="9">
        <v>65</v>
      </c>
      <c r="C103" s="9" t="s">
        <v>373</v>
      </c>
      <c r="D103" s="9" t="s">
        <v>39</v>
      </c>
      <c r="E103" s="9" t="s">
        <v>46</v>
      </c>
      <c r="F103" s="9" t="s">
        <v>41</v>
      </c>
      <c r="G103" s="10" t="s">
        <v>42</v>
      </c>
    </row>
    <row r="104" spans="1:7" ht="12.75" x14ac:dyDescent="0.2">
      <c r="A104" s="37"/>
      <c r="B104" s="9">
        <v>65</v>
      </c>
      <c r="C104" s="9" t="s">
        <v>423</v>
      </c>
      <c r="D104" s="9" t="s">
        <v>94</v>
      </c>
      <c r="E104" s="9" t="s">
        <v>46</v>
      </c>
      <c r="F104" s="9" t="s">
        <v>41</v>
      </c>
      <c r="G104" s="10" t="s">
        <v>42</v>
      </c>
    </row>
    <row r="105" spans="1:7" ht="12.75" x14ac:dyDescent="0.2">
      <c r="A105" s="39"/>
      <c r="B105" s="9">
        <v>65</v>
      </c>
      <c r="C105" s="9" t="s">
        <v>424</v>
      </c>
      <c r="D105" s="9" t="s">
        <v>39</v>
      </c>
      <c r="E105" s="9" t="s">
        <v>46</v>
      </c>
      <c r="F105" s="9" t="s">
        <v>41</v>
      </c>
      <c r="G105" s="10" t="s">
        <v>42</v>
      </c>
    </row>
    <row r="106" spans="1:7" ht="12.75" x14ac:dyDescent="0.2">
      <c r="A106" s="37"/>
      <c r="B106" s="9">
        <v>65</v>
      </c>
      <c r="C106" s="9" t="s">
        <v>403</v>
      </c>
      <c r="D106" s="9" t="s">
        <v>39</v>
      </c>
      <c r="E106" s="9" t="s">
        <v>46</v>
      </c>
      <c r="F106" s="9" t="s">
        <v>41</v>
      </c>
      <c r="G106" s="10" t="s">
        <v>42</v>
      </c>
    </row>
    <row r="107" spans="1:7" ht="12.75" x14ac:dyDescent="0.2">
      <c r="A107" s="38"/>
      <c r="B107" s="9">
        <v>65</v>
      </c>
      <c r="C107" s="9" t="s">
        <v>404</v>
      </c>
      <c r="D107" s="9" t="s">
        <v>94</v>
      </c>
      <c r="E107" s="9" t="s">
        <v>46</v>
      </c>
      <c r="F107" s="9" t="s">
        <v>41</v>
      </c>
      <c r="G107" s="10" t="s">
        <v>42</v>
      </c>
    </row>
    <row r="108" spans="1:7" ht="12.75" x14ac:dyDescent="0.2">
      <c r="A108" s="36" t="s">
        <v>30</v>
      </c>
      <c r="B108" s="9">
        <v>65</v>
      </c>
      <c r="C108" s="9" t="s">
        <v>322</v>
      </c>
      <c r="D108" s="9" t="s">
        <v>39</v>
      </c>
      <c r="E108" s="9" t="s">
        <v>46</v>
      </c>
      <c r="F108" s="9" t="s">
        <v>51</v>
      </c>
      <c r="G108" s="10" t="s">
        <v>42</v>
      </c>
    </row>
    <row r="109" spans="1:7" ht="12.75" x14ac:dyDescent="0.2">
      <c r="A109" s="39"/>
      <c r="B109" s="9">
        <v>65</v>
      </c>
      <c r="C109" s="9" t="s">
        <v>317</v>
      </c>
      <c r="D109" s="9" t="s">
        <v>39</v>
      </c>
      <c r="E109" s="9" t="s">
        <v>46</v>
      </c>
      <c r="F109" s="9" t="s">
        <v>51</v>
      </c>
      <c r="G109" s="10" t="s">
        <v>42</v>
      </c>
    </row>
    <row r="110" spans="1:7" ht="12.75" x14ac:dyDescent="0.2">
      <c r="A110" s="37"/>
      <c r="B110" s="9">
        <v>65</v>
      </c>
      <c r="C110" s="9" t="s">
        <v>425</v>
      </c>
      <c r="D110" s="9" t="s">
        <v>39</v>
      </c>
      <c r="E110" s="9" t="s">
        <v>46</v>
      </c>
      <c r="F110" s="9" t="s">
        <v>51</v>
      </c>
      <c r="G110" s="10" t="s">
        <v>42</v>
      </c>
    </row>
    <row r="111" spans="1:7" ht="12.75" x14ac:dyDescent="0.2">
      <c r="A111" s="39"/>
      <c r="B111" s="9">
        <v>65</v>
      </c>
      <c r="C111" s="9" t="s">
        <v>421</v>
      </c>
      <c r="D111" s="9" t="s">
        <v>94</v>
      </c>
      <c r="E111" s="9" t="s">
        <v>46</v>
      </c>
      <c r="F111" s="9" t="s">
        <v>51</v>
      </c>
      <c r="G111" s="10" t="s">
        <v>42</v>
      </c>
    </row>
    <row r="112" spans="1:7" ht="12.75" x14ac:dyDescent="0.2">
      <c r="A112" s="37"/>
      <c r="B112" s="9">
        <v>65</v>
      </c>
      <c r="C112" s="9" t="s">
        <v>426</v>
      </c>
      <c r="D112" s="9" t="s">
        <v>39</v>
      </c>
      <c r="E112" s="9" t="s">
        <v>46</v>
      </c>
      <c r="F112" s="9" t="s">
        <v>51</v>
      </c>
      <c r="G112" s="10" t="s">
        <v>42</v>
      </c>
    </row>
    <row r="113" spans="1:7" ht="12.75" x14ac:dyDescent="0.2">
      <c r="A113" s="39"/>
      <c r="B113" s="9">
        <v>65</v>
      </c>
      <c r="C113" s="9" t="s">
        <v>376</v>
      </c>
      <c r="D113" s="9" t="s">
        <v>39</v>
      </c>
      <c r="E113" s="9" t="s">
        <v>46</v>
      </c>
      <c r="F113" s="9" t="s">
        <v>51</v>
      </c>
      <c r="G113" s="10" t="s">
        <v>42</v>
      </c>
    </row>
    <row r="114" spans="1:7" ht="12.75" x14ac:dyDescent="0.2">
      <c r="A114" s="37"/>
      <c r="B114" s="9">
        <v>65</v>
      </c>
      <c r="C114" s="9" t="s">
        <v>427</v>
      </c>
      <c r="D114" s="9" t="s">
        <v>39</v>
      </c>
      <c r="E114" s="9" t="s">
        <v>46</v>
      </c>
      <c r="F114" s="9" t="s">
        <v>51</v>
      </c>
      <c r="G114" s="10" t="s">
        <v>42</v>
      </c>
    </row>
    <row r="115" spans="1:7" ht="12.75" x14ac:dyDescent="0.2">
      <c r="A115" s="39"/>
      <c r="B115" s="9">
        <v>65</v>
      </c>
      <c r="C115" s="9" t="s">
        <v>428</v>
      </c>
      <c r="D115" s="9" t="s">
        <v>39</v>
      </c>
      <c r="E115" s="9" t="s">
        <v>46</v>
      </c>
      <c r="F115" s="9" t="s">
        <v>51</v>
      </c>
      <c r="G115" s="10" t="s">
        <v>42</v>
      </c>
    </row>
    <row r="116" spans="1:7" ht="12.75" x14ac:dyDescent="0.2">
      <c r="A116" s="37"/>
      <c r="B116" s="9">
        <v>65</v>
      </c>
      <c r="C116" s="9" t="s">
        <v>388</v>
      </c>
      <c r="D116" s="9" t="s">
        <v>39</v>
      </c>
      <c r="E116" s="9" t="s">
        <v>46</v>
      </c>
      <c r="F116" s="9" t="s">
        <v>51</v>
      </c>
      <c r="G116" s="10" t="s">
        <v>42</v>
      </c>
    </row>
    <row r="117" spans="1:7" ht="12.75" x14ac:dyDescent="0.2">
      <c r="A117" s="39"/>
      <c r="B117" s="9">
        <v>65</v>
      </c>
      <c r="C117" s="9" t="s">
        <v>373</v>
      </c>
      <c r="D117" s="9" t="s">
        <v>39</v>
      </c>
      <c r="E117" s="9" t="s">
        <v>46</v>
      </c>
      <c r="F117" s="9" t="s">
        <v>51</v>
      </c>
      <c r="G117" s="10" t="s">
        <v>42</v>
      </c>
    </row>
    <row r="118" spans="1:7" ht="12.75" x14ac:dyDescent="0.2">
      <c r="A118" s="37"/>
      <c r="B118" s="9">
        <v>65</v>
      </c>
      <c r="C118" s="9" t="s">
        <v>423</v>
      </c>
      <c r="D118" s="9" t="s">
        <v>94</v>
      </c>
      <c r="E118" s="9" t="s">
        <v>46</v>
      </c>
      <c r="F118" s="9" t="s">
        <v>51</v>
      </c>
      <c r="G118" s="10" t="s">
        <v>42</v>
      </c>
    </row>
    <row r="119" spans="1:7" ht="12.75" x14ac:dyDescent="0.2">
      <c r="A119" s="39"/>
      <c r="B119" s="9">
        <v>65</v>
      </c>
      <c r="C119" s="9" t="s">
        <v>429</v>
      </c>
      <c r="D119" s="9" t="s">
        <v>39</v>
      </c>
      <c r="E119" s="9" t="s">
        <v>46</v>
      </c>
      <c r="F119" s="9" t="s">
        <v>51</v>
      </c>
      <c r="G119" s="10" t="s">
        <v>42</v>
      </c>
    </row>
    <row r="120" spans="1:7" ht="12.75" x14ac:dyDescent="0.2">
      <c r="A120" s="40"/>
      <c r="B120" s="9">
        <v>65</v>
      </c>
      <c r="C120" s="9" t="s">
        <v>430</v>
      </c>
      <c r="D120" s="9" t="s">
        <v>39</v>
      </c>
      <c r="E120" s="9" t="s">
        <v>46</v>
      </c>
      <c r="F120" s="9" t="s">
        <v>51</v>
      </c>
      <c r="G120" s="10" t="s">
        <v>42</v>
      </c>
    </row>
    <row r="121" spans="1:7" ht="12.75" x14ac:dyDescent="0.2">
      <c r="A121" s="36" t="s">
        <v>31</v>
      </c>
      <c r="B121" s="9">
        <v>65</v>
      </c>
      <c r="C121" s="9" t="s">
        <v>431</v>
      </c>
      <c r="D121" s="9" t="s">
        <v>39</v>
      </c>
      <c r="E121" s="9" t="s">
        <v>46</v>
      </c>
      <c r="F121" s="9" t="s">
        <v>41</v>
      </c>
      <c r="G121" s="10" t="s">
        <v>42</v>
      </c>
    </row>
    <row r="122" spans="1:7" ht="12.75" x14ac:dyDescent="0.2">
      <c r="A122" s="37"/>
      <c r="B122" s="9">
        <v>65</v>
      </c>
      <c r="C122" s="9" t="s">
        <v>375</v>
      </c>
      <c r="D122" s="9" t="s">
        <v>39</v>
      </c>
      <c r="E122" s="9" t="s">
        <v>46</v>
      </c>
      <c r="F122" s="9" t="s">
        <v>41</v>
      </c>
      <c r="G122" s="10" t="s">
        <v>42</v>
      </c>
    </row>
    <row r="123" spans="1:7" ht="12.75" x14ac:dyDescent="0.2">
      <c r="A123" s="39"/>
      <c r="B123" s="9">
        <v>65</v>
      </c>
      <c r="C123" s="9" t="s">
        <v>376</v>
      </c>
      <c r="D123" s="9" t="s">
        <v>39</v>
      </c>
      <c r="E123" s="9" t="s">
        <v>46</v>
      </c>
      <c r="F123" s="9" t="s">
        <v>41</v>
      </c>
      <c r="G123" s="10" t="s">
        <v>42</v>
      </c>
    </row>
    <row r="124" spans="1:7" ht="12.75" x14ac:dyDescent="0.2">
      <c r="A124" s="37"/>
      <c r="B124" s="9">
        <v>65</v>
      </c>
      <c r="C124" s="9" t="s">
        <v>432</v>
      </c>
      <c r="D124" s="9" t="s">
        <v>39</v>
      </c>
      <c r="E124" s="9" t="s">
        <v>46</v>
      </c>
      <c r="F124" s="9" t="s">
        <v>41</v>
      </c>
      <c r="G124" s="10" t="s">
        <v>42</v>
      </c>
    </row>
    <row r="125" spans="1:7" ht="12.75" x14ac:dyDescent="0.2">
      <c r="A125" s="39"/>
      <c r="B125" s="9">
        <v>65</v>
      </c>
      <c r="C125" s="9" t="s">
        <v>433</v>
      </c>
      <c r="D125" s="9" t="s">
        <v>39</v>
      </c>
      <c r="E125" s="9" t="s">
        <v>46</v>
      </c>
      <c r="F125" s="9" t="s">
        <v>41</v>
      </c>
      <c r="G125" s="10" t="s">
        <v>42</v>
      </c>
    </row>
    <row r="126" spans="1:7" ht="12.75" x14ac:dyDescent="0.2">
      <c r="A126" s="37"/>
      <c r="B126" s="9">
        <v>65</v>
      </c>
      <c r="C126" s="9" t="s">
        <v>388</v>
      </c>
      <c r="D126" s="9" t="s">
        <v>39</v>
      </c>
      <c r="E126" s="9" t="s">
        <v>46</v>
      </c>
      <c r="F126" s="9" t="s">
        <v>41</v>
      </c>
      <c r="G126" s="10" t="s">
        <v>42</v>
      </c>
    </row>
    <row r="127" spans="1:7" ht="12.75" x14ac:dyDescent="0.2">
      <c r="A127" s="39"/>
      <c r="B127" s="9">
        <v>65</v>
      </c>
      <c r="C127" s="9" t="s">
        <v>373</v>
      </c>
      <c r="D127" s="9" t="s">
        <v>39</v>
      </c>
      <c r="E127" s="9" t="s">
        <v>46</v>
      </c>
      <c r="F127" s="9" t="s">
        <v>41</v>
      </c>
      <c r="G127" s="10" t="s">
        <v>42</v>
      </c>
    </row>
    <row r="128" spans="1:7" ht="12.75" x14ac:dyDescent="0.2">
      <c r="A128" s="37"/>
      <c r="B128" s="9">
        <v>65</v>
      </c>
      <c r="C128" s="9" t="s">
        <v>434</v>
      </c>
      <c r="D128" s="9" t="s">
        <v>39</v>
      </c>
      <c r="E128" s="9" t="s">
        <v>46</v>
      </c>
      <c r="F128" s="9" t="s">
        <v>41</v>
      </c>
      <c r="G128" s="10" t="s">
        <v>42</v>
      </c>
    </row>
    <row r="129" spans="1:7" ht="12.75" x14ac:dyDescent="0.2">
      <c r="A129" s="39"/>
      <c r="B129" s="9">
        <v>65</v>
      </c>
      <c r="C129" s="9" t="s">
        <v>435</v>
      </c>
      <c r="D129" s="9" t="s">
        <v>94</v>
      </c>
      <c r="E129" s="9" t="s">
        <v>46</v>
      </c>
      <c r="F129" s="9" t="s">
        <v>51</v>
      </c>
      <c r="G129" s="10" t="s">
        <v>42</v>
      </c>
    </row>
    <row r="130" spans="1:7" ht="12.75" x14ac:dyDescent="0.2">
      <c r="A130" s="37"/>
      <c r="B130" s="9">
        <v>65</v>
      </c>
      <c r="C130" s="9" t="s">
        <v>436</v>
      </c>
      <c r="D130" s="9" t="s">
        <v>39</v>
      </c>
      <c r="E130" s="9" t="s">
        <v>46</v>
      </c>
      <c r="F130" s="9" t="s">
        <v>41</v>
      </c>
      <c r="G130" s="10" t="s">
        <v>42</v>
      </c>
    </row>
    <row r="131" spans="1:7" ht="12.75" x14ac:dyDescent="0.2">
      <c r="A131" s="38"/>
      <c r="B131" s="9">
        <v>65</v>
      </c>
      <c r="C131" s="9" t="s">
        <v>437</v>
      </c>
      <c r="D131" s="9" t="s">
        <v>39</v>
      </c>
      <c r="E131" s="9" t="s">
        <v>46</v>
      </c>
      <c r="F131" s="9" t="s">
        <v>51</v>
      </c>
      <c r="G131" s="10" t="s">
        <v>42</v>
      </c>
    </row>
    <row r="132" spans="1:7" ht="12.75" x14ac:dyDescent="0.2">
      <c r="A132" s="36" t="s">
        <v>32</v>
      </c>
      <c r="B132" s="9">
        <v>65</v>
      </c>
      <c r="C132" s="9" t="s">
        <v>438</v>
      </c>
      <c r="D132" s="9" t="s">
        <v>39</v>
      </c>
      <c r="E132" s="9" t="s">
        <v>46</v>
      </c>
      <c r="F132" s="9" t="s">
        <v>51</v>
      </c>
      <c r="G132" s="10" t="s">
        <v>42</v>
      </c>
    </row>
    <row r="133" spans="1:7" ht="12.75" x14ac:dyDescent="0.2">
      <c r="A133" s="39"/>
      <c r="B133" s="9">
        <v>65</v>
      </c>
      <c r="C133" s="9" t="s">
        <v>317</v>
      </c>
      <c r="D133" s="9" t="s">
        <v>94</v>
      </c>
      <c r="E133" s="9" t="s">
        <v>46</v>
      </c>
      <c r="F133" s="9" t="s">
        <v>51</v>
      </c>
      <c r="G133" s="10" t="s">
        <v>42</v>
      </c>
    </row>
    <row r="134" spans="1:7" ht="12.75" x14ac:dyDescent="0.2">
      <c r="A134" s="37"/>
      <c r="B134" s="9">
        <v>65</v>
      </c>
      <c r="C134" s="9" t="s">
        <v>439</v>
      </c>
      <c r="D134" s="9" t="s">
        <v>39</v>
      </c>
      <c r="E134" s="9" t="s">
        <v>46</v>
      </c>
      <c r="F134" s="9" t="s">
        <v>51</v>
      </c>
      <c r="G134" s="10" t="s">
        <v>42</v>
      </c>
    </row>
    <row r="135" spans="1:7" ht="12.75" x14ac:dyDescent="0.2">
      <c r="A135" s="39"/>
      <c r="B135" s="9">
        <v>65</v>
      </c>
      <c r="C135" s="9" t="s">
        <v>322</v>
      </c>
      <c r="D135" s="9" t="s">
        <v>39</v>
      </c>
      <c r="E135" s="9" t="s">
        <v>46</v>
      </c>
      <c r="F135" s="9" t="s">
        <v>51</v>
      </c>
      <c r="G135" s="10" t="s">
        <v>42</v>
      </c>
    </row>
    <row r="136" spans="1:7" ht="12.75" x14ac:dyDescent="0.2">
      <c r="A136" s="37"/>
      <c r="B136" s="9">
        <v>65</v>
      </c>
      <c r="C136" s="9" t="s">
        <v>440</v>
      </c>
      <c r="D136" s="9" t="s">
        <v>39</v>
      </c>
      <c r="E136" s="9" t="s">
        <v>46</v>
      </c>
      <c r="F136" s="9" t="s">
        <v>51</v>
      </c>
      <c r="G136" s="10" t="s">
        <v>42</v>
      </c>
    </row>
    <row r="137" spans="1:7" ht="12.75" x14ac:dyDescent="0.2">
      <c r="A137" s="39"/>
      <c r="B137" s="9">
        <v>65</v>
      </c>
      <c r="C137" s="9" t="s">
        <v>431</v>
      </c>
      <c r="D137" s="9" t="s">
        <v>39</v>
      </c>
      <c r="E137" s="9" t="s">
        <v>46</v>
      </c>
      <c r="F137" s="9" t="s">
        <v>51</v>
      </c>
      <c r="G137" s="10" t="s">
        <v>42</v>
      </c>
    </row>
    <row r="138" spans="1:7" ht="12.75" x14ac:dyDescent="0.2">
      <c r="A138" s="37"/>
      <c r="B138" s="9">
        <v>65</v>
      </c>
      <c r="C138" s="9" t="s">
        <v>375</v>
      </c>
      <c r="D138" s="9" t="s">
        <v>39</v>
      </c>
      <c r="E138" s="9" t="s">
        <v>46</v>
      </c>
      <c r="F138" s="9" t="s">
        <v>51</v>
      </c>
      <c r="G138" s="10" t="s">
        <v>42</v>
      </c>
    </row>
    <row r="139" spans="1:7" ht="12.75" x14ac:dyDescent="0.2">
      <c r="A139" s="39"/>
      <c r="B139" s="9">
        <v>65</v>
      </c>
      <c r="C139" s="9" t="s">
        <v>441</v>
      </c>
      <c r="D139" s="9" t="s">
        <v>39</v>
      </c>
      <c r="E139" s="9" t="s">
        <v>46</v>
      </c>
      <c r="F139" s="9" t="s">
        <v>51</v>
      </c>
      <c r="G139" s="10" t="s">
        <v>42</v>
      </c>
    </row>
    <row r="140" spans="1:7" ht="12.75" x14ac:dyDescent="0.2">
      <c r="A140" s="37"/>
      <c r="B140" s="9">
        <v>65</v>
      </c>
      <c r="C140" s="9" t="s">
        <v>433</v>
      </c>
      <c r="D140" s="9" t="s">
        <v>39</v>
      </c>
      <c r="E140" s="9" t="s">
        <v>46</v>
      </c>
      <c r="F140" s="9" t="s">
        <v>51</v>
      </c>
      <c r="G140" s="10" t="s">
        <v>42</v>
      </c>
    </row>
    <row r="141" spans="1:7" ht="12.75" x14ac:dyDescent="0.2">
      <c r="A141" s="39"/>
      <c r="B141" s="9">
        <v>65</v>
      </c>
      <c r="C141" s="9" t="s">
        <v>388</v>
      </c>
      <c r="D141" s="9" t="s">
        <v>39</v>
      </c>
      <c r="E141" s="9" t="s">
        <v>46</v>
      </c>
      <c r="F141" s="9" t="s">
        <v>51</v>
      </c>
      <c r="G141" s="10" t="s">
        <v>42</v>
      </c>
    </row>
    <row r="142" spans="1:7" ht="12.75" x14ac:dyDescent="0.2">
      <c r="A142" s="37"/>
      <c r="B142" s="9">
        <v>65</v>
      </c>
      <c r="C142" s="9" t="s">
        <v>373</v>
      </c>
      <c r="D142" s="9" t="s">
        <v>39</v>
      </c>
      <c r="E142" s="9" t="s">
        <v>46</v>
      </c>
      <c r="F142" s="9" t="s">
        <v>51</v>
      </c>
      <c r="G142" s="10" t="s">
        <v>42</v>
      </c>
    </row>
    <row r="143" spans="1:7" ht="12.75" x14ac:dyDescent="0.2">
      <c r="A143" s="39"/>
      <c r="B143" s="9">
        <v>65</v>
      </c>
      <c r="C143" s="9" t="s">
        <v>442</v>
      </c>
      <c r="D143" s="9" t="s">
        <v>39</v>
      </c>
      <c r="E143" s="9" t="s">
        <v>46</v>
      </c>
      <c r="F143" s="9" t="s">
        <v>51</v>
      </c>
      <c r="G143" s="10" t="s">
        <v>42</v>
      </c>
    </row>
    <row r="144" spans="1:7" ht="12.75" x14ac:dyDescent="0.2">
      <c r="A144" s="37"/>
      <c r="B144" s="9">
        <v>65</v>
      </c>
      <c r="C144" s="9" t="s">
        <v>443</v>
      </c>
      <c r="D144" s="9" t="s">
        <v>39</v>
      </c>
      <c r="E144" s="9" t="s">
        <v>46</v>
      </c>
      <c r="F144" s="9" t="s">
        <v>51</v>
      </c>
      <c r="G144" s="10" t="s">
        <v>42</v>
      </c>
    </row>
    <row r="145" spans="1:7" ht="12.75" x14ac:dyDescent="0.2">
      <c r="A145" s="39"/>
      <c r="B145" s="9">
        <v>65</v>
      </c>
      <c r="C145" s="9" t="s">
        <v>435</v>
      </c>
      <c r="D145" s="9" t="s">
        <v>94</v>
      </c>
      <c r="E145" s="9" t="s">
        <v>46</v>
      </c>
      <c r="F145" s="9" t="s">
        <v>51</v>
      </c>
      <c r="G145" s="10" t="s">
        <v>42</v>
      </c>
    </row>
    <row r="146" spans="1:7" ht="12.75" x14ac:dyDescent="0.2">
      <c r="A146" s="40"/>
      <c r="B146" s="9">
        <v>65</v>
      </c>
      <c r="C146" s="9" t="s">
        <v>437</v>
      </c>
      <c r="D146" s="9" t="s">
        <v>94</v>
      </c>
      <c r="E146" s="9" t="s">
        <v>46</v>
      </c>
      <c r="F146" s="9" t="s">
        <v>51</v>
      </c>
      <c r="G146" s="10" t="s">
        <v>42</v>
      </c>
    </row>
    <row r="147" spans="1:7" ht="12.75" x14ac:dyDescent="0.2">
      <c r="A147" s="36" t="s">
        <v>33</v>
      </c>
      <c r="B147" s="9">
        <v>65</v>
      </c>
      <c r="C147" s="9" t="s">
        <v>444</v>
      </c>
      <c r="D147" s="9" t="s">
        <v>39</v>
      </c>
      <c r="E147" s="9" t="s">
        <v>46</v>
      </c>
      <c r="F147" s="9" t="s">
        <v>41</v>
      </c>
      <c r="G147" s="10" t="s">
        <v>42</v>
      </c>
    </row>
    <row r="148" spans="1:7" ht="12.75" x14ac:dyDescent="0.2">
      <c r="A148" s="37"/>
      <c r="B148" s="9">
        <v>65</v>
      </c>
      <c r="C148" s="9" t="s">
        <v>445</v>
      </c>
      <c r="D148" s="9" t="s">
        <v>39</v>
      </c>
      <c r="E148" s="9" t="s">
        <v>46</v>
      </c>
      <c r="F148" s="9" t="s">
        <v>41</v>
      </c>
      <c r="G148" s="10" t="s">
        <v>42</v>
      </c>
    </row>
    <row r="149" spans="1:7" ht="12.75" x14ac:dyDescent="0.2">
      <c r="A149" s="39"/>
      <c r="B149" s="9">
        <v>65</v>
      </c>
      <c r="C149" s="9" t="s">
        <v>446</v>
      </c>
      <c r="D149" s="9" t="s">
        <v>39</v>
      </c>
      <c r="E149" s="9" t="s">
        <v>46</v>
      </c>
      <c r="F149" s="9" t="s">
        <v>41</v>
      </c>
      <c r="G149" s="10" t="s">
        <v>42</v>
      </c>
    </row>
    <row r="150" spans="1:7" ht="12.75" x14ac:dyDescent="0.2">
      <c r="A150" s="37"/>
      <c r="B150" s="9">
        <v>65</v>
      </c>
      <c r="C150" s="9" t="s">
        <v>447</v>
      </c>
      <c r="D150" s="9" t="s">
        <v>39</v>
      </c>
      <c r="E150" s="9" t="s">
        <v>46</v>
      </c>
      <c r="F150" s="9" t="s">
        <v>41</v>
      </c>
      <c r="G150" s="10" t="s">
        <v>42</v>
      </c>
    </row>
    <row r="151" spans="1:7" ht="12.75" x14ac:dyDescent="0.2">
      <c r="A151" s="39"/>
      <c r="B151" s="9">
        <v>65</v>
      </c>
      <c r="C151" s="9" t="s">
        <v>448</v>
      </c>
      <c r="D151" s="9" t="s">
        <v>39</v>
      </c>
      <c r="E151" s="9" t="s">
        <v>46</v>
      </c>
      <c r="F151" s="9" t="s">
        <v>41</v>
      </c>
      <c r="G151" s="10" t="s">
        <v>42</v>
      </c>
    </row>
    <row r="152" spans="1:7" ht="12.75" x14ac:dyDescent="0.2">
      <c r="A152" s="37"/>
      <c r="B152" s="9">
        <v>65</v>
      </c>
      <c r="C152" s="9" t="s">
        <v>433</v>
      </c>
      <c r="D152" s="9" t="s">
        <v>39</v>
      </c>
      <c r="E152" s="9" t="s">
        <v>46</v>
      </c>
      <c r="F152" s="9" t="s">
        <v>41</v>
      </c>
      <c r="G152" s="10" t="s">
        <v>42</v>
      </c>
    </row>
    <row r="153" spans="1:7" ht="12.75" x14ac:dyDescent="0.2">
      <c r="A153" s="39"/>
      <c r="B153" s="9">
        <v>65</v>
      </c>
      <c r="C153" s="9" t="s">
        <v>388</v>
      </c>
      <c r="D153" s="9" t="s">
        <v>39</v>
      </c>
      <c r="E153" s="9" t="s">
        <v>46</v>
      </c>
      <c r="F153" s="9" t="s">
        <v>41</v>
      </c>
      <c r="G153" s="10" t="s">
        <v>42</v>
      </c>
    </row>
    <row r="154" spans="1:7" ht="12.75" x14ac:dyDescent="0.2">
      <c r="A154" s="37"/>
      <c r="B154" s="9">
        <v>65</v>
      </c>
      <c r="C154" s="9" t="s">
        <v>373</v>
      </c>
      <c r="D154" s="9" t="s">
        <v>39</v>
      </c>
      <c r="E154" s="9" t="s">
        <v>46</v>
      </c>
      <c r="F154" s="9" t="s">
        <v>41</v>
      </c>
      <c r="G154" s="10" t="s">
        <v>42</v>
      </c>
    </row>
    <row r="155" spans="1:7" ht="12.75" x14ac:dyDescent="0.2">
      <c r="A155" s="39"/>
      <c r="B155" s="9">
        <v>65</v>
      </c>
      <c r="C155" s="9" t="s">
        <v>442</v>
      </c>
      <c r="D155" s="9" t="s">
        <v>39</v>
      </c>
      <c r="E155" s="9" t="s">
        <v>46</v>
      </c>
      <c r="F155" s="9" t="s">
        <v>41</v>
      </c>
      <c r="G155" s="10" t="s">
        <v>42</v>
      </c>
    </row>
    <row r="156" spans="1:7" ht="12.75" x14ac:dyDescent="0.2">
      <c r="A156" s="37"/>
      <c r="B156" s="9">
        <v>65</v>
      </c>
      <c r="C156" s="9" t="s">
        <v>449</v>
      </c>
      <c r="D156" s="9" t="s">
        <v>39</v>
      </c>
      <c r="E156" s="9" t="s">
        <v>46</v>
      </c>
      <c r="F156" s="9" t="s">
        <v>41</v>
      </c>
      <c r="G156" s="10" t="s">
        <v>42</v>
      </c>
    </row>
    <row r="157" spans="1:7" ht="12.75" x14ac:dyDescent="0.2">
      <c r="A157" s="39"/>
      <c r="B157" s="9">
        <v>65</v>
      </c>
      <c r="C157" s="9" t="s">
        <v>435</v>
      </c>
      <c r="D157" s="9" t="s">
        <v>39</v>
      </c>
      <c r="E157" s="9" t="s">
        <v>46</v>
      </c>
      <c r="F157" s="9" t="s">
        <v>41</v>
      </c>
      <c r="G157" s="10" t="s">
        <v>42</v>
      </c>
    </row>
    <row r="158" spans="1:7" ht="12.75" x14ac:dyDescent="0.2">
      <c r="A158" s="40"/>
      <c r="B158" s="9">
        <v>65</v>
      </c>
      <c r="C158" s="9" t="s">
        <v>437</v>
      </c>
      <c r="D158" s="9" t="s">
        <v>39</v>
      </c>
      <c r="E158" s="9" t="s">
        <v>46</v>
      </c>
      <c r="F158" s="9" t="s">
        <v>41</v>
      </c>
      <c r="G158" s="10" t="s">
        <v>42</v>
      </c>
    </row>
    <row r="159" spans="1:7" ht="12.75" x14ac:dyDescent="0.2">
      <c r="A159" s="36" t="s">
        <v>34</v>
      </c>
      <c r="B159" s="9">
        <v>65</v>
      </c>
      <c r="C159" s="9" t="s">
        <v>437</v>
      </c>
      <c r="D159" s="9" t="s">
        <v>39</v>
      </c>
      <c r="E159" s="9" t="s">
        <v>46</v>
      </c>
      <c r="F159" s="9" t="s">
        <v>41</v>
      </c>
      <c r="G159" s="10" t="s">
        <v>42</v>
      </c>
    </row>
    <row r="160" spans="1:7" ht="12.75" x14ac:dyDescent="0.2">
      <c r="A160" s="37"/>
      <c r="B160" s="9">
        <v>65</v>
      </c>
      <c r="C160" s="9" t="s">
        <v>435</v>
      </c>
      <c r="D160" s="9" t="s">
        <v>39</v>
      </c>
      <c r="E160" s="9" t="s">
        <v>46</v>
      </c>
      <c r="F160" s="9" t="s">
        <v>41</v>
      </c>
      <c r="G160" s="10" t="s">
        <v>42</v>
      </c>
    </row>
    <row r="161" spans="1:7" ht="12.75" x14ac:dyDescent="0.2">
      <c r="A161" s="39"/>
      <c r="B161" s="9">
        <v>65</v>
      </c>
      <c r="C161" s="9" t="s">
        <v>450</v>
      </c>
      <c r="D161" s="9" t="s">
        <v>39</v>
      </c>
      <c r="E161" s="9" t="s">
        <v>46</v>
      </c>
      <c r="F161" s="9" t="s">
        <v>41</v>
      </c>
      <c r="G161" s="10" t="s">
        <v>42</v>
      </c>
    </row>
    <row r="162" spans="1:7" ht="12.75" x14ac:dyDescent="0.2">
      <c r="A162" s="37"/>
      <c r="B162" s="9">
        <v>65</v>
      </c>
      <c r="C162" s="9" t="s">
        <v>373</v>
      </c>
      <c r="D162" s="9" t="s">
        <v>39</v>
      </c>
      <c r="E162" s="9" t="s">
        <v>46</v>
      </c>
      <c r="F162" s="9" t="s">
        <v>41</v>
      </c>
      <c r="G162" s="10" t="s">
        <v>42</v>
      </c>
    </row>
    <row r="163" spans="1:7" ht="12.75" x14ac:dyDescent="0.2">
      <c r="A163" s="39"/>
      <c r="B163" s="9">
        <v>65</v>
      </c>
      <c r="C163" s="9" t="s">
        <v>388</v>
      </c>
      <c r="D163" s="9" t="s">
        <v>39</v>
      </c>
      <c r="E163" s="9" t="s">
        <v>46</v>
      </c>
      <c r="F163" s="9" t="s">
        <v>41</v>
      </c>
      <c r="G163" s="10" t="s">
        <v>42</v>
      </c>
    </row>
    <row r="164" spans="1:7" ht="12.75" x14ac:dyDescent="0.2">
      <c r="A164" s="37"/>
      <c r="B164" s="9">
        <v>65</v>
      </c>
      <c r="C164" s="9" t="s">
        <v>433</v>
      </c>
      <c r="D164" s="9" t="s">
        <v>39</v>
      </c>
      <c r="E164" s="9" t="s">
        <v>46</v>
      </c>
      <c r="F164" s="9" t="s">
        <v>41</v>
      </c>
      <c r="G164" s="10" t="s">
        <v>42</v>
      </c>
    </row>
    <row r="165" spans="1:7" ht="12.75" x14ac:dyDescent="0.2">
      <c r="A165" s="39"/>
      <c r="B165" s="9">
        <v>65</v>
      </c>
      <c r="C165" s="9" t="s">
        <v>448</v>
      </c>
      <c r="D165" s="9" t="s">
        <v>39</v>
      </c>
      <c r="E165" s="9" t="s">
        <v>46</v>
      </c>
      <c r="F165" s="9" t="s">
        <v>41</v>
      </c>
      <c r="G165" s="10" t="s">
        <v>42</v>
      </c>
    </row>
    <row r="166" spans="1:7" ht="12.75" x14ac:dyDescent="0.2">
      <c r="A166" s="37"/>
      <c r="B166" s="9">
        <v>65</v>
      </c>
      <c r="C166" s="9" t="s">
        <v>447</v>
      </c>
      <c r="D166" s="9" t="s">
        <v>39</v>
      </c>
      <c r="E166" s="9" t="s">
        <v>46</v>
      </c>
      <c r="F166" s="9" t="s">
        <v>41</v>
      </c>
      <c r="G166" s="10" t="s">
        <v>42</v>
      </c>
    </row>
    <row r="167" spans="1:7" ht="12.75" x14ac:dyDescent="0.2">
      <c r="A167" s="39"/>
      <c r="B167" s="9">
        <v>65</v>
      </c>
      <c r="C167" s="9" t="s">
        <v>451</v>
      </c>
      <c r="D167" s="9" t="s">
        <v>39</v>
      </c>
      <c r="E167" s="9" t="s">
        <v>46</v>
      </c>
      <c r="F167" s="9" t="s">
        <v>41</v>
      </c>
      <c r="G167" s="10" t="s">
        <v>42</v>
      </c>
    </row>
    <row r="168" spans="1:7" ht="12.75" x14ac:dyDescent="0.2">
      <c r="A168" s="37"/>
      <c r="B168" s="9">
        <v>65</v>
      </c>
      <c r="C168" s="9" t="s">
        <v>452</v>
      </c>
      <c r="D168" s="9" t="s">
        <v>39</v>
      </c>
      <c r="E168" s="9" t="s">
        <v>46</v>
      </c>
      <c r="F168" s="9" t="s">
        <v>41</v>
      </c>
      <c r="G168" s="10" t="s">
        <v>42</v>
      </c>
    </row>
    <row r="169" spans="1:7" ht="12.75" x14ac:dyDescent="0.2">
      <c r="A169" s="38"/>
      <c r="B169" s="9">
        <v>65</v>
      </c>
      <c r="C169" s="9" t="s">
        <v>453</v>
      </c>
      <c r="D169" s="9" t="s">
        <v>39</v>
      </c>
      <c r="E169" s="9" t="s">
        <v>46</v>
      </c>
      <c r="F169" s="9" t="s">
        <v>41</v>
      </c>
      <c r="G169" s="10" t="s">
        <v>42</v>
      </c>
    </row>
    <row r="170" spans="1:7" ht="12.75" x14ac:dyDescent="0.2">
      <c r="A170" s="36" t="s">
        <v>35</v>
      </c>
      <c r="B170" s="9">
        <v>65</v>
      </c>
      <c r="C170" s="9" t="s">
        <v>322</v>
      </c>
      <c r="D170" s="9" t="s">
        <v>39</v>
      </c>
      <c r="E170" s="9" t="s">
        <v>40</v>
      </c>
      <c r="F170" s="9" t="s">
        <v>41</v>
      </c>
      <c r="G170" s="10" t="s">
        <v>42</v>
      </c>
    </row>
    <row r="171" spans="1:7" ht="12.75" x14ac:dyDescent="0.2">
      <c r="A171" s="39"/>
      <c r="B171" s="9">
        <v>65</v>
      </c>
      <c r="C171" s="9" t="s">
        <v>317</v>
      </c>
      <c r="D171" s="9" t="s">
        <v>39</v>
      </c>
      <c r="E171" s="9" t="s">
        <v>40</v>
      </c>
      <c r="F171" s="9" t="s">
        <v>41</v>
      </c>
      <c r="G171" s="10" t="s">
        <v>42</v>
      </c>
    </row>
    <row r="172" spans="1:7" ht="12.75" x14ac:dyDescent="0.2">
      <c r="A172" s="37"/>
      <c r="B172" s="9">
        <v>65</v>
      </c>
      <c r="C172" s="9" t="s">
        <v>439</v>
      </c>
      <c r="D172" s="9" t="s">
        <v>39</v>
      </c>
      <c r="E172" s="9" t="s">
        <v>40</v>
      </c>
      <c r="F172" s="9" t="s">
        <v>41</v>
      </c>
      <c r="G172" s="10" t="s">
        <v>42</v>
      </c>
    </row>
    <row r="173" spans="1:7" ht="12.75" x14ac:dyDescent="0.2">
      <c r="A173" s="39"/>
      <c r="B173" s="9">
        <v>65</v>
      </c>
      <c r="C173" s="9" t="s">
        <v>454</v>
      </c>
      <c r="D173" s="9" t="s">
        <v>39</v>
      </c>
      <c r="E173" s="9" t="s">
        <v>40</v>
      </c>
      <c r="F173" s="9" t="s">
        <v>41</v>
      </c>
      <c r="G173" s="10" t="s">
        <v>42</v>
      </c>
    </row>
    <row r="174" spans="1:7" ht="12.75" x14ac:dyDescent="0.2">
      <c r="A174" s="37"/>
      <c r="B174" s="9">
        <v>65</v>
      </c>
      <c r="C174" s="9" t="s">
        <v>455</v>
      </c>
      <c r="D174" s="9" t="s">
        <v>39</v>
      </c>
      <c r="E174" s="9" t="s">
        <v>40</v>
      </c>
      <c r="F174" s="9" t="s">
        <v>41</v>
      </c>
      <c r="G174" s="10" t="s">
        <v>42</v>
      </c>
    </row>
    <row r="175" spans="1:7" ht="12.75" x14ac:dyDescent="0.2">
      <c r="A175" s="39"/>
      <c r="B175" s="9">
        <v>65</v>
      </c>
      <c r="C175" s="9" t="s">
        <v>456</v>
      </c>
      <c r="D175" s="9" t="s">
        <v>39</v>
      </c>
      <c r="E175" s="9" t="s">
        <v>40</v>
      </c>
      <c r="F175" s="9" t="s">
        <v>41</v>
      </c>
      <c r="G175" s="10" t="s">
        <v>42</v>
      </c>
    </row>
    <row r="176" spans="1:7" ht="12.75" x14ac:dyDescent="0.2">
      <c r="A176" s="37"/>
      <c r="B176" s="9">
        <v>65</v>
      </c>
      <c r="C176" s="9" t="s">
        <v>457</v>
      </c>
      <c r="D176" s="9" t="s">
        <v>39</v>
      </c>
      <c r="E176" s="9" t="s">
        <v>40</v>
      </c>
      <c r="F176" s="9" t="s">
        <v>41</v>
      </c>
      <c r="G176" s="10" t="s">
        <v>42</v>
      </c>
    </row>
    <row r="177" spans="1:7" ht="12.75" x14ac:dyDescent="0.2">
      <c r="A177" s="39"/>
      <c r="B177" s="9">
        <v>65</v>
      </c>
      <c r="C177" s="9" t="s">
        <v>369</v>
      </c>
      <c r="D177" s="9" t="s">
        <v>39</v>
      </c>
      <c r="E177" s="9" t="s">
        <v>40</v>
      </c>
      <c r="F177" s="9" t="s">
        <v>41</v>
      </c>
      <c r="G177" s="10" t="s">
        <v>42</v>
      </c>
    </row>
    <row r="178" spans="1:7" ht="12.75" x14ac:dyDescent="0.2">
      <c r="A178" s="37"/>
      <c r="B178" s="9">
        <v>65</v>
      </c>
      <c r="C178" s="9" t="s">
        <v>458</v>
      </c>
      <c r="D178" s="9" t="s">
        <v>39</v>
      </c>
      <c r="E178" s="9" t="s">
        <v>40</v>
      </c>
      <c r="F178" s="9" t="s">
        <v>41</v>
      </c>
      <c r="G178" s="10" t="s">
        <v>42</v>
      </c>
    </row>
    <row r="179" spans="1:7" ht="12.75" x14ac:dyDescent="0.2">
      <c r="A179" s="39"/>
      <c r="B179" s="9">
        <v>65</v>
      </c>
      <c r="C179" s="9" t="s">
        <v>459</v>
      </c>
      <c r="D179" s="9" t="s">
        <v>39</v>
      </c>
      <c r="E179" s="9" t="s">
        <v>40</v>
      </c>
      <c r="F179" s="9" t="s">
        <v>41</v>
      </c>
      <c r="G179" s="10" t="s">
        <v>42</v>
      </c>
    </row>
    <row r="180" spans="1:7" ht="12.75" x14ac:dyDescent="0.2">
      <c r="A180" s="37"/>
      <c r="B180" s="9">
        <v>65</v>
      </c>
      <c r="C180" s="9" t="s">
        <v>450</v>
      </c>
      <c r="D180" s="9" t="s">
        <v>39</v>
      </c>
      <c r="E180" s="9" t="s">
        <v>40</v>
      </c>
      <c r="F180" s="9" t="s">
        <v>41</v>
      </c>
      <c r="G180" s="10" t="s">
        <v>42</v>
      </c>
    </row>
    <row r="181" spans="1:7" ht="12.75" x14ac:dyDescent="0.2">
      <c r="A181" s="39"/>
      <c r="B181" s="9">
        <v>65</v>
      </c>
      <c r="C181" s="9" t="s">
        <v>373</v>
      </c>
      <c r="D181" s="9" t="s">
        <v>39</v>
      </c>
      <c r="E181" s="9" t="s">
        <v>40</v>
      </c>
      <c r="F181" s="9" t="s">
        <v>41</v>
      </c>
      <c r="G181" s="10" t="s">
        <v>42</v>
      </c>
    </row>
    <row r="182" spans="1:7" ht="12.75" x14ac:dyDescent="0.2">
      <c r="A182" s="37"/>
      <c r="B182" s="9">
        <v>65</v>
      </c>
      <c r="C182" s="9" t="s">
        <v>448</v>
      </c>
      <c r="D182" s="9" t="s">
        <v>39</v>
      </c>
      <c r="E182" s="9" t="s">
        <v>40</v>
      </c>
      <c r="F182" s="9" t="s">
        <v>41</v>
      </c>
      <c r="G182" s="10" t="s">
        <v>42</v>
      </c>
    </row>
    <row r="183" spans="1:7" ht="12.75" x14ac:dyDescent="0.2">
      <c r="A183" s="39"/>
      <c r="B183" s="9">
        <v>65</v>
      </c>
      <c r="C183" s="9" t="s">
        <v>388</v>
      </c>
      <c r="D183" s="9" t="s">
        <v>39</v>
      </c>
      <c r="E183" s="9" t="s">
        <v>40</v>
      </c>
      <c r="F183" s="9" t="s">
        <v>41</v>
      </c>
      <c r="G183" s="10" t="s">
        <v>42</v>
      </c>
    </row>
    <row r="184" spans="1:7" ht="12.75" x14ac:dyDescent="0.2">
      <c r="A184" s="37"/>
      <c r="B184" s="9">
        <v>65</v>
      </c>
      <c r="C184" s="9" t="s">
        <v>460</v>
      </c>
      <c r="D184" s="9" t="s">
        <v>39</v>
      </c>
      <c r="E184" s="9" t="s">
        <v>40</v>
      </c>
      <c r="F184" s="9" t="s">
        <v>41</v>
      </c>
      <c r="G184" s="10" t="s">
        <v>42</v>
      </c>
    </row>
    <row r="185" spans="1:7" ht="12.75" x14ac:dyDescent="0.2">
      <c r="A185" s="38"/>
      <c r="B185" s="9">
        <v>65</v>
      </c>
      <c r="C185" s="9" t="s">
        <v>451</v>
      </c>
      <c r="D185" s="9" t="s">
        <v>39</v>
      </c>
      <c r="E185" s="9" t="s">
        <v>40</v>
      </c>
      <c r="F185" s="9" t="s">
        <v>41</v>
      </c>
      <c r="G185" s="10" t="s">
        <v>42</v>
      </c>
    </row>
    <row r="186" spans="1:7" ht="12.75" x14ac:dyDescent="0.2">
      <c r="A186" s="41" t="s">
        <v>36</v>
      </c>
      <c r="B186" s="19">
        <v>65</v>
      </c>
      <c r="C186" s="19" t="s">
        <v>322</v>
      </c>
      <c r="D186" s="19" t="s">
        <v>39</v>
      </c>
      <c r="E186" s="19" t="s">
        <v>46</v>
      </c>
      <c r="F186" s="19" t="s">
        <v>41</v>
      </c>
      <c r="G186" s="10" t="s">
        <v>42</v>
      </c>
    </row>
    <row r="187" spans="1:7" ht="12.75" x14ac:dyDescent="0.2">
      <c r="A187" s="39"/>
      <c r="B187" s="19">
        <v>65</v>
      </c>
      <c r="C187" s="19" t="s">
        <v>461</v>
      </c>
      <c r="D187" s="19" t="s">
        <v>39</v>
      </c>
      <c r="E187" s="19" t="s">
        <v>46</v>
      </c>
      <c r="F187" s="19" t="s">
        <v>51</v>
      </c>
      <c r="G187" s="10" t="s">
        <v>42</v>
      </c>
    </row>
    <row r="188" spans="1:7" ht="12.75" x14ac:dyDescent="0.2">
      <c r="A188" s="37"/>
      <c r="B188" s="19">
        <v>65</v>
      </c>
      <c r="C188" s="19" t="s">
        <v>317</v>
      </c>
      <c r="D188" s="19" t="s">
        <v>39</v>
      </c>
      <c r="E188" s="19" t="s">
        <v>46</v>
      </c>
      <c r="F188" s="19" t="s">
        <v>41</v>
      </c>
      <c r="G188" s="10" t="s">
        <v>42</v>
      </c>
    </row>
    <row r="189" spans="1:7" ht="12.75" x14ac:dyDescent="0.2">
      <c r="A189" s="39"/>
      <c r="B189" s="19">
        <v>65</v>
      </c>
      <c r="C189" s="19" t="s">
        <v>456</v>
      </c>
      <c r="D189" s="19" t="s">
        <v>39</v>
      </c>
      <c r="E189" s="19" t="s">
        <v>46</v>
      </c>
      <c r="F189" s="19" t="s">
        <v>41</v>
      </c>
      <c r="G189" s="10" t="s">
        <v>42</v>
      </c>
    </row>
    <row r="190" spans="1:7" ht="12.75" x14ac:dyDescent="0.2">
      <c r="A190" s="37"/>
      <c r="B190" s="19">
        <v>65</v>
      </c>
      <c r="C190" s="19" t="s">
        <v>462</v>
      </c>
      <c r="D190" s="19" t="s">
        <v>39</v>
      </c>
      <c r="E190" s="19" t="s">
        <v>46</v>
      </c>
      <c r="F190" s="19" t="s">
        <v>47</v>
      </c>
      <c r="G190" s="10" t="s">
        <v>42</v>
      </c>
    </row>
    <row r="191" spans="1:7" ht="12.75" x14ac:dyDescent="0.2">
      <c r="A191" s="39"/>
      <c r="B191" s="19">
        <v>65</v>
      </c>
      <c r="C191" s="19" t="s">
        <v>463</v>
      </c>
      <c r="D191" s="19" t="s">
        <v>39</v>
      </c>
      <c r="E191" s="19" t="s">
        <v>46</v>
      </c>
      <c r="F191" s="19" t="s">
        <v>51</v>
      </c>
      <c r="G191" s="10" t="s">
        <v>42</v>
      </c>
    </row>
    <row r="192" spans="1:7" ht="12.75" x14ac:dyDescent="0.2">
      <c r="A192" s="37"/>
      <c r="B192" s="19">
        <v>65</v>
      </c>
      <c r="C192" s="19" t="s">
        <v>464</v>
      </c>
      <c r="D192" s="19" t="s">
        <v>39</v>
      </c>
      <c r="E192" s="19" t="s">
        <v>46</v>
      </c>
      <c r="F192" s="19" t="s">
        <v>41</v>
      </c>
      <c r="G192" s="10" t="s">
        <v>42</v>
      </c>
    </row>
    <row r="193" spans="1:7" ht="12.75" x14ac:dyDescent="0.2">
      <c r="A193" s="39"/>
      <c r="B193" s="19">
        <v>65</v>
      </c>
      <c r="C193" s="19" t="s">
        <v>373</v>
      </c>
      <c r="D193" s="19" t="s">
        <v>39</v>
      </c>
      <c r="E193" s="19" t="s">
        <v>46</v>
      </c>
      <c r="F193" s="19" t="s">
        <v>41</v>
      </c>
      <c r="G193" s="10" t="s">
        <v>42</v>
      </c>
    </row>
    <row r="194" spans="1:7" ht="12.75" x14ac:dyDescent="0.2">
      <c r="A194" s="37"/>
      <c r="B194" s="19">
        <v>65</v>
      </c>
      <c r="C194" s="19" t="s">
        <v>465</v>
      </c>
      <c r="D194" s="19" t="s">
        <v>39</v>
      </c>
      <c r="E194" s="19" t="s">
        <v>46</v>
      </c>
      <c r="F194" s="19" t="s">
        <v>41</v>
      </c>
      <c r="G194" s="10" t="s">
        <v>42</v>
      </c>
    </row>
    <row r="195" spans="1:7" ht="12.75" x14ac:dyDescent="0.2">
      <c r="A195" s="39"/>
      <c r="B195" s="19">
        <v>65</v>
      </c>
      <c r="C195" s="19" t="s">
        <v>466</v>
      </c>
      <c r="D195" s="19" t="s">
        <v>39</v>
      </c>
      <c r="E195" s="19" t="s">
        <v>46</v>
      </c>
      <c r="F195" s="19" t="s">
        <v>41</v>
      </c>
      <c r="G195" s="10" t="s">
        <v>42</v>
      </c>
    </row>
    <row r="196" spans="1:7" ht="12.75" x14ac:dyDescent="0.2">
      <c r="A196" s="40"/>
      <c r="B196" s="19">
        <v>65</v>
      </c>
      <c r="C196" s="19" t="s">
        <v>467</v>
      </c>
      <c r="D196" s="19" t="s">
        <v>39</v>
      </c>
      <c r="E196" s="19" t="s">
        <v>46</v>
      </c>
      <c r="F196" s="19" t="s">
        <v>41</v>
      </c>
      <c r="G196" s="10" t="s">
        <v>42</v>
      </c>
    </row>
    <row r="197" spans="1:7" ht="12.75" x14ac:dyDescent="0.2">
      <c r="A197" s="15"/>
      <c r="B197" s="16"/>
      <c r="C197" s="17"/>
      <c r="D197" s="17"/>
      <c r="E197" s="17"/>
      <c r="F197" s="17"/>
      <c r="G197" s="20"/>
    </row>
  </sheetData>
  <mergeCells count="17">
    <mergeCell ref="A36:A43"/>
    <mergeCell ref="A44:A57"/>
    <mergeCell ref="A159:A169"/>
    <mergeCell ref="A170:A185"/>
    <mergeCell ref="A186:A196"/>
    <mergeCell ref="A58:A78"/>
    <mergeCell ref="A79:A95"/>
    <mergeCell ref="A96:A107"/>
    <mergeCell ref="A108:A120"/>
    <mergeCell ref="A121:A131"/>
    <mergeCell ref="A132:A146"/>
    <mergeCell ref="A147:A158"/>
    <mergeCell ref="A1:G1"/>
    <mergeCell ref="A9:A10"/>
    <mergeCell ref="A11:A12"/>
    <mergeCell ref="A13:A21"/>
    <mergeCell ref="A22:A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369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36" t="s">
        <v>20</v>
      </c>
      <c r="B9" s="9">
        <v>66</v>
      </c>
      <c r="C9" s="9" t="s">
        <v>468</v>
      </c>
      <c r="D9" s="9" t="s">
        <v>39</v>
      </c>
      <c r="E9" s="9" t="s">
        <v>46</v>
      </c>
      <c r="F9" s="9" t="s">
        <v>41</v>
      </c>
      <c r="G9" s="10" t="s">
        <v>42</v>
      </c>
    </row>
    <row r="10" spans="1:7" x14ac:dyDescent="0.2">
      <c r="A10" s="37"/>
      <c r="B10" s="9">
        <v>66</v>
      </c>
      <c r="C10" s="9" t="s">
        <v>469</v>
      </c>
      <c r="D10" s="9" t="s">
        <v>39</v>
      </c>
      <c r="E10" s="9" t="s">
        <v>46</v>
      </c>
      <c r="F10" s="9" t="s">
        <v>51</v>
      </c>
      <c r="G10" s="10" t="s">
        <v>42</v>
      </c>
    </row>
    <row r="11" spans="1:7" x14ac:dyDescent="0.2">
      <c r="A11" s="39"/>
      <c r="B11" s="9">
        <v>66</v>
      </c>
      <c r="C11" s="9" t="s">
        <v>470</v>
      </c>
      <c r="D11" s="9" t="s">
        <v>39</v>
      </c>
      <c r="E11" s="9" t="s">
        <v>46</v>
      </c>
      <c r="F11" s="9" t="s">
        <v>51</v>
      </c>
      <c r="G11" s="10" t="s">
        <v>42</v>
      </c>
    </row>
    <row r="12" spans="1:7" x14ac:dyDescent="0.2">
      <c r="A12" s="37"/>
      <c r="B12" s="9">
        <v>66</v>
      </c>
      <c r="C12" s="9" t="s">
        <v>471</v>
      </c>
      <c r="D12" s="9" t="s">
        <v>39</v>
      </c>
      <c r="E12" s="9" t="s">
        <v>40</v>
      </c>
      <c r="F12" s="9" t="s">
        <v>51</v>
      </c>
      <c r="G12" s="10" t="s">
        <v>42</v>
      </c>
    </row>
    <row r="13" spans="1:7" x14ac:dyDescent="0.2">
      <c r="A13" s="38"/>
      <c r="B13" s="9">
        <v>66</v>
      </c>
      <c r="C13" s="9" t="s">
        <v>472</v>
      </c>
      <c r="D13" s="9" t="s">
        <v>39</v>
      </c>
      <c r="E13" s="9" t="s">
        <v>40</v>
      </c>
      <c r="F13" s="9" t="s">
        <v>41</v>
      </c>
      <c r="G13" s="10" t="s">
        <v>42</v>
      </c>
    </row>
    <row r="14" spans="1:7" x14ac:dyDescent="0.2">
      <c r="A14" s="36" t="s">
        <v>22</v>
      </c>
      <c r="B14" s="9">
        <v>66</v>
      </c>
      <c r="C14" s="9" t="s">
        <v>468</v>
      </c>
      <c r="D14" s="9" t="s">
        <v>39</v>
      </c>
      <c r="E14" s="9" t="s">
        <v>40</v>
      </c>
      <c r="F14" s="9" t="s">
        <v>41</v>
      </c>
      <c r="G14" s="10" t="s">
        <v>42</v>
      </c>
    </row>
    <row r="15" spans="1:7" x14ac:dyDescent="0.2">
      <c r="A15" s="39"/>
      <c r="B15" s="9">
        <v>66</v>
      </c>
      <c r="C15" s="9" t="s">
        <v>473</v>
      </c>
      <c r="D15" s="9" t="s">
        <v>94</v>
      </c>
      <c r="E15" s="9" t="s">
        <v>40</v>
      </c>
      <c r="F15" s="9" t="s">
        <v>41</v>
      </c>
      <c r="G15" s="10" t="s">
        <v>42</v>
      </c>
    </row>
    <row r="16" spans="1:7" x14ac:dyDescent="0.2">
      <c r="A16" s="37"/>
      <c r="B16" s="9">
        <v>66</v>
      </c>
      <c r="C16" s="9" t="s">
        <v>469</v>
      </c>
      <c r="D16" s="9" t="s">
        <v>39</v>
      </c>
      <c r="E16" s="9" t="s">
        <v>40</v>
      </c>
      <c r="F16" s="9" t="s">
        <v>51</v>
      </c>
      <c r="G16" s="10" t="s">
        <v>42</v>
      </c>
    </row>
    <row r="17" spans="1:7" x14ac:dyDescent="0.2">
      <c r="A17" s="39"/>
      <c r="B17" s="9">
        <v>66</v>
      </c>
      <c r="C17" s="9" t="s">
        <v>474</v>
      </c>
      <c r="D17" s="9" t="s">
        <v>39</v>
      </c>
      <c r="E17" s="9" t="s">
        <v>40</v>
      </c>
      <c r="F17" s="9" t="s">
        <v>51</v>
      </c>
      <c r="G17" s="10" t="s">
        <v>42</v>
      </c>
    </row>
    <row r="18" spans="1:7" x14ac:dyDescent="0.2">
      <c r="A18" s="37"/>
      <c r="B18" s="9">
        <v>66</v>
      </c>
      <c r="C18" s="9" t="s">
        <v>470</v>
      </c>
      <c r="D18" s="9" t="s">
        <v>39</v>
      </c>
      <c r="E18" s="9" t="s">
        <v>40</v>
      </c>
      <c r="F18" s="9" t="s">
        <v>51</v>
      </c>
      <c r="G18" s="10" t="s">
        <v>42</v>
      </c>
    </row>
    <row r="19" spans="1:7" x14ac:dyDescent="0.2">
      <c r="A19" s="39"/>
      <c r="B19" s="9">
        <v>66</v>
      </c>
      <c r="C19" s="9" t="s">
        <v>170</v>
      </c>
      <c r="D19" s="9" t="s">
        <v>39</v>
      </c>
      <c r="E19" s="9" t="s">
        <v>40</v>
      </c>
      <c r="F19" s="9" t="s">
        <v>51</v>
      </c>
      <c r="G19" s="10" t="s">
        <v>42</v>
      </c>
    </row>
    <row r="20" spans="1:7" x14ac:dyDescent="0.2">
      <c r="A20" s="37"/>
      <c r="B20" s="9">
        <v>66</v>
      </c>
      <c r="C20" s="9" t="s">
        <v>475</v>
      </c>
      <c r="D20" s="9" t="s">
        <v>39</v>
      </c>
      <c r="E20" s="9" t="s">
        <v>40</v>
      </c>
      <c r="F20" s="9" t="s">
        <v>51</v>
      </c>
      <c r="G20" s="10" t="s">
        <v>42</v>
      </c>
    </row>
    <row r="21" spans="1:7" x14ac:dyDescent="0.2">
      <c r="A21" s="39"/>
      <c r="B21" s="9">
        <v>66</v>
      </c>
      <c r="C21" s="9" t="s">
        <v>476</v>
      </c>
      <c r="D21" s="9" t="s">
        <v>39</v>
      </c>
      <c r="E21" s="9" t="s">
        <v>40</v>
      </c>
      <c r="F21" s="9" t="s">
        <v>51</v>
      </c>
      <c r="G21" s="10" t="s">
        <v>42</v>
      </c>
    </row>
    <row r="22" spans="1:7" x14ac:dyDescent="0.2">
      <c r="A22" s="37"/>
      <c r="B22" s="9">
        <v>66</v>
      </c>
      <c r="C22" s="9" t="s">
        <v>477</v>
      </c>
      <c r="D22" s="9" t="s">
        <v>39</v>
      </c>
      <c r="E22" s="9" t="s">
        <v>40</v>
      </c>
      <c r="F22" s="9" t="s">
        <v>51</v>
      </c>
      <c r="G22" s="10" t="s">
        <v>42</v>
      </c>
    </row>
    <row r="23" spans="1:7" x14ac:dyDescent="0.2">
      <c r="A23" s="39"/>
      <c r="B23" s="9">
        <v>66</v>
      </c>
      <c r="C23" s="9" t="s">
        <v>478</v>
      </c>
      <c r="D23" s="9" t="s">
        <v>39</v>
      </c>
      <c r="E23" s="9" t="s">
        <v>40</v>
      </c>
      <c r="F23" s="9" t="s">
        <v>51</v>
      </c>
      <c r="G23" s="10" t="s">
        <v>42</v>
      </c>
    </row>
    <row r="24" spans="1:7" x14ac:dyDescent="0.2">
      <c r="A24" s="37"/>
      <c r="B24" s="9">
        <v>66</v>
      </c>
      <c r="C24" s="9" t="s">
        <v>479</v>
      </c>
      <c r="D24" s="9" t="s">
        <v>39</v>
      </c>
      <c r="E24" s="9" t="s">
        <v>40</v>
      </c>
      <c r="F24" s="9" t="s">
        <v>51</v>
      </c>
      <c r="G24" s="10" t="s">
        <v>42</v>
      </c>
    </row>
    <row r="25" spans="1:7" x14ac:dyDescent="0.2">
      <c r="A25" s="38"/>
      <c r="B25" s="9">
        <v>66</v>
      </c>
      <c r="C25" s="9" t="s">
        <v>480</v>
      </c>
      <c r="D25" s="9" t="s">
        <v>39</v>
      </c>
      <c r="E25" s="9" t="s">
        <v>40</v>
      </c>
      <c r="F25" s="9" t="s">
        <v>51</v>
      </c>
      <c r="G25" s="10" t="s">
        <v>42</v>
      </c>
    </row>
    <row r="26" spans="1:7" x14ac:dyDescent="0.2">
      <c r="A26" s="36" t="s">
        <v>23</v>
      </c>
      <c r="B26" s="9">
        <v>66</v>
      </c>
      <c r="C26" s="9" t="s">
        <v>468</v>
      </c>
      <c r="D26" s="9" t="s">
        <v>39</v>
      </c>
      <c r="E26" s="9" t="s">
        <v>40</v>
      </c>
      <c r="F26" s="9" t="s">
        <v>51</v>
      </c>
      <c r="G26" s="10" t="s">
        <v>42</v>
      </c>
    </row>
    <row r="27" spans="1:7" x14ac:dyDescent="0.2">
      <c r="A27" s="39"/>
      <c r="B27" s="9">
        <v>66</v>
      </c>
      <c r="C27" s="9" t="s">
        <v>481</v>
      </c>
      <c r="D27" s="9" t="s">
        <v>39</v>
      </c>
      <c r="E27" s="9" t="s">
        <v>40</v>
      </c>
      <c r="F27" s="9" t="s">
        <v>51</v>
      </c>
      <c r="G27" s="10" t="s">
        <v>42</v>
      </c>
    </row>
    <row r="28" spans="1:7" x14ac:dyDescent="0.2">
      <c r="A28" s="37"/>
      <c r="B28" s="9">
        <v>66</v>
      </c>
      <c r="C28" s="9" t="s">
        <v>482</v>
      </c>
      <c r="D28" s="9" t="s">
        <v>39</v>
      </c>
      <c r="E28" s="9" t="s">
        <v>40</v>
      </c>
      <c r="F28" s="9" t="s">
        <v>51</v>
      </c>
      <c r="G28" s="10" t="s">
        <v>42</v>
      </c>
    </row>
    <row r="29" spans="1:7" x14ac:dyDescent="0.2">
      <c r="A29" s="39"/>
      <c r="B29" s="9">
        <v>66</v>
      </c>
      <c r="C29" s="9" t="s">
        <v>483</v>
      </c>
      <c r="D29" s="9" t="s">
        <v>39</v>
      </c>
      <c r="E29" s="9" t="s">
        <v>40</v>
      </c>
      <c r="F29" s="9" t="s">
        <v>41</v>
      </c>
      <c r="G29" s="10" t="s">
        <v>42</v>
      </c>
    </row>
    <row r="30" spans="1:7" x14ac:dyDescent="0.2">
      <c r="A30" s="37"/>
      <c r="B30" s="9">
        <v>66</v>
      </c>
      <c r="C30" s="9" t="s">
        <v>484</v>
      </c>
      <c r="D30" s="9" t="s">
        <v>39</v>
      </c>
      <c r="E30" s="9" t="s">
        <v>40</v>
      </c>
      <c r="F30" s="9" t="s">
        <v>51</v>
      </c>
      <c r="G30" s="10" t="s">
        <v>42</v>
      </c>
    </row>
    <row r="31" spans="1:7" x14ac:dyDescent="0.2">
      <c r="A31" s="39"/>
      <c r="B31" s="9">
        <v>66</v>
      </c>
      <c r="C31" s="9" t="s">
        <v>469</v>
      </c>
      <c r="D31" s="9" t="s">
        <v>39</v>
      </c>
      <c r="E31" s="9" t="s">
        <v>40</v>
      </c>
      <c r="F31" s="9" t="s">
        <v>51</v>
      </c>
      <c r="G31" s="10" t="s">
        <v>42</v>
      </c>
    </row>
    <row r="32" spans="1:7" x14ac:dyDescent="0.2">
      <c r="A32" s="37"/>
      <c r="B32" s="9">
        <v>66</v>
      </c>
      <c r="C32" s="9" t="s">
        <v>485</v>
      </c>
      <c r="D32" s="9" t="s">
        <v>39</v>
      </c>
      <c r="E32" s="9" t="s">
        <v>40</v>
      </c>
      <c r="F32" s="9" t="s">
        <v>51</v>
      </c>
      <c r="G32" s="10" t="s">
        <v>42</v>
      </c>
    </row>
    <row r="33" spans="1:7" x14ac:dyDescent="0.2">
      <c r="A33" s="39"/>
      <c r="B33" s="9">
        <v>66</v>
      </c>
      <c r="C33" s="9" t="s">
        <v>486</v>
      </c>
      <c r="D33" s="9" t="s">
        <v>39</v>
      </c>
      <c r="E33" s="9" t="s">
        <v>40</v>
      </c>
      <c r="F33" s="9" t="s">
        <v>51</v>
      </c>
      <c r="G33" s="10" t="s">
        <v>42</v>
      </c>
    </row>
    <row r="34" spans="1:7" x14ac:dyDescent="0.2">
      <c r="A34" s="37"/>
      <c r="B34" s="9">
        <v>66</v>
      </c>
      <c r="C34" s="9" t="s">
        <v>474</v>
      </c>
      <c r="D34" s="9" t="s">
        <v>39</v>
      </c>
      <c r="E34" s="9" t="s">
        <v>40</v>
      </c>
      <c r="F34" s="9" t="s">
        <v>51</v>
      </c>
      <c r="G34" s="10" t="s">
        <v>42</v>
      </c>
    </row>
    <row r="35" spans="1:7" x14ac:dyDescent="0.2">
      <c r="A35" s="39"/>
      <c r="B35" s="9">
        <v>66</v>
      </c>
      <c r="C35" s="9" t="s">
        <v>487</v>
      </c>
      <c r="D35" s="9" t="s">
        <v>39</v>
      </c>
      <c r="E35" s="9" t="s">
        <v>40</v>
      </c>
      <c r="F35" s="9" t="s">
        <v>51</v>
      </c>
      <c r="G35" s="10" t="s">
        <v>42</v>
      </c>
    </row>
    <row r="36" spans="1:7" x14ac:dyDescent="0.2">
      <c r="A36" s="37"/>
      <c r="B36" s="9">
        <v>66</v>
      </c>
      <c r="C36" s="9" t="s">
        <v>470</v>
      </c>
      <c r="D36" s="9" t="s">
        <v>39</v>
      </c>
      <c r="E36" s="9" t="s">
        <v>40</v>
      </c>
      <c r="F36" s="9" t="s">
        <v>51</v>
      </c>
      <c r="G36" s="10" t="s">
        <v>42</v>
      </c>
    </row>
    <row r="37" spans="1:7" ht="12.75" x14ac:dyDescent="0.2">
      <c r="A37" s="39"/>
      <c r="B37" s="9">
        <v>66</v>
      </c>
      <c r="C37" s="9" t="s">
        <v>488</v>
      </c>
      <c r="D37" s="9" t="s">
        <v>39</v>
      </c>
      <c r="E37" s="9" t="s">
        <v>40</v>
      </c>
      <c r="F37" s="9" t="s">
        <v>51</v>
      </c>
      <c r="G37" s="10" t="s">
        <v>42</v>
      </c>
    </row>
    <row r="38" spans="1:7" ht="12.75" x14ac:dyDescent="0.2">
      <c r="A38" s="37"/>
      <c r="B38" s="9">
        <v>66</v>
      </c>
      <c r="C38" s="9" t="s">
        <v>489</v>
      </c>
      <c r="D38" s="9" t="s">
        <v>39</v>
      </c>
      <c r="E38" s="9" t="s">
        <v>40</v>
      </c>
      <c r="F38" s="9" t="s">
        <v>51</v>
      </c>
      <c r="G38" s="10" t="s">
        <v>42</v>
      </c>
    </row>
    <row r="39" spans="1:7" ht="12.75" x14ac:dyDescent="0.2">
      <c r="A39" s="39"/>
      <c r="B39" s="9">
        <v>66</v>
      </c>
      <c r="C39" s="9" t="s">
        <v>490</v>
      </c>
      <c r="D39" s="9" t="s">
        <v>39</v>
      </c>
      <c r="E39" s="9" t="s">
        <v>40</v>
      </c>
      <c r="F39" s="9" t="s">
        <v>51</v>
      </c>
      <c r="G39" s="10" t="s">
        <v>42</v>
      </c>
    </row>
    <row r="40" spans="1:7" ht="12.75" x14ac:dyDescent="0.2">
      <c r="A40" s="37"/>
      <c r="B40" s="9">
        <v>66</v>
      </c>
      <c r="C40" s="9" t="s">
        <v>491</v>
      </c>
      <c r="D40" s="9" t="s">
        <v>39</v>
      </c>
      <c r="E40" s="9" t="s">
        <v>40</v>
      </c>
      <c r="F40" s="9" t="s">
        <v>51</v>
      </c>
      <c r="G40" s="10" t="s">
        <v>42</v>
      </c>
    </row>
    <row r="41" spans="1:7" ht="12.75" x14ac:dyDescent="0.2">
      <c r="A41" s="39"/>
      <c r="B41" s="9">
        <v>66</v>
      </c>
      <c r="C41" s="9" t="s">
        <v>492</v>
      </c>
      <c r="D41" s="9" t="s">
        <v>39</v>
      </c>
      <c r="E41" s="9" t="s">
        <v>40</v>
      </c>
      <c r="F41" s="9" t="s">
        <v>51</v>
      </c>
      <c r="G41" s="10" t="s">
        <v>42</v>
      </c>
    </row>
    <row r="42" spans="1:7" ht="12.75" x14ac:dyDescent="0.2">
      <c r="A42" s="37"/>
      <c r="B42" s="9">
        <v>66</v>
      </c>
      <c r="C42" s="9" t="s">
        <v>493</v>
      </c>
      <c r="D42" s="9" t="s">
        <v>494</v>
      </c>
      <c r="E42" s="9" t="s">
        <v>40</v>
      </c>
      <c r="F42" s="9" t="s">
        <v>41</v>
      </c>
      <c r="G42" s="10" t="s">
        <v>42</v>
      </c>
    </row>
    <row r="43" spans="1:7" ht="12.75" x14ac:dyDescent="0.2">
      <c r="A43" s="39"/>
      <c r="B43" s="9">
        <v>66</v>
      </c>
      <c r="C43" s="9" t="s">
        <v>477</v>
      </c>
      <c r="D43" s="9" t="s">
        <v>39</v>
      </c>
      <c r="E43" s="9" t="s">
        <v>40</v>
      </c>
      <c r="F43" s="9" t="s">
        <v>51</v>
      </c>
      <c r="G43" s="10" t="s">
        <v>42</v>
      </c>
    </row>
    <row r="44" spans="1:7" ht="12.75" x14ac:dyDescent="0.2">
      <c r="A44" s="37"/>
      <c r="B44" s="9">
        <v>66</v>
      </c>
      <c r="C44" s="9" t="s">
        <v>495</v>
      </c>
      <c r="D44" s="9" t="s">
        <v>39</v>
      </c>
      <c r="E44" s="9" t="s">
        <v>40</v>
      </c>
      <c r="F44" s="9" t="s">
        <v>41</v>
      </c>
      <c r="G44" s="10" t="s">
        <v>42</v>
      </c>
    </row>
    <row r="45" spans="1:7" ht="12.75" x14ac:dyDescent="0.2">
      <c r="A45" s="39"/>
      <c r="B45" s="9">
        <v>66</v>
      </c>
      <c r="C45" s="9" t="s">
        <v>496</v>
      </c>
      <c r="D45" s="9" t="s">
        <v>39</v>
      </c>
      <c r="E45" s="9" t="s">
        <v>40</v>
      </c>
      <c r="F45" s="9" t="s">
        <v>41</v>
      </c>
      <c r="G45" s="10" t="s">
        <v>42</v>
      </c>
    </row>
    <row r="46" spans="1:7" ht="12.75" x14ac:dyDescent="0.2">
      <c r="A46" s="37"/>
      <c r="B46" s="9">
        <v>66</v>
      </c>
      <c r="C46" s="9" t="s">
        <v>497</v>
      </c>
      <c r="D46" s="9" t="s">
        <v>39</v>
      </c>
      <c r="E46" s="9" t="s">
        <v>40</v>
      </c>
      <c r="F46" s="9" t="s">
        <v>51</v>
      </c>
      <c r="G46" s="10" t="s">
        <v>42</v>
      </c>
    </row>
    <row r="47" spans="1:7" ht="12.75" x14ac:dyDescent="0.2">
      <c r="A47" s="39"/>
      <c r="B47" s="9">
        <v>66</v>
      </c>
      <c r="C47" s="9" t="s">
        <v>498</v>
      </c>
      <c r="D47" s="9" t="s">
        <v>39</v>
      </c>
      <c r="E47" s="9" t="s">
        <v>40</v>
      </c>
      <c r="F47" s="9" t="s">
        <v>41</v>
      </c>
      <c r="G47" s="10" t="s">
        <v>42</v>
      </c>
    </row>
    <row r="48" spans="1:7" ht="12.75" x14ac:dyDescent="0.2">
      <c r="A48" s="40"/>
      <c r="B48" s="9">
        <v>66</v>
      </c>
      <c r="C48" s="9" t="s">
        <v>480</v>
      </c>
      <c r="D48" s="9" t="s">
        <v>39</v>
      </c>
      <c r="E48" s="9" t="s">
        <v>40</v>
      </c>
      <c r="F48" s="9" t="s">
        <v>41</v>
      </c>
      <c r="G48" s="10" t="s">
        <v>42</v>
      </c>
    </row>
    <row r="49" spans="1:7" ht="12.75" x14ac:dyDescent="0.2">
      <c r="A49" s="36" t="s">
        <v>24</v>
      </c>
      <c r="B49" s="9">
        <v>66</v>
      </c>
      <c r="C49" s="9" t="s">
        <v>499</v>
      </c>
      <c r="D49" s="9" t="s">
        <v>39</v>
      </c>
      <c r="E49" s="9" t="s">
        <v>46</v>
      </c>
      <c r="F49" s="9" t="s">
        <v>51</v>
      </c>
      <c r="G49" s="10" t="s">
        <v>42</v>
      </c>
    </row>
    <row r="50" spans="1:7" ht="12.75" x14ac:dyDescent="0.2">
      <c r="A50" s="37"/>
      <c r="B50" s="9">
        <v>66</v>
      </c>
      <c r="C50" s="9" t="s">
        <v>500</v>
      </c>
      <c r="D50" s="9" t="s">
        <v>39</v>
      </c>
      <c r="E50" s="9" t="s">
        <v>46</v>
      </c>
      <c r="F50" s="9" t="s">
        <v>51</v>
      </c>
      <c r="G50" s="10" t="s">
        <v>42</v>
      </c>
    </row>
    <row r="51" spans="1:7" ht="12.75" x14ac:dyDescent="0.2">
      <c r="A51" s="39"/>
      <c r="B51" s="9">
        <v>66</v>
      </c>
      <c r="C51" s="9" t="s">
        <v>468</v>
      </c>
      <c r="D51" s="9" t="s">
        <v>39</v>
      </c>
      <c r="E51" s="9" t="s">
        <v>46</v>
      </c>
      <c r="F51" s="9" t="s">
        <v>51</v>
      </c>
      <c r="G51" s="10" t="s">
        <v>42</v>
      </c>
    </row>
    <row r="52" spans="1:7" ht="12.75" x14ac:dyDescent="0.2">
      <c r="A52" s="37"/>
      <c r="B52" s="9">
        <v>66</v>
      </c>
      <c r="C52" s="9" t="s">
        <v>501</v>
      </c>
      <c r="D52" s="9" t="s">
        <v>39</v>
      </c>
      <c r="E52" s="9" t="s">
        <v>46</v>
      </c>
      <c r="F52" s="9" t="s">
        <v>51</v>
      </c>
      <c r="G52" s="10" t="s">
        <v>42</v>
      </c>
    </row>
    <row r="53" spans="1:7" ht="12.75" x14ac:dyDescent="0.2">
      <c r="A53" s="39"/>
      <c r="B53" s="9">
        <v>66</v>
      </c>
      <c r="C53" s="9" t="s">
        <v>502</v>
      </c>
      <c r="D53" s="9" t="s">
        <v>39</v>
      </c>
      <c r="E53" s="9" t="s">
        <v>46</v>
      </c>
      <c r="F53" s="9" t="s">
        <v>51</v>
      </c>
      <c r="G53" s="10" t="s">
        <v>42</v>
      </c>
    </row>
    <row r="54" spans="1:7" ht="12.75" x14ac:dyDescent="0.2">
      <c r="A54" s="37"/>
      <c r="B54" s="9">
        <v>66</v>
      </c>
      <c r="C54" s="9" t="s">
        <v>484</v>
      </c>
      <c r="D54" s="9" t="s">
        <v>39</v>
      </c>
      <c r="E54" s="9" t="s">
        <v>46</v>
      </c>
      <c r="F54" s="9" t="s">
        <v>51</v>
      </c>
      <c r="G54" s="10" t="s">
        <v>42</v>
      </c>
    </row>
    <row r="55" spans="1:7" ht="12.75" x14ac:dyDescent="0.2">
      <c r="A55" s="39"/>
      <c r="B55" s="9">
        <v>66</v>
      </c>
      <c r="C55" s="9" t="s">
        <v>503</v>
      </c>
      <c r="D55" s="9" t="s">
        <v>39</v>
      </c>
      <c r="E55" s="9" t="s">
        <v>46</v>
      </c>
      <c r="F55" s="9" t="s">
        <v>51</v>
      </c>
      <c r="G55" s="10" t="s">
        <v>42</v>
      </c>
    </row>
    <row r="56" spans="1:7" ht="12.75" x14ac:dyDescent="0.2">
      <c r="A56" s="37"/>
      <c r="B56" s="9">
        <v>66</v>
      </c>
      <c r="C56" s="9" t="s">
        <v>504</v>
      </c>
      <c r="D56" s="9" t="s">
        <v>39</v>
      </c>
      <c r="E56" s="9" t="s">
        <v>46</v>
      </c>
      <c r="F56" s="9" t="s">
        <v>51</v>
      </c>
      <c r="G56" s="10" t="s">
        <v>42</v>
      </c>
    </row>
    <row r="57" spans="1:7" ht="12.75" x14ac:dyDescent="0.2">
      <c r="A57" s="39"/>
      <c r="B57" s="9">
        <v>66</v>
      </c>
      <c r="C57" s="9" t="s">
        <v>486</v>
      </c>
      <c r="D57" s="9" t="s">
        <v>39</v>
      </c>
      <c r="E57" s="9" t="s">
        <v>46</v>
      </c>
      <c r="F57" s="9" t="s">
        <v>51</v>
      </c>
      <c r="G57" s="10" t="s">
        <v>42</v>
      </c>
    </row>
    <row r="58" spans="1:7" ht="12.75" x14ac:dyDescent="0.2">
      <c r="A58" s="37"/>
      <c r="B58" s="9">
        <v>66</v>
      </c>
      <c r="C58" s="9" t="s">
        <v>474</v>
      </c>
      <c r="D58" s="9" t="s">
        <v>39</v>
      </c>
      <c r="E58" s="9" t="s">
        <v>46</v>
      </c>
      <c r="F58" s="9" t="s">
        <v>51</v>
      </c>
      <c r="G58" s="10" t="s">
        <v>42</v>
      </c>
    </row>
    <row r="59" spans="1:7" ht="12.75" x14ac:dyDescent="0.2">
      <c r="A59" s="39"/>
      <c r="B59" s="9">
        <v>66</v>
      </c>
      <c r="C59" s="9" t="s">
        <v>505</v>
      </c>
      <c r="D59" s="9" t="s">
        <v>39</v>
      </c>
      <c r="E59" s="9" t="s">
        <v>46</v>
      </c>
      <c r="F59" s="9" t="s">
        <v>51</v>
      </c>
      <c r="G59" s="10" t="s">
        <v>42</v>
      </c>
    </row>
    <row r="60" spans="1:7" ht="12.75" x14ac:dyDescent="0.2">
      <c r="A60" s="37"/>
      <c r="B60" s="9">
        <v>66</v>
      </c>
      <c r="C60" s="9" t="s">
        <v>470</v>
      </c>
      <c r="D60" s="9" t="s">
        <v>39</v>
      </c>
      <c r="E60" s="9" t="s">
        <v>46</v>
      </c>
      <c r="F60" s="9" t="s">
        <v>51</v>
      </c>
      <c r="G60" s="10" t="s">
        <v>42</v>
      </c>
    </row>
    <row r="61" spans="1:7" ht="12.75" x14ac:dyDescent="0.2">
      <c r="A61" s="39"/>
      <c r="B61" s="9">
        <v>66</v>
      </c>
      <c r="C61" s="9" t="s">
        <v>506</v>
      </c>
      <c r="D61" s="9" t="s">
        <v>39</v>
      </c>
      <c r="E61" s="9" t="s">
        <v>46</v>
      </c>
      <c r="F61" s="9" t="s">
        <v>51</v>
      </c>
      <c r="G61" s="10" t="s">
        <v>42</v>
      </c>
    </row>
    <row r="62" spans="1:7" ht="12.75" x14ac:dyDescent="0.2">
      <c r="A62" s="37"/>
      <c r="B62" s="9">
        <v>66</v>
      </c>
      <c r="C62" s="9" t="s">
        <v>507</v>
      </c>
      <c r="D62" s="9" t="s">
        <v>39</v>
      </c>
      <c r="E62" s="9" t="s">
        <v>46</v>
      </c>
      <c r="F62" s="9" t="s">
        <v>51</v>
      </c>
      <c r="G62" s="10" t="s">
        <v>42</v>
      </c>
    </row>
    <row r="63" spans="1:7" ht="12.75" x14ac:dyDescent="0.2">
      <c r="A63" s="39"/>
      <c r="B63" s="9">
        <v>66</v>
      </c>
      <c r="C63" s="9" t="s">
        <v>492</v>
      </c>
      <c r="D63" s="9" t="s">
        <v>39</v>
      </c>
      <c r="E63" s="9" t="s">
        <v>46</v>
      </c>
      <c r="F63" s="9" t="s">
        <v>51</v>
      </c>
      <c r="G63" s="10" t="s">
        <v>42</v>
      </c>
    </row>
    <row r="64" spans="1:7" ht="12.75" x14ac:dyDescent="0.2">
      <c r="A64" s="37"/>
      <c r="B64" s="9">
        <v>66</v>
      </c>
      <c r="C64" s="9" t="s">
        <v>508</v>
      </c>
      <c r="D64" s="9" t="s">
        <v>39</v>
      </c>
      <c r="E64" s="9" t="s">
        <v>46</v>
      </c>
      <c r="F64" s="9" t="s">
        <v>51</v>
      </c>
      <c r="G64" s="10" t="s">
        <v>42</v>
      </c>
    </row>
    <row r="65" spans="1:7" ht="12.75" x14ac:dyDescent="0.2">
      <c r="A65" s="39"/>
      <c r="B65" s="9">
        <v>66</v>
      </c>
      <c r="C65" s="9" t="s">
        <v>509</v>
      </c>
      <c r="D65" s="9" t="s">
        <v>39</v>
      </c>
      <c r="E65" s="9" t="s">
        <v>46</v>
      </c>
      <c r="F65" s="9" t="s">
        <v>51</v>
      </c>
      <c r="G65" s="10" t="s">
        <v>42</v>
      </c>
    </row>
    <row r="66" spans="1:7" ht="12.75" x14ac:dyDescent="0.2">
      <c r="A66" s="37"/>
      <c r="B66" s="9">
        <v>66</v>
      </c>
      <c r="C66" s="9" t="s">
        <v>496</v>
      </c>
      <c r="D66" s="9" t="s">
        <v>39</v>
      </c>
      <c r="E66" s="9" t="s">
        <v>46</v>
      </c>
      <c r="F66" s="9" t="s">
        <v>51</v>
      </c>
      <c r="G66" s="10" t="s">
        <v>42</v>
      </c>
    </row>
    <row r="67" spans="1:7" ht="12.75" x14ac:dyDescent="0.2">
      <c r="A67" s="39"/>
      <c r="B67" s="9">
        <v>66</v>
      </c>
      <c r="C67" s="9" t="s">
        <v>497</v>
      </c>
      <c r="D67" s="9" t="s">
        <v>39</v>
      </c>
      <c r="E67" s="9" t="s">
        <v>46</v>
      </c>
      <c r="F67" s="9" t="s">
        <v>51</v>
      </c>
      <c r="G67" s="10" t="s">
        <v>42</v>
      </c>
    </row>
    <row r="68" spans="1:7" ht="12.75" x14ac:dyDescent="0.2">
      <c r="A68" s="37"/>
      <c r="B68" s="9">
        <v>66</v>
      </c>
      <c r="C68" s="9" t="s">
        <v>498</v>
      </c>
      <c r="D68" s="9" t="s">
        <v>39</v>
      </c>
      <c r="E68" s="9" t="s">
        <v>46</v>
      </c>
      <c r="F68" s="9" t="s">
        <v>51</v>
      </c>
      <c r="G68" s="10" t="s">
        <v>42</v>
      </c>
    </row>
    <row r="69" spans="1:7" ht="12.75" x14ac:dyDescent="0.2">
      <c r="A69" s="38"/>
      <c r="B69" s="9">
        <v>66</v>
      </c>
      <c r="C69" s="9" t="s">
        <v>480</v>
      </c>
      <c r="D69" s="9" t="s">
        <v>39</v>
      </c>
      <c r="E69" s="9" t="s">
        <v>46</v>
      </c>
      <c r="F69" s="9" t="s">
        <v>51</v>
      </c>
      <c r="G69" s="10" t="s">
        <v>42</v>
      </c>
    </row>
    <row r="70" spans="1:7" ht="12.75" x14ac:dyDescent="0.2">
      <c r="A70" s="36" t="s">
        <v>25</v>
      </c>
      <c r="B70" s="9">
        <v>66</v>
      </c>
      <c r="C70" s="9" t="s">
        <v>480</v>
      </c>
      <c r="D70" s="9" t="s">
        <v>39</v>
      </c>
      <c r="E70" s="9" t="s">
        <v>46</v>
      </c>
      <c r="F70" s="9" t="s">
        <v>51</v>
      </c>
      <c r="G70" s="10" t="s">
        <v>42</v>
      </c>
    </row>
    <row r="71" spans="1:7" ht="12.75" x14ac:dyDescent="0.2">
      <c r="A71" s="39"/>
      <c r="B71" s="9">
        <v>66</v>
      </c>
      <c r="C71" s="9" t="s">
        <v>498</v>
      </c>
      <c r="D71" s="9" t="s">
        <v>39</v>
      </c>
      <c r="E71" s="9" t="s">
        <v>46</v>
      </c>
      <c r="F71" s="9" t="s">
        <v>51</v>
      </c>
      <c r="G71" s="10" t="s">
        <v>42</v>
      </c>
    </row>
    <row r="72" spans="1:7" ht="12.75" x14ac:dyDescent="0.2">
      <c r="A72" s="37"/>
      <c r="B72" s="9">
        <v>66</v>
      </c>
      <c r="C72" s="9" t="s">
        <v>510</v>
      </c>
      <c r="D72" s="9" t="s">
        <v>39</v>
      </c>
      <c r="E72" s="9" t="s">
        <v>46</v>
      </c>
      <c r="F72" s="9" t="s">
        <v>51</v>
      </c>
      <c r="G72" s="10" t="s">
        <v>42</v>
      </c>
    </row>
    <row r="73" spans="1:7" ht="12.75" x14ac:dyDescent="0.2">
      <c r="A73" s="39"/>
      <c r="B73" s="9">
        <v>66</v>
      </c>
      <c r="C73" s="9" t="s">
        <v>497</v>
      </c>
      <c r="D73" s="9" t="s">
        <v>39</v>
      </c>
      <c r="E73" s="9" t="s">
        <v>46</v>
      </c>
      <c r="F73" s="9" t="s">
        <v>51</v>
      </c>
      <c r="G73" s="10" t="s">
        <v>42</v>
      </c>
    </row>
    <row r="74" spans="1:7" ht="12.75" x14ac:dyDescent="0.2">
      <c r="A74" s="37"/>
      <c r="B74" s="9">
        <v>66</v>
      </c>
      <c r="C74" s="9" t="s">
        <v>496</v>
      </c>
      <c r="D74" s="9" t="s">
        <v>39</v>
      </c>
      <c r="E74" s="9" t="s">
        <v>46</v>
      </c>
      <c r="F74" s="9" t="s">
        <v>51</v>
      </c>
      <c r="G74" s="10" t="s">
        <v>42</v>
      </c>
    </row>
    <row r="75" spans="1:7" ht="12.75" x14ac:dyDescent="0.2">
      <c r="A75" s="39"/>
      <c r="B75" s="9">
        <v>66</v>
      </c>
      <c r="C75" s="9" t="s">
        <v>511</v>
      </c>
      <c r="D75" s="9" t="s">
        <v>39</v>
      </c>
      <c r="E75" s="9" t="s">
        <v>46</v>
      </c>
      <c r="F75" s="9" t="s">
        <v>51</v>
      </c>
      <c r="G75" s="10" t="s">
        <v>42</v>
      </c>
    </row>
    <row r="76" spans="1:7" ht="12.75" x14ac:dyDescent="0.2">
      <c r="A76" s="37"/>
      <c r="B76" s="9">
        <v>66</v>
      </c>
      <c r="C76" s="9" t="s">
        <v>512</v>
      </c>
      <c r="D76" s="9" t="s">
        <v>39</v>
      </c>
      <c r="E76" s="9" t="s">
        <v>46</v>
      </c>
      <c r="F76" s="9" t="s">
        <v>51</v>
      </c>
      <c r="G76" s="10" t="s">
        <v>42</v>
      </c>
    </row>
    <row r="77" spans="1:7" ht="12.75" x14ac:dyDescent="0.2">
      <c r="A77" s="39"/>
      <c r="B77" s="9">
        <v>66</v>
      </c>
      <c r="C77" s="9" t="s">
        <v>513</v>
      </c>
      <c r="D77" s="9" t="s">
        <v>39</v>
      </c>
      <c r="E77" s="9" t="s">
        <v>46</v>
      </c>
      <c r="F77" s="9" t="s">
        <v>51</v>
      </c>
      <c r="G77" s="10" t="s">
        <v>42</v>
      </c>
    </row>
    <row r="78" spans="1:7" ht="12.75" x14ac:dyDescent="0.2">
      <c r="A78" s="37"/>
      <c r="B78" s="9">
        <v>66</v>
      </c>
      <c r="C78" s="9" t="s">
        <v>508</v>
      </c>
      <c r="D78" s="9" t="s">
        <v>39</v>
      </c>
      <c r="E78" s="9" t="s">
        <v>46</v>
      </c>
      <c r="F78" s="9" t="s">
        <v>51</v>
      </c>
      <c r="G78" s="10" t="s">
        <v>42</v>
      </c>
    </row>
    <row r="79" spans="1:7" ht="12.75" x14ac:dyDescent="0.2">
      <c r="A79" s="39"/>
      <c r="B79" s="9">
        <v>66</v>
      </c>
      <c r="C79" s="9" t="s">
        <v>514</v>
      </c>
      <c r="D79" s="9" t="s">
        <v>39</v>
      </c>
      <c r="E79" s="9" t="s">
        <v>46</v>
      </c>
      <c r="F79" s="9" t="s">
        <v>51</v>
      </c>
      <c r="G79" s="10" t="s">
        <v>42</v>
      </c>
    </row>
    <row r="80" spans="1:7" ht="12.75" x14ac:dyDescent="0.2">
      <c r="A80" s="37"/>
      <c r="B80" s="9">
        <v>66</v>
      </c>
      <c r="C80" s="9" t="s">
        <v>507</v>
      </c>
      <c r="D80" s="9" t="s">
        <v>39</v>
      </c>
      <c r="E80" s="9" t="s">
        <v>46</v>
      </c>
      <c r="F80" s="9" t="s">
        <v>51</v>
      </c>
      <c r="G80" s="10" t="s">
        <v>42</v>
      </c>
    </row>
    <row r="81" spans="1:7" ht="12.75" x14ac:dyDescent="0.2">
      <c r="A81" s="39"/>
      <c r="B81" s="9">
        <v>66</v>
      </c>
      <c r="C81" s="9" t="s">
        <v>515</v>
      </c>
      <c r="D81" s="9" t="s">
        <v>494</v>
      </c>
      <c r="E81" s="9" t="s">
        <v>46</v>
      </c>
      <c r="F81" s="9" t="s">
        <v>41</v>
      </c>
      <c r="G81" s="10" t="s">
        <v>42</v>
      </c>
    </row>
    <row r="82" spans="1:7" ht="12.75" x14ac:dyDescent="0.2">
      <c r="A82" s="37"/>
      <c r="B82" s="9">
        <v>66</v>
      </c>
      <c r="C82" s="9" t="s">
        <v>516</v>
      </c>
      <c r="D82" s="9" t="s">
        <v>39</v>
      </c>
      <c r="E82" s="9" t="s">
        <v>46</v>
      </c>
      <c r="F82" s="9" t="s">
        <v>51</v>
      </c>
      <c r="G82" s="10" t="s">
        <v>42</v>
      </c>
    </row>
    <row r="83" spans="1:7" ht="12.75" x14ac:dyDescent="0.2">
      <c r="A83" s="39"/>
      <c r="B83" s="9">
        <v>66</v>
      </c>
      <c r="C83" s="9" t="s">
        <v>490</v>
      </c>
      <c r="D83" s="9" t="s">
        <v>39</v>
      </c>
      <c r="E83" s="9" t="s">
        <v>46</v>
      </c>
      <c r="F83" s="9" t="s">
        <v>47</v>
      </c>
      <c r="G83" s="10" t="s">
        <v>42</v>
      </c>
    </row>
    <row r="84" spans="1:7" ht="12.75" x14ac:dyDescent="0.2">
      <c r="A84" s="37"/>
      <c r="B84" s="9">
        <v>66</v>
      </c>
      <c r="C84" s="9" t="s">
        <v>489</v>
      </c>
      <c r="D84" s="9" t="s">
        <v>39</v>
      </c>
      <c r="E84" s="9" t="s">
        <v>46</v>
      </c>
      <c r="F84" s="9" t="s">
        <v>51</v>
      </c>
      <c r="G84" s="10" t="s">
        <v>42</v>
      </c>
    </row>
    <row r="85" spans="1:7" ht="12.75" x14ac:dyDescent="0.2">
      <c r="A85" s="39"/>
      <c r="B85" s="9">
        <v>66</v>
      </c>
      <c r="C85" s="9" t="s">
        <v>506</v>
      </c>
      <c r="D85" s="9" t="s">
        <v>39</v>
      </c>
      <c r="E85" s="9" t="s">
        <v>46</v>
      </c>
      <c r="F85" s="9" t="s">
        <v>51</v>
      </c>
      <c r="G85" s="10" t="s">
        <v>42</v>
      </c>
    </row>
    <row r="86" spans="1:7" ht="12.75" x14ac:dyDescent="0.2">
      <c r="A86" s="37"/>
      <c r="B86" s="9">
        <v>66</v>
      </c>
      <c r="C86" s="9" t="s">
        <v>517</v>
      </c>
      <c r="D86" s="9" t="s">
        <v>39</v>
      </c>
      <c r="E86" s="9" t="s">
        <v>46</v>
      </c>
      <c r="F86" s="9" t="s">
        <v>47</v>
      </c>
      <c r="G86" s="10" t="s">
        <v>42</v>
      </c>
    </row>
    <row r="87" spans="1:7" ht="12.75" x14ac:dyDescent="0.2">
      <c r="A87" s="39"/>
      <c r="B87" s="9">
        <v>66</v>
      </c>
      <c r="C87" s="9" t="s">
        <v>470</v>
      </c>
      <c r="D87" s="9" t="s">
        <v>39</v>
      </c>
      <c r="E87" s="9" t="s">
        <v>46</v>
      </c>
      <c r="F87" s="9" t="s">
        <v>51</v>
      </c>
      <c r="G87" s="10" t="s">
        <v>42</v>
      </c>
    </row>
    <row r="88" spans="1:7" ht="12.75" x14ac:dyDescent="0.2">
      <c r="A88" s="37"/>
      <c r="B88" s="9">
        <v>66</v>
      </c>
      <c r="C88" s="9" t="s">
        <v>518</v>
      </c>
      <c r="D88" s="9" t="s">
        <v>39</v>
      </c>
      <c r="E88" s="9" t="s">
        <v>46</v>
      </c>
      <c r="F88" s="9" t="s">
        <v>51</v>
      </c>
      <c r="G88" s="10" t="s">
        <v>42</v>
      </c>
    </row>
    <row r="89" spans="1:7" ht="12.75" x14ac:dyDescent="0.2">
      <c r="A89" s="39"/>
      <c r="B89" s="9">
        <v>66</v>
      </c>
      <c r="C89" s="9" t="s">
        <v>519</v>
      </c>
      <c r="D89" s="9" t="s">
        <v>39</v>
      </c>
      <c r="E89" s="9" t="s">
        <v>46</v>
      </c>
      <c r="F89" s="9" t="s">
        <v>47</v>
      </c>
      <c r="G89" s="10" t="s">
        <v>42</v>
      </c>
    </row>
    <row r="90" spans="1:7" ht="12.75" x14ac:dyDescent="0.2">
      <c r="A90" s="37"/>
      <c r="B90" s="9">
        <v>66</v>
      </c>
      <c r="C90" s="9" t="s">
        <v>486</v>
      </c>
      <c r="D90" s="9" t="s">
        <v>39</v>
      </c>
      <c r="E90" s="9" t="s">
        <v>46</v>
      </c>
      <c r="F90" s="9" t="s">
        <v>51</v>
      </c>
      <c r="G90" s="10" t="s">
        <v>42</v>
      </c>
    </row>
    <row r="91" spans="1:7" ht="12.75" x14ac:dyDescent="0.2">
      <c r="A91" s="39"/>
      <c r="B91" s="9">
        <v>66</v>
      </c>
      <c r="C91" s="9" t="s">
        <v>504</v>
      </c>
      <c r="D91" s="9" t="s">
        <v>39</v>
      </c>
      <c r="E91" s="9" t="s">
        <v>46</v>
      </c>
      <c r="F91" s="9" t="s">
        <v>51</v>
      </c>
      <c r="G91" s="10" t="s">
        <v>42</v>
      </c>
    </row>
    <row r="92" spans="1:7" ht="12.75" x14ac:dyDescent="0.2">
      <c r="A92" s="37"/>
      <c r="B92" s="9">
        <v>66</v>
      </c>
      <c r="C92" s="9" t="s">
        <v>503</v>
      </c>
      <c r="D92" s="9" t="s">
        <v>39</v>
      </c>
      <c r="E92" s="9" t="s">
        <v>46</v>
      </c>
      <c r="F92" s="9" t="s">
        <v>51</v>
      </c>
      <c r="G92" s="10" t="s">
        <v>42</v>
      </c>
    </row>
    <row r="93" spans="1:7" ht="12.75" x14ac:dyDescent="0.2">
      <c r="A93" s="39"/>
      <c r="B93" s="9">
        <v>66</v>
      </c>
      <c r="C93" s="9" t="s">
        <v>484</v>
      </c>
      <c r="D93" s="9" t="s">
        <v>39</v>
      </c>
      <c r="E93" s="9" t="s">
        <v>46</v>
      </c>
      <c r="F93" s="9" t="s">
        <v>51</v>
      </c>
      <c r="G93" s="10" t="s">
        <v>42</v>
      </c>
    </row>
    <row r="94" spans="1:7" ht="12.75" x14ac:dyDescent="0.2">
      <c r="A94" s="37"/>
      <c r="B94" s="9">
        <v>66</v>
      </c>
      <c r="C94" s="9" t="s">
        <v>520</v>
      </c>
      <c r="D94" s="9" t="s">
        <v>39</v>
      </c>
      <c r="E94" s="9" t="s">
        <v>46</v>
      </c>
      <c r="F94" s="9" t="s">
        <v>51</v>
      </c>
      <c r="G94" s="10" t="s">
        <v>42</v>
      </c>
    </row>
    <row r="95" spans="1:7" ht="12.75" x14ac:dyDescent="0.2">
      <c r="A95" s="39"/>
      <c r="B95" s="9">
        <v>66</v>
      </c>
      <c r="C95" s="9" t="s">
        <v>521</v>
      </c>
      <c r="D95" s="9" t="s">
        <v>39</v>
      </c>
      <c r="E95" s="9" t="s">
        <v>46</v>
      </c>
      <c r="F95" s="9" t="s">
        <v>51</v>
      </c>
      <c r="G95" s="10" t="s">
        <v>42</v>
      </c>
    </row>
    <row r="96" spans="1:7" ht="12.75" x14ac:dyDescent="0.2">
      <c r="A96" s="37"/>
      <c r="B96" s="9">
        <v>66</v>
      </c>
      <c r="C96" s="9" t="s">
        <v>522</v>
      </c>
      <c r="D96" s="9" t="s">
        <v>39</v>
      </c>
      <c r="E96" s="9" t="s">
        <v>46</v>
      </c>
      <c r="F96" s="9" t="s">
        <v>51</v>
      </c>
      <c r="G96" s="10" t="s">
        <v>42</v>
      </c>
    </row>
    <row r="97" spans="1:7" ht="12.75" x14ac:dyDescent="0.2">
      <c r="A97" s="39"/>
      <c r="B97" s="9">
        <v>66</v>
      </c>
      <c r="C97" s="9" t="s">
        <v>468</v>
      </c>
      <c r="D97" s="9" t="s">
        <v>39</v>
      </c>
      <c r="E97" s="9" t="s">
        <v>46</v>
      </c>
      <c r="F97" s="9" t="s">
        <v>51</v>
      </c>
      <c r="G97" s="10" t="s">
        <v>42</v>
      </c>
    </row>
    <row r="98" spans="1:7" ht="12.75" x14ac:dyDescent="0.2">
      <c r="A98" s="37"/>
      <c r="B98" s="9">
        <v>66</v>
      </c>
      <c r="C98" s="9" t="s">
        <v>523</v>
      </c>
      <c r="D98" s="9" t="s">
        <v>39</v>
      </c>
      <c r="E98" s="9" t="s">
        <v>46</v>
      </c>
      <c r="F98" s="9" t="s">
        <v>47</v>
      </c>
      <c r="G98" s="10" t="s">
        <v>42</v>
      </c>
    </row>
    <row r="99" spans="1:7" ht="12.75" x14ac:dyDescent="0.2">
      <c r="A99" s="39"/>
      <c r="B99" s="9">
        <v>66</v>
      </c>
      <c r="C99" s="9" t="s">
        <v>500</v>
      </c>
      <c r="D99" s="9" t="s">
        <v>39</v>
      </c>
      <c r="E99" s="9" t="s">
        <v>46</v>
      </c>
      <c r="F99" s="9" t="s">
        <v>51</v>
      </c>
      <c r="G99" s="10" t="s">
        <v>42</v>
      </c>
    </row>
    <row r="100" spans="1:7" ht="12.75" x14ac:dyDescent="0.2">
      <c r="A100" s="37"/>
      <c r="B100" s="9">
        <v>66</v>
      </c>
      <c r="C100" s="9" t="s">
        <v>524</v>
      </c>
      <c r="D100" s="9" t="s">
        <v>39</v>
      </c>
      <c r="E100" s="9" t="s">
        <v>46</v>
      </c>
      <c r="F100" s="9" t="s">
        <v>41</v>
      </c>
      <c r="G100" s="10" t="s">
        <v>42</v>
      </c>
    </row>
    <row r="101" spans="1:7" ht="12.75" x14ac:dyDescent="0.2">
      <c r="A101" s="38"/>
      <c r="B101" s="9">
        <v>66</v>
      </c>
      <c r="C101" s="9" t="s">
        <v>373</v>
      </c>
      <c r="D101" s="9" t="s">
        <v>39</v>
      </c>
      <c r="E101" s="9" t="s">
        <v>46</v>
      </c>
      <c r="F101" s="9" t="s">
        <v>41</v>
      </c>
      <c r="G101" s="10" t="s">
        <v>42</v>
      </c>
    </row>
    <row r="102" spans="1:7" ht="12.75" x14ac:dyDescent="0.2">
      <c r="A102" s="36" t="s">
        <v>26</v>
      </c>
      <c r="B102" s="9">
        <v>66</v>
      </c>
      <c r="C102" s="9" t="s">
        <v>499</v>
      </c>
      <c r="D102" s="9" t="s">
        <v>39</v>
      </c>
      <c r="E102" s="9" t="s">
        <v>46</v>
      </c>
      <c r="F102" s="9" t="s">
        <v>51</v>
      </c>
      <c r="G102" s="10" t="s">
        <v>42</v>
      </c>
    </row>
    <row r="103" spans="1:7" ht="12.75" x14ac:dyDescent="0.2">
      <c r="A103" s="39"/>
      <c r="B103" s="9">
        <v>66</v>
      </c>
      <c r="C103" s="9" t="s">
        <v>500</v>
      </c>
      <c r="D103" s="9" t="s">
        <v>39</v>
      </c>
      <c r="E103" s="9" t="s">
        <v>46</v>
      </c>
      <c r="F103" s="9" t="s">
        <v>51</v>
      </c>
      <c r="G103" s="10" t="s">
        <v>42</v>
      </c>
    </row>
    <row r="104" spans="1:7" ht="12.75" x14ac:dyDescent="0.2">
      <c r="A104" s="37"/>
      <c r="B104" s="9">
        <v>66</v>
      </c>
      <c r="C104" s="9" t="s">
        <v>525</v>
      </c>
      <c r="D104" s="9" t="s">
        <v>39</v>
      </c>
      <c r="E104" s="9" t="s">
        <v>46</v>
      </c>
      <c r="F104" s="9" t="s">
        <v>51</v>
      </c>
      <c r="G104" s="10" t="s">
        <v>42</v>
      </c>
    </row>
    <row r="105" spans="1:7" ht="12.75" x14ac:dyDescent="0.2">
      <c r="A105" s="39"/>
      <c r="B105" s="9">
        <v>66</v>
      </c>
      <c r="C105" s="9" t="s">
        <v>526</v>
      </c>
      <c r="D105" s="9" t="s">
        <v>39</v>
      </c>
      <c r="E105" s="9" t="s">
        <v>46</v>
      </c>
      <c r="F105" s="9" t="s">
        <v>51</v>
      </c>
      <c r="G105" s="10" t="s">
        <v>42</v>
      </c>
    </row>
    <row r="106" spans="1:7" ht="12.75" x14ac:dyDescent="0.2">
      <c r="A106" s="37"/>
      <c r="B106" s="9">
        <v>66</v>
      </c>
      <c r="C106" s="9" t="s">
        <v>527</v>
      </c>
      <c r="D106" s="9" t="s">
        <v>39</v>
      </c>
      <c r="E106" s="9" t="s">
        <v>46</v>
      </c>
      <c r="F106" s="9" t="s">
        <v>51</v>
      </c>
      <c r="G106" s="10" t="s">
        <v>42</v>
      </c>
    </row>
    <row r="107" spans="1:7" ht="12.75" x14ac:dyDescent="0.2">
      <c r="A107" s="39"/>
      <c r="B107" s="9">
        <v>66</v>
      </c>
      <c r="C107" s="9" t="s">
        <v>528</v>
      </c>
      <c r="D107" s="9" t="s">
        <v>39</v>
      </c>
      <c r="E107" s="9" t="s">
        <v>46</v>
      </c>
      <c r="F107" s="9" t="s">
        <v>51</v>
      </c>
      <c r="G107" s="10" t="s">
        <v>42</v>
      </c>
    </row>
    <row r="108" spans="1:7" ht="12.75" x14ac:dyDescent="0.2">
      <c r="A108" s="37"/>
      <c r="B108" s="9">
        <v>66</v>
      </c>
      <c r="C108" s="9" t="s">
        <v>484</v>
      </c>
      <c r="D108" s="9" t="s">
        <v>39</v>
      </c>
      <c r="E108" s="9" t="s">
        <v>46</v>
      </c>
      <c r="F108" s="9" t="s">
        <v>51</v>
      </c>
      <c r="G108" s="10" t="s">
        <v>42</v>
      </c>
    </row>
    <row r="109" spans="1:7" ht="12.75" x14ac:dyDescent="0.2">
      <c r="A109" s="39"/>
      <c r="B109" s="9">
        <v>66</v>
      </c>
      <c r="C109" s="9" t="s">
        <v>529</v>
      </c>
      <c r="D109" s="9" t="s">
        <v>39</v>
      </c>
      <c r="E109" s="9" t="s">
        <v>46</v>
      </c>
      <c r="F109" s="9" t="s">
        <v>51</v>
      </c>
      <c r="G109" s="10" t="s">
        <v>42</v>
      </c>
    </row>
    <row r="110" spans="1:7" ht="12.75" x14ac:dyDescent="0.2">
      <c r="A110" s="37"/>
      <c r="B110" s="9">
        <v>66</v>
      </c>
      <c r="C110" s="9" t="s">
        <v>504</v>
      </c>
      <c r="D110" s="9" t="s">
        <v>39</v>
      </c>
      <c r="E110" s="9" t="s">
        <v>46</v>
      </c>
      <c r="F110" s="9" t="s">
        <v>51</v>
      </c>
      <c r="G110" s="10" t="s">
        <v>42</v>
      </c>
    </row>
    <row r="111" spans="1:7" ht="12.75" x14ac:dyDescent="0.2">
      <c r="A111" s="39"/>
      <c r="B111" s="9">
        <v>66</v>
      </c>
      <c r="C111" s="9" t="s">
        <v>530</v>
      </c>
      <c r="D111" s="9" t="s">
        <v>39</v>
      </c>
      <c r="E111" s="9" t="s">
        <v>46</v>
      </c>
      <c r="F111" s="9" t="s">
        <v>51</v>
      </c>
      <c r="G111" s="10" t="s">
        <v>42</v>
      </c>
    </row>
    <row r="112" spans="1:7" ht="12.75" x14ac:dyDescent="0.2">
      <c r="A112" s="37"/>
      <c r="B112" s="9">
        <v>66</v>
      </c>
      <c r="C112" s="9" t="s">
        <v>474</v>
      </c>
      <c r="D112" s="9" t="s">
        <v>39</v>
      </c>
      <c r="E112" s="9" t="s">
        <v>46</v>
      </c>
      <c r="F112" s="9" t="s">
        <v>51</v>
      </c>
      <c r="G112" s="10" t="s">
        <v>42</v>
      </c>
    </row>
    <row r="113" spans="1:7" ht="12.75" x14ac:dyDescent="0.2">
      <c r="A113" s="39"/>
      <c r="B113" s="9">
        <v>66</v>
      </c>
      <c r="C113" s="9" t="s">
        <v>531</v>
      </c>
      <c r="D113" s="9" t="s">
        <v>39</v>
      </c>
      <c r="E113" s="9" t="s">
        <v>46</v>
      </c>
      <c r="F113" s="9" t="s">
        <v>51</v>
      </c>
      <c r="G113" s="10" t="s">
        <v>42</v>
      </c>
    </row>
    <row r="114" spans="1:7" ht="12.75" x14ac:dyDescent="0.2">
      <c r="A114" s="37"/>
      <c r="B114" s="9">
        <v>66</v>
      </c>
      <c r="C114" s="9" t="s">
        <v>532</v>
      </c>
      <c r="D114" s="9" t="s">
        <v>39</v>
      </c>
      <c r="E114" s="9" t="s">
        <v>46</v>
      </c>
      <c r="F114" s="9" t="s">
        <v>51</v>
      </c>
      <c r="G114" s="10" t="s">
        <v>42</v>
      </c>
    </row>
    <row r="115" spans="1:7" ht="12.75" x14ac:dyDescent="0.2">
      <c r="A115" s="39"/>
      <c r="B115" s="9">
        <v>66</v>
      </c>
      <c r="C115" s="9" t="s">
        <v>533</v>
      </c>
      <c r="D115" s="9" t="s">
        <v>39</v>
      </c>
      <c r="E115" s="9" t="s">
        <v>46</v>
      </c>
      <c r="F115" s="9" t="s">
        <v>51</v>
      </c>
      <c r="G115" s="10" t="s">
        <v>42</v>
      </c>
    </row>
    <row r="116" spans="1:7" ht="12.75" x14ac:dyDescent="0.2">
      <c r="A116" s="37"/>
      <c r="B116" s="9">
        <v>66</v>
      </c>
      <c r="C116" s="9" t="s">
        <v>508</v>
      </c>
      <c r="D116" s="9" t="s">
        <v>39</v>
      </c>
      <c r="E116" s="9" t="s">
        <v>46</v>
      </c>
      <c r="F116" s="9" t="s">
        <v>51</v>
      </c>
      <c r="G116" s="10" t="s">
        <v>42</v>
      </c>
    </row>
    <row r="117" spans="1:7" ht="12.75" x14ac:dyDescent="0.2">
      <c r="A117" s="39"/>
      <c r="B117" s="9">
        <v>66</v>
      </c>
      <c r="C117" s="9" t="s">
        <v>534</v>
      </c>
      <c r="D117" s="9" t="s">
        <v>39</v>
      </c>
      <c r="E117" s="9" t="s">
        <v>46</v>
      </c>
      <c r="F117" s="9" t="s">
        <v>51</v>
      </c>
      <c r="G117" s="10" t="s">
        <v>42</v>
      </c>
    </row>
    <row r="118" spans="1:7" ht="12.75" x14ac:dyDescent="0.2">
      <c r="A118" s="37"/>
      <c r="B118" s="9">
        <v>66</v>
      </c>
      <c r="C118" s="9" t="s">
        <v>496</v>
      </c>
      <c r="D118" s="9" t="s">
        <v>39</v>
      </c>
      <c r="E118" s="9" t="s">
        <v>46</v>
      </c>
      <c r="F118" s="9" t="s">
        <v>51</v>
      </c>
      <c r="G118" s="10" t="s">
        <v>42</v>
      </c>
    </row>
    <row r="119" spans="1:7" ht="12.75" x14ac:dyDescent="0.2">
      <c r="A119" s="39"/>
      <c r="B119" s="9">
        <v>66</v>
      </c>
      <c r="C119" s="9" t="s">
        <v>535</v>
      </c>
      <c r="D119" s="9" t="s">
        <v>39</v>
      </c>
      <c r="E119" s="9" t="s">
        <v>46</v>
      </c>
      <c r="F119" s="9" t="s">
        <v>51</v>
      </c>
      <c r="G119" s="10" t="s">
        <v>42</v>
      </c>
    </row>
    <row r="120" spans="1:7" ht="12.75" x14ac:dyDescent="0.2">
      <c r="A120" s="37"/>
      <c r="B120" s="9">
        <v>66</v>
      </c>
      <c r="C120" s="9" t="s">
        <v>536</v>
      </c>
      <c r="D120" s="9" t="s">
        <v>39</v>
      </c>
      <c r="E120" s="9" t="s">
        <v>46</v>
      </c>
      <c r="F120" s="9" t="s">
        <v>51</v>
      </c>
      <c r="G120" s="10" t="s">
        <v>42</v>
      </c>
    </row>
    <row r="121" spans="1:7" ht="12.75" x14ac:dyDescent="0.2">
      <c r="A121" s="39"/>
      <c r="B121" s="9">
        <v>66</v>
      </c>
      <c r="C121" s="9" t="s">
        <v>498</v>
      </c>
      <c r="D121" s="9" t="s">
        <v>39</v>
      </c>
      <c r="E121" s="9" t="s">
        <v>46</v>
      </c>
      <c r="F121" s="9" t="s">
        <v>51</v>
      </c>
      <c r="G121" s="10" t="s">
        <v>42</v>
      </c>
    </row>
    <row r="122" spans="1:7" ht="12.75" x14ac:dyDescent="0.2">
      <c r="A122" s="40"/>
      <c r="B122" s="9">
        <v>66</v>
      </c>
      <c r="C122" s="9" t="s">
        <v>480</v>
      </c>
      <c r="D122" s="9" t="s">
        <v>39</v>
      </c>
      <c r="E122" s="9" t="s">
        <v>46</v>
      </c>
      <c r="F122" s="9" t="s">
        <v>51</v>
      </c>
      <c r="G122" s="10" t="s">
        <v>42</v>
      </c>
    </row>
    <row r="123" spans="1:7" ht="12.75" x14ac:dyDescent="0.2">
      <c r="A123" s="36" t="s">
        <v>27</v>
      </c>
      <c r="B123" s="9">
        <v>66</v>
      </c>
      <c r="C123" s="9" t="s">
        <v>480</v>
      </c>
      <c r="D123" s="9" t="s">
        <v>39</v>
      </c>
      <c r="E123" s="9" t="s">
        <v>46</v>
      </c>
      <c r="F123" s="9" t="s">
        <v>51</v>
      </c>
      <c r="G123" s="10" t="s">
        <v>42</v>
      </c>
    </row>
    <row r="124" spans="1:7" ht="12.75" x14ac:dyDescent="0.2">
      <c r="A124" s="37"/>
      <c r="B124" s="9">
        <v>66</v>
      </c>
      <c r="C124" s="9" t="s">
        <v>498</v>
      </c>
      <c r="D124" s="9" t="s">
        <v>39</v>
      </c>
      <c r="E124" s="9" t="s">
        <v>46</v>
      </c>
      <c r="F124" s="9" t="s">
        <v>47</v>
      </c>
      <c r="G124" s="10" t="s">
        <v>42</v>
      </c>
    </row>
    <row r="125" spans="1:7" ht="12.75" x14ac:dyDescent="0.2">
      <c r="A125" s="39"/>
      <c r="B125" s="9">
        <v>66</v>
      </c>
      <c r="C125" s="9" t="s">
        <v>536</v>
      </c>
      <c r="D125" s="9" t="s">
        <v>39</v>
      </c>
      <c r="E125" s="9" t="s">
        <v>46</v>
      </c>
      <c r="F125" s="9" t="s">
        <v>51</v>
      </c>
      <c r="G125" s="10" t="s">
        <v>42</v>
      </c>
    </row>
    <row r="126" spans="1:7" ht="12.75" x14ac:dyDescent="0.2">
      <c r="A126" s="37"/>
      <c r="B126" s="9">
        <v>66</v>
      </c>
      <c r="C126" s="9" t="s">
        <v>537</v>
      </c>
      <c r="D126" s="9" t="s">
        <v>39</v>
      </c>
      <c r="E126" s="9" t="s">
        <v>46</v>
      </c>
      <c r="F126" s="9" t="s">
        <v>51</v>
      </c>
      <c r="G126" s="10" t="s">
        <v>42</v>
      </c>
    </row>
    <row r="127" spans="1:7" ht="12.75" x14ac:dyDescent="0.2">
      <c r="A127" s="39"/>
      <c r="B127" s="9">
        <v>66</v>
      </c>
      <c r="C127" s="9" t="s">
        <v>496</v>
      </c>
      <c r="D127" s="9" t="s">
        <v>39</v>
      </c>
      <c r="E127" s="9" t="s">
        <v>46</v>
      </c>
      <c r="F127" s="9" t="s">
        <v>51</v>
      </c>
      <c r="G127" s="10" t="s">
        <v>42</v>
      </c>
    </row>
    <row r="128" spans="1:7" ht="12.75" x14ac:dyDescent="0.2">
      <c r="A128" s="37"/>
      <c r="B128" s="9">
        <v>66</v>
      </c>
      <c r="C128" s="9" t="s">
        <v>538</v>
      </c>
      <c r="D128" s="9" t="s">
        <v>39</v>
      </c>
      <c r="E128" s="9" t="s">
        <v>46</v>
      </c>
      <c r="F128" s="9" t="s">
        <v>51</v>
      </c>
      <c r="G128" s="10" t="s">
        <v>42</v>
      </c>
    </row>
    <row r="129" spans="1:7" ht="12.75" x14ac:dyDescent="0.2">
      <c r="A129" s="39"/>
      <c r="B129" s="9">
        <v>66</v>
      </c>
      <c r="C129" s="9" t="s">
        <v>539</v>
      </c>
      <c r="D129" s="9" t="s">
        <v>39</v>
      </c>
      <c r="E129" s="9" t="s">
        <v>46</v>
      </c>
      <c r="F129" s="9" t="s">
        <v>51</v>
      </c>
      <c r="G129" s="10" t="s">
        <v>42</v>
      </c>
    </row>
    <row r="130" spans="1:7" ht="12.75" x14ac:dyDescent="0.2">
      <c r="A130" s="37"/>
      <c r="B130" s="9">
        <v>66</v>
      </c>
      <c r="C130" s="9" t="s">
        <v>540</v>
      </c>
      <c r="D130" s="9" t="s">
        <v>39</v>
      </c>
      <c r="E130" s="9" t="s">
        <v>46</v>
      </c>
      <c r="F130" s="9" t="s">
        <v>51</v>
      </c>
      <c r="G130" s="10" t="s">
        <v>42</v>
      </c>
    </row>
    <row r="131" spans="1:7" ht="12.75" x14ac:dyDescent="0.2">
      <c r="A131" s="39"/>
      <c r="B131" s="9">
        <v>66</v>
      </c>
      <c r="C131" s="9" t="s">
        <v>541</v>
      </c>
      <c r="D131" s="9" t="s">
        <v>39</v>
      </c>
      <c r="E131" s="9" t="s">
        <v>46</v>
      </c>
      <c r="F131" s="9" t="s">
        <v>51</v>
      </c>
      <c r="G131" s="10" t="s">
        <v>42</v>
      </c>
    </row>
    <row r="132" spans="1:7" ht="12.75" x14ac:dyDescent="0.2">
      <c r="A132" s="37"/>
      <c r="B132" s="9">
        <v>66</v>
      </c>
      <c r="C132" s="9" t="s">
        <v>489</v>
      </c>
      <c r="D132" s="9" t="s">
        <v>39</v>
      </c>
      <c r="E132" s="9" t="s">
        <v>46</v>
      </c>
      <c r="F132" s="9" t="s">
        <v>51</v>
      </c>
      <c r="G132" s="10" t="s">
        <v>42</v>
      </c>
    </row>
    <row r="133" spans="1:7" ht="12.75" x14ac:dyDescent="0.2">
      <c r="A133" s="39"/>
      <c r="B133" s="9">
        <v>66</v>
      </c>
      <c r="C133" s="9" t="s">
        <v>542</v>
      </c>
      <c r="D133" s="9" t="s">
        <v>39</v>
      </c>
      <c r="E133" s="9" t="s">
        <v>46</v>
      </c>
      <c r="F133" s="9" t="s">
        <v>51</v>
      </c>
      <c r="G133" s="10" t="s">
        <v>42</v>
      </c>
    </row>
    <row r="134" spans="1:7" ht="12.75" x14ac:dyDescent="0.2">
      <c r="A134" s="37"/>
      <c r="B134" s="9">
        <v>66</v>
      </c>
      <c r="C134" s="9" t="s">
        <v>531</v>
      </c>
      <c r="D134" s="9" t="s">
        <v>39</v>
      </c>
      <c r="E134" s="9" t="s">
        <v>46</v>
      </c>
      <c r="F134" s="9" t="s">
        <v>51</v>
      </c>
      <c r="G134" s="10" t="s">
        <v>42</v>
      </c>
    </row>
    <row r="135" spans="1:7" ht="12.75" x14ac:dyDescent="0.2">
      <c r="A135" s="39"/>
      <c r="B135" s="9">
        <v>66</v>
      </c>
      <c r="C135" s="9" t="s">
        <v>543</v>
      </c>
      <c r="D135" s="9" t="s">
        <v>39</v>
      </c>
      <c r="E135" s="9" t="s">
        <v>46</v>
      </c>
      <c r="F135" s="9" t="s">
        <v>51</v>
      </c>
      <c r="G135" s="10" t="s">
        <v>42</v>
      </c>
    </row>
    <row r="136" spans="1:7" ht="12.75" x14ac:dyDescent="0.2">
      <c r="A136" s="37"/>
      <c r="B136" s="9">
        <v>66</v>
      </c>
      <c r="C136" s="9" t="s">
        <v>474</v>
      </c>
      <c r="D136" s="9" t="s">
        <v>39</v>
      </c>
      <c r="E136" s="9" t="s">
        <v>46</v>
      </c>
      <c r="F136" s="9" t="s">
        <v>51</v>
      </c>
      <c r="G136" s="10" t="s">
        <v>42</v>
      </c>
    </row>
    <row r="137" spans="1:7" ht="12.75" x14ac:dyDescent="0.2">
      <c r="A137" s="39"/>
      <c r="B137" s="9">
        <v>66</v>
      </c>
      <c r="C137" s="9" t="s">
        <v>486</v>
      </c>
      <c r="D137" s="9" t="s">
        <v>39</v>
      </c>
      <c r="E137" s="9" t="s">
        <v>46</v>
      </c>
      <c r="F137" s="9" t="s">
        <v>51</v>
      </c>
      <c r="G137" s="10" t="s">
        <v>42</v>
      </c>
    </row>
    <row r="138" spans="1:7" ht="12.75" x14ac:dyDescent="0.2">
      <c r="A138" s="37"/>
      <c r="B138" s="9">
        <v>66</v>
      </c>
      <c r="C138" s="9" t="s">
        <v>544</v>
      </c>
      <c r="D138" s="9" t="s">
        <v>39</v>
      </c>
      <c r="E138" s="9" t="s">
        <v>46</v>
      </c>
      <c r="F138" s="9" t="s">
        <v>51</v>
      </c>
      <c r="G138" s="10" t="s">
        <v>42</v>
      </c>
    </row>
    <row r="139" spans="1:7" ht="12.75" x14ac:dyDescent="0.2">
      <c r="A139" s="39"/>
      <c r="B139" s="9">
        <v>66</v>
      </c>
      <c r="C139" s="9" t="s">
        <v>484</v>
      </c>
      <c r="D139" s="9" t="s">
        <v>39</v>
      </c>
      <c r="E139" s="9" t="s">
        <v>46</v>
      </c>
      <c r="F139" s="9" t="s">
        <v>51</v>
      </c>
      <c r="G139" s="10" t="s">
        <v>42</v>
      </c>
    </row>
    <row r="140" spans="1:7" ht="12.75" x14ac:dyDescent="0.2">
      <c r="A140" s="37"/>
      <c r="B140" s="9">
        <v>66</v>
      </c>
      <c r="C140" s="9" t="s">
        <v>504</v>
      </c>
      <c r="D140" s="9" t="s">
        <v>39</v>
      </c>
      <c r="E140" s="9" t="s">
        <v>46</v>
      </c>
      <c r="F140" s="9" t="s">
        <v>51</v>
      </c>
      <c r="G140" s="10" t="s">
        <v>42</v>
      </c>
    </row>
    <row r="141" spans="1:7" ht="12.75" x14ac:dyDescent="0.2">
      <c r="A141" s="39"/>
      <c r="B141" s="9">
        <v>66</v>
      </c>
      <c r="C141" s="9" t="s">
        <v>545</v>
      </c>
      <c r="D141" s="9" t="s">
        <v>39</v>
      </c>
      <c r="E141" s="9" t="s">
        <v>46</v>
      </c>
      <c r="F141" s="9" t="s">
        <v>51</v>
      </c>
      <c r="G141" s="10" t="s">
        <v>42</v>
      </c>
    </row>
    <row r="142" spans="1:7" ht="12.75" x14ac:dyDescent="0.2">
      <c r="A142" s="37"/>
      <c r="B142" s="9">
        <v>66</v>
      </c>
      <c r="C142" s="9" t="s">
        <v>546</v>
      </c>
      <c r="D142" s="9" t="s">
        <v>39</v>
      </c>
      <c r="E142" s="9" t="s">
        <v>46</v>
      </c>
      <c r="F142" s="9" t="s">
        <v>51</v>
      </c>
      <c r="G142" s="10" t="s">
        <v>42</v>
      </c>
    </row>
    <row r="143" spans="1:7" ht="12.75" x14ac:dyDescent="0.2">
      <c r="A143" s="39"/>
      <c r="B143" s="9">
        <v>66</v>
      </c>
      <c r="C143" s="9" t="s">
        <v>91</v>
      </c>
      <c r="D143" s="9" t="s">
        <v>39</v>
      </c>
      <c r="E143" s="9" t="s">
        <v>46</v>
      </c>
      <c r="F143" s="9" t="s">
        <v>51</v>
      </c>
      <c r="G143" s="10" t="s">
        <v>42</v>
      </c>
    </row>
    <row r="144" spans="1:7" ht="12.75" x14ac:dyDescent="0.2">
      <c r="A144" s="37"/>
      <c r="B144" s="9">
        <v>66</v>
      </c>
      <c r="C144" s="9" t="s">
        <v>547</v>
      </c>
      <c r="D144" s="9" t="s">
        <v>39</v>
      </c>
      <c r="E144" s="9" t="s">
        <v>46</v>
      </c>
      <c r="F144" s="9" t="s">
        <v>51</v>
      </c>
      <c r="G144" s="10" t="s">
        <v>42</v>
      </c>
    </row>
    <row r="145" spans="1:7" ht="12.75" x14ac:dyDescent="0.2">
      <c r="A145" s="39"/>
      <c r="B145" s="9">
        <v>66</v>
      </c>
      <c r="C145" s="9" t="s">
        <v>548</v>
      </c>
      <c r="D145" s="9" t="s">
        <v>39</v>
      </c>
      <c r="E145" s="9" t="s">
        <v>46</v>
      </c>
      <c r="F145" s="9" t="s">
        <v>51</v>
      </c>
      <c r="G145" s="10" t="s">
        <v>42</v>
      </c>
    </row>
    <row r="146" spans="1:7" ht="12.75" x14ac:dyDescent="0.2">
      <c r="A146" s="40"/>
      <c r="B146" s="9">
        <v>66</v>
      </c>
      <c r="C146" s="9" t="s">
        <v>499</v>
      </c>
      <c r="D146" s="9" t="s">
        <v>39</v>
      </c>
      <c r="E146" s="9" t="s">
        <v>46</v>
      </c>
      <c r="F146" s="9" t="s">
        <v>51</v>
      </c>
      <c r="G146" s="10" t="s">
        <v>42</v>
      </c>
    </row>
    <row r="147" spans="1:7" ht="12.75" x14ac:dyDescent="0.2">
      <c r="A147" s="36" t="s">
        <v>28</v>
      </c>
      <c r="B147" s="9">
        <v>66</v>
      </c>
      <c r="C147" s="9" t="s">
        <v>549</v>
      </c>
      <c r="D147" s="9" t="s">
        <v>39</v>
      </c>
      <c r="E147" s="9" t="s">
        <v>46</v>
      </c>
      <c r="F147" s="9" t="s">
        <v>51</v>
      </c>
      <c r="G147" s="10" t="s">
        <v>42</v>
      </c>
    </row>
    <row r="148" spans="1:7" ht="12.75" x14ac:dyDescent="0.2">
      <c r="A148" s="37"/>
      <c r="B148" s="9">
        <v>66</v>
      </c>
      <c r="C148" s="9" t="s">
        <v>499</v>
      </c>
      <c r="D148" s="9" t="s">
        <v>39</v>
      </c>
      <c r="E148" s="9" t="s">
        <v>46</v>
      </c>
      <c r="F148" s="9" t="s">
        <v>51</v>
      </c>
      <c r="G148" s="10" t="s">
        <v>42</v>
      </c>
    </row>
    <row r="149" spans="1:7" ht="12.75" x14ac:dyDescent="0.2">
      <c r="A149" s="39"/>
      <c r="B149" s="9">
        <v>66</v>
      </c>
      <c r="C149" s="9" t="s">
        <v>550</v>
      </c>
      <c r="D149" s="9" t="s">
        <v>39</v>
      </c>
      <c r="E149" s="9" t="s">
        <v>46</v>
      </c>
      <c r="F149" s="9" t="s">
        <v>51</v>
      </c>
      <c r="G149" s="10" t="s">
        <v>42</v>
      </c>
    </row>
    <row r="150" spans="1:7" ht="12.75" x14ac:dyDescent="0.2">
      <c r="A150" s="37"/>
      <c r="B150" s="9">
        <v>66</v>
      </c>
      <c r="C150" s="9" t="s">
        <v>551</v>
      </c>
      <c r="D150" s="9" t="s">
        <v>39</v>
      </c>
      <c r="E150" s="9" t="s">
        <v>46</v>
      </c>
      <c r="F150" s="9" t="s">
        <v>51</v>
      </c>
      <c r="G150" s="10" t="s">
        <v>42</v>
      </c>
    </row>
    <row r="151" spans="1:7" ht="12.75" x14ac:dyDescent="0.2">
      <c r="A151" s="39"/>
      <c r="B151" s="9">
        <v>66</v>
      </c>
      <c r="C151" s="9" t="s">
        <v>552</v>
      </c>
      <c r="D151" s="9" t="s">
        <v>39</v>
      </c>
      <c r="E151" s="9" t="s">
        <v>46</v>
      </c>
      <c r="F151" s="9" t="s">
        <v>51</v>
      </c>
      <c r="G151" s="10" t="s">
        <v>42</v>
      </c>
    </row>
    <row r="152" spans="1:7" ht="12.75" x14ac:dyDescent="0.2">
      <c r="A152" s="37"/>
      <c r="B152" s="9">
        <v>66</v>
      </c>
      <c r="C152" s="9" t="s">
        <v>545</v>
      </c>
      <c r="D152" s="9" t="s">
        <v>39</v>
      </c>
      <c r="E152" s="9" t="s">
        <v>46</v>
      </c>
      <c r="F152" s="9" t="s">
        <v>51</v>
      </c>
      <c r="G152" s="10" t="s">
        <v>42</v>
      </c>
    </row>
    <row r="153" spans="1:7" ht="12.75" x14ac:dyDescent="0.2">
      <c r="A153" s="39"/>
      <c r="B153" s="9">
        <v>66</v>
      </c>
      <c r="C153" s="9" t="s">
        <v>484</v>
      </c>
      <c r="D153" s="9" t="s">
        <v>39</v>
      </c>
      <c r="E153" s="9" t="s">
        <v>46</v>
      </c>
      <c r="F153" s="9" t="s">
        <v>51</v>
      </c>
      <c r="G153" s="10" t="s">
        <v>42</v>
      </c>
    </row>
    <row r="154" spans="1:7" ht="12.75" x14ac:dyDescent="0.2">
      <c r="A154" s="37"/>
      <c r="B154" s="9">
        <v>66</v>
      </c>
      <c r="C154" s="9" t="s">
        <v>553</v>
      </c>
      <c r="D154" s="9" t="s">
        <v>39</v>
      </c>
      <c r="E154" s="9" t="s">
        <v>46</v>
      </c>
      <c r="F154" s="9" t="s">
        <v>51</v>
      </c>
      <c r="G154" s="10" t="s">
        <v>42</v>
      </c>
    </row>
    <row r="155" spans="1:7" ht="12.75" x14ac:dyDescent="0.2">
      <c r="A155" s="39"/>
      <c r="B155" s="9">
        <v>66</v>
      </c>
      <c r="C155" s="9" t="s">
        <v>504</v>
      </c>
      <c r="D155" s="9" t="s">
        <v>39</v>
      </c>
      <c r="E155" s="9" t="s">
        <v>46</v>
      </c>
      <c r="F155" s="9" t="s">
        <v>51</v>
      </c>
      <c r="G155" s="10" t="s">
        <v>42</v>
      </c>
    </row>
    <row r="156" spans="1:7" ht="12.75" x14ac:dyDescent="0.2">
      <c r="A156" s="37"/>
      <c r="B156" s="9">
        <v>66</v>
      </c>
      <c r="C156" s="9" t="s">
        <v>486</v>
      </c>
      <c r="D156" s="9" t="s">
        <v>39</v>
      </c>
      <c r="E156" s="9" t="s">
        <v>46</v>
      </c>
      <c r="F156" s="9" t="s">
        <v>51</v>
      </c>
      <c r="G156" s="10" t="s">
        <v>42</v>
      </c>
    </row>
    <row r="157" spans="1:7" ht="12.75" x14ac:dyDescent="0.2">
      <c r="A157" s="39"/>
      <c r="B157" s="9">
        <v>66</v>
      </c>
      <c r="C157" s="9" t="s">
        <v>474</v>
      </c>
      <c r="D157" s="9" t="s">
        <v>39</v>
      </c>
      <c r="E157" s="9" t="s">
        <v>46</v>
      </c>
      <c r="F157" s="9" t="s">
        <v>51</v>
      </c>
      <c r="G157" s="10" t="s">
        <v>42</v>
      </c>
    </row>
    <row r="158" spans="1:7" ht="12.75" x14ac:dyDescent="0.2">
      <c r="A158" s="37"/>
      <c r="B158" s="9">
        <v>66</v>
      </c>
      <c r="C158" s="9" t="s">
        <v>543</v>
      </c>
      <c r="D158" s="9" t="s">
        <v>39</v>
      </c>
      <c r="E158" s="9" t="s">
        <v>46</v>
      </c>
      <c r="F158" s="9" t="s">
        <v>51</v>
      </c>
      <c r="G158" s="10" t="s">
        <v>42</v>
      </c>
    </row>
    <row r="159" spans="1:7" ht="12.75" x14ac:dyDescent="0.2">
      <c r="A159" s="39"/>
      <c r="B159" s="9">
        <v>66</v>
      </c>
      <c r="C159" s="9" t="s">
        <v>554</v>
      </c>
      <c r="D159" s="9" t="s">
        <v>39</v>
      </c>
      <c r="E159" s="9" t="s">
        <v>46</v>
      </c>
      <c r="F159" s="9" t="s">
        <v>51</v>
      </c>
      <c r="G159" s="10" t="s">
        <v>42</v>
      </c>
    </row>
    <row r="160" spans="1:7" ht="12.75" x14ac:dyDescent="0.2">
      <c r="A160" s="37"/>
      <c r="B160" s="9">
        <v>66</v>
      </c>
      <c r="C160" s="9" t="s">
        <v>531</v>
      </c>
      <c r="D160" s="9" t="s">
        <v>39</v>
      </c>
      <c r="E160" s="9" t="s">
        <v>46</v>
      </c>
      <c r="F160" s="9" t="s">
        <v>51</v>
      </c>
      <c r="G160" s="10" t="s">
        <v>42</v>
      </c>
    </row>
    <row r="161" spans="1:7" ht="12.75" x14ac:dyDescent="0.2">
      <c r="A161" s="39"/>
      <c r="B161" s="9">
        <v>66</v>
      </c>
      <c r="C161" s="9" t="s">
        <v>498</v>
      </c>
      <c r="D161" s="9" t="s">
        <v>39</v>
      </c>
      <c r="E161" s="9" t="s">
        <v>46</v>
      </c>
      <c r="F161" s="9" t="s">
        <v>51</v>
      </c>
      <c r="G161" s="10" t="s">
        <v>42</v>
      </c>
    </row>
    <row r="162" spans="1:7" ht="12.75" x14ac:dyDescent="0.2">
      <c r="A162" s="37"/>
      <c r="B162" s="9">
        <v>66</v>
      </c>
      <c r="C162" s="9" t="s">
        <v>555</v>
      </c>
      <c r="D162" s="9" t="s">
        <v>39</v>
      </c>
      <c r="E162" s="9" t="s">
        <v>46</v>
      </c>
      <c r="F162" s="9" t="s">
        <v>51</v>
      </c>
      <c r="G162" s="10" t="s">
        <v>42</v>
      </c>
    </row>
    <row r="163" spans="1:7" ht="12.75" x14ac:dyDescent="0.2">
      <c r="A163" s="39"/>
      <c r="B163" s="9">
        <v>66</v>
      </c>
      <c r="C163" s="9" t="s">
        <v>536</v>
      </c>
      <c r="D163" s="9" t="s">
        <v>39</v>
      </c>
      <c r="E163" s="9" t="s">
        <v>46</v>
      </c>
      <c r="F163" s="9" t="s">
        <v>51</v>
      </c>
      <c r="G163" s="10" t="s">
        <v>42</v>
      </c>
    </row>
    <row r="164" spans="1:7" ht="12.75" x14ac:dyDescent="0.2">
      <c r="A164" s="37"/>
      <c r="B164" s="9">
        <v>66</v>
      </c>
      <c r="C164" s="9" t="s">
        <v>489</v>
      </c>
      <c r="D164" s="9" t="s">
        <v>39</v>
      </c>
      <c r="E164" s="9" t="s">
        <v>46</v>
      </c>
      <c r="F164" s="9" t="s">
        <v>51</v>
      </c>
      <c r="G164" s="10" t="s">
        <v>42</v>
      </c>
    </row>
    <row r="165" spans="1:7" ht="12.75" x14ac:dyDescent="0.2">
      <c r="A165" s="39"/>
      <c r="B165" s="9">
        <v>66</v>
      </c>
      <c r="C165" s="9" t="s">
        <v>556</v>
      </c>
      <c r="D165" s="9" t="s">
        <v>39</v>
      </c>
      <c r="E165" s="9" t="s">
        <v>46</v>
      </c>
      <c r="F165" s="9" t="s">
        <v>51</v>
      </c>
      <c r="G165" s="10" t="s">
        <v>42</v>
      </c>
    </row>
    <row r="166" spans="1:7" ht="12.75" x14ac:dyDescent="0.2">
      <c r="A166" s="37"/>
      <c r="B166" s="9">
        <v>66</v>
      </c>
      <c r="C166" s="9" t="s">
        <v>541</v>
      </c>
      <c r="D166" s="9" t="s">
        <v>39</v>
      </c>
      <c r="E166" s="9" t="s">
        <v>46</v>
      </c>
      <c r="F166" s="9" t="s">
        <v>51</v>
      </c>
      <c r="G166" s="10" t="s">
        <v>42</v>
      </c>
    </row>
    <row r="167" spans="1:7" ht="12.75" x14ac:dyDescent="0.2">
      <c r="A167" s="39"/>
      <c r="B167" s="9">
        <v>66</v>
      </c>
      <c r="C167" s="9" t="s">
        <v>496</v>
      </c>
      <c r="D167" s="9" t="s">
        <v>39</v>
      </c>
      <c r="E167" s="9" t="s">
        <v>46</v>
      </c>
      <c r="F167" s="9" t="s">
        <v>51</v>
      </c>
      <c r="G167" s="10" t="s">
        <v>42</v>
      </c>
    </row>
    <row r="168" spans="1:7" ht="12.75" x14ac:dyDescent="0.2">
      <c r="A168" s="37"/>
      <c r="B168" s="9">
        <v>66</v>
      </c>
      <c r="C168" s="9" t="s">
        <v>557</v>
      </c>
      <c r="D168" s="9" t="s">
        <v>39</v>
      </c>
      <c r="E168" s="9" t="s">
        <v>46</v>
      </c>
      <c r="F168" s="9" t="s">
        <v>51</v>
      </c>
      <c r="G168" s="10" t="s">
        <v>42</v>
      </c>
    </row>
    <row r="169" spans="1:7" ht="12.75" x14ac:dyDescent="0.2">
      <c r="A169" s="39"/>
      <c r="B169" s="9">
        <v>66</v>
      </c>
      <c r="C169" s="9" t="s">
        <v>558</v>
      </c>
      <c r="D169" s="9" t="s">
        <v>39</v>
      </c>
      <c r="E169" s="9" t="s">
        <v>46</v>
      </c>
      <c r="F169" s="9" t="s">
        <v>51</v>
      </c>
      <c r="G169" s="10" t="s">
        <v>42</v>
      </c>
    </row>
    <row r="170" spans="1:7" ht="12.75" x14ac:dyDescent="0.2">
      <c r="A170" s="40"/>
      <c r="B170" s="9">
        <v>66</v>
      </c>
      <c r="C170" s="9" t="s">
        <v>559</v>
      </c>
      <c r="D170" s="9" t="s">
        <v>39</v>
      </c>
      <c r="E170" s="9" t="s">
        <v>46</v>
      </c>
      <c r="F170" s="9" t="s">
        <v>51</v>
      </c>
      <c r="G170" s="10" t="s">
        <v>42</v>
      </c>
    </row>
    <row r="171" spans="1:7" ht="12.75" x14ac:dyDescent="0.2">
      <c r="A171" s="36" t="s">
        <v>29</v>
      </c>
      <c r="B171" s="9">
        <v>66</v>
      </c>
      <c r="C171" s="9" t="s">
        <v>480</v>
      </c>
      <c r="D171" s="9" t="s">
        <v>39</v>
      </c>
      <c r="E171" s="9" t="s">
        <v>46</v>
      </c>
      <c r="F171" s="9" t="s">
        <v>51</v>
      </c>
      <c r="G171" s="10" t="s">
        <v>42</v>
      </c>
    </row>
    <row r="172" spans="1:7" ht="12.75" x14ac:dyDescent="0.2">
      <c r="A172" s="37"/>
      <c r="B172" s="9">
        <v>66</v>
      </c>
      <c r="C172" s="9" t="s">
        <v>560</v>
      </c>
      <c r="D172" s="9" t="s">
        <v>39</v>
      </c>
      <c r="E172" s="9" t="s">
        <v>46</v>
      </c>
      <c r="F172" s="9" t="s">
        <v>51</v>
      </c>
      <c r="G172" s="10" t="s">
        <v>42</v>
      </c>
    </row>
    <row r="173" spans="1:7" ht="12.75" x14ac:dyDescent="0.2">
      <c r="A173" s="39"/>
      <c r="B173" s="9">
        <v>66</v>
      </c>
      <c r="C173" s="9" t="s">
        <v>536</v>
      </c>
      <c r="D173" s="9" t="s">
        <v>39</v>
      </c>
      <c r="E173" s="9" t="s">
        <v>46</v>
      </c>
      <c r="F173" s="9" t="s">
        <v>51</v>
      </c>
      <c r="G173" s="10" t="s">
        <v>42</v>
      </c>
    </row>
    <row r="174" spans="1:7" ht="12.75" x14ac:dyDescent="0.2">
      <c r="A174" s="37"/>
      <c r="B174" s="9">
        <v>66</v>
      </c>
      <c r="C174" s="9" t="s">
        <v>561</v>
      </c>
      <c r="D174" s="9" t="s">
        <v>39</v>
      </c>
      <c r="E174" s="9" t="s">
        <v>46</v>
      </c>
      <c r="F174" s="9" t="s">
        <v>51</v>
      </c>
      <c r="G174" s="10" t="s">
        <v>42</v>
      </c>
    </row>
    <row r="175" spans="1:7" ht="12.75" x14ac:dyDescent="0.2">
      <c r="A175" s="39"/>
      <c r="B175" s="9">
        <v>66</v>
      </c>
      <c r="C175" s="9" t="s">
        <v>496</v>
      </c>
      <c r="D175" s="9" t="s">
        <v>39</v>
      </c>
      <c r="E175" s="9" t="s">
        <v>46</v>
      </c>
      <c r="F175" s="9" t="s">
        <v>51</v>
      </c>
      <c r="G175" s="10" t="s">
        <v>42</v>
      </c>
    </row>
    <row r="176" spans="1:7" ht="12.75" x14ac:dyDescent="0.2">
      <c r="A176" s="37"/>
      <c r="B176" s="9">
        <v>66</v>
      </c>
      <c r="C176" s="9" t="s">
        <v>558</v>
      </c>
      <c r="D176" s="9" t="s">
        <v>39</v>
      </c>
      <c r="E176" s="9" t="s">
        <v>46</v>
      </c>
      <c r="F176" s="9" t="s">
        <v>51</v>
      </c>
      <c r="G176" s="10" t="s">
        <v>42</v>
      </c>
    </row>
    <row r="177" spans="1:7" ht="12.75" x14ac:dyDescent="0.2">
      <c r="A177" s="39"/>
      <c r="B177" s="9">
        <v>66</v>
      </c>
      <c r="C177" s="9" t="s">
        <v>562</v>
      </c>
      <c r="D177" s="9" t="s">
        <v>39</v>
      </c>
      <c r="E177" s="9" t="s">
        <v>46</v>
      </c>
      <c r="F177" s="9" t="s">
        <v>51</v>
      </c>
      <c r="G177" s="10" t="s">
        <v>42</v>
      </c>
    </row>
    <row r="178" spans="1:7" ht="12.75" x14ac:dyDescent="0.2">
      <c r="A178" s="37"/>
      <c r="B178" s="9">
        <v>66</v>
      </c>
      <c r="C178" s="9" t="s">
        <v>563</v>
      </c>
      <c r="D178" s="9" t="s">
        <v>39</v>
      </c>
      <c r="E178" s="9" t="s">
        <v>46</v>
      </c>
      <c r="F178" s="9" t="s">
        <v>51</v>
      </c>
      <c r="G178" s="10" t="s">
        <v>42</v>
      </c>
    </row>
    <row r="179" spans="1:7" ht="12.75" x14ac:dyDescent="0.2">
      <c r="A179" s="39"/>
      <c r="B179" s="9">
        <v>66</v>
      </c>
      <c r="C179" s="9" t="s">
        <v>564</v>
      </c>
      <c r="D179" s="9" t="s">
        <v>39</v>
      </c>
      <c r="E179" s="9" t="s">
        <v>46</v>
      </c>
      <c r="F179" s="9" t="s">
        <v>51</v>
      </c>
      <c r="G179" s="10" t="s">
        <v>42</v>
      </c>
    </row>
    <row r="180" spans="1:7" ht="12.75" x14ac:dyDescent="0.2">
      <c r="A180" s="37"/>
      <c r="B180" s="9">
        <v>66</v>
      </c>
      <c r="C180" s="9" t="s">
        <v>489</v>
      </c>
      <c r="D180" s="9" t="s">
        <v>39</v>
      </c>
      <c r="E180" s="9" t="s">
        <v>46</v>
      </c>
      <c r="F180" s="9" t="s">
        <v>51</v>
      </c>
      <c r="G180" s="10" t="s">
        <v>42</v>
      </c>
    </row>
    <row r="181" spans="1:7" ht="12.75" x14ac:dyDescent="0.2">
      <c r="A181" s="39"/>
      <c r="B181" s="9">
        <v>66</v>
      </c>
      <c r="C181" s="9" t="s">
        <v>555</v>
      </c>
      <c r="D181" s="9" t="s">
        <v>39</v>
      </c>
      <c r="E181" s="9" t="s">
        <v>46</v>
      </c>
      <c r="F181" s="9" t="s">
        <v>51</v>
      </c>
      <c r="G181" s="10" t="s">
        <v>42</v>
      </c>
    </row>
    <row r="182" spans="1:7" ht="12.75" x14ac:dyDescent="0.2">
      <c r="A182" s="37"/>
      <c r="B182" s="9">
        <v>66</v>
      </c>
      <c r="C182" s="9" t="s">
        <v>531</v>
      </c>
      <c r="D182" s="9" t="s">
        <v>39</v>
      </c>
      <c r="E182" s="9" t="s">
        <v>46</v>
      </c>
      <c r="F182" s="9" t="s">
        <v>51</v>
      </c>
      <c r="G182" s="10" t="s">
        <v>42</v>
      </c>
    </row>
    <row r="183" spans="1:7" ht="12.75" x14ac:dyDescent="0.2">
      <c r="A183" s="39"/>
      <c r="B183" s="9">
        <v>66</v>
      </c>
      <c r="C183" s="9" t="s">
        <v>565</v>
      </c>
      <c r="D183" s="9" t="s">
        <v>39</v>
      </c>
      <c r="E183" s="9" t="s">
        <v>46</v>
      </c>
      <c r="F183" s="9" t="s">
        <v>51</v>
      </c>
      <c r="G183" s="10" t="s">
        <v>42</v>
      </c>
    </row>
    <row r="184" spans="1:7" ht="12.75" x14ac:dyDescent="0.2">
      <c r="A184" s="37"/>
      <c r="B184" s="9">
        <v>66</v>
      </c>
      <c r="C184" s="9" t="s">
        <v>474</v>
      </c>
      <c r="D184" s="9" t="s">
        <v>39</v>
      </c>
      <c r="E184" s="9" t="s">
        <v>46</v>
      </c>
      <c r="F184" s="9" t="s">
        <v>51</v>
      </c>
      <c r="G184" s="10" t="s">
        <v>42</v>
      </c>
    </row>
    <row r="185" spans="1:7" ht="12.75" x14ac:dyDescent="0.2">
      <c r="A185" s="39"/>
      <c r="B185" s="9">
        <v>66</v>
      </c>
      <c r="C185" s="9" t="s">
        <v>486</v>
      </c>
      <c r="D185" s="9" t="s">
        <v>39</v>
      </c>
      <c r="E185" s="9" t="s">
        <v>46</v>
      </c>
      <c r="F185" s="9" t="s">
        <v>51</v>
      </c>
      <c r="G185" s="10" t="s">
        <v>42</v>
      </c>
    </row>
    <row r="186" spans="1:7" ht="12.75" x14ac:dyDescent="0.2">
      <c r="A186" s="37"/>
      <c r="B186" s="9">
        <v>66</v>
      </c>
      <c r="C186" s="9" t="s">
        <v>504</v>
      </c>
      <c r="D186" s="9" t="s">
        <v>39</v>
      </c>
      <c r="E186" s="9" t="s">
        <v>46</v>
      </c>
      <c r="F186" s="9" t="s">
        <v>51</v>
      </c>
      <c r="G186" s="10" t="s">
        <v>42</v>
      </c>
    </row>
    <row r="187" spans="1:7" ht="12.75" x14ac:dyDescent="0.2">
      <c r="A187" s="39"/>
      <c r="B187" s="9">
        <v>66</v>
      </c>
      <c r="C187" s="9" t="s">
        <v>566</v>
      </c>
      <c r="D187" s="9" t="s">
        <v>39</v>
      </c>
      <c r="E187" s="9" t="s">
        <v>46</v>
      </c>
      <c r="F187" s="9" t="s">
        <v>51</v>
      </c>
      <c r="G187" s="10" t="s">
        <v>42</v>
      </c>
    </row>
    <row r="188" spans="1:7" ht="12.75" x14ac:dyDescent="0.2">
      <c r="A188" s="37"/>
      <c r="B188" s="9">
        <v>66</v>
      </c>
      <c r="C188" s="9" t="s">
        <v>567</v>
      </c>
      <c r="D188" s="9" t="s">
        <v>39</v>
      </c>
      <c r="E188" s="9" t="s">
        <v>46</v>
      </c>
      <c r="F188" s="9" t="s">
        <v>51</v>
      </c>
      <c r="G188" s="10" t="s">
        <v>42</v>
      </c>
    </row>
    <row r="189" spans="1:7" ht="12.75" x14ac:dyDescent="0.2">
      <c r="A189" s="39"/>
      <c r="B189" s="9">
        <v>66</v>
      </c>
      <c r="C189" s="9" t="s">
        <v>545</v>
      </c>
      <c r="D189" s="9" t="s">
        <v>39</v>
      </c>
      <c r="E189" s="9" t="s">
        <v>46</v>
      </c>
      <c r="F189" s="9" t="s">
        <v>51</v>
      </c>
      <c r="G189" s="10" t="s">
        <v>42</v>
      </c>
    </row>
    <row r="190" spans="1:7" ht="12.75" x14ac:dyDescent="0.2">
      <c r="A190" s="37"/>
      <c r="B190" s="9">
        <v>66</v>
      </c>
      <c r="C190" s="9" t="s">
        <v>568</v>
      </c>
      <c r="D190" s="9" t="s">
        <v>39</v>
      </c>
      <c r="E190" s="9" t="s">
        <v>46</v>
      </c>
      <c r="F190" s="9" t="s">
        <v>51</v>
      </c>
      <c r="G190" s="10" t="s">
        <v>42</v>
      </c>
    </row>
    <row r="191" spans="1:7" ht="12.75" x14ac:dyDescent="0.2">
      <c r="A191" s="39"/>
      <c r="B191" s="9">
        <v>66</v>
      </c>
      <c r="C191" s="9" t="s">
        <v>551</v>
      </c>
      <c r="D191" s="9" t="s">
        <v>39</v>
      </c>
      <c r="E191" s="9" t="s">
        <v>46</v>
      </c>
      <c r="F191" s="9" t="s">
        <v>51</v>
      </c>
      <c r="G191" s="10" t="s">
        <v>42</v>
      </c>
    </row>
    <row r="192" spans="1:7" ht="12.75" x14ac:dyDescent="0.2">
      <c r="A192" s="37"/>
      <c r="B192" s="9">
        <v>66</v>
      </c>
      <c r="C192" s="9" t="s">
        <v>500</v>
      </c>
      <c r="D192" s="9" t="s">
        <v>39</v>
      </c>
      <c r="E192" s="9" t="s">
        <v>46</v>
      </c>
      <c r="F192" s="9" t="s">
        <v>51</v>
      </c>
      <c r="G192" s="10" t="s">
        <v>42</v>
      </c>
    </row>
    <row r="193" spans="1:7" ht="12.75" x14ac:dyDescent="0.2">
      <c r="A193" s="38"/>
      <c r="B193" s="9">
        <v>66</v>
      </c>
      <c r="C193" s="9" t="s">
        <v>569</v>
      </c>
      <c r="D193" s="9" t="s">
        <v>39</v>
      </c>
      <c r="E193" s="9" t="s">
        <v>46</v>
      </c>
      <c r="F193" s="9" t="s">
        <v>51</v>
      </c>
      <c r="G193" s="10" t="s">
        <v>42</v>
      </c>
    </row>
    <row r="194" spans="1:7" ht="12.75" x14ac:dyDescent="0.2">
      <c r="A194" s="36" t="s">
        <v>30</v>
      </c>
      <c r="B194" s="9">
        <v>66</v>
      </c>
      <c r="C194" s="9" t="s">
        <v>499</v>
      </c>
      <c r="D194" s="9" t="s">
        <v>39</v>
      </c>
      <c r="E194" s="9" t="s">
        <v>46</v>
      </c>
      <c r="F194" s="9" t="s">
        <v>51</v>
      </c>
      <c r="G194" s="10" t="s">
        <v>42</v>
      </c>
    </row>
    <row r="195" spans="1:7" ht="12.75" x14ac:dyDescent="0.2">
      <c r="A195" s="39"/>
      <c r="B195" s="9">
        <v>66</v>
      </c>
      <c r="C195" s="9" t="s">
        <v>500</v>
      </c>
      <c r="D195" s="9" t="s">
        <v>39</v>
      </c>
      <c r="E195" s="9" t="s">
        <v>46</v>
      </c>
      <c r="F195" s="9" t="s">
        <v>51</v>
      </c>
      <c r="G195" s="10" t="s">
        <v>42</v>
      </c>
    </row>
    <row r="196" spans="1:7" ht="12.75" x14ac:dyDescent="0.2">
      <c r="A196" s="37"/>
      <c r="B196" s="9">
        <v>66</v>
      </c>
      <c r="C196" s="9" t="s">
        <v>570</v>
      </c>
      <c r="D196" s="9" t="s">
        <v>39</v>
      </c>
      <c r="E196" s="9" t="s">
        <v>46</v>
      </c>
      <c r="F196" s="9" t="s">
        <v>51</v>
      </c>
      <c r="G196" s="10" t="s">
        <v>42</v>
      </c>
    </row>
    <row r="197" spans="1:7" ht="12.75" x14ac:dyDescent="0.2">
      <c r="A197" s="39"/>
      <c r="B197" s="9">
        <v>66</v>
      </c>
      <c r="C197" s="9" t="s">
        <v>551</v>
      </c>
      <c r="D197" s="9" t="s">
        <v>39</v>
      </c>
      <c r="E197" s="9" t="s">
        <v>46</v>
      </c>
      <c r="F197" s="9" t="s">
        <v>51</v>
      </c>
      <c r="G197" s="10" t="s">
        <v>42</v>
      </c>
    </row>
    <row r="198" spans="1:7" ht="12.75" x14ac:dyDescent="0.2">
      <c r="A198" s="37"/>
      <c r="B198" s="9">
        <v>66</v>
      </c>
      <c r="C198" s="9" t="s">
        <v>545</v>
      </c>
      <c r="D198" s="9" t="s">
        <v>39</v>
      </c>
      <c r="E198" s="9" t="s">
        <v>46</v>
      </c>
      <c r="F198" s="9" t="s">
        <v>51</v>
      </c>
      <c r="G198" s="10" t="s">
        <v>42</v>
      </c>
    </row>
    <row r="199" spans="1:7" ht="12.75" x14ac:dyDescent="0.2">
      <c r="A199" s="39"/>
      <c r="B199" s="9">
        <v>66</v>
      </c>
      <c r="C199" s="9" t="s">
        <v>484</v>
      </c>
      <c r="D199" s="9" t="s">
        <v>39</v>
      </c>
      <c r="E199" s="9" t="s">
        <v>46</v>
      </c>
      <c r="F199" s="9" t="s">
        <v>51</v>
      </c>
      <c r="G199" s="10" t="s">
        <v>42</v>
      </c>
    </row>
    <row r="200" spans="1:7" ht="12.75" x14ac:dyDescent="0.2">
      <c r="A200" s="37"/>
      <c r="B200" s="9">
        <v>66</v>
      </c>
      <c r="C200" s="9" t="s">
        <v>571</v>
      </c>
      <c r="D200" s="9" t="s">
        <v>39</v>
      </c>
      <c r="E200" s="9" t="s">
        <v>46</v>
      </c>
      <c r="F200" s="9" t="s">
        <v>51</v>
      </c>
      <c r="G200" s="10" t="s">
        <v>42</v>
      </c>
    </row>
    <row r="201" spans="1:7" ht="12.75" x14ac:dyDescent="0.2">
      <c r="A201" s="39"/>
      <c r="B201" s="9">
        <v>66</v>
      </c>
      <c r="C201" s="9" t="s">
        <v>572</v>
      </c>
      <c r="D201" s="9" t="s">
        <v>39</v>
      </c>
      <c r="E201" s="9" t="s">
        <v>46</v>
      </c>
      <c r="F201" s="9" t="s">
        <v>51</v>
      </c>
      <c r="G201" s="10" t="s">
        <v>42</v>
      </c>
    </row>
    <row r="202" spans="1:7" ht="12.75" x14ac:dyDescent="0.2">
      <c r="A202" s="37"/>
      <c r="B202" s="9">
        <v>66</v>
      </c>
      <c r="C202" s="9" t="s">
        <v>573</v>
      </c>
      <c r="D202" s="9" t="s">
        <v>39</v>
      </c>
      <c r="E202" s="9" t="s">
        <v>46</v>
      </c>
      <c r="F202" s="9" t="s">
        <v>51</v>
      </c>
      <c r="G202" s="10" t="s">
        <v>42</v>
      </c>
    </row>
    <row r="203" spans="1:7" ht="12.75" x14ac:dyDescent="0.2">
      <c r="A203" s="39"/>
      <c r="B203" s="9">
        <v>66</v>
      </c>
      <c r="C203" s="9" t="s">
        <v>504</v>
      </c>
      <c r="D203" s="9" t="s">
        <v>39</v>
      </c>
      <c r="E203" s="9" t="s">
        <v>46</v>
      </c>
      <c r="F203" s="9" t="s">
        <v>51</v>
      </c>
      <c r="G203" s="10" t="s">
        <v>42</v>
      </c>
    </row>
    <row r="204" spans="1:7" ht="12.75" x14ac:dyDescent="0.2">
      <c r="A204" s="37"/>
      <c r="B204" s="9">
        <v>66</v>
      </c>
      <c r="C204" s="9" t="s">
        <v>574</v>
      </c>
      <c r="D204" s="9" t="s">
        <v>39</v>
      </c>
      <c r="E204" s="9" t="s">
        <v>46</v>
      </c>
      <c r="F204" s="9" t="s">
        <v>51</v>
      </c>
      <c r="G204" s="10" t="s">
        <v>42</v>
      </c>
    </row>
    <row r="205" spans="1:7" ht="12.75" x14ac:dyDescent="0.2">
      <c r="A205" s="39"/>
      <c r="B205" s="9">
        <v>66</v>
      </c>
      <c r="C205" s="9" t="s">
        <v>575</v>
      </c>
      <c r="D205" s="9" t="s">
        <v>39</v>
      </c>
      <c r="E205" s="9" t="s">
        <v>46</v>
      </c>
      <c r="F205" s="9" t="s">
        <v>51</v>
      </c>
      <c r="G205" s="10" t="s">
        <v>42</v>
      </c>
    </row>
    <row r="206" spans="1:7" ht="12.75" x14ac:dyDescent="0.2">
      <c r="A206" s="37"/>
      <c r="B206" s="9">
        <v>66</v>
      </c>
      <c r="C206" s="9" t="s">
        <v>486</v>
      </c>
      <c r="D206" s="9" t="s">
        <v>39</v>
      </c>
      <c r="E206" s="9" t="s">
        <v>46</v>
      </c>
      <c r="F206" s="9" t="s">
        <v>51</v>
      </c>
      <c r="G206" s="10" t="s">
        <v>42</v>
      </c>
    </row>
    <row r="207" spans="1:7" ht="12.75" x14ac:dyDescent="0.2">
      <c r="A207" s="39"/>
      <c r="B207" s="9">
        <v>66</v>
      </c>
      <c r="C207" s="9" t="s">
        <v>474</v>
      </c>
      <c r="D207" s="9" t="s">
        <v>39</v>
      </c>
      <c r="E207" s="9" t="s">
        <v>46</v>
      </c>
      <c r="F207" s="9" t="s">
        <v>51</v>
      </c>
      <c r="G207" s="10" t="s">
        <v>42</v>
      </c>
    </row>
    <row r="208" spans="1:7" ht="12.75" x14ac:dyDescent="0.2">
      <c r="A208" s="37"/>
      <c r="B208" s="9">
        <v>66</v>
      </c>
      <c r="C208" s="9" t="s">
        <v>576</v>
      </c>
      <c r="D208" s="9" t="s">
        <v>39</v>
      </c>
      <c r="E208" s="9" t="s">
        <v>46</v>
      </c>
      <c r="F208" s="9" t="s">
        <v>51</v>
      </c>
      <c r="G208" s="10" t="s">
        <v>42</v>
      </c>
    </row>
    <row r="209" spans="1:7" ht="12.75" x14ac:dyDescent="0.2">
      <c r="A209" s="39"/>
      <c r="B209" s="9">
        <v>66</v>
      </c>
      <c r="C209" s="9" t="s">
        <v>531</v>
      </c>
      <c r="D209" s="9" t="s">
        <v>39</v>
      </c>
      <c r="E209" s="9" t="s">
        <v>46</v>
      </c>
      <c r="F209" s="9" t="s">
        <v>51</v>
      </c>
      <c r="G209" s="10" t="s">
        <v>42</v>
      </c>
    </row>
    <row r="210" spans="1:7" ht="12.75" x14ac:dyDescent="0.2">
      <c r="A210" s="37"/>
      <c r="B210" s="9">
        <v>66</v>
      </c>
      <c r="C210" s="9" t="s">
        <v>577</v>
      </c>
      <c r="D210" s="9" t="s">
        <v>39</v>
      </c>
      <c r="E210" s="9" t="s">
        <v>46</v>
      </c>
      <c r="F210" s="9" t="s">
        <v>51</v>
      </c>
      <c r="G210" s="10" t="s">
        <v>42</v>
      </c>
    </row>
    <row r="211" spans="1:7" ht="12.75" x14ac:dyDescent="0.2">
      <c r="A211" s="39"/>
      <c r="B211" s="9">
        <v>66</v>
      </c>
      <c r="C211" s="9" t="s">
        <v>578</v>
      </c>
      <c r="D211" s="9" t="s">
        <v>39</v>
      </c>
      <c r="E211" s="9" t="s">
        <v>46</v>
      </c>
      <c r="F211" s="9" t="s">
        <v>51</v>
      </c>
      <c r="G211" s="10" t="s">
        <v>42</v>
      </c>
    </row>
    <row r="212" spans="1:7" ht="12.75" x14ac:dyDescent="0.2">
      <c r="A212" s="37"/>
      <c r="B212" s="9">
        <v>66</v>
      </c>
      <c r="C212" s="9" t="s">
        <v>579</v>
      </c>
      <c r="D212" s="9" t="s">
        <v>39</v>
      </c>
      <c r="E212" s="9" t="s">
        <v>46</v>
      </c>
      <c r="F212" s="9" t="s">
        <v>51</v>
      </c>
      <c r="G212" s="10" t="s">
        <v>42</v>
      </c>
    </row>
    <row r="213" spans="1:7" ht="12.75" x14ac:dyDescent="0.2">
      <c r="A213" s="39"/>
      <c r="B213" s="9">
        <v>66</v>
      </c>
      <c r="C213" s="9" t="s">
        <v>580</v>
      </c>
      <c r="D213" s="9" t="s">
        <v>39</v>
      </c>
      <c r="E213" s="9" t="s">
        <v>46</v>
      </c>
      <c r="F213" s="9" t="s">
        <v>51</v>
      </c>
      <c r="G213" s="10" t="s">
        <v>42</v>
      </c>
    </row>
    <row r="214" spans="1:7" ht="12.75" x14ac:dyDescent="0.2">
      <c r="A214" s="37"/>
      <c r="B214" s="9">
        <v>66</v>
      </c>
      <c r="C214" s="9" t="s">
        <v>581</v>
      </c>
      <c r="D214" s="9" t="s">
        <v>39</v>
      </c>
      <c r="E214" s="9" t="s">
        <v>46</v>
      </c>
      <c r="F214" s="9" t="s">
        <v>51</v>
      </c>
      <c r="G214" s="10" t="s">
        <v>42</v>
      </c>
    </row>
    <row r="215" spans="1:7" ht="12.75" x14ac:dyDescent="0.2">
      <c r="A215" s="39"/>
      <c r="B215" s="9">
        <v>66</v>
      </c>
      <c r="C215" s="9" t="s">
        <v>582</v>
      </c>
      <c r="D215" s="9" t="s">
        <v>39</v>
      </c>
      <c r="E215" s="9" t="s">
        <v>46</v>
      </c>
      <c r="F215" s="9" t="s">
        <v>51</v>
      </c>
      <c r="G215" s="10" t="s">
        <v>42</v>
      </c>
    </row>
    <row r="216" spans="1:7" ht="12.75" x14ac:dyDescent="0.2">
      <c r="A216" s="37"/>
      <c r="B216" s="9">
        <v>66</v>
      </c>
      <c r="C216" s="9" t="s">
        <v>496</v>
      </c>
      <c r="D216" s="9" t="s">
        <v>39</v>
      </c>
      <c r="E216" s="9" t="s">
        <v>46</v>
      </c>
      <c r="F216" s="9" t="s">
        <v>51</v>
      </c>
      <c r="G216" s="10" t="s">
        <v>42</v>
      </c>
    </row>
    <row r="217" spans="1:7" ht="12.75" x14ac:dyDescent="0.2">
      <c r="A217" s="39"/>
      <c r="B217" s="9">
        <v>66</v>
      </c>
      <c r="C217" s="9" t="s">
        <v>561</v>
      </c>
      <c r="D217" s="9" t="s">
        <v>39</v>
      </c>
      <c r="E217" s="9" t="s">
        <v>46</v>
      </c>
      <c r="F217" s="9" t="s">
        <v>51</v>
      </c>
      <c r="G217" s="10" t="s">
        <v>42</v>
      </c>
    </row>
    <row r="218" spans="1:7" ht="12.75" x14ac:dyDescent="0.2">
      <c r="A218" s="37"/>
      <c r="B218" s="9">
        <v>66</v>
      </c>
      <c r="C218" s="9" t="s">
        <v>536</v>
      </c>
      <c r="D218" s="9" t="s">
        <v>39</v>
      </c>
      <c r="E218" s="9" t="s">
        <v>46</v>
      </c>
      <c r="F218" s="9" t="s">
        <v>51</v>
      </c>
      <c r="G218" s="10" t="s">
        <v>42</v>
      </c>
    </row>
    <row r="219" spans="1:7" ht="12.75" x14ac:dyDescent="0.2">
      <c r="A219" s="39"/>
      <c r="B219" s="9">
        <v>66</v>
      </c>
      <c r="C219" s="9" t="s">
        <v>498</v>
      </c>
      <c r="D219" s="9" t="s">
        <v>39</v>
      </c>
      <c r="E219" s="9" t="s">
        <v>46</v>
      </c>
      <c r="F219" s="9" t="s">
        <v>51</v>
      </c>
      <c r="G219" s="10" t="s">
        <v>42</v>
      </c>
    </row>
    <row r="220" spans="1:7" ht="12.75" x14ac:dyDescent="0.2">
      <c r="A220" s="40"/>
      <c r="B220" s="9">
        <v>66</v>
      </c>
      <c r="C220" s="9" t="s">
        <v>480</v>
      </c>
      <c r="D220" s="9" t="s">
        <v>39</v>
      </c>
      <c r="E220" s="9" t="s">
        <v>46</v>
      </c>
      <c r="F220" s="9" t="s">
        <v>51</v>
      </c>
      <c r="G220" s="10" t="s">
        <v>42</v>
      </c>
    </row>
    <row r="221" spans="1:7" ht="12.75" x14ac:dyDescent="0.2">
      <c r="A221" s="36" t="s">
        <v>31</v>
      </c>
      <c r="B221" s="9">
        <v>66</v>
      </c>
      <c r="C221" s="9" t="s">
        <v>554</v>
      </c>
      <c r="D221" s="9" t="s">
        <v>39</v>
      </c>
      <c r="E221" s="9" t="s">
        <v>46</v>
      </c>
      <c r="F221" s="9" t="s">
        <v>51</v>
      </c>
      <c r="G221" s="10" t="s">
        <v>42</v>
      </c>
    </row>
    <row r="222" spans="1:7" ht="12.75" x14ac:dyDescent="0.2">
      <c r="A222" s="37"/>
      <c r="B222" s="9">
        <v>66</v>
      </c>
      <c r="C222" s="9" t="s">
        <v>498</v>
      </c>
      <c r="D222" s="9" t="s">
        <v>39</v>
      </c>
      <c r="E222" s="9" t="s">
        <v>46</v>
      </c>
      <c r="F222" s="9" t="s">
        <v>51</v>
      </c>
      <c r="G222" s="10" t="s">
        <v>42</v>
      </c>
    </row>
    <row r="223" spans="1:7" ht="12.75" x14ac:dyDescent="0.2">
      <c r="A223" s="39"/>
      <c r="B223" s="9">
        <v>66</v>
      </c>
      <c r="C223" s="9" t="s">
        <v>536</v>
      </c>
      <c r="D223" s="9" t="s">
        <v>39</v>
      </c>
      <c r="E223" s="9" t="s">
        <v>46</v>
      </c>
      <c r="F223" s="9" t="s">
        <v>51</v>
      </c>
      <c r="G223" s="10" t="s">
        <v>42</v>
      </c>
    </row>
    <row r="224" spans="1:7" ht="12.75" x14ac:dyDescent="0.2">
      <c r="A224" s="37"/>
      <c r="B224" s="9">
        <v>66</v>
      </c>
      <c r="C224" s="9" t="s">
        <v>243</v>
      </c>
      <c r="D224" s="9" t="s">
        <v>39</v>
      </c>
      <c r="E224" s="9" t="s">
        <v>46</v>
      </c>
      <c r="F224" s="9" t="s">
        <v>51</v>
      </c>
      <c r="G224" s="10" t="s">
        <v>42</v>
      </c>
    </row>
    <row r="225" spans="1:7" ht="12.75" x14ac:dyDescent="0.2">
      <c r="A225" s="39"/>
      <c r="B225" s="9">
        <v>66</v>
      </c>
      <c r="C225" s="9" t="s">
        <v>496</v>
      </c>
      <c r="D225" s="9" t="s">
        <v>39</v>
      </c>
      <c r="E225" s="9" t="s">
        <v>46</v>
      </c>
      <c r="F225" s="9" t="s">
        <v>51</v>
      </c>
      <c r="G225" s="10" t="s">
        <v>42</v>
      </c>
    </row>
    <row r="226" spans="1:7" ht="12.75" x14ac:dyDescent="0.2">
      <c r="A226" s="37"/>
      <c r="B226" s="9">
        <v>66</v>
      </c>
      <c r="C226" s="9" t="s">
        <v>582</v>
      </c>
      <c r="D226" s="9" t="s">
        <v>39</v>
      </c>
      <c r="E226" s="9" t="s">
        <v>46</v>
      </c>
      <c r="F226" s="9" t="s">
        <v>51</v>
      </c>
      <c r="G226" s="10" t="s">
        <v>42</v>
      </c>
    </row>
    <row r="227" spans="1:7" ht="12.75" x14ac:dyDescent="0.2">
      <c r="A227" s="39"/>
      <c r="B227" s="9">
        <v>66</v>
      </c>
      <c r="C227" s="9" t="s">
        <v>583</v>
      </c>
      <c r="D227" s="9" t="s">
        <v>39</v>
      </c>
      <c r="E227" s="9" t="s">
        <v>46</v>
      </c>
      <c r="F227" s="9" t="s">
        <v>51</v>
      </c>
      <c r="G227" s="10" t="s">
        <v>42</v>
      </c>
    </row>
    <row r="228" spans="1:7" ht="12.75" x14ac:dyDescent="0.2">
      <c r="A228" s="37"/>
      <c r="B228" s="9">
        <v>66</v>
      </c>
      <c r="C228" s="9" t="s">
        <v>580</v>
      </c>
      <c r="D228" s="9" t="s">
        <v>39</v>
      </c>
      <c r="E228" s="9" t="s">
        <v>46</v>
      </c>
      <c r="F228" s="9" t="s">
        <v>51</v>
      </c>
      <c r="G228" s="10" t="s">
        <v>42</v>
      </c>
    </row>
    <row r="229" spans="1:7" ht="12.75" x14ac:dyDescent="0.2">
      <c r="A229" s="39"/>
      <c r="B229" s="9">
        <v>66</v>
      </c>
      <c r="C229" s="9" t="s">
        <v>584</v>
      </c>
      <c r="D229" s="9" t="s">
        <v>39</v>
      </c>
      <c r="E229" s="9" t="s">
        <v>46</v>
      </c>
      <c r="F229" s="9" t="s">
        <v>51</v>
      </c>
      <c r="G229" s="10" t="s">
        <v>42</v>
      </c>
    </row>
    <row r="230" spans="1:7" ht="12.75" x14ac:dyDescent="0.2">
      <c r="A230" s="37"/>
      <c r="B230" s="9">
        <v>66</v>
      </c>
      <c r="C230" s="9" t="s">
        <v>585</v>
      </c>
      <c r="D230" s="9" t="s">
        <v>39</v>
      </c>
      <c r="E230" s="9" t="s">
        <v>46</v>
      </c>
      <c r="F230" s="9" t="s">
        <v>51</v>
      </c>
      <c r="G230" s="10" t="s">
        <v>42</v>
      </c>
    </row>
    <row r="231" spans="1:7" ht="12.75" x14ac:dyDescent="0.2">
      <c r="A231" s="39"/>
      <c r="B231" s="9">
        <v>66</v>
      </c>
      <c r="C231" s="9" t="s">
        <v>586</v>
      </c>
      <c r="D231" s="9" t="s">
        <v>39</v>
      </c>
      <c r="E231" s="9" t="s">
        <v>46</v>
      </c>
      <c r="F231" s="9" t="s">
        <v>51</v>
      </c>
      <c r="G231" s="10" t="s">
        <v>42</v>
      </c>
    </row>
    <row r="232" spans="1:7" ht="12.75" x14ac:dyDescent="0.2">
      <c r="A232" s="37"/>
      <c r="B232" s="9">
        <v>66</v>
      </c>
      <c r="C232" s="9" t="s">
        <v>531</v>
      </c>
      <c r="D232" s="9" t="s">
        <v>39</v>
      </c>
      <c r="E232" s="9" t="s">
        <v>46</v>
      </c>
      <c r="F232" s="9" t="s">
        <v>51</v>
      </c>
      <c r="G232" s="10" t="s">
        <v>42</v>
      </c>
    </row>
    <row r="233" spans="1:7" ht="12.75" x14ac:dyDescent="0.2">
      <c r="A233" s="39"/>
      <c r="B233" s="9">
        <v>66</v>
      </c>
      <c r="C233" s="9" t="s">
        <v>576</v>
      </c>
      <c r="D233" s="9" t="s">
        <v>39</v>
      </c>
      <c r="E233" s="9" t="s">
        <v>46</v>
      </c>
      <c r="F233" s="9" t="s">
        <v>51</v>
      </c>
      <c r="G233" s="10" t="s">
        <v>42</v>
      </c>
    </row>
    <row r="234" spans="1:7" ht="12.75" x14ac:dyDescent="0.2">
      <c r="A234" s="37"/>
      <c r="B234" s="9">
        <v>66</v>
      </c>
      <c r="C234" s="9" t="s">
        <v>474</v>
      </c>
      <c r="D234" s="9" t="s">
        <v>39</v>
      </c>
      <c r="E234" s="9" t="s">
        <v>46</v>
      </c>
      <c r="F234" s="9" t="s">
        <v>51</v>
      </c>
      <c r="G234" s="10" t="s">
        <v>42</v>
      </c>
    </row>
    <row r="235" spans="1:7" ht="12.75" x14ac:dyDescent="0.2">
      <c r="A235" s="39"/>
      <c r="B235" s="9">
        <v>66</v>
      </c>
      <c r="C235" s="9" t="s">
        <v>504</v>
      </c>
      <c r="D235" s="9" t="s">
        <v>39</v>
      </c>
      <c r="E235" s="9" t="s">
        <v>46</v>
      </c>
      <c r="F235" s="9" t="s">
        <v>51</v>
      </c>
      <c r="G235" s="10" t="s">
        <v>42</v>
      </c>
    </row>
    <row r="236" spans="1:7" ht="12.75" x14ac:dyDescent="0.2">
      <c r="A236" s="37"/>
      <c r="B236" s="9">
        <v>66</v>
      </c>
      <c r="C236" s="9" t="s">
        <v>587</v>
      </c>
      <c r="D236" s="9" t="s">
        <v>39</v>
      </c>
      <c r="E236" s="9" t="s">
        <v>46</v>
      </c>
      <c r="F236" s="9" t="s">
        <v>51</v>
      </c>
      <c r="G236" s="10" t="s">
        <v>42</v>
      </c>
    </row>
    <row r="237" spans="1:7" ht="12.75" x14ac:dyDescent="0.2">
      <c r="A237" s="39"/>
      <c r="B237" s="9">
        <v>66</v>
      </c>
      <c r="C237" s="9" t="s">
        <v>484</v>
      </c>
      <c r="D237" s="9" t="s">
        <v>39</v>
      </c>
      <c r="E237" s="9" t="s">
        <v>46</v>
      </c>
      <c r="F237" s="9" t="s">
        <v>51</v>
      </c>
      <c r="G237" s="10" t="s">
        <v>42</v>
      </c>
    </row>
    <row r="238" spans="1:7" ht="12.75" x14ac:dyDescent="0.2">
      <c r="A238" s="37"/>
      <c r="B238" s="9">
        <v>66</v>
      </c>
      <c r="C238" s="9" t="s">
        <v>545</v>
      </c>
      <c r="D238" s="9" t="s">
        <v>39</v>
      </c>
      <c r="E238" s="9" t="s">
        <v>46</v>
      </c>
      <c r="F238" s="9" t="s">
        <v>51</v>
      </c>
      <c r="G238" s="10" t="s">
        <v>42</v>
      </c>
    </row>
    <row r="239" spans="1:7" ht="12.75" x14ac:dyDescent="0.2">
      <c r="A239" s="39"/>
      <c r="B239" s="9">
        <v>66</v>
      </c>
      <c r="C239" s="9" t="s">
        <v>588</v>
      </c>
      <c r="D239" s="9" t="s">
        <v>39</v>
      </c>
      <c r="E239" s="9" t="s">
        <v>46</v>
      </c>
      <c r="F239" s="9" t="s">
        <v>51</v>
      </c>
      <c r="G239" s="10" t="s">
        <v>42</v>
      </c>
    </row>
    <row r="240" spans="1:7" ht="12.75" x14ac:dyDescent="0.2">
      <c r="A240" s="37"/>
      <c r="B240" s="9">
        <v>66</v>
      </c>
      <c r="C240" s="9" t="s">
        <v>551</v>
      </c>
      <c r="D240" s="9" t="s">
        <v>39</v>
      </c>
      <c r="E240" s="9" t="s">
        <v>46</v>
      </c>
      <c r="F240" s="9" t="s">
        <v>51</v>
      </c>
      <c r="G240" s="10" t="s">
        <v>42</v>
      </c>
    </row>
    <row r="241" spans="1:7" ht="12.75" x14ac:dyDescent="0.2">
      <c r="A241" s="39"/>
      <c r="B241" s="9">
        <v>66</v>
      </c>
      <c r="C241" s="9" t="s">
        <v>589</v>
      </c>
      <c r="D241" s="9" t="s">
        <v>39</v>
      </c>
      <c r="E241" s="9" t="s">
        <v>46</v>
      </c>
      <c r="F241" s="9" t="s">
        <v>51</v>
      </c>
      <c r="G241" s="10" t="s">
        <v>42</v>
      </c>
    </row>
    <row r="242" spans="1:7" ht="12.75" x14ac:dyDescent="0.2">
      <c r="A242" s="37"/>
      <c r="B242" s="9">
        <v>66</v>
      </c>
      <c r="C242" s="9" t="s">
        <v>500</v>
      </c>
      <c r="D242" s="9" t="s">
        <v>39</v>
      </c>
      <c r="E242" s="9" t="s">
        <v>46</v>
      </c>
      <c r="F242" s="9" t="s">
        <v>51</v>
      </c>
      <c r="G242" s="10" t="s">
        <v>42</v>
      </c>
    </row>
    <row r="243" spans="1:7" ht="12.75" x14ac:dyDescent="0.2">
      <c r="A243" s="38"/>
      <c r="B243" s="9">
        <v>66</v>
      </c>
      <c r="C243" s="9" t="s">
        <v>590</v>
      </c>
      <c r="D243" s="9" t="s">
        <v>39</v>
      </c>
      <c r="E243" s="9" t="s">
        <v>46</v>
      </c>
      <c r="F243" s="9" t="s">
        <v>51</v>
      </c>
      <c r="G243" s="10" t="s">
        <v>42</v>
      </c>
    </row>
    <row r="244" spans="1:7" ht="12.75" x14ac:dyDescent="0.2">
      <c r="A244" s="36" t="s">
        <v>32</v>
      </c>
      <c r="B244" s="9">
        <v>66</v>
      </c>
      <c r="C244" s="9" t="s">
        <v>499</v>
      </c>
      <c r="D244" s="9" t="s">
        <v>39</v>
      </c>
      <c r="E244" s="9" t="s">
        <v>46</v>
      </c>
      <c r="F244" s="9" t="s">
        <v>51</v>
      </c>
      <c r="G244" s="10" t="s">
        <v>42</v>
      </c>
    </row>
    <row r="245" spans="1:7" ht="12.75" x14ac:dyDescent="0.2">
      <c r="A245" s="39"/>
      <c r="B245" s="9">
        <v>66</v>
      </c>
      <c r="C245" s="9" t="s">
        <v>549</v>
      </c>
      <c r="D245" s="9" t="s">
        <v>39</v>
      </c>
      <c r="E245" s="9" t="s">
        <v>46</v>
      </c>
      <c r="F245" s="9" t="s">
        <v>51</v>
      </c>
      <c r="G245" s="10" t="s">
        <v>42</v>
      </c>
    </row>
    <row r="246" spans="1:7" ht="12.75" x14ac:dyDescent="0.2">
      <c r="A246" s="37"/>
      <c r="B246" s="9">
        <v>66</v>
      </c>
      <c r="C246" s="9" t="s">
        <v>589</v>
      </c>
      <c r="D246" s="9" t="s">
        <v>39</v>
      </c>
      <c r="E246" s="9" t="s">
        <v>46</v>
      </c>
      <c r="F246" s="9" t="s">
        <v>51</v>
      </c>
      <c r="G246" s="10" t="s">
        <v>42</v>
      </c>
    </row>
    <row r="247" spans="1:7" ht="12.75" x14ac:dyDescent="0.2">
      <c r="A247" s="39"/>
      <c r="B247" s="9">
        <v>66</v>
      </c>
      <c r="C247" s="9" t="s">
        <v>551</v>
      </c>
      <c r="D247" s="9" t="s">
        <v>39</v>
      </c>
      <c r="E247" s="9" t="s">
        <v>46</v>
      </c>
      <c r="F247" s="9" t="s">
        <v>51</v>
      </c>
      <c r="G247" s="10" t="s">
        <v>42</v>
      </c>
    </row>
    <row r="248" spans="1:7" ht="12.75" x14ac:dyDescent="0.2">
      <c r="A248" s="37"/>
      <c r="B248" s="9">
        <v>66</v>
      </c>
      <c r="C248" s="9" t="s">
        <v>588</v>
      </c>
      <c r="D248" s="9" t="s">
        <v>39</v>
      </c>
      <c r="E248" s="9" t="s">
        <v>46</v>
      </c>
      <c r="F248" s="9" t="s">
        <v>51</v>
      </c>
      <c r="G248" s="10" t="s">
        <v>42</v>
      </c>
    </row>
    <row r="249" spans="1:7" ht="12.75" x14ac:dyDescent="0.2">
      <c r="A249" s="39"/>
      <c r="B249" s="9">
        <v>66</v>
      </c>
      <c r="C249" s="9" t="s">
        <v>480</v>
      </c>
      <c r="D249" s="9" t="s">
        <v>39</v>
      </c>
      <c r="E249" s="9" t="s">
        <v>46</v>
      </c>
      <c r="F249" s="9" t="s">
        <v>51</v>
      </c>
      <c r="G249" s="10" t="s">
        <v>42</v>
      </c>
    </row>
    <row r="250" spans="1:7" ht="12.75" x14ac:dyDescent="0.2">
      <c r="A250" s="37"/>
      <c r="B250" s="9">
        <v>66</v>
      </c>
      <c r="C250" s="9" t="s">
        <v>545</v>
      </c>
      <c r="D250" s="9" t="s">
        <v>39</v>
      </c>
      <c r="E250" s="9" t="s">
        <v>46</v>
      </c>
      <c r="F250" s="9" t="s">
        <v>51</v>
      </c>
      <c r="G250" s="10" t="s">
        <v>42</v>
      </c>
    </row>
    <row r="251" spans="1:7" ht="12.75" x14ac:dyDescent="0.2">
      <c r="A251" s="39"/>
      <c r="B251" s="9">
        <v>66</v>
      </c>
      <c r="C251" s="9" t="s">
        <v>484</v>
      </c>
      <c r="D251" s="9" t="s">
        <v>39</v>
      </c>
      <c r="E251" s="9" t="s">
        <v>46</v>
      </c>
      <c r="F251" s="9" t="s">
        <v>51</v>
      </c>
      <c r="G251" s="10" t="s">
        <v>42</v>
      </c>
    </row>
    <row r="252" spans="1:7" ht="12.75" x14ac:dyDescent="0.2">
      <c r="A252" s="37"/>
      <c r="B252" s="9">
        <v>66</v>
      </c>
      <c r="C252" s="9" t="s">
        <v>498</v>
      </c>
      <c r="D252" s="9" t="s">
        <v>39</v>
      </c>
      <c r="E252" s="9" t="s">
        <v>46</v>
      </c>
      <c r="F252" s="9" t="s">
        <v>51</v>
      </c>
      <c r="G252" s="10" t="s">
        <v>42</v>
      </c>
    </row>
    <row r="253" spans="1:7" ht="12.75" x14ac:dyDescent="0.2">
      <c r="A253" s="39"/>
      <c r="B253" s="9">
        <v>66</v>
      </c>
      <c r="C253" s="9" t="s">
        <v>587</v>
      </c>
      <c r="D253" s="9" t="s">
        <v>39</v>
      </c>
      <c r="E253" s="9" t="s">
        <v>46</v>
      </c>
      <c r="F253" s="9" t="s">
        <v>51</v>
      </c>
      <c r="G253" s="10" t="s">
        <v>42</v>
      </c>
    </row>
    <row r="254" spans="1:7" ht="12.75" x14ac:dyDescent="0.2">
      <c r="A254" s="37"/>
      <c r="B254" s="9">
        <v>66</v>
      </c>
      <c r="C254" s="9" t="s">
        <v>536</v>
      </c>
      <c r="D254" s="9" t="s">
        <v>39</v>
      </c>
      <c r="E254" s="9" t="s">
        <v>46</v>
      </c>
      <c r="F254" s="9" t="s">
        <v>51</v>
      </c>
      <c r="G254" s="10" t="s">
        <v>42</v>
      </c>
    </row>
    <row r="255" spans="1:7" ht="12.75" x14ac:dyDescent="0.2">
      <c r="A255" s="39"/>
      <c r="B255" s="9">
        <v>66</v>
      </c>
      <c r="C255" s="9" t="s">
        <v>504</v>
      </c>
      <c r="D255" s="9" t="s">
        <v>39</v>
      </c>
      <c r="E255" s="9" t="s">
        <v>46</v>
      </c>
      <c r="F255" s="9" t="s">
        <v>51</v>
      </c>
      <c r="G255" s="10" t="s">
        <v>42</v>
      </c>
    </row>
    <row r="256" spans="1:7" ht="12.75" x14ac:dyDescent="0.2">
      <c r="A256" s="37"/>
      <c r="B256" s="9">
        <v>66</v>
      </c>
      <c r="C256" s="9" t="s">
        <v>591</v>
      </c>
      <c r="D256" s="9" t="s">
        <v>39</v>
      </c>
      <c r="E256" s="9" t="s">
        <v>46</v>
      </c>
      <c r="F256" s="9" t="s">
        <v>51</v>
      </c>
      <c r="G256" s="10" t="s">
        <v>42</v>
      </c>
    </row>
    <row r="257" spans="1:7" ht="12.75" x14ac:dyDescent="0.2">
      <c r="A257" s="39"/>
      <c r="B257" s="9">
        <v>66</v>
      </c>
      <c r="C257" s="9" t="s">
        <v>474</v>
      </c>
      <c r="D257" s="9" t="s">
        <v>39</v>
      </c>
      <c r="E257" s="9" t="s">
        <v>46</v>
      </c>
      <c r="F257" s="9" t="s">
        <v>51</v>
      </c>
      <c r="G257" s="10" t="s">
        <v>42</v>
      </c>
    </row>
    <row r="258" spans="1:7" ht="12.75" x14ac:dyDescent="0.2">
      <c r="A258" s="37"/>
      <c r="B258" s="9">
        <v>66</v>
      </c>
      <c r="C258" s="9" t="s">
        <v>592</v>
      </c>
      <c r="D258" s="9" t="s">
        <v>39</v>
      </c>
      <c r="E258" s="9" t="s">
        <v>46</v>
      </c>
      <c r="F258" s="9" t="s">
        <v>51</v>
      </c>
      <c r="G258" s="10" t="s">
        <v>42</v>
      </c>
    </row>
    <row r="259" spans="1:7" ht="12.75" x14ac:dyDescent="0.2">
      <c r="A259" s="39"/>
      <c r="B259" s="9">
        <v>66</v>
      </c>
      <c r="C259" s="9" t="s">
        <v>576</v>
      </c>
      <c r="D259" s="9" t="s">
        <v>39</v>
      </c>
      <c r="E259" s="9" t="s">
        <v>46</v>
      </c>
      <c r="F259" s="9" t="s">
        <v>51</v>
      </c>
      <c r="G259" s="10" t="s">
        <v>42</v>
      </c>
    </row>
    <row r="260" spans="1:7" ht="12.75" x14ac:dyDescent="0.2">
      <c r="A260" s="37"/>
      <c r="B260" s="9">
        <v>66</v>
      </c>
      <c r="C260" s="9" t="s">
        <v>582</v>
      </c>
      <c r="D260" s="9" t="s">
        <v>39</v>
      </c>
      <c r="E260" s="9" t="s">
        <v>46</v>
      </c>
      <c r="F260" s="9" t="s">
        <v>51</v>
      </c>
      <c r="G260" s="10" t="s">
        <v>42</v>
      </c>
    </row>
    <row r="261" spans="1:7" ht="12.75" x14ac:dyDescent="0.2">
      <c r="A261" s="39"/>
      <c r="B261" s="9">
        <v>66</v>
      </c>
      <c r="C261" s="9" t="s">
        <v>531</v>
      </c>
      <c r="D261" s="9" t="s">
        <v>39</v>
      </c>
      <c r="E261" s="9" t="s">
        <v>46</v>
      </c>
      <c r="F261" s="9" t="s">
        <v>51</v>
      </c>
      <c r="G261" s="10" t="s">
        <v>42</v>
      </c>
    </row>
    <row r="262" spans="1:7" ht="12.75" x14ac:dyDescent="0.2">
      <c r="A262" s="37"/>
      <c r="B262" s="9">
        <v>66</v>
      </c>
      <c r="C262" s="9" t="s">
        <v>593</v>
      </c>
      <c r="D262" s="9" t="s">
        <v>39</v>
      </c>
      <c r="E262" s="9" t="s">
        <v>46</v>
      </c>
      <c r="F262" s="9" t="s">
        <v>51</v>
      </c>
      <c r="G262" s="10" t="s">
        <v>42</v>
      </c>
    </row>
    <row r="263" spans="1:7" ht="12.75" x14ac:dyDescent="0.2">
      <c r="A263" s="39"/>
      <c r="B263" s="9">
        <v>66</v>
      </c>
      <c r="C263" s="9" t="s">
        <v>594</v>
      </c>
      <c r="D263" s="9" t="s">
        <v>39</v>
      </c>
      <c r="E263" s="9" t="s">
        <v>46</v>
      </c>
      <c r="F263" s="9" t="s">
        <v>51</v>
      </c>
      <c r="G263" s="10" t="s">
        <v>42</v>
      </c>
    </row>
    <row r="264" spans="1:7" ht="12.75" x14ac:dyDescent="0.2">
      <c r="A264" s="37"/>
      <c r="B264" s="9">
        <v>66</v>
      </c>
      <c r="C264" s="9" t="s">
        <v>595</v>
      </c>
      <c r="D264" s="9" t="s">
        <v>39</v>
      </c>
      <c r="E264" s="9" t="s">
        <v>46</v>
      </c>
      <c r="F264" s="9" t="s">
        <v>51</v>
      </c>
      <c r="G264" s="10" t="s">
        <v>42</v>
      </c>
    </row>
    <row r="265" spans="1:7" ht="12.75" x14ac:dyDescent="0.2">
      <c r="A265" s="38"/>
      <c r="B265" s="9">
        <v>66</v>
      </c>
      <c r="C265" s="9" t="s">
        <v>596</v>
      </c>
      <c r="D265" s="9" t="s">
        <v>39</v>
      </c>
      <c r="E265" s="9" t="s">
        <v>46</v>
      </c>
      <c r="F265" s="9" t="s">
        <v>51</v>
      </c>
      <c r="G265" s="10" t="s">
        <v>42</v>
      </c>
    </row>
    <row r="266" spans="1:7" ht="12.75" x14ac:dyDescent="0.2">
      <c r="A266" s="36" t="s">
        <v>33</v>
      </c>
      <c r="B266" s="9">
        <v>66</v>
      </c>
      <c r="C266" s="9" t="s">
        <v>498</v>
      </c>
      <c r="D266" s="9" t="s">
        <v>39</v>
      </c>
      <c r="E266" s="9" t="s">
        <v>46</v>
      </c>
      <c r="F266" s="9" t="s">
        <v>51</v>
      </c>
      <c r="G266" s="10" t="s">
        <v>42</v>
      </c>
    </row>
    <row r="267" spans="1:7" ht="12.75" x14ac:dyDescent="0.2">
      <c r="A267" s="39"/>
      <c r="B267" s="9">
        <v>66</v>
      </c>
      <c r="C267" s="9" t="s">
        <v>536</v>
      </c>
      <c r="D267" s="9" t="s">
        <v>39</v>
      </c>
      <c r="E267" s="9" t="s">
        <v>46</v>
      </c>
      <c r="F267" s="9" t="s">
        <v>51</v>
      </c>
      <c r="G267" s="10" t="s">
        <v>42</v>
      </c>
    </row>
    <row r="268" spans="1:7" ht="12.75" x14ac:dyDescent="0.2">
      <c r="A268" s="37"/>
      <c r="B268" s="9">
        <v>66</v>
      </c>
      <c r="C268" s="9" t="s">
        <v>597</v>
      </c>
      <c r="D268" s="9" t="s">
        <v>39</v>
      </c>
      <c r="E268" s="9" t="s">
        <v>46</v>
      </c>
      <c r="F268" s="9" t="s">
        <v>51</v>
      </c>
      <c r="G268" s="10" t="s">
        <v>42</v>
      </c>
    </row>
    <row r="269" spans="1:7" ht="12.75" x14ac:dyDescent="0.2">
      <c r="A269" s="39"/>
      <c r="B269" s="9">
        <v>66</v>
      </c>
      <c r="C269" s="9" t="s">
        <v>598</v>
      </c>
      <c r="D269" s="9" t="s">
        <v>39</v>
      </c>
      <c r="E269" s="9" t="s">
        <v>46</v>
      </c>
      <c r="F269" s="9" t="s">
        <v>51</v>
      </c>
      <c r="G269" s="10" t="s">
        <v>42</v>
      </c>
    </row>
    <row r="270" spans="1:7" ht="12.75" x14ac:dyDescent="0.2">
      <c r="A270" s="37"/>
      <c r="B270" s="9">
        <v>66</v>
      </c>
      <c r="C270" s="9" t="s">
        <v>599</v>
      </c>
      <c r="D270" s="9" t="s">
        <v>39</v>
      </c>
      <c r="E270" s="9" t="s">
        <v>46</v>
      </c>
      <c r="F270" s="9" t="s">
        <v>51</v>
      </c>
      <c r="G270" s="10" t="s">
        <v>42</v>
      </c>
    </row>
    <row r="271" spans="1:7" ht="12.75" x14ac:dyDescent="0.2">
      <c r="A271" s="39"/>
      <c r="B271" s="9">
        <v>66</v>
      </c>
      <c r="C271" s="9" t="s">
        <v>599</v>
      </c>
      <c r="D271" s="9" t="s">
        <v>39</v>
      </c>
      <c r="E271" s="9" t="s">
        <v>46</v>
      </c>
      <c r="F271" s="9" t="s">
        <v>51</v>
      </c>
      <c r="G271" s="10" t="s">
        <v>42</v>
      </c>
    </row>
    <row r="272" spans="1:7" ht="12.75" x14ac:dyDescent="0.2">
      <c r="A272" s="37"/>
      <c r="B272" s="9">
        <v>66</v>
      </c>
      <c r="C272" s="9" t="s">
        <v>594</v>
      </c>
      <c r="D272" s="9" t="s">
        <v>39</v>
      </c>
      <c r="E272" s="9" t="s">
        <v>46</v>
      </c>
      <c r="F272" s="9" t="s">
        <v>51</v>
      </c>
      <c r="G272" s="10" t="s">
        <v>42</v>
      </c>
    </row>
    <row r="273" spans="1:7" ht="12.75" x14ac:dyDescent="0.2">
      <c r="A273" s="39"/>
      <c r="B273" s="9">
        <v>66</v>
      </c>
      <c r="C273" s="9" t="s">
        <v>600</v>
      </c>
      <c r="D273" s="9" t="s">
        <v>39</v>
      </c>
      <c r="E273" s="9" t="s">
        <v>46</v>
      </c>
      <c r="F273" s="9" t="s">
        <v>51</v>
      </c>
      <c r="G273" s="10" t="s">
        <v>42</v>
      </c>
    </row>
    <row r="274" spans="1:7" ht="12.75" x14ac:dyDescent="0.2">
      <c r="A274" s="37"/>
      <c r="B274" s="9">
        <v>66</v>
      </c>
      <c r="C274" s="9" t="s">
        <v>601</v>
      </c>
      <c r="D274" s="9" t="s">
        <v>39</v>
      </c>
      <c r="E274" s="9" t="s">
        <v>46</v>
      </c>
      <c r="F274" s="9" t="s">
        <v>51</v>
      </c>
      <c r="G274" s="10" t="s">
        <v>42</v>
      </c>
    </row>
    <row r="275" spans="1:7" ht="12.75" x14ac:dyDescent="0.2">
      <c r="A275" s="39"/>
      <c r="B275" s="9">
        <v>66</v>
      </c>
      <c r="C275" s="9" t="s">
        <v>602</v>
      </c>
      <c r="D275" s="9" t="s">
        <v>39</v>
      </c>
      <c r="E275" s="9" t="s">
        <v>46</v>
      </c>
      <c r="F275" s="9" t="s">
        <v>51</v>
      </c>
      <c r="G275" s="10" t="s">
        <v>42</v>
      </c>
    </row>
    <row r="276" spans="1:7" ht="12.75" x14ac:dyDescent="0.2">
      <c r="A276" s="37"/>
      <c r="B276" s="9">
        <v>66</v>
      </c>
      <c r="C276" s="9" t="s">
        <v>531</v>
      </c>
      <c r="D276" s="9" t="s">
        <v>39</v>
      </c>
      <c r="E276" s="9" t="s">
        <v>46</v>
      </c>
      <c r="F276" s="9" t="s">
        <v>51</v>
      </c>
      <c r="G276" s="10" t="s">
        <v>42</v>
      </c>
    </row>
    <row r="277" spans="1:7" ht="12.75" x14ac:dyDescent="0.2">
      <c r="A277" s="39"/>
      <c r="B277" s="9">
        <v>66</v>
      </c>
      <c r="C277" s="9" t="s">
        <v>576</v>
      </c>
      <c r="D277" s="9" t="s">
        <v>39</v>
      </c>
      <c r="E277" s="9" t="s">
        <v>46</v>
      </c>
      <c r="F277" s="9" t="s">
        <v>51</v>
      </c>
      <c r="G277" s="10" t="s">
        <v>42</v>
      </c>
    </row>
    <row r="278" spans="1:7" ht="12.75" x14ac:dyDescent="0.2">
      <c r="A278" s="37"/>
      <c r="B278" s="9">
        <v>66</v>
      </c>
      <c r="C278" s="9" t="s">
        <v>474</v>
      </c>
      <c r="D278" s="9" t="s">
        <v>39</v>
      </c>
      <c r="E278" s="9" t="s">
        <v>46</v>
      </c>
      <c r="F278" s="9" t="s">
        <v>51</v>
      </c>
      <c r="G278" s="10" t="s">
        <v>42</v>
      </c>
    </row>
    <row r="279" spans="1:7" ht="12.75" x14ac:dyDescent="0.2">
      <c r="A279" s="39"/>
      <c r="B279" s="9">
        <v>66</v>
      </c>
      <c r="C279" s="9" t="s">
        <v>500</v>
      </c>
      <c r="D279" s="9" t="s">
        <v>39</v>
      </c>
      <c r="E279" s="9" t="s">
        <v>46</v>
      </c>
      <c r="F279" s="9" t="s">
        <v>51</v>
      </c>
      <c r="G279" s="10" t="s">
        <v>42</v>
      </c>
    </row>
    <row r="280" spans="1:7" ht="12.75" x14ac:dyDescent="0.2">
      <c r="A280" s="37"/>
      <c r="B280" s="9">
        <v>66</v>
      </c>
      <c r="C280" s="9" t="s">
        <v>603</v>
      </c>
      <c r="D280" s="9" t="s">
        <v>39</v>
      </c>
      <c r="E280" s="9" t="s">
        <v>46</v>
      </c>
      <c r="F280" s="9" t="s">
        <v>51</v>
      </c>
      <c r="G280" s="10" t="s">
        <v>42</v>
      </c>
    </row>
    <row r="281" spans="1:7" ht="12.75" x14ac:dyDescent="0.2">
      <c r="A281" s="39"/>
      <c r="B281" s="9">
        <v>66</v>
      </c>
      <c r="C281" s="9" t="s">
        <v>604</v>
      </c>
      <c r="D281" s="9" t="s">
        <v>39</v>
      </c>
      <c r="E281" s="9" t="s">
        <v>46</v>
      </c>
      <c r="F281" s="9" t="s">
        <v>51</v>
      </c>
      <c r="G281" s="10" t="s">
        <v>42</v>
      </c>
    </row>
    <row r="282" spans="1:7" ht="12.75" x14ac:dyDescent="0.2">
      <c r="A282" s="37"/>
      <c r="B282" s="9">
        <v>66</v>
      </c>
      <c r="C282" s="9" t="s">
        <v>551</v>
      </c>
      <c r="D282" s="9" t="s">
        <v>39</v>
      </c>
      <c r="E282" s="9" t="s">
        <v>46</v>
      </c>
      <c r="F282" s="9" t="s">
        <v>41</v>
      </c>
      <c r="G282" s="10" t="s">
        <v>42</v>
      </c>
    </row>
    <row r="283" spans="1:7" ht="12.75" x14ac:dyDescent="0.2">
      <c r="A283" s="39"/>
      <c r="B283" s="9">
        <v>66</v>
      </c>
      <c r="C283" s="9" t="s">
        <v>504</v>
      </c>
      <c r="D283" s="9" t="s">
        <v>39</v>
      </c>
      <c r="E283" s="9" t="s">
        <v>46</v>
      </c>
      <c r="F283" s="9" t="s">
        <v>51</v>
      </c>
      <c r="G283" s="10" t="s">
        <v>42</v>
      </c>
    </row>
    <row r="284" spans="1:7" ht="12.75" x14ac:dyDescent="0.2">
      <c r="A284" s="37"/>
      <c r="B284" s="9">
        <v>66</v>
      </c>
      <c r="C284" s="9" t="s">
        <v>588</v>
      </c>
      <c r="D284" s="9" t="s">
        <v>39</v>
      </c>
      <c r="E284" s="9" t="s">
        <v>46</v>
      </c>
      <c r="F284" s="9" t="s">
        <v>51</v>
      </c>
      <c r="G284" s="10" t="s">
        <v>42</v>
      </c>
    </row>
    <row r="285" spans="1:7" ht="12.75" x14ac:dyDescent="0.2">
      <c r="A285" s="39"/>
      <c r="B285" s="9">
        <v>66</v>
      </c>
      <c r="C285" s="9" t="s">
        <v>484</v>
      </c>
      <c r="D285" s="9" t="s">
        <v>39</v>
      </c>
      <c r="E285" s="9" t="s">
        <v>46</v>
      </c>
      <c r="F285" s="9" t="s">
        <v>51</v>
      </c>
      <c r="G285" s="10" t="s">
        <v>42</v>
      </c>
    </row>
    <row r="286" spans="1:7" ht="12.75" x14ac:dyDescent="0.2">
      <c r="A286" s="40"/>
      <c r="B286" s="9">
        <v>66</v>
      </c>
      <c r="C286" s="9" t="s">
        <v>545</v>
      </c>
      <c r="D286" s="9" t="s">
        <v>39</v>
      </c>
      <c r="E286" s="9" t="s">
        <v>46</v>
      </c>
      <c r="F286" s="9" t="s">
        <v>51</v>
      </c>
      <c r="G286" s="10" t="s">
        <v>42</v>
      </c>
    </row>
    <row r="287" spans="1:7" ht="12.75" x14ac:dyDescent="0.2">
      <c r="A287" s="36" t="s">
        <v>34</v>
      </c>
      <c r="B287" s="9">
        <v>66</v>
      </c>
      <c r="C287" s="9" t="s">
        <v>605</v>
      </c>
      <c r="D287" s="9" t="s">
        <v>39</v>
      </c>
      <c r="E287" s="9" t="s">
        <v>46</v>
      </c>
      <c r="F287" s="9" t="s">
        <v>51</v>
      </c>
      <c r="G287" s="10" t="s">
        <v>42</v>
      </c>
    </row>
    <row r="288" spans="1:7" ht="12.75" x14ac:dyDescent="0.2">
      <c r="A288" s="37"/>
      <c r="B288" s="9">
        <v>66</v>
      </c>
      <c r="C288" s="9" t="s">
        <v>498</v>
      </c>
      <c r="D288" s="9" t="s">
        <v>39</v>
      </c>
      <c r="E288" s="9" t="s">
        <v>46</v>
      </c>
      <c r="F288" s="9" t="s">
        <v>51</v>
      </c>
      <c r="G288" s="10" t="s">
        <v>42</v>
      </c>
    </row>
    <row r="289" spans="1:7" ht="12.75" x14ac:dyDescent="0.2">
      <c r="A289" s="39"/>
      <c r="B289" s="9">
        <v>66</v>
      </c>
      <c r="C289" s="9" t="s">
        <v>536</v>
      </c>
      <c r="D289" s="9" t="s">
        <v>39</v>
      </c>
      <c r="E289" s="9" t="s">
        <v>46</v>
      </c>
      <c r="F289" s="9" t="s">
        <v>51</v>
      </c>
      <c r="G289" s="10" t="s">
        <v>42</v>
      </c>
    </row>
    <row r="290" spans="1:7" ht="12.75" x14ac:dyDescent="0.2">
      <c r="A290" s="37"/>
      <c r="B290" s="9">
        <v>66</v>
      </c>
      <c r="C290" s="9" t="s">
        <v>597</v>
      </c>
      <c r="D290" s="9" t="s">
        <v>39</v>
      </c>
      <c r="E290" s="9" t="s">
        <v>46</v>
      </c>
      <c r="F290" s="9" t="s">
        <v>51</v>
      </c>
      <c r="G290" s="10" t="s">
        <v>42</v>
      </c>
    </row>
    <row r="291" spans="1:7" ht="12.75" x14ac:dyDescent="0.2">
      <c r="A291" s="39"/>
      <c r="B291" s="9">
        <v>66</v>
      </c>
      <c r="C291" s="9" t="s">
        <v>606</v>
      </c>
      <c r="D291" s="9" t="s">
        <v>39</v>
      </c>
      <c r="E291" s="9" t="s">
        <v>46</v>
      </c>
      <c r="F291" s="9" t="s">
        <v>51</v>
      </c>
      <c r="G291" s="10" t="s">
        <v>42</v>
      </c>
    </row>
    <row r="292" spans="1:7" ht="12.75" x14ac:dyDescent="0.2">
      <c r="A292" s="37"/>
      <c r="B292" s="9">
        <v>66</v>
      </c>
      <c r="C292" s="9" t="s">
        <v>598</v>
      </c>
      <c r="D292" s="9" t="s">
        <v>39</v>
      </c>
      <c r="E292" s="9" t="s">
        <v>46</v>
      </c>
      <c r="F292" s="9" t="s">
        <v>51</v>
      </c>
      <c r="G292" s="10" t="s">
        <v>42</v>
      </c>
    </row>
    <row r="293" spans="1:7" ht="12.75" x14ac:dyDescent="0.2">
      <c r="A293" s="39"/>
      <c r="B293" s="9">
        <v>66</v>
      </c>
      <c r="C293" s="9" t="s">
        <v>599</v>
      </c>
      <c r="D293" s="9" t="s">
        <v>39</v>
      </c>
      <c r="E293" s="9" t="s">
        <v>46</v>
      </c>
      <c r="F293" s="9" t="s">
        <v>51</v>
      </c>
      <c r="G293" s="10" t="s">
        <v>42</v>
      </c>
    </row>
    <row r="294" spans="1:7" ht="12.75" x14ac:dyDescent="0.2">
      <c r="A294" s="37"/>
      <c r="B294" s="9">
        <v>66</v>
      </c>
      <c r="C294" s="9" t="s">
        <v>594</v>
      </c>
      <c r="D294" s="9" t="s">
        <v>39</v>
      </c>
      <c r="E294" s="9" t="s">
        <v>46</v>
      </c>
      <c r="F294" s="9" t="s">
        <v>51</v>
      </c>
      <c r="G294" s="10" t="s">
        <v>42</v>
      </c>
    </row>
    <row r="295" spans="1:7" ht="12.75" x14ac:dyDescent="0.2">
      <c r="A295" s="39"/>
      <c r="B295" s="9">
        <v>66</v>
      </c>
      <c r="C295" s="9" t="s">
        <v>607</v>
      </c>
      <c r="D295" s="9" t="s">
        <v>39</v>
      </c>
      <c r="E295" s="9" t="s">
        <v>46</v>
      </c>
      <c r="F295" s="9" t="s">
        <v>51</v>
      </c>
      <c r="G295" s="10" t="s">
        <v>42</v>
      </c>
    </row>
    <row r="296" spans="1:7" ht="12.75" x14ac:dyDescent="0.2">
      <c r="A296" s="37"/>
      <c r="B296" s="9">
        <v>66</v>
      </c>
      <c r="C296" s="9" t="s">
        <v>608</v>
      </c>
      <c r="D296" s="9" t="s">
        <v>39</v>
      </c>
      <c r="E296" s="9" t="s">
        <v>46</v>
      </c>
      <c r="F296" s="9" t="s">
        <v>51</v>
      </c>
      <c r="G296" s="10" t="s">
        <v>42</v>
      </c>
    </row>
    <row r="297" spans="1:7" ht="12.75" x14ac:dyDescent="0.2">
      <c r="A297" s="39"/>
      <c r="B297" s="9">
        <v>66</v>
      </c>
      <c r="C297" s="9" t="s">
        <v>602</v>
      </c>
      <c r="D297" s="9" t="s">
        <v>39</v>
      </c>
      <c r="E297" s="9" t="s">
        <v>46</v>
      </c>
      <c r="F297" s="9" t="s">
        <v>51</v>
      </c>
      <c r="G297" s="10" t="s">
        <v>42</v>
      </c>
    </row>
    <row r="298" spans="1:7" ht="12.75" x14ac:dyDescent="0.2">
      <c r="A298" s="37"/>
      <c r="B298" s="9">
        <v>66</v>
      </c>
      <c r="C298" s="9" t="s">
        <v>531</v>
      </c>
      <c r="D298" s="9" t="s">
        <v>39</v>
      </c>
      <c r="E298" s="9" t="s">
        <v>46</v>
      </c>
      <c r="F298" s="9" t="s">
        <v>51</v>
      </c>
      <c r="G298" s="10" t="s">
        <v>42</v>
      </c>
    </row>
    <row r="299" spans="1:7" ht="12.75" x14ac:dyDescent="0.2">
      <c r="A299" s="39"/>
      <c r="B299" s="9">
        <v>66</v>
      </c>
      <c r="C299" s="9" t="s">
        <v>576</v>
      </c>
      <c r="D299" s="9" t="s">
        <v>39</v>
      </c>
      <c r="E299" s="9" t="s">
        <v>46</v>
      </c>
      <c r="F299" s="9" t="s">
        <v>51</v>
      </c>
      <c r="G299" s="10" t="s">
        <v>42</v>
      </c>
    </row>
    <row r="300" spans="1:7" ht="12.75" x14ac:dyDescent="0.2">
      <c r="A300" s="37"/>
      <c r="B300" s="9">
        <v>66</v>
      </c>
      <c r="C300" s="9" t="s">
        <v>474</v>
      </c>
      <c r="D300" s="9" t="s">
        <v>39</v>
      </c>
      <c r="E300" s="9" t="s">
        <v>46</v>
      </c>
      <c r="F300" s="9" t="s">
        <v>51</v>
      </c>
      <c r="G300" s="10" t="s">
        <v>42</v>
      </c>
    </row>
    <row r="301" spans="1:7" ht="12.75" x14ac:dyDescent="0.2">
      <c r="A301" s="39"/>
      <c r="B301" s="9">
        <v>66</v>
      </c>
      <c r="C301" s="9" t="s">
        <v>609</v>
      </c>
      <c r="D301" s="9" t="s">
        <v>39</v>
      </c>
      <c r="E301" s="9" t="s">
        <v>46</v>
      </c>
      <c r="F301" s="9" t="s">
        <v>51</v>
      </c>
      <c r="G301" s="10" t="s">
        <v>42</v>
      </c>
    </row>
    <row r="302" spans="1:7" ht="12.75" x14ac:dyDescent="0.2">
      <c r="A302" s="37"/>
      <c r="B302" s="9">
        <v>66</v>
      </c>
      <c r="C302" s="9" t="s">
        <v>504</v>
      </c>
      <c r="D302" s="9" t="s">
        <v>39</v>
      </c>
      <c r="E302" s="9" t="s">
        <v>46</v>
      </c>
      <c r="F302" s="9" t="s">
        <v>51</v>
      </c>
      <c r="G302" s="10" t="s">
        <v>42</v>
      </c>
    </row>
    <row r="303" spans="1:7" ht="12.75" x14ac:dyDescent="0.2">
      <c r="A303" s="39"/>
      <c r="B303" s="9">
        <v>66</v>
      </c>
      <c r="C303" s="9" t="s">
        <v>610</v>
      </c>
      <c r="D303" s="9" t="s">
        <v>39</v>
      </c>
      <c r="E303" s="9" t="s">
        <v>46</v>
      </c>
      <c r="F303" s="9" t="s">
        <v>51</v>
      </c>
      <c r="G303" s="10" t="s">
        <v>42</v>
      </c>
    </row>
    <row r="304" spans="1:7" ht="12.75" x14ac:dyDescent="0.2">
      <c r="A304" s="37"/>
      <c r="B304" s="9">
        <v>66</v>
      </c>
      <c r="C304" s="9" t="s">
        <v>484</v>
      </c>
      <c r="D304" s="9" t="s">
        <v>39</v>
      </c>
      <c r="E304" s="9" t="s">
        <v>46</v>
      </c>
      <c r="F304" s="9" t="s">
        <v>51</v>
      </c>
      <c r="G304" s="10" t="s">
        <v>42</v>
      </c>
    </row>
    <row r="305" spans="1:7" ht="12.75" x14ac:dyDescent="0.2">
      <c r="A305" s="39"/>
      <c r="B305" s="9">
        <v>66</v>
      </c>
      <c r="C305" s="9" t="s">
        <v>545</v>
      </c>
      <c r="D305" s="9" t="s">
        <v>39</v>
      </c>
      <c r="E305" s="9" t="s">
        <v>46</v>
      </c>
      <c r="F305" s="9" t="s">
        <v>51</v>
      </c>
      <c r="G305" s="10" t="s">
        <v>42</v>
      </c>
    </row>
    <row r="306" spans="1:7" ht="12.75" x14ac:dyDescent="0.2">
      <c r="A306" s="37"/>
      <c r="B306" s="9">
        <v>66</v>
      </c>
      <c r="C306" s="9" t="s">
        <v>551</v>
      </c>
      <c r="D306" s="9" t="s">
        <v>39</v>
      </c>
      <c r="E306" s="9" t="s">
        <v>46</v>
      </c>
      <c r="F306" s="9" t="s">
        <v>51</v>
      </c>
      <c r="G306" s="10" t="s">
        <v>42</v>
      </c>
    </row>
    <row r="307" spans="1:7" ht="12.75" x14ac:dyDescent="0.2">
      <c r="A307" s="39"/>
      <c r="B307" s="9">
        <v>66</v>
      </c>
      <c r="C307" s="9" t="s">
        <v>611</v>
      </c>
      <c r="D307" s="9" t="s">
        <v>39</v>
      </c>
      <c r="E307" s="9" t="s">
        <v>46</v>
      </c>
      <c r="F307" s="9" t="s">
        <v>51</v>
      </c>
      <c r="G307" s="10" t="s">
        <v>42</v>
      </c>
    </row>
    <row r="308" spans="1:7" ht="12.75" x14ac:dyDescent="0.2">
      <c r="A308" s="40"/>
      <c r="B308" s="9">
        <v>66</v>
      </c>
      <c r="C308" s="9" t="s">
        <v>612</v>
      </c>
      <c r="D308" s="9" t="s">
        <v>39</v>
      </c>
      <c r="E308" s="9" t="s">
        <v>46</v>
      </c>
      <c r="F308" s="9" t="s">
        <v>51</v>
      </c>
      <c r="G308" s="10" t="s">
        <v>42</v>
      </c>
    </row>
    <row r="309" spans="1:7" ht="12.75" x14ac:dyDescent="0.2">
      <c r="A309" s="36" t="s">
        <v>35</v>
      </c>
      <c r="B309" s="9">
        <v>66</v>
      </c>
      <c r="C309" s="9" t="s">
        <v>613</v>
      </c>
      <c r="D309" s="9" t="s">
        <v>39</v>
      </c>
      <c r="E309" s="9" t="s">
        <v>40</v>
      </c>
      <c r="F309" s="9" t="s">
        <v>51</v>
      </c>
      <c r="G309" s="10" t="s">
        <v>42</v>
      </c>
    </row>
    <row r="310" spans="1:7" ht="12.75" x14ac:dyDescent="0.2">
      <c r="A310" s="37"/>
      <c r="B310" s="9">
        <v>66</v>
      </c>
      <c r="C310" s="9" t="s">
        <v>614</v>
      </c>
      <c r="D310" s="9" t="s">
        <v>39</v>
      </c>
      <c r="E310" s="9" t="s">
        <v>40</v>
      </c>
      <c r="F310" s="9" t="s">
        <v>41</v>
      </c>
      <c r="G310" s="10" t="s">
        <v>42</v>
      </c>
    </row>
    <row r="311" spans="1:7" ht="12.75" x14ac:dyDescent="0.2">
      <c r="A311" s="39"/>
      <c r="B311" s="9">
        <v>66</v>
      </c>
      <c r="C311" s="9" t="s">
        <v>615</v>
      </c>
      <c r="D311" s="9" t="s">
        <v>39</v>
      </c>
      <c r="E311" s="9" t="s">
        <v>40</v>
      </c>
      <c r="F311" s="9" t="s">
        <v>51</v>
      </c>
      <c r="G311" s="10" t="s">
        <v>42</v>
      </c>
    </row>
    <row r="312" spans="1:7" ht="12.75" x14ac:dyDescent="0.2">
      <c r="A312" s="37"/>
      <c r="B312" s="9">
        <v>66</v>
      </c>
      <c r="C312" s="9" t="s">
        <v>616</v>
      </c>
      <c r="D312" s="9" t="s">
        <v>39</v>
      </c>
      <c r="E312" s="9" t="s">
        <v>40</v>
      </c>
      <c r="F312" s="9" t="s">
        <v>51</v>
      </c>
      <c r="G312" s="10" t="s">
        <v>42</v>
      </c>
    </row>
    <row r="313" spans="1:7" ht="12.75" x14ac:dyDescent="0.2">
      <c r="A313" s="39"/>
      <c r="B313" s="9">
        <v>66</v>
      </c>
      <c r="C313" s="9" t="s">
        <v>551</v>
      </c>
      <c r="D313" s="9" t="s">
        <v>39</v>
      </c>
      <c r="E313" s="9" t="s">
        <v>40</v>
      </c>
      <c r="F313" s="9" t="s">
        <v>51</v>
      </c>
      <c r="G313" s="10" t="s">
        <v>42</v>
      </c>
    </row>
    <row r="314" spans="1:7" ht="12.75" x14ac:dyDescent="0.2">
      <c r="A314" s="37"/>
      <c r="B314" s="9">
        <v>66</v>
      </c>
      <c r="C314" s="9" t="s">
        <v>545</v>
      </c>
      <c r="D314" s="9" t="s">
        <v>39</v>
      </c>
      <c r="E314" s="9" t="s">
        <v>40</v>
      </c>
      <c r="F314" s="9" t="s">
        <v>51</v>
      </c>
      <c r="G314" s="10" t="s">
        <v>42</v>
      </c>
    </row>
    <row r="315" spans="1:7" ht="12.75" x14ac:dyDescent="0.2">
      <c r="A315" s="39"/>
      <c r="B315" s="9">
        <v>66</v>
      </c>
      <c r="C315" s="9" t="s">
        <v>617</v>
      </c>
      <c r="D315" s="9" t="s">
        <v>39</v>
      </c>
      <c r="E315" s="9" t="s">
        <v>40</v>
      </c>
      <c r="F315" s="9" t="s">
        <v>51</v>
      </c>
      <c r="G315" s="10" t="s">
        <v>42</v>
      </c>
    </row>
    <row r="316" spans="1:7" ht="12.75" x14ac:dyDescent="0.2">
      <c r="A316" s="37"/>
      <c r="B316" s="9">
        <v>66</v>
      </c>
      <c r="C316" s="9" t="s">
        <v>484</v>
      </c>
      <c r="D316" s="9" t="s">
        <v>39</v>
      </c>
      <c r="E316" s="9" t="s">
        <v>40</v>
      </c>
      <c r="F316" s="9" t="s">
        <v>51</v>
      </c>
      <c r="G316" s="10" t="s">
        <v>42</v>
      </c>
    </row>
    <row r="317" spans="1:7" ht="12.75" x14ac:dyDescent="0.2">
      <c r="A317" s="39"/>
      <c r="B317" s="9">
        <v>66</v>
      </c>
      <c r="C317" s="9" t="s">
        <v>504</v>
      </c>
      <c r="D317" s="9" t="s">
        <v>39</v>
      </c>
      <c r="E317" s="9" t="s">
        <v>40</v>
      </c>
      <c r="F317" s="9" t="s">
        <v>51</v>
      </c>
      <c r="G317" s="10" t="s">
        <v>42</v>
      </c>
    </row>
    <row r="318" spans="1:7" ht="12.75" x14ac:dyDescent="0.2">
      <c r="A318" s="37"/>
      <c r="B318" s="9">
        <v>66</v>
      </c>
      <c r="C318" s="9" t="s">
        <v>474</v>
      </c>
      <c r="D318" s="9" t="s">
        <v>39</v>
      </c>
      <c r="E318" s="9" t="s">
        <v>40</v>
      </c>
      <c r="F318" s="9" t="s">
        <v>51</v>
      </c>
      <c r="G318" s="10" t="s">
        <v>42</v>
      </c>
    </row>
    <row r="319" spans="1:7" ht="12.75" x14ac:dyDescent="0.2">
      <c r="A319" s="39"/>
      <c r="B319" s="9">
        <v>66</v>
      </c>
      <c r="C319" s="9" t="s">
        <v>576</v>
      </c>
      <c r="D319" s="9" t="s">
        <v>39</v>
      </c>
      <c r="E319" s="9" t="s">
        <v>40</v>
      </c>
      <c r="F319" s="9" t="s">
        <v>51</v>
      </c>
      <c r="G319" s="10" t="s">
        <v>42</v>
      </c>
    </row>
    <row r="320" spans="1:7" ht="12.75" x14ac:dyDescent="0.2">
      <c r="A320" s="37"/>
      <c r="B320" s="9">
        <v>66</v>
      </c>
      <c r="C320" s="9" t="s">
        <v>531</v>
      </c>
      <c r="D320" s="9" t="s">
        <v>39</v>
      </c>
      <c r="E320" s="9" t="s">
        <v>40</v>
      </c>
      <c r="F320" s="9" t="s">
        <v>51</v>
      </c>
      <c r="G320" s="10" t="s">
        <v>42</v>
      </c>
    </row>
    <row r="321" spans="1:7" ht="12.75" x14ac:dyDescent="0.2">
      <c r="A321" s="39"/>
      <c r="B321" s="9">
        <v>66</v>
      </c>
      <c r="C321" s="9" t="s">
        <v>618</v>
      </c>
      <c r="D321" s="9" t="s">
        <v>39</v>
      </c>
      <c r="E321" s="9" t="s">
        <v>40</v>
      </c>
      <c r="F321" s="9" t="s">
        <v>51</v>
      </c>
      <c r="G321" s="10" t="s">
        <v>42</v>
      </c>
    </row>
    <row r="322" spans="1:7" ht="12.75" x14ac:dyDescent="0.2">
      <c r="A322" s="37"/>
      <c r="B322" s="9">
        <v>66</v>
      </c>
      <c r="C322" s="9" t="s">
        <v>619</v>
      </c>
      <c r="D322" s="9" t="s">
        <v>39</v>
      </c>
      <c r="E322" s="9" t="s">
        <v>40</v>
      </c>
      <c r="F322" s="9" t="s">
        <v>51</v>
      </c>
      <c r="G322" s="10" t="s">
        <v>42</v>
      </c>
    </row>
    <row r="323" spans="1:7" ht="12.75" x14ac:dyDescent="0.2">
      <c r="A323" s="39"/>
      <c r="B323" s="9">
        <v>66</v>
      </c>
      <c r="C323" s="9" t="s">
        <v>602</v>
      </c>
      <c r="D323" s="9" t="s">
        <v>39</v>
      </c>
      <c r="E323" s="9" t="s">
        <v>40</v>
      </c>
      <c r="F323" s="9" t="s">
        <v>51</v>
      </c>
      <c r="G323" s="10" t="s">
        <v>42</v>
      </c>
    </row>
    <row r="324" spans="1:7" ht="12.75" x14ac:dyDescent="0.2">
      <c r="A324" s="37"/>
      <c r="B324" s="9">
        <v>66</v>
      </c>
      <c r="C324" s="9" t="s">
        <v>620</v>
      </c>
      <c r="D324" s="9" t="s">
        <v>39</v>
      </c>
      <c r="E324" s="9" t="s">
        <v>40</v>
      </c>
      <c r="F324" s="9" t="s">
        <v>51</v>
      </c>
      <c r="G324" s="10" t="s">
        <v>42</v>
      </c>
    </row>
    <row r="325" spans="1:7" ht="12.75" x14ac:dyDescent="0.2">
      <c r="A325" s="39"/>
      <c r="B325" s="9">
        <v>66</v>
      </c>
      <c r="C325" s="9" t="s">
        <v>621</v>
      </c>
      <c r="D325" s="9" t="s">
        <v>39</v>
      </c>
      <c r="E325" s="9" t="s">
        <v>40</v>
      </c>
      <c r="F325" s="9" t="s">
        <v>51</v>
      </c>
      <c r="G325" s="10" t="s">
        <v>42</v>
      </c>
    </row>
    <row r="326" spans="1:7" ht="12.75" x14ac:dyDescent="0.2">
      <c r="A326" s="37"/>
      <c r="B326" s="9">
        <v>66</v>
      </c>
      <c r="C326" s="9" t="s">
        <v>536</v>
      </c>
      <c r="D326" s="9" t="s">
        <v>39</v>
      </c>
      <c r="E326" s="9" t="s">
        <v>40</v>
      </c>
      <c r="F326" s="9" t="s">
        <v>51</v>
      </c>
      <c r="G326" s="10" t="s">
        <v>42</v>
      </c>
    </row>
    <row r="327" spans="1:7" ht="12.75" x14ac:dyDescent="0.2">
      <c r="A327" s="39"/>
      <c r="B327" s="9">
        <v>66</v>
      </c>
      <c r="C327" s="9" t="s">
        <v>498</v>
      </c>
      <c r="D327" s="9" t="s">
        <v>39</v>
      </c>
      <c r="E327" s="9" t="s">
        <v>40</v>
      </c>
      <c r="F327" s="9" t="s">
        <v>51</v>
      </c>
      <c r="G327" s="10" t="s">
        <v>42</v>
      </c>
    </row>
    <row r="328" spans="1:7" ht="12.75" x14ac:dyDescent="0.2">
      <c r="A328" s="37"/>
      <c r="B328" s="9">
        <v>66</v>
      </c>
      <c r="C328" s="9">
        <v>0</v>
      </c>
      <c r="D328" s="9" t="s">
        <v>39</v>
      </c>
      <c r="E328" s="9" t="s">
        <v>40</v>
      </c>
      <c r="F328" s="9" t="s">
        <v>51</v>
      </c>
      <c r="G328" s="10" t="s">
        <v>42</v>
      </c>
    </row>
    <row r="329" spans="1:7" ht="12.75" x14ac:dyDescent="0.2">
      <c r="A329" s="38"/>
      <c r="B329" s="9">
        <v>66</v>
      </c>
      <c r="C329" s="9" t="s">
        <v>433</v>
      </c>
      <c r="D329" s="9" t="s">
        <v>39</v>
      </c>
      <c r="E329" s="9" t="s">
        <v>40</v>
      </c>
      <c r="F329" s="9" t="s">
        <v>51</v>
      </c>
      <c r="G329" s="10" t="s">
        <v>42</v>
      </c>
    </row>
    <row r="330" spans="1:7" ht="12.75" x14ac:dyDescent="0.2">
      <c r="A330" s="36" t="s">
        <v>36</v>
      </c>
      <c r="B330" s="9">
        <v>66</v>
      </c>
      <c r="C330" s="9" t="s">
        <v>622</v>
      </c>
      <c r="D330" s="9" t="s">
        <v>39</v>
      </c>
      <c r="E330" s="9" t="s">
        <v>40</v>
      </c>
      <c r="F330" s="9" t="s">
        <v>51</v>
      </c>
      <c r="G330" s="10" t="s">
        <v>42</v>
      </c>
    </row>
    <row r="331" spans="1:7" ht="12.75" x14ac:dyDescent="0.2">
      <c r="A331" s="39"/>
      <c r="B331" s="9">
        <v>66</v>
      </c>
      <c r="C331" s="9" t="s">
        <v>623</v>
      </c>
      <c r="D331" s="9" t="s">
        <v>39</v>
      </c>
      <c r="E331" s="9" t="s">
        <v>40</v>
      </c>
      <c r="F331" s="9" t="s">
        <v>51</v>
      </c>
      <c r="G331" s="10" t="s">
        <v>42</v>
      </c>
    </row>
    <row r="332" spans="1:7" ht="12.75" x14ac:dyDescent="0.2">
      <c r="A332" s="37"/>
      <c r="B332" s="9">
        <v>66</v>
      </c>
      <c r="C332" s="9" t="s">
        <v>624</v>
      </c>
      <c r="D332" s="9" t="s">
        <v>39</v>
      </c>
      <c r="E332" s="9" t="s">
        <v>40</v>
      </c>
      <c r="F332" s="9" t="s">
        <v>51</v>
      </c>
      <c r="G332" s="10" t="s">
        <v>42</v>
      </c>
    </row>
    <row r="333" spans="1:7" ht="12.75" x14ac:dyDescent="0.2">
      <c r="A333" s="39"/>
      <c r="B333" s="9">
        <v>66</v>
      </c>
      <c r="C333" s="9" t="s">
        <v>625</v>
      </c>
      <c r="D333" s="9" t="s">
        <v>39</v>
      </c>
      <c r="E333" s="9" t="s">
        <v>46</v>
      </c>
      <c r="F333" s="9" t="s">
        <v>51</v>
      </c>
      <c r="G333" s="10" t="s">
        <v>42</v>
      </c>
    </row>
    <row r="334" spans="1:7" ht="12.75" x14ac:dyDescent="0.2">
      <c r="A334" s="37"/>
      <c r="B334" s="9">
        <v>66</v>
      </c>
      <c r="C334" s="9" t="s">
        <v>545</v>
      </c>
      <c r="D334" s="9" t="s">
        <v>39</v>
      </c>
      <c r="E334" s="9" t="s">
        <v>40</v>
      </c>
      <c r="F334" s="9" t="s">
        <v>51</v>
      </c>
      <c r="G334" s="10" t="s">
        <v>42</v>
      </c>
    </row>
    <row r="335" spans="1:7" ht="12.75" x14ac:dyDescent="0.2">
      <c r="A335" s="39"/>
      <c r="B335" s="9">
        <v>66</v>
      </c>
      <c r="C335" s="9" t="s">
        <v>626</v>
      </c>
      <c r="D335" s="9" t="s">
        <v>39</v>
      </c>
      <c r="E335" s="9" t="s">
        <v>40</v>
      </c>
      <c r="F335" s="9" t="s">
        <v>51</v>
      </c>
      <c r="G335" s="10" t="s">
        <v>42</v>
      </c>
    </row>
    <row r="336" spans="1:7" ht="12.75" x14ac:dyDescent="0.2">
      <c r="A336" s="37"/>
      <c r="B336" s="9">
        <v>66</v>
      </c>
      <c r="C336" s="9" t="s">
        <v>627</v>
      </c>
      <c r="D336" s="9" t="s">
        <v>39</v>
      </c>
      <c r="E336" s="9" t="s">
        <v>40</v>
      </c>
      <c r="F336" s="9" t="s">
        <v>51</v>
      </c>
      <c r="G336" s="10" t="s">
        <v>42</v>
      </c>
    </row>
    <row r="337" spans="1:13" ht="12.75" x14ac:dyDescent="0.2">
      <c r="A337" s="39"/>
      <c r="B337" s="9">
        <v>66</v>
      </c>
      <c r="C337" s="9" t="s">
        <v>628</v>
      </c>
      <c r="D337" s="9" t="s">
        <v>39</v>
      </c>
      <c r="E337" s="9" t="s">
        <v>40</v>
      </c>
      <c r="F337" s="9" t="s">
        <v>51</v>
      </c>
      <c r="G337" s="10" t="s">
        <v>42</v>
      </c>
    </row>
    <row r="338" spans="1:13" ht="12.75" x14ac:dyDescent="0.2">
      <c r="A338" s="37"/>
      <c r="B338" s="9">
        <v>66</v>
      </c>
      <c r="C338" s="9" t="s">
        <v>629</v>
      </c>
      <c r="D338" s="9" t="s">
        <v>39</v>
      </c>
      <c r="E338" s="9" t="s">
        <v>40</v>
      </c>
      <c r="F338" s="9" t="s">
        <v>51</v>
      </c>
      <c r="G338" s="10" t="s">
        <v>42</v>
      </c>
    </row>
    <row r="339" spans="1:13" ht="12.75" x14ac:dyDescent="0.2">
      <c r="A339" s="39"/>
      <c r="B339" s="9">
        <v>66</v>
      </c>
      <c r="C339" s="9" t="s">
        <v>630</v>
      </c>
      <c r="D339" s="9" t="s">
        <v>39</v>
      </c>
      <c r="E339" s="9" t="s">
        <v>40</v>
      </c>
      <c r="F339" s="9" t="s">
        <v>51</v>
      </c>
      <c r="G339" s="10" t="s">
        <v>42</v>
      </c>
    </row>
    <row r="340" spans="1:13" ht="12.75" x14ac:dyDescent="0.2">
      <c r="A340" s="37"/>
      <c r="B340" s="9">
        <v>66</v>
      </c>
      <c r="C340" s="9" t="s">
        <v>631</v>
      </c>
      <c r="D340" s="9" t="s">
        <v>39</v>
      </c>
      <c r="E340" s="9" t="s">
        <v>40</v>
      </c>
      <c r="F340" s="9" t="s">
        <v>51</v>
      </c>
      <c r="G340" s="10" t="s">
        <v>42</v>
      </c>
    </row>
    <row r="341" spans="1:13" ht="12.75" x14ac:dyDescent="0.2">
      <c r="A341" s="39"/>
      <c r="B341" s="9">
        <v>66</v>
      </c>
      <c r="C341" s="9" t="s">
        <v>531</v>
      </c>
      <c r="D341" s="9" t="s">
        <v>39</v>
      </c>
      <c r="E341" s="9" t="s">
        <v>40</v>
      </c>
      <c r="F341" s="9" t="s">
        <v>51</v>
      </c>
      <c r="G341" s="10" t="s">
        <v>42</v>
      </c>
    </row>
    <row r="342" spans="1:13" ht="12.75" x14ac:dyDescent="0.2">
      <c r="A342" s="37"/>
      <c r="B342" s="9">
        <v>66</v>
      </c>
      <c r="C342" s="9" t="s">
        <v>632</v>
      </c>
      <c r="D342" s="9" t="s">
        <v>39</v>
      </c>
      <c r="E342" s="9" t="s">
        <v>40</v>
      </c>
      <c r="F342" s="9" t="s">
        <v>51</v>
      </c>
      <c r="G342" s="10" t="s">
        <v>42</v>
      </c>
    </row>
    <row r="343" spans="1:13" ht="12.75" x14ac:dyDescent="0.2">
      <c r="A343" s="39"/>
      <c r="B343" s="9">
        <v>66</v>
      </c>
      <c r="C343" s="9" t="s">
        <v>633</v>
      </c>
      <c r="D343" s="9" t="s">
        <v>39</v>
      </c>
      <c r="E343" s="9" t="s">
        <v>40</v>
      </c>
      <c r="F343" s="9" t="s">
        <v>51</v>
      </c>
      <c r="G343" s="10" t="s">
        <v>42</v>
      </c>
    </row>
    <row r="344" spans="1:13" ht="12.75" x14ac:dyDescent="0.2">
      <c r="A344" s="37"/>
      <c r="B344" s="9">
        <v>66</v>
      </c>
      <c r="C344" s="9" t="s">
        <v>620</v>
      </c>
      <c r="D344" s="9" t="s">
        <v>39</v>
      </c>
      <c r="E344" s="9" t="s">
        <v>40</v>
      </c>
      <c r="F344" s="9" t="s">
        <v>41</v>
      </c>
      <c r="G344" s="10" t="s">
        <v>42</v>
      </c>
    </row>
    <row r="345" spans="1:13" ht="12.75" x14ac:dyDescent="0.2">
      <c r="A345" s="39"/>
      <c r="B345" s="9">
        <v>66</v>
      </c>
      <c r="C345" s="9" t="s">
        <v>634</v>
      </c>
      <c r="D345" s="9" t="s">
        <v>39</v>
      </c>
      <c r="E345" s="9" t="s">
        <v>40</v>
      </c>
      <c r="F345" s="9" t="s">
        <v>51</v>
      </c>
      <c r="G345" s="10" t="s">
        <v>42</v>
      </c>
    </row>
    <row r="346" spans="1:13" ht="12.75" x14ac:dyDescent="0.2">
      <c r="A346" s="40"/>
      <c r="B346" s="9">
        <v>66</v>
      </c>
      <c r="C346" s="9" t="s">
        <v>635</v>
      </c>
      <c r="D346" s="9" t="s">
        <v>39</v>
      </c>
      <c r="E346" s="9" t="s">
        <v>40</v>
      </c>
      <c r="F346" s="9" t="s">
        <v>51</v>
      </c>
      <c r="G346" s="10" t="s">
        <v>42</v>
      </c>
    </row>
    <row r="347" spans="1:13" ht="12.75" x14ac:dyDescent="0.2">
      <c r="A347" s="15"/>
      <c r="B347" s="16"/>
      <c r="C347" s="17"/>
      <c r="D347" s="17"/>
      <c r="E347" s="17"/>
      <c r="F347" s="17"/>
      <c r="G347" s="20"/>
      <c r="H347" s="14"/>
      <c r="I347" s="14"/>
      <c r="J347" s="14"/>
      <c r="K347" s="14"/>
      <c r="L347" s="14"/>
      <c r="M347" s="14"/>
    </row>
    <row r="348" spans="1:13" ht="12.75" x14ac:dyDescent="0.2">
      <c r="A348" s="15"/>
      <c r="B348" s="16"/>
      <c r="C348" s="17"/>
      <c r="D348" s="17"/>
      <c r="E348" s="17"/>
      <c r="F348" s="17"/>
      <c r="G348" s="20"/>
      <c r="H348" s="14"/>
      <c r="I348" s="14"/>
      <c r="J348" s="14"/>
      <c r="K348" s="14"/>
      <c r="L348" s="14"/>
      <c r="M348" s="14"/>
    </row>
    <row r="349" spans="1:13" ht="12.75" x14ac:dyDescent="0.2">
      <c r="A349" s="15"/>
      <c r="B349" s="16"/>
      <c r="C349" s="17"/>
      <c r="D349" s="17"/>
      <c r="E349" s="17"/>
      <c r="F349" s="17"/>
      <c r="G349" s="20"/>
      <c r="H349" s="14"/>
      <c r="I349" s="14"/>
      <c r="J349" s="14"/>
      <c r="K349" s="14"/>
      <c r="L349" s="14"/>
      <c r="M349" s="14"/>
    </row>
    <row r="350" spans="1:13" ht="12.75" x14ac:dyDescent="0.2">
      <c r="A350" s="15"/>
      <c r="B350" s="16"/>
      <c r="C350" s="17"/>
      <c r="D350" s="17"/>
      <c r="E350" s="17"/>
      <c r="F350" s="17"/>
      <c r="G350" s="20"/>
      <c r="H350" s="14"/>
      <c r="I350" s="14"/>
      <c r="J350" s="14"/>
      <c r="K350" s="14"/>
      <c r="L350" s="14"/>
      <c r="M350" s="14"/>
    </row>
    <row r="351" spans="1:13" ht="12.75" x14ac:dyDescent="0.2">
      <c r="A351" s="15"/>
      <c r="B351" s="16"/>
      <c r="C351" s="17"/>
      <c r="D351" s="17"/>
      <c r="E351" s="17"/>
      <c r="F351" s="17"/>
      <c r="G351" s="20"/>
      <c r="H351" s="14"/>
      <c r="I351" s="14"/>
      <c r="J351" s="14"/>
      <c r="K351" s="14"/>
      <c r="L351" s="14"/>
      <c r="M351" s="14"/>
    </row>
    <row r="352" spans="1:13" ht="12.75" x14ac:dyDescent="0.2">
      <c r="A352" s="15"/>
      <c r="B352" s="16"/>
      <c r="C352" s="17"/>
      <c r="D352" s="17"/>
      <c r="E352" s="17"/>
      <c r="F352" s="17"/>
      <c r="G352" s="20"/>
      <c r="H352" s="14"/>
      <c r="I352" s="14"/>
      <c r="J352" s="14"/>
      <c r="K352" s="14"/>
      <c r="L352" s="14"/>
      <c r="M352" s="14"/>
    </row>
    <row r="353" spans="1:13" ht="12.75" x14ac:dyDescent="0.2">
      <c r="A353" s="15"/>
      <c r="B353" s="16"/>
      <c r="C353" s="17"/>
      <c r="D353" s="17"/>
      <c r="E353" s="17"/>
      <c r="F353" s="17"/>
      <c r="G353" s="20"/>
      <c r="H353" s="14"/>
      <c r="I353" s="14"/>
      <c r="J353" s="14"/>
      <c r="K353" s="14"/>
      <c r="L353" s="14"/>
      <c r="M353" s="14"/>
    </row>
    <row r="354" spans="1:13" ht="12.75" x14ac:dyDescent="0.2">
      <c r="A354" s="15"/>
      <c r="B354" s="16"/>
      <c r="C354" s="17"/>
      <c r="D354" s="17"/>
      <c r="E354" s="17"/>
      <c r="F354" s="17"/>
      <c r="G354" s="20"/>
      <c r="H354" s="14"/>
      <c r="I354" s="14"/>
      <c r="J354" s="14"/>
      <c r="K354" s="14"/>
      <c r="L354" s="14"/>
      <c r="M354" s="14"/>
    </row>
    <row r="355" spans="1:13" ht="12.75" x14ac:dyDescent="0.2">
      <c r="A355" s="15"/>
      <c r="B355" s="16"/>
      <c r="C355" s="17"/>
      <c r="D355" s="17"/>
      <c r="E355" s="17"/>
      <c r="F355" s="17"/>
      <c r="G355" s="20"/>
      <c r="H355" s="14"/>
      <c r="I355" s="14"/>
      <c r="J355" s="14"/>
      <c r="K355" s="14"/>
      <c r="L355" s="14"/>
      <c r="M355" s="14"/>
    </row>
    <row r="356" spans="1:13" ht="12.75" x14ac:dyDescent="0.2">
      <c r="A356" s="15"/>
      <c r="B356" s="16"/>
      <c r="C356" s="17"/>
      <c r="D356" s="17"/>
      <c r="E356" s="17"/>
      <c r="F356" s="17"/>
      <c r="G356" s="20"/>
      <c r="H356" s="14"/>
      <c r="I356" s="14"/>
      <c r="J356" s="14"/>
      <c r="K356" s="14"/>
      <c r="L356" s="14"/>
      <c r="M356" s="14"/>
    </row>
    <row r="357" spans="1:13" ht="12.75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</row>
    <row r="358" spans="1:13" ht="12.75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</row>
    <row r="359" spans="1:13" ht="12.75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</row>
    <row r="360" spans="1:13" ht="12.75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</row>
    <row r="361" spans="1:13" ht="12.75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 spans="1:13" ht="12.75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 spans="1:13" ht="12.75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</row>
    <row r="364" spans="1:13" ht="12.75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</row>
    <row r="365" spans="1:13" ht="12.75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</row>
    <row r="366" spans="1:13" ht="12.75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</row>
    <row r="367" spans="1:13" ht="12.75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</row>
    <row r="368" spans="1:13" ht="12.75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</row>
    <row r="369" spans="1:13" ht="12.75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</row>
  </sheetData>
  <mergeCells count="17">
    <mergeCell ref="A70:A101"/>
    <mergeCell ref="A102:A122"/>
    <mergeCell ref="A287:A308"/>
    <mergeCell ref="A309:A329"/>
    <mergeCell ref="A330:A346"/>
    <mergeCell ref="A123:A146"/>
    <mergeCell ref="A147:A170"/>
    <mergeCell ref="A171:A193"/>
    <mergeCell ref="A194:A220"/>
    <mergeCell ref="A221:A243"/>
    <mergeCell ref="A244:A265"/>
    <mergeCell ref="A266:A286"/>
    <mergeCell ref="A1:G1"/>
    <mergeCell ref="A9:A13"/>
    <mergeCell ref="A14:A25"/>
    <mergeCell ref="A26:A48"/>
    <mergeCell ref="A49:A6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96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9" t="s">
        <v>20</v>
      </c>
      <c r="B9" s="9" t="s">
        <v>21</v>
      </c>
      <c r="C9" s="9" t="s">
        <v>21</v>
      </c>
      <c r="D9" s="9" t="s">
        <v>21</v>
      </c>
      <c r="E9" s="9" t="s">
        <v>21</v>
      </c>
      <c r="F9" s="9" t="s">
        <v>21</v>
      </c>
      <c r="G9" s="10" t="s">
        <v>21</v>
      </c>
    </row>
    <row r="10" spans="1:7" x14ac:dyDescent="0.2">
      <c r="A10" s="36" t="s">
        <v>22</v>
      </c>
      <c r="B10" s="9">
        <v>67</v>
      </c>
      <c r="C10" s="9" t="s">
        <v>636</v>
      </c>
      <c r="D10" s="9" t="s">
        <v>39</v>
      </c>
      <c r="E10" s="9" t="s">
        <v>46</v>
      </c>
      <c r="F10" s="9" t="s">
        <v>51</v>
      </c>
      <c r="G10" s="10" t="s">
        <v>42</v>
      </c>
    </row>
    <row r="11" spans="1:7" x14ac:dyDescent="0.2">
      <c r="A11" s="38"/>
      <c r="B11" s="9">
        <v>67</v>
      </c>
      <c r="C11" s="9" t="s">
        <v>637</v>
      </c>
      <c r="D11" s="9" t="s">
        <v>39</v>
      </c>
      <c r="E11" s="9" t="s">
        <v>46</v>
      </c>
      <c r="F11" s="9" t="s">
        <v>51</v>
      </c>
      <c r="G11" s="10" t="s">
        <v>42</v>
      </c>
    </row>
    <row r="12" spans="1:7" x14ac:dyDescent="0.2">
      <c r="A12" s="36" t="s">
        <v>23</v>
      </c>
      <c r="B12" s="9">
        <v>67</v>
      </c>
      <c r="C12" s="9" t="s">
        <v>636</v>
      </c>
      <c r="D12" s="9" t="s">
        <v>39</v>
      </c>
      <c r="E12" s="9" t="s">
        <v>40</v>
      </c>
      <c r="F12" s="9" t="s">
        <v>51</v>
      </c>
      <c r="G12" s="10" t="s">
        <v>42</v>
      </c>
    </row>
    <row r="13" spans="1:7" x14ac:dyDescent="0.2">
      <c r="A13" s="39"/>
      <c r="B13" s="9">
        <v>67</v>
      </c>
      <c r="C13" s="9" t="s">
        <v>638</v>
      </c>
      <c r="D13" s="9" t="s">
        <v>39</v>
      </c>
      <c r="E13" s="9" t="s">
        <v>40</v>
      </c>
      <c r="F13" s="9" t="s">
        <v>51</v>
      </c>
      <c r="G13" s="10" t="s">
        <v>42</v>
      </c>
    </row>
    <row r="14" spans="1:7" x14ac:dyDescent="0.2">
      <c r="A14" s="37"/>
      <c r="B14" s="9">
        <v>67</v>
      </c>
      <c r="C14" s="9" t="s">
        <v>639</v>
      </c>
      <c r="D14" s="9" t="s">
        <v>39</v>
      </c>
      <c r="E14" s="9" t="s">
        <v>40</v>
      </c>
      <c r="F14" s="9" t="s">
        <v>51</v>
      </c>
      <c r="G14" s="10" t="s">
        <v>42</v>
      </c>
    </row>
    <row r="15" spans="1:7" x14ac:dyDescent="0.2">
      <c r="A15" s="39"/>
      <c r="B15" s="9">
        <v>67</v>
      </c>
      <c r="C15" s="9" t="s">
        <v>640</v>
      </c>
      <c r="D15" s="9" t="s">
        <v>39</v>
      </c>
      <c r="E15" s="9" t="s">
        <v>40</v>
      </c>
      <c r="F15" s="9" t="s">
        <v>51</v>
      </c>
      <c r="G15" s="10" t="s">
        <v>42</v>
      </c>
    </row>
    <row r="16" spans="1:7" x14ac:dyDescent="0.2">
      <c r="A16" s="37"/>
      <c r="B16" s="9">
        <v>67</v>
      </c>
      <c r="C16" s="9" t="s">
        <v>641</v>
      </c>
      <c r="D16" s="9" t="s">
        <v>39</v>
      </c>
      <c r="E16" s="9" t="s">
        <v>40</v>
      </c>
      <c r="F16" s="9" t="s">
        <v>51</v>
      </c>
      <c r="G16" s="10" t="s">
        <v>42</v>
      </c>
    </row>
    <row r="17" spans="1:7" x14ac:dyDescent="0.2">
      <c r="A17" s="38"/>
      <c r="B17" s="9">
        <v>67</v>
      </c>
      <c r="C17" s="9" t="s">
        <v>642</v>
      </c>
      <c r="D17" s="9" t="s">
        <v>39</v>
      </c>
      <c r="E17" s="9" t="s">
        <v>40</v>
      </c>
      <c r="F17" s="9" t="s">
        <v>51</v>
      </c>
      <c r="G17" s="10" t="s">
        <v>42</v>
      </c>
    </row>
    <row r="18" spans="1:7" x14ac:dyDescent="0.2">
      <c r="A18" s="36" t="s">
        <v>24</v>
      </c>
      <c r="B18" s="9">
        <v>67</v>
      </c>
      <c r="C18" s="9" t="s">
        <v>636</v>
      </c>
      <c r="D18" s="9" t="s">
        <v>39</v>
      </c>
      <c r="E18" s="9" t="s">
        <v>46</v>
      </c>
      <c r="F18" s="9" t="s">
        <v>51</v>
      </c>
      <c r="G18" s="10" t="s">
        <v>42</v>
      </c>
    </row>
    <row r="19" spans="1:7" x14ac:dyDescent="0.2">
      <c r="A19" s="39"/>
      <c r="B19" s="9">
        <v>67</v>
      </c>
      <c r="C19" s="9" t="s">
        <v>638</v>
      </c>
      <c r="D19" s="9" t="s">
        <v>39</v>
      </c>
      <c r="E19" s="9" t="s">
        <v>46</v>
      </c>
      <c r="F19" s="9" t="s">
        <v>51</v>
      </c>
      <c r="G19" s="10" t="s">
        <v>42</v>
      </c>
    </row>
    <row r="20" spans="1:7" x14ac:dyDescent="0.2">
      <c r="A20" s="37"/>
      <c r="B20" s="9">
        <v>67</v>
      </c>
      <c r="C20" s="9" t="s">
        <v>643</v>
      </c>
      <c r="D20" s="9" t="s">
        <v>39</v>
      </c>
      <c r="E20" s="9" t="s">
        <v>46</v>
      </c>
      <c r="F20" s="9" t="s">
        <v>51</v>
      </c>
      <c r="G20" s="10" t="s">
        <v>42</v>
      </c>
    </row>
    <row r="21" spans="1:7" x14ac:dyDescent="0.2">
      <c r="A21" s="39"/>
      <c r="B21" s="9">
        <v>67</v>
      </c>
      <c r="C21" s="9" t="s">
        <v>639</v>
      </c>
      <c r="D21" s="9" t="s">
        <v>39</v>
      </c>
      <c r="E21" s="9" t="s">
        <v>46</v>
      </c>
      <c r="F21" s="9" t="s">
        <v>51</v>
      </c>
      <c r="G21" s="10" t="s">
        <v>42</v>
      </c>
    </row>
    <row r="22" spans="1:7" x14ac:dyDescent="0.2">
      <c r="A22" s="37"/>
      <c r="B22" s="9">
        <v>67</v>
      </c>
      <c r="C22" s="9" t="s">
        <v>644</v>
      </c>
      <c r="D22" s="9" t="s">
        <v>39</v>
      </c>
      <c r="E22" s="9" t="s">
        <v>46</v>
      </c>
      <c r="F22" s="9" t="s">
        <v>51</v>
      </c>
      <c r="G22" s="10" t="s">
        <v>42</v>
      </c>
    </row>
    <row r="23" spans="1:7" x14ac:dyDescent="0.2">
      <c r="A23" s="39"/>
      <c r="B23" s="9">
        <v>67</v>
      </c>
      <c r="C23" s="9" t="s">
        <v>571</v>
      </c>
      <c r="D23" s="9" t="s">
        <v>39</v>
      </c>
      <c r="E23" s="9" t="s">
        <v>46</v>
      </c>
      <c r="F23" s="9" t="s">
        <v>51</v>
      </c>
      <c r="G23" s="10" t="s">
        <v>42</v>
      </c>
    </row>
    <row r="24" spans="1:7" x14ac:dyDescent="0.2">
      <c r="A24" s="37"/>
      <c r="B24" s="9">
        <v>67</v>
      </c>
      <c r="C24" s="9" t="s">
        <v>642</v>
      </c>
      <c r="D24" s="9" t="s">
        <v>39</v>
      </c>
      <c r="E24" s="9" t="s">
        <v>46</v>
      </c>
      <c r="F24" s="9" t="s">
        <v>51</v>
      </c>
      <c r="G24" s="10" t="s">
        <v>42</v>
      </c>
    </row>
    <row r="25" spans="1:7" x14ac:dyDescent="0.2">
      <c r="A25" s="38"/>
      <c r="B25" s="9">
        <v>67</v>
      </c>
      <c r="C25" s="9" t="s">
        <v>645</v>
      </c>
      <c r="D25" s="9" t="s">
        <v>39</v>
      </c>
      <c r="E25" s="9" t="s">
        <v>46</v>
      </c>
      <c r="F25" s="9" t="s">
        <v>51</v>
      </c>
      <c r="G25" s="10" t="s">
        <v>42</v>
      </c>
    </row>
    <row r="26" spans="1:7" x14ac:dyDescent="0.2">
      <c r="A26" s="36" t="s">
        <v>25</v>
      </c>
      <c r="B26" s="9">
        <v>67</v>
      </c>
      <c r="C26" s="9" t="s">
        <v>642</v>
      </c>
      <c r="D26" s="9" t="s">
        <v>39</v>
      </c>
      <c r="E26" s="9" t="s">
        <v>46</v>
      </c>
      <c r="F26" s="9" t="s">
        <v>51</v>
      </c>
      <c r="G26" s="10" t="s">
        <v>42</v>
      </c>
    </row>
    <row r="27" spans="1:7" x14ac:dyDescent="0.2">
      <c r="A27" s="39"/>
      <c r="B27" s="9">
        <v>67</v>
      </c>
      <c r="C27" s="9" t="s">
        <v>571</v>
      </c>
      <c r="D27" s="9" t="s">
        <v>39</v>
      </c>
      <c r="E27" s="9" t="s">
        <v>46</v>
      </c>
      <c r="F27" s="9" t="s">
        <v>51</v>
      </c>
      <c r="G27" s="10" t="s">
        <v>42</v>
      </c>
    </row>
    <row r="28" spans="1:7" x14ac:dyDescent="0.2">
      <c r="A28" s="37"/>
      <c r="B28" s="9">
        <v>67</v>
      </c>
      <c r="C28" s="9" t="s">
        <v>646</v>
      </c>
      <c r="D28" s="9" t="s">
        <v>39</v>
      </c>
      <c r="E28" s="9" t="s">
        <v>46</v>
      </c>
      <c r="F28" s="9" t="s">
        <v>51</v>
      </c>
      <c r="G28" s="10" t="s">
        <v>42</v>
      </c>
    </row>
    <row r="29" spans="1:7" x14ac:dyDescent="0.2">
      <c r="A29" s="39"/>
      <c r="B29" s="9">
        <v>67</v>
      </c>
      <c r="C29" s="9" t="s">
        <v>639</v>
      </c>
      <c r="D29" s="9" t="s">
        <v>39</v>
      </c>
      <c r="E29" s="9" t="s">
        <v>46</v>
      </c>
      <c r="F29" s="9" t="s">
        <v>51</v>
      </c>
      <c r="G29" s="10" t="s">
        <v>42</v>
      </c>
    </row>
    <row r="30" spans="1:7" x14ac:dyDescent="0.2">
      <c r="A30" s="37"/>
      <c r="B30" s="9">
        <v>67</v>
      </c>
      <c r="C30" s="9" t="s">
        <v>647</v>
      </c>
      <c r="D30" s="9" t="s">
        <v>39</v>
      </c>
      <c r="E30" s="9" t="s">
        <v>46</v>
      </c>
      <c r="F30" s="9" t="s">
        <v>51</v>
      </c>
      <c r="G30" s="10" t="s">
        <v>42</v>
      </c>
    </row>
    <row r="31" spans="1:7" x14ac:dyDescent="0.2">
      <c r="A31" s="39"/>
      <c r="B31" s="9">
        <v>67</v>
      </c>
      <c r="C31" s="9" t="s">
        <v>638</v>
      </c>
      <c r="D31" s="9" t="s">
        <v>39</v>
      </c>
      <c r="E31" s="9" t="s">
        <v>46</v>
      </c>
      <c r="F31" s="9" t="s">
        <v>51</v>
      </c>
      <c r="G31" s="10" t="s">
        <v>42</v>
      </c>
    </row>
    <row r="32" spans="1:7" x14ac:dyDescent="0.2">
      <c r="A32" s="40"/>
      <c r="B32" s="9">
        <v>67</v>
      </c>
      <c r="C32" s="9" t="s">
        <v>636</v>
      </c>
      <c r="D32" s="9" t="s">
        <v>39</v>
      </c>
      <c r="E32" s="9" t="s">
        <v>46</v>
      </c>
      <c r="F32" s="9" t="s">
        <v>51</v>
      </c>
      <c r="G32" s="10" t="s">
        <v>42</v>
      </c>
    </row>
    <row r="33" spans="1:7" x14ac:dyDescent="0.2">
      <c r="A33" s="36" t="s">
        <v>26</v>
      </c>
      <c r="B33" s="9">
        <v>67</v>
      </c>
      <c r="C33" s="9" t="s">
        <v>648</v>
      </c>
      <c r="D33" s="9" t="s">
        <v>39</v>
      </c>
      <c r="E33" s="9" t="s">
        <v>46</v>
      </c>
      <c r="F33" s="9" t="s">
        <v>51</v>
      </c>
      <c r="G33" s="10" t="s">
        <v>42</v>
      </c>
    </row>
    <row r="34" spans="1:7" x14ac:dyDescent="0.2">
      <c r="A34" s="37"/>
      <c r="B34" s="9">
        <v>67</v>
      </c>
      <c r="C34" s="9" t="s">
        <v>571</v>
      </c>
      <c r="D34" s="9" t="s">
        <v>39</v>
      </c>
      <c r="E34" s="9" t="s">
        <v>46</v>
      </c>
      <c r="F34" s="9" t="s">
        <v>51</v>
      </c>
      <c r="G34" s="10" t="s">
        <v>42</v>
      </c>
    </row>
    <row r="35" spans="1:7" x14ac:dyDescent="0.2">
      <c r="A35" s="39"/>
      <c r="B35" s="9">
        <v>67</v>
      </c>
      <c r="C35" s="9" t="s">
        <v>649</v>
      </c>
      <c r="D35" s="9" t="s">
        <v>39</v>
      </c>
      <c r="E35" s="9" t="s">
        <v>46</v>
      </c>
      <c r="F35" s="9" t="s">
        <v>51</v>
      </c>
      <c r="G35" s="10" t="s">
        <v>42</v>
      </c>
    </row>
    <row r="36" spans="1:7" x14ac:dyDescent="0.2">
      <c r="A36" s="37"/>
      <c r="B36" s="9">
        <v>67</v>
      </c>
      <c r="C36" s="9" t="s">
        <v>639</v>
      </c>
      <c r="D36" s="9" t="s">
        <v>39</v>
      </c>
      <c r="E36" s="9" t="s">
        <v>46</v>
      </c>
      <c r="F36" s="9" t="s">
        <v>51</v>
      </c>
      <c r="G36" s="10" t="s">
        <v>42</v>
      </c>
    </row>
    <row r="37" spans="1:7" ht="12.75" x14ac:dyDescent="0.2">
      <c r="A37" s="39"/>
      <c r="B37" s="9">
        <v>67</v>
      </c>
      <c r="C37" s="9" t="s">
        <v>650</v>
      </c>
      <c r="D37" s="9" t="s">
        <v>39</v>
      </c>
      <c r="E37" s="9" t="s">
        <v>46</v>
      </c>
      <c r="F37" s="9" t="s">
        <v>51</v>
      </c>
      <c r="G37" s="10" t="s">
        <v>42</v>
      </c>
    </row>
    <row r="38" spans="1:7" ht="12.75" x14ac:dyDescent="0.2">
      <c r="A38" s="37"/>
      <c r="B38" s="9">
        <v>67</v>
      </c>
      <c r="C38" s="9" t="s">
        <v>638</v>
      </c>
      <c r="D38" s="9" t="s">
        <v>39</v>
      </c>
      <c r="E38" s="9" t="s">
        <v>46</v>
      </c>
      <c r="F38" s="9" t="s">
        <v>47</v>
      </c>
      <c r="G38" s="10" t="s">
        <v>42</v>
      </c>
    </row>
    <row r="39" spans="1:7" ht="12.75" x14ac:dyDescent="0.2">
      <c r="A39" s="38"/>
      <c r="B39" s="9">
        <v>67</v>
      </c>
      <c r="C39" s="9" t="s">
        <v>636</v>
      </c>
      <c r="D39" s="9" t="s">
        <v>39</v>
      </c>
      <c r="E39" s="9" t="s">
        <v>46</v>
      </c>
      <c r="F39" s="9" t="s">
        <v>51</v>
      </c>
      <c r="G39" s="10" t="s">
        <v>42</v>
      </c>
    </row>
    <row r="40" spans="1:7" ht="12.75" x14ac:dyDescent="0.2">
      <c r="A40" s="36" t="s">
        <v>27</v>
      </c>
      <c r="B40" s="9">
        <v>67</v>
      </c>
      <c r="C40" s="9" t="s">
        <v>651</v>
      </c>
      <c r="D40" s="9" t="s">
        <v>39</v>
      </c>
      <c r="E40" s="9" t="s">
        <v>46</v>
      </c>
      <c r="F40" s="9" t="s">
        <v>51</v>
      </c>
      <c r="G40" s="10" t="s">
        <v>42</v>
      </c>
    </row>
    <row r="41" spans="1:7" ht="12.75" x14ac:dyDescent="0.2">
      <c r="A41" s="39"/>
      <c r="B41" s="9">
        <v>67</v>
      </c>
      <c r="C41" s="9" t="s">
        <v>571</v>
      </c>
      <c r="D41" s="9" t="s">
        <v>39</v>
      </c>
      <c r="E41" s="9" t="s">
        <v>46</v>
      </c>
      <c r="F41" s="9" t="s">
        <v>51</v>
      </c>
      <c r="G41" s="10" t="s">
        <v>42</v>
      </c>
    </row>
    <row r="42" spans="1:7" ht="12.75" x14ac:dyDescent="0.2">
      <c r="A42" s="37"/>
      <c r="B42" s="9">
        <v>67</v>
      </c>
      <c r="C42" s="9" t="s">
        <v>652</v>
      </c>
      <c r="D42" s="9" t="s">
        <v>39</v>
      </c>
      <c r="E42" s="9" t="s">
        <v>653</v>
      </c>
      <c r="F42" s="9" t="s">
        <v>51</v>
      </c>
      <c r="G42" s="10" t="s">
        <v>42</v>
      </c>
    </row>
    <row r="43" spans="1:7" ht="12.75" x14ac:dyDescent="0.2">
      <c r="A43" s="39"/>
      <c r="B43" s="9">
        <v>67</v>
      </c>
      <c r="C43" s="9" t="s">
        <v>639</v>
      </c>
      <c r="D43" s="9" t="s">
        <v>39</v>
      </c>
      <c r="E43" s="9" t="s">
        <v>46</v>
      </c>
      <c r="F43" s="9" t="s">
        <v>51</v>
      </c>
      <c r="G43" s="10" t="s">
        <v>42</v>
      </c>
    </row>
    <row r="44" spans="1:7" ht="12.75" x14ac:dyDescent="0.2">
      <c r="A44" s="37"/>
      <c r="B44" s="9">
        <v>67</v>
      </c>
      <c r="C44" s="9" t="s">
        <v>650</v>
      </c>
      <c r="D44" s="9" t="s">
        <v>39</v>
      </c>
      <c r="E44" s="9" t="s">
        <v>46</v>
      </c>
      <c r="F44" s="9" t="s">
        <v>51</v>
      </c>
      <c r="G44" s="10" t="s">
        <v>42</v>
      </c>
    </row>
    <row r="45" spans="1:7" ht="12.75" x14ac:dyDescent="0.2">
      <c r="A45" s="39"/>
      <c r="B45" s="9">
        <v>67</v>
      </c>
      <c r="C45" s="9" t="s">
        <v>638</v>
      </c>
      <c r="D45" s="9" t="s">
        <v>39</v>
      </c>
      <c r="E45" s="9" t="s">
        <v>46</v>
      </c>
      <c r="F45" s="9" t="s">
        <v>51</v>
      </c>
      <c r="G45" s="10" t="s">
        <v>42</v>
      </c>
    </row>
    <row r="46" spans="1:7" ht="12.75" x14ac:dyDescent="0.2">
      <c r="A46" s="40"/>
      <c r="B46" s="9">
        <v>67</v>
      </c>
      <c r="C46" s="9" t="s">
        <v>636</v>
      </c>
      <c r="D46" s="9" t="s">
        <v>39</v>
      </c>
      <c r="E46" s="9" t="s">
        <v>46</v>
      </c>
      <c r="F46" s="9" t="s">
        <v>51</v>
      </c>
      <c r="G46" s="10" t="s">
        <v>42</v>
      </c>
    </row>
    <row r="47" spans="1:7" ht="12.75" x14ac:dyDescent="0.2">
      <c r="A47" s="36" t="s">
        <v>28</v>
      </c>
      <c r="B47" s="9">
        <v>67</v>
      </c>
      <c r="C47" s="9" t="s">
        <v>654</v>
      </c>
      <c r="D47" s="9" t="s">
        <v>39</v>
      </c>
      <c r="E47" s="9" t="s">
        <v>46</v>
      </c>
      <c r="F47" s="9" t="s">
        <v>47</v>
      </c>
      <c r="G47" s="10" t="s">
        <v>42</v>
      </c>
    </row>
    <row r="48" spans="1:7" ht="12.75" x14ac:dyDescent="0.2">
      <c r="A48" s="37"/>
      <c r="B48" s="9">
        <v>67</v>
      </c>
      <c r="C48" s="9" t="s">
        <v>571</v>
      </c>
      <c r="D48" s="9" t="s">
        <v>39</v>
      </c>
      <c r="E48" s="9" t="s">
        <v>46</v>
      </c>
      <c r="F48" s="9" t="s">
        <v>41</v>
      </c>
      <c r="G48" s="10" t="s">
        <v>42</v>
      </c>
    </row>
    <row r="49" spans="1:7" ht="12.75" x14ac:dyDescent="0.2">
      <c r="A49" s="39"/>
      <c r="B49" s="9">
        <v>67</v>
      </c>
      <c r="C49" s="9" t="s">
        <v>652</v>
      </c>
      <c r="D49" s="9" t="s">
        <v>39</v>
      </c>
      <c r="E49" s="9" t="s">
        <v>46</v>
      </c>
      <c r="F49" s="9" t="s">
        <v>41</v>
      </c>
      <c r="G49" s="10" t="s">
        <v>42</v>
      </c>
    </row>
    <row r="50" spans="1:7" ht="12.75" x14ac:dyDescent="0.2">
      <c r="A50" s="37"/>
      <c r="B50" s="9">
        <v>67</v>
      </c>
      <c r="C50" s="9" t="s">
        <v>639</v>
      </c>
      <c r="D50" s="9" t="s">
        <v>39</v>
      </c>
      <c r="E50" s="9" t="s">
        <v>46</v>
      </c>
      <c r="F50" s="9" t="s">
        <v>41</v>
      </c>
      <c r="G50" s="10" t="s">
        <v>42</v>
      </c>
    </row>
    <row r="51" spans="1:7" ht="12.75" x14ac:dyDescent="0.2">
      <c r="A51" s="39"/>
      <c r="B51" s="9">
        <v>67</v>
      </c>
      <c r="C51" s="9" t="s">
        <v>638</v>
      </c>
      <c r="D51" s="9" t="s">
        <v>39</v>
      </c>
      <c r="E51" s="9" t="s">
        <v>46</v>
      </c>
      <c r="F51" s="9" t="s">
        <v>41</v>
      </c>
      <c r="G51" s="10" t="s">
        <v>42</v>
      </c>
    </row>
    <row r="52" spans="1:7" ht="12.75" x14ac:dyDescent="0.2">
      <c r="A52" s="40"/>
      <c r="B52" s="9">
        <v>67</v>
      </c>
      <c r="C52" s="9" t="s">
        <v>636</v>
      </c>
      <c r="D52" s="9" t="s">
        <v>39</v>
      </c>
      <c r="E52" s="9" t="s">
        <v>46</v>
      </c>
      <c r="F52" s="9" t="s">
        <v>41</v>
      </c>
      <c r="G52" s="10" t="s">
        <v>42</v>
      </c>
    </row>
    <row r="53" spans="1:7" ht="12.75" x14ac:dyDescent="0.2">
      <c r="A53" s="36" t="s">
        <v>29</v>
      </c>
      <c r="B53" s="9">
        <v>67</v>
      </c>
      <c r="C53" s="9" t="s">
        <v>655</v>
      </c>
      <c r="D53" s="9" t="s">
        <v>39</v>
      </c>
      <c r="E53" s="9" t="s">
        <v>46</v>
      </c>
      <c r="F53" s="9" t="s">
        <v>51</v>
      </c>
      <c r="G53" s="10" t="s">
        <v>42</v>
      </c>
    </row>
    <row r="54" spans="1:7" ht="12.75" x14ac:dyDescent="0.2">
      <c r="A54" s="37"/>
      <c r="B54" s="9">
        <v>67</v>
      </c>
      <c r="C54" s="9" t="s">
        <v>571</v>
      </c>
      <c r="D54" s="9" t="s">
        <v>39</v>
      </c>
      <c r="E54" s="9" t="s">
        <v>46</v>
      </c>
      <c r="F54" s="9" t="s">
        <v>51</v>
      </c>
      <c r="G54" s="10" t="s">
        <v>42</v>
      </c>
    </row>
    <row r="55" spans="1:7" ht="12.75" x14ac:dyDescent="0.2">
      <c r="A55" s="39"/>
      <c r="B55" s="9">
        <v>67</v>
      </c>
      <c r="C55" s="9" t="s">
        <v>656</v>
      </c>
      <c r="D55" s="9" t="s">
        <v>39</v>
      </c>
      <c r="E55" s="9" t="s">
        <v>46</v>
      </c>
      <c r="F55" s="9" t="s">
        <v>51</v>
      </c>
      <c r="G55" s="10" t="s">
        <v>42</v>
      </c>
    </row>
    <row r="56" spans="1:7" ht="12.75" x14ac:dyDescent="0.2">
      <c r="A56" s="37"/>
      <c r="B56" s="9">
        <v>67</v>
      </c>
      <c r="C56" s="9" t="s">
        <v>639</v>
      </c>
      <c r="D56" s="9" t="s">
        <v>39</v>
      </c>
      <c r="E56" s="9" t="s">
        <v>46</v>
      </c>
      <c r="F56" s="9" t="s">
        <v>51</v>
      </c>
      <c r="G56" s="10" t="s">
        <v>42</v>
      </c>
    </row>
    <row r="57" spans="1:7" ht="12.75" x14ac:dyDescent="0.2">
      <c r="A57" s="39"/>
      <c r="B57" s="9">
        <v>67</v>
      </c>
      <c r="C57" s="9" t="s">
        <v>657</v>
      </c>
      <c r="D57" s="9" t="s">
        <v>39</v>
      </c>
      <c r="E57" s="9" t="s">
        <v>46</v>
      </c>
      <c r="F57" s="9" t="s">
        <v>51</v>
      </c>
      <c r="G57" s="10" t="s">
        <v>42</v>
      </c>
    </row>
    <row r="58" spans="1:7" ht="12.75" x14ac:dyDescent="0.2">
      <c r="A58" s="37"/>
      <c r="B58" s="9">
        <v>67</v>
      </c>
      <c r="C58" s="9" t="s">
        <v>638</v>
      </c>
      <c r="D58" s="9" t="s">
        <v>39</v>
      </c>
      <c r="E58" s="9" t="s">
        <v>46</v>
      </c>
      <c r="F58" s="9" t="s">
        <v>51</v>
      </c>
      <c r="G58" s="10" t="s">
        <v>42</v>
      </c>
    </row>
    <row r="59" spans="1:7" ht="12.75" x14ac:dyDescent="0.2">
      <c r="A59" s="38"/>
      <c r="B59" s="9">
        <v>67</v>
      </c>
      <c r="C59" s="9" t="s">
        <v>636</v>
      </c>
      <c r="D59" s="9" t="s">
        <v>39</v>
      </c>
      <c r="E59" s="9" t="s">
        <v>46</v>
      </c>
      <c r="F59" s="9" t="s">
        <v>51</v>
      </c>
      <c r="G59" s="10" t="s">
        <v>42</v>
      </c>
    </row>
    <row r="60" spans="1:7" ht="12.75" x14ac:dyDescent="0.2">
      <c r="A60" s="36" t="s">
        <v>30</v>
      </c>
      <c r="B60" s="9">
        <v>67</v>
      </c>
      <c r="C60" s="9" t="s">
        <v>658</v>
      </c>
      <c r="D60" s="9" t="s">
        <v>39</v>
      </c>
      <c r="E60" s="9" t="s">
        <v>46</v>
      </c>
      <c r="F60" s="9" t="s">
        <v>47</v>
      </c>
      <c r="G60" s="10" t="s">
        <v>42</v>
      </c>
    </row>
    <row r="61" spans="1:7" ht="12.75" x14ac:dyDescent="0.2">
      <c r="A61" s="39"/>
      <c r="B61" s="9">
        <v>67</v>
      </c>
      <c r="C61" s="9" t="s">
        <v>638</v>
      </c>
      <c r="D61" s="9" t="s">
        <v>39</v>
      </c>
      <c r="E61" s="9" t="s">
        <v>46</v>
      </c>
      <c r="F61" s="9" t="s">
        <v>51</v>
      </c>
      <c r="G61" s="10" t="s">
        <v>42</v>
      </c>
    </row>
    <row r="62" spans="1:7" ht="12.75" x14ac:dyDescent="0.2">
      <c r="A62" s="40"/>
      <c r="B62" s="9">
        <v>67</v>
      </c>
      <c r="C62" s="9" t="s">
        <v>636</v>
      </c>
      <c r="D62" s="9" t="s">
        <v>39</v>
      </c>
      <c r="E62" s="9" t="s">
        <v>46</v>
      </c>
      <c r="F62" s="9" t="s">
        <v>51</v>
      </c>
      <c r="G62" s="10" t="s">
        <v>42</v>
      </c>
    </row>
    <row r="63" spans="1:7" ht="12.75" x14ac:dyDescent="0.2">
      <c r="A63" s="36" t="s">
        <v>31</v>
      </c>
      <c r="B63" s="9">
        <v>67</v>
      </c>
      <c r="C63" s="9" t="s">
        <v>659</v>
      </c>
      <c r="D63" s="9" t="s">
        <v>39</v>
      </c>
      <c r="E63" s="9" t="s">
        <v>46</v>
      </c>
      <c r="F63" s="9" t="s">
        <v>51</v>
      </c>
      <c r="G63" s="10" t="s">
        <v>42</v>
      </c>
    </row>
    <row r="64" spans="1:7" ht="12.75" x14ac:dyDescent="0.2">
      <c r="A64" s="37"/>
      <c r="B64" s="9">
        <v>67</v>
      </c>
      <c r="C64" s="9" t="s">
        <v>660</v>
      </c>
      <c r="D64" s="9" t="s">
        <v>39</v>
      </c>
      <c r="E64" s="9" t="s">
        <v>46</v>
      </c>
      <c r="F64" s="9" t="s">
        <v>51</v>
      </c>
      <c r="G64" s="10" t="s">
        <v>42</v>
      </c>
    </row>
    <row r="65" spans="1:7" ht="12.75" x14ac:dyDescent="0.2">
      <c r="A65" s="39"/>
      <c r="B65" s="9">
        <v>67</v>
      </c>
      <c r="C65" s="9" t="s">
        <v>571</v>
      </c>
      <c r="D65" s="9" t="s">
        <v>39</v>
      </c>
      <c r="E65" s="9" t="s">
        <v>46</v>
      </c>
      <c r="F65" s="9" t="s">
        <v>51</v>
      </c>
      <c r="G65" s="10" t="s">
        <v>42</v>
      </c>
    </row>
    <row r="66" spans="1:7" ht="12.75" x14ac:dyDescent="0.2">
      <c r="A66" s="37"/>
      <c r="B66" s="9">
        <v>67</v>
      </c>
      <c r="C66" s="9" t="s">
        <v>573</v>
      </c>
      <c r="D66" s="9" t="s">
        <v>39</v>
      </c>
      <c r="E66" s="9" t="s">
        <v>46</v>
      </c>
      <c r="F66" s="9" t="s">
        <v>51</v>
      </c>
      <c r="G66" s="10" t="s">
        <v>42</v>
      </c>
    </row>
    <row r="67" spans="1:7" ht="12.75" x14ac:dyDescent="0.2">
      <c r="A67" s="39"/>
      <c r="B67" s="9">
        <v>67</v>
      </c>
      <c r="C67" s="9" t="s">
        <v>661</v>
      </c>
      <c r="D67" s="9" t="s">
        <v>39</v>
      </c>
      <c r="E67" s="9" t="s">
        <v>46</v>
      </c>
      <c r="F67" s="9" t="s">
        <v>51</v>
      </c>
      <c r="G67" s="10" t="s">
        <v>42</v>
      </c>
    </row>
    <row r="68" spans="1:7" ht="12.75" x14ac:dyDescent="0.2">
      <c r="A68" s="37"/>
      <c r="B68" s="9">
        <v>67</v>
      </c>
      <c r="C68" s="9" t="s">
        <v>594</v>
      </c>
      <c r="D68" s="9" t="s">
        <v>39</v>
      </c>
      <c r="E68" s="9" t="s">
        <v>46</v>
      </c>
      <c r="F68" s="9" t="s">
        <v>51</v>
      </c>
      <c r="G68" s="10" t="s">
        <v>42</v>
      </c>
    </row>
    <row r="69" spans="1:7" ht="12.75" x14ac:dyDescent="0.2">
      <c r="A69" s="39"/>
      <c r="B69" s="9">
        <v>67</v>
      </c>
      <c r="C69" s="9" t="s">
        <v>638</v>
      </c>
      <c r="D69" s="9" t="s">
        <v>39</v>
      </c>
      <c r="E69" s="9" t="s">
        <v>46</v>
      </c>
      <c r="F69" s="9" t="s">
        <v>51</v>
      </c>
      <c r="G69" s="10" t="s">
        <v>42</v>
      </c>
    </row>
    <row r="70" spans="1:7" ht="12.75" x14ac:dyDescent="0.2">
      <c r="A70" s="40"/>
      <c r="B70" s="9">
        <v>67</v>
      </c>
      <c r="C70" s="9" t="s">
        <v>636</v>
      </c>
      <c r="D70" s="9" t="s">
        <v>39</v>
      </c>
      <c r="E70" s="9" t="s">
        <v>46</v>
      </c>
      <c r="F70" s="9" t="s">
        <v>51</v>
      </c>
      <c r="G70" s="10" t="s">
        <v>42</v>
      </c>
    </row>
    <row r="71" spans="1:7" ht="12.75" x14ac:dyDescent="0.2">
      <c r="A71" s="36" t="s">
        <v>32</v>
      </c>
      <c r="B71" s="9">
        <v>67</v>
      </c>
      <c r="C71" s="9" t="s">
        <v>659</v>
      </c>
      <c r="D71" s="9" t="s">
        <v>39</v>
      </c>
      <c r="E71" s="9" t="s">
        <v>46</v>
      </c>
      <c r="F71" s="9" t="s">
        <v>51</v>
      </c>
      <c r="G71" s="10" t="s">
        <v>42</v>
      </c>
    </row>
    <row r="72" spans="1:7" ht="12.75" x14ac:dyDescent="0.2">
      <c r="A72" s="37"/>
      <c r="B72" s="9">
        <v>67</v>
      </c>
      <c r="C72" s="9" t="s">
        <v>662</v>
      </c>
      <c r="D72" s="9" t="s">
        <v>39</v>
      </c>
      <c r="E72" s="9" t="s">
        <v>46</v>
      </c>
      <c r="F72" s="9" t="s">
        <v>51</v>
      </c>
      <c r="G72" s="10" t="s">
        <v>42</v>
      </c>
    </row>
    <row r="73" spans="1:7" ht="12.75" x14ac:dyDescent="0.2">
      <c r="A73" s="39"/>
      <c r="B73" s="9">
        <v>67</v>
      </c>
      <c r="C73" s="9" t="s">
        <v>571</v>
      </c>
      <c r="D73" s="9" t="s">
        <v>39</v>
      </c>
      <c r="E73" s="9" t="s">
        <v>46</v>
      </c>
      <c r="F73" s="9" t="s">
        <v>51</v>
      </c>
      <c r="G73" s="10" t="s">
        <v>42</v>
      </c>
    </row>
    <row r="74" spans="1:7" ht="12.75" x14ac:dyDescent="0.2">
      <c r="A74" s="37"/>
      <c r="B74" s="9">
        <v>67</v>
      </c>
      <c r="C74" s="9" t="s">
        <v>573</v>
      </c>
      <c r="D74" s="9" t="s">
        <v>39</v>
      </c>
      <c r="E74" s="9" t="s">
        <v>46</v>
      </c>
      <c r="F74" s="9" t="s">
        <v>51</v>
      </c>
      <c r="G74" s="10" t="s">
        <v>42</v>
      </c>
    </row>
    <row r="75" spans="1:7" ht="12.75" x14ac:dyDescent="0.2">
      <c r="A75" s="39"/>
      <c r="B75" s="9">
        <v>67</v>
      </c>
      <c r="C75" s="9" t="s">
        <v>663</v>
      </c>
      <c r="D75" s="9" t="s">
        <v>39</v>
      </c>
      <c r="E75" s="9" t="s">
        <v>46</v>
      </c>
      <c r="F75" s="9" t="s">
        <v>47</v>
      </c>
      <c r="G75" s="10" t="s">
        <v>42</v>
      </c>
    </row>
    <row r="76" spans="1:7" ht="12.75" x14ac:dyDescent="0.2">
      <c r="A76" s="37"/>
      <c r="B76" s="9">
        <v>67</v>
      </c>
      <c r="C76" s="9" t="s">
        <v>664</v>
      </c>
      <c r="D76" s="9" t="s">
        <v>39</v>
      </c>
      <c r="E76" s="9" t="s">
        <v>46</v>
      </c>
      <c r="F76" s="9" t="s">
        <v>51</v>
      </c>
      <c r="G76" s="10" t="s">
        <v>42</v>
      </c>
    </row>
    <row r="77" spans="1:7" ht="12.75" x14ac:dyDescent="0.2">
      <c r="A77" s="39"/>
      <c r="B77" s="9">
        <v>67</v>
      </c>
      <c r="C77" s="9" t="s">
        <v>665</v>
      </c>
      <c r="D77" s="9" t="s">
        <v>39</v>
      </c>
      <c r="E77" s="9" t="s">
        <v>46</v>
      </c>
      <c r="F77" s="9" t="s">
        <v>51</v>
      </c>
      <c r="G77" s="10" t="s">
        <v>42</v>
      </c>
    </row>
    <row r="78" spans="1:7" ht="12.75" x14ac:dyDescent="0.2">
      <c r="A78" s="40"/>
      <c r="B78" s="9">
        <v>67</v>
      </c>
      <c r="C78" s="9" t="s">
        <v>636</v>
      </c>
      <c r="D78" s="9" t="s">
        <v>39</v>
      </c>
      <c r="E78" s="9" t="s">
        <v>46</v>
      </c>
      <c r="F78" s="9" t="s">
        <v>51</v>
      </c>
      <c r="G78" s="10" t="s">
        <v>42</v>
      </c>
    </row>
    <row r="79" spans="1:7" ht="12.75" x14ac:dyDescent="0.2">
      <c r="A79" s="36" t="s">
        <v>33</v>
      </c>
      <c r="B79" s="9">
        <v>67</v>
      </c>
      <c r="C79" s="9" t="s">
        <v>659</v>
      </c>
      <c r="D79" s="9" t="s">
        <v>39</v>
      </c>
      <c r="E79" s="9" t="s">
        <v>46</v>
      </c>
      <c r="F79" s="9" t="s">
        <v>51</v>
      </c>
      <c r="G79" s="10" t="s">
        <v>42</v>
      </c>
    </row>
    <row r="80" spans="1:7" ht="12.75" x14ac:dyDescent="0.2">
      <c r="A80" s="37"/>
      <c r="B80" s="9">
        <v>67</v>
      </c>
      <c r="C80" s="9" t="s">
        <v>571</v>
      </c>
      <c r="D80" s="9" t="s">
        <v>39</v>
      </c>
      <c r="E80" s="9" t="s">
        <v>46</v>
      </c>
      <c r="F80" s="9" t="s">
        <v>51</v>
      </c>
      <c r="G80" s="10" t="s">
        <v>42</v>
      </c>
    </row>
    <row r="81" spans="1:7" ht="12.75" x14ac:dyDescent="0.2">
      <c r="A81" s="39"/>
      <c r="B81" s="9">
        <v>67</v>
      </c>
      <c r="C81" s="9" t="s">
        <v>573</v>
      </c>
      <c r="D81" s="9" t="s">
        <v>39</v>
      </c>
      <c r="E81" s="9" t="s">
        <v>46</v>
      </c>
      <c r="F81" s="9" t="s">
        <v>51</v>
      </c>
      <c r="G81" s="10" t="s">
        <v>42</v>
      </c>
    </row>
    <row r="82" spans="1:7" ht="12.75" x14ac:dyDescent="0.2">
      <c r="A82" s="37"/>
      <c r="B82" s="9">
        <v>67</v>
      </c>
      <c r="C82" s="9" t="s">
        <v>666</v>
      </c>
      <c r="D82" s="9" t="s">
        <v>39</v>
      </c>
      <c r="E82" s="9" t="s">
        <v>46</v>
      </c>
      <c r="F82" s="9" t="s">
        <v>51</v>
      </c>
      <c r="G82" s="10" t="s">
        <v>42</v>
      </c>
    </row>
    <row r="83" spans="1:7" ht="12.75" x14ac:dyDescent="0.2">
      <c r="A83" s="39"/>
      <c r="B83" s="9">
        <v>67</v>
      </c>
      <c r="C83" s="9" t="s">
        <v>667</v>
      </c>
      <c r="D83" s="9" t="s">
        <v>39</v>
      </c>
      <c r="E83" s="9" t="s">
        <v>46</v>
      </c>
      <c r="F83" s="9" t="s">
        <v>51</v>
      </c>
      <c r="G83" s="10" t="s">
        <v>42</v>
      </c>
    </row>
    <row r="84" spans="1:7" ht="12.75" x14ac:dyDescent="0.2">
      <c r="A84" s="40"/>
      <c r="B84" s="9">
        <v>67</v>
      </c>
      <c r="C84" s="9" t="s">
        <v>668</v>
      </c>
      <c r="D84" s="9" t="s">
        <v>39</v>
      </c>
      <c r="E84" s="9" t="s">
        <v>46</v>
      </c>
      <c r="F84" s="9" t="s">
        <v>51</v>
      </c>
      <c r="G84" s="10" t="s">
        <v>42</v>
      </c>
    </row>
    <row r="85" spans="1:7" ht="12.75" x14ac:dyDescent="0.2">
      <c r="A85" s="36" t="s">
        <v>34</v>
      </c>
      <c r="B85" s="9">
        <v>67</v>
      </c>
      <c r="C85" s="9" t="s">
        <v>659</v>
      </c>
      <c r="D85" s="9" t="s">
        <v>39</v>
      </c>
      <c r="E85" s="9" t="s">
        <v>46</v>
      </c>
      <c r="F85" s="9" t="s">
        <v>51</v>
      </c>
      <c r="G85" s="10" t="s">
        <v>42</v>
      </c>
    </row>
    <row r="86" spans="1:7" ht="12.75" x14ac:dyDescent="0.2">
      <c r="A86" s="37"/>
      <c r="B86" s="9">
        <v>67</v>
      </c>
      <c r="C86" s="9" t="s">
        <v>669</v>
      </c>
      <c r="D86" s="9" t="s">
        <v>39</v>
      </c>
      <c r="E86" s="9" t="s">
        <v>46</v>
      </c>
      <c r="F86" s="9" t="s">
        <v>51</v>
      </c>
      <c r="G86" s="10" t="s">
        <v>42</v>
      </c>
    </row>
    <row r="87" spans="1:7" ht="12.75" x14ac:dyDescent="0.2">
      <c r="A87" s="39"/>
      <c r="B87" s="9">
        <v>67</v>
      </c>
      <c r="C87" s="9" t="s">
        <v>573</v>
      </c>
      <c r="D87" s="9" t="s">
        <v>39</v>
      </c>
      <c r="E87" s="9" t="s">
        <v>46</v>
      </c>
      <c r="F87" s="9" t="s">
        <v>51</v>
      </c>
      <c r="G87" s="10" t="s">
        <v>42</v>
      </c>
    </row>
    <row r="88" spans="1:7" ht="12.75" x14ac:dyDescent="0.2">
      <c r="A88" s="37"/>
      <c r="B88" s="9">
        <v>67</v>
      </c>
      <c r="C88" s="9" t="s">
        <v>670</v>
      </c>
      <c r="D88" s="9" t="s">
        <v>39</v>
      </c>
      <c r="E88" s="9" t="s">
        <v>46</v>
      </c>
      <c r="F88" s="9" t="s">
        <v>51</v>
      </c>
      <c r="G88" s="10" t="s">
        <v>42</v>
      </c>
    </row>
    <row r="89" spans="1:7" ht="12.75" x14ac:dyDescent="0.2">
      <c r="A89" s="39"/>
      <c r="B89" s="9">
        <v>67</v>
      </c>
      <c r="C89" s="9" t="s">
        <v>671</v>
      </c>
      <c r="D89" s="9" t="s">
        <v>39</v>
      </c>
      <c r="E89" s="9" t="s">
        <v>46</v>
      </c>
      <c r="F89" s="9" t="s">
        <v>51</v>
      </c>
      <c r="G89" s="10" t="s">
        <v>42</v>
      </c>
    </row>
    <row r="90" spans="1:7" ht="12.75" x14ac:dyDescent="0.2">
      <c r="A90" s="40"/>
      <c r="B90" s="9">
        <v>67</v>
      </c>
      <c r="C90" s="9" t="s">
        <v>668</v>
      </c>
      <c r="D90" s="9" t="s">
        <v>39</v>
      </c>
      <c r="E90" s="9" t="s">
        <v>46</v>
      </c>
      <c r="F90" s="9" t="s">
        <v>51</v>
      </c>
      <c r="G90" s="10" t="s">
        <v>42</v>
      </c>
    </row>
    <row r="91" spans="1:7" ht="12.75" x14ac:dyDescent="0.2">
      <c r="A91" s="36" t="s">
        <v>35</v>
      </c>
      <c r="B91" s="9">
        <v>67</v>
      </c>
      <c r="C91" s="9" t="s">
        <v>668</v>
      </c>
      <c r="D91" s="9" t="s">
        <v>39</v>
      </c>
      <c r="E91" s="9" t="s">
        <v>46</v>
      </c>
      <c r="F91" s="9" t="s">
        <v>51</v>
      </c>
      <c r="G91" s="10" t="s">
        <v>42</v>
      </c>
    </row>
    <row r="92" spans="1:7" ht="12.75" x14ac:dyDescent="0.2">
      <c r="A92" s="37"/>
      <c r="B92" s="9">
        <v>67</v>
      </c>
      <c r="C92" s="9" t="s">
        <v>672</v>
      </c>
      <c r="D92" s="9" t="s">
        <v>39</v>
      </c>
      <c r="E92" s="9" t="s">
        <v>46</v>
      </c>
      <c r="F92" s="9" t="s">
        <v>51</v>
      </c>
      <c r="G92" s="10" t="s">
        <v>42</v>
      </c>
    </row>
    <row r="93" spans="1:7" ht="12.75" x14ac:dyDescent="0.2">
      <c r="A93" s="39"/>
      <c r="B93" s="9">
        <v>67</v>
      </c>
      <c r="C93" s="9" t="s">
        <v>673</v>
      </c>
      <c r="D93" s="9" t="s">
        <v>39</v>
      </c>
      <c r="E93" s="9" t="s">
        <v>46</v>
      </c>
      <c r="F93" s="9" t="s">
        <v>51</v>
      </c>
      <c r="G93" s="10" t="s">
        <v>42</v>
      </c>
    </row>
    <row r="94" spans="1:7" ht="12.75" x14ac:dyDescent="0.2">
      <c r="A94" s="37"/>
      <c r="B94" s="9">
        <v>67</v>
      </c>
      <c r="C94" s="9" t="s">
        <v>674</v>
      </c>
      <c r="D94" s="9" t="s">
        <v>39</v>
      </c>
      <c r="E94" s="9" t="s">
        <v>46</v>
      </c>
      <c r="F94" s="9" t="s">
        <v>51</v>
      </c>
      <c r="G94" s="10" t="s">
        <v>42</v>
      </c>
    </row>
    <row r="95" spans="1:7" ht="12.75" x14ac:dyDescent="0.2">
      <c r="A95" s="38"/>
      <c r="B95" s="9">
        <v>67</v>
      </c>
      <c r="C95" s="9" t="s">
        <v>659</v>
      </c>
      <c r="D95" s="9" t="s">
        <v>39</v>
      </c>
      <c r="E95" s="9" t="s">
        <v>46</v>
      </c>
      <c r="F95" s="9" t="s">
        <v>51</v>
      </c>
      <c r="G95" s="10" t="s">
        <v>42</v>
      </c>
    </row>
    <row r="96" spans="1:7" ht="12.75" x14ac:dyDescent="0.2">
      <c r="A96" s="9" t="s">
        <v>36</v>
      </c>
      <c r="B96" s="9">
        <v>67</v>
      </c>
      <c r="C96" s="9" t="s">
        <v>21</v>
      </c>
      <c r="D96" s="9" t="s">
        <v>21</v>
      </c>
      <c r="E96" s="9" t="s">
        <v>21</v>
      </c>
      <c r="F96" s="9" t="s">
        <v>21</v>
      </c>
      <c r="G96" s="10" t="s">
        <v>21</v>
      </c>
    </row>
  </sheetData>
  <mergeCells count="15">
    <mergeCell ref="A79:A84"/>
    <mergeCell ref="A85:A90"/>
    <mergeCell ref="A91:A95"/>
    <mergeCell ref="A1:G1"/>
    <mergeCell ref="A10:A11"/>
    <mergeCell ref="A12:A17"/>
    <mergeCell ref="A18:A25"/>
    <mergeCell ref="A26:A32"/>
    <mergeCell ref="A33:A39"/>
    <mergeCell ref="A40:A46"/>
    <mergeCell ref="A47:A52"/>
    <mergeCell ref="A53:A59"/>
    <mergeCell ref="A60:A62"/>
    <mergeCell ref="A63:A70"/>
    <mergeCell ref="A71:A7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58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41" t="s">
        <v>20</v>
      </c>
      <c r="B9" s="19">
        <v>68</v>
      </c>
      <c r="C9" s="19" t="s">
        <v>675</v>
      </c>
      <c r="D9" s="19" t="s">
        <v>39</v>
      </c>
      <c r="E9" s="19" t="s">
        <v>40</v>
      </c>
      <c r="F9" s="19" t="s">
        <v>41</v>
      </c>
      <c r="G9" s="21" t="s">
        <v>42</v>
      </c>
    </row>
    <row r="10" spans="1:7" x14ac:dyDescent="0.2">
      <c r="A10" s="40"/>
      <c r="B10" s="19">
        <v>68</v>
      </c>
      <c r="C10" s="19" t="s">
        <v>676</v>
      </c>
      <c r="D10" s="19" t="s">
        <v>39</v>
      </c>
      <c r="E10" s="19" t="s">
        <v>40</v>
      </c>
      <c r="F10" s="19" t="s">
        <v>51</v>
      </c>
      <c r="G10" s="21" t="s">
        <v>42</v>
      </c>
    </row>
    <row r="11" spans="1:7" x14ac:dyDescent="0.2">
      <c r="A11" s="19" t="s">
        <v>22</v>
      </c>
      <c r="B11" s="19" t="s">
        <v>21</v>
      </c>
      <c r="C11" s="19" t="s">
        <v>21</v>
      </c>
      <c r="D11" s="19" t="s">
        <v>21</v>
      </c>
      <c r="E11" s="19" t="s">
        <v>21</v>
      </c>
      <c r="F11" s="19" t="s">
        <v>21</v>
      </c>
      <c r="G11" s="21" t="s">
        <v>21</v>
      </c>
    </row>
    <row r="12" spans="1:7" x14ac:dyDescent="0.2">
      <c r="A12" s="41" t="s">
        <v>23</v>
      </c>
      <c r="B12" s="19">
        <v>68</v>
      </c>
      <c r="C12" s="19" t="s">
        <v>677</v>
      </c>
      <c r="D12" s="19" t="s">
        <v>39</v>
      </c>
      <c r="E12" s="19" t="s">
        <v>46</v>
      </c>
      <c r="F12" s="19" t="s">
        <v>47</v>
      </c>
      <c r="G12" s="21" t="s">
        <v>42</v>
      </c>
    </row>
    <row r="13" spans="1:7" x14ac:dyDescent="0.2">
      <c r="A13" s="39"/>
      <c r="B13" s="19">
        <v>68</v>
      </c>
      <c r="C13" s="19" t="s">
        <v>678</v>
      </c>
      <c r="D13" s="19" t="s">
        <v>39</v>
      </c>
      <c r="E13" s="19" t="s">
        <v>46</v>
      </c>
      <c r="F13" s="19" t="s">
        <v>47</v>
      </c>
      <c r="G13" s="21" t="s">
        <v>42</v>
      </c>
    </row>
    <row r="14" spans="1:7" x14ac:dyDescent="0.2">
      <c r="A14" s="40"/>
      <c r="B14" s="19">
        <v>68</v>
      </c>
      <c r="C14" s="19" t="s">
        <v>679</v>
      </c>
      <c r="D14" s="19" t="s">
        <v>39</v>
      </c>
      <c r="E14" s="19" t="s">
        <v>46</v>
      </c>
      <c r="F14" s="19" t="s">
        <v>47</v>
      </c>
      <c r="G14" s="21" t="s">
        <v>42</v>
      </c>
    </row>
    <row r="15" spans="1:7" x14ac:dyDescent="0.2">
      <c r="A15" s="41" t="s">
        <v>24</v>
      </c>
      <c r="B15" s="19">
        <v>68</v>
      </c>
      <c r="C15" s="19" t="s">
        <v>679</v>
      </c>
      <c r="D15" s="19" t="s">
        <v>39</v>
      </c>
      <c r="E15" s="19" t="s">
        <v>46</v>
      </c>
      <c r="F15" s="19" t="s">
        <v>47</v>
      </c>
      <c r="G15" s="21" t="s">
        <v>42</v>
      </c>
    </row>
    <row r="16" spans="1:7" x14ac:dyDescent="0.2">
      <c r="A16" s="37"/>
      <c r="B16" s="19">
        <v>68</v>
      </c>
      <c r="C16" s="19" t="s">
        <v>680</v>
      </c>
      <c r="D16" s="19" t="s">
        <v>39</v>
      </c>
      <c r="E16" s="19" t="s">
        <v>46</v>
      </c>
      <c r="F16" s="19" t="s">
        <v>47</v>
      </c>
      <c r="G16" s="21" t="s">
        <v>42</v>
      </c>
    </row>
    <row r="17" spans="1:7" x14ac:dyDescent="0.2">
      <c r="A17" s="39"/>
      <c r="B17" s="19">
        <v>68</v>
      </c>
      <c r="C17" s="19" t="s">
        <v>681</v>
      </c>
      <c r="D17" s="19" t="s">
        <v>39</v>
      </c>
      <c r="E17" s="19" t="s">
        <v>46</v>
      </c>
      <c r="F17" s="19" t="s">
        <v>47</v>
      </c>
      <c r="G17" s="21" t="s">
        <v>42</v>
      </c>
    </row>
    <row r="18" spans="1:7" x14ac:dyDescent="0.2">
      <c r="A18" s="40"/>
      <c r="B18" s="19">
        <v>68</v>
      </c>
      <c r="C18" s="19" t="s">
        <v>682</v>
      </c>
      <c r="D18" s="19" t="s">
        <v>39</v>
      </c>
      <c r="E18" s="19" t="s">
        <v>46</v>
      </c>
      <c r="F18" s="19" t="s">
        <v>47</v>
      </c>
      <c r="G18" s="21" t="s">
        <v>42</v>
      </c>
    </row>
    <row r="19" spans="1:7" x14ac:dyDescent="0.2">
      <c r="A19" s="41" t="s">
        <v>25</v>
      </c>
      <c r="B19" s="19">
        <v>68</v>
      </c>
      <c r="C19" s="19" t="s">
        <v>679</v>
      </c>
      <c r="D19" s="19" t="s">
        <v>39</v>
      </c>
      <c r="E19" s="19" t="s">
        <v>46</v>
      </c>
      <c r="F19" s="19" t="s">
        <v>47</v>
      </c>
      <c r="G19" s="21" t="s">
        <v>42</v>
      </c>
    </row>
    <row r="20" spans="1:7" x14ac:dyDescent="0.2">
      <c r="A20" s="37"/>
      <c r="B20" s="19">
        <v>68</v>
      </c>
      <c r="C20" s="19" t="s">
        <v>680</v>
      </c>
      <c r="D20" s="19" t="s">
        <v>39</v>
      </c>
      <c r="E20" s="19" t="s">
        <v>46</v>
      </c>
      <c r="F20" s="19" t="s">
        <v>47</v>
      </c>
      <c r="G20" s="21" t="s">
        <v>42</v>
      </c>
    </row>
    <row r="21" spans="1:7" x14ac:dyDescent="0.2">
      <c r="A21" s="39"/>
      <c r="B21" s="19">
        <v>68</v>
      </c>
      <c r="C21" s="19" t="s">
        <v>681</v>
      </c>
      <c r="D21" s="19" t="s">
        <v>39</v>
      </c>
      <c r="E21" s="19" t="s">
        <v>46</v>
      </c>
      <c r="F21" s="19" t="s">
        <v>47</v>
      </c>
      <c r="G21" s="21" t="s">
        <v>42</v>
      </c>
    </row>
    <row r="22" spans="1:7" x14ac:dyDescent="0.2">
      <c r="A22" s="40"/>
      <c r="B22" s="19">
        <v>68</v>
      </c>
      <c r="C22" s="19" t="s">
        <v>682</v>
      </c>
      <c r="D22" s="19" t="s">
        <v>39</v>
      </c>
      <c r="E22" s="19" t="s">
        <v>46</v>
      </c>
      <c r="F22" s="19" t="s">
        <v>47</v>
      </c>
      <c r="G22" s="21" t="s">
        <v>42</v>
      </c>
    </row>
    <row r="23" spans="1:7" x14ac:dyDescent="0.2">
      <c r="A23" s="41" t="s">
        <v>26</v>
      </c>
      <c r="B23" s="19">
        <v>68</v>
      </c>
      <c r="C23" s="19" t="s">
        <v>679</v>
      </c>
      <c r="D23" s="19" t="s">
        <v>39</v>
      </c>
      <c r="E23" s="19" t="s">
        <v>46</v>
      </c>
      <c r="F23" s="19" t="s">
        <v>47</v>
      </c>
      <c r="G23" s="21" t="s">
        <v>42</v>
      </c>
    </row>
    <row r="24" spans="1:7" x14ac:dyDescent="0.2">
      <c r="A24" s="37"/>
      <c r="B24" s="19">
        <v>68</v>
      </c>
      <c r="C24" s="19" t="s">
        <v>680</v>
      </c>
      <c r="D24" s="19" t="s">
        <v>39</v>
      </c>
      <c r="E24" s="19" t="s">
        <v>46</v>
      </c>
      <c r="F24" s="19" t="s">
        <v>47</v>
      </c>
      <c r="G24" s="21" t="s">
        <v>42</v>
      </c>
    </row>
    <row r="25" spans="1:7" x14ac:dyDescent="0.2">
      <c r="A25" s="39"/>
      <c r="B25" s="19">
        <v>68</v>
      </c>
      <c r="C25" s="19" t="s">
        <v>681</v>
      </c>
      <c r="D25" s="19" t="s">
        <v>39</v>
      </c>
      <c r="E25" s="19" t="s">
        <v>46</v>
      </c>
      <c r="F25" s="19" t="s">
        <v>47</v>
      </c>
      <c r="G25" s="21" t="s">
        <v>42</v>
      </c>
    </row>
    <row r="26" spans="1:7" x14ac:dyDescent="0.2">
      <c r="A26" s="40"/>
      <c r="B26" s="19">
        <v>68</v>
      </c>
      <c r="C26" s="19" t="s">
        <v>682</v>
      </c>
      <c r="D26" s="19" t="s">
        <v>39</v>
      </c>
      <c r="E26" s="19" t="s">
        <v>46</v>
      </c>
      <c r="F26" s="19" t="s">
        <v>47</v>
      </c>
      <c r="G26" s="21" t="s">
        <v>42</v>
      </c>
    </row>
    <row r="27" spans="1:7" x14ac:dyDescent="0.2">
      <c r="A27" s="41" t="s">
        <v>27</v>
      </c>
      <c r="B27" s="19">
        <v>68</v>
      </c>
      <c r="C27" s="19" t="s">
        <v>680</v>
      </c>
      <c r="D27" s="19" t="s">
        <v>39</v>
      </c>
      <c r="E27" s="19" t="s">
        <v>46</v>
      </c>
      <c r="F27" s="19" t="s">
        <v>47</v>
      </c>
      <c r="G27" s="21" t="s">
        <v>42</v>
      </c>
    </row>
    <row r="28" spans="1:7" x14ac:dyDescent="0.2">
      <c r="A28" s="37"/>
      <c r="B28" s="19">
        <v>68</v>
      </c>
      <c r="C28" s="19" t="s">
        <v>681</v>
      </c>
      <c r="D28" s="19" t="s">
        <v>39</v>
      </c>
      <c r="E28" s="19" t="s">
        <v>46</v>
      </c>
      <c r="F28" s="19" t="s">
        <v>47</v>
      </c>
      <c r="G28" s="21" t="s">
        <v>42</v>
      </c>
    </row>
    <row r="29" spans="1:7" x14ac:dyDescent="0.2">
      <c r="A29" s="38"/>
      <c r="B29" s="19">
        <v>68</v>
      </c>
      <c r="C29" s="19" t="s">
        <v>682</v>
      </c>
      <c r="D29" s="19" t="s">
        <v>39</v>
      </c>
      <c r="E29" s="19" t="s">
        <v>46</v>
      </c>
      <c r="F29" s="19" t="s">
        <v>47</v>
      </c>
      <c r="G29" s="21" t="s">
        <v>42</v>
      </c>
    </row>
    <row r="30" spans="1:7" x14ac:dyDescent="0.2">
      <c r="A30" s="41" t="s">
        <v>28</v>
      </c>
      <c r="B30" s="19">
        <v>68</v>
      </c>
      <c r="C30" s="19" t="s">
        <v>679</v>
      </c>
      <c r="D30" s="19" t="s">
        <v>39</v>
      </c>
      <c r="E30" s="19" t="s">
        <v>46</v>
      </c>
      <c r="F30" s="19" t="s">
        <v>47</v>
      </c>
      <c r="G30" s="21" t="s">
        <v>42</v>
      </c>
    </row>
    <row r="31" spans="1:7" x14ac:dyDescent="0.2">
      <c r="A31" s="39"/>
      <c r="B31" s="19">
        <v>68</v>
      </c>
      <c r="C31" s="19" t="s">
        <v>680</v>
      </c>
      <c r="D31" s="19" t="s">
        <v>39</v>
      </c>
      <c r="E31" s="19" t="s">
        <v>46</v>
      </c>
      <c r="F31" s="19" t="s">
        <v>47</v>
      </c>
      <c r="G31" s="21" t="s">
        <v>42</v>
      </c>
    </row>
    <row r="32" spans="1:7" x14ac:dyDescent="0.2">
      <c r="A32" s="37"/>
      <c r="B32" s="19">
        <v>68</v>
      </c>
      <c r="C32" s="19" t="s">
        <v>683</v>
      </c>
      <c r="D32" s="19" t="s">
        <v>39</v>
      </c>
      <c r="E32" s="19" t="s">
        <v>46</v>
      </c>
      <c r="F32" s="19" t="s">
        <v>41</v>
      </c>
      <c r="G32" s="21" t="s">
        <v>42</v>
      </c>
    </row>
    <row r="33" spans="1:7" x14ac:dyDescent="0.2">
      <c r="A33" s="38"/>
      <c r="B33" s="19">
        <v>68</v>
      </c>
      <c r="C33" s="19" t="s">
        <v>682</v>
      </c>
      <c r="D33" s="19" t="s">
        <v>39</v>
      </c>
      <c r="E33" s="19" t="s">
        <v>46</v>
      </c>
      <c r="F33" s="19" t="s">
        <v>47</v>
      </c>
      <c r="G33" s="21" t="s">
        <v>42</v>
      </c>
    </row>
    <row r="34" spans="1:7" x14ac:dyDescent="0.2">
      <c r="A34" s="41" t="s">
        <v>29</v>
      </c>
      <c r="B34" s="19">
        <v>68</v>
      </c>
      <c r="C34" s="19" t="s">
        <v>680</v>
      </c>
      <c r="D34" s="19" t="s">
        <v>39</v>
      </c>
      <c r="E34" s="19" t="s">
        <v>46</v>
      </c>
      <c r="F34" s="19" t="s">
        <v>47</v>
      </c>
      <c r="G34" s="21" t="s">
        <v>42</v>
      </c>
    </row>
    <row r="35" spans="1:7" x14ac:dyDescent="0.2">
      <c r="A35" s="38"/>
      <c r="B35" s="19">
        <v>68</v>
      </c>
      <c r="C35" s="19" t="s">
        <v>682</v>
      </c>
      <c r="D35" s="19" t="s">
        <v>39</v>
      </c>
      <c r="E35" s="19" t="s">
        <v>46</v>
      </c>
      <c r="F35" s="19" t="s">
        <v>47</v>
      </c>
      <c r="G35" s="21" t="s">
        <v>42</v>
      </c>
    </row>
    <row r="36" spans="1:7" x14ac:dyDescent="0.2">
      <c r="A36" s="41" t="s">
        <v>30</v>
      </c>
      <c r="B36" s="19">
        <v>68</v>
      </c>
      <c r="C36" s="19" t="s">
        <v>684</v>
      </c>
      <c r="D36" s="19" t="s">
        <v>39</v>
      </c>
      <c r="E36" s="19" t="s">
        <v>46</v>
      </c>
      <c r="F36" s="19" t="s">
        <v>47</v>
      </c>
      <c r="G36" s="21" t="s">
        <v>42</v>
      </c>
    </row>
    <row r="37" spans="1:7" ht="12.75" x14ac:dyDescent="0.2">
      <c r="A37" s="39"/>
      <c r="B37" s="19">
        <v>68</v>
      </c>
      <c r="C37" s="19" t="s">
        <v>679</v>
      </c>
      <c r="D37" s="19" t="s">
        <v>39</v>
      </c>
      <c r="E37" s="19" t="s">
        <v>46</v>
      </c>
      <c r="F37" s="19" t="s">
        <v>47</v>
      </c>
      <c r="G37" s="21" t="s">
        <v>42</v>
      </c>
    </row>
    <row r="38" spans="1:7" ht="12.75" x14ac:dyDescent="0.2">
      <c r="A38" s="37"/>
      <c r="B38" s="19">
        <v>68</v>
      </c>
      <c r="C38" s="19" t="s">
        <v>681</v>
      </c>
      <c r="D38" s="19" t="s">
        <v>39</v>
      </c>
      <c r="E38" s="19" t="s">
        <v>46</v>
      </c>
      <c r="F38" s="19" t="s">
        <v>47</v>
      </c>
      <c r="G38" s="21" t="s">
        <v>42</v>
      </c>
    </row>
    <row r="39" spans="1:7" ht="12.75" x14ac:dyDescent="0.2">
      <c r="A39" s="39"/>
      <c r="B39" s="19">
        <v>68</v>
      </c>
      <c r="C39" s="19" t="s">
        <v>682</v>
      </c>
      <c r="D39" s="19" t="s">
        <v>39</v>
      </c>
      <c r="E39" s="19" t="s">
        <v>46</v>
      </c>
      <c r="F39" s="19" t="s">
        <v>47</v>
      </c>
      <c r="G39" s="21" t="s">
        <v>42</v>
      </c>
    </row>
    <row r="40" spans="1:7" ht="12.75" x14ac:dyDescent="0.2">
      <c r="A40" s="40"/>
      <c r="B40" s="19">
        <v>68</v>
      </c>
      <c r="C40" s="19" t="s">
        <v>685</v>
      </c>
      <c r="D40" s="19" t="s">
        <v>39</v>
      </c>
      <c r="E40" s="19" t="s">
        <v>46</v>
      </c>
      <c r="F40" s="19" t="s">
        <v>47</v>
      </c>
      <c r="G40" s="21" t="s">
        <v>42</v>
      </c>
    </row>
    <row r="41" spans="1:7" ht="12.75" x14ac:dyDescent="0.2">
      <c r="A41" s="41" t="s">
        <v>31</v>
      </c>
      <c r="B41" s="19">
        <v>68</v>
      </c>
      <c r="C41" s="19" t="s">
        <v>680</v>
      </c>
      <c r="D41" s="19" t="s">
        <v>39</v>
      </c>
      <c r="E41" s="19" t="s">
        <v>46</v>
      </c>
      <c r="F41" s="19" t="s">
        <v>47</v>
      </c>
      <c r="G41" s="21" t="s">
        <v>42</v>
      </c>
    </row>
    <row r="42" spans="1:7" ht="12.75" x14ac:dyDescent="0.2">
      <c r="A42" s="37"/>
      <c r="B42" s="19">
        <v>68</v>
      </c>
      <c r="C42" s="19" t="s">
        <v>681</v>
      </c>
      <c r="D42" s="19" t="s">
        <v>39</v>
      </c>
      <c r="E42" s="19" t="s">
        <v>46</v>
      </c>
      <c r="F42" s="19" t="s">
        <v>47</v>
      </c>
      <c r="G42" s="21" t="s">
        <v>42</v>
      </c>
    </row>
    <row r="43" spans="1:7" ht="12.75" x14ac:dyDescent="0.2">
      <c r="A43" s="38"/>
      <c r="B43" s="19">
        <v>68</v>
      </c>
      <c r="C43" s="19" t="s">
        <v>682</v>
      </c>
      <c r="D43" s="19" t="s">
        <v>39</v>
      </c>
      <c r="E43" s="19" t="s">
        <v>46</v>
      </c>
      <c r="F43" s="19" t="s">
        <v>47</v>
      </c>
      <c r="G43" s="21" t="s">
        <v>42</v>
      </c>
    </row>
    <row r="44" spans="1:7" ht="12.75" x14ac:dyDescent="0.2">
      <c r="A44" s="19" t="s">
        <v>32</v>
      </c>
      <c r="B44" s="19">
        <v>68</v>
      </c>
      <c r="C44" s="19" t="s">
        <v>681</v>
      </c>
      <c r="D44" s="19" t="s">
        <v>39</v>
      </c>
      <c r="E44" s="19" t="s">
        <v>46</v>
      </c>
      <c r="F44" s="19" t="s">
        <v>47</v>
      </c>
      <c r="G44" s="21" t="s">
        <v>42</v>
      </c>
    </row>
    <row r="45" spans="1:7" ht="12.75" x14ac:dyDescent="0.2">
      <c r="A45" s="41" t="s">
        <v>33</v>
      </c>
      <c r="B45" s="19">
        <v>68</v>
      </c>
      <c r="C45" s="19" t="s">
        <v>686</v>
      </c>
      <c r="D45" s="19" t="s">
        <v>39</v>
      </c>
      <c r="E45" s="19" t="s">
        <v>46</v>
      </c>
      <c r="F45" s="19" t="s">
        <v>47</v>
      </c>
      <c r="G45" s="21" t="s">
        <v>42</v>
      </c>
    </row>
    <row r="46" spans="1:7" ht="12.75" x14ac:dyDescent="0.2">
      <c r="A46" s="40"/>
      <c r="B46" s="19">
        <v>68</v>
      </c>
      <c r="C46" s="19" t="s">
        <v>687</v>
      </c>
      <c r="D46" s="19" t="s">
        <v>39</v>
      </c>
      <c r="E46" s="19" t="s">
        <v>46</v>
      </c>
      <c r="F46" s="19" t="s">
        <v>47</v>
      </c>
      <c r="G46" s="21" t="s">
        <v>42</v>
      </c>
    </row>
    <row r="47" spans="1:7" ht="12.75" x14ac:dyDescent="0.2">
      <c r="A47" s="19" t="s">
        <v>34</v>
      </c>
      <c r="B47" s="19">
        <v>68</v>
      </c>
      <c r="C47" s="19" t="s">
        <v>21</v>
      </c>
      <c r="D47" s="19" t="s">
        <v>21</v>
      </c>
      <c r="E47" s="19" t="s">
        <v>21</v>
      </c>
      <c r="F47" s="19" t="s">
        <v>21</v>
      </c>
      <c r="G47" s="21" t="s">
        <v>21</v>
      </c>
    </row>
    <row r="48" spans="1:7" ht="12.75" x14ac:dyDescent="0.2">
      <c r="A48" s="41" t="s">
        <v>35</v>
      </c>
      <c r="B48" s="19">
        <v>68</v>
      </c>
      <c r="C48" s="19" t="s">
        <v>688</v>
      </c>
      <c r="D48" s="19" t="s">
        <v>39</v>
      </c>
      <c r="E48" s="19" t="s">
        <v>46</v>
      </c>
      <c r="F48" s="19" t="s">
        <v>47</v>
      </c>
      <c r="G48" s="21" t="s">
        <v>42</v>
      </c>
    </row>
    <row r="49" spans="1:7" ht="12.75" x14ac:dyDescent="0.2">
      <c r="A49" s="39"/>
      <c r="B49" s="19">
        <v>68</v>
      </c>
      <c r="C49" s="19" t="s">
        <v>689</v>
      </c>
      <c r="D49" s="19" t="s">
        <v>39</v>
      </c>
      <c r="E49" s="19" t="s">
        <v>46</v>
      </c>
      <c r="F49" s="19" t="s">
        <v>47</v>
      </c>
      <c r="G49" s="21" t="s">
        <v>42</v>
      </c>
    </row>
    <row r="50" spans="1:7" ht="12.75" x14ac:dyDescent="0.2">
      <c r="A50" s="37"/>
      <c r="B50" s="19">
        <v>68</v>
      </c>
      <c r="C50" s="19" t="s">
        <v>679</v>
      </c>
      <c r="D50" s="19" t="s">
        <v>39</v>
      </c>
      <c r="E50" s="19" t="s">
        <v>40</v>
      </c>
      <c r="F50" s="19" t="s">
        <v>47</v>
      </c>
      <c r="G50" s="21" t="s">
        <v>42</v>
      </c>
    </row>
    <row r="51" spans="1:7" ht="12.75" x14ac:dyDescent="0.2">
      <c r="A51" s="39"/>
      <c r="B51" s="19">
        <v>68</v>
      </c>
      <c r="C51" s="19" t="s">
        <v>690</v>
      </c>
      <c r="D51" s="19" t="s">
        <v>39</v>
      </c>
      <c r="E51" s="19" t="s">
        <v>40</v>
      </c>
      <c r="F51" s="19" t="s">
        <v>47</v>
      </c>
      <c r="G51" s="21" t="s">
        <v>42</v>
      </c>
    </row>
    <row r="52" spans="1:7" ht="12.75" x14ac:dyDescent="0.2">
      <c r="A52" s="37"/>
      <c r="B52" s="19">
        <v>68</v>
      </c>
      <c r="C52" s="19" t="s">
        <v>691</v>
      </c>
      <c r="D52" s="19" t="s">
        <v>39</v>
      </c>
      <c r="E52" s="19" t="s">
        <v>40</v>
      </c>
      <c r="F52" s="19" t="s">
        <v>41</v>
      </c>
      <c r="G52" s="21" t="s">
        <v>42</v>
      </c>
    </row>
    <row r="53" spans="1:7" ht="12.75" x14ac:dyDescent="0.2">
      <c r="A53" s="39"/>
      <c r="B53" s="19">
        <v>68</v>
      </c>
      <c r="C53" s="19" t="s">
        <v>692</v>
      </c>
      <c r="D53" s="19" t="s">
        <v>39</v>
      </c>
      <c r="E53" s="19" t="s">
        <v>40</v>
      </c>
      <c r="F53" s="19" t="s">
        <v>41</v>
      </c>
      <c r="G53" s="21" t="s">
        <v>42</v>
      </c>
    </row>
    <row r="54" spans="1:7" ht="12.75" x14ac:dyDescent="0.2">
      <c r="A54" s="40"/>
      <c r="B54" s="19">
        <v>68</v>
      </c>
      <c r="C54" s="19" t="s">
        <v>693</v>
      </c>
      <c r="D54" s="19" t="s">
        <v>39</v>
      </c>
      <c r="E54" s="19" t="s">
        <v>40</v>
      </c>
      <c r="F54" s="19" t="s">
        <v>51</v>
      </c>
      <c r="G54" s="21" t="s">
        <v>42</v>
      </c>
    </row>
    <row r="55" spans="1:7" ht="12.75" x14ac:dyDescent="0.2">
      <c r="A55" s="41" t="s">
        <v>36</v>
      </c>
      <c r="B55" s="19">
        <v>68</v>
      </c>
      <c r="C55" s="19" t="s">
        <v>694</v>
      </c>
      <c r="D55" s="19" t="s">
        <v>39</v>
      </c>
      <c r="E55" s="19" t="s">
        <v>46</v>
      </c>
      <c r="F55" s="19" t="s">
        <v>47</v>
      </c>
      <c r="G55" s="21" t="s">
        <v>42</v>
      </c>
    </row>
    <row r="56" spans="1:7" ht="12.75" x14ac:dyDescent="0.2">
      <c r="A56" s="40"/>
      <c r="B56" s="19">
        <v>68</v>
      </c>
      <c r="C56" s="19" t="s">
        <v>679</v>
      </c>
      <c r="D56" s="19" t="s">
        <v>39</v>
      </c>
      <c r="E56" s="19" t="s">
        <v>46</v>
      </c>
      <c r="F56" s="19" t="s">
        <v>47</v>
      </c>
      <c r="G56" s="21" t="s">
        <v>42</v>
      </c>
    </row>
    <row r="57" spans="1:7" ht="12.75" x14ac:dyDescent="0.2">
      <c r="A57" s="22"/>
      <c r="B57" s="23"/>
      <c r="C57" s="23"/>
      <c r="D57" s="23"/>
      <c r="E57" s="23"/>
      <c r="F57" s="23"/>
      <c r="G57" s="24"/>
    </row>
    <row r="58" spans="1:7" ht="12.75" x14ac:dyDescent="0.2">
      <c r="A58" s="25"/>
      <c r="B58" s="25"/>
      <c r="C58" s="25"/>
      <c r="D58" s="25"/>
      <c r="E58" s="25"/>
      <c r="F58" s="25"/>
      <c r="G58" s="25"/>
    </row>
  </sheetData>
  <mergeCells count="14">
    <mergeCell ref="A48:A54"/>
    <mergeCell ref="A55:A56"/>
    <mergeCell ref="A1:G1"/>
    <mergeCell ref="A9:A10"/>
    <mergeCell ref="A12:A14"/>
    <mergeCell ref="A15:A18"/>
    <mergeCell ref="A19:A22"/>
    <mergeCell ref="A23:A26"/>
    <mergeCell ref="A27:A29"/>
    <mergeCell ref="A30:A33"/>
    <mergeCell ref="A34:A35"/>
    <mergeCell ref="A36:A40"/>
    <mergeCell ref="A41:A43"/>
    <mergeCell ref="A45:A4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65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36" t="s">
        <v>20</v>
      </c>
      <c r="B9" s="9">
        <v>69</v>
      </c>
      <c r="C9" s="9" t="s">
        <v>695</v>
      </c>
      <c r="D9" s="9" t="s">
        <v>39</v>
      </c>
      <c r="E9" s="9" t="s">
        <v>40</v>
      </c>
      <c r="F9" s="9" t="s">
        <v>51</v>
      </c>
      <c r="G9" s="10" t="s">
        <v>42</v>
      </c>
    </row>
    <row r="10" spans="1:7" x14ac:dyDescent="0.2">
      <c r="A10" s="37"/>
      <c r="B10" s="9">
        <v>69</v>
      </c>
      <c r="C10" s="9" t="s">
        <v>696</v>
      </c>
      <c r="D10" s="9" t="s">
        <v>39</v>
      </c>
      <c r="E10" s="9" t="s">
        <v>40</v>
      </c>
      <c r="F10" s="9" t="s">
        <v>51</v>
      </c>
      <c r="G10" s="10" t="s">
        <v>42</v>
      </c>
    </row>
    <row r="11" spans="1:7" x14ac:dyDescent="0.2">
      <c r="A11" s="38"/>
      <c r="B11" s="9">
        <v>69</v>
      </c>
      <c r="C11" s="9" t="s">
        <v>697</v>
      </c>
      <c r="D11" s="9" t="s">
        <v>39</v>
      </c>
      <c r="E11" s="9" t="s">
        <v>40</v>
      </c>
      <c r="F11" s="9" t="s">
        <v>51</v>
      </c>
      <c r="G11" s="10" t="s">
        <v>42</v>
      </c>
    </row>
    <row r="12" spans="1:7" x14ac:dyDescent="0.2">
      <c r="A12" s="36" t="s">
        <v>22</v>
      </c>
      <c r="B12" s="9">
        <v>69</v>
      </c>
      <c r="C12" s="9" t="s">
        <v>698</v>
      </c>
      <c r="D12" s="9" t="s">
        <v>39</v>
      </c>
      <c r="E12" s="9" t="s">
        <v>46</v>
      </c>
      <c r="F12" s="9" t="s">
        <v>51</v>
      </c>
      <c r="G12" s="10" t="s">
        <v>42</v>
      </c>
    </row>
    <row r="13" spans="1:7" x14ac:dyDescent="0.2">
      <c r="A13" s="39"/>
      <c r="B13" s="9">
        <v>69</v>
      </c>
      <c r="C13" s="9" t="s">
        <v>699</v>
      </c>
      <c r="D13" s="9" t="s">
        <v>39</v>
      </c>
      <c r="E13" s="9" t="s">
        <v>46</v>
      </c>
      <c r="F13" s="9" t="s">
        <v>51</v>
      </c>
      <c r="G13" s="10" t="s">
        <v>42</v>
      </c>
    </row>
    <row r="14" spans="1:7" x14ac:dyDescent="0.2">
      <c r="A14" s="37"/>
      <c r="B14" s="9">
        <v>69</v>
      </c>
      <c r="C14" s="9" t="s">
        <v>700</v>
      </c>
      <c r="D14" s="9" t="s">
        <v>39</v>
      </c>
      <c r="E14" s="9" t="s">
        <v>46</v>
      </c>
      <c r="F14" s="9" t="s">
        <v>51</v>
      </c>
      <c r="G14" s="10" t="s">
        <v>42</v>
      </c>
    </row>
    <row r="15" spans="1:7" x14ac:dyDescent="0.2">
      <c r="A15" s="39"/>
      <c r="B15" s="9">
        <v>69</v>
      </c>
      <c r="C15" s="9" t="s">
        <v>701</v>
      </c>
      <c r="D15" s="9" t="s">
        <v>39</v>
      </c>
      <c r="E15" s="9" t="s">
        <v>46</v>
      </c>
      <c r="F15" s="9" t="s">
        <v>51</v>
      </c>
      <c r="G15" s="10" t="s">
        <v>42</v>
      </c>
    </row>
    <row r="16" spans="1:7" x14ac:dyDescent="0.2">
      <c r="A16" s="37"/>
      <c r="B16" s="9">
        <v>69</v>
      </c>
      <c r="C16" s="9" t="s">
        <v>702</v>
      </c>
      <c r="D16" s="9" t="s">
        <v>39</v>
      </c>
      <c r="E16" s="9" t="s">
        <v>46</v>
      </c>
      <c r="F16" s="9" t="s">
        <v>51</v>
      </c>
      <c r="G16" s="10" t="s">
        <v>42</v>
      </c>
    </row>
    <row r="17" spans="1:7" x14ac:dyDescent="0.2">
      <c r="A17" s="39"/>
      <c r="B17" s="9">
        <v>69</v>
      </c>
      <c r="C17" s="9" t="s">
        <v>703</v>
      </c>
      <c r="D17" s="9" t="s">
        <v>39</v>
      </c>
      <c r="E17" s="9" t="s">
        <v>46</v>
      </c>
      <c r="F17" s="9" t="s">
        <v>51</v>
      </c>
      <c r="G17" s="10" t="s">
        <v>42</v>
      </c>
    </row>
    <row r="18" spans="1:7" x14ac:dyDescent="0.2">
      <c r="A18" s="40"/>
      <c r="B18" s="9">
        <v>69</v>
      </c>
      <c r="C18" s="9" t="s">
        <v>704</v>
      </c>
      <c r="D18" s="9" t="s">
        <v>39</v>
      </c>
      <c r="E18" s="9" t="s">
        <v>46</v>
      </c>
      <c r="F18" s="9" t="s">
        <v>51</v>
      </c>
      <c r="G18" s="10" t="s">
        <v>42</v>
      </c>
    </row>
    <row r="19" spans="1:7" x14ac:dyDescent="0.2">
      <c r="A19" s="36" t="s">
        <v>23</v>
      </c>
      <c r="B19" s="9">
        <v>69</v>
      </c>
      <c r="C19" s="9" t="s">
        <v>704</v>
      </c>
      <c r="D19" s="9" t="s">
        <v>39</v>
      </c>
      <c r="E19" s="9" t="s">
        <v>40</v>
      </c>
      <c r="F19" s="9" t="s">
        <v>51</v>
      </c>
      <c r="G19" s="10" t="s">
        <v>42</v>
      </c>
    </row>
    <row r="20" spans="1:7" x14ac:dyDescent="0.2">
      <c r="A20" s="37"/>
      <c r="B20" s="9">
        <v>69</v>
      </c>
      <c r="C20" s="9" t="s">
        <v>705</v>
      </c>
      <c r="D20" s="9" t="s">
        <v>39</v>
      </c>
      <c r="E20" s="9" t="s">
        <v>40</v>
      </c>
      <c r="F20" s="9" t="s">
        <v>51</v>
      </c>
      <c r="G20" s="10" t="s">
        <v>42</v>
      </c>
    </row>
    <row r="21" spans="1:7" x14ac:dyDescent="0.2">
      <c r="A21" s="39"/>
      <c r="B21" s="9">
        <v>69</v>
      </c>
      <c r="C21" s="9" t="s">
        <v>706</v>
      </c>
      <c r="D21" s="9" t="s">
        <v>39</v>
      </c>
      <c r="E21" s="9" t="s">
        <v>40</v>
      </c>
      <c r="F21" s="9" t="s">
        <v>51</v>
      </c>
      <c r="G21" s="10" t="s">
        <v>42</v>
      </c>
    </row>
    <row r="22" spans="1:7" x14ac:dyDescent="0.2">
      <c r="A22" s="37"/>
      <c r="B22" s="9">
        <v>69</v>
      </c>
      <c r="C22" s="9" t="s">
        <v>707</v>
      </c>
      <c r="D22" s="9" t="s">
        <v>39</v>
      </c>
      <c r="E22" s="9" t="s">
        <v>40</v>
      </c>
      <c r="F22" s="9" t="s">
        <v>51</v>
      </c>
      <c r="G22" s="10" t="s">
        <v>42</v>
      </c>
    </row>
    <row r="23" spans="1:7" x14ac:dyDescent="0.2">
      <c r="A23" s="39"/>
      <c r="B23" s="9">
        <v>69</v>
      </c>
      <c r="C23" s="9" t="s">
        <v>708</v>
      </c>
      <c r="D23" s="9" t="s">
        <v>39</v>
      </c>
      <c r="E23" s="9" t="s">
        <v>40</v>
      </c>
      <c r="F23" s="9" t="s">
        <v>51</v>
      </c>
      <c r="G23" s="10" t="s">
        <v>42</v>
      </c>
    </row>
    <row r="24" spans="1:7" x14ac:dyDescent="0.2">
      <c r="A24" s="37"/>
      <c r="B24" s="9">
        <v>69</v>
      </c>
      <c r="C24" s="9" t="s">
        <v>709</v>
      </c>
      <c r="D24" s="9" t="s">
        <v>39</v>
      </c>
      <c r="E24" s="9" t="s">
        <v>40</v>
      </c>
      <c r="F24" s="9" t="s">
        <v>51</v>
      </c>
      <c r="G24" s="10" t="s">
        <v>42</v>
      </c>
    </row>
    <row r="25" spans="1:7" x14ac:dyDescent="0.2">
      <c r="A25" s="39"/>
      <c r="B25" s="9">
        <v>69</v>
      </c>
      <c r="C25" s="9" t="s">
        <v>710</v>
      </c>
      <c r="D25" s="9" t="s">
        <v>39</v>
      </c>
      <c r="E25" s="9" t="s">
        <v>40</v>
      </c>
      <c r="F25" s="9" t="s">
        <v>51</v>
      </c>
      <c r="G25" s="10" t="s">
        <v>42</v>
      </c>
    </row>
    <row r="26" spans="1:7" x14ac:dyDescent="0.2">
      <c r="A26" s="37"/>
      <c r="B26" s="9">
        <v>69</v>
      </c>
      <c r="C26" s="9" t="s">
        <v>711</v>
      </c>
      <c r="D26" s="9" t="s">
        <v>39</v>
      </c>
      <c r="E26" s="9" t="s">
        <v>40</v>
      </c>
      <c r="F26" s="9" t="s">
        <v>51</v>
      </c>
      <c r="G26" s="10" t="s">
        <v>42</v>
      </c>
    </row>
    <row r="27" spans="1:7" x14ac:dyDescent="0.2">
      <c r="A27" s="39"/>
      <c r="B27" s="9">
        <v>69</v>
      </c>
      <c r="C27" s="9" t="s">
        <v>712</v>
      </c>
      <c r="D27" s="9" t="s">
        <v>39</v>
      </c>
      <c r="E27" s="9" t="s">
        <v>40</v>
      </c>
      <c r="F27" s="9" t="s">
        <v>51</v>
      </c>
      <c r="G27" s="10" t="s">
        <v>42</v>
      </c>
    </row>
    <row r="28" spans="1:7" x14ac:dyDescent="0.2">
      <c r="A28" s="40"/>
      <c r="B28" s="9">
        <v>69</v>
      </c>
      <c r="C28" s="9" t="s">
        <v>713</v>
      </c>
      <c r="D28" s="9" t="s">
        <v>39</v>
      </c>
      <c r="E28" s="9" t="s">
        <v>40</v>
      </c>
      <c r="F28" s="9" t="s">
        <v>51</v>
      </c>
      <c r="G28" s="10" t="s">
        <v>42</v>
      </c>
    </row>
    <row r="29" spans="1:7" x14ac:dyDescent="0.2">
      <c r="A29" s="36" t="s">
        <v>24</v>
      </c>
      <c r="B29" s="9">
        <v>69</v>
      </c>
      <c r="C29" s="9" t="s">
        <v>713</v>
      </c>
      <c r="D29" s="9" t="s">
        <v>39</v>
      </c>
      <c r="E29" s="9" t="s">
        <v>46</v>
      </c>
      <c r="F29" s="9" t="s">
        <v>41</v>
      </c>
      <c r="G29" s="10" t="s">
        <v>42</v>
      </c>
    </row>
    <row r="30" spans="1:7" x14ac:dyDescent="0.2">
      <c r="A30" s="37"/>
      <c r="B30" s="9">
        <v>69</v>
      </c>
      <c r="C30" s="9" t="s">
        <v>714</v>
      </c>
      <c r="D30" s="9" t="s">
        <v>39</v>
      </c>
      <c r="E30" s="9" t="s">
        <v>46</v>
      </c>
      <c r="F30" s="9" t="s">
        <v>51</v>
      </c>
      <c r="G30" s="10" t="s">
        <v>42</v>
      </c>
    </row>
    <row r="31" spans="1:7" x14ac:dyDescent="0.2">
      <c r="A31" s="39"/>
      <c r="B31" s="9">
        <v>69</v>
      </c>
      <c r="C31" s="9" t="s">
        <v>711</v>
      </c>
      <c r="D31" s="9" t="s">
        <v>39</v>
      </c>
      <c r="E31" s="9" t="s">
        <v>46</v>
      </c>
      <c r="F31" s="9" t="s">
        <v>51</v>
      </c>
      <c r="G31" s="10" t="s">
        <v>42</v>
      </c>
    </row>
    <row r="32" spans="1:7" x14ac:dyDescent="0.2">
      <c r="A32" s="37"/>
      <c r="B32" s="9">
        <v>69</v>
      </c>
      <c r="C32" s="9" t="s">
        <v>715</v>
      </c>
      <c r="D32" s="9" t="s">
        <v>39</v>
      </c>
      <c r="E32" s="9" t="s">
        <v>46</v>
      </c>
      <c r="F32" s="9" t="s">
        <v>51</v>
      </c>
      <c r="G32" s="10" t="s">
        <v>42</v>
      </c>
    </row>
    <row r="33" spans="1:7" x14ac:dyDescent="0.2">
      <c r="A33" s="39"/>
      <c r="B33" s="9">
        <v>69</v>
      </c>
      <c r="C33" s="9" t="s">
        <v>710</v>
      </c>
      <c r="D33" s="9" t="s">
        <v>39</v>
      </c>
      <c r="E33" s="9" t="s">
        <v>46</v>
      </c>
      <c r="F33" s="9" t="s">
        <v>51</v>
      </c>
      <c r="G33" s="10" t="s">
        <v>42</v>
      </c>
    </row>
    <row r="34" spans="1:7" x14ac:dyDescent="0.2">
      <c r="A34" s="37"/>
      <c r="B34" s="9">
        <v>69</v>
      </c>
      <c r="C34" s="9" t="s">
        <v>716</v>
      </c>
      <c r="D34" s="9" t="s">
        <v>39</v>
      </c>
      <c r="E34" s="9" t="s">
        <v>46</v>
      </c>
      <c r="F34" s="9" t="s">
        <v>51</v>
      </c>
      <c r="G34" s="10" t="s">
        <v>42</v>
      </c>
    </row>
    <row r="35" spans="1:7" x14ac:dyDescent="0.2">
      <c r="A35" s="39"/>
      <c r="B35" s="9">
        <v>69</v>
      </c>
      <c r="C35" s="9" t="s">
        <v>717</v>
      </c>
      <c r="D35" s="9" t="s">
        <v>39</v>
      </c>
      <c r="E35" s="9" t="s">
        <v>46</v>
      </c>
      <c r="F35" s="9" t="s">
        <v>51</v>
      </c>
      <c r="G35" s="10" t="s">
        <v>42</v>
      </c>
    </row>
    <row r="36" spans="1:7" x14ac:dyDescent="0.2">
      <c r="A36" s="37"/>
      <c r="B36" s="9">
        <v>69</v>
      </c>
      <c r="C36" s="9" t="s">
        <v>394</v>
      </c>
      <c r="D36" s="9" t="s">
        <v>39</v>
      </c>
      <c r="E36" s="9" t="s">
        <v>46</v>
      </c>
      <c r="F36" s="9" t="s">
        <v>51</v>
      </c>
      <c r="G36" s="10" t="s">
        <v>42</v>
      </c>
    </row>
    <row r="37" spans="1:7" ht="12.75" x14ac:dyDescent="0.2">
      <c r="A37" s="39"/>
      <c r="B37" s="9">
        <v>69</v>
      </c>
      <c r="C37" s="9" t="s">
        <v>718</v>
      </c>
      <c r="D37" s="9" t="s">
        <v>39</v>
      </c>
      <c r="E37" s="9" t="s">
        <v>46</v>
      </c>
      <c r="F37" s="9" t="s">
        <v>51</v>
      </c>
      <c r="G37" s="10" t="s">
        <v>42</v>
      </c>
    </row>
    <row r="38" spans="1:7" ht="12.75" x14ac:dyDescent="0.2">
      <c r="A38" s="37"/>
      <c r="B38" s="9">
        <v>69</v>
      </c>
      <c r="C38" s="9" t="s">
        <v>706</v>
      </c>
      <c r="D38" s="9" t="s">
        <v>39</v>
      </c>
      <c r="E38" s="9" t="s">
        <v>46</v>
      </c>
      <c r="F38" s="9" t="s">
        <v>51</v>
      </c>
      <c r="G38" s="10" t="s">
        <v>42</v>
      </c>
    </row>
    <row r="39" spans="1:7" ht="12.75" x14ac:dyDescent="0.2">
      <c r="A39" s="39"/>
      <c r="B39" s="9">
        <v>69</v>
      </c>
      <c r="C39" s="9" t="s">
        <v>719</v>
      </c>
      <c r="D39" s="9" t="s">
        <v>39</v>
      </c>
      <c r="E39" s="9" t="s">
        <v>46</v>
      </c>
      <c r="F39" s="9" t="s">
        <v>51</v>
      </c>
      <c r="G39" s="10" t="s">
        <v>42</v>
      </c>
    </row>
    <row r="40" spans="1:7" ht="12.75" x14ac:dyDescent="0.2">
      <c r="A40" s="37"/>
      <c r="B40" s="9">
        <v>69</v>
      </c>
      <c r="C40" s="9" t="s">
        <v>704</v>
      </c>
      <c r="D40" s="9" t="s">
        <v>39</v>
      </c>
      <c r="E40" s="9" t="s">
        <v>46</v>
      </c>
      <c r="F40" s="9" t="s">
        <v>51</v>
      </c>
      <c r="G40" s="10" t="s">
        <v>42</v>
      </c>
    </row>
    <row r="41" spans="1:7" ht="12.75" x14ac:dyDescent="0.2">
      <c r="A41" s="38"/>
      <c r="B41" s="9">
        <v>69</v>
      </c>
      <c r="C41" s="9" t="s">
        <v>720</v>
      </c>
      <c r="D41" s="9" t="s">
        <v>39</v>
      </c>
      <c r="E41" s="9" t="s">
        <v>46</v>
      </c>
      <c r="F41" s="9" t="s">
        <v>47</v>
      </c>
      <c r="G41" s="10" t="s">
        <v>42</v>
      </c>
    </row>
    <row r="42" spans="1:7" ht="12.75" x14ac:dyDescent="0.2">
      <c r="A42" s="36" t="s">
        <v>25</v>
      </c>
      <c r="B42" s="9">
        <v>69</v>
      </c>
      <c r="C42" s="9" t="s">
        <v>713</v>
      </c>
      <c r="D42" s="9" t="s">
        <v>39</v>
      </c>
      <c r="E42" s="9" t="s">
        <v>46</v>
      </c>
      <c r="F42" s="9" t="s">
        <v>41</v>
      </c>
      <c r="G42" s="10" t="s">
        <v>42</v>
      </c>
    </row>
    <row r="43" spans="1:7" ht="12.75" x14ac:dyDescent="0.2">
      <c r="A43" s="39"/>
      <c r="B43" s="9">
        <v>69</v>
      </c>
      <c r="C43" s="9" t="s">
        <v>714</v>
      </c>
      <c r="D43" s="9" t="s">
        <v>39</v>
      </c>
      <c r="E43" s="9" t="s">
        <v>46</v>
      </c>
      <c r="F43" s="9" t="s">
        <v>51</v>
      </c>
      <c r="G43" s="10" t="s">
        <v>42</v>
      </c>
    </row>
    <row r="44" spans="1:7" ht="12.75" x14ac:dyDescent="0.2">
      <c r="A44" s="37"/>
      <c r="B44" s="9">
        <v>69</v>
      </c>
      <c r="C44" s="9" t="s">
        <v>711</v>
      </c>
      <c r="D44" s="9" t="s">
        <v>39</v>
      </c>
      <c r="E44" s="9" t="s">
        <v>46</v>
      </c>
      <c r="F44" s="9" t="s">
        <v>51</v>
      </c>
      <c r="G44" s="10" t="s">
        <v>42</v>
      </c>
    </row>
    <row r="45" spans="1:7" ht="12.75" x14ac:dyDescent="0.2">
      <c r="A45" s="39"/>
      <c r="B45" s="9">
        <v>69</v>
      </c>
      <c r="C45" s="9" t="s">
        <v>715</v>
      </c>
      <c r="D45" s="9" t="s">
        <v>39</v>
      </c>
      <c r="E45" s="9" t="s">
        <v>46</v>
      </c>
      <c r="F45" s="9" t="s">
        <v>51</v>
      </c>
      <c r="G45" s="10" t="s">
        <v>42</v>
      </c>
    </row>
    <row r="46" spans="1:7" ht="12.75" x14ac:dyDescent="0.2">
      <c r="A46" s="37"/>
      <c r="B46" s="9">
        <v>69</v>
      </c>
      <c r="C46" s="9" t="s">
        <v>710</v>
      </c>
      <c r="D46" s="9" t="s">
        <v>39</v>
      </c>
      <c r="E46" s="9" t="s">
        <v>46</v>
      </c>
      <c r="F46" s="9" t="s">
        <v>51</v>
      </c>
      <c r="G46" s="10" t="s">
        <v>42</v>
      </c>
    </row>
    <row r="47" spans="1:7" ht="12.75" x14ac:dyDescent="0.2">
      <c r="A47" s="39"/>
      <c r="B47" s="9">
        <v>69</v>
      </c>
      <c r="C47" s="9" t="s">
        <v>716</v>
      </c>
      <c r="D47" s="9" t="s">
        <v>39</v>
      </c>
      <c r="E47" s="9" t="s">
        <v>46</v>
      </c>
      <c r="F47" s="9" t="s">
        <v>51</v>
      </c>
      <c r="G47" s="10" t="s">
        <v>42</v>
      </c>
    </row>
    <row r="48" spans="1:7" ht="12.75" x14ac:dyDescent="0.2">
      <c r="A48" s="37"/>
      <c r="B48" s="9">
        <v>69</v>
      </c>
      <c r="C48" s="9" t="s">
        <v>717</v>
      </c>
      <c r="D48" s="9" t="s">
        <v>39</v>
      </c>
      <c r="E48" s="9" t="s">
        <v>46</v>
      </c>
      <c r="F48" s="9" t="s">
        <v>51</v>
      </c>
      <c r="G48" s="10" t="s">
        <v>42</v>
      </c>
    </row>
    <row r="49" spans="1:7" ht="12.75" x14ac:dyDescent="0.2">
      <c r="A49" s="39"/>
      <c r="B49" s="9">
        <v>69</v>
      </c>
      <c r="C49" s="9" t="s">
        <v>394</v>
      </c>
      <c r="D49" s="9" t="s">
        <v>39</v>
      </c>
      <c r="E49" s="9" t="s">
        <v>46</v>
      </c>
      <c r="F49" s="9" t="s">
        <v>51</v>
      </c>
      <c r="G49" s="10" t="s">
        <v>42</v>
      </c>
    </row>
    <row r="50" spans="1:7" ht="12.75" x14ac:dyDescent="0.2">
      <c r="A50" s="37"/>
      <c r="B50" s="9">
        <v>69</v>
      </c>
      <c r="C50" s="9" t="s">
        <v>718</v>
      </c>
      <c r="D50" s="9" t="s">
        <v>39</v>
      </c>
      <c r="E50" s="9" t="s">
        <v>46</v>
      </c>
      <c r="F50" s="9" t="s">
        <v>51</v>
      </c>
      <c r="G50" s="10" t="s">
        <v>42</v>
      </c>
    </row>
    <row r="51" spans="1:7" ht="12.75" x14ac:dyDescent="0.2">
      <c r="A51" s="39"/>
      <c r="B51" s="9">
        <v>69</v>
      </c>
      <c r="C51" s="9" t="s">
        <v>706</v>
      </c>
      <c r="D51" s="9" t="s">
        <v>39</v>
      </c>
      <c r="E51" s="9" t="s">
        <v>46</v>
      </c>
      <c r="F51" s="9" t="s">
        <v>51</v>
      </c>
      <c r="G51" s="10" t="s">
        <v>42</v>
      </c>
    </row>
    <row r="52" spans="1:7" ht="12.75" x14ac:dyDescent="0.2">
      <c r="A52" s="37"/>
      <c r="B52" s="9">
        <v>69</v>
      </c>
      <c r="C52" s="9" t="s">
        <v>719</v>
      </c>
      <c r="D52" s="9" t="s">
        <v>39</v>
      </c>
      <c r="E52" s="9" t="s">
        <v>46</v>
      </c>
      <c r="F52" s="9" t="s">
        <v>51</v>
      </c>
      <c r="G52" s="10" t="s">
        <v>42</v>
      </c>
    </row>
    <row r="53" spans="1:7" ht="12.75" x14ac:dyDescent="0.2">
      <c r="A53" s="39"/>
      <c r="B53" s="9">
        <v>69</v>
      </c>
      <c r="C53" s="9" t="s">
        <v>704</v>
      </c>
      <c r="D53" s="9" t="s">
        <v>39</v>
      </c>
      <c r="E53" s="9" t="s">
        <v>46</v>
      </c>
      <c r="F53" s="9" t="s">
        <v>51</v>
      </c>
      <c r="G53" s="10" t="s">
        <v>42</v>
      </c>
    </row>
    <row r="54" spans="1:7" ht="12.75" x14ac:dyDescent="0.2">
      <c r="A54" s="40"/>
      <c r="B54" s="9">
        <v>69</v>
      </c>
      <c r="C54" s="9" t="s">
        <v>720</v>
      </c>
      <c r="D54" s="9" t="s">
        <v>39</v>
      </c>
      <c r="E54" s="9" t="s">
        <v>46</v>
      </c>
      <c r="F54" s="9" t="s">
        <v>47</v>
      </c>
      <c r="G54" s="10" t="s">
        <v>42</v>
      </c>
    </row>
    <row r="55" spans="1:7" ht="12.75" x14ac:dyDescent="0.2">
      <c r="A55" s="36" t="s">
        <v>26</v>
      </c>
      <c r="B55" s="9">
        <v>69</v>
      </c>
      <c r="C55" s="9" t="s">
        <v>713</v>
      </c>
      <c r="D55" s="9" t="s">
        <v>39</v>
      </c>
      <c r="E55" s="9" t="s">
        <v>46</v>
      </c>
      <c r="F55" s="9" t="s">
        <v>51</v>
      </c>
      <c r="G55" s="10" t="s">
        <v>42</v>
      </c>
    </row>
    <row r="56" spans="1:7" ht="12.75" x14ac:dyDescent="0.2">
      <c r="A56" s="37"/>
      <c r="B56" s="9">
        <v>69</v>
      </c>
      <c r="C56" s="9" t="s">
        <v>712</v>
      </c>
      <c r="D56" s="9" t="s">
        <v>39</v>
      </c>
      <c r="E56" s="9" t="s">
        <v>46</v>
      </c>
      <c r="F56" s="9" t="s">
        <v>51</v>
      </c>
      <c r="G56" s="10" t="s">
        <v>42</v>
      </c>
    </row>
    <row r="57" spans="1:7" ht="12.75" x14ac:dyDescent="0.2">
      <c r="A57" s="39"/>
      <c r="B57" s="9">
        <v>69</v>
      </c>
      <c r="C57" s="9" t="s">
        <v>711</v>
      </c>
      <c r="D57" s="9" t="s">
        <v>39</v>
      </c>
      <c r="E57" s="9" t="s">
        <v>46</v>
      </c>
      <c r="F57" s="9" t="s">
        <v>51</v>
      </c>
      <c r="G57" s="10" t="s">
        <v>42</v>
      </c>
    </row>
    <row r="58" spans="1:7" ht="12.75" x14ac:dyDescent="0.2">
      <c r="A58" s="37"/>
      <c r="B58" s="9">
        <v>69</v>
      </c>
      <c r="C58" s="9" t="s">
        <v>715</v>
      </c>
      <c r="D58" s="9" t="s">
        <v>39</v>
      </c>
      <c r="E58" s="9" t="s">
        <v>46</v>
      </c>
      <c r="F58" s="9" t="s">
        <v>51</v>
      </c>
      <c r="G58" s="10" t="s">
        <v>42</v>
      </c>
    </row>
    <row r="59" spans="1:7" ht="12.75" x14ac:dyDescent="0.2">
      <c r="A59" s="39"/>
      <c r="B59" s="9">
        <v>69</v>
      </c>
      <c r="C59" s="9" t="s">
        <v>710</v>
      </c>
      <c r="D59" s="9" t="s">
        <v>39</v>
      </c>
      <c r="E59" s="9" t="s">
        <v>46</v>
      </c>
      <c r="F59" s="9" t="s">
        <v>47</v>
      </c>
      <c r="G59" s="10" t="s">
        <v>42</v>
      </c>
    </row>
    <row r="60" spans="1:7" ht="12.75" x14ac:dyDescent="0.2">
      <c r="A60" s="37"/>
      <c r="B60" s="9">
        <v>69</v>
      </c>
      <c r="C60" s="9" t="s">
        <v>721</v>
      </c>
      <c r="D60" s="9" t="s">
        <v>39</v>
      </c>
      <c r="E60" s="9" t="s">
        <v>46</v>
      </c>
      <c r="F60" s="9" t="s">
        <v>51</v>
      </c>
      <c r="G60" s="10" t="s">
        <v>42</v>
      </c>
    </row>
    <row r="61" spans="1:7" ht="12.75" x14ac:dyDescent="0.2">
      <c r="A61" s="39"/>
      <c r="B61" s="9">
        <v>69</v>
      </c>
      <c r="C61" s="9" t="s">
        <v>722</v>
      </c>
      <c r="D61" s="9" t="s">
        <v>39</v>
      </c>
      <c r="E61" s="9" t="s">
        <v>46</v>
      </c>
      <c r="F61" s="9" t="s">
        <v>51</v>
      </c>
      <c r="G61" s="10" t="s">
        <v>42</v>
      </c>
    </row>
    <row r="62" spans="1:7" ht="12.75" x14ac:dyDescent="0.2">
      <c r="A62" s="37"/>
      <c r="B62" s="9">
        <v>69</v>
      </c>
      <c r="C62" s="9" t="s">
        <v>723</v>
      </c>
      <c r="D62" s="9" t="s">
        <v>39</v>
      </c>
      <c r="E62" s="9" t="s">
        <v>46</v>
      </c>
      <c r="F62" s="9" t="s">
        <v>51</v>
      </c>
      <c r="G62" s="10" t="s">
        <v>42</v>
      </c>
    </row>
    <row r="63" spans="1:7" ht="12.75" x14ac:dyDescent="0.2">
      <c r="A63" s="39"/>
      <c r="B63" s="9">
        <v>69</v>
      </c>
      <c r="C63" s="9" t="s">
        <v>724</v>
      </c>
      <c r="D63" s="9" t="s">
        <v>39</v>
      </c>
      <c r="E63" s="9" t="s">
        <v>46</v>
      </c>
      <c r="F63" s="9" t="s">
        <v>51</v>
      </c>
      <c r="G63" s="10" t="s">
        <v>42</v>
      </c>
    </row>
    <row r="64" spans="1:7" ht="12.75" x14ac:dyDescent="0.2">
      <c r="A64" s="40"/>
      <c r="B64" s="9">
        <v>69</v>
      </c>
      <c r="C64" s="9" t="s">
        <v>704</v>
      </c>
      <c r="D64" s="9" t="s">
        <v>39</v>
      </c>
      <c r="E64" s="9" t="s">
        <v>46</v>
      </c>
      <c r="F64" s="9" t="s">
        <v>51</v>
      </c>
      <c r="G64" s="10" t="s">
        <v>42</v>
      </c>
    </row>
    <row r="65" spans="1:7" ht="12.75" x14ac:dyDescent="0.2">
      <c r="A65" s="36" t="s">
        <v>27</v>
      </c>
      <c r="B65" s="9">
        <v>69</v>
      </c>
      <c r="C65" s="9" t="s">
        <v>712</v>
      </c>
      <c r="D65" s="9" t="s">
        <v>39</v>
      </c>
      <c r="E65" s="9" t="s">
        <v>46</v>
      </c>
      <c r="F65" s="9" t="s">
        <v>51</v>
      </c>
      <c r="G65" s="10" t="s">
        <v>42</v>
      </c>
    </row>
    <row r="66" spans="1:7" ht="12.75" x14ac:dyDescent="0.2">
      <c r="A66" s="37"/>
      <c r="B66" s="9">
        <v>69</v>
      </c>
      <c r="C66" s="9" t="s">
        <v>725</v>
      </c>
      <c r="D66" s="9" t="s">
        <v>39</v>
      </c>
      <c r="E66" s="9" t="s">
        <v>46</v>
      </c>
      <c r="F66" s="9" t="s">
        <v>51</v>
      </c>
      <c r="G66" s="10" t="s">
        <v>42</v>
      </c>
    </row>
    <row r="67" spans="1:7" ht="12.75" x14ac:dyDescent="0.2">
      <c r="A67" s="39"/>
      <c r="B67" s="9">
        <v>69</v>
      </c>
      <c r="C67" s="9" t="s">
        <v>711</v>
      </c>
      <c r="D67" s="9" t="s">
        <v>39</v>
      </c>
      <c r="E67" s="9" t="s">
        <v>46</v>
      </c>
      <c r="F67" s="9" t="s">
        <v>51</v>
      </c>
      <c r="G67" s="10" t="s">
        <v>42</v>
      </c>
    </row>
    <row r="68" spans="1:7" ht="12.75" x14ac:dyDescent="0.2">
      <c r="A68" s="37"/>
      <c r="B68" s="9">
        <v>69</v>
      </c>
      <c r="C68" s="9" t="s">
        <v>726</v>
      </c>
      <c r="D68" s="9" t="s">
        <v>39</v>
      </c>
      <c r="E68" s="9" t="s">
        <v>46</v>
      </c>
      <c r="F68" s="9" t="s">
        <v>51</v>
      </c>
      <c r="G68" s="10" t="s">
        <v>42</v>
      </c>
    </row>
    <row r="69" spans="1:7" ht="12.75" x14ac:dyDescent="0.2">
      <c r="A69" s="39"/>
      <c r="B69" s="9">
        <v>69</v>
      </c>
      <c r="C69" s="9" t="s">
        <v>710</v>
      </c>
      <c r="D69" s="9" t="s">
        <v>39</v>
      </c>
      <c r="E69" s="9" t="s">
        <v>46</v>
      </c>
      <c r="F69" s="9" t="s">
        <v>51</v>
      </c>
      <c r="G69" s="10" t="s">
        <v>42</v>
      </c>
    </row>
    <row r="70" spans="1:7" ht="12.75" x14ac:dyDescent="0.2">
      <c r="A70" s="37"/>
      <c r="B70" s="9">
        <v>69</v>
      </c>
      <c r="C70" s="9" t="s">
        <v>727</v>
      </c>
      <c r="D70" s="9" t="s">
        <v>39</v>
      </c>
      <c r="E70" s="9" t="s">
        <v>46</v>
      </c>
      <c r="F70" s="9" t="s">
        <v>51</v>
      </c>
      <c r="G70" s="10" t="s">
        <v>42</v>
      </c>
    </row>
    <row r="71" spans="1:7" ht="12.75" x14ac:dyDescent="0.2">
      <c r="A71" s="39"/>
      <c r="B71" s="9">
        <v>69</v>
      </c>
      <c r="C71" s="9" t="s">
        <v>728</v>
      </c>
      <c r="D71" s="9" t="s">
        <v>39</v>
      </c>
      <c r="E71" s="9" t="s">
        <v>46</v>
      </c>
      <c r="F71" s="9" t="s">
        <v>51</v>
      </c>
      <c r="G71" s="10" t="s">
        <v>42</v>
      </c>
    </row>
    <row r="72" spans="1:7" ht="12.75" x14ac:dyDescent="0.2">
      <c r="A72" s="37"/>
      <c r="B72" s="9">
        <v>69</v>
      </c>
      <c r="C72" s="9" t="s">
        <v>729</v>
      </c>
      <c r="D72" s="9" t="s">
        <v>39</v>
      </c>
      <c r="E72" s="9" t="s">
        <v>46</v>
      </c>
      <c r="F72" s="9" t="s">
        <v>51</v>
      </c>
      <c r="G72" s="10" t="s">
        <v>42</v>
      </c>
    </row>
    <row r="73" spans="1:7" ht="12.75" x14ac:dyDescent="0.2">
      <c r="A73" s="39"/>
      <c r="B73" s="9">
        <v>69</v>
      </c>
      <c r="C73" s="9" t="s">
        <v>723</v>
      </c>
      <c r="D73" s="9" t="s">
        <v>39</v>
      </c>
      <c r="E73" s="9" t="s">
        <v>46</v>
      </c>
      <c r="F73" s="9" t="s">
        <v>51</v>
      </c>
      <c r="G73" s="10" t="s">
        <v>42</v>
      </c>
    </row>
    <row r="74" spans="1:7" ht="12.75" x14ac:dyDescent="0.2">
      <c r="A74" s="37"/>
      <c r="B74" s="9">
        <v>69</v>
      </c>
      <c r="C74" s="9" t="s">
        <v>730</v>
      </c>
      <c r="D74" s="9" t="s">
        <v>39</v>
      </c>
      <c r="E74" s="9" t="s">
        <v>46</v>
      </c>
      <c r="F74" s="9" t="s">
        <v>51</v>
      </c>
      <c r="G74" s="10" t="s">
        <v>42</v>
      </c>
    </row>
    <row r="75" spans="1:7" ht="12.75" x14ac:dyDescent="0.2">
      <c r="A75" s="39"/>
      <c r="B75" s="9">
        <v>69</v>
      </c>
      <c r="C75" s="9" t="s">
        <v>724</v>
      </c>
      <c r="D75" s="9" t="s">
        <v>39</v>
      </c>
      <c r="E75" s="9" t="s">
        <v>46</v>
      </c>
      <c r="F75" s="9" t="s">
        <v>51</v>
      </c>
      <c r="G75" s="10" t="s">
        <v>42</v>
      </c>
    </row>
    <row r="76" spans="1:7" ht="12.75" x14ac:dyDescent="0.2">
      <c r="A76" s="40"/>
      <c r="B76" s="9">
        <v>69</v>
      </c>
      <c r="C76" s="9" t="s">
        <v>704</v>
      </c>
      <c r="D76" s="9" t="s">
        <v>39</v>
      </c>
      <c r="E76" s="9" t="s">
        <v>46</v>
      </c>
      <c r="F76" s="9" t="s">
        <v>51</v>
      </c>
      <c r="G76" s="10" t="s">
        <v>42</v>
      </c>
    </row>
    <row r="77" spans="1:7" ht="12.75" x14ac:dyDescent="0.2">
      <c r="A77" s="36" t="s">
        <v>28</v>
      </c>
      <c r="B77" s="9">
        <v>69</v>
      </c>
      <c r="C77" s="9" t="s">
        <v>642</v>
      </c>
      <c r="D77" s="9" t="s">
        <v>39</v>
      </c>
      <c r="E77" s="9" t="s">
        <v>46</v>
      </c>
      <c r="F77" s="9" t="s">
        <v>51</v>
      </c>
      <c r="G77" s="10" t="s">
        <v>42</v>
      </c>
    </row>
    <row r="78" spans="1:7" ht="12.75" x14ac:dyDescent="0.2">
      <c r="A78" s="37"/>
      <c r="B78" s="9">
        <v>69</v>
      </c>
      <c r="C78" s="9" t="s">
        <v>712</v>
      </c>
      <c r="D78" s="9" t="s">
        <v>39</v>
      </c>
      <c r="E78" s="9" t="s">
        <v>46</v>
      </c>
      <c r="F78" s="9" t="s">
        <v>51</v>
      </c>
      <c r="G78" s="10" t="s">
        <v>42</v>
      </c>
    </row>
    <row r="79" spans="1:7" ht="12.75" x14ac:dyDescent="0.2">
      <c r="A79" s="39"/>
      <c r="B79" s="9">
        <v>69</v>
      </c>
      <c r="C79" s="9" t="s">
        <v>711</v>
      </c>
      <c r="D79" s="9" t="s">
        <v>39</v>
      </c>
      <c r="E79" s="9" t="s">
        <v>46</v>
      </c>
      <c r="F79" s="9" t="s">
        <v>51</v>
      </c>
      <c r="G79" s="10" t="s">
        <v>42</v>
      </c>
    </row>
    <row r="80" spans="1:7" ht="12.75" x14ac:dyDescent="0.2">
      <c r="A80" s="37"/>
      <c r="B80" s="9">
        <v>69</v>
      </c>
      <c r="C80" s="9" t="s">
        <v>715</v>
      </c>
      <c r="D80" s="9" t="s">
        <v>39</v>
      </c>
      <c r="E80" s="9" t="s">
        <v>46</v>
      </c>
      <c r="F80" s="9" t="s">
        <v>51</v>
      </c>
      <c r="G80" s="10" t="s">
        <v>42</v>
      </c>
    </row>
    <row r="81" spans="1:7" ht="12.75" x14ac:dyDescent="0.2">
      <c r="A81" s="39"/>
      <c r="B81" s="9">
        <v>69</v>
      </c>
      <c r="C81" s="9" t="s">
        <v>731</v>
      </c>
      <c r="D81" s="9" t="s">
        <v>39</v>
      </c>
      <c r="E81" s="9" t="s">
        <v>46</v>
      </c>
      <c r="F81" s="9" t="s">
        <v>51</v>
      </c>
      <c r="G81" s="10" t="s">
        <v>42</v>
      </c>
    </row>
    <row r="82" spans="1:7" ht="12.75" x14ac:dyDescent="0.2">
      <c r="A82" s="37"/>
      <c r="B82" s="9">
        <v>69</v>
      </c>
      <c r="C82" s="9" t="s">
        <v>732</v>
      </c>
      <c r="D82" s="9" t="s">
        <v>39</v>
      </c>
      <c r="E82" s="9" t="s">
        <v>46</v>
      </c>
      <c r="F82" s="9" t="s">
        <v>51</v>
      </c>
      <c r="G82" s="10" t="s">
        <v>42</v>
      </c>
    </row>
    <row r="83" spans="1:7" ht="12.75" x14ac:dyDescent="0.2">
      <c r="A83" s="39"/>
      <c r="B83" s="9">
        <v>69</v>
      </c>
      <c r="C83" s="9" t="s">
        <v>733</v>
      </c>
      <c r="D83" s="9" t="s">
        <v>39</v>
      </c>
      <c r="E83" s="9" t="s">
        <v>46</v>
      </c>
      <c r="F83" s="9" t="s">
        <v>51</v>
      </c>
      <c r="G83" s="10" t="s">
        <v>42</v>
      </c>
    </row>
    <row r="84" spans="1:7" ht="12.75" x14ac:dyDescent="0.2">
      <c r="A84" s="37"/>
      <c r="B84" s="9">
        <v>69</v>
      </c>
      <c r="C84" s="9" t="s">
        <v>734</v>
      </c>
      <c r="D84" s="9" t="s">
        <v>39</v>
      </c>
      <c r="E84" s="9" t="s">
        <v>46</v>
      </c>
      <c r="F84" s="9" t="s">
        <v>51</v>
      </c>
      <c r="G84" s="10" t="s">
        <v>42</v>
      </c>
    </row>
    <row r="85" spans="1:7" ht="12.75" x14ac:dyDescent="0.2">
      <c r="A85" s="39"/>
      <c r="B85" s="9">
        <v>69</v>
      </c>
      <c r="C85" s="9" t="s">
        <v>723</v>
      </c>
      <c r="D85" s="9" t="s">
        <v>39</v>
      </c>
      <c r="E85" s="9" t="s">
        <v>46</v>
      </c>
      <c r="F85" s="9" t="s">
        <v>51</v>
      </c>
      <c r="G85" s="10" t="s">
        <v>42</v>
      </c>
    </row>
    <row r="86" spans="1:7" ht="12.75" x14ac:dyDescent="0.2">
      <c r="A86" s="37"/>
      <c r="B86" s="9">
        <v>69</v>
      </c>
      <c r="C86" s="9" t="s">
        <v>735</v>
      </c>
      <c r="D86" s="9" t="s">
        <v>39</v>
      </c>
      <c r="E86" s="9" t="s">
        <v>46</v>
      </c>
      <c r="F86" s="9" t="s">
        <v>51</v>
      </c>
      <c r="G86" s="10" t="s">
        <v>42</v>
      </c>
    </row>
    <row r="87" spans="1:7" ht="12.75" x14ac:dyDescent="0.2">
      <c r="A87" s="39"/>
      <c r="B87" s="9">
        <v>69</v>
      </c>
      <c r="C87" s="9" t="s">
        <v>724</v>
      </c>
      <c r="D87" s="9" t="s">
        <v>39</v>
      </c>
      <c r="E87" s="9" t="s">
        <v>46</v>
      </c>
      <c r="F87" s="9" t="s">
        <v>51</v>
      </c>
      <c r="G87" s="10" t="s">
        <v>42</v>
      </c>
    </row>
    <row r="88" spans="1:7" ht="12.75" x14ac:dyDescent="0.2">
      <c r="A88" s="40"/>
      <c r="B88" s="9">
        <v>69</v>
      </c>
      <c r="C88" s="9" t="s">
        <v>704</v>
      </c>
      <c r="D88" s="9" t="s">
        <v>39</v>
      </c>
      <c r="E88" s="9" t="s">
        <v>46</v>
      </c>
      <c r="F88" s="9" t="s">
        <v>51</v>
      </c>
      <c r="G88" s="10" t="s">
        <v>42</v>
      </c>
    </row>
    <row r="89" spans="1:7" ht="12.75" x14ac:dyDescent="0.2">
      <c r="A89" s="36" t="s">
        <v>29</v>
      </c>
      <c r="B89" s="9">
        <v>69</v>
      </c>
      <c r="C89" s="9" t="s">
        <v>704</v>
      </c>
      <c r="D89" s="9" t="s">
        <v>39</v>
      </c>
      <c r="E89" s="9" t="s">
        <v>46</v>
      </c>
      <c r="F89" s="9" t="s">
        <v>51</v>
      </c>
      <c r="G89" s="10" t="s">
        <v>42</v>
      </c>
    </row>
    <row r="90" spans="1:7" ht="12.75" x14ac:dyDescent="0.2">
      <c r="A90" s="37"/>
      <c r="B90" s="9">
        <v>69</v>
      </c>
      <c r="C90" s="9" t="s">
        <v>642</v>
      </c>
      <c r="D90" s="9" t="s">
        <v>39</v>
      </c>
      <c r="E90" s="9" t="s">
        <v>46</v>
      </c>
      <c r="F90" s="9" t="s">
        <v>51</v>
      </c>
      <c r="G90" s="10" t="s">
        <v>42</v>
      </c>
    </row>
    <row r="91" spans="1:7" ht="12.75" x14ac:dyDescent="0.2">
      <c r="A91" s="39"/>
      <c r="B91" s="9">
        <v>69</v>
      </c>
      <c r="C91" s="9" t="s">
        <v>711</v>
      </c>
      <c r="D91" s="9" t="s">
        <v>39</v>
      </c>
      <c r="E91" s="9" t="s">
        <v>46</v>
      </c>
      <c r="F91" s="9" t="s">
        <v>51</v>
      </c>
      <c r="G91" s="10" t="s">
        <v>42</v>
      </c>
    </row>
    <row r="92" spans="1:7" ht="12.75" x14ac:dyDescent="0.2">
      <c r="A92" s="37"/>
      <c r="B92" s="9">
        <v>69</v>
      </c>
      <c r="C92" s="9" t="s">
        <v>712</v>
      </c>
      <c r="D92" s="9" t="s">
        <v>39</v>
      </c>
      <c r="E92" s="9" t="s">
        <v>46</v>
      </c>
      <c r="F92" s="9" t="s">
        <v>51</v>
      </c>
      <c r="G92" s="10" t="s">
        <v>42</v>
      </c>
    </row>
    <row r="93" spans="1:7" ht="12.75" x14ac:dyDescent="0.2">
      <c r="A93" s="39"/>
      <c r="B93" s="9">
        <v>69</v>
      </c>
      <c r="C93" s="9" t="s">
        <v>715</v>
      </c>
      <c r="D93" s="9" t="s">
        <v>39</v>
      </c>
      <c r="E93" s="9" t="s">
        <v>46</v>
      </c>
      <c r="F93" s="9" t="s">
        <v>51</v>
      </c>
      <c r="G93" s="10" t="s">
        <v>42</v>
      </c>
    </row>
    <row r="94" spans="1:7" ht="12.75" x14ac:dyDescent="0.2">
      <c r="A94" s="37"/>
      <c r="B94" s="9">
        <v>69</v>
      </c>
      <c r="C94" s="9" t="s">
        <v>736</v>
      </c>
      <c r="D94" s="9" t="s">
        <v>39</v>
      </c>
      <c r="E94" s="9" t="s">
        <v>46</v>
      </c>
      <c r="F94" s="9" t="s">
        <v>51</v>
      </c>
      <c r="G94" s="10" t="s">
        <v>42</v>
      </c>
    </row>
    <row r="95" spans="1:7" ht="12.75" x14ac:dyDescent="0.2">
      <c r="A95" s="39"/>
      <c r="B95" s="9">
        <v>69</v>
      </c>
      <c r="C95" s="9" t="s">
        <v>734</v>
      </c>
      <c r="D95" s="9" t="s">
        <v>39</v>
      </c>
      <c r="E95" s="9" t="s">
        <v>46</v>
      </c>
      <c r="F95" s="9" t="s">
        <v>51</v>
      </c>
      <c r="G95" s="10" t="s">
        <v>42</v>
      </c>
    </row>
    <row r="96" spans="1:7" ht="12.75" x14ac:dyDescent="0.2">
      <c r="A96" s="37"/>
      <c r="B96" s="9">
        <v>69</v>
      </c>
      <c r="C96" s="9" t="s">
        <v>737</v>
      </c>
      <c r="D96" s="9" t="s">
        <v>39</v>
      </c>
      <c r="E96" s="9" t="s">
        <v>46</v>
      </c>
      <c r="F96" s="9" t="s">
        <v>51</v>
      </c>
      <c r="G96" s="10" t="s">
        <v>42</v>
      </c>
    </row>
    <row r="97" spans="1:7" ht="12.75" x14ac:dyDescent="0.2">
      <c r="A97" s="39"/>
      <c r="B97" s="9">
        <v>69</v>
      </c>
      <c r="C97" s="9" t="s">
        <v>738</v>
      </c>
      <c r="D97" s="9" t="s">
        <v>39</v>
      </c>
      <c r="E97" s="9" t="s">
        <v>46</v>
      </c>
      <c r="F97" s="9" t="s">
        <v>51</v>
      </c>
      <c r="G97" s="10" t="s">
        <v>42</v>
      </c>
    </row>
    <row r="98" spans="1:7" ht="12.75" x14ac:dyDescent="0.2">
      <c r="A98" s="37"/>
      <c r="B98" s="9">
        <v>69</v>
      </c>
      <c r="C98" s="9" t="s">
        <v>723</v>
      </c>
      <c r="D98" s="9" t="s">
        <v>39</v>
      </c>
      <c r="E98" s="9" t="s">
        <v>46</v>
      </c>
      <c r="F98" s="9" t="s">
        <v>51</v>
      </c>
      <c r="G98" s="10" t="s">
        <v>42</v>
      </c>
    </row>
    <row r="99" spans="1:7" ht="12.75" x14ac:dyDescent="0.2">
      <c r="A99" s="39"/>
      <c r="B99" s="9">
        <v>69</v>
      </c>
      <c r="C99" s="9" t="s">
        <v>739</v>
      </c>
      <c r="D99" s="9" t="s">
        <v>39</v>
      </c>
      <c r="E99" s="9" t="s">
        <v>46</v>
      </c>
      <c r="F99" s="9" t="s">
        <v>51</v>
      </c>
      <c r="G99" s="10" t="s">
        <v>42</v>
      </c>
    </row>
    <row r="100" spans="1:7" ht="12.75" x14ac:dyDescent="0.2">
      <c r="A100" s="37"/>
      <c r="B100" s="9">
        <v>69</v>
      </c>
      <c r="C100" s="9" t="s">
        <v>740</v>
      </c>
      <c r="D100" s="9" t="s">
        <v>39</v>
      </c>
      <c r="E100" s="9" t="s">
        <v>46</v>
      </c>
      <c r="F100" s="9" t="s">
        <v>51</v>
      </c>
      <c r="G100" s="10" t="s">
        <v>42</v>
      </c>
    </row>
    <row r="101" spans="1:7" ht="12.75" x14ac:dyDescent="0.2">
      <c r="A101" s="38"/>
      <c r="B101" s="9">
        <v>69</v>
      </c>
      <c r="C101" s="9" t="s">
        <v>681</v>
      </c>
      <c r="D101" s="9" t="s">
        <v>39</v>
      </c>
      <c r="E101" s="9" t="s">
        <v>46</v>
      </c>
      <c r="F101" s="9" t="s">
        <v>47</v>
      </c>
      <c r="G101" s="10" t="s">
        <v>42</v>
      </c>
    </row>
    <row r="102" spans="1:7" ht="12.75" x14ac:dyDescent="0.2">
      <c r="A102" s="36" t="s">
        <v>30</v>
      </c>
      <c r="B102" s="9">
        <v>69</v>
      </c>
      <c r="C102" s="9" t="s">
        <v>642</v>
      </c>
      <c r="D102" s="9" t="s">
        <v>39</v>
      </c>
      <c r="E102" s="9" t="s">
        <v>46</v>
      </c>
      <c r="F102" s="9" t="s">
        <v>51</v>
      </c>
      <c r="G102" s="10" t="s">
        <v>42</v>
      </c>
    </row>
    <row r="103" spans="1:7" ht="12.75" x14ac:dyDescent="0.2">
      <c r="A103" s="39"/>
      <c r="B103" s="9">
        <v>69</v>
      </c>
      <c r="C103" s="9" t="s">
        <v>712</v>
      </c>
      <c r="D103" s="9" t="s">
        <v>39</v>
      </c>
      <c r="E103" s="9" t="s">
        <v>46</v>
      </c>
      <c r="F103" s="9" t="s">
        <v>47</v>
      </c>
      <c r="G103" s="10" t="s">
        <v>42</v>
      </c>
    </row>
    <row r="104" spans="1:7" ht="12.75" x14ac:dyDescent="0.2">
      <c r="A104" s="37"/>
      <c r="B104" s="9">
        <v>69</v>
      </c>
      <c r="C104" s="9" t="s">
        <v>711</v>
      </c>
      <c r="D104" s="9" t="s">
        <v>39</v>
      </c>
      <c r="E104" s="9" t="s">
        <v>46</v>
      </c>
      <c r="F104" s="9" t="s">
        <v>51</v>
      </c>
      <c r="G104" s="10" t="s">
        <v>42</v>
      </c>
    </row>
    <row r="105" spans="1:7" ht="12.75" x14ac:dyDescent="0.2">
      <c r="A105" s="39"/>
      <c r="B105" s="9">
        <v>69</v>
      </c>
      <c r="C105" s="9" t="s">
        <v>741</v>
      </c>
      <c r="D105" s="9" t="s">
        <v>39</v>
      </c>
      <c r="E105" s="9" t="s">
        <v>46</v>
      </c>
      <c r="F105" s="9" t="s">
        <v>51</v>
      </c>
      <c r="G105" s="10" t="s">
        <v>42</v>
      </c>
    </row>
    <row r="106" spans="1:7" ht="12.75" x14ac:dyDescent="0.2">
      <c r="A106" s="37"/>
      <c r="B106" s="9">
        <v>69</v>
      </c>
      <c r="C106" s="9" t="s">
        <v>742</v>
      </c>
      <c r="D106" s="9" t="s">
        <v>39</v>
      </c>
      <c r="E106" s="9" t="s">
        <v>46</v>
      </c>
      <c r="F106" s="9" t="s">
        <v>41</v>
      </c>
      <c r="G106" s="10" t="s">
        <v>42</v>
      </c>
    </row>
    <row r="107" spans="1:7" ht="12.75" x14ac:dyDescent="0.2">
      <c r="A107" s="39"/>
      <c r="B107" s="9">
        <v>69</v>
      </c>
      <c r="C107" s="9" t="s">
        <v>743</v>
      </c>
      <c r="D107" s="9" t="s">
        <v>39</v>
      </c>
      <c r="E107" s="9" t="s">
        <v>46</v>
      </c>
      <c r="F107" s="9" t="s">
        <v>51</v>
      </c>
      <c r="G107" s="10" t="s">
        <v>42</v>
      </c>
    </row>
    <row r="108" spans="1:7" ht="12.75" x14ac:dyDescent="0.2">
      <c r="A108" s="37"/>
      <c r="B108" s="9">
        <v>69</v>
      </c>
      <c r="C108" s="9" t="s">
        <v>744</v>
      </c>
      <c r="D108" s="9" t="s">
        <v>39</v>
      </c>
      <c r="E108" s="9" t="s">
        <v>46</v>
      </c>
      <c r="F108" s="9" t="s">
        <v>51</v>
      </c>
      <c r="G108" s="10" t="s">
        <v>42</v>
      </c>
    </row>
    <row r="109" spans="1:7" ht="12.75" x14ac:dyDescent="0.2">
      <c r="A109" s="39"/>
      <c r="B109" s="9">
        <v>69</v>
      </c>
      <c r="C109" s="9" t="s">
        <v>723</v>
      </c>
      <c r="D109" s="9" t="s">
        <v>39</v>
      </c>
      <c r="E109" s="9" t="s">
        <v>46</v>
      </c>
      <c r="F109" s="9" t="s">
        <v>51</v>
      </c>
      <c r="G109" s="10" t="s">
        <v>42</v>
      </c>
    </row>
    <row r="110" spans="1:7" ht="12.75" x14ac:dyDescent="0.2">
      <c r="A110" s="37"/>
      <c r="B110" s="9">
        <v>69</v>
      </c>
      <c r="C110" s="9" t="s">
        <v>745</v>
      </c>
      <c r="D110" s="9" t="s">
        <v>39</v>
      </c>
      <c r="E110" s="9" t="s">
        <v>46</v>
      </c>
      <c r="F110" s="9" t="s">
        <v>51</v>
      </c>
      <c r="G110" s="10" t="s">
        <v>42</v>
      </c>
    </row>
    <row r="111" spans="1:7" ht="12.75" x14ac:dyDescent="0.2">
      <c r="A111" s="39"/>
      <c r="B111" s="9">
        <v>69</v>
      </c>
      <c r="C111" s="9" t="s">
        <v>746</v>
      </c>
      <c r="D111" s="9" t="s">
        <v>39</v>
      </c>
      <c r="E111" s="9" t="s">
        <v>46</v>
      </c>
      <c r="F111" s="9" t="s">
        <v>47</v>
      </c>
      <c r="G111" s="10" t="s">
        <v>42</v>
      </c>
    </row>
    <row r="112" spans="1:7" ht="12.75" x14ac:dyDescent="0.2">
      <c r="A112" s="40"/>
      <c r="B112" s="9">
        <v>69</v>
      </c>
      <c r="C112" s="9" t="s">
        <v>704</v>
      </c>
      <c r="D112" s="9" t="s">
        <v>39</v>
      </c>
      <c r="E112" s="9" t="s">
        <v>46</v>
      </c>
      <c r="F112" s="9" t="s">
        <v>51</v>
      </c>
      <c r="G112" s="10" t="s">
        <v>42</v>
      </c>
    </row>
    <row r="113" spans="1:7" ht="12.75" x14ac:dyDescent="0.2">
      <c r="A113" s="36" t="s">
        <v>31</v>
      </c>
      <c r="B113" s="9">
        <v>69</v>
      </c>
      <c r="C113" s="9" t="s">
        <v>642</v>
      </c>
      <c r="D113" s="9" t="s">
        <v>39</v>
      </c>
      <c r="E113" s="9" t="s">
        <v>46</v>
      </c>
      <c r="F113" s="9" t="s">
        <v>51</v>
      </c>
      <c r="G113" s="10" t="s">
        <v>42</v>
      </c>
    </row>
    <row r="114" spans="1:7" ht="12.75" x14ac:dyDescent="0.2">
      <c r="A114" s="37"/>
      <c r="B114" s="9">
        <v>69</v>
      </c>
      <c r="C114" s="9" t="s">
        <v>712</v>
      </c>
      <c r="D114" s="9" t="s">
        <v>39</v>
      </c>
      <c r="E114" s="9" t="s">
        <v>46</v>
      </c>
      <c r="F114" s="9" t="s">
        <v>51</v>
      </c>
      <c r="G114" s="10" t="s">
        <v>42</v>
      </c>
    </row>
    <row r="115" spans="1:7" ht="12.75" x14ac:dyDescent="0.2">
      <c r="A115" s="39"/>
      <c r="B115" s="9">
        <v>69</v>
      </c>
      <c r="C115" s="9" t="s">
        <v>711</v>
      </c>
      <c r="D115" s="9" t="s">
        <v>39</v>
      </c>
      <c r="E115" s="9" t="s">
        <v>46</v>
      </c>
      <c r="F115" s="9" t="s">
        <v>51</v>
      </c>
      <c r="G115" s="10" t="s">
        <v>42</v>
      </c>
    </row>
    <row r="116" spans="1:7" ht="12.75" x14ac:dyDescent="0.2">
      <c r="A116" s="37"/>
      <c r="B116" s="9">
        <v>69</v>
      </c>
      <c r="C116" s="9" t="s">
        <v>715</v>
      </c>
      <c r="D116" s="9" t="s">
        <v>39</v>
      </c>
      <c r="E116" s="9" t="s">
        <v>46</v>
      </c>
      <c r="F116" s="9" t="s">
        <v>51</v>
      </c>
      <c r="G116" s="10" t="s">
        <v>42</v>
      </c>
    </row>
    <row r="117" spans="1:7" ht="12.75" x14ac:dyDescent="0.2">
      <c r="A117" s="39"/>
      <c r="B117" s="9">
        <v>69</v>
      </c>
      <c r="C117" s="9" t="s">
        <v>741</v>
      </c>
      <c r="D117" s="9" t="s">
        <v>39</v>
      </c>
      <c r="E117" s="9" t="s">
        <v>46</v>
      </c>
      <c r="F117" s="9" t="s">
        <v>51</v>
      </c>
      <c r="G117" s="10" t="s">
        <v>42</v>
      </c>
    </row>
    <row r="118" spans="1:7" ht="12.75" x14ac:dyDescent="0.2">
      <c r="A118" s="37"/>
      <c r="B118" s="9">
        <v>69</v>
      </c>
      <c r="C118" s="9" t="s">
        <v>747</v>
      </c>
      <c r="D118" s="9" t="s">
        <v>39</v>
      </c>
      <c r="E118" s="9" t="s">
        <v>46</v>
      </c>
      <c r="F118" s="9" t="s">
        <v>51</v>
      </c>
      <c r="G118" s="10" t="s">
        <v>42</v>
      </c>
    </row>
    <row r="119" spans="1:7" ht="12.75" x14ac:dyDescent="0.2">
      <c r="A119" s="39"/>
      <c r="B119" s="9">
        <v>69</v>
      </c>
      <c r="C119" s="9" t="s">
        <v>705</v>
      </c>
      <c r="D119" s="9" t="s">
        <v>39</v>
      </c>
      <c r="E119" s="9" t="s">
        <v>46</v>
      </c>
      <c r="F119" s="9" t="s">
        <v>51</v>
      </c>
      <c r="G119" s="10" t="s">
        <v>42</v>
      </c>
    </row>
    <row r="120" spans="1:7" ht="12.75" x14ac:dyDescent="0.2">
      <c r="A120" s="37"/>
      <c r="B120" s="9">
        <v>69</v>
      </c>
      <c r="C120" s="9" t="s">
        <v>744</v>
      </c>
      <c r="D120" s="9" t="s">
        <v>39</v>
      </c>
      <c r="E120" s="9" t="s">
        <v>46</v>
      </c>
      <c r="F120" s="9" t="s">
        <v>51</v>
      </c>
      <c r="G120" s="10" t="s">
        <v>42</v>
      </c>
    </row>
    <row r="121" spans="1:7" ht="12.75" x14ac:dyDescent="0.2">
      <c r="A121" s="39"/>
      <c r="B121" s="9">
        <v>69</v>
      </c>
      <c r="C121" s="9" t="s">
        <v>723</v>
      </c>
      <c r="D121" s="9" t="s">
        <v>39</v>
      </c>
      <c r="E121" s="9" t="s">
        <v>46</v>
      </c>
      <c r="F121" s="9" t="s">
        <v>51</v>
      </c>
      <c r="G121" s="10" t="s">
        <v>42</v>
      </c>
    </row>
    <row r="122" spans="1:7" ht="12.75" x14ac:dyDescent="0.2">
      <c r="A122" s="37"/>
      <c r="B122" s="9">
        <v>69</v>
      </c>
      <c r="C122" s="9" t="s">
        <v>748</v>
      </c>
      <c r="D122" s="9" t="s">
        <v>39</v>
      </c>
      <c r="E122" s="9" t="s">
        <v>46</v>
      </c>
      <c r="F122" s="9" t="s">
        <v>51</v>
      </c>
      <c r="G122" s="10" t="s">
        <v>42</v>
      </c>
    </row>
    <row r="123" spans="1:7" ht="12.75" x14ac:dyDescent="0.2">
      <c r="A123" s="38"/>
      <c r="B123" s="9">
        <v>69</v>
      </c>
      <c r="C123" s="9" t="s">
        <v>704</v>
      </c>
      <c r="D123" s="9" t="s">
        <v>39</v>
      </c>
      <c r="E123" s="9" t="s">
        <v>46</v>
      </c>
      <c r="F123" s="9" t="s">
        <v>51</v>
      </c>
      <c r="G123" s="10" t="s">
        <v>42</v>
      </c>
    </row>
    <row r="124" spans="1:7" ht="12.75" x14ac:dyDescent="0.2">
      <c r="A124" s="36" t="s">
        <v>32</v>
      </c>
      <c r="B124" s="9">
        <v>69</v>
      </c>
      <c r="C124" s="9" t="s">
        <v>704</v>
      </c>
      <c r="D124" s="9" t="s">
        <v>39</v>
      </c>
      <c r="E124" s="9" t="s">
        <v>46</v>
      </c>
      <c r="F124" s="9" t="s">
        <v>51</v>
      </c>
      <c r="G124" s="10" t="s">
        <v>42</v>
      </c>
    </row>
    <row r="125" spans="1:7" ht="12.75" x14ac:dyDescent="0.2">
      <c r="A125" s="39"/>
      <c r="B125" s="9">
        <v>69</v>
      </c>
      <c r="C125" s="9" t="s">
        <v>710</v>
      </c>
      <c r="D125" s="9" t="s">
        <v>39</v>
      </c>
      <c r="E125" s="9" t="s">
        <v>46</v>
      </c>
      <c r="F125" s="9" t="s">
        <v>51</v>
      </c>
      <c r="G125" s="10" t="s">
        <v>42</v>
      </c>
    </row>
    <row r="126" spans="1:7" ht="12.75" x14ac:dyDescent="0.2">
      <c r="A126" s="37"/>
      <c r="B126" s="9">
        <v>69</v>
      </c>
      <c r="C126" s="9" t="s">
        <v>749</v>
      </c>
      <c r="D126" s="9" t="s">
        <v>39</v>
      </c>
      <c r="E126" s="9" t="s">
        <v>46</v>
      </c>
      <c r="F126" s="9" t="s">
        <v>51</v>
      </c>
      <c r="G126" s="10" t="s">
        <v>42</v>
      </c>
    </row>
    <row r="127" spans="1:7" ht="12.75" x14ac:dyDescent="0.2">
      <c r="A127" s="39"/>
      <c r="B127" s="9">
        <v>69</v>
      </c>
      <c r="C127" s="9" t="s">
        <v>692</v>
      </c>
      <c r="D127" s="9" t="s">
        <v>39</v>
      </c>
      <c r="E127" s="9" t="s">
        <v>46</v>
      </c>
      <c r="F127" s="9" t="s">
        <v>51</v>
      </c>
      <c r="G127" s="10" t="s">
        <v>42</v>
      </c>
    </row>
    <row r="128" spans="1:7" ht="12.75" x14ac:dyDescent="0.2">
      <c r="A128" s="37"/>
      <c r="B128" s="9">
        <v>69</v>
      </c>
      <c r="C128" s="9" t="s">
        <v>750</v>
      </c>
      <c r="D128" s="9" t="s">
        <v>39</v>
      </c>
      <c r="E128" s="9" t="s">
        <v>46</v>
      </c>
      <c r="F128" s="9" t="s">
        <v>51</v>
      </c>
      <c r="G128" s="10" t="s">
        <v>42</v>
      </c>
    </row>
    <row r="129" spans="1:7" ht="12.75" x14ac:dyDescent="0.2">
      <c r="A129" s="39"/>
      <c r="B129" s="9">
        <v>69</v>
      </c>
      <c r="C129" s="9" t="s">
        <v>751</v>
      </c>
      <c r="D129" s="9" t="s">
        <v>39</v>
      </c>
      <c r="E129" s="9" t="s">
        <v>46</v>
      </c>
      <c r="F129" s="9" t="s">
        <v>51</v>
      </c>
      <c r="G129" s="10" t="s">
        <v>42</v>
      </c>
    </row>
    <row r="130" spans="1:7" ht="12.75" x14ac:dyDescent="0.2">
      <c r="A130" s="37"/>
      <c r="B130" s="9">
        <v>69</v>
      </c>
      <c r="C130" s="9" t="s">
        <v>752</v>
      </c>
      <c r="D130" s="9" t="s">
        <v>39</v>
      </c>
      <c r="E130" s="9" t="s">
        <v>46</v>
      </c>
      <c r="F130" s="9" t="s">
        <v>51</v>
      </c>
      <c r="G130" s="10" t="s">
        <v>42</v>
      </c>
    </row>
    <row r="131" spans="1:7" ht="12.75" x14ac:dyDescent="0.2">
      <c r="A131" s="39"/>
      <c r="B131" s="9">
        <v>69</v>
      </c>
      <c r="C131" s="9" t="s">
        <v>715</v>
      </c>
      <c r="D131" s="9" t="s">
        <v>39</v>
      </c>
      <c r="E131" s="9" t="s">
        <v>46</v>
      </c>
      <c r="F131" s="9" t="s">
        <v>51</v>
      </c>
      <c r="G131" s="10" t="s">
        <v>42</v>
      </c>
    </row>
    <row r="132" spans="1:7" ht="12.75" x14ac:dyDescent="0.2">
      <c r="A132" s="40"/>
      <c r="B132" s="9">
        <v>69</v>
      </c>
      <c r="C132" s="9" t="s">
        <v>753</v>
      </c>
      <c r="D132" s="9" t="s">
        <v>39</v>
      </c>
      <c r="E132" s="9" t="s">
        <v>40</v>
      </c>
      <c r="F132" s="9" t="s">
        <v>51</v>
      </c>
      <c r="G132" s="10" t="s">
        <v>42</v>
      </c>
    </row>
    <row r="133" spans="1:7" ht="12.75" x14ac:dyDescent="0.2">
      <c r="A133" s="36" t="s">
        <v>33</v>
      </c>
      <c r="B133" s="9">
        <v>69</v>
      </c>
      <c r="C133" s="9" t="s">
        <v>704</v>
      </c>
      <c r="D133" s="9" t="s">
        <v>39</v>
      </c>
      <c r="E133" s="9" t="s">
        <v>46</v>
      </c>
      <c r="F133" s="9" t="s">
        <v>51</v>
      </c>
      <c r="G133" s="10" t="s">
        <v>42</v>
      </c>
    </row>
    <row r="134" spans="1:7" ht="12.75" x14ac:dyDescent="0.2">
      <c r="A134" s="37"/>
      <c r="B134" s="9">
        <v>69</v>
      </c>
      <c r="C134" s="9" t="s">
        <v>754</v>
      </c>
      <c r="D134" s="9" t="s">
        <v>39</v>
      </c>
      <c r="E134" s="9" t="s">
        <v>46</v>
      </c>
      <c r="F134" s="9" t="s">
        <v>51</v>
      </c>
      <c r="G134" s="10" t="s">
        <v>42</v>
      </c>
    </row>
    <row r="135" spans="1:7" ht="12.75" x14ac:dyDescent="0.2">
      <c r="A135" s="39"/>
      <c r="B135" s="9">
        <v>69</v>
      </c>
      <c r="C135" s="9" t="s">
        <v>755</v>
      </c>
      <c r="D135" s="9" t="s">
        <v>39</v>
      </c>
      <c r="E135" s="9" t="s">
        <v>46</v>
      </c>
      <c r="F135" s="9" t="s">
        <v>51</v>
      </c>
      <c r="G135" s="10" t="s">
        <v>42</v>
      </c>
    </row>
    <row r="136" spans="1:7" ht="12.75" x14ac:dyDescent="0.2">
      <c r="A136" s="37"/>
      <c r="B136" s="9">
        <v>69</v>
      </c>
      <c r="C136" s="9" t="s">
        <v>756</v>
      </c>
      <c r="D136" s="9" t="s">
        <v>39</v>
      </c>
      <c r="E136" s="9" t="s">
        <v>46</v>
      </c>
      <c r="F136" s="9" t="s">
        <v>51</v>
      </c>
      <c r="G136" s="10" t="s">
        <v>42</v>
      </c>
    </row>
    <row r="137" spans="1:7" ht="12.75" x14ac:dyDescent="0.2">
      <c r="A137" s="39"/>
      <c r="B137" s="9">
        <v>69</v>
      </c>
      <c r="C137" s="9" t="s">
        <v>757</v>
      </c>
      <c r="D137" s="9" t="s">
        <v>39</v>
      </c>
      <c r="E137" s="9" t="s">
        <v>46</v>
      </c>
      <c r="F137" s="9" t="s">
        <v>51</v>
      </c>
      <c r="G137" s="10" t="s">
        <v>42</v>
      </c>
    </row>
    <row r="138" spans="1:7" ht="12.75" x14ac:dyDescent="0.2">
      <c r="A138" s="37"/>
      <c r="B138" s="9">
        <v>69</v>
      </c>
      <c r="C138" s="9" t="s">
        <v>758</v>
      </c>
      <c r="D138" s="9" t="s">
        <v>39</v>
      </c>
      <c r="E138" s="9" t="s">
        <v>46</v>
      </c>
      <c r="F138" s="9" t="s">
        <v>51</v>
      </c>
      <c r="G138" s="10" t="s">
        <v>42</v>
      </c>
    </row>
    <row r="139" spans="1:7" ht="12.75" x14ac:dyDescent="0.2">
      <c r="A139" s="39"/>
      <c r="B139" s="9">
        <v>69</v>
      </c>
      <c r="C139" s="9" t="s">
        <v>759</v>
      </c>
      <c r="D139" s="9" t="s">
        <v>39</v>
      </c>
      <c r="E139" s="9" t="s">
        <v>46</v>
      </c>
      <c r="F139" s="9" t="s">
        <v>51</v>
      </c>
      <c r="G139" s="10" t="s">
        <v>42</v>
      </c>
    </row>
    <row r="140" spans="1:7" ht="12.75" x14ac:dyDescent="0.2">
      <c r="A140" s="37"/>
      <c r="B140" s="9">
        <v>69</v>
      </c>
      <c r="C140" s="9" t="s">
        <v>715</v>
      </c>
      <c r="D140" s="9" t="s">
        <v>39</v>
      </c>
      <c r="E140" s="9" t="s">
        <v>46</v>
      </c>
      <c r="F140" s="9" t="s">
        <v>51</v>
      </c>
      <c r="G140" s="10" t="s">
        <v>42</v>
      </c>
    </row>
    <row r="141" spans="1:7" ht="12.75" x14ac:dyDescent="0.2">
      <c r="A141" s="39"/>
      <c r="B141" s="9">
        <v>69</v>
      </c>
      <c r="C141" s="9" t="s">
        <v>760</v>
      </c>
      <c r="D141" s="9" t="s">
        <v>39</v>
      </c>
      <c r="E141" s="9" t="s">
        <v>46</v>
      </c>
      <c r="F141" s="9" t="s">
        <v>51</v>
      </c>
      <c r="G141" s="10" t="s">
        <v>42</v>
      </c>
    </row>
    <row r="142" spans="1:7" ht="12.75" x14ac:dyDescent="0.2">
      <c r="A142" s="37"/>
      <c r="B142" s="9">
        <v>69</v>
      </c>
      <c r="C142" s="9" t="s">
        <v>761</v>
      </c>
      <c r="D142" s="9" t="s">
        <v>39</v>
      </c>
      <c r="E142" s="9" t="s">
        <v>46</v>
      </c>
      <c r="F142" s="9" t="s">
        <v>51</v>
      </c>
      <c r="G142" s="10" t="s">
        <v>42</v>
      </c>
    </row>
    <row r="143" spans="1:7" ht="12.75" x14ac:dyDescent="0.2">
      <c r="A143" s="38"/>
      <c r="B143" s="9">
        <v>69</v>
      </c>
      <c r="C143" s="9" t="s">
        <v>762</v>
      </c>
      <c r="D143" s="9" t="s">
        <v>39</v>
      </c>
      <c r="E143" s="9" t="s">
        <v>46</v>
      </c>
      <c r="F143" s="9" t="s">
        <v>51</v>
      </c>
      <c r="G143" s="10" t="s">
        <v>42</v>
      </c>
    </row>
    <row r="144" spans="1:7" ht="12.75" x14ac:dyDescent="0.2">
      <c r="A144" s="36" t="s">
        <v>34</v>
      </c>
      <c r="B144" s="9">
        <v>69</v>
      </c>
      <c r="C144" s="9" t="s">
        <v>763</v>
      </c>
      <c r="D144" s="9" t="s">
        <v>39</v>
      </c>
      <c r="E144" s="9" t="s">
        <v>46</v>
      </c>
      <c r="F144" s="9" t="s">
        <v>51</v>
      </c>
      <c r="G144" s="10" t="s">
        <v>42</v>
      </c>
    </row>
    <row r="145" spans="1:7" ht="12.75" x14ac:dyDescent="0.2">
      <c r="A145" s="39"/>
      <c r="B145" s="9">
        <v>69</v>
      </c>
      <c r="C145" s="9" t="s">
        <v>764</v>
      </c>
      <c r="D145" s="9" t="s">
        <v>39</v>
      </c>
      <c r="E145" s="9" t="s">
        <v>46</v>
      </c>
      <c r="F145" s="9" t="s">
        <v>51</v>
      </c>
      <c r="G145" s="10" t="s">
        <v>42</v>
      </c>
    </row>
    <row r="146" spans="1:7" ht="12.75" x14ac:dyDescent="0.2">
      <c r="A146" s="37"/>
      <c r="B146" s="9">
        <v>69</v>
      </c>
      <c r="C146" s="9" t="s">
        <v>692</v>
      </c>
      <c r="D146" s="9" t="s">
        <v>39</v>
      </c>
      <c r="E146" s="9" t="s">
        <v>46</v>
      </c>
      <c r="F146" s="9" t="s">
        <v>51</v>
      </c>
      <c r="G146" s="10" t="s">
        <v>42</v>
      </c>
    </row>
    <row r="147" spans="1:7" ht="12.75" x14ac:dyDescent="0.2">
      <c r="A147" s="39"/>
      <c r="B147" s="9">
        <v>69</v>
      </c>
      <c r="C147" s="9" t="s">
        <v>765</v>
      </c>
      <c r="D147" s="9" t="s">
        <v>39</v>
      </c>
      <c r="E147" s="9" t="s">
        <v>46</v>
      </c>
      <c r="F147" s="9" t="s">
        <v>51</v>
      </c>
      <c r="G147" s="10" t="s">
        <v>42</v>
      </c>
    </row>
    <row r="148" spans="1:7" ht="12.75" x14ac:dyDescent="0.2">
      <c r="A148" s="37"/>
      <c r="B148" s="9">
        <v>69</v>
      </c>
      <c r="C148" s="9" t="s">
        <v>766</v>
      </c>
      <c r="D148" s="9" t="s">
        <v>39</v>
      </c>
      <c r="E148" s="9" t="s">
        <v>46</v>
      </c>
      <c r="F148" s="9" t="s">
        <v>51</v>
      </c>
      <c r="G148" s="10" t="s">
        <v>42</v>
      </c>
    </row>
    <row r="149" spans="1:7" ht="12.75" x14ac:dyDescent="0.2">
      <c r="A149" s="39"/>
      <c r="B149" s="9">
        <v>69</v>
      </c>
      <c r="C149" s="9" t="s">
        <v>759</v>
      </c>
      <c r="D149" s="9" t="s">
        <v>39</v>
      </c>
      <c r="E149" s="9" t="s">
        <v>46</v>
      </c>
      <c r="F149" s="9" t="s">
        <v>51</v>
      </c>
      <c r="G149" s="10" t="s">
        <v>42</v>
      </c>
    </row>
    <row r="150" spans="1:7" ht="12.75" x14ac:dyDescent="0.2">
      <c r="A150" s="37"/>
      <c r="B150" s="9">
        <v>69</v>
      </c>
      <c r="C150" s="9" t="s">
        <v>715</v>
      </c>
      <c r="D150" s="9" t="s">
        <v>39</v>
      </c>
      <c r="E150" s="9" t="s">
        <v>46</v>
      </c>
      <c r="F150" s="9" t="s">
        <v>51</v>
      </c>
      <c r="G150" s="10" t="s">
        <v>42</v>
      </c>
    </row>
    <row r="151" spans="1:7" ht="12.75" x14ac:dyDescent="0.2">
      <c r="A151" s="39"/>
      <c r="B151" s="9">
        <v>69</v>
      </c>
      <c r="C151" s="9" t="s">
        <v>760</v>
      </c>
      <c r="D151" s="9" t="s">
        <v>39</v>
      </c>
      <c r="E151" s="9" t="s">
        <v>46</v>
      </c>
      <c r="F151" s="9" t="s">
        <v>51</v>
      </c>
      <c r="G151" s="10" t="s">
        <v>42</v>
      </c>
    </row>
    <row r="152" spans="1:7" ht="12.75" x14ac:dyDescent="0.2">
      <c r="A152" s="37"/>
      <c r="B152" s="9">
        <v>69</v>
      </c>
      <c r="C152" s="9" t="s">
        <v>767</v>
      </c>
      <c r="D152" s="9" t="s">
        <v>39</v>
      </c>
      <c r="E152" s="9" t="s">
        <v>46</v>
      </c>
      <c r="F152" s="9" t="s">
        <v>51</v>
      </c>
      <c r="G152" s="10" t="s">
        <v>42</v>
      </c>
    </row>
    <row r="153" spans="1:7" ht="12.75" x14ac:dyDescent="0.2">
      <c r="A153" s="38"/>
      <c r="B153" s="9">
        <v>69</v>
      </c>
      <c r="C153" s="9" t="s">
        <v>768</v>
      </c>
      <c r="D153" s="9" t="s">
        <v>39</v>
      </c>
      <c r="E153" s="9" t="s">
        <v>46</v>
      </c>
      <c r="F153" s="9" t="s">
        <v>51</v>
      </c>
      <c r="G153" s="10" t="s">
        <v>42</v>
      </c>
    </row>
    <row r="154" spans="1:7" ht="12.75" x14ac:dyDescent="0.2">
      <c r="A154" s="36" t="s">
        <v>35</v>
      </c>
      <c r="B154" s="9">
        <v>69</v>
      </c>
      <c r="C154" s="9" t="s">
        <v>769</v>
      </c>
      <c r="D154" s="9" t="s">
        <v>39</v>
      </c>
      <c r="E154" s="9" t="s">
        <v>40</v>
      </c>
      <c r="F154" s="9" t="s">
        <v>51</v>
      </c>
      <c r="G154" s="10" t="s">
        <v>42</v>
      </c>
    </row>
    <row r="155" spans="1:7" ht="12.75" x14ac:dyDescent="0.2">
      <c r="A155" s="39"/>
      <c r="B155" s="9">
        <v>69</v>
      </c>
      <c r="C155" s="9" t="s">
        <v>770</v>
      </c>
      <c r="D155" s="9" t="s">
        <v>39</v>
      </c>
      <c r="E155" s="9" t="s">
        <v>40</v>
      </c>
      <c r="F155" s="9" t="s">
        <v>51</v>
      </c>
      <c r="G155" s="10" t="s">
        <v>42</v>
      </c>
    </row>
    <row r="156" spans="1:7" ht="12.75" x14ac:dyDescent="0.2">
      <c r="A156" s="40"/>
      <c r="B156" s="9">
        <v>69</v>
      </c>
      <c r="C156" s="9" t="s">
        <v>771</v>
      </c>
      <c r="D156" s="9" t="s">
        <v>39</v>
      </c>
      <c r="E156" s="9" t="s">
        <v>40</v>
      </c>
      <c r="F156" s="9" t="s">
        <v>51</v>
      </c>
      <c r="G156" s="10" t="s">
        <v>42</v>
      </c>
    </row>
    <row r="157" spans="1:7" ht="12.75" x14ac:dyDescent="0.2">
      <c r="A157" s="36" t="s">
        <v>36</v>
      </c>
      <c r="B157" s="9">
        <v>69</v>
      </c>
      <c r="C157" s="9" t="s">
        <v>772</v>
      </c>
      <c r="D157" s="9" t="s">
        <v>39</v>
      </c>
      <c r="E157" s="9" t="s">
        <v>40</v>
      </c>
      <c r="F157" s="9" t="s">
        <v>51</v>
      </c>
      <c r="G157" s="10" t="s">
        <v>42</v>
      </c>
    </row>
    <row r="158" spans="1:7" ht="12.75" x14ac:dyDescent="0.2">
      <c r="A158" s="37"/>
      <c r="B158" s="9">
        <v>69</v>
      </c>
      <c r="C158" s="9" t="s">
        <v>773</v>
      </c>
      <c r="D158" s="9" t="s">
        <v>39</v>
      </c>
      <c r="E158" s="9" t="s">
        <v>40</v>
      </c>
      <c r="F158" s="9" t="s">
        <v>51</v>
      </c>
      <c r="G158" s="10" t="s">
        <v>42</v>
      </c>
    </row>
    <row r="159" spans="1:7" ht="12.75" x14ac:dyDescent="0.2">
      <c r="A159" s="38"/>
      <c r="B159" s="9">
        <v>69</v>
      </c>
      <c r="C159" s="9" t="s">
        <v>770</v>
      </c>
      <c r="D159" s="9" t="s">
        <v>39</v>
      </c>
      <c r="E159" s="9" t="s">
        <v>40</v>
      </c>
      <c r="F159" s="9" t="s">
        <v>51</v>
      </c>
      <c r="G159" s="10" t="s">
        <v>42</v>
      </c>
    </row>
    <row r="160" spans="1:7" ht="12.75" x14ac:dyDescent="0.2">
      <c r="A160" s="15"/>
      <c r="B160" s="16"/>
      <c r="C160" s="17"/>
      <c r="D160" s="17"/>
      <c r="E160" s="17"/>
      <c r="F160" s="17"/>
      <c r="G160" s="20"/>
    </row>
    <row r="161" spans="1:7" ht="12.75" x14ac:dyDescent="0.2">
      <c r="A161" s="15"/>
      <c r="B161" s="16"/>
      <c r="C161" s="17"/>
      <c r="D161" s="17"/>
      <c r="E161" s="17"/>
      <c r="F161" s="17"/>
      <c r="G161" s="20"/>
    </row>
    <row r="162" spans="1:7" ht="12.75" x14ac:dyDescent="0.2">
      <c r="A162" s="14"/>
      <c r="B162" s="14"/>
      <c r="C162" s="14"/>
      <c r="D162" s="14"/>
      <c r="E162" s="14"/>
      <c r="F162" s="14"/>
      <c r="G162" s="14"/>
    </row>
    <row r="163" spans="1:7" ht="12.75" x14ac:dyDescent="0.2">
      <c r="A163" s="14"/>
      <c r="B163" s="14"/>
      <c r="C163" s="14"/>
      <c r="D163" s="14"/>
      <c r="E163" s="14"/>
      <c r="F163" s="14"/>
      <c r="G163" s="14"/>
    </row>
    <row r="164" spans="1:7" ht="12.75" x14ac:dyDescent="0.2">
      <c r="A164" s="14"/>
      <c r="B164" s="14"/>
      <c r="C164" s="14"/>
      <c r="D164" s="14"/>
      <c r="E164" s="14"/>
      <c r="F164" s="14"/>
      <c r="G164" s="14"/>
    </row>
    <row r="165" spans="1:7" ht="12.75" x14ac:dyDescent="0.2">
      <c r="A165" s="14"/>
      <c r="B165" s="14"/>
      <c r="C165" s="14"/>
      <c r="D165" s="14"/>
      <c r="E165" s="14"/>
      <c r="F165" s="14"/>
      <c r="G165" s="14"/>
    </row>
  </sheetData>
  <mergeCells count="17">
    <mergeCell ref="A42:A54"/>
    <mergeCell ref="A55:A64"/>
    <mergeCell ref="A144:A153"/>
    <mergeCell ref="A154:A156"/>
    <mergeCell ref="A157:A159"/>
    <mergeCell ref="A65:A76"/>
    <mergeCell ref="A77:A88"/>
    <mergeCell ref="A89:A101"/>
    <mergeCell ref="A102:A112"/>
    <mergeCell ref="A113:A123"/>
    <mergeCell ref="A124:A132"/>
    <mergeCell ref="A133:A143"/>
    <mergeCell ref="A1:G1"/>
    <mergeCell ref="A9:A11"/>
    <mergeCell ref="A12:A18"/>
    <mergeCell ref="A19:A28"/>
    <mergeCell ref="A29:A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601"/>
  <sheetViews>
    <sheetView workbookViewId="0"/>
  </sheetViews>
  <sheetFormatPr defaultColWidth="12.5703125" defaultRowHeight="15.75" customHeight="1" x14ac:dyDescent="0.2"/>
  <cols>
    <col min="1" max="9" width="18.85546875" customWidth="1"/>
  </cols>
  <sheetData>
    <row r="1" spans="1:7" ht="15.75" customHeight="1" x14ac:dyDescent="0.25">
      <c r="A1" s="33" t="s">
        <v>0</v>
      </c>
      <c r="B1" s="34"/>
      <c r="C1" s="34"/>
      <c r="D1" s="34"/>
      <c r="E1" s="34"/>
      <c r="F1" s="34"/>
      <c r="G1" s="35"/>
    </row>
    <row r="2" spans="1:7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46175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x14ac:dyDescent="0.2">
      <c r="A9" s="36" t="s">
        <v>20</v>
      </c>
      <c r="B9" s="9" t="s">
        <v>774</v>
      </c>
      <c r="C9" s="9" t="s">
        <v>775</v>
      </c>
      <c r="D9" s="9" t="s">
        <v>39</v>
      </c>
      <c r="E9" s="9" t="s">
        <v>40</v>
      </c>
      <c r="F9" s="9" t="s">
        <v>41</v>
      </c>
      <c r="G9" s="10" t="s">
        <v>42</v>
      </c>
    </row>
    <row r="10" spans="1:7" x14ac:dyDescent="0.2">
      <c r="A10" s="37"/>
      <c r="B10" s="9" t="s">
        <v>774</v>
      </c>
      <c r="C10" s="9" t="s">
        <v>776</v>
      </c>
      <c r="D10" s="9" t="s">
        <v>39</v>
      </c>
      <c r="E10" s="9" t="s">
        <v>40</v>
      </c>
      <c r="F10" s="9" t="s">
        <v>41</v>
      </c>
      <c r="G10" s="10" t="s">
        <v>42</v>
      </c>
    </row>
    <row r="11" spans="1:7" x14ac:dyDescent="0.2">
      <c r="A11" s="39"/>
      <c r="B11" s="9" t="s">
        <v>774</v>
      </c>
      <c r="C11" s="9" t="s">
        <v>777</v>
      </c>
      <c r="D11" s="9" t="s">
        <v>39</v>
      </c>
      <c r="E11" s="9" t="s">
        <v>40</v>
      </c>
      <c r="F11" s="9" t="s">
        <v>41</v>
      </c>
      <c r="G11" s="10" t="s">
        <v>42</v>
      </c>
    </row>
    <row r="12" spans="1:7" x14ac:dyDescent="0.2">
      <c r="A12" s="37"/>
      <c r="B12" s="9" t="s">
        <v>774</v>
      </c>
      <c r="C12" s="9" t="s">
        <v>778</v>
      </c>
      <c r="D12" s="9" t="s">
        <v>39</v>
      </c>
      <c r="E12" s="9" t="s">
        <v>40</v>
      </c>
      <c r="F12" s="9" t="s">
        <v>41</v>
      </c>
      <c r="G12" s="10" t="s">
        <v>42</v>
      </c>
    </row>
    <row r="13" spans="1:7" x14ac:dyDescent="0.2">
      <c r="A13" s="39"/>
      <c r="B13" s="9" t="s">
        <v>774</v>
      </c>
      <c r="C13" s="9" t="s">
        <v>779</v>
      </c>
      <c r="D13" s="9" t="s">
        <v>39</v>
      </c>
      <c r="E13" s="9" t="s">
        <v>40</v>
      </c>
      <c r="F13" s="9" t="s">
        <v>41</v>
      </c>
      <c r="G13" s="10" t="s">
        <v>42</v>
      </c>
    </row>
    <row r="14" spans="1:7" x14ac:dyDescent="0.2">
      <c r="A14" s="37"/>
      <c r="B14" s="9" t="s">
        <v>774</v>
      </c>
      <c r="C14" s="9" t="s">
        <v>780</v>
      </c>
      <c r="D14" s="9" t="s">
        <v>39</v>
      </c>
      <c r="E14" s="9" t="s">
        <v>40</v>
      </c>
      <c r="F14" s="9" t="s">
        <v>41</v>
      </c>
      <c r="G14" s="10" t="s">
        <v>42</v>
      </c>
    </row>
    <row r="15" spans="1:7" x14ac:dyDescent="0.2">
      <c r="A15" s="39"/>
      <c r="B15" s="9" t="s">
        <v>774</v>
      </c>
      <c r="C15" s="9" t="s">
        <v>781</v>
      </c>
      <c r="D15" s="9" t="s">
        <v>39</v>
      </c>
      <c r="E15" s="9" t="s">
        <v>40</v>
      </c>
      <c r="F15" s="9" t="s">
        <v>41</v>
      </c>
      <c r="G15" s="10" t="s">
        <v>42</v>
      </c>
    </row>
    <row r="16" spans="1:7" x14ac:dyDescent="0.2">
      <c r="A16" s="37"/>
      <c r="B16" s="9" t="s">
        <v>774</v>
      </c>
      <c r="C16" s="9" t="s">
        <v>782</v>
      </c>
      <c r="D16" s="9" t="s">
        <v>39</v>
      </c>
      <c r="E16" s="9" t="s">
        <v>40</v>
      </c>
      <c r="F16" s="9" t="s">
        <v>41</v>
      </c>
      <c r="G16" s="10" t="s">
        <v>42</v>
      </c>
    </row>
    <row r="17" spans="1:7" x14ac:dyDescent="0.2">
      <c r="A17" s="39"/>
      <c r="B17" s="9" t="s">
        <v>774</v>
      </c>
      <c r="C17" s="9" t="s">
        <v>783</v>
      </c>
      <c r="D17" s="9" t="s">
        <v>39</v>
      </c>
      <c r="E17" s="9" t="s">
        <v>40</v>
      </c>
      <c r="F17" s="9" t="s">
        <v>41</v>
      </c>
      <c r="G17" s="10" t="s">
        <v>42</v>
      </c>
    </row>
    <row r="18" spans="1:7" x14ac:dyDescent="0.2">
      <c r="A18" s="40"/>
      <c r="B18" s="9" t="s">
        <v>774</v>
      </c>
      <c r="C18" s="9" t="s">
        <v>299</v>
      </c>
      <c r="D18" s="9" t="s">
        <v>39</v>
      </c>
      <c r="E18" s="9" t="s">
        <v>40</v>
      </c>
      <c r="F18" s="9" t="s">
        <v>41</v>
      </c>
      <c r="G18" s="10" t="s">
        <v>42</v>
      </c>
    </row>
    <row r="19" spans="1:7" x14ac:dyDescent="0.2">
      <c r="A19" s="36" t="s">
        <v>22</v>
      </c>
      <c r="B19" s="9" t="s">
        <v>774</v>
      </c>
      <c r="C19" s="9" t="s">
        <v>780</v>
      </c>
      <c r="D19" s="9" t="s">
        <v>39</v>
      </c>
      <c r="E19" s="9" t="s">
        <v>40</v>
      </c>
      <c r="F19" s="9" t="s">
        <v>41</v>
      </c>
      <c r="G19" s="10" t="s">
        <v>42</v>
      </c>
    </row>
    <row r="20" spans="1:7" x14ac:dyDescent="0.2">
      <c r="A20" s="37"/>
      <c r="B20" s="9" t="s">
        <v>774</v>
      </c>
      <c r="C20" s="9" t="s">
        <v>299</v>
      </c>
      <c r="D20" s="9" t="s">
        <v>39</v>
      </c>
      <c r="E20" s="9" t="s">
        <v>40</v>
      </c>
      <c r="F20" s="9" t="s">
        <v>41</v>
      </c>
      <c r="G20" s="10" t="s">
        <v>42</v>
      </c>
    </row>
    <row r="21" spans="1:7" x14ac:dyDescent="0.2">
      <c r="A21" s="39"/>
      <c r="B21" s="9" t="s">
        <v>774</v>
      </c>
      <c r="C21" s="9" t="s">
        <v>784</v>
      </c>
      <c r="D21" s="9" t="s">
        <v>39</v>
      </c>
      <c r="E21" s="9" t="s">
        <v>40</v>
      </c>
      <c r="F21" s="9" t="s">
        <v>41</v>
      </c>
      <c r="G21" s="10" t="s">
        <v>42</v>
      </c>
    </row>
    <row r="22" spans="1:7" x14ac:dyDescent="0.2">
      <c r="A22" s="37"/>
      <c r="B22" s="9" t="s">
        <v>774</v>
      </c>
      <c r="C22" s="9" t="s">
        <v>783</v>
      </c>
      <c r="D22" s="9" t="s">
        <v>39</v>
      </c>
      <c r="E22" s="9" t="s">
        <v>40</v>
      </c>
      <c r="F22" s="9" t="s">
        <v>41</v>
      </c>
      <c r="G22" s="10" t="s">
        <v>42</v>
      </c>
    </row>
    <row r="23" spans="1:7" x14ac:dyDescent="0.2">
      <c r="A23" s="39"/>
      <c r="B23" s="9" t="s">
        <v>774</v>
      </c>
      <c r="C23" s="9" t="s">
        <v>782</v>
      </c>
      <c r="D23" s="9" t="s">
        <v>39</v>
      </c>
      <c r="E23" s="9" t="s">
        <v>40</v>
      </c>
      <c r="F23" s="9" t="s">
        <v>41</v>
      </c>
      <c r="G23" s="10" t="s">
        <v>42</v>
      </c>
    </row>
    <row r="24" spans="1:7" x14ac:dyDescent="0.2">
      <c r="A24" s="37"/>
      <c r="B24" s="9" t="s">
        <v>774</v>
      </c>
      <c r="C24" s="9" t="s">
        <v>781</v>
      </c>
      <c r="D24" s="9" t="s">
        <v>39</v>
      </c>
      <c r="E24" s="9" t="s">
        <v>40</v>
      </c>
      <c r="F24" s="9" t="s">
        <v>41</v>
      </c>
      <c r="G24" s="10" t="s">
        <v>42</v>
      </c>
    </row>
    <row r="25" spans="1:7" x14ac:dyDescent="0.2">
      <c r="A25" s="39"/>
      <c r="B25" s="9" t="s">
        <v>774</v>
      </c>
      <c r="C25" s="9" t="s">
        <v>785</v>
      </c>
      <c r="D25" s="9" t="s">
        <v>39</v>
      </c>
      <c r="E25" s="9" t="s">
        <v>40</v>
      </c>
      <c r="F25" s="9" t="s">
        <v>41</v>
      </c>
      <c r="G25" s="10" t="s">
        <v>42</v>
      </c>
    </row>
    <row r="26" spans="1:7" x14ac:dyDescent="0.2">
      <c r="A26" s="37"/>
      <c r="B26" s="9" t="s">
        <v>774</v>
      </c>
      <c r="C26" s="9" t="s">
        <v>775</v>
      </c>
      <c r="D26" s="9" t="s">
        <v>39</v>
      </c>
      <c r="E26" s="9" t="s">
        <v>40</v>
      </c>
      <c r="F26" s="9" t="s">
        <v>41</v>
      </c>
      <c r="G26" s="10" t="s">
        <v>42</v>
      </c>
    </row>
    <row r="27" spans="1:7" x14ac:dyDescent="0.2">
      <c r="A27" s="39"/>
      <c r="B27" s="9" t="s">
        <v>774</v>
      </c>
      <c r="C27" s="9" t="s">
        <v>778</v>
      </c>
      <c r="D27" s="9" t="s">
        <v>39</v>
      </c>
      <c r="E27" s="9" t="s">
        <v>40</v>
      </c>
      <c r="F27" s="9" t="s">
        <v>41</v>
      </c>
      <c r="G27" s="10" t="s">
        <v>42</v>
      </c>
    </row>
    <row r="28" spans="1:7" x14ac:dyDescent="0.2">
      <c r="A28" s="37"/>
      <c r="B28" s="9" t="s">
        <v>774</v>
      </c>
      <c r="C28" s="9" t="s">
        <v>776</v>
      </c>
      <c r="D28" s="9" t="s">
        <v>39</v>
      </c>
      <c r="E28" s="9" t="s">
        <v>40</v>
      </c>
      <c r="F28" s="9" t="s">
        <v>41</v>
      </c>
      <c r="G28" s="10" t="s">
        <v>42</v>
      </c>
    </row>
    <row r="29" spans="1:7" x14ac:dyDescent="0.2">
      <c r="A29" s="39"/>
      <c r="B29" s="9" t="s">
        <v>774</v>
      </c>
      <c r="C29" s="9" t="s">
        <v>777</v>
      </c>
      <c r="D29" s="9" t="s">
        <v>39</v>
      </c>
      <c r="E29" s="9" t="s">
        <v>40</v>
      </c>
      <c r="F29" s="9" t="s">
        <v>41</v>
      </c>
      <c r="G29" s="10" t="s">
        <v>42</v>
      </c>
    </row>
    <row r="30" spans="1:7" x14ac:dyDescent="0.2">
      <c r="A30" s="40"/>
      <c r="B30" s="9" t="s">
        <v>774</v>
      </c>
      <c r="C30" s="9" t="s">
        <v>779</v>
      </c>
      <c r="D30" s="9" t="s">
        <v>39</v>
      </c>
      <c r="E30" s="9" t="s">
        <v>40</v>
      </c>
      <c r="F30" s="9" t="s">
        <v>41</v>
      </c>
      <c r="G30" s="10" t="s">
        <v>42</v>
      </c>
    </row>
    <row r="31" spans="1:7" x14ac:dyDescent="0.2">
      <c r="A31" s="36" t="s">
        <v>23</v>
      </c>
      <c r="B31" s="9" t="s">
        <v>774</v>
      </c>
      <c r="C31" s="9" t="s">
        <v>779</v>
      </c>
      <c r="D31" s="9" t="s">
        <v>94</v>
      </c>
      <c r="E31" s="9" t="s">
        <v>40</v>
      </c>
      <c r="F31" s="9" t="s">
        <v>41</v>
      </c>
      <c r="G31" s="10" t="s">
        <v>42</v>
      </c>
    </row>
    <row r="32" spans="1:7" x14ac:dyDescent="0.2">
      <c r="A32" s="37"/>
      <c r="B32" s="9" t="s">
        <v>774</v>
      </c>
      <c r="C32" s="9" t="s">
        <v>673</v>
      </c>
      <c r="D32" s="9" t="s">
        <v>39</v>
      </c>
      <c r="E32" s="9" t="s">
        <v>40</v>
      </c>
      <c r="F32" s="9" t="s">
        <v>41</v>
      </c>
      <c r="G32" s="10" t="s">
        <v>42</v>
      </c>
    </row>
    <row r="33" spans="1:7" x14ac:dyDescent="0.2">
      <c r="A33" s="39"/>
      <c r="B33" s="9" t="s">
        <v>774</v>
      </c>
      <c r="C33" s="9" t="s">
        <v>786</v>
      </c>
      <c r="D33" s="9" t="s">
        <v>39</v>
      </c>
      <c r="E33" s="9" t="s">
        <v>40</v>
      </c>
      <c r="F33" s="9" t="s">
        <v>41</v>
      </c>
      <c r="G33" s="10" t="s">
        <v>42</v>
      </c>
    </row>
    <row r="34" spans="1:7" x14ac:dyDescent="0.2">
      <c r="A34" s="37"/>
      <c r="B34" s="9" t="s">
        <v>774</v>
      </c>
      <c r="C34" s="9" t="s">
        <v>778</v>
      </c>
      <c r="D34" s="9" t="s">
        <v>39</v>
      </c>
      <c r="E34" s="9" t="s">
        <v>40</v>
      </c>
      <c r="F34" s="9" t="s">
        <v>41</v>
      </c>
      <c r="G34" s="10" t="s">
        <v>42</v>
      </c>
    </row>
    <row r="35" spans="1:7" x14ac:dyDescent="0.2">
      <c r="A35" s="39"/>
      <c r="B35" s="9" t="s">
        <v>774</v>
      </c>
      <c r="C35" s="9" t="s">
        <v>777</v>
      </c>
      <c r="D35" s="9" t="s">
        <v>39</v>
      </c>
      <c r="E35" s="9" t="s">
        <v>40</v>
      </c>
      <c r="F35" s="9" t="s">
        <v>41</v>
      </c>
      <c r="G35" s="10" t="s">
        <v>42</v>
      </c>
    </row>
    <row r="36" spans="1:7" x14ac:dyDescent="0.2">
      <c r="A36" s="37"/>
      <c r="B36" s="9" t="s">
        <v>774</v>
      </c>
      <c r="C36" s="9" t="s">
        <v>787</v>
      </c>
      <c r="D36" s="9" t="s">
        <v>39</v>
      </c>
      <c r="E36" s="9" t="s">
        <v>40</v>
      </c>
      <c r="F36" s="9" t="s">
        <v>41</v>
      </c>
      <c r="G36" s="10" t="s">
        <v>42</v>
      </c>
    </row>
    <row r="37" spans="1:7" ht="12.75" x14ac:dyDescent="0.2">
      <c r="A37" s="39"/>
      <c r="B37" s="9" t="s">
        <v>774</v>
      </c>
      <c r="C37" s="9" t="s">
        <v>776</v>
      </c>
      <c r="D37" s="9" t="s">
        <v>39</v>
      </c>
      <c r="E37" s="9" t="s">
        <v>40</v>
      </c>
      <c r="F37" s="9" t="s">
        <v>41</v>
      </c>
      <c r="G37" s="10" t="s">
        <v>42</v>
      </c>
    </row>
    <row r="38" spans="1:7" ht="12.75" x14ac:dyDescent="0.2">
      <c r="A38" s="37"/>
      <c r="B38" s="9" t="s">
        <v>774</v>
      </c>
      <c r="C38" s="9" t="s">
        <v>775</v>
      </c>
      <c r="D38" s="9" t="s">
        <v>39</v>
      </c>
      <c r="E38" s="9" t="s">
        <v>40</v>
      </c>
      <c r="F38" s="9" t="s">
        <v>41</v>
      </c>
      <c r="G38" s="10" t="s">
        <v>42</v>
      </c>
    </row>
    <row r="39" spans="1:7" ht="12.75" x14ac:dyDescent="0.2">
      <c r="A39" s="39"/>
      <c r="B39" s="9" t="s">
        <v>774</v>
      </c>
      <c r="C39" s="9" t="s">
        <v>788</v>
      </c>
      <c r="D39" s="9" t="s">
        <v>39</v>
      </c>
      <c r="E39" s="9" t="s">
        <v>40</v>
      </c>
      <c r="F39" s="9" t="s">
        <v>41</v>
      </c>
      <c r="G39" s="10" t="s">
        <v>42</v>
      </c>
    </row>
    <row r="40" spans="1:7" ht="12.75" x14ac:dyDescent="0.2">
      <c r="A40" s="37"/>
      <c r="B40" s="9" t="s">
        <v>774</v>
      </c>
      <c r="C40" s="9" t="s">
        <v>789</v>
      </c>
      <c r="D40" s="9" t="s">
        <v>39</v>
      </c>
      <c r="E40" s="9" t="s">
        <v>40</v>
      </c>
      <c r="F40" s="9" t="s">
        <v>41</v>
      </c>
      <c r="G40" s="10" t="s">
        <v>42</v>
      </c>
    </row>
    <row r="41" spans="1:7" ht="12.75" x14ac:dyDescent="0.2">
      <c r="A41" s="39"/>
      <c r="B41" s="9" t="s">
        <v>774</v>
      </c>
      <c r="C41" s="9" t="s">
        <v>785</v>
      </c>
      <c r="D41" s="9" t="s">
        <v>39</v>
      </c>
      <c r="E41" s="9" t="s">
        <v>40</v>
      </c>
      <c r="F41" s="9" t="s">
        <v>41</v>
      </c>
      <c r="G41" s="10" t="s">
        <v>42</v>
      </c>
    </row>
    <row r="42" spans="1:7" ht="12.75" x14ac:dyDescent="0.2">
      <c r="A42" s="37"/>
      <c r="B42" s="9" t="s">
        <v>774</v>
      </c>
      <c r="C42" s="9" t="s">
        <v>781</v>
      </c>
      <c r="D42" s="9" t="s">
        <v>39</v>
      </c>
      <c r="E42" s="9" t="s">
        <v>40</v>
      </c>
      <c r="F42" s="9" t="s">
        <v>41</v>
      </c>
      <c r="G42" s="10" t="s">
        <v>42</v>
      </c>
    </row>
    <row r="43" spans="1:7" ht="12.75" x14ac:dyDescent="0.2">
      <c r="A43" s="39"/>
      <c r="B43" s="9" t="s">
        <v>774</v>
      </c>
      <c r="C43" s="9" t="s">
        <v>782</v>
      </c>
      <c r="D43" s="9" t="s">
        <v>39</v>
      </c>
      <c r="E43" s="9" t="s">
        <v>40</v>
      </c>
      <c r="F43" s="9" t="s">
        <v>41</v>
      </c>
      <c r="G43" s="10" t="s">
        <v>42</v>
      </c>
    </row>
    <row r="44" spans="1:7" ht="12.75" x14ac:dyDescent="0.2">
      <c r="A44" s="37"/>
      <c r="B44" s="9" t="s">
        <v>774</v>
      </c>
      <c r="C44" s="9" t="s">
        <v>299</v>
      </c>
      <c r="D44" s="9" t="s">
        <v>39</v>
      </c>
      <c r="E44" s="9" t="s">
        <v>40</v>
      </c>
      <c r="F44" s="9" t="s">
        <v>41</v>
      </c>
      <c r="G44" s="10" t="s">
        <v>42</v>
      </c>
    </row>
    <row r="45" spans="1:7" ht="12.75" x14ac:dyDescent="0.2">
      <c r="A45" s="39"/>
      <c r="B45" s="9" t="s">
        <v>774</v>
      </c>
      <c r="C45" s="9" t="s">
        <v>783</v>
      </c>
      <c r="D45" s="9" t="s">
        <v>39</v>
      </c>
      <c r="E45" s="9" t="s">
        <v>40</v>
      </c>
      <c r="F45" s="9" t="s">
        <v>41</v>
      </c>
      <c r="G45" s="10" t="s">
        <v>42</v>
      </c>
    </row>
    <row r="46" spans="1:7" ht="12.75" x14ac:dyDescent="0.2">
      <c r="A46" s="37"/>
      <c r="B46" s="9" t="s">
        <v>774</v>
      </c>
      <c r="C46" s="9" t="s">
        <v>780</v>
      </c>
      <c r="D46" s="9" t="s">
        <v>39</v>
      </c>
      <c r="E46" s="9" t="s">
        <v>40</v>
      </c>
      <c r="F46" s="9" t="s">
        <v>41</v>
      </c>
      <c r="G46" s="10" t="s">
        <v>42</v>
      </c>
    </row>
    <row r="47" spans="1:7" ht="12.75" x14ac:dyDescent="0.2">
      <c r="A47" s="39"/>
      <c r="B47" s="9" t="s">
        <v>774</v>
      </c>
      <c r="C47" s="9" t="s">
        <v>790</v>
      </c>
      <c r="D47" s="9" t="s">
        <v>39</v>
      </c>
      <c r="E47" s="9" t="s">
        <v>40</v>
      </c>
      <c r="F47" s="9" t="s">
        <v>41</v>
      </c>
      <c r="G47" s="10" t="s">
        <v>42</v>
      </c>
    </row>
    <row r="48" spans="1:7" ht="12.75" x14ac:dyDescent="0.2">
      <c r="A48" s="40"/>
      <c r="B48" s="9" t="s">
        <v>774</v>
      </c>
      <c r="C48" s="9" t="s">
        <v>784</v>
      </c>
      <c r="D48" s="9" t="s">
        <v>39</v>
      </c>
      <c r="E48" s="9" t="s">
        <v>40</v>
      </c>
      <c r="F48" s="9" t="s">
        <v>41</v>
      </c>
      <c r="G48" s="10" t="s">
        <v>42</v>
      </c>
    </row>
    <row r="49" spans="1:7" ht="12.75" x14ac:dyDescent="0.2">
      <c r="A49" s="36" t="s">
        <v>24</v>
      </c>
      <c r="B49" s="9" t="s">
        <v>774</v>
      </c>
      <c r="C49" s="9" t="s">
        <v>783</v>
      </c>
      <c r="D49" s="9" t="s">
        <v>39</v>
      </c>
      <c r="E49" s="9" t="s">
        <v>46</v>
      </c>
      <c r="F49" s="9" t="s">
        <v>41</v>
      </c>
      <c r="G49" s="10" t="s">
        <v>42</v>
      </c>
    </row>
    <row r="50" spans="1:7" ht="12.75" x14ac:dyDescent="0.2">
      <c r="A50" s="37"/>
      <c r="B50" s="9" t="s">
        <v>774</v>
      </c>
      <c r="C50" s="9" t="s">
        <v>782</v>
      </c>
      <c r="D50" s="9" t="s">
        <v>39</v>
      </c>
      <c r="E50" s="9" t="s">
        <v>46</v>
      </c>
      <c r="F50" s="9" t="s">
        <v>41</v>
      </c>
      <c r="G50" s="10" t="s">
        <v>42</v>
      </c>
    </row>
    <row r="51" spans="1:7" ht="12.75" x14ac:dyDescent="0.2">
      <c r="A51" s="39"/>
      <c r="B51" s="9" t="s">
        <v>774</v>
      </c>
      <c r="C51" s="9" t="s">
        <v>781</v>
      </c>
      <c r="D51" s="9" t="s">
        <v>39</v>
      </c>
      <c r="E51" s="9" t="s">
        <v>46</v>
      </c>
      <c r="F51" s="9" t="s">
        <v>41</v>
      </c>
      <c r="G51" s="10" t="s">
        <v>42</v>
      </c>
    </row>
    <row r="52" spans="1:7" ht="12.75" x14ac:dyDescent="0.2">
      <c r="A52" s="37"/>
      <c r="B52" s="9" t="s">
        <v>774</v>
      </c>
      <c r="C52" s="9" t="s">
        <v>785</v>
      </c>
      <c r="D52" s="9" t="s">
        <v>39</v>
      </c>
      <c r="E52" s="9" t="s">
        <v>46</v>
      </c>
      <c r="F52" s="9" t="s">
        <v>41</v>
      </c>
      <c r="G52" s="10" t="s">
        <v>42</v>
      </c>
    </row>
    <row r="53" spans="1:7" ht="12.75" x14ac:dyDescent="0.2">
      <c r="A53" s="39"/>
      <c r="B53" s="9" t="s">
        <v>774</v>
      </c>
      <c r="C53" s="9" t="s">
        <v>791</v>
      </c>
      <c r="D53" s="9" t="s">
        <v>39</v>
      </c>
      <c r="E53" s="9" t="s">
        <v>46</v>
      </c>
      <c r="F53" s="9" t="s">
        <v>41</v>
      </c>
      <c r="G53" s="10" t="s">
        <v>42</v>
      </c>
    </row>
    <row r="54" spans="1:7" ht="12.75" x14ac:dyDescent="0.2">
      <c r="A54" s="37"/>
      <c r="B54" s="9" t="s">
        <v>774</v>
      </c>
      <c r="C54" s="9" t="s">
        <v>792</v>
      </c>
      <c r="D54" s="9" t="s">
        <v>39</v>
      </c>
      <c r="E54" s="9" t="s">
        <v>46</v>
      </c>
      <c r="F54" s="9" t="s">
        <v>41</v>
      </c>
      <c r="G54" s="10" t="s">
        <v>42</v>
      </c>
    </row>
    <row r="55" spans="1:7" ht="12.75" x14ac:dyDescent="0.2">
      <c r="A55" s="39"/>
      <c r="B55" s="9" t="s">
        <v>774</v>
      </c>
      <c r="C55" s="9" t="s">
        <v>789</v>
      </c>
      <c r="D55" s="9" t="s">
        <v>39</v>
      </c>
      <c r="E55" s="9" t="s">
        <v>46</v>
      </c>
      <c r="F55" s="9" t="s">
        <v>41</v>
      </c>
      <c r="G55" s="10" t="s">
        <v>42</v>
      </c>
    </row>
    <row r="56" spans="1:7" ht="12.75" x14ac:dyDescent="0.2">
      <c r="A56" s="37"/>
      <c r="B56" s="9" t="s">
        <v>774</v>
      </c>
      <c r="C56" s="9" t="s">
        <v>788</v>
      </c>
      <c r="D56" s="9" t="s">
        <v>39</v>
      </c>
      <c r="E56" s="9" t="s">
        <v>46</v>
      </c>
      <c r="F56" s="9" t="s">
        <v>41</v>
      </c>
      <c r="G56" s="10" t="s">
        <v>42</v>
      </c>
    </row>
    <row r="57" spans="1:7" ht="12.75" x14ac:dyDescent="0.2">
      <c r="A57" s="39"/>
      <c r="B57" s="9" t="s">
        <v>774</v>
      </c>
      <c r="C57" s="9" t="s">
        <v>793</v>
      </c>
      <c r="D57" s="9" t="s">
        <v>39</v>
      </c>
      <c r="E57" s="9" t="s">
        <v>46</v>
      </c>
      <c r="F57" s="9" t="s">
        <v>41</v>
      </c>
      <c r="G57" s="10" t="s">
        <v>42</v>
      </c>
    </row>
    <row r="58" spans="1:7" ht="12.75" x14ac:dyDescent="0.2">
      <c r="A58" s="37"/>
      <c r="B58" s="9" t="s">
        <v>774</v>
      </c>
      <c r="C58" s="9" t="s">
        <v>794</v>
      </c>
      <c r="D58" s="9" t="s">
        <v>39</v>
      </c>
      <c r="E58" s="9" t="s">
        <v>46</v>
      </c>
      <c r="F58" s="9" t="s">
        <v>41</v>
      </c>
      <c r="G58" s="10" t="s">
        <v>42</v>
      </c>
    </row>
    <row r="59" spans="1:7" ht="12.75" x14ac:dyDescent="0.2">
      <c r="A59" s="39"/>
      <c r="B59" s="9" t="s">
        <v>774</v>
      </c>
      <c r="C59" s="9" t="s">
        <v>795</v>
      </c>
      <c r="D59" s="9" t="s">
        <v>39</v>
      </c>
      <c r="E59" s="9" t="s">
        <v>46</v>
      </c>
      <c r="F59" s="9" t="s">
        <v>47</v>
      </c>
      <c r="G59" s="10" t="s">
        <v>42</v>
      </c>
    </row>
    <row r="60" spans="1:7" ht="12.75" x14ac:dyDescent="0.2">
      <c r="A60" s="37"/>
      <c r="B60" s="9" t="s">
        <v>774</v>
      </c>
      <c r="C60" s="9" t="s">
        <v>796</v>
      </c>
      <c r="D60" s="9" t="s">
        <v>39</v>
      </c>
      <c r="E60" s="9" t="s">
        <v>46</v>
      </c>
      <c r="F60" s="9" t="s">
        <v>41</v>
      </c>
      <c r="G60" s="10" t="s">
        <v>42</v>
      </c>
    </row>
    <row r="61" spans="1:7" ht="12.75" x14ac:dyDescent="0.2">
      <c r="A61" s="39"/>
      <c r="B61" s="9" t="s">
        <v>774</v>
      </c>
      <c r="C61" s="9" t="s">
        <v>797</v>
      </c>
      <c r="D61" s="9" t="s">
        <v>39</v>
      </c>
      <c r="E61" s="9" t="s">
        <v>46</v>
      </c>
      <c r="F61" s="9" t="s">
        <v>41</v>
      </c>
      <c r="G61" s="10" t="s">
        <v>42</v>
      </c>
    </row>
    <row r="62" spans="1:7" ht="12.75" x14ac:dyDescent="0.2">
      <c r="A62" s="37"/>
      <c r="B62" s="9" t="s">
        <v>774</v>
      </c>
      <c r="C62" s="9" t="s">
        <v>798</v>
      </c>
      <c r="D62" s="9" t="s">
        <v>39</v>
      </c>
      <c r="E62" s="9" t="s">
        <v>46</v>
      </c>
      <c r="F62" s="9" t="s">
        <v>41</v>
      </c>
      <c r="G62" s="10" t="s">
        <v>42</v>
      </c>
    </row>
    <row r="63" spans="1:7" ht="12.75" x14ac:dyDescent="0.2">
      <c r="A63" s="39"/>
      <c r="B63" s="9" t="s">
        <v>774</v>
      </c>
      <c r="C63" s="9" t="s">
        <v>799</v>
      </c>
      <c r="D63" s="9" t="s">
        <v>39</v>
      </c>
      <c r="E63" s="9" t="s">
        <v>46</v>
      </c>
      <c r="F63" s="9" t="s">
        <v>41</v>
      </c>
      <c r="G63" s="10" t="s">
        <v>42</v>
      </c>
    </row>
    <row r="64" spans="1:7" ht="12.75" x14ac:dyDescent="0.2">
      <c r="A64" s="37"/>
      <c r="B64" s="9" t="s">
        <v>774</v>
      </c>
      <c r="C64" s="9" t="s">
        <v>800</v>
      </c>
      <c r="D64" s="9" t="s">
        <v>39</v>
      </c>
      <c r="E64" s="9" t="s">
        <v>46</v>
      </c>
      <c r="F64" s="9" t="s">
        <v>41</v>
      </c>
      <c r="G64" s="10" t="s">
        <v>42</v>
      </c>
    </row>
    <row r="65" spans="1:7" ht="12.75" x14ac:dyDescent="0.2">
      <c r="A65" s="39"/>
      <c r="B65" s="9" t="s">
        <v>774</v>
      </c>
      <c r="C65" s="9" t="s">
        <v>801</v>
      </c>
      <c r="D65" s="9" t="s">
        <v>39</v>
      </c>
      <c r="E65" s="9" t="s">
        <v>46</v>
      </c>
      <c r="F65" s="9" t="s">
        <v>47</v>
      </c>
      <c r="G65" s="10" t="s">
        <v>42</v>
      </c>
    </row>
    <row r="66" spans="1:7" ht="12.75" x14ac:dyDescent="0.2">
      <c r="A66" s="37"/>
      <c r="B66" s="9" t="s">
        <v>774</v>
      </c>
      <c r="C66" s="9" t="s">
        <v>802</v>
      </c>
      <c r="D66" s="9" t="s">
        <v>39</v>
      </c>
      <c r="E66" s="9" t="s">
        <v>46</v>
      </c>
      <c r="F66" s="9" t="s">
        <v>41</v>
      </c>
      <c r="G66" s="10" t="s">
        <v>42</v>
      </c>
    </row>
    <row r="67" spans="1:7" ht="12.75" x14ac:dyDescent="0.2">
      <c r="A67" s="39"/>
      <c r="B67" s="9" t="s">
        <v>774</v>
      </c>
      <c r="C67" s="9" t="s">
        <v>803</v>
      </c>
      <c r="D67" s="9" t="s">
        <v>39</v>
      </c>
      <c r="E67" s="9" t="s">
        <v>46</v>
      </c>
      <c r="F67" s="9" t="s">
        <v>41</v>
      </c>
      <c r="G67" s="10" t="s">
        <v>42</v>
      </c>
    </row>
    <row r="68" spans="1:7" ht="12.75" x14ac:dyDescent="0.2">
      <c r="A68" s="37"/>
      <c r="B68" s="9" t="s">
        <v>774</v>
      </c>
      <c r="C68" s="9" t="s">
        <v>804</v>
      </c>
      <c r="D68" s="9" t="s">
        <v>39</v>
      </c>
      <c r="E68" s="9" t="s">
        <v>46</v>
      </c>
      <c r="F68" s="9" t="s">
        <v>41</v>
      </c>
      <c r="G68" s="10" t="s">
        <v>42</v>
      </c>
    </row>
    <row r="69" spans="1:7" ht="12.75" x14ac:dyDescent="0.2">
      <c r="A69" s="39"/>
      <c r="B69" s="9" t="s">
        <v>774</v>
      </c>
      <c r="C69" s="9" t="s">
        <v>805</v>
      </c>
      <c r="D69" s="9" t="s">
        <v>39</v>
      </c>
      <c r="E69" s="9" t="s">
        <v>46</v>
      </c>
      <c r="F69" s="9" t="s">
        <v>41</v>
      </c>
      <c r="G69" s="10" t="s">
        <v>42</v>
      </c>
    </row>
    <row r="70" spans="1:7" ht="12.75" x14ac:dyDescent="0.2">
      <c r="A70" s="37"/>
      <c r="B70" s="9" t="s">
        <v>774</v>
      </c>
      <c r="C70" s="9" t="s">
        <v>806</v>
      </c>
      <c r="D70" s="9" t="s">
        <v>39</v>
      </c>
      <c r="E70" s="9" t="s">
        <v>46</v>
      </c>
      <c r="F70" s="9" t="s">
        <v>41</v>
      </c>
      <c r="G70" s="10" t="s">
        <v>42</v>
      </c>
    </row>
    <row r="71" spans="1:7" ht="12.75" x14ac:dyDescent="0.2">
      <c r="A71" s="39"/>
      <c r="B71" s="9" t="s">
        <v>774</v>
      </c>
      <c r="C71" s="9" t="s">
        <v>807</v>
      </c>
      <c r="D71" s="9" t="s">
        <v>39</v>
      </c>
      <c r="E71" s="9" t="s">
        <v>46</v>
      </c>
      <c r="F71" s="9" t="s">
        <v>41</v>
      </c>
      <c r="G71" s="10" t="s">
        <v>42</v>
      </c>
    </row>
    <row r="72" spans="1:7" ht="12.75" x14ac:dyDescent="0.2">
      <c r="A72" s="37"/>
      <c r="B72" s="9" t="s">
        <v>774</v>
      </c>
      <c r="C72" s="9" t="s">
        <v>808</v>
      </c>
      <c r="D72" s="9" t="s">
        <v>39</v>
      </c>
      <c r="E72" s="9" t="s">
        <v>46</v>
      </c>
      <c r="F72" s="9" t="s">
        <v>41</v>
      </c>
      <c r="G72" s="10" t="s">
        <v>42</v>
      </c>
    </row>
    <row r="73" spans="1:7" ht="12.75" x14ac:dyDescent="0.2">
      <c r="A73" s="39"/>
      <c r="B73" s="9" t="s">
        <v>774</v>
      </c>
      <c r="C73" s="9" t="s">
        <v>809</v>
      </c>
      <c r="D73" s="9" t="s">
        <v>39</v>
      </c>
      <c r="E73" s="9" t="s">
        <v>46</v>
      </c>
      <c r="F73" s="9" t="s">
        <v>41</v>
      </c>
      <c r="G73" s="10" t="s">
        <v>42</v>
      </c>
    </row>
    <row r="74" spans="1:7" ht="12.75" x14ac:dyDescent="0.2">
      <c r="A74" s="37"/>
      <c r="B74" s="9" t="s">
        <v>774</v>
      </c>
      <c r="C74" s="9" t="s">
        <v>810</v>
      </c>
      <c r="D74" s="9" t="s">
        <v>39</v>
      </c>
      <c r="E74" s="9" t="s">
        <v>46</v>
      </c>
      <c r="F74" s="9" t="s">
        <v>41</v>
      </c>
      <c r="G74" s="10" t="s">
        <v>42</v>
      </c>
    </row>
    <row r="75" spans="1:7" ht="12.75" x14ac:dyDescent="0.2">
      <c r="A75" s="39"/>
      <c r="B75" s="9" t="s">
        <v>774</v>
      </c>
      <c r="C75" s="9" t="s">
        <v>811</v>
      </c>
      <c r="D75" s="9" t="s">
        <v>39</v>
      </c>
      <c r="E75" s="9" t="s">
        <v>46</v>
      </c>
      <c r="F75" s="9" t="s">
        <v>41</v>
      </c>
      <c r="G75" s="10" t="s">
        <v>42</v>
      </c>
    </row>
    <row r="76" spans="1:7" ht="12.75" x14ac:dyDescent="0.2">
      <c r="A76" s="37"/>
      <c r="B76" s="9" t="s">
        <v>774</v>
      </c>
      <c r="C76" s="9" t="s">
        <v>812</v>
      </c>
      <c r="D76" s="9" t="s">
        <v>39</v>
      </c>
      <c r="E76" s="9" t="s">
        <v>46</v>
      </c>
      <c r="F76" s="9" t="s">
        <v>41</v>
      </c>
      <c r="G76" s="10" t="s">
        <v>42</v>
      </c>
    </row>
    <row r="77" spans="1:7" ht="12.75" x14ac:dyDescent="0.2">
      <c r="A77" s="39"/>
      <c r="B77" s="9" t="s">
        <v>774</v>
      </c>
      <c r="C77" s="9" t="s">
        <v>813</v>
      </c>
      <c r="D77" s="9" t="s">
        <v>39</v>
      </c>
      <c r="E77" s="9" t="s">
        <v>46</v>
      </c>
      <c r="F77" s="9" t="s">
        <v>41</v>
      </c>
      <c r="G77" s="10" t="s">
        <v>42</v>
      </c>
    </row>
    <row r="78" spans="1:7" ht="12.75" x14ac:dyDescent="0.2">
      <c r="A78" s="37"/>
      <c r="B78" s="9" t="s">
        <v>774</v>
      </c>
      <c r="C78" s="9" t="s">
        <v>779</v>
      </c>
      <c r="D78" s="9" t="s">
        <v>39</v>
      </c>
      <c r="E78" s="9" t="s">
        <v>46</v>
      </c>
      <c r="F78" s="9" t="s">
        <v>41</v>
      </c>
      <c r="G78" s="10" t="s">
        <v>42</v>
      </c>
    </row>
    <row r="79" spans="1:7" ht="12.75" x14ac:dyDescent="0.2">
      <c r="A79" s="39"/>
      <c r="B79" s="9" t="s">
        <v>774</v>
      </c>
      <c r="C79" s="9" t="s">
        <v>814</v>
      </c>
      <c r="D79" s="9" t="s">
        <v>39</v>
      </c>
      <c r="E79" s="9" t="s">
        <v>46</v>
      </c>
      <c r="F79" s="9" t="s">
        <v>41</v>
      </c>
      <c r="G79" s="10" t="s">
        <v>42</v>
      </c>
    </row>
    <row r="80" spans="1:7" ht="12.75" x14ac:dyDescent="0.2">
      <c r="A80" s="37"/>
      <c r="B80" s="9" t="s">
        <v>774</v>
      </c>
      <c r="C80" s="9" t="s">
        <v>815</v>
      </c>
      <c r="D80" s="9" t="s">
        <v>39</v>
      </c>
      <c r="E80" s="9" t="s">
        <v>46</v>
      </c>
      <c r="F80" s="9" t="s">
        <v>41</v>
      </c>
      <c r="G80" s="10" t="s">
        <v>42</v>
      </c>
    </row>
    <row r="81" spans="1:7" ht="12.75" x14ac:dyDescent="0.2">
      <c r="A81" s="39"/>
      <c r="B81" s="9" t="s">
        <v>774</v>
      </c>
      <c r="C81" s="9" t="s">
        <v>816</v>
      </c>
      <c r="D81" s="9" t="s">
        <v>39</v>
      </c>
      <c r="E81" s="9" t="s">
        <v>46</v>
      </c>
      <c r="F81" s="9" t="s">
        <v>41</v>
      </c>
      <c r="G81" s="10" t="s">
        <v>42</v>
      </c>
    </row>
    <row r="82" spans="1:7" ht="12.75" x14ac:dyDescent="0.2">
      <c r="A82" s="37"/>
      <c r="B82" s="9" t="s">
        <v>774</v>
      </c>
      <c r="C82" s="9" t="s">
        <v>817</v>
      </c>
      <c r="D82" s="9" t="s">
        <v>39</v>
      </c>
      <c r="E82" s="9" t="s">
        <v>46</v>
      </c>
      <c r="F82" s="9" t="s">
        <v>41</v>
      </c>
      <c r="G82" s="10" t="s">
        <v>42</v>
      </c>
    </row>
    <row r="83" spans="1:7" ht="12.75" x14ac:dyDescent="0.2">
      <c r="A83" s="39"/>
      <c r="B83" s="9" t="s">
        <v>774</v>
      </c>
      <c r="C83" s="9" t="s">
        <v>818</v>
      </c>
      <c r="D83" s="9" t="s">
        <v>39</v>
      </c>
      <c r="E83" s="9" t="s">
        <v>46</v>
      </c>
      <c r="F83" s="9" t="s">
        <v>41</v>
      </c>
      <c r="G83" s="10" t="s">
        <v>42</v>
      </c>
    </row>
    <row r="84" spans="1:7" ht="12.75" x14ac:dyDescent="0.2">
      <c r="A84" s="37"/>
      <c r="B84" s="9" t="s">
        <v>774</v>
      </c>
      <c r="C84" s="9" t="s">
        <v>819</v>
      </c>
      <c r="D84" s="9" t="s">
        <v>39</v>
      </c>
      <c r="E84" s="9" t="s">
        <v>46</v>
      </c>
      <c r="F84" s="9" t="s">
        <v>41</v>
      </c>
      <c r="G84" s="10" t="s">
        <v>42</v>
      </c>
    </row>
    <row r="85" spans="1:7" ht="12.75" x14ac:dyDescent="0.2">
      <c r="A85" s="39"/>
      <c r="B85" s="9" t="s">
        <v>774</v>
      </c>
      <c r="C85" s="9" t="s">
        <v>820</v>
      </c>
      <c r="D85" s="9" t="s">
        <v>39</v>
      </c>
      <c r="E85" s="9" t="s">
        <v>46</v>
      </c>
      <c r="F85" s="9" t="s">
        <v>41</v>
      </c>
      <c r="G85" s="10" t="s">
        <v>42</v>
      </c>
    </row>
    <row r="86" spans="1:7" ht="12.75" x14ac:dyDescent="0.2">
      <c r="A86" s="37"/>
      <c r="B86" s="9" t="s">
        <v>774</v>
      </c>
      <c r="C86" s="9" t="s">
        <v>821</v>
      </c>
      <c r="D86" s="9" t="s">
        <v>39</v>
      </c>
      <c r="E86" s="9" t="s">
        <v>46</v>
      </c>
      <c r="F86" s="9" t="s">
        <v>41</v>
      </c>
      <c r="G86" s="10" t="s">
        <v>42</v>
      </c>
    </row>
    <row r="87" spans="1:7" ht="12.75" x14ac:dyDescent="0.2">
      <c r="A87" s="39"/>
      <c r="B87" s="9" t="s">
        <v>774</v>
      </c>
      <c r="C87" s="9" t="s">
        <v>822</v>
      </c>
      <c r="D87" s="9" t="s">
        <v>39</v>
      </c>
      <c r="E87" s="9" t="s">
        <v>46</v>
      </c>
      <c r="F87" s="9" t="s">
        <v>41</v>
      </c>
      <c r="G87" s="10" t="s">
        <v>42</v>
      </c>
    </row>
    <row r="88" spans="1:7" ht="12.75" x14ac:dyDescent="0.2">
      <c r="A88" s="37"/>
      <c r="B88" s="9" t="s">
        <v>774</v>
      </c>
      <c r="C88" s="9" t="s">
        <v>823</v>
      </c>
      <c r="D88" s="9" t="s">
        <v>39</v>
      </c>
      <c r="E88" s="9" t="s">
        <v>46</v>
      </c>
      <c r="F88" s="9" t="s">
        <v>41</v>
      </c>
      <c r="G88" s="10" t="s">
        <v>42</v>
      </c>
    </row>
    <row r="89" spans="1:7" ht="12.75" x14ac:dyDescent="0.2">
      <c r="A89" s="39"/>
      <c r="B89" s="9" t="s">
        <v>774</v>
      </c>
      <c r="C89" s="9" t="s">
        <v>824</v>
      </c>
      <c r="D89" s="9" t="s">
        <v>39</v>
      </c>
      <c r="E89" s="9" t="s">
        <v>46</v>
      </c>
      <c r="F89" s="9" t="s">
        <v>41</v>
      </c>
      <c r="G89" s="10" t="s">
        <v>42</v>
      </c>
    </row>
    <row r="90" spans="1:7" ht="12.75" x14ac:dyDescent="0.2">
      <c r="A90" s="37"/>
      <c r="B90" s="9" t="s">
        <v>774</v>
      </c>
      <c r="C90" s="9" t="s">
        <v>825</v>
      </c>
      <c r="D90" s="9" t="s">
        <v>39</v>
      </c>
      <c r="E90" s="9" t="s">
        <v>46</v>
      </c>
      <c r="F90" s="9" t="s">
        <v>41</v>
      </c>
      <c r="G90" s="10" t="s">
        <v>42</v>
      </c>
    </row>
    <row r="91" spans="1:7" ht="12.75" x14ac:dyDescent="0.2">
      <c r="A91" s="39"/>
      <c r="B91" s="9" t="s">
        <v>774</v>
      </c>
      <c r="C91" s="9" t="s">
        <v>673</v>
      </c>
      <c r="D91" s="9" t="s">
        <v>39</v>
      </c>
      <c r="E91" s="9" t="s">
        <v>46</v>
      </c>
      <c r="F91" s="9" t="s">
        <v>41</v>
      </c>
      <c r="G91" s="10" t="s">
        <v>42</v>
      </c>
    </row>
    <row r="92" spans="1:7" ht="12.75" x14ac:dyDescent="0.2">
      <c r="A92" s="37"/>
      <c r="B92" s="9" t="s">
        <v>774</v>
      </c>
      <c r="C92" s="9" t="s">
        <v>786</v>
      </c>
      <c r="D92" s="9" t="s">
        <v>39</v>
      </c>
      <c r="E92" s="9" t="s">
        <v>46</v>
      </c>
      <c r="F92" s="9" t="s">
        <v>41</v>
      </c>
      <c r="G92" s="10" t="s">
        <v>42</v>
      </c>
    </row>
    <row r="93" spans="1:7" ht="12.75" x14ac:dyDescent="0.2">
      <c r="A93" s="39"/>
      <c r="B93" s="9" t="s">
        <v>774</v>
      </c>
      <c r="C93" s="9" t="s">
        <v>778</v>
      </c>
      <c r="D93" s="9" t="s">
        <v>39</v>
      </c>
      <c r="E93" s="9" t="s">
        <v>46</v>
      </c>
      <c r="F93" s="9" t="s">
        <v>41</v>
      </c>
      <c r="G93" s="10" t="s">
        <v>42</v>
      </c>
    </row>
    <row r="94" spans="1:7" ht="12.75" x14ac:dyDescent="0.2">
      <c r="A94" s="37"/>
      <c r="B94" s="9" t="s">
        <v>774</v>
      </c>
      <c r="C94" s="9" t="s">
        <v>777</v>
      </c>
      <c r="D94" s="9" t="s">
        <v>39</v>
      </c>
      <c r="E94" s="9" t="s">
        <v>46</v>
      </c>
      <c r="F94" s="9" t="s">
        <v>41</v>
      </c>
      <c r="G94" s="10" t="s">
        <v>42</v>
      </c>
    </row>
    <row r="95" spans="1:7" ht="12.75" x14ac:dyDescent="0.2">
      <c r="A95" s="39"/>
      <c r="B95" s="9" t="s">
        <v>774</v>
      </c>
      <c r="C95" s="9" t="s">
        <v>826</v>
      </c>
      <c r="D95" s="9" t="s">
        <v>39</v>
      </c>
      <c r="E95" s="9" t="s">
        <v>46</v>
      </c>
      <c r="F95" s="9" t="s">
        <v>41</v>
      </c>
      <c r="G95" s="10" t="s">
        <v>42</v>
      </c>
    </row>
    <row r="96" spans="1:7" ht="12.75" x14ac:dyDescent="0.2">
      <c r="A96" s="37"/>
      <c r="B96" s="9" t="s">
        <v>774</v>
      </c>
      <c r="C96" s="9" t="s">
        <v>787</v>
      </c>
      <c r="D96" s="9" t="s">
        <v>39</v>
      </c>
      <c r="E96" s="9" t="s">
        <v>46</v>
      </c>
      <c r="F96" s="9" t="s">
        <v>41</v>
      </c>
      <c r="G96" s="10" t="s">
        <v>42</v>
      </c>
    </row>
    <row r="97" spans="1:7" ht="12.75" x14ac:dyDescent="0.2">
      <c r="A97" s="39"/>
      <c r="B97" s="9" t="s">
        <v>774</v>
      </c>
      <c r="C97" s="9" t="s">
        <v>776</v>
      </c>
      <c r="D97" s="9" t="s">
        <v>39</v>
      </c>
      <c r="E97" s="9" t="s">
        <v>46</v>
      </c>
      <c r="F97" s="9" t="s">
        <v>41</v>
      </c>
      <c r="G97" s="10" t="s">
        <v>42</v>
      </c>
    </row>
    <row r="98" spans="1:7" ht="12.75" x14ac:dyDescent="0.2">
      <c r="A98" s="37"/>
      <c r="B98" s="9" t="s">
        <v>774</v>
      </c>
      <c r="C98" s="9" t="s">
        <v>827</v>
      </c>
      <c r="D98" s="9" t="s">
        <v>39</v>
      </c>
      <c r="E98" s="9" t="s">
        <v>46</v>
      </c>
      <c r="F98" s="9" t="s">
        <v>41</v>
      </c>
      <c r="G98" s="10" t="s">
        <v>42</v>
      </c>
    </row>
    <row r="99" spans="1:7" ht="12.75" x14ac:dyDescent="0.2">
      <c r="A99" s="39"/>
      <c r="B99" s="9" t="s">
        <v>774</v>
      </c>
      <c r="C99" s="9" t="s">
        <v>828</v>
      </c>
      <c r="D99" s="9" t="s">
        <v>39</v>
      </c>
      <c r="E99" s="9" t="s">
        <v>46</v>
      </c>
      <c r="F99" s="9" t="s">
        <v>47</v>
      </c>
      <c r="G99" s="10" t="s">
        <v>42</v>
      </c>
    </row>
    <row r="100" spans="1:7" ht="12.75" x14ac:dyDescent="0.2">
      <c r="A100" s="37"/>
      <c r="B100" s="9" t="s">
        <v>774</v>
      </c>
      <c r="C100" s="9" t="s">
        <v>829</v>
      </c>
      <c r="D100" s="9" t="s">
        <v>39</v>
      </c>
      <c r="E100" s="9" t="s">
        <v>46</v>
      </c>
      <c r="F100" s="9" t="s">
        <v>47</v>
      </c>
      <c r="G100" s="10" t="s">
        <v>42</v>
      </c>
    </row>
    <row r="101" spans="1:7" ht="12.75" x14ac:dyDescent="0.2">
      <c r="A101" s="39"/>
      <c r="B101" s="9" t="s">
        <v>774</v>
      </c>
      <c r="C101" s="9" t="s">
        <v>652</v>
      </c>
      <c r="D101" s="9" t="s">
        <v>39</v>
      </c>
      <c r="E101" s="9" t="s">
        <v>46</v>
      </c>
      <c r="F101" s="9" t="s">
        <v>47</v>
      </c>
      <c r="G101" s="10" t="s">
        <v>42</v>
      </c>
    </row>
    <row r="102" spans="1:7" ht="12.75" x14ac:dyDescent="0.2">
      <c r="A102" s="37"/>
      <c r="B102" s="9" t="s">
        <v>774</v>
      </c>
      <c r="C102" s="9" t="s">
        <v>830</v>
      </c>
      <c r="D102" s="9" t="s">
        <v>39</v>
      </c>
      <c r="E102" s="9" t="s">
        <v>46</v>
      </c>
      <c r="F102" s="9" t="s">
        <v>47</v>
      </c>
      <c r="G102" s="10" t="s">
        <v>42</v>
      </c>
    </row>
    <row r="103" spans="1:7" ht="12.75" x14ac:dyDescent="0.2">
      <c r="A103" s="39"/>
      <c r="B103" s="9" t="s">
        <v>774</v>
      </c>
      <c r="C103" s="9" t="s">
        <v>831</v>
      </c>
      <c r="D103" s="9" t="s">
        <v>39</v>
      </c>
      <c r="E103" s="9" t="s">
        <v>46</v>
      </c>
      <c r="F103" s="9" t="s">
        <v>47</v>
      </c>
      <c r="G103" s="10" t="s">
        <v>42</v>
      </c>
    </row>
    <row r="104" spans="1:7" ht="12.75" x14ac:dyDescent="0.2">
      <c r="A104" s="37"/>
      <c r="B104" s="9" t="s">
        <v>774</v>
      </c>
      <c r="C104" s="9" t="s">
        <v>832</v>
      </c>
      <c r="D104" s="9" t="s">
        <v>39</v>
      </c>
      <c r="E104" s="9" t="s">
        <v>46</v>
      </c>
      <c r="F104" s="9" t="s">
        <v>47</v>
      </c>
      <c r="G104" s="10" t="s">
        <v>42</v>
      </c>
    </row>
    <row r="105" spans="1:7" ht="12.75" x14ac:dyDescent="0.2">
      <c r="A105" s="39"/>
      <c r="B105" s="9" t="s">
        <v>774</v>
      </c>
      <c r="C105" s="9" t="s">
        <v>833</v>
      </c>
      <c r="D105" s="9" t="s">
        <v>39</v>
      </c>
      <c r="E105" s="9" t="s">
        <v>46</v>
      </c>
      <c r="F105" s="9" t="s">
        <v>47</v>
      </c>
      <c r="G105" s="10" t="s">
        <v>42</v>
      </c>
    </row>
    <row r="106" spans="1:7" ht="12.75" x14ac:dyDescent="0.2">
      <c r="A106" s="40"/>
      <c r="B106" s="9" t="s">
        <v>774</v>
      </c>
      <c r="C106" s="9" t="s">
        <v>834</v>
      </c>
      <c r="D106" s="9" t="s">
        <v>39</v>
      </c>
      <c r="E106" s="9" t="s">
        <v>46</v>
      </c>
      <c r="F106" s="9" t="s">
        <v>47</v>
      </c>
      <c r="G106" s="10" t="s">
        <v>42</v>
      </c>
    </row>
    <row r="107" spans="1:7" ht="12.75" x14ac:dyDescent="0.2">
      <c r="A107" s="36" t="s">
        <v>25</v>
      </c>
      <c r="B107" s="9" t="s">
        <v>774</v>
      </c>
      <c r="C107" s="9" t="s">
        <v>652</v>
      </c>
      <c r="D107" s="9" t="s">
        <v>39</v>
      </c>
      <c r="E107" s="9" t="s">
        <v>46</v>
      </c>
      <c r="F107" s="9" t="s">
        <v>47</v>
      </c>
      <c r="G107" s="10" t="s">
        <v>42</v>
      </c>
    </row>
    <row r="108" spans="1:7" ht="12.75" x14ac:dyDescent="0.2">
      <c r="A108" s="37"/>
      <c r="B108" s="9" t="s">
        <v>774</v>
      </c>
      <c r="C108" s="9" t="s">
        <v>835</v>
      </c>
      <c r="D108" s="9" t="s">
        <v>39</v>
      </c>
      <c r="E108" s="9" t="s">
        <v>46</v>
      </c>
      <c r="F108" s="9" t="s">
        <v>51</v>
      </c>
      <c r="G108" s="10" t="s">
        <v>42</v>
      </c>
    </row>
    <row r="109" spans="1:7" ht="12.75" x14ac:dyDescent="0.2">
      <c r="A109" s="39"/>
      <c r="B109" s="9" t="s">
        <v>774</v>
      </c>
      <c r="C109" s="9" t="s">
        <v>817</v>
      </c>
      <c r="D109" s="9" t="s">
        <v>39</v>
      </c>
      <c r="E109" s="9" t="s">
        <v>46</v>
      </c>
      <c r="F109" s="9" t="s">
        <v>51</v>
      </c>
      <c r="G109" s="10" t="s">
        <v>42</v>
      </c>
    </row>
    <row r="110" spans="1:7" ht="12.75" x14ac:dyDescent="0.2">
      <c r="A110" s="37"/>
      <c r="B110" s="9" t="s">
        <v>774</v>
      </c>
      <c r="C110" s="9" t="s">
        <v>836</v>
      </c>
      <c r="D110" s="9" t="s">
        <v>39</v>
      </c>
      <c r="E110" s="9" t="s">
        <v>46</v>
      </c>
      <c r="F110" s="9" t="s">
        <v>51</v>
      </c>
      <c r="G110" s="10" t="s">
        <v>42</v>
      </c>
    </row>
    <row r="111" spans="1:7" ht="12.75" x14ac:dyDescent="0.2">
      <c r="A111" s="39"/>
      <c r="B111" s="9" t="s">
        <v>774</v>
      </c>
      <c r="C111" s="9" t="s">
        <v>837</v>
      </c>
      <c r="D111" s="9" t="s">
        <v>39</v>
      </c>
      <c r="E111" s="9" t="s">
        <v>46</v>
      </c>
      <c r="F111" s="9" t="s">
        <v>51</v>
      </c>
      <c r="G111" s="10" t="s">
        <v>42</v>
      </c>
    </row>
    <row r="112" spans="1:7" ht="12.75" x14ac:dyDescent="0.2">
      <c r="A112" s="37"/>
      <c r="B112" s="9" t="s">
        <v>774</v>
      </c>
      <c r="C112" s="9" t="s">
        <v>814</v>
      </c>
      <c r="D112" s="9" t="s">
        <v>39</v>
      </c>
      <c r="E112" s="9" t="s">
        <v>46</v>
      </c>
      <c r="F112" s="9" t="s">
        <v>51</v>
      </c>
      <c r="G112" s="10" t="s">
        <v>42</v>
      </c>
    </row>
    <row r="113" spans="1:7" ht="12.75" x14ac:dyDescent="0.2">
      <c r="A113" s="39"/>
      <c r="B113" s="9" t="s">
        <v>774</v>
      </c>
      <c r="C113" s="9" t="s">
        <v>818</v>
      </c>
      <c r="D113" s="9" t="s">
        <v>39</v>
      </c>
      <c r="E113" s="9" t="s">
        <v>46</v>
      </c>
      <c r="F113" s="9" t="s">
        <v>51</v>
      </c>
      <c r="G113" s="10" t="s">
        <v>42</v>
      </c>
    </row>
    <row r="114" spans="1:7" ht="12.75" x14ac:dyDescent="0.2">
      <c r="A114" s="37"/>
      <c r="B114" s="9" t="s">
        <v>774</v>
      </c>
      <c r="C114" s="9" t="s">
        <v>838</v>
      </c>
      <c r="D114" s="9" t="s">
        <v>39</v>
      </c>
      <c r="E114" s="9" t="s">
        <v>46</v>
      </c>
      <c r="F114" s="9" t="s">
        <v>47</v>
      </c>
      <c r="G114" s="10" t="s">
        <v>42</v>
      </c>
    </row>
    <row r="115" spans="1:7" ht="12.75" x14ac:dyDescent="0.2">
      <c r="A115" s="39"/>
      <c r="B115" s="9" t="s">
        <v>774</v>
      </c>
      <c r="C115" s="9" t="s">
        <v>839</v>
      </c>
      <c r="D115" s="9" t="s">
        <v>94</v>
      </c>
      <c r="E115" s="9" t="s">
        <v>46</v>
      </c>
      <c r="F115" s="9" t="s">
        <v>51</v>
      </c>
      <c r="G115" s="10" t="s">
        <v>42</v>
      </c>
    </row>
    <row r="116" spans="1:7" ht="12.75" x14ac:dyDescent="0.2">
      <c r="A116" s="37"/>
      <c r="B116" s="9" t="s">
        <v>774</v>
      </c>
      <c r="C116" s="9" t="s">
        <v>813</v>
      </c>
      <c r="D116" s="9" t="s">
        <v>39</v>
      </c>
      <c r="E116" s="9" t="s">
        <v>46</v>
      </c>
      <c r="F116" s="9" t="s">
        <v>51</v>
      </c>
      <c r="G116" s="10" t="s">
        <v>42</v>
      </c>
    </row>
    <row r="117" spans="1:7" ht="12.75" x14ac:dyDescent="0.2">
      <c r="A117" s="39"/>
      <c r="B117" s="9" t="s">
        <v>774</v>
      </c>
      <c r="C117" s="9" t="s">
        <v>812</v>
      </c>
      <c r="D117" s="9" t="s">
        <v>39</v>
      </c>
      <c r="E117" s="9" t="s">
        <v>46</v>
      </c>
      <c r="F117" s="9" t="s">
        <v>51</v>
      </c>
      <c r="G117" s="10" t="s">
        <v>42</v>
      </c>
    </row>
    <row r="118" spans="1:7" ht="12.75" x14ac:dyDescent="0.2">
      <c r="A118" s="37"/>
      <c r="B118" s="9" t="s">
        <v>774</v>
      </c>
      <c r="C118" s="9" t="s">
        <v>840</v>
      </c>
      <c r="D118" s="9" t="s">
        <v>39</v>
      </c>
      <c r="E118" s="9" t="s">
        <v>46</v>
      </c>
      <c r="F118" s="9" t="s">
        <v>51</v>
      </c>
      <c r="G118" s="10" t="s">
        <v>42</v>
      </c>
    </row>
    <row r="119" spans="1:7" ht="12.75" x14ac:dyDescent="0.2">
      <c r="A119" s="39"/>
      <c r="B119" s="9" t="s">
        <v>774</v>
      </c>
      <c r="C119" s="9" t="s">
        <v>841</v>
      </c>
      <c r="D119" s="9" t="s">
        <v>39</v>
      </c>
      <c r="E119" s="9" t="s">
        <v>46</v>
      </c>
      <c r="F119" s="9" t="s">
        <v>51</v>
      </c>
      <c r="G119" s="10" t="s">
        <v>42</v>
      </c>
    </row>
    <row r="120" spans="1:7" ht="12.75" x14ac:dyDescent="0.2">
      <c r="A120" s="37"/>
      <c r="B120" s="9" t="s">
        <v>774</v>
      </c>
      <c r="C120" s="9" t="s">
        <v>842</v>
      </c>
      <c r="D120" s="9" t="s">
        <v>39</v>
      </c>
      <c r="E120" s="9" t="s">
        <v>46</v>
      </c>
      <c r="F120" s="9" t="s">
        <v>51</v>
      </c>
      <c r="G120" s="10" t="s">
        <v>42</v>
      </c>
    </row>
    <row r="121" spans="1:7" ht="12.75" x14ac:dyDescent="0.2">
      <c r="A121" s="39"/>
      <c r="B121" s="9" t="s">
        <v>774</v>
      </c>
      <c r="C121" s="9" t="s">
        <v>843</v>
      </c>
      <c r="D121" s="9" t="s">
        <v>39</v>
      </c>
      <c r="E121" s="9" t="s">
        <v>46</v>
      </c>
      <c r="F121" s="9" t="s">
        <v>51</v>
      </c>
      <c r="G121" s="10" t="s">
        <v>42</v>
      </c>
    </row>
    <row r="122" spans="1:7" ht="12.75" x14ac:dyDescent="0.2">
      <c r="A122" s="37"/>
      <c r="B122" s="9" t="s">
        <v>774</v>
      </c>
      <c r="C122" s="9" t="s">
        <v>844</v>
      </c>
      <c r="D122" s="9" t="s">
        <v>39</v>
      </c>
      <c r="E122" s="9" t="s">
        <v>46</v>
      </c>
      <c r="F122" s="9" t="s">
        <v>51</v>
      </c>
      <c r="G122" s="10" t="s">
        <v>42</v>
      </c>
    </row>
    <row r="123" spans="1:7" ht="12.75" x14ac:dyDescent="0.2">
      <c r="A123" s="39"/>
      <c r="B123" s="9" t="s">
        <v>774</v>
      </c>
      <c r="C123" s="9" t="s">
        <v>807</v>
      </c>
      <c r="D123" s="9" t="s">
        <v>39</v>
      </c>
      <c r="E123" s="9" t="s">
        <v>46</v>
      </c>
      <c r="F123" s="9" t="s">
        <v>51</v>
      </c>
      <c r="G123" s="10" t="s">
        <v>42</v>
      </c>
    </row>
    <row r="124" spans="1:7" ht="12.75" x14ac:dyDescent="0.2">
      <c r="A124" s="37"/>
      <c r="B124" s="9" t="s">
        <v>774</v>
      </c>
      <c r="C124" s="9" t="s">
        <v>673</v>
      </c>
      <c r="D124" s="9" t="s">
        <v>39</v>
      </c>
      <c r="E124" s="9" t="s">
        <v>46</v>
      </c>
      <c r="F124" s="9" t="s">
        <v>51</v>
      </c>
      <c r="G124" s="10" t="s">
        <v>42</v>
      </c>
    </row>
    <row r="125" spans="1:7" ht="12.75" x14ac:dyDescent="0.2">
      <c r="A125" s="39"/>
      <c r="B125" s="9" t="s">
        <v>774</v>
      </c>
      <c r="C125" s="9" t="s">
        <v>845</v>
      </c>
      <c r="D125" s="9" t="s">
        <v>39</v>
      </c>
      <c r="E125" s="9" t="s">
        <v>46</v>
      </c>
      <c r="F125" s="9" t="s">
        <v>51</v>
      </c>
      <c r="G125" s="10" t="s">
        <v>42</v>
      </c>
    </row>
    <row r="126" spans="1:7" ht="12.75" x14ac:dyDescent="0.2">
      <c r="A126" s="37"/>
      <c r="B126" s="9" t="s">
        <v>774</v>
      </c>
      <c r="C126" s="9" t="s">
        <v>846</v>
      </c>
      <c r="D126" s="9" t="s">
        <v>39</v>
      </c>
      <c r="E126" s="9" t="s">
        <v>46</v>
      </c>
      <c r="F126" s="9" t="s">
        <v>51</v>
      </c>
      <c r="G126" s="10" t="s">
        <v>42</v>
      </c>
    </row>
    <row r="127" spans="1:7" ht="12.75" x14ac:dyDescent="0.2">
      <c r="A127" s="39"/>
      <c r="B127" s="9" t="s">
        <v>774</v>
      </c>
      <c r="C127" s="9" t="s">
        <v>826</v>
      </c>
      <c r="D127" s="9" t="s">
        <v>39</v>
      </c>
      <c r="E127" s="9" t="s">
        <v>46</v>
      </c>
      <c r="F127" s="9" t="s">
        <v>51</v>
      </c>
      <c r="G127" s="10" t="s">
        <v>42</v>
      </c>
    </row>
    <row r="128" spans="1:7" ht="12.75" x14ac:dyDescent="0.2">
      <c r="A128" s="37"/>
      <c r="B128" s="9" t="s">
        <v>774</v>
      </c>
      <c r="C128" s="9" t="s">
        <v>787</v>
      </c>
      <c r="D128" s="9" t="s">
        <v>39</v>
      </c>
      <c r="E128" s="9" t="s">
        <v>46</v>
      </c>
      <c r="F128" s="9" t="s">
        <v>51</v>
      </c>
      <c r="G128" s="10" t="s">
        <v>42</v>
      </c>
    </row>
    <row r="129" spans="1:7" ht="12.75" x14ac:dyDescent="0.2">
      <c r="A129" s="39"/>
      <c r="B129" s="9" t="s">
        <v>774</v>
      </c>
      <c r="C129" s="9" t="s">
        <v>803</v>
      </c>
      <c r="D129" s="9" t="s">
        <v>39</v>
      </c>
      <c r="E129" s="9" t="s">
        <v>46</v>
      </c>
      <c r="F129" s="9" t="s">
        <v>51</v>
      </c>
      <c r="G129" s="10" t="s">
        <v>42</v>
      </c>
    </row>
    <row r="130" spans="1:7" ht="12.75" x14ac:dyDescent="0.2">
      <c r="A130" s="37"/>
      <c r="B130" s="9" t="s">
        <v>774</v>
      </c>
      <c r="C130" s="9" t="s">
        <v>847</v>
      </c>
      <c r="D130" s="9" t="s">
        <v>39</v>
      </c>
      <c r="E130" s="9" t="s">
        <v>46</v>
      </c>
      <c r="F130" s="9" t="s">
        <v>51</v>
      </c>
      <c r="G130" s="10" t="s">
        <v>42</v>
      </c>
    </row>
    <row r="131" spans="1:7" ht="12.75" x14ac:dyDescent="0.2">
      <c r="A131" s="39"/>
      <c r="B131" s="9" t="s">
        <v>774</v>
      </c>
      <c r="C131" s="9" t="s">
        <v>848</v>
      </c>
      <c r="D131" s="9" t="s">
        <v>39</v>
      </c>
      <c r="E131" s="9" t="s">
        <v>46</v>
      </c>
      <c r="F131" s="9" t="s">
        <v>51</v>
      </c>
      <c r="G131" s="10" t="s">
        <v>42</v>
      </c>
    </row>
    <row r="132" spans="1:7" ht="12.75" x14ac:dyDescent="0.2">
      <c r="A132" s="37"/>
      <c r="B132" s="9" t="s">
        <v>774</v>
      </c>
      <c r="C132" s="9" t="s">
        <v>788</v>
      </c>
      <c r="D132" s="9" t="s">
        <v>39</v>
      </c>
      <c r="E132" s="9" t="s">
        <v>46</v>
      </c>
      <c r="F132" s="9" t="s">
        <v>51</v>
      </c>
      <c r="G132" s="10" t="s">
        <v>42</v>
      </c>
    </row>
    <row r="133" spans="1:7" ht="12.75" x14ac:dyDescent="0.2">
      <c r="A133" s="39"/>
      <c r="B133" s="9" t="s">
        <v>774</v>
      </c>
      <c r="C133" s="9" t="s">
        <v>849</v>
      </c>
      <c r="D133" s="9" t="s">
        <v>39</v>
      </c>
      <c r="E133" s="9" t="s">
        <v>46</v>
      </c>
      <c r="F133" s="9" t="s">
        <v>51</v>
      </c>
      <c r="G133" s="10" t="s">
        <v>42</v>
      </c>
    </row>
    <row r="134" spans="1:7" ht="12.75" x14ac:dyDescent="0.2">
      <c r="A134" s="37"/>
      <c r="B134" s="9" t="s">
        <v>774</v>
      </c>
      <c r="C134" s="9" t="s">
        <v>850</v>
      </c>
      <c r="D134" s="9" t="s">
        <v>39</v>
      </c>
      <c r="E134" s="9" t="s">
        <v>46</v>
      </c>
      <c r="F134" s="9" t="s">
        <v>51</v>
      </c>
      <c r="G134" s="10" t="s">
        <v>42</v>
      </c>
    </row>
    <row r="135" spans="1:7" ht="12.75" x14ac:dyDescent="0.2">
      <c r="A135" s="39"/>
      <c r="B135" s="9" t="s">
        <v>774</v>
      </c>
      <c r="C135" s="9" t="s">
        <v>851</v>
      </c>
      <c r="D135" s="9" t="s">
        <v>39</v>
      </c>
      <c r="E135" s="9" t="s">
        <v>46</v>
      </c>
      <c r="F135" s="9" t="s">
        <v>51</v>
      </c>
      <c r="G135" s="10" t="s">
        <v>42</v>
      </c>
    </row>
    <row r="136" spans="1:7" ht="12.75" x14ac:dyDescent="0.2">
      <c r="A136" s="37"/>
      <c r="B136" s="9" t="s">
        <v>774</v>
      </c>
      <c r="C136" s="9" t="s">
        <v>798</v>
      </c>
      <c r="D136" s="9" t="s">
        <v>94</v>
      </c>
      <c r="E136" s="9" t="s">
        <v>46</v>
      </c>
      <c r="F136" s="9" t="s">
        <v>51</v>
      </c>
      <c r="G136" s="10" t="s">
        <v>42</v>
      </c>
    </row>
    <row r="137" spans="1:7" ht="12.75" x14ac:dyDescent="0.2">
      <c r="A137" s="39"/>
      <c r="B137" s="9" t="s">
        <v>774</v>
      </c>
      <c r="C137" s="9" t="s">
        <v>797</v>
      </c>
      <c r="D137" s="9" t="s">
        <v>39</v>
      </c>
      <c r="E137" s="9" t="s">
        <v>46</v>
      </c>
      <c r="F137" s="9" t="s">
        <v>51</v>
      </c>
      <c r="G137" s="10" t="s">
        <v>42</v>
      </c>
    </row>
    <row r="138" spans="1:7" ht="12.75" x14ac:dyDescent="0.2">
      <c r="A138" s="37"/>
      <c r="B138" s="9" t="s">
        <v>774</v>
      </c>
      <c r="C138" s="9" t="s">
        <v>852</v>
      </c>
      <c r="D138" s="9" t="s">
        <v>39</v>
      </c>
      <c r="E138" s="9" t="s">
        <v>46</v>
      </c>
      <c r="F138" s="9" t="s">
        <v>51</v>
      </c>
      <c r="G138" s="10" t="s">
        <v>42</v>
      </c>
    </row>
    <row r="139" spans="1:7" ht="12.75" x14ac:dyDescent="0.2">
      <c r="A139" s="39"/>
      <c r="B139" s="9" t="s">
        <v>774</v>
      </c>
      <c r="C139" s="9" t="s">
        <v>783</v>
      </c>
      <c r="D139" s="9" t="s">
        <v>39</v>
      </c>
      <c r="E139" s="9" t="s">
        <v>46</v>
      </c>
      <c r="F139" s="9" t="s">
        <v>51</v>
      </c>
      <c r="G139" s="10" t="s">
        <v>42</v>
      </c>
    </row>
    <row r="140" spans="1:7" ht="12.75" x14ac:dyDescent="0.2">
      <c r="A140" s="37"/>
      <c r="B140" s="9" t="s">
        <v>774</v>
      </c>
      <c r="C140" s="9" t="s">
        <v>782</v>
      </c>
      <c r="D140" s="9" t="s">
        <v>39</v>
      </c>
      <c r="E140" s="9" t="s">
        <v>46</v>
      </c>
      <c r="F140" s="9" t="s">
        <v>51</v>
      </c>
      <c r="G140" s="10" t="s">
        <v>42</v>
      </c>
    </row>
    <row r="141" spans="1:7" ht="12.75" x14ac:dyDescent="0.2">
      <c r="A141" s="39"/>
      <c r="B141" s="9" t="s">
        <v>774</v>
      </c>
      <c r="C141" s="9" t="s">
        <v>853</v>
      </c>
      <c r="D141" s="9" t="s">
        <v>39</v>
      </c>
      <c r="E141" s="9" t="s">
        <v>46</v>
      </c>
      <c r="F141" s="9" t="s">
        <v>51</v>
      </c>
      <c r="G141" s="10" t="s">
        <v>42</v>
      </c>
    </row>
    <row r="142" spans="1:7" ht="12.75" x14ac:dyDescent="0.2">
      <c r="A142" s="37"/>
      <c r="B142" s="9" t="s">
        <v>774</v>
      </c>
      <c r="C142" s="9" t="s">
        <v>785</v>
      </c>
      <c r="D142" s="9" t="s">
        <v>39</v>
      </c>
      <c r="E142" s="9" t="s">
        <v>46</v>
      </c>
      <c r="F142" s="9" t="s">
        <v>51</v>
      </c>
      <c r="G142" s="10" t="s">
        <v>42</v>
      </c>
    </row>
    <row r="143" spans="1:7" ht="12.75" x14ac:dyDescent="0.2">
      <c r="A143" s="38"/>
      <c r="B143" s="9" t="s">
        <v>774</v>
      </c>
      <c r="C143" s="9" t="s">
        <v>800</v>
      </c>
      <c r="D143" s="9" t="s">
        <v>39</v>
      </c>
      <c r="E143" s="9" t="s">
        <v>46</v>
      </c>
      <c r="F143" s="9" t="s">
        <v>51</v>
      </c>
      <c r="G143" s="10" t="s">
        <v>42</v>
      </c>
    </row>
    <row r="144" spans="1:7" ht="12.75" x14ac:dyDescent="0.2">
      <c r="A144" s="36" t="s">
        <v>26</v>
      </c>
      <c r="B144" s="9" t="s">
        <v>854</v>
      </c>
      <c r="C144" s="9" t="s">
        <v>855</v>
      </c>
      <c r="D144" s="9" t="s">
        <v>39</v>
      </c>
      <c r="E144" s="9" t="s">
        <v>46</v>
      </c>
      <c r="F144" s="9" t="s">
        <v>47</v>
      </c>
      <c r="G144" s="10" t="s">
        <v>42</v>
      </c>
    </row>
    <row r="145" spans="1:7" ht="12.75" x14ac:dyDescent="0.2">
      <c r="A145" s="39"/>
      <c r="B145" s="9" t="s">
        <v>854</v>
      </c>
      <c r="C145" s="9" t="s">
        <v>783</v>
      </c>
      <c r="D145" s="9" t="s">
        <v>39</v>
      </c>
      <c r="E145" s="9" t="s">
        <v>46</v>
      </c>
      <c r="F145" s="9" t="s">
        <v>47</v>
      </c>
      <c r="G145" s="10" t="s">
        <v>42</v>
      </c>
    </row>
    <row r="146" spans="1:7" ht="12.75" x14ac:dyDescent="0.2">
      <c r="A146" s="37"/>
      <c r="B146" s="9" t="s">
        <v>854</v>
      </c>
      <c r="C146" s="9" t="s">
        <v>797</v>
      </c>
      <c r="D146" s="9" t="s">
        <v>39</v>
      </c>
      <c r="E146" s="9" t="s">
        <v>46</v>
      </c>
      <c r="F146" s="9" t="s">
        <v>47</v>
      </c>
      <c r="G146" s="10" t="s">
        <v>42</v>
      </c>
    </row>
    <row r="147" spans="1:7" ht="12.75" x14ac:dyDescent="0.2">
      <c r="A147" s="39"/>
      <c r="B147" s="9" t="s">
        <v>854</v>
      </c>
      <c r="C147" s="9" t="s">
        <v>855</v>
      </c>
      <c r="D147" s="9" t="s">
        <v>39</v>
      </c>
      <c r="E147" s="9" t="s">
        <v>46</v>
      </c>
      <c r="F147" s="9" t="s">
        <v>47</v>
      </c>
      <c r="G147" s="10" t="s">
        <v>42</v>
      </c>
    </row>
    <row r="148" spans="1:7" ht="12.75" x14ac:dyDescent="0.2">
      <c r="A148" s="37"/>
      <c r="B148" s="9" t="s">
        <v>854</v>
      </c>
      <c r="C148" s="9" t="s">
        <v>856</v>
      </c>
      <c r="D148" s="9" t="s">
        <v>39</v>
      </c>
      <c r="E148" s="9" t="s">
        <v>46</v>
      </c>
      <c r="F148" s="9" t="s">
        <v>47</v>
      </c>
      <c r="G148" s="10" t="s">
        <v>42</v>
      </c>
    </row>
    <row r="149" spans="1:7" ht="12.75" x14ac:dyDescent="0.2">
      <c r="A149" s="39"/>
      <c r="B149" s="9" t="s">
        <v>854</v>
      </c>
      <c r="C149" s="9" t="s">
        <v>800</v>
      </c>
      <c r="D149" s="9" t="s">
        <v>39</v>
      </c>
      <c r="E149" s="9" t="s">
        <v>46</v>
      </c>
      <c r="F149" s="9" t="s">
        <v>47</v>
      </c>
      <c r="G149" s="10" t="s">
        <v>42</v>
      </c>
    </row>
    <row r="150" spans="1:7" ht="12.75" x14ac:dyDescent="0.2">
      <c r="A150" s="37"/>
      <c r="B150" s="9" t="s">
        <v>854</v>
      </c>
      <c r="C150" s="9" t="s">
        <v>782</v>
      </c>
      <c r="D150" s="9" t="s">
        <v>39</v>
      </c>
      <c r="E150" s="9" t="s">
        <v>46</v>
      </c>
      <c r="F150" s="9" t="s">
        <v>47</v>
      </c>
      <c r="G150" s="10" t="s">
        <v>42</v>
      </c>
    </row>
    <row r="151" spans="1:7" ht="12.75" x14ac:dyDescent="0.2">
      <c r="A151" s="39"/>
      <c r="B151" s="9" t="s">
        <v>854</v>
      </c>
      <c r="C151" s="9" t="s">
        <v>853</v>
      </c>
      <c r="D151" s="9" t="s">
        <v>39</v>
      </c>
      <c r="E151" s="9" t="s">
        <v>46</v>
      </c>
      <c r="F151" s="9" t="s">
        <v>47</v>
      </c>
      <c r="G151" s="10" t="s">
        <v>42</v>
      </c>
    </row>
    <row r="152" spans="1:7" ht="12.75" x14ac:dyDescent="0.2">
      <c r="A152" s="37"/>
      <c r="B152" s="9" t="s">
        <v>854</v>
      </c>
      <c r="C152" s="9" t="s">
        <v>857</v>
      </c>
      <c r="D152" s="9" t="s">
        <v>39</v>
      </c>
      <c r="E152" s="9" t="s">
        <v>46</v>
      </c>
      <c r="F152" s="9" t="s">
        <v>41</v>
      </c>
      <c r="G152" s="10" t="s">
        <v>42</v>
      </c>
    </row>
    <row r="153" spans="1:7" ht="12.75" x14ac:dyDescent="0.2">
      <c r="A153" s="39"/>
      <c r="B153" s="9" t="s">
        <v>854</v>
      </c>
      <c r="C153" s="9" t="s">
        <v>858</v>
      </c>
      <c r="D153" s="9" t="s">
        <v>39</v>
      </c>
      <c r="E153" s="9" t="s">
        <v>46</v>
      </c>
      <c r="F153" s="9" t="s">
        <v>47</v>
      </c>
      <c r="G153" s="10" t="s">
        <v>42</v>
      </c>
    </row>
    <row r="154" spans="1:7" ht="12.75" x14ac:dyDescent="0.2">
      <c r="A154" s="37"/>
      <c r="B154" s="9" t="s">
        <v>854</v>
      </c>
      <c r="C154" s="9" t="s">
        <v>785</v>
      </c>
      <c r="D154" s="9" t="s">
        <v>39</v>
      </c>
      <c r="E154" s="9" t="s">
        <v>46</v>
      </c>
      <c r="F154" s="9" t="s">
        <v>47</v>
      </c>
      <c r="G154" s="10" t="s">
        <v>42</v>
      </c>
    </row>
    <row r="155" spans="1:7" ht="12.75" x14ac:dyDescent="0.2">
      <c r="A155" s="39"/>
      <c r="B155" s="9" t="s">
        <v>854</v>
      </c>
      <c r="C155" s="9" t="s">
        <v>792</v>
      </c>
      <c r="D155" s="9" t="s">
        <v>39</v>
      </c>
      <c r="E155" s="9" t="s">
        <v>46</v>
      </c>
      <c r="F155" s="9" t="s">
        <v>47</v>
      </c>
      <c r="G155" s="10" t="s">
        <v>42</v>
      </c>
    </row>
    <row r="156" spans="1:7" ht="12.75" x14ac:dyDescent="0.2">
      <c r="A156" s="37"/>
      <c r="B156" s="9" t="s">
        <v>854</v>
      </c>
      <c r="C156" s="9" t="s">
        <v>859</v>
      </c>
      <c r="D156" s="9" t="s">
        <v>39</v>
      </c>
      <c r="E156" s="9" t="s">
        <v>46</v>
      </c>
      <c r="F156" s="9" t="s">
        <v>47</v>
      </c>
      <c r="G156" s="10" t="s">
        <v>42</v>
      </c>
    </row>
    <row r="157" spans="1:7" ht="12.75" x14ac:dyDescent="0.2">
      <c r="A157" s="39"/>
      <c r="B157" s="9" t="s">
        <v>854</v>
      </c>
      <c r="C157" s="9" t="s">
        <v>795</v>
      </c>
      <c r="D157" s="9" t="s">
        <v>39</v>
      </c>
      <c r="E157" s="9" t="s">
        <v>46</v>
      </c>
      <c r="F157" s="9" t="s">
        <v>47</v>
      </c>
      <c r="G157" s="10" t="s">
        <v>42</v>
      </c>
    </row>
    <row r="158" spans="1:7" ht="12.75" x14ac:dyDescent="0.2">
      <c r="A158" s="37"/>
      <c r="B158" s="9" t="s">
        <v>854</v>
      </c>
      <c r="C158" s="9" t="s">
        <v>789</v>
      </c>
      <c r="D158" s="9" t="s">
        <v>39</v>
      </c>
      <c r="E158" s="9" t="s">
        <v>46</v>
      </c>
      <c r="F158" s="9" t="s">
        <v>47</v>
      </c>
      <c r="G158" s="10" t="s">
        <v>42</v>
      </c>
    </row>
    <row r="159" spans="1:7" ht="12.75" x14ac:dyDescent="0.2">
      <c r="A159" s="39"/>
      <c r="B159" s="9" t="s">
        <v>854</v>
      </c>
      <c r="C159" s="9" t="s">
        <v>788</v>
      </c>
      <c r="D159" s="9" t="s">
        <v>39</v>
      </c>
      <c r="E159" s="9" t="s">
        <v>46</v>
      </c>
      <c r="F159" s="9" t="s">
        <v>47</v>
      </c>
      <c r="G159" s="10" t="s">
        <v>42</v>
      </c>
    </row>
    <row r="160" spans="1:7" ht="12.75" x14ac:dyDescent="0.2">
      <c r="A160" s="37"/>
      <c r="B160" s="9" t="s">
        <v>854</v>
      </c>
      <c r="C160" s="9" t="s">
        <v>860</v>
      </c>
      <c r="D160" s="9" t="s">
        <v>39</v>
      </c>
      <c r="E160" s="9" t="s">
        <v>46</v>
      </c>
      <c r="F160" s="9" t="s">
        <v>47</v>
      </c>
      <c r="G160" s="10" t="s">
        <v>42</v>
      </c>
    </row>
    <row r="161" spans="1:7" ht="12.75" x14ac:dyDescent="0.2">
      <c r="A161" s="39"/>
      <c r="B161" s="9" t="s">
        <v>854</v>
      </c>
      <c r="C161" s="9" t="s">
        <v>847</v>
      </c>
      <c r="D161" s="9" t="s">
        <v>39</v>
      </c>
      <c r="E161" s="9" t="s">
        <v>46</v>
      </c>
      <c r="F161" s="9" t="s">
        <v>47</v>
      </c>
      <c r="G161" s="10" t="s">
        <v>42</v>
      </c>
    </row>
    <row r="162" spans="1:7" ht="12.75" x14ac:dyDescent="0.2">
      <c r="A162" s="37"/>
      <c r="B162" s="9" t="s">
        <v>854</v>
      </c>
      <c r="C162" s="9" t="s">
        <v>861</v>
      </c>
      <c r="D162" s="9" t="s">
        <v>39</v>
      </c>
      <c r="E162" s="9" t="s">
        <v>46</v>
      </c>
      <c r="F162" s="9" t="s">
        <v>47</v>
      </c>
      <c r="G162" s="10" t="s">
        <v>42</v>
      </c>
    </row>
    <row r="163" spans="1:7" ht="12.75" x14ac:dyDescent="0.2">
      <c r="A163" s="39"/>
      <c r="B163" s="9" t="s">
        <v>854</v>
      </c>
      <c r="C163" s="9" t="s">
        <v>862</v>
      </c>
      <c r="D163" s="9" t="s">
        <v>39</v>
      </c>
      <c r="E163" s="9" t="s">
        <v>46</v>
      </c>
      <c r="F163" s="9" t="s">
        <v>47</v>
      </c>
      <c r="G163" s="10" t="s">
        <v>42</v>
      </c>
    </row>
    <row r="164" spans="1:7" ht="12.75" x14ac:dyDescent="0.2">
      <c r="A164" s="37"/>
      <c r="B164" s="9" t="s">
        <v>854</v>
      </c>
      <c r="C164" s="9" t="s">
        <v>863</v>
      </c>
      <c r="D164" s="9" t="s">
        <v>39</v>
      </c>
      <c r="E164" s="9" t="s">
        <v>46</v>
      </c>
      <c r="F164" s="9" t="s">
        <v>47</v>
      </c>
      <c r="G164" s="10" t="s">
        <v>42</v>
      </c>
    </row>
    <row r="165" spans="1:7" ht="12.75" x14ac:dyDescent="0.2">
      <c r="A165" s="39"/>
      <c r="B165" s="9" t="s">
        <v>854</v>
      </c>
      <c r="C165" s="9" t="s">
        <v>804</v>
      </c>
      <c r="D165" s="9" t="s">
        <v>39</v>
      </c>
      <c r="E165" s="9" t="s">
        <v>46</v>
      </c>
      <c r="F165" s="9" t="s">
        <v>47</v>
      </c>
      <c r="G165" s="10" t="s">
        <v>42</v>
      </c>
    </row>
    <row r="166" spans="1:7" ht="12.75" x14ac:dyDescent="0.2">
      <c r="A166" s="37"/>
      <c r="B166" s="9" t="s">
        <v>854</v>
      </c>
      <c r="C166" s="9" t="s">
        <v>845</v>
      </c>
      <c r="D166" s="9" t="s">
        <v>39</v>
      </c>
      <c r="E166" s="9" t="s">
        <v>46</v>
      </c>
      <c r="F166" s="9" t="s">
        <v>47</v>
      </c>
      <c r="G166" s="10" t="s">
        <v>42</v>
      </c>
    </row>
    <row r="167" spans="1:7" ht="12.75" x14ac:dyDescent="0.2">
      <c r="A167" s="39"/>
      <c r="B167" s="9" t="s">
        <v>854</v>
      </c>
      <c r="C167" s="9" t="s">
        <v>787</v>
      </c>
      <c r="D167" s="9" t="s">
        <v>39</v>
      </c>
      <c r="E167" s="9" t="s">
        <v>46</v>
      </c>
      <c r="F167" s="9" t="s">
        <v>47</v>
      </c>
      <c r="G167" s="10" t="s">
        <v>42</v>
      </c>
    </row>
    <row r="168" spans="1:7" ht="12.75" x14ac:dyDescent="0.2">
      <c r="A168" s="37"/>
      <c r="B168" s="9" t="s">
        <v>854</v>
      </c>
      <c r="C168" s="9" t="s">
        <v>777</v>
      </c>
      <c r="D168" s="9" t="s">
        <v>39</v>
      </c>
      <c r="E168" s="9" t="s">
        <v>46</v>
      </c>
      <c r="F168" s="9" t="s">
        <v>47</v>
      </c>
      <c r="G168" s="10" t="s">
        <v>42</v>
      </c>
    </row>
    <row r="169" spans="1:7" ht="12.75" x14ac:dyDescent="0.2">
      <c r="A169" s="39"/>
      <c r="B169" s="9" t="s">
        <v>854</v>
      </c>
      <c r="C169" s="9" t="s">
        <v>831</v>
      </c>
      <c r="D169" s="9" t="s">
        <v>39</v>
      </c>
      <c r="E169" s="9" t="s">
        <v>46</v>
      </c>
      <c r="F169" s="9" t="s">
        <v>47</v>
      </c>
      <c r="G169" s="10" t="s">
        <v>42</v>
      </c>
    </row>
    <row r="170" spans="1:7" ht="12.75" x14ac:dyDescent="0.2">
      <c r="A170" s="37"/>
      <c r="B170" s="9" t="s">
        <v>854</v>
      </c>
      <c r="C170" s="9" t="s">
        <v>786</v>
      </c>
      <c r="D170" s="9" t="s">
        <v>39</v>
      </c>
      <c r="E170" s="9" t="s">
        <v>46</v>
      </c>
      <c r="F170" s="9" t="s">
        <v>47</v>
      </c>
      <c r="G170" s="10" t="s">
        <v>42</v>
      </c>
    </row>
    <row r="171" spans="1:7" ht="12.75" x14ac:dyDescent="0.2">
      <c r="A171" s="39"/>
      <c r="B171" s="9" t="s">
        <v>854</v>
      </c>
      <c r="C171" s="9" t="s">
        <v>864</v>
      </c>
      <c r="D171" s="9" t="s">
        <v>39</v>
      </c>
      <c r="E171" s="9" t="s">
        <v>46</v>
      </c>
      <c r="F171" s="9" t="s">
        <v>47</v>
      </c>
      <c r="G171" s="10" t="s">
        <v>42</v>
      </c>
    </row>
    <row r="172" spans="1:7" ht="12.75" x14ac:dyDescent="0.2">
      <c r="A172" s="37"/>
      <c r="B172" s="9" t="s">
        <v>854</v>
      </c>
      <c r="C172" s="9" t="s">
        <v>865</v>
      </c>
      <c r="D172" s="9" t="s">
        <v>39</v>
      </c>
      <c r="E172" s="9" t="s">
        <v>46</v>
      </c>
      <c r="F172" s="9" t="s">
        <v>47</v>
      </c>
      <c r="G172" s="10" t="s">
        <v>42</v>
      </c>
    </row>
    <row r="173" spans="1:7" ht="12.75" x14ac:dyDescent="0.2">
      <c r="A173" s="39"/>
      <c r="B173" s="9" t="s">
        <v>854</v>
      </c>
      <c r="C173" s="9" t="s">
        <v>866</v>
      </c>
      <c r="D173" s="9" t="s">
        <v>39</v>
      </c>
      <c r="E173" s="9" t="s">
        <v>46</v>
      </c>
      <c r="F173" s="9" t="s">
        <v>47</v>
      </c>
      <c r="G173" s="10" t="s">
        <v>42</v>
      </c>
    </row>
    <row r="174" spans="1:7" ht="12.75" x14ac:dyDescent="0.2">
      <c r="A174" s="37"/>
      <c r="B174" s="9" t="s">
        <v>854</v>
      </c>
      <c r="C174" s="9" t="s">
        <v>807</v>
      </c>
      <c r="D174" s="9" t="s">
        <v>39</v>
      </c>
      <c r="E174" s="9" t="s">
        <v>46</v>
      </c>
      <c r="F174" s="9" t="s">
        <v>47</v>
      </c>
      <c r="G174" s="10" t="s">
        <v>42</v>
      </c>
    </row>
    <row r="175" spans="1:7" ht="12.75" x14ac:dyDescent="0.2">
      <c r="A175" s="39"/>
      <c r="B175" s="9" t="s">
        <v>854</v>
      </c>
      <c r="C175" s="9" t="s">
        <v>867</v>
      </c>
      <c r="D175" s="9" t="s">
        <v>39</v>
      </c>
      <c r="E175" s="9" t="s">
        <v>46</v>
      </c>
      <c r="F175" s="9" t="s">
        <v>47</v>
      </c>
      <c r="G175" s="10" t="s">
        <v>42</v>
      </c>
    </row>
    <row r="176" spans="1:7" ht="12.75" x14ac:dyDescent="0.2">
      <c r="A176" s="37"/>
      <c r="B176" s="9" t="s">
        <v>854</v>
      </c>
      <c r="C176" s="9" t="s">
        <v>844</v>
      </c>
      <c r="D176" s="9" t="s">
        <v>39</v>
      </c>
      <c r="E176" s="9" t="s">
        <v>46</v>
      </c>
      <c r="F176" s="9" t="s">
        <v>47</v>
      </c>
      <c r="G176" s="10" t="s">
        <v>42</v>
      </c>
    </row>
    <row r="177" spans="1:7" ht="12.75" x14ac:dyDescent="0.2">
      <c r="A177" s="39"/>
      <c r="B177" s="9" t="s">
        <v>854</v>
      </c>
      <c r="C177" s="9" t="s">
        <v>673</v>
      </c>
      <c r="D177" s="9" t="s">
        <v>39</v>
      </c>
      <c r="E177" s="9" t="s">
        <v>46</v>
      </c>
      <c r="F177" s="9" t="s">
        <v>47</v>
      </c>
      <c r="G177" s="10" t="s">
        <v>42</v>
      </c>
    </row>
    <row r="178" spans="1:7" ht="12.75" x14ac:dyDescent="0.2">
      <c r="A178" s="37"/>
      <c r="B178" s="9" t="s">
        <v>854</v>
      </c>
      <c r="C178" s="9" t="s">
        <v>825</v>
      </c>
      <c r="D178" s="9" t="s">
        <v>39</v>
      </c>
      <c r="E178" s="9" t="s">
        <v>46</v>
      </c>
      <c r="F178" s="9" t="s">
        <v>47</v>
      </c>
      <c r="G178" s="10" t="s">
        <v>42</v>
      </c>
    </row>
    <row r="179" spans="1:7" ht="12.75" x14ac:dyDescent="0.2">
      <c r="A179" s="39"/>
      <c r="B179" s="9" t="s">
        <v>854</v>
      </c>
      <c r="C179" s="9" t="s">
        <v>824</v>
      </c>
      <c r="D179" s="9" t="s">
        <v>39</v>
      </c>
      <c r="E179" s="9" t="s">
        <v>46</v>
      </c>
      <c r="F179" s="9" t="s">
        <v>47</v>
      </c>
      <c r="G179" s="10" t="s">
        <v>42</v>
      </c>
    </row>
    <row r="180" spans="1:7" ht="12.75" x14ac:dyDescent="0.2">
      <c r="A180" s="37"/>
      <c r="B180" s="9" t="s">
        <v>854</v>
      </c>
      <c r="C180" s="9" t="s">
        <v>821</v>
      </c>
      <c r="D180" s="9" t="s">
        <v>39</v>
      </c>
      <c r="E180" s="9" t="s">
        <v>46</v>
      </c>
      <c r="F180" s="9" t="s">
        <v>47</v>
      </c>
      <c r="G180" s="10" t="s">
        <v>42</v>
      </c>
    </row>
    <row r="181" spans="1:7" ht="12.75" x14ac:dyDescent="0.2">
      <c r="A181" s="39"/>
      <c r="B181" s="9" t="s">
        <v>854</v>
      </c>
      <c r="C181" s="9" t="s">
        <v>843</v>
      </c>
      <c r="D181" s="9" t="s">
        <v>39</v>
      </c>
      <c r="E181" s="9" t="s">
        <v>46</v>
      </c>
      <c r="F181" s="9" t="s">
        <v>47</v>
      </c>
      <c r="G181" s="10" t="s">
        <v>42</v>
      </c>
    </row>
    <row r="182" spans="1:7" ht="12.75" x14ac:dyDescent="0.2">
      <c r="A182" s="37"/>
      <c r="B182" s="9" t="s">
        <v>854</v>
      </c>
      <c r="C182" s="9" t="s">
        <v>868</v>
      </c>
      <c r="D182" s="9" t="s">
        <v>39</v>
      </c>
      <c r="E182" s="9" t="s">
        <v>46</v>
      </c>
      <c r="F182" s="9" t="s">
        <v>47</v>
      </c>
      <c r="G182" s="10" t="s">
        <v>42</v>
      </c>
    </row>
    <row r="183" spans="1:7" ht="12.75" x14ac:dyDescent="0.2">
      <c r="A183" s="39"/>
      <c r="B183" s="9" t="s">
        <v>854</v>
      </c>
      <c r="C183" s="9" t="s">
        <v>810</v>
      </c>
      <c r="D183" s="9" t="s">
        <v>39</v>
      </c>
      <c r="E183" s="9" t="s">
        <v>46</v>
      </c>
      <c r="F183" s="9" t="s">
        <v>47</v>
      </c>
      <c r="G183" s="10" t="s">
        <v>42</v>
      </c>
    </row>
    <row r="184" spans="1:7" ht="12.75" x14ac:dyDescent="0.2">
      <c r="A184" s="37"/>
      <c r="B184" s="9" t="s">
        <v>854</v>
      </c>
      <c r="C184" s="9" t="s">
        <v>840</v>
      </c>
      <c r="D184" s="9" t="s">
        <v>39</v>
      </c>
      <c r="E184" s="9" t="s">
        <v>46</v>
      </c>
      <c r="F184" s="9" t="s">
        <v>47</v>
      </c>
      <c r="G184" s="10" t="s">
        <v>42</v>
      </c>
    </row>
    <row r="185" spans="1:7" ht="12.75" x14ac:dyDescent="0.2">
      <c r="A185" s="39"/>
      <c r="B185" s="9" t="s">
        <v>854</v>
      </c>
      <c r="C185" s="9" t="s">
        <v>822</v>
      </c>
      <c r="D185" s="9" t="s">
        <v>39</v>
      </c>
      <c r="E185" s="9" t="s">
        <v>46</v>
      </c>
      <c r="F185" s="9" t="s">
        <v>47</v>
      </c>
      <c r="G185" s="10" t="s">
        <v>42</v>
      </c>
    </row>
    <row r="186" spans="1:7" ht="12.75" x14ac:dyDescent="0.2">
      <c r="A186" s="37"/>
      <c r="B186" s="9" t="s">
        <v>854</v>
      </c>
      <c r="C186" s="9" t="s">
        <v>869</v>
      </c>
      <c r="D186" s="9" t="s">
        <v>39</v>
      </c>
      <c r="E186" s="9" t="s">
        <v>46</v>
      </c>
      <c r="F186" s="9" t="s">
        <v>47</v>
      </c>
      <c r="G186" s="10" t="s">
        <v>42</v>
      </c>
    </row>
    <row r="187" spans="1:7" ht="12.75" x14ac:dyDescent="0.2">
      <c r="A187" s="39"/>
      <c r="B187" s="9" t="s">
        <v>854</v>
      </c>
      <c r="C187" s="9" t="s">
        <v>870</v>
      </c>
      <c r="D187" s="9" t="s">
        <v>39</v>
      </c>
      <c r="E187" s="9" t="s">
        <v>46</v>
      </c>
      <c r="F187" s="9" t="s">
        <v>47</v>
      </c>
      <c r="G187" s="10" t="s">
        <v>42</v>
      </c>
    </row>
    <row r="188" spans="1:7" ht="12.75" x14ac:dyDescent="0.2">
      <c r="A188" s="37"/>
      <c r="B188" s="9" t="s">
        <v>854</v>
      </c>
      <c r="C188" s="9" t="s">
        <v>840</v>
      </c>
      <c r="D188" s="9" t="s">
        <v>39</v>
      </c>
      <c r="E188" s="9" t="s">
        <v>46</v>
      </c>
      <c r="F188" s="9" t="s">
        <v>47</v>
      </c>
      <c r="G188" s="10" t="s">
        <v>42</v>
      </c>
    </row>
    <row r="189" spans="1:7" ht="12.75" x14ac:dyDescent="0.2">
      <c r="A189" s="39"/>
      <c r="B189" s="9" t="s">
        <v>854</v>
      </c>
      <c r="C189" s="9" t="s">
        <v>812</v>
      </c>
      <c r="D189" s="9" t="s">
        <v>39</v>
      </c>
      <c r="E189" s="9" t="s">
        <v>46</v>
      </c>
      <c r="F189" s="9" t="s">
        <v>47</v>
      </c>
      <c r="G189" s="10" t="s">
        <v>42</v>
      </c>
    </row>
    <row r="190" spans="1:7" ht="12.75" x14ac:dyDescent="0.2">
      <c r="A190" s="37"/>
      <c r="B190" s="9" t="s">
        <v>854</v>
      </c>
      <c r="C190" s="9" t="s">
        <v>813</v>
      </c>
      <c r="D190" s="9" t="s">
        <v>39</v>
      </c>
      <c r="E190" s="9" t="s">
        <v>46</v>
      </c>
      <c r="F190" s="9" t="s">
        <v>47</v>
      </c>
      <c r="G190" s="10" t="s">
        <v>42</v>
      </c>
    </row>
    <row r="191" spans="1:7" ht="12.75" x14ac:dyDescent="0.2">
      <c r="A191" s="39"/>
      <c r="B191" s="9" t="s">
        <v>854</v>
      </c>
      <c r="C191" s="9" t="s">
        <v>871</v>
      </c>
      <c r="D191" s="9" t="s">
        <v>39</v>
      </c>
      <c r="E191" s="9" t="s">
        <v>46</v>
      </c>
      <c r="F191" s="9" t="s">
        <v>41</v>
      </c>
      <c r="G191" s="10" t="s">
        <v>42</v>
      </c>
    </row>
    <row r="192" spans="1:7" ht="12.75" x14ac:dyDescent="0.2">
      <c r="A192" s="37"/>
      <c r="B192" s="9" t="s">
        <v>854</v>
      </c>
      <c r="C192" s="9" t="s">
        <v>820</v>
      </c>
      <c r="D192" s="9" t="s">
        <v>39</v>
      </c>
      <c r="E192" s="9" t="s">
        <v>46</v>
      </c>
      <c r="F192" s="9" t="s">
        <v>47</v>
      </c>
      <c r="G192" s="10" t="s">
        <v>42</v>
      </c>
    </row>
    <row r="193" spans="1:7" ht="12.75" x14ac:dyDescent="0.2">
      <c r="A193" s="39"/>
      <c r="B193" s="9" t="s">
        <v>854</v>
      </c>
      <c r="C193" s="9" t="s">
        <v>818</v>
      </c>
      <c r="D193" s="9" t="s">
        <v>39</v>
      </c>
      <c r="E193" s="9" t="s">
        <v>46</v>
      </c>
      <c r="F193" s="9" t="s">
        <v>47</v>
      </c>
      <c r="G193" s="10" t="s">
        <v>42</v>
      </c>
    </row>
    <row r="194" spans="1:7" ht="12.75" x14ac:dyDescent="0.2">
      <c r="A194" s="37"/>
      <c r="B194" s="9" t="s">
        <v>854</v>
      </c>
      <c r="C194" s="9" t="s">
        <v>816</v>
      </c>
      <c r="D194" s="9" t="s">
        <v>39</v>
      </c>
      <c r="E194" s="9" t="s">
        <v>46</v>
      </c>
      <c r="F194" s="9" t="s">
        <v>47</v>
      </c>
      <c r="G194" s="10" t="s">
        <v>42</v>
      </c>
    </row>
    <row r="195" spans="1:7" ht="12.75" x14ac:dyDescent="0.2">
      <c r="A195" s="39"/>
      <c r="B195" s="9" t="s">
        <v>854</v>
      </c>
      <c r="C195" s="9" t="s">
        <v>872</v>
      </c>
      <c r="D195" s="9" t="s">
        <v>39</v>
      </c>
      <c r="E195" s="9" t="s">
        <v>46</v>
      </c>
      <c r="F195" s="9" t="s">
        <v>47</v>
      </c>
      <c r="G195" s="10" t="s">
        <v>42</v>
      </c>
    </row>
    <row r="196" spans="1:7" ht="12.75" x14ac:dyDescent="0.2">
      <c r="A196" s="37"/>
      <c r="B196" s="9" t="s">
        <v>854</v>
      </c>
      <c r="C196" s="9" t="s">
        <v>873</v>
      </c>
      <c r="D196" s="9" t="s">
        <v>39</v>
      </c>
      <c r="E196" s="9" t="s">
        <v>46</v>
      </c>
      <c r="F196" s="9" t="s">
        <v>47</v>
      </c>
      <c r="G196" s="10" t="s">
        <v>42</v>
      </c>
    </row>
    <row r="197" spans="1:7" ht="12.75" x14ac:dyDescent="0.2">
      <c r="A197" s="39"/>
      <c r="B197" s="9" t="s">
        <v>854</v>
      </c>
      <c r="C197" s="9" t="s">
        <v>836</v>
      </c>
      <c r="D197" s="9" t="s">
        <v>39</v>
      </c>
      <c r="E197" s="9" t="s">
        <v>46</v>
      </c>
      <c r="F197" s="9" t="s">
        <v>47</v>
      </c>
      <c r="G197" s="10" t="s">
        <v>42</v>
      </c>
    </row>
    <row r="198" spans="1:7" ht="12.75" x14ac:dyDescent="0.2">
      <c r="A198" s="37"/>
      <c r="B198" s="9" t="s">
        <v>854</v>
      </c>
      <c r="C198" s="9" t="s">
        <v>835</v>
      </c>
      <c r="D198" s="9" t="s">
        <v>39</v>
      </c>
      <c r="E198" s="9" t="s">
        <v>46</v>
      </c>
      <c r="F198" s="9" t="s">
        <v>47</v>
      </c>
      <c r="G198" s="10" t="s">
        <v>42</v>
      </c>
    </row>
    <row r="199" spans="1:7" ht="12.75" x14ac:dyDescent="0.2">
      <c r="A199" s="38"/>
      <c r="B199" s="9" t="s">
        <v>854</v>
      </c>
      <c r="C199" s="9" t="s">
        <v>837</v>
      </c>
      <c r="D199" s="9" t="s">
        <v>39</v>
      </c>
      <c r="E199" s="9" t="s">
        <v>46</v>
      </c>
      <c r="F199" s="9" t="s">
        <v>47</v>
      </c>
      <c r="G199" s="10" t="s">
        <v>42</v>
      </c>
    </row>
    <row r="200" spans="1:7" ht="12.75" x14ac:dyDescent="0.2">
      <c r="A200" s="36" t="s">
        <v>27</v>
      </c>
      <c r="B200" s="9" t="s">
        <v>774</v>
      </c>
      <c r="C200" s="9" t="s">
        <v>798</v>
      </c>
      <c r="D200" s="9" t="s">
        <v>94</v>
      </c>
      <c r="E200" s="9" t="s">
        <v>46</v>
      </c>
      <c r="F200" s="9" t="s">
        <v>51</v>
      </c>
      <c r="G200" s="10" t="s">
        <v>42</v>
      </c>
    </row>
    <row r="201" spans="1:7" ht="12.75" x14ac:dyDescent="0.2">
      <c r="A201" s="39"/>
      <c r="B201" s="9" t="s">
        <v>774</v>
      </c>
      <c r="C201" s="9" t="s">
        <v>874</v>
      </c>
      <c r="D201" s="9" t="s">
        <v>39</v>
      </c>
      <c r="E201" s="9" t="s">
        <v>46</v>
      </c>
      <c r="F201" s="9" t="s">
        <v>51</v>
      </c>
      <c r="G201" s="10" t="s">
        <v>42</v>
      </c>
    </row>
    <row r="202" spans="1:7" ht="12.75" x14ac:dyDescent="0.2">
      <c r="A202" s="37"/>
      <c r="B202" s="9" t="s">
        <v>774</v>
      </c>
      <c r="C202" s="9" t="s">
        <v>875</v>
      </c>
      <c r="D202" s="9" t="s">
        <v>39</v>
      </c>
      <c r="E202" s="9" t="s">
        <v>46</v>
      </c>
      <c r="F202" s="9" t="s">
        <v>51</v>
      </c>
      <c r="G202" s="10" t="s">
        <v>42</v>
      </c>
    </row>
    <row r="203" spans="1:7" ht="12.75" x14ac:dyDescent="0.2">
      <c r="A203" s="39"/>
      <c r="B203" s="9" t="s">
        <v>774</v>
      </c>
      <c r="C203" s="9" t="s">
        <v>876</v>
      </c>
      <c r="D203" s="9" t="s">
        <v>39</v>
      </c>
      <c r="E203" s="9" t="s">
        <v>46</v>
      </c>
      <c r="F203" s="9" t="s">
        <v>51</v>
      </c>
      <c r="G203" s="10" t="s">
        <v>42</v>
      </c>
    </row>
    <row r="204" spans="1:7" ht="12.75" x14ac:dyDescent="0.2">
      <c r="A204" s="37"/>
      <c r="B204" s="9" t="s">
        <v>774</v>
      </c>
      <c r="C204" s="9" t="s">
        <v>877</v>
      </c>
      <c r="D204" s="9" t="s">
        <v>39</v>
      </c>
      <c r="E204" s="9" t="s">
        <v>46</v>
      </c>
      <c r="F204" s="9" t="s">
        <v>51</v>
      </c>
      <c r="G204" s="10" t="s">
        <v>42</v>
      </c>
    </row>
    <row r="205" spans="1:7" ht="12.75" x14ac:dyDescent="0.2">
      <c r="A205" s="39"/>
      <c r="B205" s="9" t="s">
        <v>774</v>
      </c>
      <c r="C205" s="9" t="s">
        <v>857</v>
      </c>
      <c r="D205" s="9" t="s">
        <v>39</v>
      </c>
      <c r="E205" s="9" t="s">
        <v>46</v>
      </c>
      <c r="F205" s="9" t="s">
        <v>47</v>
      </c>
      <c r="G205" s="10" t="s">
        <v>42</v>
      </c>
    </row>
    <row r="206" spans="1:7" ht="12.75" x14ac:dyDescent="0.2">
      <c r="A206" s="37"/>
      <c r="B206" s="9" t="s">
        <v>774</v>
      </c>
      <c r="C206" s="9" t="s">
        <v>800</v>
      </c>
      <c r="D206" s="9" t="s">
        <v>39</v>
      </c>
      <c r="E206" s="9" t="s">
        <v>46</v>
      </c>
      <c r="F206" s="9" t="s">
        <v>51</v>
      </c>
      <c r="G206" s="10" t="s">
        <v>42</v>
      </c>
    </row>
    <row r="207" spans="1:7" ht="12.75" x14ac:dyDescent="0.2">
      <c r="A207" s="39"/>
      <c r="B207" s="9" t="s">
        <v>774</v>
      </c>
      <c r="C207" s="9" t="s">
        <v>783</v>
      </c>
      <c r="D207" s="9" t="s">
        <v>39</v>
      </c>
      <c r="E207" s="9" t="s">
        <v>46</v>
      </c>
      <c r="F207" s="9" t="s">
        <v>51</v>
      </c>
      <c r="G207" s="10" t="s">
        <v>42</v>
      </c>
    </row>
    <row r="208" spans="1:7" ht="12.75" x14ac:dyDescent="0.2">
      <c r="A208" s="37"/>
      <c r="B208" s="9" t="s">
        <v>774</v>
      </c>
      <c r="C208" s="9" t="s">
        <v>782</v>
      </c>
      <c r="D208" s="9" t="s">
        <v>39</v>
      </c>
      <c r="E208" s="9" t="s">
        <v>46</v>
      </c>
      <c r="F208" s="9" t="s">
        <v>51</v>
      </c>
      <c r="G208" s="10" t="s">
        <v>42</v>
      </c>
    </row>
    <row r="209" spans="1:7" ht="12.75" x14ac:dyDescent="0.2">
      <c r="A209" s="39"/>
      <c r="B209" s="9" t="s">
        <v>774</v>
      </c>
      <c r="C209" s="9" t="s">
        <v>878</v>
      </c>
      <c r="D209" s="9" t="s">
        <v>39</v>
      </c>
      <c r="E209" s="9" t="s">
        <v>46</v>
      </c>
      <c r="F209" s="9" t="s">
        <v>51</v>
      </c>
      <c r="G209" s="10" t="s">
        <v>42</v>
      </c>
    </row>
    <row r="210" spans="1:7" ht="12.75" x14ac:dyDescent="0.2">
      <c r="A210" s="37"/>
      <c r="B210" s="9" t="s">
        <v>774</v>
      </c>
      <c r="C210" s="9" t="s">
        <v>785</v>
      </c>
      <c r="D210" s="9" t="s">
        <v>39</v>
      </c>
      <c r="E210" s="9" t="s">
        <v>46</v>
      </c>
      <c r="F210" s="9" t="s">
        <v>51</v>
      </c>
      <c r="G210" s="10" t="s">
        <v>42</v>
      </c>
    </row>
    <row r="211" spans="1:7" ht="12.75" x14ac:dyDescent="0.2">
      <c r="A211" s="39"/>
      <c r="B211" s="9" t="s">
        <v>774</v>
      </c>
      <c r="C211" s="9" t="s">
        <v>879</v>
      </c>
      <c r="D211" s="9" t="s">
        <v>39</v>
      </c>
      <c r="E211" s="9" t="s">
        <v>46</v>
      </c>
      <c r="F211" s="9" t="s">
        <v>51</v>
      </c>
      <c r="G211" s="10" t="s">
        <v>42</v>
      </c>
    </row>
    <row r="212" spans="1:7" ht="12.75" x14ac:dyDescent="0.2">
      <c r="A212" s="37"/>
      <c r="B212" s="9" t="s">
        <v>774</v>
      </c>
      <c r="C212" s="9" t="s">
        <v>880</v>
      </c>
      <c r="D212" s="9" t="s">
        <v>39</v>
      </c>
      <c r="E212" s="9" t="s">
        <v>46</v>
      </c>
      <c r="F212" s="9" t="s">
        <v>51</v>
      </c>
      <c r="G212" s="10" t="s">
        <v>42</v>
      </c>
    </row>
    <row r="213" spans="1:7" ht="12.75" x14ac:dyDescent="0.2">
      <c r="A213" s="39"/>
      <c r="B213" s="9" t="s">
        <v>774</v>
      </c>
      <c r="C213" s="9" t="s">
        <v>789</v>
      </c>
      <c r="D213" s="9" t="s">
        <v>39</v>
      </c>
      <c r="E213" s="9" t="s">
        <v>46</v>
      </c>
      <c r="F213" s="9" t="s">
        <v>51</v>
      </c>
      <c r="G213" s="10" t="s">
        <v>42</v>
      </c>
    </row>
    <row r="214" spans="1:7" ht="12.75" x14ac:dyDescent="0.2">
      <c r="A214" s="37"/>
      <c r="B214" s="9" t="s">
        <v>774</v>
      </c>
      <c r="C214" s="9" t="s">
        <v>788</v>
      </c>
      <c r="D214" s="9" t="s">
        <v>39</v>
      </c>
      <c r="E214" s="9" t="s">
        <v>46</v>
      </c>
      <c r="F214" s="9" t="s">
        <v>51</v>
      </c>
      <c r="G214" s="10" t="s">
        <v>42</v>
      </c>
    </row>
    <row r="215" spans="1:7" ht="12.75" x14ac:dyDescent="0.2">
      <c r="A215" s="39"/>
      <c r="B215" s="9" t="s">
        <v>774</v>
      </c>
      <c r="C215" s="9" t="s">
        <v>848</v>
      </c>
      <c r="D215" s="9" t="s">
        <v>39</v>
      </c>
      <c r="E215" s="9" t="s">
        <v>46</v>
      </c>
      <c r="F215" s="9" t="s">
        <v>51</v>
      </c>
      <c r="G215" s="10" t="s">
        <v>42</v>
      </c>
    </row>
    <row r="216" spans="1:7" ht="12.75" x14ac:dyDescent="0.2">
      <c r="A216" s="37"/>
      <c r="B216" s="9" t="s">
        <v>774</v>
      </c>
      <c r="C216" s="9" t="s">
        <v>881</v>
      </c>
      <c r="D216" s="9" t="s">
        <v>39</v>
      </c>
      <c r="E216" s="9" t="s">
        <v>46</v>
      </c>
      <c r="F216" s="9" t="s">
        <v>51</v>
      </c>
      <c r="G216" s="10" t="s">
        <v>42</v>
      </c>
    </row>
    <row r="217" spans="1:7" ht="12.75" x14ac:dyDescent="0.2">
      <c r="A217" s="39"/>
      <c r="B217" s="9" t="s">
        <v>774</v>
      </c>
      <c r="C217" s="9" t="s">
        <v>861</v>
      </c>
      <c r="D217" s="9" t="s">
        <v>39</v>
      </c>
      <c r="E217" s="9" t="s">
        <v>46</v>
      </c>
      <c r="F217" s="9" t="s">
        <v>51</v>
      </c>
      <c r="G217" s="10" t="s">
        <v>42</v>
      </c>
    </row>
    <row r="218" spans="1:7" ht="12.75" x14ac:dyDescent="0.2">
      <c r="A218" s="37"/>
      <c r="B218" s="9" t="s">
        <v>774</v>
      </c>
      <c r="C218" s="9" t="s">
        <v>882</v>
      </c>
      <c r="D218" s="9" t="s">
        <v>39</v>
      </c>
      <c r="E218" s="9" t="s">
        <v>46</v>
      </c>
      <c r="F218" s="9" t="s">
        <v>51</v>
      </c>
      <c r="G218" s="10" t="s">
        <v>42</v>
      </c>
    </row>
    <row r="219" spans="1:7" ht="12.75" x14ac:dyDescent="0.2">
      <c r="A219" s="39"/>
      <c r="B219" s="9" t="s">
        <v>774</v>
      </c>
      <c r="C219" s="9" t="s">
        <v>803</v>
      </c>
      <c r="D219" s="9" t="s">
        <v>39</v>
      </c>
      <c r="E219" s="9" t="s">
        <v>46</v>
      </c>
      <c r="F219" s="9" t="s">
        <v>47</v>
      </c>
      <c r="G219" s="10" t="s">
        <v>42</v>
      </c>
    </row>
    <row r="220" spans="1:7" ht="12.75" x14ac:dyDescent="0.2">
      <c r="A220" s="37"/>
      <c r="B220" s="9" t="s">
        <v>774</v>
      </c>
      <c r="C220" s="9" t="s">
        <v>804</v>
      </c>
      <c r="D220" s="9" t="s">
        <v>39</v>
      </c>
      <c r="E220" s="9" t="s">
        <v>46</v>
      </c>
      <c r="F220" s="9" t="s">
        <v>51</v>
      </c>
      <c r="G220" s="10" t="s">
        <v>42</v>
      </c>
    </row>
    <row r="221" spans="1:7" ht="12.75" x14ac:dyDescent="0.2">
      <c r="A221" s="39"/>
      <c r="B221" s="9" t="s">
        <v>774</v>
      </c>
      <c r="C221" s="9" t="s">
        <v>883</v>
      </c>
      <c r="D221" s="9" t="s">
        <v>39</v>
      </c>
      <c r="E221" s="9" t="s">
        <v>46</v>
      </c>
      <c r="F221" s="9" t="s">
        <v>47</v>
      </c>
      <c r="G221" s="10" t="s">
        <v>42</v>
      </c>
    </row>
    <row r="222" spans="1:7" ht="12.75" x14ac:dyDescent="0.2">
      <c r="A222" s="37"/>
      <c r="B222" s="9" t="s">
        <v>774</v>
      </c>
      <c r="C222" s="9" t="s">
        <v>805</v>
      </c>
      <c r="D222" s="9" t="s">
        <v>39</v>
      </c>
      <c r="E222" s="9" t="s">
        <v>46</v>
      </c>
      <c r="F222" s="9" t="s">
        <v>47</v>
      </c>
      <c r="G222" s="10" t="s">
        <v>42</v>
      </c>
    </row>
    <row r="223" spans="1:7" ht="12.75" x14ac:dyDescent="0.2">
      <c r="A223" s="39"/>
      <c r="B223" s="9" t="s">
        <v>774</v>
      </c>
      <c r="C223" s="9" t="s">
        <v>864</v>
      </c>
      <c r="D223" s="9" t="s">
        <v>39</v>
      </c>
      <c r="E223" s="9" t="s">
        <v>46</v>
      </c>
      <c r="F223" s="9" t="s">
        <v>51</v>
      </c>
      <c r="G223" s="10" t="s">
        <v>42</v>
      </c>
    </row>
    <row r="224" spans="1:7" ht="12.75" x14ac:dyDescent="0.2">
      <c r="A224" s="37"/>
      <c r="B224" s="9" t="s">
        <v>774</v>
      </c>
      <c r="C224" s="9" t="s">
        <v>884</v>
      </c>
      <c r="D224" s="9" t="s">
        <v>39</v>
      </c>
      <c r="E224" s="9" t="s">
        <v>46</v>
      </c>
      <c r="F224" s="9" t="s">
        <v>51</v>
      </c>
      <c r="G224" s="10" t="s">
        <v>42</v>
      </c>
    </row>
    <row r="225" spans="1:7" ht="12.75" x14ac:dyDescent="0.2">
      <c r="A225" s="39"/>
      <c r="B225" s="9" t="s">
        <v>774</v>
      </c>
      <c r="C225" s="9" t="s">
        <v>777</v>
      </c>
      <c r="D225" s="9" t="s">
        <v>39</v>
      </c>
      <c r="E225" s="9" t="s">
        <v>46</v>
      </c>
      <c r="F225" s="9" t="s">
        <v>51</v>
      </c>
      <c r="G225" s="10" t="s">
        <v>42</v>
      </c>
    </row>
    <row r="226" spans="1:7" ht="12.75" x14ac:dyDescent="0.2">
      <c r="A226" s="37"/>
      <c r="B226" s="9" t="s">
        <v>774</v>
      </c>
      <c r="C226" s="9" t="s">
        <v>807</v>
      </c>
      <c r="D226" s="9" t="s">
        <v>39</v>
      </c>
      <c r="E226" s="9" t="s">
        <v>46</v>
      </c>
      <c r="F226" s="9" t="s">
        <v>51</v>
      </c>
      <c r="G226" s="10" t="s">
        <v>42</v>
      </c>
    </row>
    <row r="227" spans="1:7" ht="12.75" x14ac:dyDescent="0.2">
      <c r="A227" s="39"/>
      <c r="B227" s="9" t="s">
        <v>774</v>
      </c>
      <c r="C227" s="9" t="s">
        <v>866</v>
      </c>
      <c r="D227" s="9" t="s">
        <v>39</v>
      </c>
      <c r="E227" s="9" t="s">
        <v>46</v>
      </c>
      <c r="F227" s="9" t="s">
        <v>51</v>
      </c>
      <c r="G227" s="10" t="s">
        <v>42</v>
      </c>
    </row>
    <row r="228" spans="1:7" ht="12.75" x14ac:dyDescent="0.2">
      <c r="A228" s="37"/>
      <c r="B228" s="9" t="s">
        <v>774</v>
      </c>
      <c r="C228" s="9" t="s">
        <v>885</v>
      </c>
      <c r="D228" s="9" t="s">
        <v>39</v>
      </c>
      <c r="E228" s="9" t="s">
        <v>46</v>
      </c>
      <c r="F228" s="9" t="s">
        <v>51</v>
      </c>
      <c r="G228" s="10" t="s">
        <v>42</v>
      </c>
    </row>
    <row r="229" spans="1:7" ht="12.75" x14ac:dyDescent="0.2">
      <c r="A229" s="39"/>
      <c r="B229" s="9" t="s">
        <v>774</v>
      </c>
      <c r="C229" s="9" t="s">
        <v>844</v>
      </c>
      <c r="D229" s="9" t="s">
        <v>39</v>
      </c>
      <c r="E229" s="9" t="s">
        <v>46</v>
      </c>
      <c r="F229" s="9" t="s">
        <v>51</v>
      </c>
      <c r="G229" s="10" t="s">
        <v>42</v>
      </c>
    </row>
    <row r="230" spans="1:7" ht="12.75" x14ac:dyDescent="0.2">
      <c r="A230" s="37"/>
      <c r="B230" s="9" t="s">
        <v>774</v>
      </c>
      <c r="C230" s="9" t="s">
        <v>843</v>
      </c>
      <c r="D230" s="9" t="s">
        <v>39</v>
      </c>
      <c r="E230" s="9" t="s">
        <v>46</v>
      </c>
      <c r="F230" s="9" t="s">
        <v>51</v>
      </c>
      <c r="G230" s="10" t="s">
        <v>42</v>
      </c>
    </row>
    <row r="231" spans="1:7" ht="12.75" x14ac:dyDescent="0.2">
      <c r="A231" s="39"/>
      <c r="B231" s="9" t="s">
        <v>774</v>
      </c>
      <c r="C231" s="9" t="s">
        <v>886</v>
      </c>
      <c r="D231" s="9" t="s">
        <v>94</v>
      </c>
      <c r="E231" s="9" t="s">
        <v>46</v>
      </c>
      <c r="F231" s="9" t="s">
        <v>51</v>
      </c>
      <c r="G231" s="10" t="s">
        <v>42</v>
      </c>
    </row>
    <row r="232" spans="1:7" ht="12.75" x14ac:dyDescent="0.2">
      <c r="A232" s="37"/>
      <c r="B232" s="9" t="s">
        <v>774</v>
      </c>
      <c r="C232" s="9" t="s">
        <v>840</v>
      </c>
      <c r="D232" s="9" t="s">
        <v>39</v>
      </c>
      <c r="E232" s="9" t="s">
        <v>46</v>
      </c>
      <c r="F232" s="9" t="s">
        <v>51</v>
      </c>
      <c r="G232" s="10" t="s">
        <v>42</v>
      </c>
    </row>
    <row r="233" spans="1:7" ht="12.75" x14ac:dyDescent="0.2">
      <c r="A233" s="39"/>
      <c r="B233" s="9" t="s">
        <v>774</v>
      </c>
      <c r="C233" s="9" t="s">
        <v>812</v>
      </c>
      <c r="D233" s="9" t="s">
        <v>39</v>
      </c>
      <c r="E233" s="9" t="s">
        <v>46</v>
      </c>
      <c r="F233" s="9" t="s">
        <v>51</v>
      </c>
      <c r="G233" s="10" t="s">
        <v>42</v>
      </c>
    </row>
    <row r="234" spans="1:7" ht="12.75" x14ac:dyDescent="0.2">
      <c r="A234" s="37"/>
      <c r="B234" s="9" t="s">
        <v>774</v>
      </c>
      <c r="C234" s="9" t="s">
        <v>813</v>
      </c>
      <c r="D234" s="9" t="s">
        <v>39</v>
      </c>
      <c r="E234" s="9" t="s">
        <v>46</v>
      </c>
      <c r="F234" s="9" t="s">
        <v>51</v>
      </c>
      <c r="G234" s="10" t="s">
        <v>42</v>
      </c>
    </row>
    <row r="235" spans="1:7" ht="12.75" x14ac:dyDescent="0.2">
      <c r="A235" s="39"/>
      <c r="B235" s="9" t="s">
        <v>774</v>
      </c>
      <c r="C235" s="9" t="s">
        <v>779</v>
      </c>
      <c r="D235" s="9" t="s">
        <v>39</v>
      </c>
      <c r="E235" s="9" t="s">
        <v>46</v>
      </c>
      <c r="F235" s="9" t="s">
        <v>51</v>
      </c>
      <c r="G235" s="10" t="s">
        <v>42</v>
      </c>
    </row>
    <row r="236" spans="1:7" ht="12.75" x14ac:dyDescent="0.2">
      <c r="A236" s="37"/>
      <c r="B236" s="9" t="s">
        <v>774</v>
      </c>
      <c r="C236" s="9" t="s">
        <v>887</v>
      </c>
      <c r="D236" s="9" t="s">
        <v>39</v>
      </c>
      <c r="E236" s="9" t="s">
        <v>46</v>
      </c>
      <c r="F236" s="9" t="s">
        <v>51</v>
      </c>
      <c r="G236" s="10" t="s">
        <v>42</v>
      </c>
    </row>
    <row r="237" spans="1:7" ht="12.75" x14ac:dyDescent="0.2">
      <c r="A237" s="39"/>
      <c r="B237" s="9" t="s">
        <v>774</v>
      </c>
      <c r="C237" s="9" t="s">
        <v>888</v>
      </c>
      <c r="D237" s="9" t="s">
        <v>39</v>
      </c>
      <c r="E237" s="9" t="s">
        <v>46</v>
      </c>
      <c r="F237" s="9" t="s">
        <v>51</v>
      </c>
      <c r="G237" s="10" t="s">
        <v>42</v>
      </c>
    </row>
    <row r="238" spans="1:7" ht="12.75" x14ac:dyDescent="0.2">
      <c r="A238" s="37"/>
      <c r="B238" s="9" t="s">
        <v>774</v>
      </c>
      <c r="C238" s="9" t="s">
        <v>837</v>
      </c>
      <c r="D238" s="9" t="s">
        <v>39</v>
      </c>
      <c r="E238" s="9" t="s">
        <v>46</v>
      </c>
      <c r="F238" s="9" t="s">
        <v>51</v>
      </c>
      <c r="G238" s="10" t="s">
        <v>42</v>
      </c>
    </row>
    <row r="239" spans="1:7" ht="12.75" x14ac:dyDescent="0.2">
      <c r="A239" s="39"/>
      <c r="B239" s="9" t="s">
        <v>774</v>
      </c>
      <c r="C239" s="9" t="s">
        <v>836</v>
      </c>
      <c r="D239" s="9" t="s">
        <v>39</v>
      </c>
      <c r="E239" s="9" t="s">
        <v>46</v>
      </c>
      <c r="F239" s="9" t="s">
        <v>51</v>
      </c>
      <c r="G239" s="10" t="s">
        <v>42</v>
      </c>
    </row>
    <row r="240" spans="1:7" ht="12.75" x14ac:dyDescent="0.2">
      <c r="A240" s="37"/>
      <c r="B240" s="9" t="s">
        <v>774</v>
      </c>
      <c r="C240" s="9" t="s">
        <v>835</v>
      </c>
      <c r="D240" s="9" t="s">
        <v>39</v>
      </c>
      <c r="E240" s="9" t="s">
        <v>46</v>
      </c>
      <c r="F240" s="9" t="s">
        <v>51</v>
      </c>
      <c r="G240" s="10" t="s">
        <v>42</v>
      </c>
    </row>
    <row r="241" spans="1:7" ht="12.75" x14ac:dyDescent="0.2">
      <c r="A241" s="39"/>
      <c r="B241" s="9" t="s">
        <v>774</v>
      </c>
      <c r="C241" s="9" t="s">
        <v>889</v>
      </c>
      <c r="D241" s="9" t="s">
        <v>39</v>
      </c>
      <c r="E241" s="9" t="s">
        <v>46</v>
      </c>
      <c r="F241" s="9" t="s">
        <v>47</v>
      </c>
      <c r="G241" s="10" t="s">
        <v>42</v>
      </c>
    </row>
    <row r="242" spans="1:7" ht="12.75" x14ac:dyDescent="0.2">
      <c r="A242" s="37"/>
      <c r="B242" s="9" t="s">
        <v>774</v>
      </c>
      <c r="C242" s="9" t="s">
        <v>873</v>
      </c>
      <c r="D242" s="9" t="s">
        <v>39</v>
      </c>
      <c r="E242" s="9" t="s">
        <v>46</v>
      </c>
      <c r="F242" s="9" t="s">
        <v>51</v>
      </c>
      <c r="G242" s="10" t="s">
        <v>42</v>
      </c>
    </row>
    <row r="243" spans="1:7" ht="12.75" x14ac:dyDescent="0.2">
      <c r="A243" s="39"/>
      <c r="B243" s="9" t="s">
        <v>774</v>
      </c>
      <c r="C243" s="9" t="s">
        <v>890</v>
      </c>
      <c r="D243" s="9" t="s">
        <v>39</v>
      </c>
      <c r="E243" s="9" t="s">
        <v>46</v>
      </c>
      <c r="F243" s="9" t="s">
        <v>51</v>
      </c>
      <c r="G243" s="10" t="s">
        <v>42</v>
      </c>
    </row>
    <row r="244" spans="1:7" ht="12.75" x14ac:dyDescent="0.2">
      <c r="A244" s="37"/>
      <c r="B244" s="9" t="s">
        <v>774</v>
      </c>
      <c r="C244" s="9" t="s">
        <v>818</v>
      </c>
      <c r="D244" s="9" t="s">
        <v>39</v>
      </c>
      <c r="E244" s="9" t="s">
        <v>46</v>
      </c>
      <c r="F244" s="9" t="s">
        <v>51</v>
      </c>
      <c r="G244" s="10" t="s">
        <v>42</v>
      </c>
    </row>
    <row r="245" spans="1:7" ht="12.75" x14ac:dyDescent="0.2">
      <c r="A245" s="39"/>
      <c r="B245" s="9" t="s">
        <v>774</v>
      </c>
      <c r="C245" s="9" t="s">
        <v>891</v>
      </c>
      <c r="D245" s="9" t="s">
        <v>39</v>
      </c>
      <c r="E245" s="9" t="s">
        <v>46</v>
      </c>
      <c r="F245" s="9" t="s">
        <v>51</v>
      </c>
      <c r="G245" s="10" t="s">
        <v>42</v>
      </c>
    </row>
    <row r="246" spans="1:7" ht="12.75" x14ac:dyDescent="0.2">
      <c r="A246" s="37"/>
      <c r="B246" s="9" t="s">
        <v>774</v>
      </c>
      <c r="C246" s="9" t="s">
        <v>819</v>
      </c>
      <c r="D246" s="9" t="s">
        <v>39</v>
      </c>
      <c r="E246" s="9" t="s">
        <v>46</v>
      </c>
      <c r="F246" s="9" t="s">
        <v>51</v>
      </c>
      <c r="G246" s="10" t="s">
        <v>42</v>
      </c>
    </row>
    <row r="247" spans="1:7" ht="12.75" x14ac:dyDescent="0.2">
      <c r="A247" s="39"/>
      <c r="B247" s="9" t="s">
        <v>774</v>
      </c>
      <c r="C247" s="9" t="s">
        <v>820</v>
      </c>
      <c r="D247" s="9" t="s">
        <v>39</v>
      </c>
      <c r="E247" s="9" t="s">
        <v>46</v>
      </c>
      <c r="F247" s="9" t="s">
        <v>51</v>
      </c>
      <c r="G247" s="10" t="s">
        <v>42</v>
      </c>
    </row>
    <row r="248" spans="1:7" ht="12.75" x14ac:dyDescent="0.2">
      <c r="A248" s="37"/>
      <c r="B248" s="9" t="s">
        <v>774</v>
      </c>
      <c r="C248" s="9" t="s">
        <v>841</v>
      </c>
      <c r="D248" s="9" t="s">
        <v>39</v>
      </c>
      <c r="E248" s="9" t="s">
        <v>46</v>
      </c>
      <c r="F248" s="9" t="s">
        <v>51</v>
      </c>
      <c r="G248" s="10" t="s">
        <v>42</v>
      </c>
    </row>
    <row r="249" spans="1:7" ht="12.75" x14ac:dyDescent="0.2">
      <c r="A249" s="39"/>
      <c r="B249" s="9" t="s">
        <v>774</v>
      </c>
      <c r="C249" s="9" t="s">
        <v>869</v>
      </c>
      <c r="D249" s="9" t="s">
        <v>39</v>
      </c>
      <c r="E249" s="9" t="s">
        <v>46</v>
      </c>
      <c r="F249" s="9" t="s">
        <v>51</v>
      </c>
      <c r="G249" s="10" t="s">
        <v>42</v>
      </c>
    </row>
    <row r="250" spans="1:7" ht="12.75" x14ac:dyDescent="0.2">
      <c r="A250" s="37"/>
      <c r="B250" s="9" t="s">
        <v>774</v>
      </c>
      <c r="C250" s="9" t="s">
        <v>821</v>
      </c>
      <c r="D250" s="9" t="s">
        <v>39</v>
      </c>
      <c r="E250" s="9" t="s">
        <v>46</v>
      </c>
      <c r="F250" s="9" t="s">
        <v>47</v>
      </c>
      <c r="G250" s="10" t="s">
        <v>42</v>
      </c>
    </row>
    <row r="251" spans="1:7" ht="12.75" x14ac:dyDescent="0.2">
      <c r="A251" s="39"/>
      <c r="B251" s="9" t="s">
        <v>774</v>
      </c>
      <c r="C251" s="9" t="s">
        <v>892</v>
      </c>
      <c r="D251" s="9" t="s">
        <v>39</v>
      </c>
      <c r="E251" s="9" t="s">
        <v>46</v>
      </c>
      <c r="F251" s="9" t="s">
        <v>51</v>
      </c>
      <c r="G251" s="10" t="s">
        <v>42</v>
      </c>
    </row>
    <row r="252" spans="1:7" ht="12.75" x14ac:dyDescent="0.2">
      <c r="A252" s="37"/>
      <c r="B252" s="9" t="s">
        <v>774</v>
      </c>
      <c r="C252" s="9" t="s">
        <v>825</v>
      </c>
      <c r="D252" s="9" t="s">
        <v>39</v>
      </c>
      <c r="E252" s="9" t="s">
        <v>46</v>
      </c>
      <c r="F252" s="9" t="s">
        <v>51</v>
      </c>
      <c r="G252" s="10" t="s">
        <v>42</v>
      </c>
    </row>
    <row r="253" spans="1:7" ht="12.75" x14ac:dyDescent="0.2">
      <c r="A253" s="39"/>
      <c r="B253" s="9" t="s">
        <v>774</v>
      </c>
      <c r="C253" s="9" t="s">
        <v>893</v>
      </c>
      <c r="D253" s="9" t="s">
        <v>39</v>
      </c>
      <c r="E253" s="9" t="s">
        <v>46</v>
      </c>
      <c r="F253" s="9" t="s">
        <v>51</v>
      </c>
      <c r="G253" s="10" t="s">
        <v>42</v>
      </c>
    </row>
    <row r="254" spans="1:7" ht="12.75" x14ac:dyDescent="0.2">
      <c r="A254" s="37"/>
      <c r="B254" s="9" t="s">
        <v>774</v>
      </c>
      <c r="C254" s="9" t="s">
        <v>673</v>
      </c>
      <c r="D254" s="9" t="s">
        <v>39</v>
      </c>
      <c r="E254" s="9" t="s">
        <v>46</v>
      </c>
      <c r="F254" s="9" t="s">
        <v>51</v>
      </c>
      <c r="G254" s="10" t="s">
        <v>42</v>
      </c>
    </row>
    <row r="255" spans="1:7" ht="12.75" x14ac:dyDescent="0.2">
      <c r="A255" s="38"/>
      <c r="B255" s="9" t="s">
        <v>774</v>
      </c>
      <c r="C255" s="9" t="s">
        <v>786</v>
      </c>
      <c r="D255" s="9" t="s">
        <v>39</v>
      </c>
      <c r="E255" s="9" t="s">
        <v>46</v>
      </c>
      <c r="F255" s="9" t="s">
        <v>51</v>
      </c>
      <c r="G255" s="10" t="s">
        <v>42</v>
      </c>
    </row>
    <row r="256" spans="1:7" ht="12.75" x14ac:dyDescent="0.2">
      <c r="A256" s="36" t="s">
        <v>28</v>
      </c>
      <c r="B256" s="9" t="s">
        <v>854</v>
      </c>
      <c r="C256" s="9" t="s">
        <v>800</v>
      </c>
      <c r="D256" s="9" t="s">
        <v>39</v>
      </c>
      <c r="E256" s="9" t="s">
        <v>46</v>
      </c>
      <c r="F256" s="9" t="s">
        <v>47</v>
      </c>
      <c r="G256" s="10" t="s">
        <v>42</v>
      </c>
    </row>
    <row r="257" spans="1:7" ht="12.75" x14ac:dyDescent="0.2">
      <c r="A257" s="39"/>
      <c r="B257" s="9" t="s">
        <v>854</v>
      </c>
      <c r="C257" s="9" t="s">
        <v>894</v>
      </c>
      <c r="D257" s="9" t="s">
        <v>39</v>
      </c>
      <c r="E257" s="9" t="s">
        <v>46</v>
      </c>
      <c r="F257" s="9" t="s">
        <v>47</v>
      </c>
      <c r="G257" s="10" t="s">
        <v>42</v>
      </c>
    </row>
    <row r="258" spans="1:7" ht="12.75" x14ac:dyDescent="0.2">
      <c r="A258" s="37"/>
      <c r="B258" s="9" t="s">
        <v>854</v>
      </c>
      <c r="C258" s="9" t="s">
        <v>875</v>
      </c>
      <c r="D258" s="9" t="s">
        <v>39</v>
      </c>
      <c r="E258" s="9" t="s">
        <v>46</v>
      </c>
      <c r="F258" s="9" t="s">
        <v>47</v>
      </c>
      <c r="G258" s="10" t="s">
        <v>42</v>
      </c>
    </row>
    <row r="259" spans="1:7" ht="12.75" x14ac:dyDescent="0.2">
      <c r="A259" s="39"/>
      <c r="B259" s="9" t="s">
        <v>854</v>
      </c>
      <c r="C259" s="9" t="s">
        <v>797</v>
      </c>
      <c r="D259" s="9" t="s">
        <v>39</v>
      </c>
      <c r="E259" s="9" t="s">
        <v>46</v>
      </c>
      <c r="F259" s="9" t="s">
        <v>47</v>
      </c>
      <c r="G259" s="10" t="s">
        <v>42</v>
      </c>
    </row>
    <row r="260" spans="1:7" ht="12.75" x14ac:dyDescent="0.2">
      <c r="A260" s="37"/>
      <c r="B260" s="9" t="s">
        <v>854</v>
      </c>
      <c r="C260" s="9" t="s">
        <v>895</v>
      </c>
      <c r="D260" s="9" t="s">
        <v>39</v>
      </c>
      <c r="E260" s="9" t="s">
        <v>46</v>
      </c>
      <c r="F260" s="9" t="s">
        <v>41</v>
      </c>
      <c r="G260" s="10" t="s">
        <v>42</v>
      </c>
    </row>
    <row r="261" spans="1:7" ht="12.75" x14ac:dyDescent="0.2">
      <c r="A261" s="39"/>
      <c r="B261" s="9" t="s">
        <v>854</v>
      </c>
      <c r="C261" s="9" t="s">
        <v>782</v>
      </c>
      <c r="D261" s="9" t="s">
        <v>39</v>
      </c>
      <c r="E261" s="9" t="s">
        <v>46</v>
      </c>
      <c r="F261" s="9" t="s">
        <v>47</v>
      </c>
      <c r="G261" s="10" t="s">
        <v>42</v>
      </c>
    </row>
    <row r="262" spans="1:7" ht="12.75" x14ac:dyDescent="0.2">
      <c r="A262" s="37"/>
      <c r="B262" s="9" t="s">
        <v>854</v>
      </c>
      <c r="C262" s="9" t="s">
        <v>783</v>
      </c>
      <c r="D262" s="9" t="s">
        <v>39</v>
      </c>
      <c r="E262" s="9" t="s">
        <v>46</v>
      </c>
      <c r="F262" s="9" t="s">
        <v>47</v>
      </c>
      <c r="G262" s="10" t="s">
        <v>42</v>
      </c>
    </row>
    <row r="263" spans="1:7" ht="12.75" x14ac:dyDescent="0.2">
      <c r="A263" s="39"/>
      <c r="B263" s="9" t="s">
        <v>854</v>
      </c>
      <c r="C263" s="9" t="s">
        <v>878</v>
      </c>
      <c r="D263" s="9" t="s">
        <v>39</v>
      </c>
      <c r="E263" s="9" t="s">
        <v>46</v>
      </c>
      <c r="F263" s="9" t="s">
        <v>47</v>
      </c>
      <c r="G263" s="10" t="s">
        <v>42</v>
      </c>
    </row>
    <row r="264" spans="1:7" ht="12.75" x14ac:dyDescent="0.2">
      <c r="A264" s="37"/>
      <c r="B264" s="9" t="s">
        <v>854</v>
      </c>
      <c r="C264" s="9" t="s">
        <v>896</v>
      </c>
      <c r="D264" s="9" t="s">
        <v>39</v>
      </c>
      <c r="E264" s="9" t="s">
        <v>46</v>
      </c>
      <c r="F264" s="9" t="s">
        <v>41</v>
      </c>
      <c r="G264" s="10" t="s">
        <v>42</v>
      </c>
    </row>
    <row r="265" spans="1:7" ht="12.75" x14ac:dyDescent="0.2">
      <c r="A265" s="39"/>
      <c r="B265" s="9" t="s">
        <v>854</v>
      </c>
      <c r="C265" s="9" t="s">
        <v>785</v>
      </c>
      <c r="D265" s="9" t="s">
        <v>39</v>
      </c>
      <c r="E265" s="9" t="s">
        <v>46</v>
      </c>
      <c r="F265" s="9" t="s">
        <v>47</v>
      </c>
      <c r="G265" s="10" t="s">
        <v>42</v>
      </c>
    </row>
    <row r="266" spans="1:7" ht="12.75" x14ac:dyDescent="0.2">
      <c r="A266" s="37"/>
      <c r="B266" s="9" t="s">
        <v>854</v>
      </c>
      <c r="C266" s="9" t="s">
        <v>897</v>
      </c>
      <c r="D266" s="9" t="s">
        <v>39</v>
      </c>
      <c r="E266" s="9" t="s">
        <v>46</v>
      </c>
      <c r="F266" s="9" t="s">
        <v>47</v>
      </c>
      <c r="G266" s="10" t="s">
        <v>42</v>
      </c>
    </row>
    <row r="267" spans="1:7" ht="12.75" x14ac:dyDescent="0.2">
      <c r="A267" s="39"/>
      <c r="B267" s="9" t="s">
        <v>854</v>
      </c>
      <c r="C267" s="9" t="s">
        <v>880</v>
      </c>
      <c r="D267" s="9" t="s">
        <v>39</v>
      </c>
      <c r="E267" s="9" t="s">
        <v>46</v>
      </c>
      <c r="F267" s="9" t="s">
        <v>47</v>
      </c>
      <c r="G267" s="10" t="s">
        <v>42</v>
      </c>
    </row>
    <row r="268" spans="1:7" ht="12.75" x14ac:dyDescent="0.2">
      <c r="A268" s="37"/>
      <c r="B268" s="9" t="s">
        <v>854</v>
      </c>
      <c r="C268" s="9" t="s">
        <v>789</v>
      </c>
      <c r="D268" s="9" t="s">
        <v>39</v>
      </c>
      <c r="E268" s="9" t="s">
        <v>46</v>
      </c>
      <c r="F268" s="9" t="s">
        <v>47</v>
      </c>
      <c r="G268" s="10" t="s">
        <v>42</v>
      </c>
    </row>
    <row r="269" spans="1:7" ht="12.75" x14ac:dyDescent="0.2">
      <c r="A269" s="39"/>
      <c r="B269" s="9" t="s">
        <v>854</v>
      </c>
      <c r="C269" s="9" t="s">
        <v>795</v>
      </c>
      <c r="D269" s="9" t="s">
        <v>39</v>
      </c>
      <c r="E269" s="9" t="s">
        <v>46</v>
      </c>
      <c r="F269" s="9" t="s">
        <v>47</v>
      </c>
      <c r="G269" s="10" t="s">
        <v>42</v>
      </c>
    </row>
    <row r="270" spans="1:7" ht="12.75" x14ac:dyDescent="0.2">
      <c r="A270" s="37"/>
      <c r="B270" s="9" t="s">
        <v>854</v>
      </c>
      <c r="C270" s="9" t="s">
        <v>788</v>
      </c>
      <c r="D270" s="9" t="s">
        <v>39</v>
      </c>
      <c r="E270" s="9" t="s">
        <v>46</v>
      </c>
      <c r="F270" s="9" t="s">
        <v>47</v>
      </c>
      <c r="G270" s="10" t="s">
        <v>42</v>
      </c>
    </row>
    <row r="271" spans="1:7" ht="12.75" x14ac:dyDescent="0.2">
      <c r="A271" s="39"/>
      <c r="B271" s="9" t="s">
        <v>854</v>
      </c>
      <c r="C271" s="9" t="s">
        <v>848</v>
      </c>
      <c r="D271" s="9" t="s">
        <v>39</v>
      </c>
      <c r="E271" s="9" t="s">
        <v>46</v>
      </c>
      <c r="F271" s="9" t="s">
        <v>47</v>
      </c>
      <c r="G271" s="10" t="s">
        <v>42</v>
      </c>
    </row>
    <row r="272" spans="1:7" ht="12.75" x14ac:dyDescent="0.2">
      <c r="A272" s="37"/>
      <c r="B272" s="9" t="s">
        <v>854</v>
      </c>
      <c r="C272" s="9" t="s">
        <v>847</v>
      </c>
      <c r="D272" s="9" t="s">
        <v>39</v>
      </c>
      <c r="E272" s="9" t="s">
        <v>46</v>
      </c>
      <c r="F272" s="9" t="s">
        <v>47</v>
      </c>
      <c r="G272" s="10" t="s">
        <v>42</v>
      </c>
    </row>
    <row r="273" spans="1:7" ht="12.75" x14ac:dyDescent="0.2">
      <c r="A273" s="39"/>
      <c r="B273" s="9" t="s">
        <v>854</v>
      </c>
      <c r="C273" s="9" t="s">
        <v>898</v>
      </c>
      <c r="D273" s="9" t="s">
        <v>39</v>
      </c>
      <c r="E273" s="9" t="s">
        <v>46</v>
      </c>
      <c r="F273" s="9" t="s">
        <v>47</v>
      </c>
      <c r="G273" s="10" t="s">
        <v>42</v>
      </c>
    </row>
    <row r="274" spans="1:7" ht="12.75" x14ac:dyDescent="0.2">
      <c r="A274" s="37"/>
      <c r="B274" s="9" t="s">
        <v>854</v>
      </c>
      <c r="C274" s="9" t="s">
        <v>861</v>
      </c>
      <c r="D274" s="9" t="s">
        <v>39</v>
      </c>
      <c r="E274" s="9" t="s">
        <v>46</v>
      </c>
      <c r="F274" s="9" t="s">
        <v>47</v>
      </c>
      <c r="G274" s="10" t="s">
        <v>42</v>
      </c>
    </row>
    <row r="275" spans="1:7" ht="12.75" x14ac:dyDescent="0.2">
      <c r="A275" s="39"/>
      <c r="B275" s="9" t="s">
        <v>854</v>
      </c>
      <c r="C275" s="9" t="s">
        <v>899</v>
      </c>
      <c r="D275" s="9" t="s">
        <v>39</v>
      </c>
      <c r="E275" s="9" t="s">
        <v>46</v>
      </c>
      <c r="F275" s="9" t="s">
        <v>47</v>
      </c>
      <c r="G275" s="10" t="s">
        <v>42</v>
      </c>
    </row>
    <row r="276" spans="1:7" ht="12.75" x14ac:dyDescent="0.2">
      <c r="A276" s="37"/>
      <c r="B276" s="9" t="s">
        <v>854</v>
      </c>
      <c r="C276" s="9" t="s">
        <v>804</v>
      </c>
      <c r="D276" s="9" t="s">
        <v>39</v>
      </c>
      <c r="E276" s="9" t="s">
        <v>46</v>
      </c>
      <c r="F276" s="9" t="s">
        <v>47</v>
      </c>
      <c r="G276" s="10" t="s">
        <v>42</v>
      </c>
    </row>
    <row r="277" spans="1:7" ht="12.75" x14ac:dyDescent="0.2">
      <c r="A277" s="39"/>
      <c r="B277" s="9" t="s">
        <v>854</v>
      </c>
      <c r="C277" s="9" t="s">
        <v>831</v>
      </c>
      <c r="D277" s="9" t="s">
        <v>39</v>
      </c>
      <c r="E277" s="9" t="s">
        <v>46</v>
      </c>
      <c r="F277" s="9" t="s">
        <v>47</v>
      </c>
      <c r="G277" s="10" t="s">
        <v>42</v>
      </c>
    </row>
    <row r="278" spans="1:7" ht="12.75" x14ac:dyDescent="0.2">
      <c r="A278" s="37"/>
      <c r="B278" s="9" t="s">
        <v>854</v>
      </c>
      <c r="C278" s="9" t="s">
        <v>803</v>
      </c>
      <c r="D278" s="9" t="s">
        <v>39</v>
      </c>
      <c r="E278" s="9" t="s">
        <v>46</v>
      </c>
      <c r="F278" s="9" t="s">
        <v>47</v>
      </c>
      <c r="G278" s="10" t="s">
        <v>42</v>
      </c>
    </row>
    <row r="279" spans="1:7" ht="12.75" x14ac:dyDescent="0.2">
      <c r="A279" s="39"/>
      <c r="B279" s="9" t="s">
        <v>854</v>
      </c>
      <c r="C279" s="9" t="s">
        <v>882</v>
      </c>
      <c r="D279" s="9" t="s">
        <v>39</v>
      </c>
      <c r="E279" s="9" t="s">
        <v>46</v>
      </c>
      <c r="F279" s="9" t="s">
        <v>47</v>
      </c>
      <c r="G279" s="10" t="s">
        <v>42</v>
      </c>
    </row>
    <row r="280" spans="1:7" ht="12.75" x14ac:dyDescent="0.2">
      <c r="A280" s="37"/>
      <c r="B280" s="9" t="s">
        <v>854</v>
      </c>
      <c r="C280" s="9" t="s">
        <v>787</v>
      </c>
      <c r="D280" s="9" t="s">
        <v>39</v>
      </c>
      <c r="E280" s="9" t="s">
        <v>46</v>
      </c>
      <c r="F280" s="9" t="s">
        <v>47</v>
      </c>
      <c r="G280" s="10" t="s">
        <v>42</v>
      </c>
    </row>
    <row r="281" spans="1:7" ht="12.75" x14ac:dyDescent="0.2">
      <c r="A281" s="39"/>
      <c r="B281" s="9" t="s">
        <v>854</v>
      </c>
      <c r="C281" s="9" t="s">
        <v>777</v>
      </c>
      <c r="D281" s="9" t="s">
        <v>39</v>
      </c>
      <c r="E281" s="9" t="s">
        <v>46</v>
      </c>
      <c r="F281" s="9" t="s">
        <v>47</v>
      </c>
      <c r="G281" s="10" t="s">
        <v>42</v>
      </c>
    </row>
    <row r="282" spans="1:7" ht="12.75" x14ac:dyDescent="0.2">
      <c r="A282" s="37"/>
      <c r="B282" s="9" t="s">
        <v>854</v>
      </c>
      <c r="C282" s="9" t="s">
        <v>900</v>
      </c>
      <c r="D282" s="9" t="s">
        <v>39</v>
      </c>
      <c r="E282" s="9" t="s">
        <v>46</v>
      </c>
      <c r="F282" s="9" t="s">
        <v>47</v>
      </c>
      <c r="G282" s="10" t="s">
        <v>42</v>
      </c>
    </row>
    <row r="283" spans="1:7" ht="12.75" x14ac:dyDescent="0.2">
      <c r="A283" s="39"/>
      <c r="B283" s="9" t="s">
        <v>854</v>
      </c>
      <c r="C283" s="9" t="s">
        <v>883</v>
      </c>
      <c r="D283" s="9" t="s">
        <v>39</v>
      </c>
      <c r="E283" s="9" t="s">
        <v>46</v>
      </c>
      <c r="F283" s="9" t="s">
        <v>47</v>
      </c>
      <c r="G283" s="10" t="s">
        <v>42</v>
      </c>
    </row>
    <row r="284" spans="1:7" ht="12.75" x14ac:dyDescent="0.2">
      <c r="A284" s="37"/>
      <c r="B284" s="9" t="s">
        <v>854</v>
      </c>
      <c r="C284" s="9" t="s">
        <v>786</v>
      </c>
      <c r="D284" s="9" t="s">
        <v>39</v>
      </c>
      <c r="E284" s="9" t="s">
        <v>46</v>
      </c>
      <c r="F284" s="9" t="s">
        <v>47</v>
      </c>
      <c r="G284" s="10" t="s">
        <v>42</v>
      </c>
    </row>
    <row r="285" spans="1:7" ht="12.75" x14ac:dyDescent="0.2">
      <c r="A285" s="39"/>
      <c r="B285" s="9" t="s">
        <v>854</v>
      </c>
      <c r="C285" s="9" t="s">
        <v>778</v>
      </c>
      <c r="D285" s="9" t="s">
        <v>39</v>
      </c>
      <c r="E285" s="9" t="s">
        <v>46</v>
      </c>
      <c r="F285" s="9" t="s">
        <v>47</v>
      </c>
      <c r="G285" s="10" t="s">
        <v>42</v>
      </c>
    </row>
    <row r="286" spans="1:7" ht="12.75" x14ac:dyDescent="0.2">
      <c r="A286" s="37"/>
      <c r="B286" s="9" t="s">
        <v>854</v>
      </c>
      <c r="C286" s="9" t="s">
        <v>866</v>
      </c>
      <c r="D286" s="9" t="s">
        <v>39</v>
      </c>
      <c r="E286" s="9" t="s">
        <v>46</v>
      </c>
      <c r="F286" s="9" t="s">
        <v>47</v>
      </c>
      <c r="G286" s="10" t="s">
        <v>42</v>
      </c>
    </row>
    <row r="287" spans="1:7" ht="12.75" x14ac:dyDescent="0.2">
      <c r="A287" s="39"/>
      <c r="B287" s="9" t="s">
        <v>854</v>
      </c>
      <c r="C287" s="9" t="s">
        <v>807</v>
      </c>
      <c r="D287" s="9" t="s">
        <v>39</v>
      </c>
      <c r="E287" s="9" t="s">
        <v>46</v>
      </c>
      <c r="F287" s="9" t="s">
        <v>47</v>
      </c>
      <c r="G287" s="10" t="s">
        <v>42</v>
      </c>
    </row>
    <row r="288" spans="1:7" ht="12.75" x14ac:dyDescent="0.2">
      <c r="A288" s="37"/>
      <c r="B288" s="9" t="s">
        <v>854</v>
      </c>
      <c r="C288" s="9" t="s">
        <v>863</v>
      </c>
      <c r="D288" s="9" t="s">
        <v>39</v>
      </c>
      <c r="E288" s="9" t="s">
        <v>46</v>
      </c>
      <c r="F288" s="9" t="s">
        <v>41</v>
      </c>
      <c r="G288" s="10" t="s">
        <v>42</v>
      </c>
    </row>
    <row r="289" spans="1:7" ht="12.75" x14ac:dyDescent="0.2">
      <c r="A289" s="39"/>
      <c r="B289" s="9" t="s">
        <v>854</v>
      </c>
      <c r="C289" s="9" t="s">
        <v>893</v>
      </c>
      <c r="D289" s="9" t="s">
        <v>39</v>
      </c>
      <c r="E289" s="9" t="s">
        <v>46</v>
      </c>
      <c r="F289" s="9" t="s">
        <v>47</v>
      </c>
      <c r="G289" s="10" t="s">
        <v>42</v>
      </c>
    </row>
    <row r="290" spans="1:7" ht="12.75" x14ac:dyDescent="0.2">
      <c r="A290" s="37"/>
      <c r="B290" s="9" t="s">
        <v>854</v>
      </c>
      <c r="C290" s="9" t="s">
        <v>769</v>
      </c>
      <c r="D290" s="9" t="s">
        <v>39</v>
      </c>
      <c r="E290" s="9" t="s">
        <v>46</v>
      </c>
      <c r="F290" s="9" t="s">
        <v>47</v>
      </c>
      <c r="G290" s="10" t="s">
        <v>42</v>
      </c>
    </row>
    <row r="291" spans="1:7" ht="12.75" x14ac:dyDescent="0.2">
      <c r="A291" s="39"/>
      <c r="B291" s="9" t="s">
        <v>854</v>
      </c>
      <c r="C291" s="9" t="s">
        <v>673</v>
      </c>
      <c r="D291" s="9" t="s">
        <v>39</v>
      </c>
      <c r="E291" s="9" t="s">
        <v>46</v>
      </c>
      <c r="F291" s="9" t="s">
        <v>47</v>
      </c>
      <c r="G291" s="10" t="s">
        <v>42</v>
      </c>
    </row>
    <row r="292" spans="1:7" ht="12.75" x14ac:dyDescent="0.2">
      <c r="A292" s="37"/>
      <c r="B292" s="9" t="s">
        <v>854</v>
      </c>
      <c r="C292" s="9" t="s">
        <v>901</v>
      </c>
      <c r="D292" s="9" t="s">
        <v>39</v>
      </c>
      <c r="E292" s="9" t="s">
        <v>46</v>
      </c>
      <c r="F292" s="9" t="s">
        <v>47</v>
      </c>
      <c r="G292" s="10" t="s">
        <v>42</v>
      </c>
    </row>
    <row r="293" spans="1:7" ht="12.75" x14ac:dyDescent="0.2">
      <c r="A293" s="39"/>
      <c r="B293" s="9" t="s">
        <v>854</v>
      </c>
      <c r="C293" s="9" t="s">
        <v>844</v>
      </c>
      <c r="D293" s="9" t="s">
        <v>39</v>
      </c>
      <c r="E293" s="9" t="s">
        <v>46</v>
      </c>
      <c r="F293" s="9" t="s">
        <v>47</v>
      </c>
      <c r="G293" s="10" t="s">
        <v>42</v>
      </c>
    </row>
    <row r="294" spans="1:7" ht="12.75" x14ac:dyDescent="0.2">
      <c r="A294" s="37"/>
      <c r="B294" s="9" t="s">
        <v>854</v>
      </c>
      <c r="C294" s="9" t="s">
        <v>825</v>
      </c>
      <c r="D294" s="9" t="s">
        <v>39</v>
      </c>
      <c r="E294" s="9" t="s">
        <v>46</v>
      </c>
      <c r="F294" s="9" t="s">
        <v>47</v>
      </c>
      <c r="G294" s="10" t="s">
        <v>42</v>
      </c>
    </row>
    <row r="295" spans="1:7" ht="12.75" x14ac:dyDescent="0.2">
      <c r="A295" s="39"/>
      <c r="B295" s="9" t="s">
        <v>854</v>
      </c>
      <c r="C295" s="9" t="s">
        <v>824</v>
      </c>
      <c r="D295" s="9" t="s">
        <v>39</v>
      </c>
      <c r="E295" s="9" t="s">
        <v>46</v>
      </c>
      <c r="F295" s="9" t="s">
        <v>47</v>
      </c>
      <c r="G295" s="10" t="s">
        <v>42</v>
      </c>
    </row>
    <row r="296" spans="1:7" ht="12.75" x14ac:dyDescent="0.2">
      <c r="A296" s="37"/>
      <c r="B296" s="9" t="s">
        <v>854</v>
      </c>
      <c r="C296" s="9" t="s">
        <v>821</v>
      </c>
      <c r="D296" s="9" t="s">
        <v>39</v>
      </c>
      <c r="E296" s="9" t="s">
        <v>46</v>
      </c>
      <c r="F296" s="9" t="s">
        <v>47</v>
      </c>
      <c r="G296" s="10" t="s">
        <v>42</v>
      </c>
    </row>
    <row r="297" spans="1:7" ht="12.75" x14ac:dyDescent="0.2">
      <c r="A297" s="39"/>
      <c r="B297" s="9" t="s">
        <v>854</v>
      </c>
      <c r="C297" s="9" t="s">
        <v>822</v>
      </c>
      <c r="D297" s="9" t="s">
        <v>39</v>
      </c>
      <c r="E297" s="9" t="s">
        <v>46</v>
      </c>
      <c r="F297" s="9" t="s">
        <v>47</v>
      </c>
      <c r="G297" s="10" t="s">
        <v>42</v>
      </c>
    </row>
    <row r="298" spans="1:7" ht="12.75" x14ac:dyDescent="0.2">
      <c r="A298" s="37"/>
      <c r="B298" s="9" t="s">
        <v>854</v>
      </c>
      <c r="C298" s="9" t="s">
        <v>843</v>
      </c>
      <c r="D298" s="9" t="s">
        <v>39</v>
      </c>
      <c r="E298" s="9" t="s">
        <v>46</v>
      </c>
      <c r="F298" s="9" t="s">
        <v>47</v>
      </c>
      <c r="G298" s="10" t="s">
        <v>42</v>
      </c>
    </row>
    <row r="299" spans="1:7" ht="12.75" x14ac:dyDescent="0.2">
      <c r="A299" s="39"/>
      <c r="B299" s="9" t="s">
        <v>854</v>
      </c>
      <c r="C299" s="9" t="s">
        <v>902</v>
      </c>
      <c r="D299" s="9" t="s">
        <v>39</v>
      </c>
      <c r="E299" s="9" t="s">
        <v>46</v>
      </c>
      <c r="F299" s="9" t="s">
        <v>47</v>
      </c>
      <c r="G299" s="10" t="s">
        <v>42</v>
      </c>
    </row>
    <row r="300" spans="1:7" ht="12.75" x14ac:dyDescent="0.2">
      <c r="A300" s="37"/>
      <c r="B300" s="9" t="s">
        <v>854</v>
      </c>
      <c r="C300" s="9" t="s">
        <v>869</v>
      </c>
      <c r="D300" s="9" t="s">
        <v>39</v>
      </c>
      <c r="E300" s="9" t="s">
        <v>46</v>
      </c>
      <c r="F300" s="9" t="s">
        <v>47</v>
      </c>
      <c r="G300" s="10" t="s">
        <v>42</v>
      </c>
    </row>
    <row r="301" spans="1:7" ht="12.75" x14ac:dyDescent="0.2">
      <c r="A301" s="39"/>
      <c r="B301" s="9" t="s">
        <v>854</v>
      </c>
      <c r="C301" s="9" t="s">
        <v>903</v>
      </c>
      <c r="D301" s="9" t="s">
        <v>39</v>
      </c>
      <c r="E301" s="9" t="s">
        <v>46</v>
      </c>
      <c r="F301" s="9" t="s">
        <v>47</v>
      </c>
      <c r="G301" s="10" t="s">
        <v>42</v>
      </c>
    </row>
    <row r="302" spans="1:7" ht="12.75" x14ac:dyDescent="0.2">
      <c r="A302" s="37"/>
      <c r="B302" s="9" t="s">
        <v>854</v>
      </c>
      <c r="C302" s="9" t="s">
        <v>820</v>
      </c>
      <c r="D302" s="9" t="s">
        <v>39</v>
      </c>
      <c r="E302" s="9" t="s">
        <v>46</v>
      </c>
      <c r="F302" s="9" t="s">
        <v>47</v>
      </c>
      <c r="G302" s="10" t="s">
        <v>42</v>
      </c>
    </row>
    <row r="303" spans="1:7" ht="12.75" x14ac:dyDescent="0.2">
      <c r="A303" s="39"/>
      <c r="B303" s="9" t="s">
        <v>854</v>
      </c>
      <c r="C303" s="9" t="s">
        <v>904</v>
      </c>
      <c r="D303" s="9" t="s">
        <v>39</v>
      </c>
      <c r="E303" s="9" t="s">
        <v>46</v>
      </c>
      <c r="F303" s="9" t="s">
        <v>47</v>
      </c>
      <c r="G303" s="10" t="s">
        <v>42</v>
      </c>
    </row>
    <row r="304" spans="1:7" ht="12.75" x14ac:dyDescent="0.2">
      <c r="A304" s="37"/>
      <c r="B304" s="9" t="s">
        <v>854</v>
      </c>
      <c r="C304" s="9" t="s">
        <v>905</v>
      </c>
      <c r="D304" s="9" t="s">
        <v>39</v>
      </c>
      <c r="E304" s="9" t="s">
        <v>46</v>
      </c>
      <c r="F304" s="9" t="s">
        <v>47</v>
      </c>
      <c r="G304" s="10" t="s">
        <v>42</v>
      </c>
    </row>
    <row r="305" spans="1:7" ht="12.75" x14ac:dyDescent="0.2">
      <c r="A305" s="39"/>
      <c r="B305" s="9" t="s">
        <v>854</v>
      </c>
      <c r="C305" s="9" t="s">
        <v>840</v>
      </c>
      <c r="D305" s="9" t="s">
        <v>39</v>
      </c>
      <c r="E305" s="9" t="s">
        <v>46</v>
      </c>
      <c r="F305" s="9" t="s">
        <v>47</v>
      </c>
      <c r="G305" s="10" t="s">
        <v>42</v>
      </c>
    </row>
    <row r="306" spans="1:7" ht="12.75" x14ac:dyDescent="0.2">
      <c r="A306" s="37"/>
      <c r="B306" s="9" t="s">
        <v>854</v>
      </c>
      <c r="C306" s="9" t="s">
        <v>812</v>
      </c>
      <c r="D306" s="9" t="s">
        <v>39</v>
      </c>
      <c r="E306" s="9" t="s">
        <v>46</v>
      </c>
      <c r="F306" s="9" t="s">
        <v>47</v>
      </c>
      <c r="G306" s="10" t="s">
        <v>42</v>
      </c>
    </row>
    <row r="307" spans="1:7" ht="12.75" x14ac:dyDescent="0.2">
      <c r="A307" s="39"/>
      <c r="B307" s="9" t="s">
        <v>854</v>
      </c>
      <c r="C307" s="9" t="s">
        <v>906</v>
      </c>
      <c r="D307" s="9" t="s">
        <v>39</v>
      </c>
      <c r="E307" s="9" t="s">
        <v>46</v>
      </c>
      <c r="F307" s="9" t="s">
        <v>47</v>
      </c>
      <c r="G307" s="10" t="s">
        <v>42</v>
      </c>
    </row>
    <row r="308" spans="1:7" ht="12.75" x14ac:dyDescent="0.2">
      <c r="A308" s="37"/>
      <c r="B308" s="9" t="s">
        <v>854</v>
      </c>
      <c r="C308" s="9" t="s">
        <v>907</v>
      </c>
      <c r="D308" s="9" t="s">
        <v>39</v>
      </c>
      <c r="E308" s="9" t="s">
        <v>46</v>
      </c>
      <c r="F308" s="9" t="s">
        <v>47</v>
      </c>
      <c r="G308" s="10" t="s">
        <v>42</v>
      </c>
    </row>
    <row r="309" spans="1:7" ht="12.75" x14ac:dyDescent="0.2">
      <c r="A309" s="39"/>
      <c r="B309" s="9" t="s">
        <v>854</v>
      </c>
      <c r="C309" s="9" t="s">
        <v>908</v>
      </c>
      <c r="D309" s="9" t="s">
        <v>39</v>
      </c>
      <c r="E309" s="9" t="s">
        <v>46</v>
      </c>
      <c r="F309" s="9" t="s">
        <v>47</v>
      </c>
      <c r="G309" s="10" t="s">
        <v>42</v>
      </c>
    </row>
    <row r="310" spans="1:7" ht="12.75" x14ac:dyDescent="0.2">
      <c r="A310" s="37"/>
      <c r="B310" s="9" t="s">
        <v>854</v>
      </c>
      <c r="C310" s="9" t="s">
        <v>891</v>
      </c>
      <c r="D310" s="9" t="s">
        <v>39</v>
      </c>
      <c r="E310" s="9" t="s">
        <v>46</v>
      </c>
      <c r="F310" s="9" t="s">
        <v>47</v>
      </c>
      <c r="G310" s="10" t="s">
        <v>42</v>
      </c>
    </row>
    <row r="311" spans="1:7" ht="12.75" x14ac:dyDescent="0.2">
      <c r="A311" s="39"/>
      <c r="B311" s="9" t="s">
        <v>854</v>
      </c>
      <c r="C311" s="9" t="s">
        <v>909</v>
      </c>
      <c r="D311" s="9" t="s">
        <v>39</v>
      </c>
      <c r="E311" s="9" t="s">
        <v>46</v>
      </c>
      <c r="F311" s="9" t="s">
        <v>41</v>
      </c>
      <c r="G311" s="10" t="s">
        <v>42</v>
      </c>
    </row>
    <row r="312" spans="1:7" ht="12.75" x14ac:dyDescent="0.2">
      <c r="A312" s="37"/>
      <c r="B312" s="9" t="s">
        <v>854</v>
      </c>
      <c r="C312" s="9" t="s">
        <v>887</v>
      </c>
      <c r="D312" s="9" t="s">
        <v>39</v>
      </c>
      <c r="E312" s="9" t="s">
        <v>46</v>
      </c>
      <c r="F312" s="9" t="s">
        <v>41</v>
      </c>
      <c r="G312" s="10" t="s">
        <v>42</v>
      </c>
    </row>
    <row r="313" spans="1:7" ht="12.75" x14ac:dyDescent="0.2">
      <c r="A313" s="39"/>
      <c r="B313" s="9" t="s">
        <v>854</v>
      </c>
      <c r="C313" s="9" t="s">
        <v>816</v>
      </c>
      <c r="D313" s="9" t="s">
        <v>39</v>
      </c>
      <c r="E313" s="9" t="s">
        <v>46</v>
      </c>
      <c r="F313" s="9" t="s">
        <v>47</v>
      </c>
      <c r="G313" s="10" t="s">
        <v>42</v>
      </c>
    </row>
    <row r="314" spans="1:7" ht="12.75" x14ac:dyDescent="0.2">
      <c r="A314" s="37"/>
      <c r="B314" s="9" t="s">
        <v>854</v>
      </c>
      <c r="C314" s="9" t="s">
        <v>889</v>
      </c>
      <c r="D314" s="9" t="s">
        <v>39</v>
      </c>
      <c r="E314" s="9" t="s">
        <v>46</v>
      </c>
      <c r="F314" s="9" t="s">
        <v>47</v>
      </c>
      <c r="G314" s="10" t="s">
        <v>42</v>
      </c>
    </row>
    <row r="315" spans="1:7" ht="12.75" x14ac:dyDescent="0.2">
      <c r="A315" s="38"/>
      <c r="B315" s="9" t="s">
        <v>854</v>
      </c>
      <c r="C315" s="9" t="s">
        <v>837</v>
      </c>
      <c r="D315" s="9" t="s">
        <v>39</v>
      </c>
      <c r="E315" s="9" t="s">
        <v>46</v>
      </c>
      <c r="F315" s="9" t="s">
        <v>47</v>
      </c>
      <c r="G315" s="10" t="s">
        <v>42</v>
      </c>
    </row>
    <row r="316" spans="1:7" ht="12.75" x14ac:dyDescent="0.2">
      <c r="A316" s="36" t="s">
        <v>29</v>
      </c>
      <c r="B316" s="9" t="s">
        <v>774</v>
      </c>
      <c r="C316" s="9" t="s">
        <v>798</v>
      </c>
      <c r="D316" s="9" t="s">
        <v>94</v>
      </c>
      <c r="E316" s="9" t="s">
        <v>46</v>
      </c>
      <c r="F316" s="9" t="s">
        <v>51</v>
      </c>
      <c r="G316" s="10" t="s">
        <v>42</v>
      </c>
    </row>
    <row r="317" spans="1:7" ht="12.75" x14ac:dyDescent="0.2">
      <c r="A317" s="39"/>
      <c r="B317" s="9" t="s">
        <v>774</v>
      </c>
      <c r="C317" s="9" t="s">
        <v>797</v>
      </c>
      <c r="D317" s="9" t="s">
        <v>39</v>
      </c>
      <c r="E317" s="9" t="s">
        <v>46</v>
      </c>
      <c r="F317" s="9" t="s">
        <v>51</v>
      </c>
      <c r="G317" s="10" t="s">
        <v>42</v>
      </c>
    </row>
    <row r="318" spans="1:7" ht="12.75" x14ac:dyDescent="0.2">
      <c r="A318" s="37"/>
      <c r="B318" s="9" t="s">
        <v>774</v>
      </c>
      <c r="C318" s="9" t="s">
        <v>875</v>
      </c>
      <c r="D318" s="9" t="s">
        <v>39</v>
      </c>
      <c r="E318" s="9" t="s">
        <v>46</v>
      </c>
      <c r="F318" s="9" t="s">
        <v>51</v>
      </c>
      <c r="G318" s="10" t="s">
        <v>42</v>
      </c>
    </row>
    <row r="319" spans="1:7" ht="12.75" x14ac:dyDescent="0.2">
      <c r="A319" s="39"/>
      <c r="B319" s="9" t="s">
        <v>774</v>
      </c>
      <c r="C319" s="9" t="s">
        <v>894</v>
      </c>
      <c r="D319" s="9" t="s">
        <v>39</v>
      </c>
      <c r="E319" s="9" t="s">
        <v>46</v>
      </c>
      <c r="F319" s="9" t="s">
        <v>51</v>
      </c>
      <c r="G319" s="10" t="s">
        <v>42</v>
      </c>
    </row>
    <row r="320" spans="1:7" ht="12.75" x14ac:dyDescent="0.2">
      <c r="A320" s="37"/>
      <c r="B320" s="9" t="s">
        <v>774</v>
      </c>
      <c r="C320" s="9" t="s">
        <v>800</v>
      </c>
      <c r="D320" s="9" t="s">
        <v>39</v>
      </c>
      <c r="E320" s="9" t="s">
        <v>46</v>
      </c>
      <c r="F320" s="9" t="s">
        <v>51</v>
      </c>
      <c r="G320" s="10" t="s">
        <v>42</v>
      </c>
    </row>
    <row r="321" spans="1:7" ht="12.75" x14ac:dyDescent="0.2">
      <c r="A321" s="39"/>
      <c r="B321" s="9" t="s">
        <v>774</v>
      </c>
      <c r="C321" s="9" t="s">
        <v>783</v>
      </c>
      <c r="D321" s="9" t="s">
        <v>39</v>
      </c>
      <c r="E321" s="9" t="s">
        <v>46</v>
      </c>
      <c r="F321" s="9" t="s">
        <v>51</v>
      </c>
      <c r="G321" s="10" t="s">
        <v>42</v>
      </c>
    </row>
    <row r="322" spans="1:7" ht="12.75" x14ac:dyDescent="0.2">
      <c r="A322" s="37"/>
      <c r="B322" s="9" t="s">
        <v>774</v>
      </c>
      <c r="C322" s="9" t="s">
        <v>782</v>
      </c>
      <c r="D322" s="9" t="s">
        <v>39</v>
      </c>
      <c r="E322" s="9" t="s">
        <v>46</v>
      </c>
      <c r="F322" s="9" t="s">
        <v>51</v>
      </c>
      <c r="G322" s="10" t="s">
        <v>42</v>
      </c>
    </row>
    <row r="323" spans="1:7" ht="12.75" x14ac:dyDescent="0.2">
      <c r="A323" s="39"/>
      <c r="B323" s="9" t="s">
        <v>774</v>
      </c>
      <c r="C323" s="9" t="s">
        <v>878</v>
      </c>
      <c r="D323" s="9" t="s">
        <v>39</v>
      </c>
      <c r="E323" s="9" t="s">
        <v>46</v>
      </c>
      <c r="F323" s="9" t="s">
        <v>51</v>
      </c>
      <c r="G323" s="10" t="s">
        <v>42</v>
      </c>
    </row>
    <row r="324" spans="1:7" ht="12.75" x14ac:dyDescent="0.2">
      <c r="A324" s="37"/>
      <c r="B324" s="9" t="s">
        <v>774</v>
      </c>
      <c r="C324" s="9" t="s">
        <v>785</v>
      </c>
      <c r="D324" s="9" t="s">
        <v>39</v>
      </c>
      <c r="E324" s="9" t="s">
        <v>46</v>
      </c>
      <c r="F324" s="9" t="s">
        <v>51</v>
      </c>
      <c r="G324" s="10" t="s">
        <v>42</v>
      </c>
    </row>
    <row r="325" spans="1:7" ht="12.75" x14ac:dyDescent="0.2">
      <c r="A325" s="39"/>
      <c r="B325" s="9" t="s">
        <v>774</v>
      </c>
      <c r="C325" s="9" t="s">
        <v>910</v>
      </c>
      <c r="D325" s="9" t="s">
        <v>39</v>
      </c>
      <c r="E325" s="9" t="s">
        <v>46</v>
      </c>
      <c r="F325" s="9" t="s">
        <v>51</v>
      </c>
      <c r="G325" s="10" t="s">
        <v>42</v>
      </c>
    </row>
    <row r="326" spans="1:7" ht="12.75" x14ac:dyDescent="0.2">
      <c r="A326" s="37"/>
      <c r="B326" s="9" t="s">
        <v>774</v>
      </c>
      <c r="C326" s="9" t="s">
        <v>911</v>
      </c>
      <c r="D326" s="9" t="s">
        <v>39</v>
      </c>
      <c r="E326" s="9" t="s">
        <v>46</v>
      </c>
      <c r="F326" s="9" t="s">
        <v>51</v>
      </c>
      <c r="G326" s="10" t="s">
        <v>42</v>
      </c>
    </row>
    <row r="327" spans="1:7" ht="12.75" x14ac:dyDescent="0.2">
      <c r="A327" s="39"/>
      <c r="B327" s="9" t="s">
        <v>774</v>
      </c>
      <c r="C327" s="9" t="s">
        <v>789</v>
      </c>
      <c r="D327" s="9" t="s">
        <v>39</v>
      </c>
      <c r="E327" s="9" t="s">
        <v>46</v>
      </c>
      <c r="F327" s="9" t="s">
        <v>51</v>
      </c>
      <c r="G327" s="10" t="s">
        <v>42</v>
      </c>
    </row>
    <row r="328" spans="1:7" ht="12.75" x14ac:dyDescent="0.2">
      <c r="A328" s="37"/>
      <c r="B328" s="9" t="s">
        <v>774</v>
      </c>
      <c r="C328" s="9" t="s">
        <v>788</v>
      </c>
      <c r="D328" s="9" t="s">
        <v>39</v>
      </c>
      <c r="E328" s="9" t="s">
        <v>46</v>
      </c>
      <c r="F328" s="9" t="s">
        <v>51</v>
      </c>
      <c r="G328" s="10" t="s">
        <v>42</v>
      </c>
    </row>
    <row r="329" spans="1:7" ht="12.75" x14ac:dyDescent="0.2">
      <c r="A329" s="39"/>
      <c r="B329" s="9" t="s">
        <v>774</v>
      </c>
      <c r="C329" s="9" t="s">
        <v>848</v>
      </c>
      <c r="D329" s="9" t="s">
        <v>39</v>
      </c>
      <c r="E329" s="9" t="s">
        <v>46</v>
      </c>
      <c r="F329" s="9" t="s">
        <v>51</v>
      </c>
      <c r="G329" s="10" t="s">
        <v>42</v>
      </c>
    </row>
    <row r="330" spans="1:7" ht="12.75" x14ac:dyDescent="0.2">
      <c r="A330" s="37"/>
      <c r="B330" s="9" t="s">
        <v>774</v>
      </c>
      <c r="C330" s="9" t="s">
        <v>847</v>
      </c>
      <c r="D330" s="9" t="s">
        <v>39</v>
      </c>
      <c r="E330" s="9" t="s">
        <v>46</v>
      </c>
      <c r="F330" s="9" t="s">
        <v>51</v>
      </c>
      <c r="G330" s="10" t="s">
        <v>42</v>
      </c>
    </row>
    <row r="331" spans="1:7" ht="12.75" x14ac:dyDescent="0.2">
      <c r="A331" s="39"/>
      <c r="B331" s="9" t="s">
        <v>774</v>
      </c>
      <c r="C331" s="9" t="s">
        <v>912</v>
      </c>
      <c r="D331" s="9" t="s">
        <v>39</v>
      </c>
      <c r="E331" s="9" t="s">
        <v>46</v>
      </c>
      <c r="F331" s="9" t="s">
        <v>51</v>
      </c>
      <c r="G331" s="10" t="s">
        <v>42</v>
      </c>
    </row>
    <row r="332" spans="1:7" ht="12.75" x14ac:dyDescent="0.2">
      <c r="A332" s="37"/>
      <c r="B332" s="9" t="s">
        <v>774</v>
      </c>
      <c r="C332" s="9" t="s">
        <v>795</v>
      </c>
      <c r="D332" s="9" t="s">
        <v>39</v>
      </c>
      <c r="E332" s="9" t="s">
        <v>46</v>
      </c>
      <c r="F332" s="9" t="s">
        <v>51</v>
      </c>
      <c r="G332" s="10" t="s">
        <v>42</v>
      </c>
    </row>
    <row r="333" spans="1:7" ht="12.75" x14ac:dyDescent="0.2">
      <c r="A333" s="39"/>
      <c r="B333" s="9" t="s">
        <v>774</v>
      </c>
      <c r="C333" s="9" t="s">
        <v>913</v>
      </c>
      <c r="D333" s="9" t="s">
        <v>39</v>
      </c>
      <c r="E333" s="9" t="s">
        <v>46</v>
      </c>
      <c r="F333" s="9" t="s">
        <v>51</v>
      </c>
      <c r="G333" s="10" t="s">
        <v>42</v>
      </c>
    </row>
    <row r="334" spans="1:7" ht="12.75" x14ac:dyDescent="0.2">
      <c r="A334" s="37"/>
      <c r="B334" s="9" t="s">
        <v>774</v>
      </c>
      <c r="C334" s="9" t="s">
        <v>861</v>
      </c>
      <c r="D334" s="9" t="s">
        <v>39</v>
      </c>
      <c r="E334" s="9" t="s">
        <v>46</v>
      </c>
      <c r="F334" s="9" t="s">
        <v>51</v>
      </c>
      <c r="G334" s="10" t="s">
        <v>42</v>
      </c>
    </row>
    <row r="335" spans="1:7" ht="12.75" x14ac:dyDescent="0.2">
      <c r="A335" s="39"/>
      <c r="B335" s="9" t="s">
        <v>774</v>
      </c>
      <c r="C335" s="9" t="s">
        <v>899</v>
      </c>
      <c r="D335" s="9" t="s">
        <v>39</v>
      </c>
      <c r="E335" s="9" t="s">
        <v>46</v>
      </c>
      <c r="F335" s="9" t="s">
        <v>51</v>
      </c>
      <c r="G335" s="10" t="s">
        <v>42</v>
      </c>
    </row>
    <row r="336" spans="1:7" ht="12.75" x14ac:dyDescent="0.2">
      <c r="A336" s="37"/>
      <c r="B336" s="9" t="s">
        <v>774</v>
      </c>
      <c r="C336" s="9" t="s">
        <v>804</v>
      </c>
      <c r="D336" s="9" t="s">
        <v>39</v>
      </c>
      <c r="E336" s="9" t="s">
        <v>46</v>
      </c>
      <c r="F336" s="9" t="s">
        <v>51</v>
      </c>
      <c r="G336" s="10" t="s">
        <v>42</v>
      </c>
    </row>
    <row r="337" spans="1:7" ht="12.75" x14ac:dyDescent="0.2">
      <c r="A337" s="39"/>
      <c r="B337" s="9" t="s">
        <v>774</v>
      </c>
      <c r="C337" s="9" t="s">
        <v>805</v>
      </c>
      <c r="D337" s="9" t="s">
        <v>39</v>
      </c>
      <c r="E337" s="9" t="s">
        <v>46</v>
      </c>
      <c r="F337" s="9" t="s">
        <v>51</v>
      </c>
      <c r="G337" s="10" t="s">
        <v>42</v>
      </c>
    </row>
    <row r="338" spans="1:7" ht="12.75" x14ac:dyDescent="0.2">
      <c r="A338" s="37"/>
      <c r="B338" s="9" t="s">
        <v>774</v>
      </c>
      <c r="C338" s="9" t="s">
        <v>769</v>
      </c>
      <c r="D338" s="9" t="s">
        <v>39</v>
      </c>
      <c r="E338" s="9" t="s">
        <v>46</v>
      </c>
      <c r="F338" s="9" t="s">
        <v>51</v>
      </c>
      <c r="G338" s="10" t="s">
        <v>42</v>
      </c>
    </row>
    <row r="339" spans="1:7" ht="12.75" x14ac:dyDescent="0.2">
      <c r="A339" s="39"/>
      <c r="B339" s="9" t="s">
        <v>774</v>
      </c>
      <c r="C339" s="9" t="s">
        <v>866</v>
      </c>
      <c r="D339" s="9" t="s">
        <v>39</v>
      </c>
      <c r="E339" s="9" t="s">
        <v>46</v>
      </c>
      <c r="F339" s="9" t="s">
        <v>51</v>
      </c>
      <c r="G339" s="10" t="s">
        <v>42</v>
      </c>
    </row>
    <row r="340" spans="1:7" ht="12.75" x14ac:dyDescent="0.2">
      <c r="A340" s="37"/>
      <c r="B340" s="9" t="s">
        <v>774</v>
      </c>
      <c r="C340" s="9" t="s">
        <v>807</v>
      </c>
      <c r="D340" s="9" t="s">
        <v>39</v>
      </c>
      <c r="E340" s="9" t="s">
        <v>46</v>
      </c>
      <c r="F340" s="9" t="s">
        <v>51</v>
      </c>
      <c r="G340" s="10" t="s">
        <v>42</v>
      </c>
    </row>
    <row r="341" spans="1:7" ht="12.75" x14ac:dyDescent="0.2">
      <c r="A341" s="39"/>
      <c r="B341" s="9" t="s">
        <v>774</v>
      </c>
      <c r="C341" s="9" t="s">
        <v>885</v>
      </c>
      <c r="D341" s="9" t="s">
        <v>39</v>
      </c>
      <c r="E341" s="9" t="s">
        <v>46</v>
      </c>
      <c r="F341" s="9" t="s">
        <v>51</v>
      </c>
      <c r="G341" s="10" t="s">
        <v>42</v>
      </c>
    </row>
    <row r="342" spans="1:7" ht="12.75" x14ac:dyDescent="0.2">
      <c r="A342" s="37"/>
      <c r="B342" s="9" t="s">
        <v>774</v>
      </c>
      <c r="C342" s="9" t="s">
        <v>844</v>
      </c>
      <c r="D342" s="9" t="s">
        <v>39</v>
      </c>
      <c r="E342" s="9" t="s">
        <v>46</v>
      </c>
      <c r="F342" s="9" t="s">
        <v>51</v>
      </c>
      <c r="G342" s="10" t="s">
        <v>42</v>
      </c>
    </row>
    <row r="343" spans="1:7" ht="12.75" x14ac:dyDescent="0.2">
      <c r="A343" s="39"/>
      <c r="B343" s="9" t="s">
        <v>774</v>
      </c>
      <c r="C343" s="9" t="s">
        <v>843</v>
      </c>
      <c r="D343" s="9" t="s">
        <v>39</v>
      </c>
      <c r="E343" s="9" t="s">
        <v>46</v>
      </c>
      <c r="F343" s="9" t="s">
        <v>51</v>
      </c>
      <c r="G343" s="10" t="s">
        <v>42</v>
      </c>
    </row>
    <row r="344" spans="1:7" ht="12.75" x14ac:dyDescent="0.2">
      <c r="A344" s="37"/>
      <c r="B344" s="9" t="s">
        <v>774</v>
      </c>
      <c r="C344" s="9" t="s">
        <v>914</v>
      </c>
      <c r="D344" s="9" t="s">
        <v>39</v>
      </c>
      <c r="E344" s="9" t="s">
        <v>46</v>
      </c>
      <c r="F344" s="9" t="s">
        <v>51</v>
      </c>
      <c r="G344" s="10" t="s">
        <v>42</v>
      </c>
    </row>
    <row r="345" spans="1:7" ht="12.75" x14ac:dyDescent="0.2">
      <c r="A345" s="39"/>
      <c r="B345" s="9" t="s">
        <v>774</v>
      </c>
      <c r="C345" s="9" t="s">
        <v>915</v>
      </c>
      <c r="D345" s="9" t="s">
        <v>39</v>
      </c>
      <c r="E345" s="9" t="s">
        <v>46</v>
      </c>
      <c r="F345" s="9" t="s">
        <v>51</v>
      </c>
      <c r="G345" s="10" t="s">
        <v>42</v>
      </c>
    </row>
    <row r="346" spans="1:7" ht="12.75" x14ac:dyDescent="0.2">
      <c r="A346" s="37"/>
      <c r="B346" s="9" t="s">
        <v>774</v>
      </c>
      <c r="C346" s="9" t="s">
        <v>812</v>
      </c>
      <c r="D346" s="9" t="s">
        <v>39</v>
      </c>
      <c r="E346" s="9" t="s">
        <v>46</v>
      </c>
      <c r="F346" s="9" t="s">
        <v>51</v>
      </c>
      <c r="G346" s="10" t="s">
        <v>42</v>
      </c>
    </row>
    <row r="347" spans="1:7" ht="12.75" x14ac:dyDescent="0.2">
      <c r="A347" s="39"/>
      <c r="B347" s="9" t="s">
        <v>774</v>
      </c>
      <c r="C347" s="9" t="s">
        <v>813</v>
      </c>
      <c r="D347" s="9" t="s">
        <v>39</v>
      </c>
      <c r="E347" s="9" t="s">
        <v>46</v>
      </c>
      <c r="F347" s="9" t="s">
        <v>51</v>
      </c>
      <c r="G347" s="10" t="s">
        <v>42</v>
      </c>
    </row>
    <row r="348" spans="1:7" ht="12.75" x14ac:dyDescent="0.2">
      <c r="A348" s="37"/>
      <c r="B348" s="9" t="s">
        <v>774</v>
      </c>
      <c r="C348" s="9" t="s">
        <v>916</v>
      </c>
      <c r="D348" s="9" t="s">
        <v>39</v>
      </c>
      <c r="E348" s="9" t="s">
        <v>46</v>
      </c>
      <c r="F348" s="9" t="s">
        <v>51</v>
      </c>
      <c r="G348" s="10" t="s">
        <v>42</v>
      </c>
    </row>
    <row r="349" spans="1:7" ht="12.75" x14ac:dyDescent="0.2">
      <c r="A349" s="39"/>
      <c r="B349" s="9" t="s">
        <v>774</v>
      </c>
      <c r="C349" s="9" t="s">
        <v>917</v>
      </c>
      <c r="D349" s="9" t="s">
        <v>39</v>
      </c>
      <c r="E349" s="9" t="s">
        <v>46</v>
      </c>
      <c r="F349" s="9" t="s">
        <v>51</v>
      </c>
      <c r="G349" s="10" t="s">
        <v>42</v>
      </c>
    </row>
    <row r="350" spans="1:7" ht="12.75" x14ac:dyDescent="0.2">
      <c r="A350" s="37"/>
      <c r="B350" s="9" t="s">
        <v>774</v>
      </c>
      <c r="C350" s="9" t="s">
        <v>837</v>
      </c>
      <c r="D350" s="9" t="s">
        <v>39</v>
      </c>
      <c r="E350" s="9" t="s">
        <v>46</v>
      </c>
      <c r="F350" s="9" t="s">
        <v>51</v>
      </c>
      <c r="G350" s="10" t="s">
        <v>42</v>
      </c>
    </row>
    <row r="351" spans="1:7" ht="12.75" x14ac:dyDescent="0.2">
      <c r="A351" s="39"/>
      <c r="B351" s="9" t="s">
        <v>774</v>
      </c>
      <c r="C351" s="9" t="s">
        <v>836</v>
      </c>
      <c r="D351" s="9" t="s">
        <v>39</v>
      </c>
      <c r="E351" s="9" t="s">
        <v>46</v>
      </c>
      <c r="F351" s="9" t="s">
        <v>51</v>
      </c>
      <c r="G351" s="10" t="s">
        <v>42</v>
      </c>
    </row>
    <row r="352" spans="1:7" ht="12.75" x14ac:dyDescent="0.2">
      <c r="A352" s="37"/>
      <c r="B352" s="9" t="s">
        <v>774</v>
      </c>
      <c r="C352" s="9" t="s">
        <v>835</v>
      </c>
      <c r="D352" s="9" t="s">
        <v>39</v>
      </c>
      <c r="E352" s="9" t="s">
        <v>46</v>
      </c>
      <c r="F352" s="9" t="s">
        <v>51</v>
      </c>
      <c r="G352" s="10" t="s">
        <v>42</v>
      </c>
    </row>
    <row r="353" spans="1:7" ht="12.75" x14ac:dyDescent="0.2">
      <c r="A353" s="39"/>
      <c r="B353" s="9" t="s">
        <v>774</v>
      </c>
      <c r="C353" s="9" t="s">
        <v>918</v>
      </c>
      <c r="D353" s="9" t="s">
        <v>39</v>
      </c>
      <c r="E353" s="9" t="s">
        <v>46</v>
      </c>
      <c r="F353" s="9" t="s">
        <v>51</v>
      </c>
      <c r="G353" s="10" t="s">
        <v>42</v>
      </c>
    </row>
    <row r="354" spans="1:7" ht="12.75" x14ac:dyDescent="0.2">
      <c r="A354" s="37"/>
      <c r="B354" s="9" t="s">
        <v>774</v>
      </c>
      <c r="C354" s="9" t="s">
        <v>816</v>
      </c>
      <c r="D354" s="9" t="s">
        <v>39</v>
      </c>
      <c r="E354" s="9" t="s">
        <v>46</v>
      </c>
      <c r="F354" s="9" t="s">
        <v>51</v>
      </c>
      <c r="G354" s="10" t="s">
        <v>42</v>
      </c>
    </row>
    <row r="355" spans="1:7" ht="12.75" x14ac:dyDescent="0.2">
      <c r="A355" s="39"/>
      <c r="B355" s="9" t="s">
        <v>774</v>
      </c>
      <c r="C355" s="9" t="s">
        <v>891</v>
      </c>
      <c r="D355" s="9" t="s">
        <v>39</v>
      </c>
      <c r="E355" s="9" t="s">
        <v>46</v>
      </c>
      <c r="F355" s="9" t="s">
        <v>51</v>
      </c>
      <c r="G355" s="10" t="s">
        <v>42</v>
      </c>
    </row>
    <row r="356" spans="1:7" ht="12.75" x14ac:dyDescent="0.2">
      <c r="A356" s="37"/>
      <c r="B356" s="9" t="s">
        <v>774</v>
      </c>
      <c r="C356" s="9" t="s">
        <v>819</v>
      </c>
      <c r="D356" s="9" t="s">
        <v>39</v>
      </c>
      <c r="E356" s="9" t="s">
        <v>46</v>
      </c>
      <c r="F356" s="9" t="s">
        <v>51</v>
      </c>
      <c r="G356" s="10" t="s">
        <v>42</v>
      </c>
    </row>
    <row r="357" spans="1:7" ht="12.75" x14ac:dyDescent="0.2">
      <c r="A357" s="39"/>
      <c r="B357" s="9" t="s">
        <v>774</v>
      </c>
      <c r="C357" s="9" t="s">
        <v>820</v>
      </c>
      <c r="D357" s="9" t="s">
        <v>39</v>
      </c>
      <c r="E357" s="9" t="s">
        <v>46</v>
      </c>
      <c r="F357" s="9" t="s">
        <v>51</v>
      </c>
      <c r="G357" s="10" t="s">
        <v>42</v>
      </c>
    </row>
    <row r="358" spans="1:7" ht="12.75" x14ac:dyDescent="0.2">
      <c r="A358" s="37"/>
      <c r="B358" s="9" t="s">
        <v>774</v>
      </c>
      <c r="C358" s="9" t="s">
        <v>841</v>
      </c>
      <c r="D358" s="9" t="s">
        <v>39</v>
      </c>
      <c r="E358" s="9" t="s">
        <v>46</v>
      </c>
      <c r="F358" s="9" t="s">
        <v>51</v>
      </c>
      <c r="G358" s="10" t="s">
        <v>42</v>
      </c>
    </row>
    <row r="359" spans="1:7" ht="12.75" x14ac:dyDescent="0.2">
      <c r="A359" s="39"/>
      <c r="B359" s="9" t="s">
        <v>774</v>
      </c>
      <c r="C359" s="9" t="s">
        <v>869</v>
      </c>
      <c r="D359" s="9" t="s">
        <v>39</v>
      </c>
      <c r="E359" s="9" t="s">
        <v>46</v>
      </c>
      <c r="F359" s="9" t="s">
        <v>51</v>
      </c>
      <c r="G359" s="10" t="s">
        <v>42</v>
      </c>
    </row>
    <row r="360" spans="1:7" ht="12.75" x14ac:dyDescent="0.2">
      <c r="A360" s="37"/>
      <c r="B360" s="9" t="s">
        <v>774</v>
      </c>
      <c r="C360" s="9" t="s">
        <v>822</v>
      </c>
      <c r="D360" s="9" t="s">
        <v>39</v>
      </c>
      <c r="E360" s="9" t="s">
        <v>46</v>
      </c>
      <c r="F360" s="9" t="s">
        <v>51</v>
      </c>
      <c r="G360" s="10" t="s">
        <v>42</v>
      </c>
    </row>
    <row r="361" spans="1:7" ht="12.75" x14ac:dyDescent="0.2">
      <c r="A361" s="39"/>
      <c r="B361" s="9" t="s">
        <v>774</v>
      </c>
      <c r="C361" s="9" t="s">
        <v>824</v>
      </c>
      <c r="D361" s="9" t="s">
        <v>39</v>
      </c>
      <c r="E361" s="9" t="s">
        <v>46</v>
      </c>
      <c r="F361" s="9" t="s">
        <v>51</v>
      </c>
      <c r="G361" s="10" t="s">
        <v>42</v>
      </c>
    </row>
    <row r="362" spans="1:7" ht="12.75" x14ac:dyDescent="0.2">
      <c r="A362" s="37"/>
      <c r="B362" s="9" t="s">
        <v>774</v>
      </c>
      <c r="C362" s="9" t="s">
        <v>825</v>
      </c>
      <c r="D362" s="9" t="s">
        <v>39</v>
      </c>
      <c r="E362" s="9" t="s">
        <v>46</v>
      </c>
      <c r="F362" s="9" t="s">
        <v>51</v>
      </c>
      <c r="G362" s="10" t="s">
        <v>42</v>
      </c>
    </row>
    <row r="363" spans="1:7" ht="12.75" x14ac:dyDescent="0.2">
      <c r="A363" s="39"/>
      <c r="B363" s="9" t="s">
        <v>774</v>
      </c>
      <c r="C363" s="9" t="s">
        <v>893</v>
      </c>
      <c r="D363" s="9" t="s">
        <v>39</v>
      </c>
      <c r="E363" s="9" t="s">
        <v>46</v>
      </c>
      <c r="F363" s="9" t="s">
        <v>51</v>
      </c>
      <c r="G363" s="10" t="s">
        <v>42</v>
      </c>
    </row>
    <row r="364" spans="1:7" ht="12.75" x14ac:dyDescent="0.2">
      <c r="A364" s="37"/>
      <c r="B364" s="9" t="s">
        <v>774</v>
      </c>
      <c r="C364" s="9" t="s">
        <v>883</v>
      </c>
      <c r="D364" s="9" t="s">
        <v>39</v>
      </c>
      <c r="E364" s="9" t="s">
        <v>46</v>
      </c>
      <c r="F364" s="9" t="s">
        <v>47</v>
      </c>
      <c r="G364" s="10" t="s">
        <v>42</v>
      </c>
    </row>
    <row r="365" spans="1:7" ht="12.75" x14ac:dyDescent="0.2">
      <c r="A365" s="38"/>
      <c r="B365" s="9" t="s">
        <v>774</v>
      </c>
      <c r="C365" s="9" t="s">
        <v>777</v>
      </c>
      <c r="D365" s="9" t="s">
        <v>39</v>
      </c>
      <c r="E365" s="9" t="s">
        <v>46</v>
      </c>
      <c r="F365" s="9" t="s">
        <v>51</v>
      </c>
      <c r="G365" s="10" t="s">
        <v>42</v>
      </c>
    </row>
    <row r="366" spans="1:7" ht="12.75" x14ac:dyDescent="0.2">
      <c r="A366" s="36" t="s">
        <v>30</v>
      </c>
      <c r="B366" s="9" t="s">
        <v>854</v>
      </c>
      <c r="C366" s="9" t="s">
        <v>789</v>
      </c>
      <c r="D366" s="9" t="s">
        <v>39</v>
      </c>
      <c r="E366" s="9" t="s">
        <v>46</v>
      </c>
      <c r="F366" s="9" t="s">
        <v>47</v>
      </c>
      <c r="G366" s="10" t="s">
        <v>42</v>
      </c>
    </row>
    <row r="367" spans="1:7" ht="12.75" x14ac:dyDescent="0.2">
      <c r="A367" s="39"/>
      <c r="B367" s="9" t="s">
        <v>854</v>
      </c>
      <c r="C367" s="9" t="s">
        <v>919</v>
      </c>
      <c r="D367" s="9" t="s">
        <v>39</v>
      </c>
      <c r="E367" s="9" t="s">
        <v>46</v>
      </c>
      <c r="F367" s="9" t="s">
        <v>47</v>
      </c>
      <c r="G367" s="10" t="s">
        <v>42</v>
      </c>
    </row>
    <row r="368" spans="1:7" ht="12.75" x14ac:dyDescent="0.2">
      <c r="A368" s="37"/>
      <c r="B368" s="9" t="s">
        <v>854</v>
      </c>
      <c r="C368" s="9" t="s">
        <v>800</v>
      </c>
      <c r="D368" s="9" t="s">
        <v>39</v>
      </c>
      <c r="E368" s="9" t="s">
        <v>46</v>
      </c>
      <c r="F368" s="9" t="s">
        <v>47</v>
      </c>
      <c r="G368" s="10" t="s">
        <v>42</v>
      </c>
    </row>
    <row r="369" spans="1:7" ht="12.75" x14ac:dyDescent="0.2">
      <c r="A369" s="39"/>
      <c r="B369" s="9" t="s">
        <v>854</v>
      </c>
      <c r="C369" s="9" t="s">
        <v>920</v>
      </c>
      <c r="D369" s="9" t="s">
        <v>39</v>
      </c>
      <c r="E369" s="9" t="s">
        <v>46</v>
      </c>
      <c r="F369" s="9" t="s">
        <v>47</v>
      </c>
      <c r="G369" s="10" t="s">
        <v>42</v>
      </c>
    </row>
    <row r="370" spans="1:7" ht="12.75" x14ac:dyDescent="0.2">
      <c r="A370" s="37"/>
      <c r="B370" s="9" t="s">
        <v>854</v>
      </c>
      <c r="C370" s="9" t="s">
        <v>875</v>
      </c>
      <c r="D370" s="9" t="s">
        <v>39</v>
      </c>
      <c r="E370" s="9" t="s">
        <v>46</v>
      </c>
      <c r="F370" s="9" t="s">
        <v>47</v>
      </c>
      <c r="G370" s="10" t="s">
        <v>42</v>
      </c>
    </row>
    <row r="371" spans="1:7" ht="12.75" x14ac:dyDescent="0.2">
      <c r="A371" s="39"/>
      <c r="B371" s="9" t="s">
        <v>854</v>
      </c>
      <c r="C371" s="9" t="s">
        <v>797</v>
      </c>
      <c r="D371" s="9" t="s">
        <v>39</v>
      </c>
      <c r="E371" s="9" t="s">
        <v>46</v>
      </c>
      <c r="F371" s="9" t="s">
        <v>47</v>
      </c>
      <c r="G371" s="10" t="s">
        <v>42</v>
      </c>
    </row>
    <row r="372" spans="1:7" ht="12.75" x14ac:dyDescent="0.2">
      <c r="A372" s="37"/>
      <c r="B372" s="9" t="s">
        <v>854</v>
      </c>
      <c r="C372" s="9" t="s">
        <v>921</v>
      </c>
      <c r="D372" s="9" t="s">
        <v>39</v>
      </c>
      <c r="E372" s="9" t="s">
        <v>46</v>
      </c>
      <c r="F372" s="9" t="s">
        <v>47</v>
      </c>
      <c r="G372" s="10" t="s">
        <v>42</v>
      </c>
    </row>
    <row r="373" spans="1:7" ht="12.75" x14ac:dyDescent="0.2">
      <c r="A373" s="39"/>
      <c r="B373" s="9" t="s">
        <v>854</v>
      </c>
      <c r="C373" s="9" t="s">
        <v>783</v>
      </c>
      <c r="D373" s="9" t="s">
        <v>39</v>
      </c>
      <c r="E373" s="9" t="s">
        <v>46</v>
      </c>
      <c r="F373" s="9" t="s">
        <v>47</v>
      </c>
      <c r="G373" s="10" t="s">
        <v>42</v>
      </c>
    </row>
    <row r="374" spans="1:7" ht="12.75" x14ac:dyDescent="0.2">
      <c r="A374" s="37"/>
      <c r="B374" s="9" t="s">
        <v>854</v>
      </c>
      <c r="C374" s="9" t="s">
        <v>782</v>
      </c>
      <c r="D374" s="9" t="s">
        <v>39</v>
      </c>
      <c r="E374" s="9" t="s">
        <v>46</v>
      </c>
      <c r="F374" s="9" t="s">
        <v>47</v>
      </c>
      <c r="G374" s="10" t="s">
        <v>42</v>
      </c>
    </row>
    <row r="375" spans="1:7" ht="12.75" x14ac:dyDescent="0.2">
      <c r="A375" s="39"/>
      <c r="B375" s="9" t="s">
        <v>854</v>
      </c>
      <c r="C375" s="9" t="s">
        <v>922</v>
      </c>
      <c r="D375" s="9" t="s">
        <v>39</v>
      </c>
      <c r="E375" s="9" t="s">
        <v>46</v>
      </c>
      <c r="F375" s="9" t="s">
        <v>47</v>
      </c>
      <c r="G375" s="10" t="s">
        <v>42</v>
      </c>
    </row>
    <row r="376" spans="1:7" ht="12.75" x14ac:dyDescent="0.2">
      <c r="A376" s="37"/>
      <c r="B376" s="9" t="s">
        <v>854</v>
      </c>
      <c r="C376" s="9" t="s">
        <v>785</v>
      </c>
      <c r="D376" s="9" t="s">
        <v>94</v>
      </c>
      <c r="E376" s="9" t="s">
        <v>46</v>
      </c>
      <c r="F376" s="9" t="s">
        <v>47</v>
      </c>
      <c r="G376" s="10" t="s">
        <v>42</v>
      </c>
    </row>
    <row r="377" spans="1:7" ht="12.75" x14ac:dyDescent="0.2">
      <c r="A377" s="39"/>
      <c r="B377" s="9" t="s">
        <v>854</v>
      </c>
      <c r="C377" s="9" t="s">
        <v>923</v>
      </c>
      <c r="D377" s="9" t="s">
        <v>39</v>
      </c>
      <c r="E377" s="9" t="s">
        <v>46</v>
      </c>
      <c r="F377" s="9" t="s">
        <v>41</v>
      </c>
      <c r="G377" s="10" t="s">
        <v>42</v>
      </c>
    </row>
    <row r="378" spans="1:7" ht="12.75" x14ac:dyDescent="0.2">
      <c r="A378" s="37"/>
      <c r="B378" s="9" t="s">
        <v>854</v>
      </c>
      <c r="C378" s="9" t="s">
        <v>788</v>
      </c>
      <c r="D378" s="9" t="s">
        <v>39</v>
      </c>
      <c r="E378" s="9" t="s">
        <v>46</v>
      </c>
      <c r="F378" s="9" t="s">
        <v>47</v>
      </c>
      <c r="G378" s="10" t="s">
        <v>42</v>
      </c>
    </row>
    <row r="379" spans="1:7" ht="12.75" x14ac:dyDescent="0.2">
      <c r="A379" s="39"/>
      <c r="B379" s="9" t="s">
        <v>854</v>
      </c>
      <c r="C379" s="9" t="s">
        <v>848</v>
      </c>
      <c r="D379" s="9" t="s">
        <v>39</v>
      </c>
      <c r="E379" s="9" t="s">
        <v>46</v>
      </c>
      <c r="F379" s="9" t="s">
        <v>47</v>
      </c>
      <c r="G379" s="10" t="s">
        <v>42</v>
      </c>
    </row>
    <row r="380" spans="1:7" ht="12.75" x14ac:dyDescent="0.2">
      <c r="A380" s="37"/>
      <c r="B380" s="9" t="s">
        <v>854</v>
      </c>
      <c r="C380" s="9" t="s">
        <v>847</v>
      </c>
      <c r="D380" s="9" t="s">
        <v>39</v>
      </c>
      <c r="E380" s="9" t="s">
        <v>46</v>
      </c>
      <c r="F380" s="9" t="s">
        <v>47</v>
      </c>
      <c r="G380" s="10" t="s">
        <v>42</v>
      </c>
    </row>
    <row r="381" spans="1:7" ht="12.75" x14ac:dyDescent="0.2">
      <c r="A381" s="39"/>
      <c r="B381" s="9" t="s">
        <v>854</v>
      </c>
      <c r="C381" s="9" t="s">
        <v>924</v>
      </c>
      <c r="D381" s="9" t="s">
        <v>39</v>
      </c>
      <c r="E381" s="9" t="s">
        <v>46</v>
      </c>
      <c r="F381" s="9" t="s">
        <v>47</v>
      </c>
      <c r="G381" s="10" t="s">
        <v>42</v>
      </c>
    </row>
    <row r="382" spans="1:7" ht="12.75" x14ac:dyDescent="0.2">
      <c r="A382" s="37"/>
      <c r="B382" s="9" t="s">
        <v>854</v>
      </c>
      <c r="C382" s="9" t="s">
        <v>925</v>
      </c>
      <c r="D382" s="9" t="s">
        <v>39</v>
      </c>
      <c r="E382" s="9" t="s">
        <v>46</v>
      </c>
      <c r="F382" s="9" t="s">
        <v>47</v>
      </c>
      <c r="G382" s="10" t="s">
        <v>42</v>
      </c>
    </row>
    <row r="383" spans="1:7" ht="12.75" x14ac:dyDescent="0.2">
      <c r="A383" s="39"/>
      <c r="B383" s="9" t="s">
        <v>854</v>
      </c>
      <c r="C383" s="9" t="s">
        <v>803</v>
      </c>
      <c r="D383" s="9" t="s">
        <v>39</v>
      </c>
      <c r="E383" s="9" t="s">
        <v>46</v>
      </c>
      <c r="F383" s="9" t="s">
        <v>47</v>
      </c>
      <c r="G383" s="10" t="s">
        <v>42</v>
      </c>
    </row>
    <row r="384" spans="1:7" ht="12.75" x14ac:dyDescent="0.2">
      <c r="A384" s="37"/>
      <c r="B384" s="9" t="s">
        <v>854</v>
      </c>
      <c r="C384" s="9" t="s">
        <v>831</v>
      </c>
      <c r="D384" s="9" t="s">
        <v>39</v>
      </c>
      <c r="E384" s="9" t="s">
        <v>46</v>
      </c>
      <c r="F384" s="9" t="s">
        <v>47</v>
      </c>
      <c r="G384" s="10" t="s">
        <v>42</v>
      </c>
    </row>
    <row r="385" spans="1:7" ht="12.75" x14ac:dyDescent="0.2">
      <c r="A385" s="39"/>
      <c r="B385" s="9" t="s">
        <v>854</v>
      </c>
      <c r="C385" s="9" t="s">
        <v>926</v>
      </c>
      <c r="D385" s="9" t="s">
        <v>39</v>
      </c>
      <c r="E385" s="9" t="s">
        <v>46</v>
      </c>
      <c r="F385" s="9" t="s">
        <v>47</v>
      </c>
      <c r="G385" s="10" t="s">
        <v>42</v>
      </c>
    </row>
    <row r="386" spans="1:7" ht="12.75" x14ac:dyDescent="0.2">
      <c r="A386" s="37"/>
      <c r="B386" s="9" t="s">
        <v>854</v>
      </c>
      <c r="C386" s="9" t="s">
        <v>899</v>
      </c>
      <c r="D386" s="9" t="s">
        <v>39</v>
      </c>
      <c r="E386" s="9" t="s">
        <v>46</v>
      </c>
      <c r="F386" s="9" t="s">
        <v>47</v>
      </c>
      <c r="G386" s="10" t="s">
        <v>42</v>
      </c>
    </row>
    <row r="387" spans="1:7" ht="12.75" x14ac:dyDescent="0.2">
      <c r="A387" s="39"/>
      <c r="B387" s="9" t="s">
        <v>854</v>
      </c>
      <c r="C387" s="9" t="s">
        <v>804</v>
      </c>
      <c r="D387" s="9" t="s">
        <v>39</v>
      </c>
      <c r="E387" s="9" t="s">
        <v>46</v>
      </c>
      <c r="F387" s="9" t="s">
        <v>47</v>
      </c>
      <c r="G387" s="10" t="s">
        <v>42</v>
      </c>
    </row>
    <row r="388" spans="1:7" ht="12.75" x14ac:dyDescent="0.2">
      <c r="A388" s="37"/>
      <c r="B388" s="9" t="s">
        <v>854</v>
      </c>
      <c r="C388" s="9" t="s">
        <v>805</v>
      </c>
      <c r="D388" s="9" t="s">
        <v>39</v>
      </c>
      <c r="E388" s="9" t="s">
        <v>46</v>
      </c>
      <c r="F388" s="9" t="s">
        <v>47</v>
      </c>
      <c r="G388" s="10" t="s">
        <v>42</v>
      </c>
    </row>
    <row r="389" spans="1:7" ht="12.75" x14ac:dyDescent="0.2">
      <c r="A389" s="39"/>
      <c r="B389" s="9" t="s">
        <v>854</v>
      </c>
      <c r="C389" s="9" t="s">
        <v>927</v>
      </c>
      <c r="D389" s="9" t="s">
        <v>39</v>
      </c>
      <c r="E389" s="9" t="s">
        <v>46</v>
      </c>
      <c r="F389" s="9" t="s">
        <v>47</v>
      </c>
      <c r="G389" s="10" t="s">
        <v>42</v>
      </c>
    </row>
    <row r="390" spans="1:7" ht="12.75" x14ac:dyDescent="0.2">
      <c r="A390" s="37"/>
      <c r="B390" s="9" t="s">
        <v>854</v>
      </c>
      <c r="C390" s="9" t="s">
        <v>928</v>
      </c>
      <c r="D390" s="9" t="s">
        <v>39</v>
      </c>
      <c r="E390" s="9" t="s">
        <v>46</v>
      </c>
      <c r="F390" s="9" t="s">
        <v>47</v>
      </c>
      <c r="G390" s="10" t="s">
        <v>42</v>
      </c>
    </row>
    <row r="391" spans="1:7" ht="12.75" x14ac:dyDescent="0.2">
      <c r="A391" s="39"/>
      <c r="B391" s="9" t="s">
        <v>854</v>
      </c>
      <c r="C391" s="9" t="s">
        <v>929</v>
      </c>
      <c r="D391" s="9" t="s">
        <v>39</v>
      </c>
      <c r="E391" s="9" t="s">
        <v>46</v>
      </c>
      <c r="F391" s="9" t="s">
        <v>47</v>
      </c>
      <c r="G391" s="10" t="s">
        <v>42</v>
      </c>
    </row>
    <row r="392" spans="1:7" ht="12.75" x14ac:dyDescent="0.2">
      <c r="A392" s="37"/>
      <c r="B392" s="9" t="s">
        <v>854</v>
      </c>
      <c r="C392" s="9" t="s">
        <v>777</v>
      </c>
      <c r="D392" s="9" t="s">
        <v>39</v>
      </c>
      <c r="E392" s="9" t="s">
        <v>46</v>
      </c>
      <c r="F392" s="9" t="s">
        <v>47</v>
      </c>
      <c r="G392" s="10" t="s">
        <v>42</v>
      </c>
    </row>
    <row r="393" spans="1:7" ht="12.75" x14ac:dyDescent="0.2">
      <c r="A393" s="39"/>
      <c r="B393" s="9" t="s">
        <v>854</v>
      </c>
      <c r="C393" s="9" t="s">
        <v>930</v>
      </c>
      <c r="D393" s="9" t="s">
        <v>39</v>
      </c>
      <c r="E393" s="9" t="s">
        <v>46</v>
      </c>
      <c r="F393" s="9" t="s">
        <v>47</v>
      </c>
      <c r="G393" s="10" t="s">
        <v>42</v>
      </c>
    </row>
    <row r="394" spans="1:7" ht="12.75" x14ac:dyDescent="0.2">
      <c r="A394" s="37"/>
      <c r="B394" s="9" t="s">
        <v>854</v>
      </c>
      <c r="C394" s="9" t="s">
        <v>900</v>
      </c>
      <c r="D394" s="9" t="s">
        <v>39</v>
      </c>
      <c r="E394" s="9" t="s">
        <v>46</v>
      </c>
      <c r="F394" s="9" t="s">
        <v>47</v>
      </c>
      <c r="G394" s="10" t="s">
        <v>42</v>
      </c>
    </row>
    <row r="395" spans="1:7" ht="12.75" x14ac:dyDescent="0.2">
      <c r="A395" s="39"/>
      <c r="B395" s="9" t="s">
        <v>854</v>
      </c>
      <c r="C395" s="9" t="s">
        <v>786</v>
      </c>
      <c r="D395" s="9" t="s">
        <v>39</v>
      </c>
      <c r="E395" s="9" t="s">
        <v>46</v>
      </c>
      <c r="F395" s="9" t="s">
        <v>47</v>
      </c>
      <c r="G395" s="10" t="s">
        <v>42</v>
      </c>
    </row>
    <row r="396" spans="1:7" ht="12.75" x14ac:dyDescent="0.2">
      <c r="A396" s="37"/>
      <c r="B396" s="9" t="s">
        <v>854</v>
      </c>
      <c r="C396" s="9" t="s">
        <v>866</v>
      </c>
      <c r="D396" s="9" t="s">
        <v>39</v>
      </c>
      <c r="E396" s="9" t="s">
        <v>46</v>
      </c>
      <c r="F396" s="9" t="s">
        <v>47</v>
      </c>
      <c r="G396" s="10" t="s">
        <v>42</v>
      </c>
    </row>
    <row r="397" spans="1:7" ht="12.75" x14ac:dyDescent="0.2">
      <c r="A397" s="39"/>
      <c r="B397" s="9" t="s">
        <v>854</v>
      </c>
      <c r="C397" s="9" t="s">
        <v>807</v>
      </c>
      <c r="D397" s="9" t="s">
        <v>39</v>
      </c>
      <c r="E397" s="9" t="s">
        <v>46</v>
      </c>
      <c r="F397" s="9" t="s">
        <v>47</v>
      </c>
      <c r="G397" s="10" t="s">
        <v>42</v>
      </c>
    </row>
    <row r="398" spans="1:7" ht="12.75" x14ac:dyDescent="0.2">
      <c r="A398" s="37"/>
      <c r="B398" s="9" t="s">
        <v>854</v>
      </c>
      <c r="C398" s="9" t="s">
        <v>867</v>
      </c>
      <c r="D398" s="9" t="s">
        <v>39</v>
      </c>
      <c r="E398" s="9" t="s">
        <v>46</v>
      </c>
      <c r="F398" s="9" t="s">
        <v>47</v>
      </c>
      <c r="G398" s="10" t="s">
        <v>42</v>
      </c>
    </row>
    <row r="399" spans="1:7" ht="12.75" x14ac:dyDescent="0.2">
      <c r="A399" s="39"/>
      <c r="B399" s="9" t="s">
        <v>854</v>
      </c>
      <c r="C399" s="9" t="s">
        <v>931</v>
      </c>
      <c r="D399" s="9" t="s">
        <v>39</v>
      </c>
      <c r="E399" s="9" t="s">
        <v>46</v>
      </c>
      <c r="F399" s="9" t="s">
        <v>47</v>
      </c>
      <c r="G399" s="10" t="s">
        <v>42</v>
      </c>
    </row>
    <row r="400" spans="1:7" ht="12.75" x14ac:dyDescent="0.2">
      <c r="A400" s="37"/>
      <c r="B400" s="9" t="s">
        <v>854</v>
      </c>
      <c r="C400" s="9" t="s">
        <v>932</v>
      </c>
      <c r="D400" s="9" t="s">
        <v>39</v>
      </c>
      <c r="E400" s="9" t="s">
        <v>46</v>
      </c>
      <c r="F400" s="9" t="s">
        <v>47</v>
      </c>
      <c r="G400" s="10" t="s">
        <v>42</v>
      </c>
    </row>
    <row r="401" spans="1:7" ht="12.75" x14ac:dyDescent="0.2">
      <c r="A401" s="39"/>
      <c r="B401" s="9" t="s">
        <v>854</v>
      </c>
      <c r="C401" s="9" t="s">
        <v>893</v>
      </c>
      <c r="D401" s="9" t="s">
        <v>39</v>
      </c>
      <c r="E401" s="9" t="s">
        <v>46</v>
      </c>
      <c r="F401" s="9" t="s">
        <v>47</v>
      </c>
      <c r="G401" s="10" t="s">
        <v>42</v>
      </c>
    </row>
    <row r="402" spans="1:7" ht="12.75" x14ac:dyDescent="0.2">
      <c r="A402" s="37"/>
      <c r="B402" s="9" t="s">
        <v>854</v>
      </c>
      <c r="C402" s="9" t="s">
        <v>825</v>
      </c>
      <c r="D402" s="9" t="s">
        <v>39</v>
      </c>
      <c r="E402" s="9" t="s">
        <v>46</v>
      </c>
      <c r="F402" s="9" t="s">
        <v>47</v>
      </c>
      <c r="G402" s="10" t="s">
        <v>42</v>
      </c>
    </row>
    <row r="403" spans="1:7" ht="12.75" x14ac:dyDescent="0.2">
      <c r="A403" s="39"/>
      <c r="B403" s="9" t="s">
        <v>854</v>
      </c>
      <c r="C403" s="9" t="s">
        <v>824</v>
      </c>
      <c r="D403" s="9" t="s">
        <v>39</v>
      </c>
      <c r="E403" s="9" t="s">
        <v>46</v>
      </c>
      <c r="F403" s="9" t="s">
        <v>47</v>
      </c>
      <c r="G403" s="10" t="s">
        <v>42</v>
      </c>
    </row>
    <row r="404" spans="1:7" ht="12.75" x14ac:dyDescent="0.2">
      <c r="A404" s="37"/>
      <c r="B404" s="9" t="s">
        <v>854</v>
      </c>
      <c r="C404" s="9" t="s">
        <v>821</v>
      </c>
      <c r="D404" s="9" t="s">
        <v>39</v>
      </c>
      <c r="E404" s="9" t="s">
        <v>46</v>
      </c>
      <c r="F404" s="9" t="s">
        <v>47</v>
      </c>
      <c r="G404" s="10" t="s">
        <v>42</v>
      </c>
    </row>
    <row r="405" spans="1:7" ht="12.75" x14ac:dyDescent="0.2">
      <c r="A405" s="39"/>
      <c r="B405" s="9" t="s">
        <v>854</v>
      </c>
      <c r="C405" s="9" t="s">
        <v>822</v>
      </c>
      <c r="D405" s="9" t="s">
        <v>39</v>
      </c>
      <c r="E405" s="9" t="s">
        <v>46</v>
      </c>
      <c r="F405" s="9" t="s">
        <v>47</v>
      </c>
      <c r="G405" s="10" t="s">
        <v>42</v>
      </c>
    </row>
    <row r="406" spans="1:7" ht="12.75" x14ac:dyDescent="0.2">
      <c r="A406" s="37"/>
      <c r="B406" s="9" t="s">
        <v>854</v>
      </c>
      <c r="C406" s="9" t="s">
        <v>869</v>
      </c>
      <c r="D406" s="9" t="s">
        <v>39</v>
      </c>
      <c r="E406" s="9" t="s">
        <v>46</v>
      </c>
      <c r="F406" s="9" t="s">
        <v>47</v>
      </c>
      <c r="G406" s="10" t="s">
        <v>42</v>
      </c>
    </row>
    <row r="407" spans="1:7" ht="12.75" x14ac:dyDescent="0.2">
      <c r="A407" s="39"/>
      <c r="B407" s="9" t="s">
        <v>854</v>
      </c>
      <c r="C407" s="9" t="s">
        <v>933</v>
      </c>
      <c r="D407" s="9" t="s">
        <v>39</v>
      </c>
      <c r="E407" s="9" t="s">
        <v>46</v>
      </c>
      <c r="F407" s="9" t="s">
        <v>47</v>
      </c>
      <c r="G407" s="10" t="s">
        <v>42</v>
      </c>
    </row>
    <row r="408" spans="1:7" ht="12.75" x14ac:dyDescent="0.2">
      <c r="A408" s="37"/>
      <c r="B408" s="9" t="s">
        <v>854</v>
      </c>
      <c r="C408" s="9" t="s">
        <v>903</v>
      </c>
      <c r="D408" s="9" t="s">
        <v>39</v>
      </c>
      <c r="E408" s="9" t="s">
        <v>46</v>
      </c>
      <c r="F408" s="9" t="s">
        <v>47</v>
      </c>
      <c r="G408" s="10" t="s">
        <v>42</v>
      </c>
    </row>
    <row r="409" spans="1:7" ht="12.75" x14ac:dyDescent="0.2">
      <c r="A409" s="39"/>
      <c r="B409" s="9" t="s">
        <v>854</v>
      </c>
      <c r="C409" s="9" t="s">
        <v>820</v>
      </c>
      <c r="D409" s="9" t="s">
        <v>39</v>
      </c>
      <c r="E409" s="9" t="s">
        <v>46</v>
      </c>
      <c r="F409" s="9" t="s">
        <v>47</v>
      </c>
      <c r="G409" s="10" t="s">
        <v>42</v>
      </c>
    </row>
    <row r="410" spans="1:7" ht="12.75" x14ac:dyDescent="0.2">
      <c r="A410" s="37"/>
      <c r="B410" s="9" t="s">
        <v>854</v>
      </c>
      <c r="C410" s="9" t="s">
        <v>843</v>
      </c>
      <c r="D410" s="9" t="s">
        <v>39</v>
      </c>
      <c r="E410" s="9" t="s">
        <v>46</v>
      </c>
      <c r="F410" s="9" t="s">
        <v>47</v>
      </c>
      <c r="G410" s="10" t="s">
        <v>42</v>
      </c>
    </row>
    <row r="411" spans="1:7" ht="12.75" x14ac:dyDescent="0.2">
      <c r="A411" s="39"/>
      <c r="B411" s="9" t="s">
        <v>854</v>
      </c>
      <c r="C411" s="9" t="s">
        <v>934</v>
      </c>
      <c r="D411" s="9" t="s">
        <v>39</v>
      </c>
      <c r="E411" s="9" t="s">
        <v>46</v>
      </c>
      <c r="F411" s="9" t="s">
        <v>47</v>
      </c>
      <c r="G411" s="10" t="s">
        <v>42</v>
      </c>
    </row>
    <row r="412" spans="1:7" ht="12.75" x14ac:dyDescent="0.2">
      <c r="A412" s="37"/>
      <c r="B412" s="9" t="s">
        <v>854</v>
      </c>
      <c r="C412" s="9" t="s">
        <v>935</v>
      </c>
      <c r="D412" s="9" t="s">
        <v>39</v>
      </c>
      <c r="E412" s="9" t="s">
        <v>46</v>
      </c>
      <c r="F412" s="9" t="s">
        <v>47</v>
      </c>
      <c r="G412" s="10" t="s">
        <v>42</v>
      </c>
    </row>
    <row r="413" spans="1:7" ht="12.75" x14ac:dyDescent="0.2">
      <c r="A413" s="39"/>
      <c r="B413" s="9" t="s">
        <v>854</v>
      </c>
      <c r="C413" s="9" t="s">
        <v>906</v>
      </c>
      <c r="D413" s="9" t="s">
        <v>39</v>
      </c>
      <c r="E413" s="9" t="s">
        <v>46</v>
      </c>
      <c r="F413" s="9" t="s">
        <v>47</v>
      </c>
      <c r="G413" s="10" t="s">
        <v>42</v>
      </c>
    </row>
    <row r="414" spans="1:7" ht="12.75" x14ac:dyDescent="0.2">
      <c r="A414" s="37"/>
      <c r="B414" s="9" t="s">
        <v>854</v>
      </c>
      <c r="C414" s="9" t="s">
        <v>818</v>
      </c>
      <c r="D414" s="9" t="s">
        <v>39</v>
      </c>
      <c r="E414" s="9" t="s">
        <v>46</v>
      </c>
      <c r="F414" s="9" t="s">
        <v>47</v>
      </c>
      <c r="G414" s="10" t="s">
        <v>42</v>
      </c>
    </row>
    <row r="415" spans="1:7" ht="12.75" x14ac:dyDescent="0.2">
      <c r="A415" s="39"/>
      <c r="B415" s="9" t="s">
        <v>854</v>
      </c>
      <c r="C415" s="9" t="s">
        <v>819</v>
      </c>
      <c r="D415" s="9" t="s">
        <v>39</v>
      </c>
      <c r="E415" s="9" t="s">
        <v>46</v>
      </c>
      <c r="F415" s="9" t="s">
        <v>47</v>
      </c>
      <c r="G415" s="10" t="s">
        <v>42</v>
      </c>
    </row>
    <row r="416" spans="1:7" ht="12.75" x14ac:dyDescent="0.2">
      <c r="A416" s="37"/>
      <c r="B416" s="9" t="s">
        <v>854</v>
      </c>
      <c r="C416" s="9" t="s">
        <v>891</v>
      </c>
      <c r="D416" s="9" t="s">
        <v>39</v>
      </c>
      <c r="E416" s="9" t="s">
        <v>46</v>
      </c>
      <c r="F416" s="9" t="s">
        <v>47</v>
      </c>
      <c r="G416" s="10" t="s">
        <v>42</v>
      </c>
    </row>
    <row r="417" spans="1:7" ht="12.75" x14ac:dyDescent="0.2">
      <c r="A417" s="39"/>
      <c r="B417" s="9" t="s">
        <v>854</v>
      </c>
      <c r="C417" s="9" t="s">
        <v>812</v>
      </c>
      <c r="D417" s="9" t="s">
        <v>39</v>
      </c>
      <c r="E417" s="9" t="s">
        <v>46</v>
      </c>
      <c r="F417" s="9" t="s">
        <v>47</v>
      </c>
      <c r="G417" s="10" t="s">
        <v>42</v>
      </c>
    </row>
    <row r="418" spans="1:7" ht="12.75" x14ac:dyDescent="0.2">
      <c r="A418" s="37"/>
      <c r="B418" s="9" t="s">
        <v>854</v>
      </c>
      <c r="C418" s="9" t="s">
        <v>816</v>
      </c>
      <c r="D418" s="9" t="s">
        <v>39</v>
      </c>
      <c r="E418" s="9" t="s">
        <v>46</v>
      </c>
      <c r="F418" s="9" t="s">
        <v>47</v>
      </c>
      <c r="G418" s="10" t="s">
        <v>42</v>
      </c>
    </row>
    <row r="419" spans="1:7" ht="12.75" x14ac:dyDescent="0.2">
      <c r="A419" s="39"/>
      <c r="B419" s="9" t="s">
        <v>854</v>
      </c>
      <c r="C419" s="9" t="s">
        <v>889</v>
      </c>
      <c r="D419" s="9" t="s">
        <v>39</v>
      </c>
      <c r="E419" s="9" t="s">
        <v>46</v>
      </c>
      <c r="F419" s="9" t="s">
        <v>47</v>
      </c>
      <c r="G419" s="10" t="s">
        <v>42</v>
      </c>
    </row>
    <row r="420" spans="1:7" ht="12.75" x14ac:dyDescent="0.2">
      <c r="A420" s="37"/>
      <c r="B420" s="9" t="s">
        <v>854</v>
      </c>
      <c r="C420" s="9" t="s">
        <v>779</v>
      </c>
      <c r="D420" s="9" t="s">
        <v>94</v>
      </c>
      <c r="E420" s="9" t="s">
        <v>46</v>
      </c>
      <c r="F420" s="9" t="s">
        <v>47</v>
      </c>
      <c r="G420" s="10" t="s">
        <v>42</v>
      </c>
    </row>
    <row r="421" spans="1:7" ht="12.75" x14ac:dyDescent="0.2">
      <c r="A421" s="39"/>
      <c r="B421" s="9" t="s">
        <v>854</v>
      </c>
      <c r="C421" s="9" t="s">
        <v>907</v>
      </c>
      <c r="D421" s="9" t="s">
        <v>39</v>
      </c>
      <c r="E421" s="9" t="s">
        <v>46</v>
      </c>
      <c r="F421" s="9" t="s">
        <v>47</v>
      </c>
      <c r="G421" s="10" t="s">
        <v>42</v>
      </c>
    </row>
    <row r="422" spans="1:7" ht="12.75" x14ac:dyDescent="0.2">
      <c r="A422" s="37"/>
      <c r="B422" s="9" t="s">
        <v>854</v>
      </c>
      <c r="C422" s="9" t="s">
        <v>936</v>
      </c>
      <c r="D422" s="9" t="s">
        <v>39</v>
      </c>
      <c r="E422" s="9" t="s">
        <v>46</v>
      </c>
      <c r="F422" s="9" t="s">
        <v>47</v>
      </c>
      <c r="G422" s="10" t="s">
        <v>42</v>
      </c>
    </row>
    <row r="423" spans="1:7" ht="12.75" x14ac:dyDescent="0.2">
      <c r="A423" s="39"/>
      <c r="B423" s="9" t="s">
        <v>854</v>
      </c>
      <c r="C423" s="9" t="s">
        <v>887</v>
      </c>
      <c r="D423" s="9" t="s">
        <v>39</v>
      </c>
      <c r="E423" s="9" t="s">
        <v>46</v>
      </c>
      <c r="F423" s="9" t="s">
        <v>47</v>
      </c>
      <c r="G423" s="10" t="s">
        <v>42</v>
      </c>
    </row>
    <row r="424" spans="1:7" ht="12.75" x14ac:dyDescent="0.2">
      <c r="A424" s="37"/>
      <c r="B424" s="9" t="s">
        <v>854</v>
      </c>
      <c r="C424" s="9" t="s">
        <v>937</v>
      </c>
      <c r="D424" s="9" t="s">
        <v>39</v>
      </c>
      <c r="E424" s="9" t="s">
        <v>46</v>
      </c>
      <c r="F424" s="9" t="s">
        <v>47</v>
      </c>
      <c r="G424" s="10" t="s">
        <v>42</v>
      </c>
    </row>
    <row r="425" spans="1:7" ht="12.75" x14ac:dyDescent="0.2">
      <c r="A425" s="39"/>
      <c r="B425" s="9" t="s">
        <v>854</v>
      </c>
      <c r="C425" s="9" t="s">
        <v>938</v>
      </c>
      <c r="D425" s="9" t="s">
        <v>39</v>
      </c>
      <c r="E425" s="9" t="s">
        <v>46</v>
      </c>
      <c r="F425" s="9" t="s">
        <v>47</v>
      </c>
      <c r="G425" s="10" t="s">
        <v>42</v>
      </c>
    </row>
    <row r="426" spans="1:7" ht="12.75" x14ac:dyDescent="0.2">
      <c r="A426" s="37"/>
      <c r="B426" s="9" t="s">
        <v>854</v>
      </c>
      <c r="C426" s="9" t="s">
        <v>836</v>
      </c>
      <c r="D426" s="9" t="s">
        <v>39</v>
      </c>
      <c r="E426" s="9" t="s">
        <v>46</v>
      </c>
      <c r="F426" s="9" t="s">
        <v>47</v>
      </c>
      <c r="G426" s="10" t="s">
        <v>42</v>
      </c>
    </row>
    <row r="427" spans="1:7" ht="12.75" x14ac:dyDescent="0.2">
      <c r="A427" s="38"/>
      <c r="B427" s="9" t="s">
        <v>854</v>
      </c>
      <c r="C427" s="9" t="s">
        <v>715</v>
      </c>
      <c r="D427" s="9" t="s">
        <v>39</v>
      </c>
      <c r="E427" s="9" t="s">
        <v>46</v>
      </c>
      <c r="F427" s="9" t="s">
        <v>51</v>
      </c>
      <c r="G427" s="10" t="s">
        <v>42</v>
      </c>
    </row>
    <row r="428" spans="1:7" ht="12.75" x14ac:dyDescent="0.2">
      <c r="A428" s="36" t="s">
        <v>31</v>
      </c>
      <c r="B428" s="9" t="s">
        <v>774</v>
      </c>
      <c r="C428" s="9" t="s">
        <v>798</v>
      </c>
      <c r="D428" s="9" t="s">
        <v>94</v>
      </c>
      <c r="E428" s="9" t="s">
        <v>46</v>
      </c>
      <c r="F428" s="9" t="s">
        <v>51</v>
      </c>
      <c r="G428" s="10" t="s">
        <v>42</v>
      </c>
    </row>
    <row r="429" spans="1:7" ht="12.75" x14ac:dyDescent="0.2">
      <c r="A429" s="39"/>
      <c r="B429" s="9" t="s">
        <v>774</v>
      </c>
      <c r="C429" s="9" t="s">
        <v>874</v>
      </c>
      <c r="D429" s="9" t="s">
        <v>39</v>
      </c>
      <c r="E429" s="9" t="s">
        <v>46</v>
      </c>
      <c r="F429" s="9" t="s">
        <v>51</v>
      </c>
      <c r="G429" s="10" t="s">
        <v>42</v>
      </c>
    </row>
    <row r="430" spans="1:7" ht="12.75" x14ac:dyDescent="0.2">
      <c r="A430" s="37"/>
      <c r="B430" s="9" t="s">
        <v>774</v>
      </c>
      <c r="C430" s="9" t="s">
        <v>875</v>
      </c>
      <c r="D430" s="9" t="s">
        <v>39</v>
      </c>
      <c r="E430" s="9" t="s">
        <v>46</v>
      </c>
      <c r="F430" s="9" t="s">
        <v>51</v>
      </c>
      <c r="G430" s="10" t="s">
        <v>42</v>
      </c>
    </row>
    <row r="431" spans="1:7" ht="12.75" x14ac:dyDescent="0.2">
      <c r="A431" s="39"/>
      <c r="B431" s="9" t="s">
        <v>774</v>
      </c>
      <c r="C431" s="9" t="s">
        <v>939</v>
      </c>
      <c r="D431" s="9" t="s">
        <v>39</v>
      </c>
      <c r="E431" s="9" t="s">
        <v>46</v>
      </c>
      <c r="F431" s="9" t="s">
        <v>51</v>
      </c>
      <c r="G431" s="10" t="s">
        <v>42</v>
      </c>
    </row>
    <row r="432" spans="1:7" ht="12.75" x14ac:dyDescent="0.2">
      <c r="A432" s="37"/>
      <c r="B432" s="9" t="s">
        <v>774</v>
      </c>
      <c r="C432" s="9" t="s">
        <v>800</v>
      </c>
      <c r="D432" s="9" t="s">
        <v>39</v>
      </c>
      <c r="E432" s="9" t="s">
        <v>46</v>
      </c>
      <c r="F432" s="9" t="s">
        <v>51</v>
      </c>
      <c r="G432" s="10" t="s">
        <v>42</v>
      </c>
    </row>
    <row r="433" spans="1:7" ht="12.75" x14ac:dyDescent="0.2">
      <c r="A433" s="39"/>
      <c r="B433" s="9" t="s">
        <v>774</v>
      </c>
      <c r="C433" s="9" t="s">
        <v>783</v>
      </c>
      <c r="D433" s="9" t="s">
        <v>39</v>
      </c>
      <c r="E433" s="9" t="s">
        <v>46</v>
      </c>
      <c r="F433" s="9" t="s">
        <v>51</v>
      </c>
      <c r="G433" s="10" t="s">
        <v>42</v>
      </c>
    </row>
    <row r="434" spans="1:7" ht="12.75" x14ac:dyDescent="0.2">
      <c r="A434" s="37"/>
      <c r="B434" s="9" t="s">
        <v>774</v>
      </c>
      <c r="C434" s="9" t="s">
        <v>782</v>
      </c>
      <c r="D434" s="9" t="s">
        <v>39</v>
      </c>
      <c r="E434" s="9" t="s">
        <v>46</v>
      </c>
      <c r="F434" s="9" t="s">
        <v>51</v>
      </c>
      <c r="G434" s="10" t="s">
        <v>42</v>
      </c>
    </row>
    <row r="435" spans="1:7" ht="12.75" x14ac:dyDescent="0.2">
      <c r="A435" s="39"/>
      <c r="B435" s="9" t="s">
        <v>774</v>
      </c>
      <c r="C435" s="9" t="s">
        <v>940</v>
      </c>
      <c r="D435" s="9" t="s">
        <v>39</v>
      </c>
      <c r="E435" s="9" t="s">
        <v>46</v>
      </c>
      <c r="F435" s="9" t="s">
        <v>51</v>
      </c>
      <c r="G435" s="10" t="s">
        <v>42</v>
      </c>
    </row>
    <row r="436" spans="1:7" ht="12.75" x14ac:dyDescent="0.2">
      <c r="A436" s="37"/>
      <c r="B436" s="9" t="s">
        <v>774</v>
      </c>
      <c r="C436" s="9" t="s">
        <v>785</v>
      </c>
      <c r="D436" s="9" t="s">
        <v>39</v>
      </c>
      <c r="E436" s="9" t="s">
        <v>46</v>
      </c>
      <c r="F436" s="9" t="s">
        <v>51</v>
      </c>
      <c r="G436" s="10" t="s">
        <v>42</v>
      </c>
    </row>
    <row r="437" spans="1:7" ht="12.75" x14ac:dyDescent="0.2">
      <c r="A437" s="39"/>
      <c r="B437" s="9" t="s">
        <v>774</v>
      </c>
      <c r="C437" s="9" t="s">
        <v>941</v>
      </c>
      <c r="D437" s="9" t="s">
        <v>39</v>
      </c>
      <c r="E437" s="9" t="s">
        <v>46</v>
      </c>
      <c r="F437" s="9" t="s">
        <v>51</v>
      </c>
      <c r="G437" s="10" t="s">
        <v>42</v>
      </c>
    </row>
    <row r="438" spans="1:7" ht="12.75" x14ac:dyDescent="0.2">
      <c r="A438" s="37"/>
      <c r="B438" s="9" t="s">
        <v>774</v>
      </c>
      <c r="C438" s="9" t="s">
        <v>942</v>
      </c>
      <c r="D438" s="9" t="s">
        <v>39</v>
      </c>
      <c r="E438" s="9" t="s">
        <v>46</v>
      </c>
      <c r="F438" s="9" t="s">
        <v>51</v>
      </c>
      <c r="G438" s="10" t="s">
        <v>42</v>
      </c>
    </row>
    <row r="439" spans="1:7" ht="12.75" x14ac:dyDescent="0.2">
      <c r="A439" s="39"/>
      <c r="B439" s="9" t="s">
        <v>774</v>
      </c>
      <c r="C439" s="9" t="s">
        <v>789</v>
      </c>
      <c r="D439" s="9" t="s">
        <v>39</v>
      </c>
      <c r="E439" s="9" t="s">
        <v>46</v>
      </c>
      <c r="F439" s="9" t="s">
        <v>51</v>
      </c>
      <c r="G439" s="10" t="s">
        <v>42</v>
      </c>
    </row>
    <row r="440" spans="1:7" ht="12.75" x14ac:dyDescent="0.2">
      <c r="A440" s="37"/>
      <c r="B440" s="9" t="s">
        <v>774</v>
      </c>
      <c r="C440" s="9" t="s">
        <v>943</v>
      </c>
      <c r="D440" s="9" t="s">
        <v>39</v>
      </c>
      <c r="E440" s="9" t="s">
        <v>46</v>
      </c>
      <c r="F440" s="9" t="s">
        <v>51</v>
      </c>
      <c r="G440" s="10" t="s">
        <v>42</v>
      </c>
    </row>
    <row r="441" spans="1:7" ht="12.75" x14ac:dyDescent="0.2">
      <c r="A441" s="39"/>
      <c r="B441" s="9" t="s">
        <v>774</v>
      </c>
      <c r="C441" s="9" t="s">
        <v>944</v>
      </c>
      <c r="D441" s="9" t="s">
        <v>39</v>
      </c>
      <c r="E441" s="9" t="s">
        <v>46</v>
      </c>
      <c r="F441" s="9" t="s">
        <v>51</v>
      </c>
      <c r="G441" s="10" t="s">
        <v>42</v>
      </c>
    </row>
    <row r="442" spans="1:7" ht="12.75" x14ac:dyDescent="0.2">
      <c r="A442" s="37"/>
      <c r="B442" s="9" t="s">
        <v>774</v>
      </c>
      <c r="C442" s="9" t="s">
        <v>847</v>
      </c>
      <c r="D442" s="9" t="s">
        <v>39</v>
      </c>
      <c r="E442" s="9" t="s">
        <v>46</v>
      </c>
      <c r="F442" s="9" t="s">
        <v>51</v>
      </c>
      <c r="G442" s="10" t="s">
        <v>42</v>
      </c>
    </row>
    <row r="443" spans="1:7" ht="12.75" x14ac:dyDescent="0.2">
      <c r="A443" s="39"/>
      <c r="B443" s="9" t="s">
        <v>774</v>
      </c>
      <c r="C443" s="9" t="s">
        <v>882</v>
      </c>
      <c r="D443" s="9" t="s">
        <v>39</v>
      </c>
      <c r="E443" s="9" t="s">
        <v>46</v>
      </c>
      <c r="F443" s="9" t="s">
        <v>51</v>
      </c>
      <c r="G443" s="10" t="s">
        <v>42</v>
      </c>
    </row>
    <row r="444" spans="1:7" ht="12.75" x14ac:dyDescent="0.2">
      <c r="A444" s="37"/>
      <c r="B444" s="9" t="s">
        <v>774</v>
      </c>
      <c r="C444" s="9" t="s">
        <v>803</v>
      </c>
      <c r="D444" s="9" t="s">
        <v>39</v>
      </c>
      <c r="E444" s="9" t="s">
        <v>46</v>
      </c>
      <c r="F444" s="9" t="s">
        <v>47</v>
      </c>
      <c r="G444" s="10" t="s">
        <v>42</v>
      </c>
    </row>
    <row r="445" spans="1:7" ht="12.75" x14ac:dyDescent="0.2">
      <c r="A445" s="39"/>
      <c r="B445" s="9" t="s">
        <v>774</v>
      </c>
      <c r="C445" s="9" t="s">
        <v>945</v>
      </c>
      <c r="D445" s="9" t="s">
        <v>39</v>
      </c>
      <c r="E445" s="9" t="s">
        <v>46</v>
      </c>
      <c r="F445" s="9" t="s">
        <v>51</v>
      </c>
      <c r="G445" s="10" t="s">
        <v>42</v>
      </c>
    </row>
    <row r="446" spans="1:7" ht="12.75" x14ac:dyDescent="0.2">
      <c r="A446" s="37"/>
      <c r="B446" s="9" t="s">
        <v>774</v>
      </c>
      <c r="C446" s="9" t="s">
        <v>777</v>
      </c>
      <c r="D446" s="9" t="s">
        <v>39</v>
      </c>
      <c r="E446" s="9" t="s">
        <v>46</v>
      </c>
      <c r="F446" s="9" t="s">
        <v>51</v>
      </c>
      <c r="G446" s="10" t="s">
        <v>42</v>
      </c>
    </row>
    <row r="447" spans="1:7" ht="12.75" x14ac:dyDescent="0.2">
      <c r="A447" s="39"/>
      <c r="B447" s="9" t="s">
        <v>774</v>
      </c>
      <c r="C447" s="9" t="s">
        <v>786</v>
      </c>
      <c r="D447" s="9" t="s">
        <v>39</v>
      </c>
      <c r="E447" s="9" t="s">
        <v>46</v>
      </c>
      <c r="F447" s="9" t="s">
        <v>51</v>
      </c>
      <c r="G447" s="10" t="s">
        <v>42</v>
      </c>
    </row>
    <row r="448" spans="1:7" ht="12.75" x14ac:dyDescent="0.2">
      <c r="A448" s="37"/>
      <c r="B448" s="9" t="s">
        <v>774</v>
      </c>
      <c r="C448" s="9" t="s">
        <v>893</v>
      </c>
      <c r="D448" s="9" t="s">
        <v>39</v>
      </c>
      <c r="E448" s="9" t="s">
        <v>46</v>
      </c>
      <c r="F448" s="9" t="s">
        <v>51</v>
      </c>
      <c r="G448" s="10" t="s">
        <v>42</v>
      </c>
    </row>
    <row r="449" spans="1:7" ht="12.75" x14ac:dyDescent="0.2">
      <c r="A449" s="39"/>
      <c r="B449" s="9" t="s">
        <v>774</v>
      </c>
      <c r="C449" s="9" t="s">
        <v>825</v>
      </c>
      <c r="D449" s="9" t="s">
        <v>39</v>
      </c>
      <c r="E449" s="9" t="s">
        <v>46</v>
      </c>
      <c r="F449" s="9" t="s">
        <v>51</v>
      </c>
      <c r="G449" s="10" t="s">
        <v>42</v>
      </c>
    </row>
    <row r="450" spans="1:7" ht="12.75" x14ac:dyDescent="0.2">
      <c r="A450" s="37"/>
      <c r="B450" s="9" t="s">
        <v>774</v>
      </c>
      <c r="C450" s="9" t="s">
        <v>946</v>
      </c>
      <c r="D450" s="9" t="s">
        <v>39</v>
      </c>
      <c r="E450" s="9" t="s">
        <v>46</v>
      </c>
      <c r="F450" s="9" t="s">
        <v>51</v>
      </c>
      <c r="G450" s="10" t="s">
        <v>42</v>
      </c>
    </row>
    <row r="451" spans="1:7" ht="12.75" x14ac:dyDescent="0.2">
      <c r="A451" s="39"/>
      <c r="B451" s="9" t="s">
        <v>774</v>
      </c>
      <c r="C451" s="9" t="s">
        <v>822</v>
      </c>
      <c r="D451" s="9" t="s">
        <v>39</v>
      </c>
      <c r="E451" s="9" t="s">
        <v>46</v>
      </c>
      <c r="F451" s="9" t="s">
        <v>51</v>
      </c>
      <c r="G451" s="10" t="s">
        <v>42</v>
      </c>
    </row>
    <row r="452" spans="1:7" ht="12.75" x14ac:dyDescent="0.2">
      <c r="A452" s="37"/>
      <c r="B452" s="9" t="s">
        <v>774</v>
      </c>
      <c r="C452" s="9" t="s">
        <v>841</v>
      </c>
      <c r="D452" s="9" t="s">
        <v>39</v>
      </c>
      <c r="E452" s="9" t="s">
        <v>46</v>
      </c>
      <c r="F452" s="9" t="s">
        <v>41</v>
      </c>
      <c r="G452" s="10" t="s">
        <v>42</v>
      </c>
    </row>
    <row r="453" spans="1:7" ht="12.75" x14ac:dyDescent="0.2">
      <c r="A453" s="39"/>
      <c r="B453" s="9" t="s">
        <v>774</v>
      </c>
      <c r="C453" s="9" t="s">
        <v>869</v>
      </c>
      <c r="D453" s="9" t="s">
        <v>39</v>
      </c>
      <c r="E453" s="9" t="s">
        <v>46</v>
      </c>
      <c r="F453" s="9" t="s">
        <v>51</v>
      </c>
      <c r="G453" s="10" t="s">
        <v>42</v>
      </c>
    </row>
    <row r="454" spans="1:7" ht="12.75" x14ac:dyDescent="0.2">
      <c r="A454" s="37"/>
      <c r="B454" s="9" t="s">
        <v>774</v>
      </c>
      <c r="C454" s="9" t="s">
        <v>820</v>
      </c>
      <c r="D454" s="9" t="s">
        <v>39</v>
      </c>
      <c r="E454" s="9" t="s">
        <v>46</v>
      </c>
      <c r="F454" s="9" t="s">
        <v>51</v>
      </c>
      <c r="G454" s="10" t="s">
        <v>42</v>
      </c>
    </row>
    <row r="455" spans="1:7" ht="12.75" x14ac:dyDescent="0.2">
      <c r="A455" s="39"/>
      <c r="B455" s="9" t="s">
        <v>774</v>
      </c>
      <c r="C455" s="9" t="s">
        <v>819</v>
      </c>
      <c r="D455" s="9" t="s">
        <v>39</v>
      </c>
      <c r="E455" s="9" t="s">
        <v>46</v>
      </c>
      <c r="F455" s="9" t="s">
        <v>51</v>
      </c>
      <c r="G455" s="10" t="s">
        <v>42</v>
      </c>
    </row>
    <row r="456" spans="1:7" ht="12.75" x14ac:dyDescent="0.2">
      <c r="A456" s="37"/>
      <c r="B456" s="9" t="s">
        <v>774</v>
      </c>
      <c r="C456" s="9" t="s">
        <v>891</v>
      </c>
      <c r="D456" s="9" t="s">
        <v>39</v>
      </c>
      <c r="E456" s="9" t="s">
        <v>46</v>
      </c>
      <c r="F456" s="9" t="s">
        <v>51</v>
      </c>
      <c r="G456" s="10" t="s">
        <v>42</v>
      </c>
    </row>
    <row r="457" spans="1:7" ht="12.75" x14ac:dyDescent="0.2">
      <c r="A457" s="39"/>
      <c r="B457" s="9" t="s">
        <v>774</v>
      </c>
      <c r="C457" s="9" t="s">
        <v>816</v>
      </c>
      <c r="D457" s="9" t="s">
        <v>39</v>
      </c>
      <c r="E457" s="9" t="s">
        <v>46</v>
      </c>
      <c r="F457" s="9" t="s">
        <v>51</v>
      </c>
      <c r="G457" s="10" t="s">
        <v>42</v>
      </c>
    </row>
    <row r="458" spans="1:7" ht="12.75" x14ac:dyDescent="0.2">
      <c r="A458" s="37"/>
      <c r="B458" s="9" t="s">
        <v>774</v>
      </c>
      <c r="C458" s="9" t="s">
        <v>836</v>
      </c>
      <c r="D458" s="9" t="s">
        <v>39</v>
      </c>
      <c r="E458" s="9" t="s">
        <v>46</v>
      </c>
      <c r="F458" s="9" t="s">
        <v>51</v>
      </c>
      <c r="G458" s="10" t="s">
        <v>42</v>
      </c>
    </row>
    <row r="459" spans="1:7" ht="12.75" x14ac:dyDescent="0.2">
      <c r="A459" s="39"/>
      <c r="B459" s="9" t="s">
        <v>774</v>
      </c>
      <c r="C459" s="9" t="s">
        <v>837</v>
      </c>
      <c r="D459" s="9" t="s">
        <v>39</v>
      </c>
      <c r="E459" s="9" t="s">
        <v>46</v>
      </c>
      <c r="F459" s="9" t="s">
        <v>51</v>
      </c>
      <c r="G459" s="10" t="s">
        <v>42</v>
      </c>
    </row>
    <row r="460" spans="1:7" ht="12.75" x14ac:dyDescent="0.2">
      <c r="A460" s="37"/>
      <c r="B460" s="9" t="s">
        <v>774</v>
      </c>
      <c r="C460" s="9" t="s">
        <v>887</v>
      </c>
      <c r="D460" s="9" t="s">
        <v>39</v>
      </c>
      <c r="E460" s="9" t="s">
        <v>46</v>
      </c>
      <c r="F460" s="9" t="s">
        <v>51</v>
      </c>
      <c r="G460" s="10" t="s">
        <v>42</v>
      </c>
    </row>
    <row r="461" spans="1:7" ht="12.75" x14ac:dyDescent="0.2">
      <c r="A461" s="39"/>
      <c r="B461" s="9" t="s">
        <v>774</v>
      </c>
      <c r="C461" s="9" t="s">
        <v>779</v>
      </c>
      <c r="D461" s="9" t="s">
        <v>39</v>
      </c>
      <c r="E461" s="9" t="s">
        <v>46</v>
      </c>
      <c r="F461" s="9" t="s">
        <v>51</v>
      </c>
      <c r="G461" s="10" t="s">
        <v>42</v>
      </c>
    </row>
    <row r="462" spans="1:7" ht="12.75" x14ac:dyDescent="0.2">
      <c r="A462" s="37"/>
      <c r="B462" s="9" t="s">
        <v>774</v>
      </c>
      <c r="C462" s="9" t="s">
        <v>906</v>
      </c>
      <c r="D462" s="9" t="s">
        <v>39</v>
      </c>
      <c r="E462" s="9" t="s">
        <v>46</v>
      </c>
      <c r="F462" s="9" t="s">
        <v>51</v>
      </c>
      <c r="G462" s="10" t="s">
        <v>42</v>
      </c>
    </row>
    <row r="463" spans="1:7" ht="12.75" x14ac:dyDescent="0.2">
      <c r="A463" s="39"/>
      <c r="B463" s="9" t="s">
        <v>774</v>
      </c>
      <c r="C463" s="9" t="s">
        <v>812</v>
      </c>
      <c r="D463" s="9" t="s">
        <v>39</v>
      </c>
      <c r="E463" s="9" t="s">
        <v>46</v>
      </c>
      <c r="F463" s="9" t="s">
        <v>51</v>
      </c>
      <c r="G463" s="10" t="s">
        <v>42</v>
      </c>
    </row>
    <row r="464" spans="1:7" ht="12.75" x14ac:dyDescent="0.2">
      <c r="A464" s="37"/>
      <c r="B464" s="9" t="s">
        <v>774</v>
      </c>
      <c r="C464" s="9" t="s">
        <v>947</v>
      </c>
      <c r="D464" s="9" t="s">
        <v>39</v>
      </c>
      <c r="E464" s="9" t="s">
        <v>46</v>
      </c>
      <c r="F464" s="9" t="s">
        <v>51</v>
      </c>
      <c r="G464" s="10" t="s">
        <v>42</v>
      </c>
    </row>
    <row r="465" spans="1:7" ht="12.75" x14ac:dyDescent="0.2">
      <c r="A465" s="39"/>
      <c r="B465" s="9" t="s">
        <v>774</v>
      </c>
      <c r="C465" s="9" t="s">
        <v>907</v>
      </c>
      <c r="D465" s="9" t="s">
        <v>39</v>
      </c>
      <c r="E465" s="9" t="s">
        <v>46</v>
      </c>
      <c r="F465" s="9" t="s">
        <v>51</v>
      </c>
      <c r="G465" s="10" t="s">
        <v>42</v>
      </c>
    </row>
    <row r="466" spans="1:7" ht="12.75" x14ac:dyDescent="0.2">
      <c r="A466" s="37"/>
      <c r="B466" s="9" t="s">
        <v>774</v>
      </c>
      <c r="C466" s="9" t="s">
        <v>948</v>
      </c>
      <c r="D466" s="9" t="s">
        <v>39</v>
      </c>
      <c r="E466" s="9" t="s">
        <v>46</v>
      </c>
      <c r="F466" s="9" t="s">
        <v>51</v>
      </c>
      <c r="G466" s="10" t="s">
        <v>42</v>
      </c>
    </row>
    <row r="467" spans="1:7" ht="12.75" x14ac:dyDescent="0.2">
      <c r="A467" s="39"/>
      <c r="B467" s="9" t="s">
        <v>774</v>
      </c>
      <c r="C467" s="9" t="s">
        <v>844</v>
      </c>
      <c r="D467" s="9" t="s">
        <v>39</v>
      </c>
      <c r="E467" s="9" t="s">
        <v>46</v>
      </c>
      <c r="F467" s="9" t="s">
        <v>51</v>
      </c>
      <c r="G467" s="10" t="s">
        <v>42</v>
      </c>
    </row>
    <row r="468" spans="1:7" ht="12.75" x14ac:dyDescent="0.2">
      <c r="A468" s="37"/>
      <c r="B468" s="9" t="s">
        <v>774</v>
      </c>
      <c r="C468" s="9" t="s">
        <v>885</v>
      </c>
      <c r="D468" s="9" t="s">
        <v>39</v>
      </c>
      <c r="E468" s="9" t="s">
        <v>46</v>
      </c>
      <c r="F468" s="9" t="s">
        <v>51</v>
      </c>
      <c r="G468" s="10" t="s">
        <v>42</v>
      </c>
    </row>
    <row r="469" spans="1:7" ht="12.75" x14ac:dyDescent="0.2">
      <c r="A469" s="39"/>
      <c r="B469" s="9" t="s">
        <v>774</v>
      </c>
      <c r="C469" s="9" t="s">
        <v>807</v>
      </c>
      <c r="D469" s="9" t="s">
        <v>39</v>
      </c>
      <c r="E469" s="9" t="s">
        <v>46</v>
      </c>
      <c r="F469" s="9" t="s">
        <v>51</v>
      </c>
      <c r="G469" s="10" t="s">
        <v>42</v>
      </c>
    </row>
    <row r="470" spans="1:7" ht="12.75" x14ac:dyDescent="0.2">
      <c r="A470" s="37"/>
      <c r="B470" s="9" t="s">
        <v>774</v>
      </c>
      <c r="C470" s="9" t="s">
        <v>665</v>
      </c>
      <c r="D470" s="9" t="s">
        <v>39</v>
      </c>
      <c r="E470" s="9" t="s">
        <v>46</v>
      </c>
      <c r="F470" s="9" t="s">
        <v>51</v>
      </c>
      <c r="G470" s="10" t="s">
        <v>42</v>
      </c>
    </row>
    <row r="471" spans="1:7" ht="12.75" x14ac:dyDescent="0.2">
      <c r="A471" s="39"/>
      <c r="B471" s="9" t="s">
        <v>774</v>
      </c>
      <c r="C471" s="9" t="s">
        <v>927</v>
      </c>
      <c r="D471" s="9" t="s">
        <v>39</v>
      </c>
      <c r="E471" s="9" t="s">
        <v>46</v>
      </c>
      <c r="F471" s="9" t="s">
        <v>47</v>
      </c>
      <c r="G471" s="10" t="s">
        <v>42</v>
      </c>
    </row>
    <row r="472" spans="1:7" ht="12.75" x14ac:dyDescent="0.2">
      <c r="A472" s="37"/>
      <c r="B472" s="9" t="s">
        <v>774</v>
      </c>
      <c r="C472" s="9" t="s">
        <v>778</v>
      </c>
      <c r="D472" s="9" t="s">
        <v>39</v>
      </c>
      <c r="E472" s="9" t="s">
        <v>46</v>
      </c>
      <c r="F472" s="9" t="s">
        <v>51</v>
      </c>
      <c r="G472" s="10" t="s">
        <v>42</v>
      </c>
    </row>
    <row r="473" spans="1:7" ht="12.75" x14ac:dyDescent="0.2">
      <c r="A473" s="39"/>
      <c r="B473" s="9" t="s">
        <v>774</v>
      </c>
      <c r="C473" s="9" t="s">
        <v>845</v>
      </c>
      <c r="D473" s="9" t="s">
        <v>39</v>
      </c>
      <c r="E473" s="9" t="s">
        <v>46</v>
      </c>
      <c r="F473" s="9" t="s">
        <v>47</v>
      </c>
      <c r="G473" s="10" t="s">
        <v>42</v>
      </c>
    </row>
    <row r="474" spans="1:7" ht="12.75" x14ac:dyDescent="0.2">
      <c r="A474" s="37"/>
      <c r="B474" s="9" t="s">
        <v>774</v>
      </c>
      <c r="C474" s="9" t="s">
        <v>769</v>
      </c>
      <c r="D474" s="9" t="s">
        <v>39</v>
      </c>
      <c r="E474" s="9" t="s">
        <v>46</v>
      </c>
      <c r="F474" s="9" t="s">
        <v>51</v>
      </c>
      <c r="G474" s="10" t="s">
        <v>42</v>
      </c>
    </row>
    <row r="475" spans="1:7" ht="12.75" x14ac:dyDescent="0.2">
      <c r="A475" s="39"/>
      <c r="B475" s="9" t="s">
        <v>774</v>
      </c>
      <c r="C475" s="9" t="s">
        <v>949</v>
      </c>
      <c r="D475" s="9" t="s">
        <v>39</v>
      </c>
      <c r="E475" s="9" t="s">
        <v>46</v>
      </c>
      <c r="F475" s="9" t="s">
        <v>51</v>
      </c>
      <c r="G475" s="10" t="s">
        <v>42</v>
      </c>
    </row>
    <row r="476" spans="1:7" ht="12.75" x14ac:dyDescent="0.2">
      <c r="A476" s="37"/>
      <c r="B476" s="9" t="s">
        <v>774</v>
      </c>
      <c r="C476" s="9" t="s">
        <v>804</v>
      </c>
      <c r="D476" s="9" t="s">
        <v>39</v>
      </c>
      <c r="E476" s="9" t="s">
        <v>46</v>
      </c>
      <c r="F476" s="9" t="s">
        <v>51</v>
      </c>
      <c r="G476" s="10" t="s">
        <v>42</v>
      </c>
    </row>
    <row r="477" spans="1:7" ht="12.75" x14ac:dyDescent="0.2">
      <c r="A477" s="39"/>
      <c r="B477" s="9" t="s">
        <v>774</v>
      </c>
      <c r="C477" s="9" t="s">
        <v>899</v>
      </c>
      <c r="D477" s="9" t="s">
        <v>39</v>
      </c>
      <c r="E477" s="9" t="s">
        <v>46</v>
      </c>
      <c r="F477" s="9" t="s">
        <v>51</v>
      </c>
      <c r="G477" s="10" t="s">
        <v>42</v>
      </c>
    </row>
    <row r="478" spans="1:7" ht="12.75" x14ac:dyDescent="0.2">
      <c r="A478" s="37"/>
      <c r="B478" s="9" t="s">
        <v>774</v>
      </c>
      <c r="C478" s="9" t="s">
        <v>950</v>
      </c>
      <c r="D478" s="9" t="s">
        <v>39</v>
      </c>
      <c r="E478" s="9" t="s">
        <v>46</v>
      </c>
      <c r="F478" s="9" t="s">
        <v>51</v>
      </c>
      <c r="G478" s="10" t="s">
        <v>42</v>
      </c>
    </row>
    <row r="479" spans="1:7" ht="12.75" x14ac:dyDescent="0.2">
      <c r="A479" s="39"/>
      <c r="B479" s="9" t="s">
        <v>774</v>
      </c>
      <c r="C479" s="9" t="s">
        <v>831</v>
      </c>
      <c r="D479" s="9" t="s">
        <v>39</v>
      </c>
      <c r="E479" s="9" t="s">
        <v>46</v>
      </c>
      <c r="F479" s="9" t="s">
        <v>51</v>
      </c>
      <c r="G479" s="10" t="s">
        <v>42</v>
      </c>
    </row>
    <row r="480" spans="1:7" ht="12.75" x14ac:dyDescent="0.2">
      <c r="A480" s="40"/>
      <c r="B480" s="9" t="s">
        <v>774</v>
      </c>
      <c r="C480" s="9" t="s">
        <v>795</v>
      </c>
      <c r="D480" s="9" t="s">
        <v>39</v>
      </c>
      <c r="E480" s="9" t="s">
        <v>46</v>
      </c>
      <c r="F480" s="9" t="s">
        <v>47</v>
      </c>
      <c r="G480" s="10" t="s">
        <v>42</v>
      </c>
    </row>
    <row r="481" spans="1:7" ht="12.75" x14ac:dyDescent="0.2">
      <c r="A481" s="36" t="s">
        <v>32</v>
      </c>
      <c r="B481" s="9" t="s">
        <v>774</v>
      </c>
      <c r="C481" s="9" t="s">
        <v>951</v>
      </c>
      <c r="D481" s="9" t="s">
        <v>39</v>
      </c>
      <c r="E481" s="9" t="s">
        <v>40</v>
      </c>
      <c r="F481" s="9" t="s">
        <v>41</v>
      </c>
      <c r="G481" s="10" t="s">
        <v>42</v>
      </c>
    </row>
    <row r="482" spans="1:7" ht="12.75" x14ac:dyDescent="0.2">
      <c r="A482" s="37"/>
      <c r="B482" s="9" t="s">
        <v>774</v>
      </c>
      <c r="C482" s="9" t="s">
        <v>800</v>
      </c>
      <c r="D482" s="9" t="s">
        <v>39</v>
      </c>
      <c r="E482" s="9" t="s">
        <v>40</v>
      </c>
      <c r="F482" s="9" t="s">
        <v>41</v>
      </c>
      <c r="G482" s="10" t="s">
        <v>42</v>
      </c>
    </row>
    <row r="483" spans="1:7" ht="12.75" x14ac:dyDescent="0.2">
      <c r="A483" s="39"/>
      <c r="B483" s="9" t="s">
        <v>774</v>
      </c>
      <c r="C483" s="9" t="s">
        <v>871</v>
      </c>
      <c r="D483" s="9" t="s">
        <v>39</v>
      </c>
      <c r="E483" s="9" t="s">
        <v>40</v>
      </c>
      <c r="F483" s="9" t="s">
        <v>41</v>
      </c>
      <c r="G483" s="10" t="s">
        <v>42</v>
      </c>
    </row>
    <row r="484" spans="1:7" ht="12.75" x14ac:dyDescent="0.2">
      <c r="A484" s="37"/>
      <c r="B484" s="9" t="s">
        <v>774</v>
      </c>
      <c r="C484" s="9" t="s">
        <v>875</v>
      </c>
      <c r="D484" s="9" t="s">
        <v>39</v>
      </c>
      <c r="E484" s="9" t="s">
        <v>40</v>
      </c>
      <c r="F484" s="9" t="s">
        <v>41</v>
      </c>
      <c r="G484" s="10" t="s">
        <v>42</v>
      </c>
    </row>
    <row r="485" spans="1:7" ht="12.75" x14ac:dyDescent="0.2">
      <c r="A485" s="39"/>
      <c r="B485" s="9" t="s">
        <v>774</v>
      </c>
      <c r="C485" s="9" t="s">
        <v>783</v>
      </c>
      <c r="D485" s="9" t="s">
        <v>39</v>
      </c>
      <c r="E485" s="9" t="s">
        <v>40</v>
      </c>
      <c r="F485" s="9" t="s">
        <v>41</v>
      </c>
      <c r="G485" s="10" t="s">
        <v>42</v>
      </c>
    </row>
    <row r="486" spans="1:7" ht="12.75" x14ac:dyDescent="0.2">
      <c r="A486" s="37"/>
      <c r="B486" s="9" t="s">
        <v>774</v>
      </c>
      <c r="C486" s="9" t="s">
        <v>782</v>
      </c>
      <c r="D486" s="9" t="s">
        <v>39</v>
      </c>
      <c r="E486" s="9" t="s">
        <v>40</v>
      </c>
      <c r="F486" s="9" t="s">
        <v>41</v>
      </c>
      <c r="G486" s="10" t="s">
        <v>42</v>
      </c>
    </row>
    <row r="487" spans="1:7" ht="12.75" x14ac:dyDescent="0.2">
      <c r="A487" s="39"/>
      <c r="B487" s="9" t="s">
        <v>774</v>
      </c>
      <c r="C487" s="9" t="s">
        <v>952</v>
      </c>
      <c r="D487" s="9" t="s">
        <v>39</v>
      </c>
      <c r="E487" s="9" t="s">
        <v>40</v>
      </c>
      <c r="F487" s="9" t="s">
        <v>41</v>
      </c>
      <c r="G487" s="10" t="s">
        <v>42</v>
      </c>
    </row>
    <row r="488" spans="1:7" ht="12.75" x14ac:dyDescent="0.2">
      <c r="A488" s="37"/>
      <c r="B488" s="9" t="s">
        <v>774</v>
      </c>
      <c r="C488" s="9" t="s">
        <v>785</v>
      </c>
      <c r="D488" s="9" t="s">
        <v>39</v>
      </c>
      <c r="E488" s="9" t="s">
        <v>40</v>
      </c>
      <c r="F488" s="9" t="s">
        <v>41</v>
      </c>
      <c r="G488" s="10" t="s">
        <v>42</v>
      </c>
    </row>
    <row r="489" spans="1:7" ht="12.75" x14ac:dyDescent="0.2">
      <c r="A489" s="39"/>
      <c r="B489" s="9" t="s">
        <v>774</v>
      </c>
      <c r="C489" s="9" t="s">
        <v>953</v>
      </c>
      <c r="D489" s="9" t="s">
        <v>39</v>
      </c>
      <c r="E489" s="9" t="s">
        <v>40</v>
      </c>
      <c r="F489" s="9" t="s">
        <v>41</v>
      </c>
      <c r="G489" s="10" t="s">
        <v>42</v>
      </c>
    </row>
    <row r="490" spans="1:7" ht="12.75" x14ac:dyDescent="0.2">
      <c r="A490" s="37"/>
      <c r="B490" s="9" t="s">
        <v>774</v>
      </c>
      <c r="C490" s="9" t="s">
        <v>954</v>
      </c>
      <c r="D490" s="9" t="s">
        <v>39</v>
      </c>
      <c r="E490" s="9" t="s">
        <v>40</v>
      </c>
      <c r="F490" s="9" t="s">
        <v>41</v>
      </c>
      <c r="G490" s="10" t="s">
        <v>42</v>
      </c>
    </row>
    <row r="491" spans="1:7" ht="12.75" x14ac:dyDescent="0.2">
      <c r="A491" s="39"/>
      <c r="B491" s="9" t="s">
        <v>774</v>
      </c>
      <c r="C491" s="9" t="s">
        <v>942</v>
      </c>
      <c r="D491" s="9" t="s">
        <v>39</v>
      </c>
      <c r="E491" s="9" t="s">
        <v>40</v>
      </c>
      <c r="F491" s="9" t="s">
        <v>41</v>
      </c>
      <c r="G491" s="10" t="s">
        <v>42</v>
      </c>
    </row>
    <row r="492" spans="1:7" ht="12.75" x14ac:dyDescent="0.2">
      <c r="A492" s="37"/>
      <c r="B492" s="9" t="s">
        <v>774</v>
      </c>
      <c r="C492" s="9" t="s">
        <v>789</v>
      </c>
      <c r="D492" s="9" t="s">
        <v>39</v>
      </c>
      <c r="E492" s="9" t="s">
        <v>40</v>
      </c>
      <c r="F492" s="9" t="s">
        <v>41</v>
      </c>
      <c r="G492" s="10" t="s">
        <v>42</v>
      </c>
    </row>
    <row r="493" spans="1:7" ht="12.75" x14ac:dyDescent="0.2">
      <c r="A493" s="39"/>
      <c r="B493" s="9" t="s">
        <v>774</v>
      </c>
      <c r="C493" s="9" t="s">
        <v>845</v>
      </c>
      <c r="D493" s="9" t="s">
        <v>39</v>
      </c>
      <c r="E493" s="9" t="s">
        <v>40</v>
      </c>
      <c r="F493" s="9" t="s">
        <v>41</v>
      </c>
      <c r="G493" s="10" t="s">
        <v>42</v>
      </c>
    </row>
    <row r="494" spans="1:7" ht="12.75" x14ac:dyDescent="0.2">
      <c r="A494" s="37"/>
      <c r="B494" s="9" t="s">
        <v>774</v>
      </c>
      <c r="C494" s="9" t="s">
        <v>944</v>
      </c>
      <c r="D494" s="9" t="s">
        <v>39</v>
      </c>
      <c r="E494" s="9" t="s">
        <v>40</v>
      </c>
      <c r="F494" s="9" t="s">
        <v>41</v>
      </c>
      <c r="G494" s="10" t="s">
        <v>42</v>
      </c>
    </row>
    <row r="495" spans="1:7" ht="12.75" x14ac:dyDescent="0.2">
      <c r="A495" s="39"/>
      <c r="B495" s="9" t="s">
        <v>774</v>
      </c>
      <c r="C495" s="9" t="s">
        <v>847</v>
      </c>
      <c r="D495" s="9" t="s">
        <v>39</v>
      </c>
      <c r="E495" s="9" t="s">
        <v>40</v>
      </c>
      <c r="F495" s="9" t="s">
        <v>41</v>
      </c>
      <c r="G495" s="10" t="s">
        <v>42</v>
      </c>
    </row>
    <row r="496" spans="1:7" ht="12.75" x14ac:dyDescent="0.2">
      <c r="A496" s="37"/>
      <c r="B496" s="9" t="s">
        <v>774</v>
      </c>
      <c r="C496" s="9" t="s">
        <v>831</v>
      </c>
      <c r="D496" s="9" t="s">
        <v>39</v>
      </c>
      <c r="E496" s="9" t="s">
        <v>40</v>
      </c>
      <c r="F496" s="9" t="s">
        <v>41</v>
      </c>
      <c r="G496" s="10" t="s">
        <v>42</v>
      </c>
    </row>
    <row r="497" spans="1:7" ht="12.75" x14ac:dyDescent="0.2">
      <c r="A497" s="39"/>
      <c r="B497" s="9" t="s">
        <v>774</v>
      </c>
      <c r="C497" s="9" t="s">
        <v>955</v>
      </c>
      <c r="D497" s="9" t="s">
        <v>39</v>
      </c>
      <c r="E497" s="9" t="s">
        <v>40</v>
      </c>
      <c r="F497" s="9" t="s">
        <v>41</v>
      </c>
      <c r="G497" s="10" t="s">
        <v>42</v>
      </c>
    </row>
    <row r="498" spans="1:7" ht="12.75" x14ac:dyDescent="0.2">
      <c r="A498" s="37"/>
      <c r="B498" s="9" t="s">
        <v>774</v>
      </c>
      <c r="C498" s="9" t="s">
        <v>899</v>
      </c>
      <c r="D498" s="9" t="s">
        <v>39</v>
      </c>
      <c r="E498" s="9" t="s">
        <v>40</v>
      </c>
      <c r="F498" s="9" t="s">
        <v>41</v>
      </c>
      <c r="G498" s="10" t="s">
        <v>42</v>
      </c>
    </row>
    <row r="499" spans="1:7" ht="12.75" x14ac:dyDescent="0.2">
      <c r="A499" s="39"/>
      <c r="B499" s="9" t="s">
        <v>774</v>
      </c>
      <c r="C499" s="9" t="s">
        <v>804</v>
      </c>
      <c r="D499" s="9" t="s">
        <v>39</v>
      </c>
      <c r="E499" s="9" t="s">
        <v>40</v>
      </c>
      <c r="F499" s="9" t="s">
        <v>41</v>
      </c>
      <c r="G499" s="10" t="s">
        <v>42</v>
      </c>
    </row>
    <row r="500" spans="1:7" ht="12.75" x14ac:dyDescent="0.2">
      <c r="A500" s="37"/>
      <c r="B500" s="9" t="s">
        <v>774</v>
      </c>
      <c r="C500" s="9" t="s">
        <v>805</v>
      </c>
      <c r="D500" s="9" t="s">
        <v>39</v>
      </c>
      <c r="E500" s="9" t="s">
        <v>40</v>
      </c>
      <c r="F500" s="9" t="s">
        <v>41</v>
      </c>
      <c r="G500" s="10" t="s">
        <v>42</v>
      </c>
    </row>
    <row r="501" spans="1:7" ht="12.75" x14ac:dyDescent="0.2">
      <c r="A501" s="39"/>
      <c r="B501" s="9" t="s">
        <v>774</v>
      </c>
      <c r="C501" s="9" t="s">
        <v>769</v>
      </c>
      <c r="D501" s="9" t="s">
        <v>39</v>
      </c>
      <c r="E501" s="9" t="s">
        <v>40</v>
      </c>
      <c r="F501" s="9" t="s">
        <v>41</v>
      </c>
      <c r="G501" s="10" t="s">
        <v>42</v>
      </c>
    </row>
    <row r="502" spans="1:7" ht="12.75" x14ac:dyDescent="0.2">
      <c r="A502" s="37"/>
      <c r="B502" s="9" t="s">
        <v>774</v>
      </c>
      <c r="C502" s="9" t="s">
        <v>778</v>
      </c>
      <c r="D502" s="9" t="s">
        <v>39</v>
      </c>
      <c r="E502" s="9" t="s">
        <v>40</v>
      </c>
      <c r="F502" s="9" t="s">
        <v>41</v>
      </c>
      <c r="G502" s="10" t="s">
        <v>42</v>
      </c>
    </row>
    <row r="503" spans="1:7" ht="12.75" x14ac:dyDescent="0.2">
      <c r="A503" s="39"/>
      <c r="B503" s="9" t="s">
        <v>774</v>
      </c>
      <c r="C503" s="9" t="s">
        <v>665</v>
      </c>
      <c r="D503" s="9" t="s">
        <v>39</v>
      </c>
      <c r="E503" s="9" t="s">
        <v>40</v>
      </c>
      <c r="F503" s="9" t="s">
        <v>41</v>
      </c>
      <c r="G503" s="10" t="s">
        <v>42</v>
      </c>
    </row>
    <row r="504" spans="1:7" ht="12.75" x14ac:dyDescent="0.2">
      <c r="A504" s="37"/>
      <c r="B504" s="9" t="s">
        <v>774</v>
      </c>
      <c r="C504" s="9" t="s">
        <v>807</v>
      </c>
      <c r="D504" s="9" t="s">
        <v>39</v>
      </c>
      <c r="E504" s="9" t="s">
        <v>40</v>
      </c>
      <c r="F504" s="9" t="s">
        <v>41</v>
      </c>
      <c r="G504" s="10" t="s">
        <v>42</v>
      </c>
    </row>
    <row r="505" spans="1:7" ht="12.75" x14ac:dyDescent="0.2">
      <c r="A505" s="39"/>
      <c r="B505" s="9" t="s">
        <v>774</v>
      </c>
      <c r="C505" s="9" t="s">
        <v>867</v>
      </c>
      <c r="D505" s="9" t="s">
        <v>39</v>
      </c>
      <c r="E505" s="9" t="s">
        <v>40</v>
      </c>
      <c r="F505" s="9" t="s">
        <v>41</v>
      </c>
      <c r="G505" s="10" t="s">
        <v>42</v>
      </c>
    </row>
    <row r="506" spans="1:7" ht="12.75" x14ac:dyDescent="0.2">
      <c r="A506" s="37"/>
      <c r="B506" s="9" t="s">
        <v>774</v>
      </c>
      <c r="C506" s="9" t="s">
        <v>844</v>
      </c>
      <c r="D506" s="9" t="s">
        <v>39</v>
      </c>
      <c r="E506" s="9" t="s">
        <v>40</v>
      </c>
      <c r="F506" s="9" t="s">
        <v>41</v>
      </c>
      <c r="G506" s="10" t="s">
        <v>42</v>
      </c>
    </row>
    <row r="507" spans="1:7" ht="12.75" x14ac:dyDescent="0.2">
      <c r="A507" s="39"/>
      <c r="B507" s="9" t="s">
        <v>774</v>
      </c>
      <c r="C507" s="9" t="s">
        <v>843</v>
      </c>
      <c r="D507" s="9" t="s">
        <v>39</v>
      </c>
      <c r="E507" s="9" t="s">
        <v>40</v>
      </c>
      <c r="F507" s="9" t="s">
        <v>41</v>
      </c>
      <c r="G507" s="10" t="s">
        <v>42</v>
      </c>
    </row>
    <row r="508" spans="1:7" ht="12.75" x14ac:dyDescent="0.2">
      <c r="A508" s="37"/>
      <c r="B508" s="9" t="s">
        <v>774</v>
      </c>
      <c r="C508" s="9" t="s">
        <v>907</v>
      </c>
      <c r="D508" s="9" t="s">
        <v>39</v>
      </c>
      <c r="E508" s="9" t="s">
        <v>40</v>
      </c>
      <c r="F508" s="9" t="s">
        <v>41</v>
      </c>
      <c r="G508" s="10" t="s">
        <v>42</v>
      </c>
    </row>
    <row r="509" spans="1:7" ht="12.75" x14ac:dyDescent="0.2">
      <c r="A509" s="39"/>
      <c r="B509" s="9" t="s">
        <v>774</v>
      </c>
      <c r="C509" s="9" t="s">
        <v>956</v>
      </c>
      <c r="D509" s="9" t="s">
        <v>39</v>
      </c>
      <c r="E509" s="9" t="s">
        <v>40</v>
      </c>
      <c r="F509" s="9" t="s">
        <v>41</v>
      </c>
      <c r="G509" s="10" t="s">
        <v>42</v>
      </c>
    </row>
    <row r="510" spans="1:7" ht="12.75" x14ac:dyDescent="0.2">
      <c r="A510" s="37"/>
      <c r="B510" s="9" t="s">
        <v>774</v>
      </c>
      <c r="C510" s="9" t="s">
        <v>957</v>
      </c>
      <c r="D510" s="9" t="s">
        <v>39</v>
      </c>
      <c r="E510" s="9" t="s">
        <v>40</v>
      </c>
      <c r="F510" s="9" t="s">
        <v>41</v>
      </c>
      <c r="G510" s="10" t="s">
        <v>42</v>
      </c>
    </row>
    <row r="511" spans="1:7" ht="12.75" x14ac:dyDescent="0.2">
      <c r="A511" s="39"/>
      <c r="B511" s="9" t="s">
        <v>774</v>
      </c>
      <c r="C511" s="9" t="s">
        <v>812</v>
      </c>
      <c r="D511" s="9" t="s">
        <v>39</v>
      </c>
      <c r="E511" s="9" t="s">
        <v>40</v>
      </c>
      <c r="F511" s="9" t="s">
        <v>41</v>
      </c>
      <c r="G511" s="10" t="s">
        <v>42</v>
      </c>
    </row>
    <row r="512" spans="1:7" ht="12.75" x14ac:dyDescent="0.2">
      <c r="A512" s="37"/>
      <c r="B512" s="9" t="s">
        <v>774</v>
      </c>
      <c r="C512" s="9" t="s">
        <v>906</v>
      </c>
      <c r="D512" s="9" t="s">
        <v>39</v>
      </c>
      <c r="E512" s="9" t="s">
        <v>40</v>
      </c>
      <c r="F512" s="9" t="s">
        <v>41</v>
      </c>
      <c r="G512" s="10" t="s">
        <v>42</v>
      </c>
    </row>
    <row r="513" spans="1:7" ht="12.75" x14ac:dyDescent="0.2">
      <c r="A513" s="39"/>
      <c r="B513" s="9" t="s">
        <v>774</v>
      </c>
      <c r="C513" s="9" t="s">
        <v>779</v>
      </c>
      <c r="D513" s="9" t="s">
        <v>39</v>
      </c>
      <c r="E513" s="9" t="s">
        <v>40</v>
      </c>
      <c r="F513" s="9" t="s">
        <v>41</v>
      </c>
      <c r="G513" s="10" t="s">
        <v>42</v>
      </c>
    </row>
    <row r="514" spans="1:7" ht="12.75" x14ac:dyDescent="0.2">
      <c r="A514" s="37"/>
      <c r="B514" s="9" t="s">
        <v>774</v>
      </c>
      <c r="C514" s="9" t="s">
        <v>887</v>
      </c>
      <c r="D514" s="9" t="s">
        <v>39</v>
      </c>
      <c r="E514" s="9" t="s">
        <v>40</v>
      </c>
      <c r="F514" s="9" t="s">
        <v>41</v>
      </c>
      <c r="G514" s="10" t="s">
        <v>42</v>
      </c>
    </row>
    <row r="515" spans="1:7" ht="12.75" x14ac:dyDescent="0.2">
      <c r="A515" s="39"/>
      <c r="B515" s="9" t="s">
        <v>774</v>
      </c>
      <c r="C515" s="9" t="s">
        <v>837</v>
      </c>
      <c r="D515" s="9" t="s">
        <v>39</v>
      </c>
      <c r="E515" s="9" t="s">
        <v>40</v>
      </c>
      <c r="F515" s="9" t="s">
        <v>41</v>
      </c>
      <c r="G515" s="10" t="s">
        <v>42</v>
      </c>
    </row>
    <row r="516" spans="1:7" ht="12.75" x14ac:dyDescent="0.2">
      <c r="A516" s="37"/>
      <c r="B516" s="9" t="s">
        <v>774</v>
      </c>
      <c r="C516" s="9" t="s">
        <v>836</v>
      </c>
      <c r="D516" s="9" t="s">
        <v>39</v>
      </c>
      <c r="E516" s="9" t="s">
        <v>40</v>
      </c>
      <c r="F516" s="9" t="s">
        <v>41</v>
      </c>
      <c r="G516" s="10" t="s">
        <v>42</v>
      </c>
    </row>
    <row r="517" spans="1:7" ht="12.75" x14ac:dyDescent="0.2">
      <c r="A517" s="39"/>
      <c r="B517" s="9" t="s">
        <v>774</v>
      </c>
      <c r="C517" s="9" t="s">
        <v>813</v>
      </c>
      <c r="D517" s="9" t="s">
        <v>39</v>
      </c>
      <c r="E517" s="9" t="s">
        <v>40</v>
      </c>
      <c r="F517" s="9" t="s">
        <v>41</v>
      </c>
      <c r="G517" s="10" t="s">
        <v>42</v>
      </c>
    </row>
    <row r="518" spans="1:7" ht="12.75" x14ac:dyDescent="0.2">
      <c r="A518" s="37"/>
      <c r="B518" s="9" t="s">
        <v>774</v>
      </c>
      <c r="C518" s="9" t="s">
        <v>889</v>
      </c>
      <c r="D518" s="9" t="s">
        <v>39</v>
      </c>
      <c r="E518" s="9" t="s">
        <v>40</v>
      </c>
      <c r="F518" s="9" t="s">
        <v>41</v>
      </c>
      <c r="G518" s="10" t="s">
        <v>42</v>
      </c>
    </row>
    <row r="519" spans="1:7" ht="12.75" x14ac:dyDescent="0.2">
      <c r="A519" s="39"/>
      <c r="B519" s="9" t="s">
        <v>774</v>
      </c>
      <c r="C519" s="9" t="s">
        <v>816</v>
      </c>
      <c r="D519" s="9" t="s">
        <v>39</v>
      </c>
      <c r="E519" s="9" t="s">
        <v>40</v>
      </c>
      <c r="F519" s="9" t="s">
        <v>41</v>
      </c>
      <c r="G519" s="10" t="s">
        <v>42</v>
      </c>
    </row>
    <row r="520" spans="1:7" ht="12.75" x14ac:dyDescent="0.2">
      <c r="A520" s="37"/>
      <c r="B520" s="9" t="s">
        <v>774</v>
      </c>
      <c r="C520" s="9" t="s">
        <v>819</v>
      </c>
      <c r="D520" s="9" t="s">
        <v>39</v>
      </c>
      <c r="E520" s="9" t="s">
        <v>40</v>
      </c>
      <c r="F520" s="9" t="s">
        <v>41</v>
      </c>
      <c r="G520" s="10" t="s">
        <v>42</v>
      </c>
    </row>
    <row r="521" spans="1:7" ht="12.75" x14ac:dyDescent="0.2">
      <c r="A521" s="39"/>
      <c r="B521" s="9" t="s">
        <v>774</v>
      </c>
      <c r="C521" s="9" t="s">
        <v>820</v>
      </c>
      <c r="D521" s="9" t="s">
        <v>39</v>
      </c>
      <c r="E521" s="9" t="s">
        <v>40</v>
      </c>
      <c r="F521" s="9" t="s">
        <v>41</v>
      </c>
      <c r="G521" s="10" t="s">
        <v>42</v>
      </c>
    </row>
    <row r="522" spans="1:7" ht="12.75" x14ac:dyDescent="0.2">
      <c r="A522" s="37"/>
      <c r="B522" s="9" t="s">
        <v>774</v>
      </c>
      <c r="C522" s="9" t="s">
        <v>903</v>
      </c>
      <c r="D522" s="9" t="s">
        <v>39</v>
      </c>
      <c r="E522" s="9" t="s">
        <v>40</v>
      </c>
      <c r="F522" s="9" t="s">
        <v>41</v>
      </c>
      <c r="G522" s="10" t="s">
        <v>42</v>
      </c>
    </row>
    <row r="523" spans="1:7" ht="12.75" x14ac:dyDescent="0.2">
      <c r="A523" s="39"/>
      <c r="B523" s="9" t="s">
        <v>774</v>
      </c>
      <c r="C523" s="9" t="s">
        <v>869</v>
      </c>
      <c r="D523" s="9" t="s">
        <v>39</v>
      </c>
      <c r="E523" s="9" t="s">
        <v>40</v>
      </c>
      <c r="F523" s="9" t="s">
        <v>41</v>
      </c>
      <c r="G523" s="10" t="s">
        <v>42</v>
      </c>
    </row>
    <row r="524" spans="1:7" ht="12.75" x14ac:dyDescent="0.2">
      <c r="A524" s="37"/>
      <c r="B524" s="9" t="s">
        <v>774</v>
      </c>
      <c r="C524" s="9" t="s">
        <v>822</v>
      </c>
      <c r="D524" s="9" t="s">
        <v>39</v>
      </c>
      <c r="E524" s="9" t="s">
        <v>40</v>
      </c>
      <c r="F524" s="9" t="s">
        <v>41</v>
      </c>
      <c r="G524" s="10" t="s">
        <v>42</v>
      </c>
    </row>
    <row r="525" spans="1:7" ht="12.75" x14ac:dyDescent="0.2">
      <c r="A525" s="39"/>
      <c r="B525" s="9" t="s">
        <v>774</v>
      </c>
      <c r="C525" s="9" t="s">
        <v>824</v>
      </c>
      <c r="D525" s="9" t="s">
        <v>39</v>
      </c>
      <c r="E525" s="9" t="s">
        <v>40</v>
      </c>
      <c r="F525" s="9" t="s">
        <v>41</v>
      </c>
      <c r="G525" s="10" t="s">
        <v>42</v>
      </c>
    </row>
    <row r="526" spans="1:7" ht="12.75" x14ac:dyDescent="0.2">
      <c r="A526" s="37"/>
      <c r="B526" s="9" t="s">
        <v>774</v>
      </c>
      <c r="C526" s="9" t="s">
        <v>825</v>
      </c>
      <c r="D526" s="9" t="s">
        <v>39</v>
      </c>
      <c r="E526" s="9" t="s">
        <v>40</v>
      </c>
      <c r="F526" s="9" t="s">
        <v>41</v>
      </c>
      <c r="G526" s="10" t="s">
        <v>42</v>
      </c>
    </row>
    <row r="527" spans="1:7" ht="12.75" x14ac:dyDescent="0.2">
      <c r="A527" s="39"/>
      <c r="B527" s="9" t="s">
        <v>774</v>
      </c>
      <c r="C527" s="9" t="s">
        <v>893</v>
      </c>
      <c r="D527" s="9" t="s">
        <v>39</v>
      </c>
      <c r="E527" s="9" t="s">
        <v>40</v>
      </c>
      <c r="F527" s="9" t="s">
        <v>41</v>
      </c>
      <c r="G527" s="10" t="s">
        <v>42</v>
      </c>
    </row>
    <row r="528" spans="1:7" ht="12.75" x14ac:dyDescent="0.2">
      <c r="A528" s="37"/>
      <c r="B528" s="9" t="s">
        <v>774</v>
      </c>
      <c r="C528" s="9" t="s">
        <v>786</v>
      </c>
      <c r="D528" s="9" t="s">
        <v>39</v>
      </c>
      <c r="E528" s="9" t="s">
        <v>40</v>
      </c>
      <c r="F528" s="9" t="s">
        <v>41</v>
      </c>
      <c r="G528" s="10" t="s">
        <v>42</v>
      </c>
    </row>
    <row r="529" spans="1:7" ht="12.75" x14ac:dyDescent="0.2">
      <c r="A529" s="39"/>
      <c r="B529" s="9" t="s">
        <v>774</v>
      </c>
      <c r="C529" s="9" t="s">
        <v>958</v>
      </c>
      <c r="D529" s="9" t="s">
        <v>39</v>
      </c>
      <c r="E529" s="9" t="s">
        <v>40</v>
      </c>
      <c r="F529" s="9" t="s">
        <v>41</v>
      </c>
      <c r="G529" s="10" t="s">
        <v>42</v>
      </c>
    </row>
    <row r="530" spans="1:7" ht="12.75" x14ac:dyDescent="0.2">
      <c r="A530" s="37"/>
      <c r="B530" s="9" t="s">
        <v>774</v>
      </c>
      <c r="C530" s="9" t="s">
        <v>777</v>
      </c>
      <c r="D530" s="9" t="s">
        <v>39</v>
      </c>
      <c r="E530" s="9" t="s">
        <v>40</v>
      </c>
      <c r="F530" s="9" t="s">
        <v>41</v>
      </c>
      <c r="G530" s="10" t="s">
        <v>42</v>
      </c>
    </row>
    <row r="531" spans="1:7" ht="12.75" x14ac:dyDescent="0.2">
      <c r="A531" s="39"/>
      <c r="B531" s="9" t="s">
        <v>774</v>
      </c>
      <c r="C531" s="9" t="s">
        <v>945</v>
      </c>
      <c r="D531" s="9" t="s">
        <v>39</v>
      </c>
      <c r="E531" s="9" t="s">
        <v>40</v>
      </c>
      <c r="F531" s="9" t="s">
        <v>41</v>
      </c>
      <c r="G531" s="10" t="s">
        <v>42</v>
      </c>
    </row>
    <row r="532" spans="1:7" ht="12.75" x14ac:dyDescent="0.2">
      <c r="A532" s="40"/>
      <c r="B532" s="9" t="s">
        <v>774</v>
      </c>
      <c r="C532" s="9" t="s">
        <v>882</v>
      </c>
      <c r="D532" s="9" t="s">
        <v>39</v>
      </c>
      <c r="E532" s="9" t="s">
        <v>40</v>
      </c>
      <c r="F532" s="9" t="s">
        <v>41</v>
      </c>
      <c r="G532" s="10" t="s">
        <v>42</v>
      </c>
    </row>
    <row r="533" spans="1:7" ht="12.75" x14ac:dyDescent="0.2">
      <c r="A533" s="36" t="s">
        <v>33</v>
      </c>
      <c r="B533" s="9" t="s">
        <v>774</v>
      </c>
      <c r="C533" s="9" t="s">
        <v>798</v>
      </c>
      <c r="D533" s="9" t="s">
        <v>94</v>
      </c>
      <c r="E533" s="9" t="s">
        <v>46</v>
      </c>
      <c r="F533" s="9" t="s">
        <v>51</v>
      </c>
      <c r="G533" s="10" t="s">
        <v>42</v>
      </c>
    </row>
    <row r="534" spans="1:7" ht="12.75" x14ac:dyDescent="0.2">
      <c r="A534" s="37"/>
      <c r="B534" s="9" t="s">
        <v>774</v>
      </c>
      <c r="C534" s="9" t="s">
        <v>959</v>
      </c>
      <c r="D534" s="9" t="s">
        <v>39</v>
      </c>
      <c r="E534" s="9" t="s">
        <v>46</v>
      </c>
      <c r="F534" s="9" t="s">
        <v>51</v>
      </c>
      <c r="G534" s="10" t="s">
        <v>42</v>
      </c>
    </row>
    <row r="535" spans="1:7" ht="12.75" x14ac:dyDescent="0.2">
      <c r="A535" s="39"/>
      <c r="B535" s="9" t="s">
        <v>774</v>
      </c>
      <c r="C535" s="9" t="s">
        <v>875</v>
      </c>
      <c r="D535" s="9" t="s">
        <v>39</v>
      </c>
      <c r="E535" s="9" t="s">
        <v>46</v>
      </c>
      <c r="F535" s="9" t="s">
        <v>51</v>
      </c>
      <c r="G535" s="10" t="s">
        <v>42</v>
      </c>
    </row>
    <row r="536" spans="1:7" ht="12.75" x14ac:dyDescent="0.2">
      <c r="A536" s="37"/>
      <c r="B536" s="9" t="s">
        <v>774</v>
      </c>
      <c r="C536" s="9" t="s">
        <v>783</v>
      </c>
      <c r="D536" s="9" t="s">
        <v>39</v>
      </c>
      <c r="E536" s="9" t="s">
        <v>46</v>
      </c>
      <c r="F536" s="9" t="s">
        <v>51</v>
      </c>
      <c r="G536" s="10" t="s">
        <v>42</v>
      </c>
    </row>
    <row r="537" spans="1:7" ht="12.75" x14ac:dyDescent="0.2">
      <c r="A537" s="39"/>
      <c r="B537" s="9" t="s">
        <v>774</v>
      </c>
      <c r="C537" s="9" t="s">
        <v>782</v>
      </c>
      <c r="D537" s="9" t="s">
        <v>39</v>
      </c>
      <c r="E537" s="9" t="s">
        <v>46</v>
      </c>
      <c r="F537" s="9" t="s">
        <v>51</v>
      </c>
      <c r="G537" s="10" t="s">
        <v>42</v>
      </c>
    </row>
    <row r="538" spans="1:7" ht="12.75" x14ac:dyDescent="0.2">
      <c r="A538" s="37"/>
      <c r="B538" s="9" t="s">
        <v>774</v>
      </c>
      <c r="C538" s="9" t="s">
        <v>952</v>
      </c>
      <c r="D538" s="9" t="s">
        <v>39</v>
      </c>
      <c r="E538" s="9" t="s">
        <v>46</v>
      </c>
      <c r="F538" s="9" t="s">
        <v>51</v>
      </c>
      <c r="G538" s="10" t="s">
        <v>42</v>
      </c>
    </row>
    <row r="539" spans="1:7" ht="12.75" x14ac:dyDescent="0.2">
      <c r="A539" s="39"/>
      <c r="B539" s="9" t="s">
        <v>774</v>
      </c>
      <c r="C539" s="9" t="s">
        <v>960</v>
      </c>
      <c r="D539" s="9" t="s">
        <v>39</v>
      </c>
      <c r="E539" s="9" t="s">
        <v>46</v>
      </c>
      <c r="F539" s="9" t="s">
        <v>51</v>
      </c>
      <c r="G539" s="10" t="s">
        <v>42</v>
      </c>
    </row>
    <row r="540" spans="1:7" ht="12.75" x14ac:dyDescent="0.2">
      <c r="A540" s="37"/>
      <c r="B540" s="9" t="s">
        <v>774</v>
      </c>
      <c r="C540" s="9" t="s">
        <v>961</v>
      </c>
      <c r="D540" s="9" t="s">
        <v>39</v>
      </c>
      <c r="E540" s="9" t="s">
        <v>46</v>
      </c>
      <c r="F540" s="9" t="s">
        <v>51</v>
      </c>
      <c r="G540" s="10" t="s">
        <v>42</v>
      </c>
    </row>
    <row r="541" spans="1:7" ht="12.75" x14ac:dyDescent="0.2">
      <c r="A541" s="39"/>
      <c r="B541" s="9" t="s">
        <v>774</v>
      </c>
      <c r="C541" s="9" t="s">
        <v>942</v>
      </c>
      <c r="D541" s="9" t="s">
        <v>39</v>
      </c>
      <c r="E541" s="9" t="s">
        <v>46</v>
      </c>
      <c r="F541" s="9" t="s">
        <v>51</v>
      </c>
      <c r="G541" s="10" t="s">
        <v>42</v>
      </c>
    </row>
    <row r="542" spans="1:7" ht="12.75" x14ac:dyDescent="0.2">
      <c r="A542" s="37"/>
      <c r="B542" s="9" t="s">
        <v>774</v>
      </c>
      <c r="C542" s="9" t="s">
        <v>789</v>
      </c>
      <c r="D542" s="9" t="s">
        <v>39</v>
      </c>
      <c r="E542" s="9" t="s">
        <v>46</v>
      </c>
      <c r="F542" s="9" t="s">
        <v>51</v>
      </c>
      <c r="G542" s="10" t="s">
        <v>42</v>
      </c>
    </row>
    <row r="543" spans="1:7" ht="12.75" x14ac:dyDescent="0.2">
      <c r="A543" s="39"/>
      <c r="B543" s="9" t="s">
        <v>774</v>
      </c>
      <c r="C543" s="9" t="s">
        <v>962</v>
      </c>
      <c r="D543" s="9" t="s">
        <v>39</v>
      </c>
      <c r="E543" s="9" t="s">
        <v>46</v>
      </c>
      <c r="F543" s="9" t="s">
        <v>51</v>
      </c>
      <c r="G543" s="10" t="s">
        <v>42</v>
      </c>
    </row>
    <row r="544" spans="1:7" ht="12.75" x14ac:dyDescent="0.2">
      <c r="A544" s="37"/>
      <c r="B544" s="9" t="s">
        <v>774</v>
      </c>
      <c r="C544" s="9" t="s">
        <v>963</v>
      </c>
      <c r="D544" s="9" t="s">
        <v>39</v>
      </c>
      <c r="E544" s="9" t="s">
        <v>46</v>
      </c>
      <c r="F544" s="9" t="s">
        <v>51</v>
      </c>
      <c r="G544" s="10" t="s">
        <v>42</v>
      </c>
    </row>
    <row r="545" spans="1:7" ht="12.75" x14ac:dyDescent="0.2">
      <c r="A545" s="39"/>
      <c r="B545" s="9" t="s">
        <v>774</v>
      </c>
      <c r="C545" s="9" t="s">
        <v>847</v>
      </c>
      <c r="D545" s="9" t="s">
        <v>39</v>
      </c>
      <c r="E545" s="9" t="s">
        <v>46</v>
      </c>
      <c r="F545" s="9" t="s">
        <v>51</v>
      </c>
      <c r="G545" s="10" t="s">
        <v>42</v>
      </c>
    </row>
    <row r="546" spans="1:7" ht="12.75" x14ac:dyDescent="0.2">
      <c r="A546" s="37"/>
      <c r="B546" s="9" t="s">
        <v>774</v>
      </c>
      <c r="C546" s="9" t="s">
        <v>882</v>
      </c>
      <c r="D546" s="9" t="s">
        <v>39</v>
      </c>
      <c r="E546" s="9" t="s">
        <v>46</v>
      </c>
      <c r="F546" s="9" t="s">
        <v>51</v>
      </c>
      <c r="G546" s="10" t="s">
        <v>42</v>
      </c>
    </row>
    <row r="547" spans="1:7" ht="12.75" x14ac:dyDescent="0.2">
      <c r="A547" s="39"/>
      <c r="B547" s="9" t="s">
        <v>774</v>
      </c>
      <c r="C547" s="9" t="s">
        <v>945</v>
      </c>
      <c r="D547" s="9" t="s">
        <v>39</v>
      </c>
      <c r="E547" s="9" t="s">
        <v>46</v>
      </c>
      <c r="F547" s="9" t="s">
        <v>51</v>
      </c>
      <c r="G547" s="10" t="s">
        <v>42</v>
      </c>
    </row>
    <row r="548" spans="1:7" ht="12.75" x14ac:dyDescent="0.2">
      <c r="A548" s="37"/>
      <c r="B548" s="9" t="s">
        <v>774</v>
      </c>
      <c r="C548" s="9" t="s">
        <v>964</v>
      </c>
      <c r="D548" s="9" t="s">
        <v>39</v>
      </c>
      <c r="E548" s="9" t="s">
        <v>46</v>
      </c>
      <c r="F548" s="9" t="s">
        <v>51</v>
      </c>
      <c r="G548" s="10" t="s">
        <v>42</v>
      </c>
    </row>
    <row r="549" spans="1:7" ht="12.75" x14ac:dyDescent="0.2">
      <c r="A549" s="39"/>
      <c r="B549" s="9" t="s">
        <v>774</v>
      </c>
      <c r="C549" s="9" t="s">
        <v>965</v>
      </c>
      <c r="D549" s="9" t="s">
        <v>39</v>
      </c>
      <c r="E549" s="9" t="s">
        <v>46</v>
      </c>
      <c r="F549" s="9" t="s">
        <v>51</v>
      </c>
      <c r="G549" s="10" t="s">
        <v>42</v>
      </c>
    </row>
    <row r="550" spans="1:7" ht="12.75" x14ac:dyDescent="0.2">
      <c r="A550" s="37"/>
      <c r="B550" s="9" t="s">
        <v>774</v>
      </c>
      <c r="C550" s="9" t="s">
        <v>966</v>
      </c>
      <c r="D550" s="9" t="s">
        <v>39</v>
      </c>
      <c r="E550" s="9" t="s">
        <v>46</v>
      </c>
      <c r="F550" s="9" t="s">
        <v>51</v>
      </c>
      <c r="G550" s="10" t="s">
        <v>42</v>
      </c>
    </row>
    <row r="551" spans="1:7" ht="12.75" x14ac:dyDescent="0.2">
      <c r="A551" s="39"/>
      <c r="B551" s="9" t="s">
        <v>774</v>
      </c>
      <c r="C551" s="9" t="s">
        <v>967</v>
      </c>
      <c r="D551" s="9" t="s">
        <v>39</v>
      </c>
      <c r="E551" s="9" t="s">
        <v>46</v>
      </c>
      <c r="F551" s="9" t="s">
        <v>51</v>
      </c>
      <c r="G551" s="10" t="s">
        <v>42</v>
      </c>
    </row>
    <row r="552" spans="1:7" ht="12.75" x14ac:dyDescent="0.2">
      <c r="A552" s="37"/>
      <c r="B552" s="9" t="s">
        <v>774</v>
      </c>
      <c r="C552" s="9" t="s">
        <v>824</v>
      </c>
      <c r="D552" s="9" t="s">
        <v>39</v>
      </c>
      <c r="E552" s="9" t="s">
        <v>46</v>
      </c>
      <c r="F552" s="9" t="s">
        <v>51</v>
      </c>
      <c r="G552" s="10" t="s">
        <v>42</v>
      </c>
    </row>
    <row r="553" spans="1:7" ht="12.75" x14ac:dyDescent="0.2">
      <c r="A553" s="39"/>
      <c r="B553" s="9" t="s">
        <v>774</v>
      </c>
      <c r="C553" s="9" t="s">
        <v>822</v>
      </c>
      <c r="D553" s="9" t="s">
        <v>39</v>
      </c>
      <c r="E553" s="9" t="s">
        <v>46</v>
      </c>
      <c r="F553" s="9" t="s">
        <v>51</v>
      </c>
      <c r="G553" s="10" t="s">
        <v>42</v>
      </c>
    </row>
    <row r="554" spans="1:7" ht="12.75" x14ac:dyDescent="0.2">
      <c r="A554" s="37"/>
      <c r="B554" s="9" t="s">
        <v>774</v>
      </c>
      <c r="C554" s="9" t="s">
        <v>869</v>
      </c>
      <c r="D554" s="9" t="s">
        <v>39</v>
      </c>
      <c r="E554" s="9" t="s">
        <v>46</v>
      </c>
      <c r="F554" s="9" t="s">
        <v>51</v>
      </c>
      <c r="G554" s="10" t="s">
        <v>42</v>
      </c>
    </row>
    <row r="555" spans="1:7" ht="12.75" x14ac:dyDescent="0.2">
      <c r="A555" s="39"/>
      <c r="B555" s="9" t="s">
        <v>774</v>
      </c>
      <c r="C555" s="9" t="s">
        <v>820</v>
      </c>
      <c r="D555" s="9" t="s">
        <v>39</v>
      </c>
      <c r="E555" s="9" t="s">
        <v>46</v>
      </c>
      <c r="F555" s="9" t="s">
        <v>51</v>
      </c>
      <c r="G555" s="10" t="s">
        <v>42</v>
      </c>
    </row>
    <row r="556" spans="1:7" ht="12.75" x14ac:dyDescent="0.2">
      <c r="A556" s="37"/>
      <c r="B556" s="9" t="s">
        <v>774</v>
      </c>
      <c r="C556" s="9" t="s">
        <v>968</v>
      </c>
      <c r="D556" s="9" t="s">
        <v>39</v>
      </c>
      <c r="E556" s="9" t="s">
        <v>46</v>
      </c>
      <c r="F556" s="9" t="s">
        <v>51</v>
      </c>
      <c r="G556" s="10" t="s">
        <v>42</v>
      </c>
    </row>
    <row r="557" spans="1:7" ht="12.75" x14ac:dyDescent="0.2">
      <c r="A557" s="39"/>
      <c r="B557" s="9" t="s">
        <v>774</v>
      </c>
      <c r="C557" s="9" t="s">
        <v>836</v>
      </c>
      <c r="D557" s="9" t="s">
        <v>39</v>
      </c>
      <c r="E557" s="9" t="s">
        <v>46</v>
      </c>
      <c r="F557" s="9" t="s">
        <v>51</v>
      </c>
      <c r="G557" s="10" t="s">
        <v>42</v>
      </c>
    </row>
    <row r="558" spans="1:7" ht="12.75" x14ac:dyDescent="0.2">
      <c r="A558" s="37"/>
      <c r="B558" s="9" t="s">
        <v>774</v>
      </c>
      <c r="C558" s="9" t="s">
        <v>969</v>
      </c>
      <c r="D558" s="9" t="s">
        <v>39</v>
      </c>
      <c r="E558" s="9" t="s">
        <v>46</v>
      </c>
      <c r="F558" s="9" t="s">
        <v>51</v>
      </c>
      <c r="G558" s="10" t="s">
        <v>42</v>
      </c>
    </row>
    <row r="559" spans="1:7" ht="12.75" x14ac:dyDescent="0.2">
      <c r="A559" s="39"/>
      <c r="B559" s="9" t="s">
        <v>774</v>
      </c>
      <c r="C559" s="9" t="s">
        <v>887</v>
      </c>
      <c r="D559" s="9" t="s">
        <v>39</v>
      </c>
      <c r="E559" s="9" t="s">
        <v>46</v>
      </c>
      <c r="F559" s="9" t="s">
        <v>51</v>
      </c>
      <c r="G559" s="10" t="s">
        <v>42</v>
      </c>
    </row>
    <row r="560" spans="1:7" ht="12.75" x14ac:dyDescent="0.2">
      <c r="A560" s="37"/>
      <c r="B560" s="9" t="s">
        <v>774</v>
      </c>
      <c r="C560" s="9" t="s">
        <v>779</v>
      </c>
      <c r="D560" s="9" t="s">
        <v>39</v>
      </c>
      <c r="E560" s="9" t="s">
        <v>46</v>
      </c>
      <c r="F560" s="9" t="s">
        <v>51</v>
      </c>
      <c r="G560" s="10" t="s">
        <v>42</v>
      </c>
    </row>
    <row r="561" spans="1:7" ht="12.75" x14ac:dyDescent="0.2">
      <c r="A561" s="39"/>
      <c r="B561" s="9" t="s">
        <v>774</v>
      </c>
      <c r="C561" s="9" t="s">
        <v>906</v>
      </c>
      <c r="D561" s="9" t="s">
        <v>39</v>
      </c>
      <c r="E561" s="9" t="s">
        <v>46</v>
      </c>
      <c r="F561" s="9" t="s">
        <v>51</v>
      </c>
      <c r="G561" s="10" t="s">
        <v>42</v>
      </c>
    </row>
    <row r="562" spans="1:7" ht="12.75" x14ac:dyDescent="0.2">
      <c r="A562" s="37"/>
      <c r="B562" s="9" t="s">
        <v>774</v>
      </c>
      <c r="C562" s="9" t="s">
        <v>812</v>
      </c>
      <c r="D562" s="9" t="s">
        <v>39</v>
      </c>
      <c r="E562" s="9" t="s">
        <v>46</v>
      </c>
      <c r="F562" s="9" t="s">
        <v>51</v>
      </c>
      <c r="G562" s="10" t="s">
        <v>42</v>
      </c>
    </row>
    <row r="563" spans="1:7" ht="12.75" x14ac:dyDescent="0.2">
      <c r="A563" s="39"/>
      <c r="B563" s="9" t="s">
        <v>774</v>
      </c>
      <c r="C563" s="9" t="s">
        <v>970</v>
      </c>
      <c r="D563" s="9" t="s">
        <v>39</v>
      </c>
      <c r="E563" s="9" t="s">
        <v>46</v>
      </c>
      <c r="F563" s="9" t="s">
        <v>51</v>
      </c>
      <c r="G563" s="10" t="s">
        <v>42</v>
      </c>
    </row>
    <row r="564" spans="1:7" ht="12.75" x14ac:dyDescent="0.2">
      <c r="A564" s="37"/>
      <c r="B564" s="9" t="s">
        <v>774</v>
      </c>
      <c r="C564" s="9" t="s">
        <v>844</v>
      </c>
      <c r="D564" s="9" t="s">
        <v>39</v>
      </c>
      <c r="E564" s="9" t="s">
        <v>46</v>
      </c>
      <c r="F564" s="9" t="s">
        <v>51</v>
      </c>
      <c r="G564" s="10" t="s">
        <v>42</v>
      </c>
    </row>
    <row r="565" spans="1:7" ht="12.75" x14ac:dyDescent="0.2">
      <c r="A565" s="39"/>
      <c r="B565" s="9" t="s">
        <v>774</v>
      </c>
      <c r="C565" s="9" t="s">
        <v>807</v>
      </c>
      <c r="D565" s="9" t="s">
        <v>39</v>
      </c>
      <c r="E565" s="9" t="s">
        <v>46</v>
      </c>
      <c r="F565" s="9" t="s">
        <v>51</v>
      </c>
      <c r="G565" s="10" t="s">
        <v>42</v>
      </c>
    </row>
    <row r="566" spans="1:7" ht="12.75" x14ac:dyDescent="0.2">
      <c r="A566" s="37"/>
      <c r="B566" s="9" t="s">
        <v>774</v>
      </c>
      <c r="C566" s="9" t="s">
        <v>971</v>
      </c>
      <c r="D566" s="9" t="s">
        <v>39</v>
      </c>
      <c r="E566" s="9" t="s">
        <v>46</v>
      </c>
      <c r="F566" s="9" t="s">
        <v>51</v>
      </c>
      <c r="G566" s="10" t="s">
        <v>42</v>
      </c>
    </row>
    <row r="567" spans="1:7" ht="12.75" x14ac:dyDescent="0.2">
      <c r="A567" s="39"/>
      <c r="B567" s="9" t="s">
        <v>774</v>
      </c>
      <c r="C567" s="9" t="s">
        <v>826</v>
      </c>
      <c r="D567" s="9" t="s">
        <v>39</v>
      </c>
      <c r="E567" s="9" t="s">
        <v>46</v>
      </c>
      <c r="F567" s="9" t="s">
        <v>51</v>
      </c>
      <c r="G567" s="10" t="s">
        <v>42</v>
      </c>
    </row>
    <row r="568" spans="1:7" ht="12.75" x14ac:dyDescent="0.2">
      <c r="A568" s="37"/>
      <c r="B568" s="9" t="s">
        <v>774</v>
      </c>
      <c r="C568" s="9" t="s">
        <v>972</v>
      </c>
      <c r="D568" s="9" t="s">
        <v>39</v>
      </c>
      <c r="E568" s="9" t="s">
        <v>46</v>
      </c>
      <c r="F568" s="9" t="s">
        <v>51</v>
      </c>
      <c r="G568" s="10" t="s">
        <v>42</v>
      </c>
    </row>
    <row r="569" spans="1:7" ht="12.75" x14ac:dyDescent="0.2">
      <c r="A569" s="39"/>
      <c r="B569" s="9" t="s">
        <v>774</v>
      </c>
      <c r="C569" s="9" t="s">
        <v>973</v>
      </c>
      <c r="D569" s="9" t="s">
        <v>39</v>
      </c>
      <c r="E569" s="9" t="s">
        <v>46</v>
      </c>
      <c r="F569" s="9" t="s">
        <v>51</v>
      </c>
      <c r="G569" s="10" t="s">
        <v>42</v>
      </c>
    </row>
    <row r="570" spans="1:7" ht="12.75" x14ac:dyDescent="0.2">
      <c r="A570" s="37"/>
      <c r="B570" s="9" t="s">
        <v>774</v>
      </c>
      <c r="C570" s="9" t="s">
        <v>804</v>
      </c>
      <c r="D570" s="9" t="s">
        <v>39</v>
      </c>
      <c r="E570" s="9" t="s">
        <v>46</v>
      </c>
      <c r="F570" s="9" t="s">
        <v>51</v>
      </c>
      <c r="G570" s="10" t="s">
        <v>42</v>
      </c>
    </row>
    <row r="571" spans="1:7" ht="12.75" x14ac:dyDescent="0.2">
      <c r="A571" s="39"/>
      <c r="B571" s="9" t="s">
        <v>774</v>
      </c>
      <c r="C571" s="9" t="s">
        <v>899</v>
      </c>
      <c r="D571" s="9" t="s">
        <v>39</v>
      </c>
      <c r="E571" s="9" t="s">
        <v>46</v>
      </c>
      <c r="F571" s="9" t="s">
        <v>51</v>
      </c>
      <c r="G571" s="10" t="s">
        <v>42</v>
      </c>
    </row>
    <row r="572" spans="1:7" ht="12.75" x14ac:dyDescent="0.2">
      <c r="A572" s="37"/>
      <c r="B572" s="9" t="s">
        <v>774</v>
      </c>
      <c r="C572" s="9" t="s">
        <v>974</v>
      </c>
      <c r="D572" s="9" t="s">
        <v>39</v>
      </c>
      <c r="E572" s="9" t="s">
        <v>46</v>
      </c>
      <c r="F572" s="9" t="s">
        <v>51</v>
      </c>
      <c r="G572" s="10" t="s">
        <v>42</v>
      </c>
    </row>
    <row r="573" spans="1:7" ht="12.75" x14ac:dyDescent="0.2">
      <c r="A573" s="38"/>
      <c r="B573" s="9" t="s">
        <v>774</v>
      </c>
      <c r="C573" s="9" t="s">
        <v>831</v>
      </c>
      <c r="D573" s="9" t="s">
        <v>39</v>
      </c>
      <c r="E573" s="9" t="s">
        <v>46</v>
      </c>
      <c r="F573" s="9" t="s">
        <v>51</v>
      </c>
      <c r="G573" s="10" t="s">
        <v>42</v>
      </c>
    </row>
    <row r="574" spans="1:7" ht="12.75" x14ac:dyDescent="0.2">
      <c r="A574" s="36" t="s">
        <v>34</v>
      </c>
      <c r="B574" s="9" t="s">
        <v>774</v>
      </c>
      <c r="C574" s="9" t="s">
        <v>875</v>
      </c>
      <c r="D574" s="9" t="s">
        <v>39</v>
      </c>
      <c r="E574" s="9" t="s">
        <v>40</v>
      </c>
      <c r="F574" s="9" t="s">
        <v>41</v>
      </c>
      <c r="G574" s="10" t="s">
        <v>42</v>
      </c>
    </row>
    <row r="575" spans="1:7" ht="12.75" x14ac:dyDescent="0.2">
      <c r="A575" s="39"/>
      <c r="B575" s="9" t="s">
        <v>774</v>
      </c>
      <c r="C575" s="9" t="s">
        <v>798</v>
      </c>
      <c r="D575" s="9" t="s">
        <v>39</v>
      </c>
      <c r="E575" s="9" t="s">
        <v>40</v>
      </c>
      <c r="F575" s="9" t="s">
        <v>41</v>
      </c>
      <c r="G575" s="10" t="s">
        <v>42</v>
      </c>
    </row>
    <row r="576" spans="1:7" ht="12.75" x14ac:dyDescent="0.2">
      <c r="A576" s="37"/>
      <c r="B576" s="9" t="s">
        <v>774</v>
      </c>
      <c r="C576" s="9" t="s">
        <v>782</v>
      </c>
      <c r="D576" s="9" t="s">
        <v>39</v>
      </c>
      <c r="E576" s="9" t="s">
        <v>40</v>
      </c>
      <c r="F576" s="9" t="s">
        <v>41</v>
      </c>
      <c r="G576" s="10" t="s">
        <v>42</v>
      </c>
    </row>
    <row r="577" spans="1:7" ht="12.75" x14ac:dyDescent="0.2">
      <c r="A577" s="39"/>
      <c r="B577" s="9" t="s">
        <v>774</v>
      </c>
      <c r="C577" s="9" t="s">
        <v>942</v>
      </c>
      <c r="D577" s="9" t="s">
        <v>39</v>
      </c>
      <c r="E577" s="9" t="s">
        <v>40</v>
      </c>
      <c r="F577" s="9" t="s">
        <v>41</v>
      </c>
      <c r="G577" s="10" t="s">
        <v>42</v>
      </c>
    </row>
    <row r="578" spans="1:7" ht="12.75" x14ac:dyDescent="0.2">
      <c r="A578" s="37"/>
      <c r="B578" s="9" t="s">
        <v>774</v>
      </c>
      <c r="C578" s="9" t="s">
        <v>882</v>
      </c>
      <c r="D578" s="9" t="s">
        <v>39</v>
      </c>
      <c r="E578" s="9" t="s">
        <v>40</v>
      </c>
      <c r="F578" s="9" t="s">
        <v>41</v>
      </c>
      <c r="G578" s="10" t="s">
        <v>42</v>
      </c>
    </row>
    <row r="579" spans="1:7" ht="12.75" x14ac:dyDescent="0.2">
      <c r="A579" s="39"/>
      <c r="B579" s="9" t="s">
        <v>774</v>
      </c>
      <c r="C579" s="9" t="s">
        <v>975</v>
      </c>
      <c r="D579" s="9" t="s">
        <v>39</v>
      </c>
      <c r="E579" s="9" t="s">
        <v>40</v>
      </c>
      <c r="F579" s="9" t="s">
        <v>41</v>
      </c>
      <c r="G579" s="10" t="s">
        <v>42</v>
      </c>
    </row>
    <row r="580" spans="1:7" ht="12.75" x14ac:dyDescent="0.2">
      <c r="A580" s="37"/>
      <c r="B580" s="9" t="s">
        <v>774</v>
      </c>
      <c r="C580" s="9" t="s">
        <v>777</v>
      </c>
      <c r="D580" s="9" t="s">
        <v>39</v>
      </c>
      <c r="E580" s="9" t="s">
        <v>40</v>
      </c>
      <c r="F580" s="9" t="s">
        <v>41</v>
      </c>
      <c r="G580" s="10" t="s">
        <v>42</v>
      </c>
    </row>
    <row r="581" spans="1:7" ht="12.75" x14ac:dyDescent="0.2">
      <c r="A581" s="39"/>
      <c r="B581" s="9" t="s">
        <v>774</v>
      </c>
      <c r="C581" s="9" t="s">
        <v>965</v>
      </c>
      <c r="D581" s="9" t="s">
        <v>39</v>
      </c>
      <c r="E581" s="9" t="s">
        <v>40</v>
      </c>
      <c r="F581" s="9" t="s">
        <v>41</v>
      </c>
      <c r="G581" s="10" t="s">
        <v>42</v>
      </c>
    </row>
    <row r="582" spans="1:7" ht="12.75" x14ac:dyDescent="0.2">
      <c r="A582" s="37"/>
      <c r="B582" s="9" t="s">
        <v>774</v>
      </c>
      <c r="C582" s="9" t="s">
        <v>976</v>
      </c>
      <c r="D582" s="9" t="s">
        <v>39</v>
      </c>
      <c r="E582" s="9" t="s">
        <v>40</v>
      </c>
      <c r="F582" s="9" t="s">
        <v>41</v>
      </c>
      <c r="G582" s="10" t="s">
        <v>42</v>
      </c>
    </row>
    <row r="583" spans="1:7" ht="12.75" x14ac:dyDescent="0.2">
      <c r="A583" s="39"/>
      <c r="B583" s="9" t="s">
        <v>774</v>
      </c>
      <c r="C583" s="9" t="s">
        <v>807</v>
      </c>
      <c r="D583" s="9" t="s">
        <v>39</v>
      </c>
      <c r="E583" s="9" t="s">
        <v>40</v>
      </c>
      <c r="F583" s="9" t="s">
        <v>41</v>
      </c>
      <c r="G583" s="10" t="s">
        <v>42</v>
      </c>
    </row>
    <row r="584" spans="1:7" ht="12.75" x14ac:dyDescent="0.2">
      <c r="A584" s="37"/>
      <c r="B584" s="9" t="s">
        <v>774</v>
      </c>
      <c r="C584" s="9" t="s">
        <v>820</v>
      </c>
      <c r="D584" s="9" t="s">
        <v>39</v>
      </c>
      <c r="E584" s="9" t="s">
        <v>40</v>
      </c>
      <c r="F584" s="9" t="s">
        <v>41</v>
      </c>
      <c r="G584" s="10" t="s">
        <v>42</v>
      </c>
    </row>
    <row r="585" spans="1:7" ht="12.75" x14ac:dyDescent="0.2">
      <c r="A585" s="39"/>
      <c r="B585" s="9" t="s">
        <v>774</v>
      </c>
      <c r="C585" s="9" t="s">
        <v>970</v>
      </c>
      <c r="D585" s="9" t="s">
        <v>39</v>
      </c>
      <c r="E585" s="9" t="s">
        <v>40</v>
      </c>
      <c r="F585" s="9" t="s">
        <v>41</v>
      </c>
      <c r="G585" s="10" t="s">
        <v>42</v>
      </c>
    </row>
    <row r="586" spans="1:7" ht="12.75" x14ac:dyDescent="0.2">
      <c r="A586" s="37"/>
      <c r="B586" s="9" t="s">
        <v>774</v>
      </c>
      <c r="C586" s="9" t="s">
        <v>779</v>
      </c>
      <c r="D586" s="9" t="s">
        <v>39</v>
      </c>
      <c r="E586" s="9" t="s">
        <v>40</v>
      </c>
      <c r="F586" s="9" t="s">
        <v>41</v>
      </c>
      <c r="G586" s="10" t="s">
        <v>42</v>
      </c>
    </row>
    <row r="587" spans="1:7" ht="12.75" x14ac:dyDescent="0.2">
      <c r="A587" s="38"/>
      <c r="B587" s="9" t="s">
        <v>774</v>
      </c>
      <c r="C587" s="9" t="s">
        <v>887</v>
      </c>
      <c r="D587" s="9" t="s">
        <v>39</v>
      </c>
      <c r="E587" s="9" t="s">
        <v>40</v>
      </c>
      <c r="F587" s="9" t="s">
        <v>41</v>
      </c>
      <c r="G587" s="10" t="s">
        <v>42</v>
      </c>
    </row>
    <row r="588" spans="1:7" ht="12.75" x14ac:dyDescent="0.2">
      <c r="A588" s="36" t="s">
        <v>35</v>
      </c>
      <c r="B588" s="9" t="s">
        <v>774</v>
      </c>
      <c r="C588" s="9" t="s">
        <v>798</v>
      </c>
      <c r="D588" s="9" t="s">
        <v>39</v>
      </c>
      <c r="E588" s="9" t="s">
        <v>40</v>
      </c>
      <c r="F588" s="9" t="s">
        <v>41</v>
      </c>
      <c r="G588" s="10" t="s">
        <v>42</v>
      </c>
    </row>
    <row r="589" spans="1:7" ht="12.75" x14ac:dyDescent="0.2">
      <c r="A589" s="39"/>
      <c r="B589" s="9" t="s">
        <v>774</v>
      </c>
      <c r="C589" s="9" t="s">
        <v>855</v>
      </c>
      <c r="D589" s="9" t="s">
        <v>39</v>
      </c>
      <c r="E589" s="9" t="s">
        <v>40</v>
      </c>
      <c r="F589" s="9" t="s">
        <v>41</v>
      </c>
      <c r="G589" s="10" t="s">
        <v>42</v>
      </c>
    </row>
    <row r="590" spans="1:7" ht="12.75" x14ac:dyDescent="0.2">
      <c r="A590" s="37"/>
      <c r="B590" s="9" t="s">
        <v>774</v>
      </c>
      <c r="C590" s="9" t="s">
        <v>779</v>
      </c>
      <c r="D590" s="9" t="s">
        <v>94</v>
      </c>
      <c r="E590" s="9" t="s">
        <v>40</v>
      </c>
      <c r="F590" s="9" t="s">
        <v>41</v>
      </c>
      <c r="G590" s="10" t="s">
        <v>42</v>
      </c>
    </row>
    <row r="591" spans="1:7" ht="12.75" x14ac:dyDescent="0.2">
      <c r="A591" s="39"/>
      <c r="B591" s="9" t="s">
        <v>774</v>
      </c>
      <c r="C591" s="9" t="s">
        <v>976</v>
      </c>
      <c r="D591" s="9" t="s">
        <v>39</v>
      </c>
      <c r="E591" s="9" t="s">
        <v>40</v>
      </c>
      <c r="F591" s="9" t="s">
        <v>41</v>
      </c>
      <c r="G591" s="10" t="s">
        <v>42</v>
      </c>
    </row>
    <row r="592" spans="1:7" ht="12.75" x14ac:dyDescent="0.2">
      <c r="A592" s="37"/>
      <c r="B592" s="9" t="s">
        <v>774</v>
      </c>
      <c r="C592" s="9" t="s">
        <v>965</v>
      </c>
      <c r="D592" s="9" t="s">
        <v>39</v>
      </c>
      <c r="E592" s="9" t="s">
        <v>40</v>
      </c>
      <c r="F592" s="9" t="s">
        <v>41</v>
      </c>
      <c r="G592" s="10" t="s">
        <v>42</v>
      </c>
    </row>
    <row r="593" spans="1:7" ht="12.75" x14ac:dyDescent="0.2">
      <c r="A593" s="39"/>
      <c r="B593" s="9" t="s">
        <v>774</v>
      </c>
      <c r="C593" s="9" t="s">
        <v>977</v>
      </c>
      <c r="D593" s="9" t="s">
        <v>39</v>
      </c>
      <c r="E593" s="9" t="s">
        <v>40</v>
      </c>
      <c r="F593" s="9" t="s">
        <v>41</v>
      </c>
      <c r="G593" s="10" t="s">
        <v>42</v>
      </c>
    </row>
    <row r="594" spans="1:7" ht="12.75" x14ac:dyDescent="0.2">
      <c r="A594" s="37"/>
      <c r="B594" s="9" t="s">
        <v>774</v>
      </c>
      <c r="C594" s="9" t="s">
        <v>777</v>
      </c>
      <c r="D594" s="9" t="s">
        <v>39</v>
      </c>
      <c r="E594" s="9" t="s">
        <v>40</v>
      </c>
      <c r="F594" s="9" t="s">
        <v>41</v>
      </c>
      <c r="G594" s="10" t="s">
        <v>42</v>
      </c>
    </row>
    <row r="595" spans="1:7" ht="12.75" x14ac:dyDescent="0.2">
      <c r="A595" s="39"/>
      <c r="B595" s="9" t="s">
        <v>774</v>
      </c>
      <c r="C595" s="9" t="s">
        <v>882</v>
      </c>
      <c r="D595" s="9" t="s">
        <v>39</v>
      </c>
      <c r="E595" s="9" t="s">
        <v>40</v>
      </c>
      <c r="F595" s="9" t="s">
        <v>41</v>
      </c>
      <c r="G595" s="10" t="s">
        <v>42</v>
      </c>
    </row>
    <row r="596" spans="1:7" ht="12.75" x14ac:dyDescent="0.2">
      <c r="A596" s="37"/>
      <c r="B596" s="9" t="s">
        <v>774</v>
      </c>
      <c r="C596" s="9" t="s">
        <v>942</v>
      </c>
      <c r="D596" s="9" t="s">
        <v>39</v>
      </c>
      <c r="E596" s="9" t="s">
        <v>40</v>
      </c>
      <c r="F596" s="9" t="s">
        <v>41</v>
      </c>
      <c r="G596" s="10" t="s">
        <v>42</v>
      </c>
    </row>
    <row r="597" spans="1:7" ht="12.75" x14ac:dyDescent="0.2">
      <c r="A597" s="39"/>
      <c r="B597" s="9" t="s">
        <v>774</v>
      </c>
      <c r="C597" s="9" t="s">
        <v>782</v>
      </c>
      <c r="D597" s="9" t="s">
        <v>39</v>
      </c>
      <c r="E597" s="9" t="s">
        <v>40</v>
      </c>
      <c r="F597" s="9" t="s">
        <v>41</v>
      </c>
      <c r="G597" s="10" t="s">
        <v>42</v>
      </c>
    </row>
    <row r="598" spans="1:7" ht="12.75" x14ac:dyDescent="0.2">
      <c r="A598" s="37"/>
      <c r="B598" s="9" t="s">
        <v>774</v>
      </c>
      <c r="C598" s="9" t="s">
        <v>783</v>
      </c>
      <c r="D598" s="9" t="s">
        <v>39</v>
      </c>
      <c r="E598" s="9" t="s">
        <v>40</v>
      </c>
      <c r="F598" s="9" t="s">
        <v>41</v>
      </c>
      <c r="G598" s="10" t="s">
        <v>42</v>
      </c>
    </row>
    <row r="599" spans="1:7" ht="12.75" x14ac:dyDescent="0.2">
      <c r="A599" s="38"/>
      <c r="B599" s="9" t="s">
        <v>774</v>
      </c>
      <c r="C599" s="9" t="s">
        <v>299</v>
      </c>
      <c r="D599" s="9" t="s">
        <v>39</v>
      </c>
      <c r="E599" s="9" t="s">
        <v>40</v>
      </c>
      <c r="F599" s="9" t="s">
        <v>41</v>
      </c>
      <c r="G599" s="10" t="s">
        <v>42</v>
      </c>
    </row>
    <row r="600" spans="1:7" ht="12.75" x14ac:dyDescent="0.2">
      <c r="A600" s="12"/>
      <c r="B600" s="12"/>
      <c r="C600" s="12"/>
      <c r="D600" s="12"/>
      <c r="E600" s="12"/>
      <c r="F600" s="12"/>
      <c r="G600" s="26"/>
    </row>
    <row r="601" spans="1:7" ht="12.75" x14ac:dyDescent="0.2">
      <c r="A601" s="12"/>
      <c r="B601" s="12"/>
      <c r="C601" s="12"/>
      <c r="D601" s="12"/>
      <c r="E601" s="12"/>
      <c r="F601" s="12"/>
      <c r="G601" s="26"/>
    </row>
  </sheetData>
  <mergeCells count="16">
    <mergeCell ref="A107:A143"/>
    <mergeCell ref="A144:A199"/>
    <mergeCell ref="A574:A587"/>
    <mergeCell ref="A588:A599"/>
    <mergeCell ref="A200:A255"/>
    <mergeCell ref="A256:A315"/>
    <mergeCell ref="A316:A365"/>
    <mergeCell ref="A366:A427"/>
    <mergeCell ref="A428:A480"/>
    <mergeCell ref="A481:A532"/>
    <mergeCell ref="A533:A573"/>
    <mergeCell ref="A1:G1"/>
    <mergeCell ref="A9:A18"/>
    <mergeCell ref="A19:A30"/>
    <mergeCell ref="A31:A48"/>
    <mergeCell ref="A49:A10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50"/>
  <sheetViews>
    <sheetView tabSelected="1" workbookViewId="0">
      <selection activeCell="J5" sqref="J5"/>
    </sheetView>
  </sheetViews>
  <sheetFormatPr defaultRowHeight="12.75" x14ac:dyDescent="0.2"/>
  <cols>
    <col min="1" max="1" width="10"/>
    <col min="2" max="3" width="16"/>
    <col min="4" max="6" width="19"/>
    <col min="7" max="7" width="14"/>
  </cols>
  <sheetData>
    <row r="1" spans="1:7" ht="15" x14ac:dyDescent="0.25">
      <c r="A1" s="27" t="s">
        <v>6</v>
      </c>
      <c r="B1" s="27" t="s">
        <v>7</v>
      </c>
      <c r="C1" s="27" t="s">
        <v>8</v>
      </c>
      <c r="D1" s="27" t="s">
        <v>9</v>
      </c>
      <c r="E1" s="27" t="s">
        <v>10</v>
      </c>
      <c r="F1" s="27" t="s">
        <v>11</v>
      </c>
      <c r="G1" s="27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">
      <c r="A3">
        <v>7</v>
      </c>
      <c r="B3">
        <v>60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</row>
    <row r="4" spans="1:7" x14ac:dyDescent="0.2">
      <c r="A4">
        <v>7</v>
      </c>
      <c r="B4">
        <v>60</v>
      </c>
      <c r="C4" t="s">
        <v>43</v>
      </c>
      <c r="D4" t="s">
        <v>39</v>
      </c>
      <c r="E4" t="s">
        <v>40</v>
      </c>
      <c r="F4" t="s">
        <v>41</v>
      </c>
      <c r="G4" t="s">
        <v>42</v>
      </c>
    </row>
    <row r="5" spans="1:7" x14ac:dyDescent="0.2">
      <c r="A5">
        <v>7</v>
      </c>
      <c r="B5">
        <v>60</v>
      </c>
      <c r="C5" t="s">
        <v>44</v>
      </c>
      <c r="D5" t="s">
        <v>39</v>
      </c>
      <c r="E5" t="s">
        <v>40</v>
      </c>
      <c r="F5" t="s">
        <v>41</v>
      </c>
      <c r="G5" t="s">
        <v>42</v>
      </c>
    </row>
    <row r="6" spans="1:7" x14ac:dyDescent="0.2">
      <c r="A6">
        <v>9</v>
      </c>
      <c r="B6">
        <v>60</v>
      </c>
      <c r="C6" t="s">
        <v>45</v>
      </c>
      <c r="D6" t="s">
        <v>39</v>
      </c>
      <c r="E6" t="s">
        <v>46</v>
      </c>
      <c r="F6" t="s">
        <v>47</v>
      </c>
      <c r="G6" t="s">
        <v>42</v>
      </c>
    </row>
    <row r="7" spans="1:7" x14ac:dyDescent="0.2">
      <c r="A7">
        <v>11</v>
      </c>
      <c r="B7">
        <v>60</v>
      </c>
      <c r="C7" t="s">
        <v>48</v>
      </c>
      <c r="D7" t="s">
        <v>39</v>
      </c>
      <c r="E7" t="s">
        <v>46</v>
      </c>
      <c r="F7" t="s">
        <v>47</v>
      </c>
      <c r="G7" t="s">
        <v>42</v>
      </c>
    </row>
    <row r="8" spans="1:7" x14ac:dyDescent="0.2">
      <c r="A8">
        <v>11</v>
      </c>
      <c r="B8">
        <v>60</v>
      </c>
      <c r="C8" t="s">
        <v>49</v>
      </c>
      <c r="D8" t="s">
        <v>39</v>
      </c>
      <c r="E8" t="s">
        <v>46</v>
      </c>
      <c r="F8" t="s">
        <v>47</v>
      </c>
      <c r="G8" t="s">
        <v>42</v>
      </c>
    </row>
    <row r="9" spans="1:7" x14ac:dyDescent="0.2">
      <c r="A9">
        <v>11</v>
      </c>
      <c r="B9">
        <v>60</v>
      </c>
      <c r="C9" t="s">
        <v>50</v>
      </c>
      <c r="D9" t="s">
        <v>39</v>
      </c>
      <c r="E9" t="s">
        <v>46</v>
      </c>
      <c r="F9" t="s">
        <v>51</v>
      </c>
      <c r="G9" t="s">
        <v>42</v>
      </c>
    </row>
    <row r="10" spans="1:7" x14ac:dyDescent="0.2">
      <c r="A10">
        <v>11</v>
      </c>
      <c r="B10">
        <v>60</v>
      </c>
      <c r="C10" t="s">
        <v>49</v>
      </c>
      <c r="D10" t="s">
        <v>39</v>
      </c>
      <c r="E10" t="s">
        <v>46</v>
      </c>
      <c r="F10" t="s">
        <v>47</v>
      </c>
      <c r="G10" t="s">
        <v>42</v>
      </c>
    </row>
    <row r="11" spans="1:7" x14ac:dyDescent="0.2">
      <c r="A11">
        <v>11</v>
      </c>
      <c r="B11">
        <v>60</v>
      </c>
      <c r="C11" t="s">
        <v>48</v>
      </c>
      <c r="D11" t="s">
        <v>39</v>
      </c>
      <c r="E11" t="s">
        <v>46</v>
      </c>
      <c r="F11" t="s">
        <v>47</v>
      </c>
      <c r="G11" t="s">
        <v>42</v>
      </c>
    </row>
    <row r="12" spans="1:7" x14ac:dyDescent="0.2">
      <c r="A12">
        <v>12</v>
      </c>
      <c r="B12">
        <v>60</v>
      </c>
      <c r="C12" t="s">
        <v>52</v>
      </c>
      <c r="D12" t="s">
        <v>39</v>
      </c>
      <c r="E12" t="s">
        <v>46</v>
      </c>
      <c r="F12" t="s">
        <v>47</v>
      </c>
      <c r="G12" t="s">
        <v>42</v>
      </c>
    </row>
    <row r="13" spans="1:7" x14ac:dyDescent="0.2">
      <c r="A13">
        <v>12</v>
      </c>
      <c r="B13">
        <v>60</v>
      </c>
      <c r="C13" t="s">
        <v>53</v>
      </c>
      <c r="D13" t="s">
        <v>39</v>
      </c>
      <c r="E13" t="s">
        <v>46</v>
      </c>
      <c r="F13" t="s">
        <v>47</v>
      </c>
      <c r="G13" t="s">
        <v>42</v>
      </c>
    </row>
    <row r="14" spans="1:7" x14ac:dyDescent="0.2">
      <c r="A14">
        <v>13</v>
      </c>
      <c r="B14">
        <v>60</v>
      </c>
      <c r="C14" t="s">
        <v>48</v>
      </c>
      <c r="D14" t="s">
        <v>39</v>
      </c>
      <c r="E14" t="s">
        <v>46</v>
      </c>
      <c r="F14" t="s">
        <v>47</v>
      </c>
      <c r="G14" t="s">
        <v>42</v>
      </c>
    </row>
    <row r="15" spans="1:7" x14ac:dyDescent="0.2">
      <c r="A15">
        <v>14</v>
      </c>
      <c r="B15">
        <v>60</v>
      </c>
      <c r="C15" t="s">
        <v>48</v>
      </c>
      <c r="D15" t="s">
        <v>39</v>
      </c>
      <c r="E15" t="s">
        <v>46</v>
      </c>
      <c r="F15" t="s">
        <v>47</v>
      </c>
      <c r="G15" t="s">
        <v>42</v>
      </c>
    </row>
    <row r="16" spans="1:7" x14ac:dyDescent="0.2">
      <c r="A16">
        <v>15</v>
      </c>
      <c r="B16">
        <v>60</v>
      </c>
      <c r="C16" t="s">
        <v>54</v>
      </c>
      <c r="D16" t="s">
        <v>39</v>
      </c>
      <c r="E16" t="s">
        <v>46</v>
      </c>
      <c r="F16" t="s">
        <v>47</v>
      </c>
      <c r="G16" t="s">
        <v>42</v>
      </c>
    </row>
    <row r="17" spans="1:7" x14ac:dyDescent="0.2">
      <c r="A17">
        <v>15</v>
      </c>
      <c r="B17">
        <v>60</v>
      </c>
      <c r="C17" t="s">
        <v>55</v>
      </c>
      <c r="D17" t="s">
        <v>39</v>
      </c>
      <c r="E17" t="s">
        <v>46</v>
      </c>
      <c r="F17" t="s">
        <v>47</v>
      </c>
      <c r="G17" t="s">
        <v>42</v>
      </c>
    </row>
    <row r="18" spans="1:7" x14ac:dyDescent="0.2">
      <c r="A18">
        <v>16</v>
      </c>
      <c r="B18">
        <v>60</v>
      </c>
      <c r="C18" t="s">
        <v>48</v>
      </c>
      <c r="D18" t="s">
        <v>39</v>
      </c>
      <c r="E18" t="s">
        <v>46</v>
      </c>
      <c r="F18" t="s">
        <v>51</v>
      </c>
      <c r="G18" t="s">
        <v>42</v>
      </c>
    </row>
    <row r="19" spans="1:7" x14ac:dyDescent="0.2">
      <c r="A19">
        <v>16</v>
      </c>
      <c r="B19">
        <v>60</v>
      </c>
      <c r="C19" t="s">
        <v>56</v>
      </c>
      <c r="D19" t="s">
        <v>39</v>
      </c>
      <c r="E19" t="s">
        <v>46</v>
      </c>
      <c r="F19" t="s">
        <v>51</v>
      </c>
      <c r="G19" t="s">
        <v>42</v>
      </c>
    </row>
    <row r="20" spans="1:7" x14ac:dyDescent="0.2">
      <c r="A20">
        <v>17</v>
      </c>
      <c r="B20">
        <v>60</v>
      </c>
      <c r="C20" t="s">
        <v>57</v>
      </c>
      <c r="D20" t="s">
        <v>39</v>
      </c>
      <c r="E20" t="s">
        <v>46</v>
      </c>
      <c r="F20" t="s">
        <v>47</v>
      </c>
      <c r="G20" t="s">
        <v>42</v>
      </c>
    </row>
    <row r="21" spans="1:7" x14ac:dyDescent="0.2">
      <c r="A21">
        <v>17</v>
      </c>
      <c r="B21">
        <v>60</v>
      </c>
      <c r="C21" t="s">
        <v>58</v>
      </c>
      <c r="D21" t="s">
        <v>39</v>
      </c>
      <c r="E21" t="s">
        <v>46</v>
      </c>
      <c r="F21" t="s">
        <v>47</v>
      </c>
      <c r="G21" t="s">
        <v>42</v>
      </c>
    </row>
    <row r="22" spans="1:7" x14ac:dyDescent="0.2">
      <c r="A22">
        <v>18</v>
      </c>
      <c r="B22">
        <v>60</v>
      </c>
      <c r="C22" t="s">
        <v>48</v>
      </c>
      <c r="D22" t="s">
        <v>39</v>
      </c>
      <c r="E22" t="s">
        <v>46</v>
      </c>
      <c r="F22" t="s">
        <v>47</v>
      </c>
      <c r="G22" t="s">
        <v>42</v>
      </c>
    </row>
    <row r="23" spans="1:7" x14ac:dyDescent="0.2">
      <c r="A23">
        <v>19</v>
      </c>
      <c r="B23">
        <v>60</v>
      </c>
      <c r="C23" t="s">
        <v>48</v>
      </c>
      <c r="D23" t="s">
        <v>39</v>
      </c>
      <c r="E23" t="s">
        <v>46</v>
      </c>
      <c r="F23" t="s">
        <v>47</v>
      </c>
      <c r="G23" t="s">
        <v>42</v>
      </c>
    </row>
    <row r="24" spans="1:7" x14ac:dyDescent="0.2">
      <c r="A24">
        <v>20</v>
      </c>
      <c r="B24">
        <v>60</v>
      </c>
      <c r="C24" t="s">
        <v>48</v>
      </c>
      <c r="D24" t="s">
        <v>39</v>
      </c>
      <c r="E24" t="s">
        <v>46</v>
      </c>
      <c r="F24" t="s">
        <v>47</v>
      </c>
      <c r="G24" t="s">
        <v>42</v>
      </c>
    </row>
    <row r="25" spans="1:7" x14ac:dyDescent="0.2">
      <c r="A25">
        <v>21</v>
      </c>
      <c r="B25">
        <v>60</v>
      </c>
      <c r="C25" t="s">
        <v>57</v>
      </c>
      <c r="D25" t="s">
        <v>39</v>
      </c>
      <c r="E25" t="s">
        <v>46</v>
      </c>
      <c r="F25" t="s">
        <v>47</v>
      </c>
      <c r="G25" t="s">
        <v>42</v>
      </c>
    </row>
    <row r="26" spans="1:7" x14ac:dyDescent="0.2">
      <c r="A26">
        <v>22</v>
      </c>
      <c r="B26">
        <v>60</v>
      </c>
      <c r="C26" t="s">
        <v>59</v>
      </c>
      <c r="D26" t="s">
        <v>39</v>
      </c>
      <c r="E26" t="s">
        <v>46</v>
      </c>
      <c r="F26" t="s">
        <v>47</v>
      </c>
      <c r="G26" t="s">
        <v>42</v>
      </c>
    </row>
    <row r="27" spans="1:7" x14ac:dyDescent="0.2">
      <c r="A27">
        <v>22</v>
      </c>
      <c r="B27">
        <v>60</v>
      </c>
      <c r="C27" t="s">
        <v>60</v>
      </c>
      <c r="D27" t="s">
        <v>39</v>
      </c>
      <c r="E27" t="s">
        <v>46</v>
      </c>
      <c r="F27" t="s">
        <v>47</v>
      </c>
      <c r="G27" t="s">
        <v>42</v>
      </c>
    </row>
    <row r="28" spans="1:7" x14ac:dyDescent="0.2">
      <c r="A28">
        <v>7</v>
      </c>
      <c r="B28">
        <v>61</v>
      </c>
      <c r="C28" t="s">
        <v>61</v>
      </c>
      <c r="D28" t="s">
        <v>39</v>
      </c>
      <c r="E28" t="s">
        <v>46</v>
      </c>
      <c r="F28" t="s">
        <v>41</v>
      </c>
      <c r="G28" t="s">
        <v>42</v>
      </c>
    </row>
    <row r="29" spans="1:7" x14ac:dyDescent="0.2">
      <c r="A29">
        <v>8</v>
      </c>
      <c r="B29">
        <v>61</v>
      </c>
      <c r="C29" t="s">
        <v>38</v>
      </c>
      <c r="D29" t="s">
        <v>39</v>
      </c>
      <c r="E29" t="s">
        <v>46</v>
      </c>
      <c r="F29" t="s">
        <v>41</v>
      </c>
      <c r="G29" t="s">
        <v>42</v>
      </c>
    </row>
    <row r="30" spans="1:7" x14ac:dyDescent="0.2">
      <c r="A30">
        <v>8</v>
      </c>
      <c r="B30">
        <v>61</v>
      </c>
      <c r="C30" t="s">
        <v>62</v>
      </c>
      <c r="D30" t="s">
        <v>39</v>
      </c>
      <c r="E30" t="s">
        <v>46</v>
      </c>
      <c r="F30" t="s">
        <v>41</v>
      </c>
      <c r="G30" t="s">
        <v>42</v>
      </c>
    </row>
    <row r="31" spans="1:7" x14ac:dyDescent="0.2">
      <c r="A31">
        <v>8</v>
      </c>
      <c r="B31">
        <v>61</v>
      </c>
      <c r="C31" t="s">
        <v>43</v>
      </c>
      <c r="D31" t="s">
        <v>39</v>
      </c>
      <c r="E31" t="s">
        <v>46</v>
      </c>
      <c r="F31" t="s">
        <v>41</v>
      </c>
      <c r="G31" t="s">
        <v>42</v>
      </c>
    </row>
    <row r="32" spans="1:7" x14ac:dyDescent="0.2">
      <c r="A32">
        <v>8</v>
      </c>
      <c r="B32">
        <v>61</v>
      </c>
      <c r="C32" t="s">
        <v>44</v>
      </c>
      <c r="D32" t="s">
        <v>39</v>
      </c>
      <c r="E32" t="s">
        <v>46</v>
      </c>
      <c r="F32" t="s">
        <v>41</v>
      </c>
      <c r="G32" t="s">
        <v>42</v>
      </c>
    </row>
    <row r="33" spans="1:7" x14ac:dyDescent="0.2">
      <c r="A33">
        <v>9</v>
      </c>
      <c r="B33">
        <v>61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</row>
    <row r="34" spans="1:7" x14ac:dyDescent="0.2">
      <c r="A34">
        <v>9</v>
      </c>
      <c r="B34">
        <v>61</v>
      </c>
      <c r="C34" t="s">
        <v>63</v>
      </c>
      <c r="D34" t="s">
        <v>39</v>
      </c>
      <c r="E34" t="s">
        <v>40</v>
      </c>
      <c r="F34" t="s">
        <v>41</v>
      </c>
      <c r="G34" t="s">
        <v>42</v>
      </c>
    </row>
    <row r="35" spans="1:7" x14ac:dyDescent="0.2">
      <c r="A35">
        <v>9</v>
      </c>
      <c r="B35">
        <v>61</v>
      </c>
      <c r="C35" t="s">
        <v>64</v>
      </c>
      <c r="D35" t="s">
        <v>39</v>
      </c>
      <c r="E35" t="s">
        <v>40</v>
      </c>
      <c r="F35" t="s">
        <v>41</v>
      </c>
      <c r="G35" t="s">
        <v>42</v>
      </c>
    </row>
    <row r="36" spans="1:7" x14ac:dyDescent="0.2">
      <c r="A36">
        <v>9</v>
      </c>
      <c r="B36">
        <v>61</v>
      </c>
      <c r="C36" t="s">
        <v>65</v>
      </c>
      <c r="D36" t="s">
        <v>39</v>
      </c>
      <c r="E36" t="s">
        <v>40</v>
      </c>
      <c r="F36" t="s">
        <v>41</v>
      </c>
      <c r="G36" t="s">
        <v>42</v>
      </c>
    </row>
    <row r="37" spans="1:7" x14ac:dyDescent="0.2">
      <c r="A37">
        <v>9</v>
      </c>
      <c r="B37">
        <v>61</v>
      </c>
      <c r="C37" t="s">
        <v>62</v>
      </c>
      <c r="D37" t="s">
        <v>39</v>
      </c>
      <c r="E37" t="s">
        <v>40</v>
      </c>
      <c r="F37" t="s">
        <v>41</v>
      </c>
      <c r="G37" t="s">
        <v>42</v>
      </c>
    </row>
    <row r="38" spans="1:7" x14ac:dyDescent="0.2">
      <c r="A38">
        <v>9</v>
      </c>
      <c r="B38">
        <v>61</v>
      </c>
      <c r="C38" t="s">
        <v>66</v>
      </c>
      <c r="D38" t="s">
        <v>39</v>
      </c>
      <c r="E38" t="s">
        <v>40</v>
      </c>
      <c r="F38" t="s">
        <v>41</v>
      </c>
      <c r="G38" t="s">
        <v>42</v>
      </c>
    </row>
    <row r="39" spans="1:7" x14ac:dyDescent="0.2">
      <c r="A39">
        <v>9</v>
      </c>
      <c r="B39">
        <v>61</v>
      </c>
      <c r="C39" t="s">
        <v>67</v>
      </c>
      <c r="D39" t="s">
        <v>39</v>
      </c>
      <c r="E39" t="s">
        <v>40</v>
      </c>
      <c r="F39" t="s">
        <v>41</v>
      </c>
      <c r="G39" t="s">
        <v>42</v>
      </c>
    </row>
    <row r="40" spans="1:7" x14ac:dyDescent="0.2">
      <c r="A40">
        <v>9</v>
      </c>
      <c r="B40">
        <v>61</v>
      </c>
      <c r="C40" t="s">
        <v>43</v>
      </c>
      <c r="D40" t="s">
        <v>39</v>
      </c>
      <c r="E40" t="s">
        <v>40</v>
      </c>
      <c r="F40" t="s">
        <v>41</v>
      </c>
      <c r="G40" t="s">
        <v>42</v>
      </c>
    </row>
    <row r="41" spans="1:7" x14ac:dyDescent="0.2">
      <c r="A41">
        <v>9</v>
      </c>
      <c r="B41">
        <v>61</v>
      </c>
      <c r="C41" t="s">
        <v>68</v>
      </c>
      <c r="D41" t="s">
        <v>39</v>
      </c>
      <c r="E41" t="s">
        <v>40</v>
      </c>
      <c r="F41" t="s">
        <v>41</v>
      </c>
      <c r="G41" t="s">
        <v>42</v>
      </c>
    </row>
    <row r="42" spans="1:7" x14ac:dyDescent="0.2">
      <c r="A42">
        <v>9</v>
      </c>
      <c r="B42">
        <v>61</v>
      </c>
      <c r="C42" t="s">
        <v>69</v>
      </c>
      <c r="D42" t="s">
        <v>39</v>
      </c>
      <c r="E42" t="s">
        <v>40</v>
      </c>
      <c r="F42" t="s">
        <v>41</v>
      </c>
      <c r="G42" t="s">
        <v>42</v>
      </c>
    </row>
    <row r="43" spans="1:7" x14ac:dyDescent="0.2">
      <c r="A43">
        <v>9</v>
      </c>
      <c r="B43">
        <v>61</v>
      </c>
      <c r="C43" t="s">
        <v>44</v>
      </c>
      <c r="D43" t="s">
        <v>39</v>
      </c>
      <c r="E43" t="s">
        <v>40</v>
      </c>
      <c r="F43" t="s">
        <v>41</v>
      </c>
      <c r="G43" t="s">
        <v>42</v>
      </c>
    </row>
    <row r="44" spans="1:7" x14ac:dyDescent="0.2">
      <c r="A44">
        <v>9</v>
      </c>
      <c r="B44">
        <v>61</v>
      </c>
      <c r="C44" t="s">
        <v>70</v>
      </c>
      <c r="D44" t="s">
        <v>39</v>
      </c>
      <c r="E44" t="s">
        <v>40</v>
      </c>
      <c r="F44" t="s">
        <v>41</v>
      </c>
      <c r="G44" t="s">
        <v>42</v>
      </c>
    </row>
    <row r="45" spans="1:7" x14ac:dyDescent="0.2">
      <c r="A45">
        <v>10</v>
      </c>
      <c r="B45">
        <v>61</v>
      </c>
      <c r="C45" t="s">
        <v>48</v>
      </c>
      <c r="D45" t="s">
        <v>39</v>
      </c>
      <c r="E45" t="s">
        <v>46</v>
      </c>
      <c r="F45" t="s">
        <v>47</v>
      </c>
      <c r="G45" t="s">
        <v>42</v>
      </c>
    </row>
    <row r="46" spans="1:7" x14ac:dyDescent="0.2">
      <c r="A46">
        <v>10</v>
      </c>
      <c r="B46">
        <v>61</v>
      </c>
      <c r="C46" t="s">
        <v>71</v>
      </c>
      <c r="D46" t="s">
        <v>39</v>
      </c>
      <c r="E46" t="s">
        <v>46</v>
      </c>
      <c r="F46" t="s">
        <v>47</v>
      </c>
      <c r="G46" t="s">
        <v>42</v>
      </c>
    </row>
    <row r="47" spans="1:7" x14ac:dyDescent="0.2">
      <c r="A47">
        <v>10</v>
      </c>
      <c r="B47">
        <v>61</v>
      </c>
      <c r="C47" t="s">
        <v>72</v>
      </c>
      <c r="D47" t="s">
        <v>39</v>
      </c>
      <c r="E47" t="s">
        <v>46</v>
      </c>
      <c r="F47" t="s">
        <v>51</v>
      </c>
      <c r="G47" t="s">
        <v>42</v>
      </c>
    </row>
    <row r="48" spans="1:7" x14ac:dyDescent="0.2">
      <c r="A48">
        <v>10</v>
      </c>
      <c r="B48">
        <v>61</v>
      </c>
      <c r="C48" t="s">
        <v>38</v>
      </c>
      <c r="D48" t="s">
        <v>39</v>
      </c>
      <c r="E48" t="s">
        <v>46</v>
      </c>
      <c r="F48" t="s">
        <v>51</v>
      </c>
      <c r="G48" t="s">
        <v>42</v>
      </c>
    </row>
    <row r="49" spans="1:7" x14ac:dyDescent="0.2">
      <c r="A49">
        <v>10</v>
      </c>
      <c r="B49">
        <v>61</v>
      </c>
      <c r="C49" t="s">
        <v>73</v>
      </c>
      <c r="D49" t="s">
        <v>39</v>
      </c>
      <c r="E49" t="s">
        <v>46</v>
      </c>
      <c r="F49" t="s">
        <v>51</v>
      </c>
      <c r="G49" t="s">
        <v>42</v>
      </c>
    </row>
    <row r="50" spans="1:7" x14ac:dyDescent="0.2">
      <c r="A50">
        <v>10</v>
      </c>
      <c r="B50">
        <v>61</v>
      </c>
      <c r="C50" t="s">
        <v>74</v>
      </c>
      <c r="D50" t="s">
        <v>39</v>
      </c>
      <c r="E50" t="s">
        <v>46</v>
      </c>
      <c r="F50" t="s">
        <v>51</v>
      </c>
      <c r="G50" t="s">
        <v>42</v>
      </c>
    </row>
    <row r="51" spans="1:7" x14ac:dyDescent="0.2">
      <c r="A51">
        <v>10</v>
      </c>
      <c r="B51">
        <v>61</v>
      </c>
      <c r="C51" t="s">
        <v>64</v>
      </c>
      <c r="D51" t="s">
        <v>39</v>
      </c>
      <c r="E51" t="s">
        <v>46</v>
      </c>
      <c r="F51" t="s">
        <v>47</v>
      </c>
      <c r="G51" t="s">
        <v>42</v>
      </c>
    </row>
    <row r="52" spans="1:7" x14ac:dyDescent="0.2">
      <c r="A52">
        <v>10</v>
      </c>
      <c r="B52">
        <v>61</v>
      </c>
      <c r="C52" t="s">
        <v>65</v>
      </c>
      <c r="D52" t="s">
        <v>39</v>
      </c>
      <c r="E52" t="s">
        <v>46</v>
      </c>
      <c r="F52" t="s">
        <v>51</v>
      </c>
      <c r="G52" t="s">
        <v>42</v>
      </c>
    </row>
    <row r="53" spans="1:7" x14ac:dyDescent="0.2">
      <c r="A53">
        <v>10</v>
      </c>
      <c r="B53">
        <v>61</v>
      </c>
      <c r="C53" t="s">
        <v>75</v>
      </c>
      <c r="D53" t="s">
        <v>39</v>
      </c>
      <c r="E53" t="s">
        <v>46</v>
      </c>
      <c r="F53" t="s">
        <v>51</v>
      </c>
      <c r="G53" t="s">
        <v>42</v>
      </c>
    </row>
    <row r="54" spans="1:7" x14ac:dyDescent="0.2">
      <c r="A54">
        <v>10</v>
      </c>
      <c r="B54">
        <v>61</v>
      </c>
      <c r="C54" t="s">
        <v>62</v>
      </c>
      <c r="D54" t="s">
        <v>39</v>
      </c>
      <c r="E54" t="s">
        <v>46</v>
      </c>
      <c r="F54" t="s">
        <v>51</v>
      </c>
      <c r="G54" t="s">
        <v>42</v>
      </c>
    </row>
    <row r="55" spans="1:7" x14ac:dyDescent="0.2">
      <c r="A55">
        <v>10</v>
      </c>
      <c r="B55">
        <v>61</v>
      </c>
      <c r="C55" t="s">
        <v>67</v>
      </c>
      <c r="D55" t="s">
        <v>39</v>
      </c>
      <c r="E55" t="s">
        <v>46</v>
      </c>
      <c r="F55" t="s">
        <v>51</v>
      </c>
      <c r="G55" t="s">
        <v>42</v>
      </c>
    </row>
    <row r="56" spans="1:7" x14ac:dyDescent="0.2">
      <c r="A56">
        <v>10</v>
      </c>
      <c r="B56">
        <v>61</v>
      </c>
      <c r="C56" t="s">
        <v>76</v>
      </c>
      <c r="D56" t="s">
        <v>39</v>
      </c>
      <c r="E56" t="s">
        <v>46</v>
      </c>
      <c r="F56" t="s">
        <v>51</v>
      </c>
      <c r="G56" t="s">
        <v>42</v>
      </c>
    </row>
    <row r="57" spans="1:7" x14ac:dyDescent="0.2">
      <c r="A57">
        <v>10</v>
      </c>
      <c r="B57">
        <v>61</v>
      </c>
      <c r="C57" t="s">
        <v>77</v>
      </c>
      <c r="D57" t="s">
        <v>39</v>
      </c>
      <c r="E57" t="s">
        <v>46</v>
      </c>
      <c r="F57" t="s">
        <v>51</v>
      </c>
      <c r="G57" t="s">
        <v>42</v>
      </c>
    </row>
    <row r="58" spans="1:7" x14ac:dyDescent="0.2">
      <c r="A58">
        <v>10</v>
      </c>
      <c r="B58">
        <v>61</v>
      </c>
      <c r="C58" t="s">
        <v>78</v>
      </c>
      <c r="D58" t="s">
        <v>39</v>
      </c>
      <c r="E58" t="s">
        <v>46</v>
      </c>
      <c r="F58" t="s">
        <v>51</v>
      </c>
      <c r="G58" t="s">
        <v>42</v>
      </c>
    </row>
    <row r="59" spans="1:7" x14ac:dyDescent="0.2">
      <c r="A59">
        <v>10</v>
      </c>
      <c r="B59">
        <v>61</v>
      </c>
      <c r="C59" t="s">
        <v>79</v>
      </c>
      <c r="D59" t="s">
        <v>39</v>
      </c>
      <c r="E59" t="s">
        <v>46</v>
      </c>
      <c r="F59" t="s">
        <v>51</v>
      </c>
      <c r="G59" t="s">
        <v>42</v>
      </c>
    </row>
    <row r="60" spans="1:7" x14ac:dyDescent="0.2">
      <c r="A60">
        <v>10</v>
      </c>
      <c r="B60">
        <v>61</v>
      </c>
      <c r="C60" t="s">
        <v>44</v>
      </c>
      <c r="D60" t="s">
        <v>39</v>
      </c>
      <c r="E60" t="s">
        <v>46</v>
      </c>
      <c r="F60" t="s">
        <v>51</v>
      </c>
      <c r="G60" t="s">
        <v>42</v>
      </c>
    </row>
    <row r="61" spans="1:7" x14ac:dyDescent="0.2">
      <c r="A61">
        <v>10</v>
      </c>
      <c r="B61">
        <v>61</v>
      </c>
      <c r="C61" t="s">
        <v>70</v>
      </c>
      <c r="D61" t="s">
        <v>39</v>
      </c>
      <c r="E61" t="s">
        <v>46</v>
      </c>
      <c r="F61" t="s">
        <v>51</v>
      </c>
      <c r="G61" t="s">
        <v>42</v>
      </c>
    </row>
    <row r="62" spans="1:7" x14ac:dyDescent="0.2">
      <c r="A62">
        <v>10</v>
      </c>
      <c r="B62">
        <v>61</v>
      </c>
      <c r="C62" t="s">
        <v>80</v>
      </c>
      <c r="D62" t="s">
        <v>39</v>
      </c>
      <c r="E62" t="s">
        <v>46</v>
      </c>
      <c r="F62" t="s">
        <v>51</v>
      </c>
      <c r="G62" t="s">
        <v>42</v>
      </c>
    </row>
    <row r="63" spans="1:7" x14ac:dyDescent="0.2">
      <c r="A63">
        <v>10</v>
      </c>
      <c r="B63">
        <v>61</v>
      </c>
      <c r="C63" t="s">
        <v>81</v>
      </c>
      <c r="D63" t="s">
        <v>39</v>
      </c>
      <c r="E63" t="s">
        <v>46</v>
      </c>
      <c r="F63" t="s">
        <v>51</v>
      </c>
      <c r="G63" t="s">
        <v>42</v>
      </c>
    </row>
    <row r="64" spans="1:7" x14ac:dyDescent="0.2">
      <c r="A64">
        <v>10</v>
      </c>
      <c r="B64">
        <v>61</v>
      </c>
      <c r="C64" t="s">
        <v>82</v>
      </c>
      <c r="D64" t="s">
        <v>39</v>
      </c>
      <c r="E64" t="s">
        <v>46</v>
      </c>
      <c r="F64" t="s">
        <v>51</v>
      </c>
      <c r="G64" t="s">
        <v>42</v>
      </c>
    </row>
    <row r="65" spans="1:7" x14ac:dyDescent="0.2">
      <c r="A65">
        <v>10</v>
      </c>
      <c r="B65">
        <v>61</v>
      </c>
      <c r="C65" t="s">
        <v>83</v>
      </c>
      <c r="D65" t="s">
        <v>39</v>
      </c>
      <c r="E65" t="s">
        <v>46</v>
      </c>
      <c r="F65" t="s">
        <v>51</v>
      </c>
      <c r="G65" t="s">
        <v>42</v>
      </c>
    </row>
    <row r="66" spans="1:7" x14ac:dyDescent="0.2">
      <c r="A66">
        <v>10</v>
      </c>
      <c r="B66">
        <v>61</v>
      </c>
      <c r="C66" t="s">
        <v>84</v>
      </c>
      <c r="D66" t="s">
        <v>39</v>
      </c>
      <c r="E66" t="s">
        <v>46</v>
      </c>
      <c r="F66" t="s">
        <v>51</v>
      </c>
      <c r="G66" t="s">
        <v>42</v>
      </c>
    </row>
    <row r="67" spans="1:7" x14ac:dyDescent="0.2">
      <c r="A67">
        <v>10</v>
      </c>
      <c r="B67">
        <v>61</v>
      </c>
      <c r="C67" t="s">
        <v>85</v>
      </c>
      <c r="D67" t="s">
        <v>39</v>
      </c>
      <c r="E67" t="s">
        <v>46</v>
      </c>
      <c r="F67" t="s">
        <v>51</v>
      </c>
      <c r="G67" t="s">
        <v>42</v>
      </c>
    </row>
    <row r="68" spans="1:7" x14ac:dyDescent="0.2">
      <c r="A68">
        <v>10</v>
      </c>
      <c r="B68">
        <v>61</v>
      </c>
      <c r="C68" t="s">
        <v>86</v>
      </c>
      <c r="D68" t="s">
        <v>39</v>
      </c>
      <c r="E68" t="s">
        <v>46</v>
      </c>
      <c r="F68" t="s">
        <v>51</v>
      </c>
      <c r="G68" t="s">
        <v>42</v>
      </c>
    </row>
    <row r="69" spans="1:7" x14ac:dyDescent="0.2">
      <c r="A69">
        <v>10</v>
      </c>
      <c r="B69">
        <v>61</v>
      </c>
      <c r="C69" t="s">
        <v>87</v>
      </c>
      <c r="D69" t="s">
        <v>39</v>
      </c>
      <c r="E69" t="s">
        <v>46</v>
      </c>
      <c r="F69" t="s">
        <v>51</v>
      </c>
      <c r="G69" t="s">
        <v>42</v>
      </c>
    </row>
    <row r="70" spans="1:7" x14ac:dyDescent="0.2">
      <c r="A70">
        <v>10</v>
      </c>
      <c r="B70">
        <v>61</v>
      </c>
      <c r="C70" t="s">
        <v>88</v>
      </c>
      <c r="D70" t="s">
        <v>39</v>
      </c>
      <c r="E70" t="s">
        <v>46</v>
      </c>
      <c r="F70" t="s">
        <v>51</v>
      </c>
      <c r="G70" t="s">
        <v>42</v>
      </c>
    </row>
    <row r="71" spans="1:7" x14ac:dyDescent="0.2">
      <c r="A71">
        <v>10</v>
      </c>
      <c r="B71">
        <v>61</v>
      </c>
      <c r="C71" t="s">
        <v>89</v>
      </c>
      <c r="D71" t="s">
        <v>39</v>
      </c>
      <c r="E71" t="s">
        <v>46</v>
      </c>
      <c r="F71" t="s">
        <v>51</v>
      </c>
      <c r="G71" t="s">
        <v>42</v>
      </c>
    </row>
    <row r="72" spans="1:7" x14ac:dyDescent="0.2">
      <c r="A72">
        <v>11</v>
      </c>
      <c r="B72">
        <v>61</v>
      </c>
      <c r="C72" t="s">
        <v>90</v>
      </c>
      <c r="D72" t="s">
        <v>39</v>
      </c>
      <c r="E72" t="s">
        <v>46</v>
      </c>
      <c r="F72" t="s">
        <v>41</v>
      </c>
      <c r="G72" t="s">
        <v>42</v>
      </c>
    </row>
    <row r="73" spans="1:7" x14ac:dyDescent="0.2">
      <c r="A73">
        <v>11</v>
      </c>
      <c r="B73">
        <v>61</v>
      </c>
      <c r="C73" t="s">
        <v>91</v>
      </c>
      <c r="D73" t="s">
        <v>39</v>
      </c>
      <c r="E73" t="s">
        <v>46</v>
      </c>
      <c r="F73" t="s">
        <v>41</v>
      </c>
      <c r="G73" t="s">
        <v>42</v>
      </c>
    </row>
    <row r="74" spans="1:7" x14ac:dyDescent="0.2">
      <c r="A74">
        <v>11</v>
      </c>
      <c r="B74">
        <v>61</v>
      </c>
      <c r="C74" t="s">
        <v>92</v>
      </c>
      <c r="D74" t="s">
        <v>39</v>
      </c>
      <c r="E74" t="s">
        <v>46</v>
      </c>
      <c r="F74" t="s">
        <v>41</v>
      </c>
      <c r="G74" t="s">
        <v>42</v>
      </c>
    </row>
    <row r="75" spans="1:7" x14ac:dyDescent="0.2">
      <c r="A75">
        <v>11</v>
      </c>
      <c r="B75">
        <v>61</v>
      </c>
      <c r="C75" t="s">
        <v>85</v>
      </c>
      <c r="D75" t="s">
        <v>39</v>
      </c>
      <c r="E75" t="s">
        <v>46</v>
      </c>
      <c r="F75" t="s">
        <v>41</v>
      </c>
      <c r="G75" t="s">
        <v>42</v>
      </c>
    </row>
    <row r="76" spans="1:7" x14ac:dyDescent="0.2">
      <c r="A76">
        <v>11</v>
      </c>
      <c r="B76">
        <v>61</v>
      </c>
      <c r="C76" t="s">
        <v>93</v>
      </c>
      <c r="D76" t="s">
        <v>94</v>
      </c>
      <c r="E76" t="s">
        <v>46</v>
      </c>
      <c r="F76" t="s">
        <v>41</v>
      </c>
      <c r="G76" t="s">
        <v>42</v>
      </c>
    </row>
    <row r="77" spans="1:7" x14ac:dyDescent="0.2">
      <c r="A77">
        <v>11</v>
      </c>
      <c r="B77">
        <v>61</v>
      </c>
      <c r="C77" t="s">
        <v>83</v>
      </c>
      <c r="D77" t="s">
        <v>39</v>
      </c>
      <c r="E77" t="s">
        <v>46</v>
      </c>
      <c r="F77" t="s">
        <v>41</v>
      </c>
      <c r="G77" t="s">
        <v>42</v>
      </c>
    </row>
    <row r="78" spans="1:7" x14ac:dyDescent="0.2">
      <c r="A78">
        <v>11</v>
      </c>
      <c r="B78">
        <v>61</v>
      </c>
      <c r="C78" t="s">
        <v>95</v>
      </c>
      <c r="D78" t="s">
        <v>39</v>
      </c>
      <c r="E78" t="s">
        <v>46</v>
      </c>
      <c r="F78" t="s">
        <v>41</v>
      </c>
      <c r="G78" t="s">
        <v>42</v>
      </c>
    </row>
    <row r="79" spans="1:7" x14ac:dyDescent="0.2">
      <c r="A79">
        <v>11</v>
      </c>
      <c r="B79">
        <v>61</v>
      </c>
      <c r="C79" t="s">
        <v>96</v>
      </c>
      <c r="D79" t="s">
        <v>39</v>
      </c>
      <c r="E79" t="s">
        <v>46</v>
      </c>
      <c r="F79" t="s">
        <v>41</v>
      </c>
      <c r="G79" t="s">
        <v>42</v>
      </c>
    </row>
    <row r="80" spans="1:7" x14ac:dyDescent="0.2">
      <c r="A80">
        <v>11</v>
      </c>
      <c r="B80">
        <v>61</v>
      </c>
      <c r="C80" t="s">
        <v>97</v>
      </c>
      <c r="D80" t="s">
        <v>39</v>
      </c>
      <c r="E80" t="s">
        <v>46</v>
      </c>
      <c r="F80" t="s">
        <v>41</v>
      </c>
      <c r="G80" t="s">
        <v>42</v>
      </c>
    </row>
    <row r="81" spans="1:7" x14ac:dyDescent="0.2">
      <c r="A81">
        <v>11</v>
      </c>
      <c r="B81">
        <v>61</v>
      </c>
      <c r="C81" t="s">
        <v>66</v>
      </c>
      <c r="D81" t="s">
        <v>39</v>
      </c>
      <c r="E81" t="s">
        <v>46</v>
      </c>
      <c r="F81" t="s">
        <v>41</v>
      </c>
      <c r="G81" t="s">
        <v>42</v>
      </c>
    </row>
    <row r="82" spans="1:7" x14ac:dyDescent="0.2">
      <c r="A82">
        <v>11</v>
      </c>
      <c r="B82">
        <v>61</v>
      </c>
      <c r="C82" t="s">
        <v>98</v>
      </c>
      <c r="D82" t="s">
        <v>39</v>
      </c>
      <c r="E82" t="s">
        <v>46</v>
      </c>
      <c r="F82" t="s">
        <v>41</v>
      </c>
      <c r="G82" t="s">
        <v>42</v>
      </c>
    </row>
    <row r="83" spans="1:7" x14ac:dyDescent="0.2">
      <c r="A83">
        <v>11</v>
      </c>
      <c r="B83">
        <v>61</v>
      </c>
      <c r="C83" t="s">
        <v>80</v>
      </c>
      <c r="D83" t="s">
        <v>39</v>
      </c>
      <c r="E83" t="s">
        <v>46</v>
      </c>
      <c r="F83" t="s">
        <v>41</v>
      </c>
      <c r="G83" t="s">
        <v>42</v>
      </c>
    </row>
    <row r="84" spans="1:7" x14ac:dyDescent="0.2">
      <c r="A84">
        <v>11</v>
      </c>
      <c r="B84">
        <v>61</v>
      </c>
      <c r="C84" t="s">
        <v>99</v>
      </c>
      <c r="D84" t="s">
        <v>39</v>
      </c>
      <c r="E84" t="s">
        <v>46</v>
      </c>
      <c r="F84" t="s">
        <v>41</v>
      </c>
      <c r="G84" t="s">
        <v>42</v>
      </c>
    </row>
    <row r="85" spans="1:7" x14ac:dyDescent="0.2">
      <c r="A85">
        <v>11</v>
      </c>
      <c r="B85">
        <v>61</v>
      </c>
      <c r="C85" t="s">
        <v>100</v>
      </c>
      <c r="D85" t="s">
        <v>39</v>
      </c>
      <c r="E85" t="s">
        <v>46</v>
      </c>
      <c r="F85" t="s">
        <v>41</v>
      </c>
      <c r="G85" t="s">
        <v>42</v>
      </c>
    </row>
    <row r="86" spans="1:7" x14ac:dyDescent="0.2">
      <c r="A86">
        <v>11</v>
      </c>
      <c r="B86">
        <v>61</v>
      </c>
      <c r="C86" t="s">
        <v>101</v>
      </c>
      <c r="D86" t="s">
        <v>39</v>
      </c>
      <c r="E86" t="s">
        <v>46</v>
      </c>
      <c r="F86" t="s">
        <v>41</v>
      </c>
      <c r="G86" t="s">
        <v>42</v>
      </c>
    </row>
    <row r="87" spans="1:7" x14ac:dyDescent="0.2">
      <c r="A87">
        <v>11</v>
      </c>
      <c r="B87">
        <v>61</v>
      </c>
      <c r="C87" t="s">
        <v>102</v>
      </c>
      <c r="D87" t="s">
        <v>39</v>
      </c>
      <c r="E87" t="s">
        <v>46</v>
      </c>
      <c r="F87" t="s">
        <v>51</v>
      </c>
      <c r="G87" t="s">
        <v>42</v>
      </c>
    </row>
    <row r="88" spans="1:7" x14ac:dyDescent="0.2">
      <c r="A88">
        <v>11</v>
      </c>
      <c r="B88">
        <v>61</v>
      </c>
      <c r="C88" t="s">
        <v>103</v>
      </c>
      <c r="D88" t="s">
        <v>39</v>
      </c>
      <c r="E88" t="s">
        <v>46</v>
      </c>
      <c r="F88" t="s">
        <v>51</v>
      </c>
      <c r="G88" t="s">
        <v>42</v>
      </c>
    </row>
    <row r="89" spans="1:7" x14ac:dyDescent="0.2">
      <c r="A89">
        <v>11</v>
      </c>
      <c r="B89">
        <v>61</v>
      </c>
      <c r="C89" t="s">
        <v>67</v>
      </c>
      <c r="D89" t="s">
        <v>39</v>
      </c>
      <c r="E89" t="s">
        <v>46</v>
      </c>
      <c r="F89" t="s">
        <v>51</v>
      </c>
      <c r="G89" t="s">
        <v>42</v>
      </c>
    </row>
    <row r="90" spans="1:7" x14ac:dyDescent="0.2">
      <c r="A90">
        <v>11</v>
      </c>
      <c r="B90">
        <v>61</v>
      </c>
      <c r="C90" t="s">
        <v>75</v>
      </c>
      <c r="D90" t="s">
        <v>39</v>
      </c>
      <c r="E90" t="s">
        <v>46</v>
      </c>
      <c r="F90" t="s">
        <v>51</v>
      </c>
      <c r="G90" t="s">
        <v>42</v>
      </c>
    </row>
    <row r="91" spans="1:7" x14ac:dyDescent="0.2">
      <c r="A91">
        <v>12</v>
      </c>
      <c r="B91">
        <v>61</v>
      </c>
      <c r="C91" t="s">
        <v>104</v>
      </c>
      <c r="D91" t="s">
        <v>39</v>
      </c>
      <c r="E91" t="s">
        <v>46</v>
      </c>
      <c r="F91" t="s">
        <v>51</v>
      </c>
      <c r="G91" t="s">
        <v>42</v>
      </c>
    </row>
    <row r="92" spans="1:7" x14ac:dyDescent="0.2">
      <c r="A92">
        <v>12</v>
      </c>
      <c r="B92">
        <v>61</v>
      </c>
      <c r="C92" t="s">
        <v>70</v>
      </c>
      <c r="D92" t="s">
        <v>39</v>
      </c>
      <c r="E92" t="s">
        <v>46</v>
      </c>
      <c r="F92" t="s">
        <v>51</v>
      </c>
      <c r="G92" t="s">
        <v>42</v>
      </c>
    </row>
    <row r="93" spans="1:7" x14ac:dyDescent="0.2">
      <c r="A93">
        <v>12</v>
      </c>
      <c r="B93">
        <v>61</v>
      </c>
      <c r="C93" t="s">
        <v>62</v>
      </c>
      <c r="D93" t="s">
        <v>39</v>
      </c>
      <c r="E93" t="s">
        <v>46</v>
      </c>
      <c r="F93" t="s">
        <v>51</v>
      </c>
      <c r="G93" t="s">
        <v>42</v>
      </c>
    </row>
    <row r="94" spans="1:7" x14ac:dyDescent="0.2">
      <c r="A94">
        <v>12</v>
      </c>
      <c r="B94">
        <v>61</v>
      </c>
      <c r="C94" t="s">
        <v>105</v>
      </c>
      <c r="D94" t="s">
        <v>39</v>
      </c>
      <c r="E94" t="s">
        <v>46</v>
      </c>
      <c r="F94" t="s">
        <v>47</v>
      </c>
      <c r="G94" t="s">
        <v>42</v>
      </c>
    </row>
    <row r="95" spans="1:7" x14ac:dyDescent="0.2">
      <c r="A95">
        <v>12</v>
      </c>
      <c r="B95">
        <v>61</v>
      </c>
      <c r="C95" t="s">
        <v>106</v>
      </c>
      <c r="D95" t="s">
        <v>39</v>
      </c>
      <c r="E95" t="s">
        <v>46</v>
      </c>
      <c r="F95" t="s">
        <v>51</v>
      </c>
      <c r="G95" t="s">
        <v>42</v>
      </c>
    </row>
    <row r="96" spans="1:7" x14ac:dyDescent="0.2">
      <c r="A96">
        <v>12</v>
      </c>
      <c r="B96">
        <v>61</v>
      </c>
      <c r="C96" t="s">
        <v>65</v>
      </c>
      <c r="D96" t="s">
        <v>39</v>
      </c>
      <c r="E96" t="s">
        <v>46</v>
      </c>
      <c r="F96" t="s">
        <v>51</v>
      </c>
      <c r="G96" t="s">
        <v>42</v>
      </c>
    </row>
    <row r="97" spans="1:7" x14ac:dyDescent="0.2">
      <c r="A97">
        <v>12</v>
      </c>
      <c r="B97">
        <v>61</v>
      </c>
      <c r="C97" t="s">
        <v>107</v>
      </c>
      <c r="D97" t="s">
        <v>39</v>
      </c>
      <c r="E97" t="s">
        <v>46</v>
      </c>
      <c r="F97" t="s">
        <v>51</v>
      </c>
      <c r="G97" t="s">
        <v>42</v>
      </c>
    </row>
    <row r="98" spans="1:7" x14ac:dyDescent="0.2">
      <c r="A98">
        <v>12</v>
      </c>
      <c r="B98">
        <v>61</v>
      </c>
      <c r="C98" t="s">
        <v>64</v>
      </c>
      <c r="D98" t="s">
        <v>39</v>
      </c>
      <c r="E98" t="s">
        <v>46</v>
      </c>
      <c r="F98" t="s">
        <v>51</v>
      </c>
      <c r="G98" t="s">
        <v>42</v>
      </c>
    </row>
    <row r="99" spans="1:7" x14ac:dyDescent="0.2">
      <c r="A99">
        <v>12</v>
      </c>
      <c r="B99">
        <v>61</v>
      </c>
      <c r="C99" t="s">
        <v>38</v>
      </c>
      <c r="D99" t="s">
        <v>39</v>
      </c>
      <c r="E99" t="s">
        <v>46</v>
      </c>
      <c r="F99" t="s">
        <v>51</v>
      </c>
      <c r="G99" t="s">
        <v>42</v>
      </c>
    </row>
    <row r="100" spans="1:7" x14ac:dyDescent="0.2">
      <c r="A100">
        <v>12</v>
      </c>
      <c r="B100">
        <v>61</v>
      </c>
      <c r="C100" t="s">
        <v>108</v>
      </c>
      <c r="D100" t="s">
        <v>39</v>
      </c>
      <c r="E100" t="s">
        <v>46</v>
      </c>
      <c r="F100" t="s">
        <v>51</v>
      </c>
      <c r="G100" t="s">
        <v>42</v>
      </c>
    </row>
    <row r="101" spans="1:7" x14ac:dyDescent="0.2">
      <c r="A101">
        <v>12</v>
      </c>
      <c r="B101">
        <v>61</v>
      </c>
      <c r="C101" t="s">
        <v>64</v>
      </c>
      <c r="D101" t="s">
        <v>39</v>
      </c>
      <c r="E101" t="s">
        <v>46</v>
      </c>
      <c r="F101" t="s">
        <v>51</v>
      </c>
      <c r="G101" t="s">
        <v>42</v>
      </c>
    </row>
    <row r="102" spans="1:7" x14ac:dyDescent="0.2">
      <c r="A102">
        <v>12</v>
      </c>
      <c r="B102">
        <v>61</v>
      </c>
      <c r="C102" t="s">
        <v>73</v>
      </c>
      <c r="D102" t="s">
        <v>39</v>
      </c>
      <c r="E102" t="s">
        <v>46</v>
      </c>
      <c r="F102" t="s">
        <v>51</v>
      </c>
      <c r="G102" t="s">
        <v>42</v>
      </c>
    </row>
    <row r="103" spans="1:7" x14ac:dyDescent="0.2">
      <c r="A103">
        <v>12</v>
      </c>
      <c r="B103">
        <v>61</v>
      </c>
      <c r="C103" t="s">
        <v>109</v>
      </c>
      <c r="D103" t="s">
        <v>39</v>
      </c>
      <c r="E103" t="s">
        <v>46</v>
      </c>
      <c r="F103" t="s">
        <v>51</v>
      </c>
      <c r="G103" t="s">
        <v>42</v>
      </c>
    </row>
    <row r="104" spans="1:7" x14ac:dyDescent="0.2">
      <c r="A104">
        <v>12</v>
      </c>
      <c r="B104">
        <v>61</v>
      </c>
      <c r="C104" t="s">
        <v>110</v>
      </c>
      <c r="D104" t="s">
        <v>39</v>
      </c>
      <c r="E104" t="s">
        <v>46</v>
      </c>
      <c r="F104" t="s">
        <v>51</v>
      </c>
      <c r="G104" t="s">
        <v>42</v>
      </c>
    </row>
    <row r="105" spans="1:7" x14ac:dyDescent="0.2">
      <c r="A105">
        <v>12</v>
      </c>
      <c r="B105">
        <v>61</v>
      </c>
      <c r="C105" t="s">
        <v>110</v>
      </c>
      <c r="D105" t="s">
        <v>39</v>
      </c>
      <c r="E105" t="s">
        <v>46</v>
      </c>
      <c r="F105" t="s">
        <v>51</v>
      </c>
      <c r="G105" t="s">
        <v>42</v>
      </c>
    </row>
    <row r="106" spans="1:7" x14ac:dyDescent="0.2">
      <c r="A106">
        <v>12</v>
      </c>
      <c r="B106">
        <v>61</v>
      </c>
      <c r="C106" t="s">
        <v>73</v>
      </c>
      <c r="D106" t="s">
        <v>39</v>
      </c>
      <c r="E106" t="s">
        <v>46</v>
      </c>
      <c r="F106" t="s">
        <v>51</v>
      </c>
      <c r="G106" t="s">
        <v>42</v>
      </c>
    </row>
    <row r="107" spans="1:7" x14ac:dyDescent="0.2">
      <c r="A107">
        <v>12</v>
      </c>
      <c r="B107">
        <v>61</v>
      </c>
      <c r="C107" t="s">
        <v>74</v>
      </c>
      <c r="D107" t="s">
        <v>39</v>
      </c>
      <c r="E107" t="s">
        <v>46</v>
      </c>
      <c r="F107" t="s">
        <v>51</v>
      </c>
      <c r="G107" t="s">
        <v>42</v>
      </c>
    </row>
    <row r="108" spans="1:7" x14ac:dyDescent="0.2">
      <c r="A108">
        <v>12</v>
      </c>
      <c r="B108">
        <v>61</v>
      </c>
      <c r="C108" t="s">
        <v>111</v>
      </c>
      <c r="D108" t="s">
        <v>39</v>
      </c>
      <c r="E108" t="s">
        <v>46</v>
      </c>
      <c r="F108" t="s">
        <v>51</v>
      </c>
      <c r="G108" t="s">
        <v>42</v>
      </c>
    </row>
    <row r="109" spans="1:7" x14ac:dyDescent="0.2">
      <c r="A109">
        <v>12</v>
      </c>
      <c r="B109">
        <v>61</v>
      </c>
      <c r="C109" t="s">
        <v>64</v>
      </c>
      <c r="D109" t="s">
        <v>39</v>
      </c>
      <c r="E109" t="s">
        <v>46</v>
      </c>
      <c r="F109" t="s">
        <v>51</v>
      </c>
      <c r="G109" t="s">
        <v>42</v>
      </c>
    </row>
    <row r="110" spans="1:7" x14ac:dyDescent="0.2">
      <c r="A110">
        <v>12</v>
      </c>
      <c r="B110">
        <v>61</v>
      </c>
      <c r="C110" t="s">
        <v>38</v>
      </c>
      <c r="D110" t="s">
        <v>39</v>
      </c>
      <c r="E110" t="s">
        <v>46</v>
      </c>
      <c r="F110" t="s">
        <v>51</v>
      </c>
      <c r="G110" t="s">
        <v>42</v>
      </c>
    </row>
    <row r="111" spans="1:7" x14ac:dyDescent="0.2">
      <c r="A111">
        <v>12</v>
      </c>
      <c r="B111">
        <v>61</v>
      </c>
      <c r="C111" t="s">
        <v>107</v>
      </c>
      <c r="D111" t="s">
        <v>39</v>
      </c>
      <c r="E111" t="s">
        <v>46</v>
      </c>
      <c r="F111" t="s">
        <v>51</v>
      </c>
      <c r="G111" t="s">
        <v>42</v>
      </c>
    </row>
    <row r="112" spans="1:7" x14ac:dyDescent="0.2">
      <c r="A112">
        <v>12</v>
      </c>
      <c r="B112">
        <v>61</v>
      </c>
      <c r="C112" t="s">
        <v>65</v>
      </c>
      <c r="D112" t="s">
        <v>39</v>
      </c>
      <c r="E112" t="s">
        <v>46</v>
      </c>
      <c r="F112" t="s">
        <v>51</v>
      </c>
      <c r="G112" t="s">
        <v>42</v>
      </c>
    </row>
    <row r="113" spans="1:7" x14ac:dyDescent="0.2">
      <c r="A113">
        <v>12</v>
      </c>
      <c r="B113">
        <v>61</v>
      </c>
      <c r="C113" t="s">
        <v>106</v>
      </c>
      <c r="D113" t="s">
        <v>39</v>
      </c>
      <c r="E113" t="s">
        <v>46</v>
      </c>
      <c r="F113" t="s">
        <v>51</v>
      </c>
      <c r="G113" t="s">
        <v>42</v>
      </c>
    </row>
    <row r="114" spans="1:7" x14ac:dyDescent="0.2">
      <c r="A114">
        <v>12</v>
      </c>
      <c r="B114">
        <v>61</v>
      </c>
      <c r="C114" t="s">
        <v>62</v>
      </c>
      <c r="D114" t="s">
        <v>39</v>
      </c>
      <c r="E114" t="s">
        <v>46</v>
      </c>
      <c r="F114" t="s">
        <v>51</v>
      </c>
      <c r="G114" t="s">
        <v>42</v>
      </c>
    </row>
    <row r="115" spans="1:7" x14ac:dyDescent="0.2">
      <c r="A115">
        <v>12</v>
      </c>
      <c r="B115">
        <v>61</v>
      </c>
      <c r="C115" t="s">
        <v>75</v>
      </c>
      <c r="D115" t="s">
        <v>39</v>
      </c>
      <c r="E115" t="s">
        <v>46</v>
      </c>
      <c r="F115" t="s">
        <v>51</v>
      </c>
      <c r="G115" t="s">
        <v>42</v>
      </c>
    </row>
    <row r="116" spans="1:7" x14ac:dyDescent="0.2">
      <c r="A116">
        <v>12</v>
      </c>
      <c r="B116">
        <v>61</v>
      </c>
      <c r="C116" t="s">
        <v>67</v>
      </c>
      <c r="D116" t="s">
        <v>39</v>
      </c>
      <c r="E116" t="s">
        <v>46</v>
      </c>
      <c r="F116" t="s">
        <v>51</v>
      </c>
      <c r="G116" t="s">
        <v>42</v>
      </c>
    </row>
    <row r="117" spans="1:7" x14ac:dyDescent="0.2">
      <c r="A117">
        <v>12</v>
      </c>
      <c r="B117">
        <v>61</v>
      </c>
      <c r="C117" t="s">
        <v>112</v>
      </c>
      <c r="D117" t="s">
        <v>39</v>
      </c>
      <c r="E117" t="s">
        <v>46</v>
      </c>
      <c r="F117" t="s">
        <v>51</v>
      </c>
      <c r="G117" t="s">
        <v>42</v>
      </c>
    </row>
    <row r="118" spans="1:7" x14ac:dyDescent="0.2">
      <c r="A118">
        <v>12</v>
      </c>
      <c r="B118">
        <v>61</v>
      </c>
      <c r="C118" t="s">
        <v>103</v>
      </c>
      <c r="D118" t="s">
        <v>39</v>
      </c>
      <c r="E118" t="s">
        <v>46</v>
      </c>
      <c r="F118" t="s">
        <v>51</v>
      </c>
      <c r="G118" t="s">
        <v>42</v>
      </c>
    </row>
    <row r="119" spans="1:7" x14ac:dyDescent="0.2">
      <c r="A119">
        <v>12</v>
      </c>
      <c r="B119">
        <v>61</v>
      </c>
      <c r="C119" t="s">
        <v>102</v>
      </c>
      <c r="D119" t="s">
        <v>39</v>
      </c>
      <c r="E119" t="s">
        <v>46</v>
      </c>
      <c r="F119" t="s">
        <v>51</v>
      </c>
      <c r="G119" t="s">
        <v>42</v>
      </c>
    </row>
    <row r="120" spans="1:7" x14ac:dyDescent="0.2">
      <c r="A120">
        <v>12</v>
      </c>
      <c r="B120">
        <v>61</v>
      </c>
      <c r="C120" t="s">
        <v>113</v>
      </c>
      <c r="D120" t="s">
        <v>39</v>
      </c>
      <c r="E120" t="s">
        <v>46</v>
      </c>
      <c r="F120" t="s">
        <v>51</v>
      </c>
      <c r="G120" t="s">
        <v>42</v>
      </c>
    </row>
    <row r="121" spans="1:7" x14ac:dyDescent="0.2">
      <c r="A121">
        <v>12</v>
      </c>
      <c r="B121">
        <v>61</v>
      </c>
      <c r="C121" t="s">
        <v>100</v>
      </c>
      <c r="D121" t="s">
        <v>39</v>
      </c>
      <c r="E121" t="s">
        <v>46</v>
      </c>
      <c r="F121" t="s">
        <v>51</v>
      </c>
      <c r="G121" t="s">
        <v>42</v>
      </c>
    </row>
    <row r="122" spans="1:7" x14ac:dyDescent="0.2">
      <c r="A122">
        <v>12</v>
      </c>
      <c r="B122">
        <v>61</v>
      </c>
      <c r="C122" t="s">
        <v>70</v>
      </c>
      <c r="D122" t="s">
        <v>39</v>
      </c>
      <c r="E122" t="s">
        <v>46</v>
      </c>
      <c r="F122" t="s">
        <v>51</v>
      </c>
      <c r="G122" t="s">
        <v>42</v>
      </c>
    </row>
    <row r="123" spans="1:7" x14ac:dyDescent="0.2">
      <c r="A123">
        <v>12</v>
      </c>
      <c r="B123">
        <v>61</v>
      </c>
      <c r="C123" t="s">
        <v>104</v>
      </c>
      <c r="D123" t="s">
        <v>39</v>
      </c>
      <c r="E123" t="s">
        <v>46</v>
      </c>
      <c r="F123" t="s">
        <v>51</v>
      </c>
      <c r="G123" t="s">
        <v>42</v>
      </c>
    </row>
    <row r="124" spans="1:7" x14ac:dyDescent="0.2">
      <c r="A124">
        <v>12</v>
      </c>
      <c r="B124">
        <v>61</v>
      </c>
      <c r="C124" t="s">
        <v>80</v>
      </c>
      <c r="D124" t="s">
        <v>39</v>
      </c>
      <c r="E124" t="s">
        <v>46</v>
      </c>
      <c r="F124" t="s">
        <v>51</v>
      </c>
      <c r="G124" t="s">
        <v>42</v>
      </c>
    </row>
    <row r="125" spans="1:7" x14ac:dyDescent="0.2">
      <c r="A125">
        <v>12</v>
      </c>
      <c r="B125">
        <v>61</v>
      </c>
      <c r="C125" t="s">
        <v>98</v>
      </c>
      <c r="D125" t="s">
        <v>39</v>
      </c>
      <c r="E125" t="s">
        <v>46</v>
      </c>
      <c r="F125" t="s">
        <v>51</v>
      </c>
      <c r="G125" t="s">
        <v>42</v>
      </c>
    </row>
    <row r="126" spans="1:7" x14ac:dyDescent="0.2">
      <c r="A126">
        <v>12</v>
      </c>
      <c r="B126">
        <v>61</v>
      </c>
      <c r="C126" t="s">
        <v>66</v>
      </c>
      <c r="D126" t="s">
        <v>39</v>
      </c>
      <c r="E126" t="s">
        <v>46</v>
      </c>
      <c r="F126" t="s">
        <v>51</v>
      </c>
      <c r="G126" t="s">
        <v>42</v>
      </c>
    </row>
    <row r="127" spans="1:7" x14ac:dyDescent="0.2">
      <c r="A127">
        <v>12</v>
      </c>
      <c r="B127">
        <v>61</v>
      </c>
      <c r="C127" t="s">
        <v>97</v>
      </c>
      <c r="D127" t="s">
        <v>39</v>
      </c>
      <c r="E127" t="s">
        <v>46</v>
      </c>
      <c r="F127" t="s">
        <v>51</v>
      </c>
      <c r="G127" t="s">
        <v>42</v>
      </c>
    </row>
    <row r="128" spans="1:7" x14ac:dyDescent="0.2">
      <c r="A128">
        <v>12</v>
      </c>
      <c r="B128">
        <v>61</v>
      </c>
      <c r="C128" t="s">
        <v>114</v>
      </c>
      <c r="D128" t="s">
        <v>39</v>
      </c>
      <c r="E128" t="s">
        <v>46</v>
      </c>
      <c r="F128" t="s">
        <v>51</v>
      </c>
      <c r="G128" t="s">
        <v>42</v>
      </c>
    </row>
    <row r="129" spans="1:7" x14ac:dyDescent="0.2">
      <c r="A129">
        <v>12</v>
      </c>
      <c r="B129">
        <v>61</v>
      </c>
      <c r="C129" t="s">
        <v>95</v>
      </c>
      <c r="D129" t="s">
        <v>39</v>
      </c>
      <c r="E129" t="s">
        <v>46</v>
      </c>
      <c r="F129" t="s">
        <v>51</v>
      </c>
      <c r="G129" t="s">
        <v>42</v>
      </c>
    </row>
    <row r="130" spans="1:7" x14ac:dyDescent="0.2">
      <c r="A130">
        <v>12</v>
      </c>
      <c r="B130">
        <v>61</v>
      </c>
      <c r="C130" t="s">
        <v>83</v>
      </c>
      <c r="D130" t="s">
        <v>39</v>
      </c>
      <c r="E130" t="s">
        <v>46</v>
      </c>
      <c r="F130" t="s">
        <v>51</v>
      </c>
      <c r="G130" t="s">
        <v>42</v>
      </c>
    </row>
    <row r="131" spans="1:7" x14ac:dyDescent="0.2">
      <c r="A131">
        <v>12</v>
      </c>
      <c r="B131">
        <v>61</v>
      </c>
      <c r="C131" t="s">
        <v>115</v>
      </c>
      <c r="D131" t="s">
        <v>39</v>
      </c>
      <c r="E131" t="s">
        <v>46</v>
      </c>
      <c r="F131" t="s">
        <v>51</v>
      </c>
      <c r="G131" t="s">
        <v>42</v>
      </c>
    </row>
    <row r="132" spans="1:7" x14ac:dyDescent="0.2">
      <c r="A132">
        <v>12</v>
      </c>
      <c r="B132">
        <v>61</v>
      </c>
      <c r="C132" t="s">
        <v>116</v>
      </c>
      <c r="D132" t="s">
        <v>39</v>
      </c>
      <c r="E132" t="s">
        <v>46</v>
      </c>
      <c r="F132" t="s">
        <v>51</v>
      </c>
      <c r="G132" t="s">
        <v>42</v>
      </c>
    </row>
    <row r="133" spans="1:7" x14ac:dyDescent="0.2">
      <c r="A133">
        <v>12</v>
      </c>
      <c r="B133">
        <v>61</v>
      </c>
      <c r="C133" t="s">
        <v>85</v>
      </c>
      <c r="D133" t="s">
        <v>39</v>
      </c>
      <c r="E133" t="s">
        <v>46</v>
      </c>
      <c r="F133" t="s">
        <v>51</v>
      </c>
      <c r="G133" t="s">
        <v>42</v>
      </c>
    </row>
    <row r="134" spans="1:7" x14ac:dyDescent="0.2">
      <c r="A134">
        <v>12</v>
      </c>
      <c r="B134">
        <v>61</v>
      </c>
      <c r="C134" t="s">
        <v>101</v>
      </c>
      <c r="D134" t="s">
        <v>39</v>
      </c>
      <c r="E134" t="s">
        <v>46</v>
      </c>
      <c r="F134" t="s">
        <v>51</v>
      </c>
      <c r="G134" t="s">
        <v>42</v>
      </c>
    </row>
    <row r="135" spans="1:7" x14ac:dyDescent="0.2">
      <c r="A135">
        <v>13</v>
      </c>
      <c r="B135">
        <v>61</v>
      </c>
      <c r="C135" t="s">
        <v>105</v>
      </c>
      <c r="D135" t="s">
        <v>39</v>
      </c>
      <c r="E135" t="s">
        <v>46</v>
      </c>
      <c r="F135" t="s">
        <v>47</v>
      </c>
      <c r="G135" t="s">
        <v>42</v>
      </c>
    </row>
    <row r="136" spans="1:7" x14ac:dyDescent="0.2">
      <c r="A136">
        <v>13</v>
      </c>
      <c r="B136">
        <v>61</v>
      </c>
      <c r="C136" t="s">
        <v>107</v>
      </c>
      <c r="D136" t="s">
        <v>39</v>
      </c>
      <c r="E136" t="s">
        <v>46</v>
      </c>
      <c r="F136" t="s">
        <v>41</v>
      </c>
      <c r="G136" t="s">
        <v>42</v>
      </c>
    </row>
    <row r="137" spans="1:7" x14ac:dyDescent="0.2">
      <c r="A137">
        <v>13</v>
      </c>
      <c r="B137">
        <v>61</v>
      </c>
      <c r="C137" t="s">
        <v>38</v>
      </c>
      <c r="D137" t="s">
        <v>39</v>
      </c>
      <c r="E137" t="s">
        <v>46</v>
      </c>
      <c r="F137" t="s">
        <v>41</v>
      </c>
      <c r="G137" t="s">
        <v>42</v>
      </c>
    </row>
    <row r="138" spans="1:7" x14ac:dyDescent="0.2">
      <c r="A138">
        <v>13</v>
      </c>
      <c r="B138">
        <v>61</v>
      </c>
      <c r="C138" t="s">
        <v>111</v>
      </c>
      <c r="D138" t="s">
        <v>39</v>
      </c>
      <c r="E138" t="s">
        <v>46</v>
      </c>
      <c r="F138" t="s">
        <v>41</v>
      </c>
      <c r="G138" t="s">
        <v>42</v>
      </c>
    </row>
    <row r="139" spans="1:7" x14ac:dyDescent="0.2">
      <c r="A139">
        <v>13</v>
      </c>
      <c r="B139">
        <v>61</v>
      </c>
      <c r="C139" t="s">
        <v>73</v>
      </c>
      <c r="D139" t="s">
        <v>39</v>
      </c>
      <c r="E139" t="s">
        <v>46</v>
      </c>
      <c r="F139" t="s">
        <v>41</v>
      </c>
      <c r="G139" t="s">
        <v>42</v>
      </c>
    </row>
    <row r="140" spans="1:7" x14ac:dyDescent="0.2">
      <c r="A140">
        <v>13</v>
      </c>
      <c r="B140">
        <v>61</v>
      </c>
      <c r="C140" t="s">
        <v>110</v>
      </c>
      <c r="D140" t="s">
        <v>39</v>
      </c>
      <c r="E140" t="s">
        <v>46</v>
      </c>
      <c r="F140" t="s">
        <v>41</v>
      </c>
      <c r="G140" t="s">
        <v>42</v>
      </c>
    </row>
    <row r="141" spans="1:7" x14ac:dyDescent="0.2">
      <c r="A141">
        <v>13</v>
      </c>
      <c r="B141">
        <v>61</v>
      </c>
      <c r="C141" t="s">
        <v>117</v>
      </c>
      <c r="D141" t="s">
        <v>39</v>
      </c>
      <c r="E141" t="s">
        <v>46</v>
      </c>
      <c r="F141" t="s">
        <v>41</v>
      </c>
      <c r="G141" t="s">
        <v>42</v>
      </c>
    </row>
    <row r="142" spans="1:7" x14ac:dyDescent="0.2">
      <c r="A142">
        <v>13</v>
      </c>
      <c r="B142">
        <v>61</v>
      </c>
      <c r="C142" t="s">
        <v>65</v>
      </c>
      <c r="D142" t="s">
        <v>39</v>
      </c>
      <c r="E142" t="s">
        <v>46</v>
      </c>
      <c r="F142" t="s">
        <v>41</v>
      </c>
      <c r="G142" t="s">
        <v>42</v>
      </c>
    </row>
    <row r="143" spans="1:7" x14ac:dyDescent="0.2">
      <c r="A143">
        <v>13</v>
      </c>
      <c r="B143">
        <v>61</v>
      </c>
      <c r="C143" t="s">
        <v>62</v>
      </c>
      <c r="D143" t="s">
        <v>39</v>
      </c>
      <c r="E143" t="s">
        <v>46</v>
      </c>
      <c r="F143" t="s">
        <v>41</v>
      </c>
      <c r="G143" t="s">
        <v>42</v>
      </c>
    </row>
    <row r="144" spans="1:7" x14ac:dyDescent="0.2">
      <c r="A144">
        <v>13</v>
      </c>
      <c r="B144">
        <v>61</v>
      </c>
      <c r="C144" t="s">
        <v>75</v>
      </c>
      <c r="D144" t="s">
        <v>39</v>
      </c>
      <c r="E144" t="s">
        <v>46</v>
      </c>
      <c r="F144" t="s">
        <v>41</v>
      </c>
      <c r="G144" t="s">
        <v>42</v>
      </c>
    </row>
    <row r="145" spans="1:7" x14ac:dyDescent="0.2">
      <c r="A145">
        <v>13</v>
      </c>
      <c r="B145">
        <v>61</v>
      </c>
      <c r="C145" t="s">
        <v>118</v>
      </c>
      <c r="D145" t="s">
        <v>39</v>
      </c>
      <c r="E145" t="s">
        <v>46</v>
      </c>
      <c r="F145" t="s">
        <v>51</v>
      </c>
      <c r="G145" t="s">
        <v>42</v>
      </c>
    </row>
    <row r="146" spans="1:7" x14ac:dyDescent="0.2">
      <c r="A146">
        <v>13</v>
      </c>
      <c r="B146">
        <v>61</v>
      </c>
      <c r="C146" t="s">
        <v>67</v>
      </c>
      <c r="D146" t="s">
        <v>39</v>
      </c>
      <c r="E146" t="s">
        <v>46</v>
      </c>
      <c r="F146" t="s">
        <v>51</v>
      </c>
      <c r="G146" t="s">
        <v>42</v>
      </c>
    </row>
    <row r="147" spans="1:7" x14ac:dyDescent="0.2">
      <c r="A147">
        <v>13</v>
      </c>
      <c r="B147">
        <v>61</v>
      </c>
      <c r="C147" t="s">
        <v>119</v>
      </c>
      <c r="D147" t="s">
        <v>39</v>
      </c>
      <c r="E147" t="s">
        <v>46</v>
      </c>
      <c r="F147" t="s">
        <v>51</v>
      </c>
      <c r="G147" t="s">
        <v>42</v>
      </c>
    </row>
    <row r="148" spans="1:7" x14ac:dyDescent="0.2">
      <c r="A148">
        <v>13</v>
      </c>
      <c r="B148">
        <v>61</v>
      </c>
      <c r="C148" t="s">
        <v>102</v>
      </c>
      <c r="D148" t="s">
        <v>39</v>
      </c>
      <c r="E148" t="s">
        <v>46</v>
      </c>
      <c r="F148" t="s">
        <v>51</v>
      </c>
      <c r="G148" t="s">
        <v>42</v>
      </c>
    </row>
    <row r="149" spans="1:7" x14ac:dyDescent="0.2">
      <c r="A149">
        <v>13</v>
      </c>
      <c r="B149">
        <v>61</v>
      </c>
      <c r="C149" t="s">
        <v>113</v>
      </c>
      <c r="D149" t="s">
        <v>39</v>
      </c>
      <c r="E149" t="s">
        <v>46</v>
      </c>
      <c r="F149" t="s">
        <v>51</v>
      </c>
      <c r="G149" t="s">
        <v>42</v>
      </c>
    </row>
    <row r="150" spans="1:7" x14ac:dyDescent="0.2">
      <c r="A150">
        <v>13</v>
      </c>
      <c r="B150">
        <v>61</v>
      </c>
      <c r="C150" t="s">
        <v>101</v>
      </c>
      <c r="D150" t="s">
        <v>39</v>
      </c>
      <c r="E150" t="s">
        <v>46</v>
      </c>
      <c r="F150" t="s">
        <v>51</v>
      </c>
      <c r="G150" t="s">
        <v>42</v>
      </c>
    </row>
    <row r="151" spans="1:7" x14ac:dyDescent="0.2">
      <c r="A151">
        <v>13</v>
      </c>
      <c r="B151">
        <v>61</v>
      </c>
      <c r="C151" t="s">
        <v>100</v>
      </c>
      <c r="D151" t="s">
        <v>39</v>
      </c>
      <c r="E151" t="s">
        <v>46</v>
      </c>
      <c r="F151" t="s">
        <v>51</v>
      </c>
      <c r="G151" t="s">
        <v>42</v>
      </c>
    </row>
    <row r="152" spans="1:7" x14ac:dyDescent="0.2">
      <c r="A152">
        <v>13</v>
      </c>
      <c r="B152">
        <v>61</v>
      </c>
      <c r="C152" t="s">
        <v>80</v>
      </c>
      <c r="D152" t="s">
        <v>39</v>
      </c>
      <c r="E152" t="s">
        <v>46</v>
      </c>
      <c r="F152" t="s">
        <v>41</v>
      </c>
      <c r="G152" t="s">
        <v>42</v>
      </c>
    </row>
    <row r="153" spans="1:7" x14ac:dyDescent="0.2">
      <c r="A153">
        <v>13</v>
      </c>
      <c r="B153">
        <v>61</v>
      </c>
      <c r="C153" t="s">
        <v>98</v>
      </c>
      <c r="D153" t="s">
        <v>39</v>
      </c>
      <c r="E153" t="s">
        <v>46</v>
      </c>
      <c r="F153" t="s">
        <v>41</v>
      </c>
      <c r="G153" t="s">
        <v>42</v>
      </c>
    </row>
    <row r="154" spans="1:7" x14ac:dyDescent="0.2">
      <c r="A154">
        <v>13</v>
      </c>
      <c r="B154">
        <v>61</v>
      </c>
      <c r="C154" t="s">
        <v>120</v>
      </c>
      <c r="D154" t="s">
        <v>39</v>
      </c>
      <c r="E154" t="s">
        <v>46</v>
      </c>
      <c r="F154" t="s">
        <v>41</v>
      </c>
      <c r="G154" t="s">
        <v>42</v>
      </c>
    </row>
    <row r="155" spans="1:7" x14ac:dyDescent="0.2">
      <c r="A155">
        <v>13</v>
      </c>
      <c r="B155">
        <v>61</v>
      </c>
      <c r="C155" t="s">
        <v>121</v>
      </c>
      <c r="D155" t="s">
        <v>39</v>
      </c>
      <c r="E155" t="s">
        <v>46</v>
      </c>
      <c r="F155" t="s">
        <v>41</v>
      </c>
      <c r="G155" t="s">
        <v>42</v>
      </c>
    </row>
    <row r="156" spans="1:7" x14ac:dyDescent="0.2">
      <c r="A156">
        <v>13</v>
      </c>
      <c r="B156">
        <v>61</v>
      </c>
      <c r="C156" t="s">
        <v>70</v>
      </c>
      <c r="D156" t="s">
        <v>39</v>
      </c>
      <c r="E156" t="s">
        <v>46</v>
      </c>
      <c r="F156" t="s">
        <v>41</v>
      </c>
      <c r="G156" t="s">
        <v>42</v>
      </c>
    </row>
    <row r="157" spans="1:7" x14ac:dyDescent="0.2">
      <c r="A157">
        <v>13</v>
      </c>
      <c r="B157">
        <v>61</v>
      </c>
      <c r="C157" t="s">
        <v>66</v>
      </c>
      <c r="D157" t="s">
        <v>39</v>
      </c>
      <c r="E157" t="s">
        <v>46</v>
      </c>
      <c r="F157" t="s">
        <v>41</v>
      </c>
      <c r="G157" t="s">
        <v>42</v>
      </c>
    </row>
    <row r="158" spans="1:7" x14ac:dyDescent="0.2">
      <c r="A158">
        <v>13</v>
      </c>
      <c r="B158">
        <v>61</v>
      </c>
      <c r="C158" t="s">
        <v>97</v>
      </c>
      <c r="D158" t="s">
        <v>39</v>
      </c>
      <c r="E158" t="s">
        <v>46</v>
      </c>
      <c r="F158" t="s">
        <v>41</v>
      </c>
      <c r="G158" t="s">
        <v>42</v>
      </c>
    </row>
    <row r="159" spans="1:7" x14ac:dyDescent="0.2">
      <c r="A159">
        <v>13</v>
      </c>
      <c r="B159">
        <v>61</v>
      </c>
      <c r="C159" t="s">
        <v>122</v>
      </c>
      <c r="D159" t="s">
        <v>39</v>
      </c>
      <c r="E159" t="s">
        <v>46</v>
      </c>
      <c r="F159" t="s">
        <v>41</v>
      </c>
      <c r="G159" t="s">
        <v>42</v>
      </c>
    </row>
    <row r="160" spans="1:7" x14ac:dyDescent="0.2">
      <c r="A160">
        <v>13</v>
      </c>
      <c r="B160">
        <v>61</v>
      </c>
      <c r="C160" t="s">
        <v>95</v>
      </c>
      <c r="D160" t="s">
        <v>39</v>
      </c>
      <c r="E160" t="s">
        <v>46</v>
      </c>
      <c r="F160" t="s">
        <v>41</v>
      </c>
      <c r="G160" t="s">
        <v>42</v>
      </c>
    </row>
    <row r="161" spans="1:7" x14ac:dyDescent="0.2">
      <c r="A161">
        <v>13</v>
      </c>
      <c r="B161">
        <v>61</v>
      </c>
      <c r="C161" t="s">
        <v>83</v>
      </c>
      <c r="D161" t="s">
        <v>39</v>
      </c>
      <c r="E161" t="s">
        <v>46</v>
      </c>
      <c r="F161" t="s">
        <v>41</v>
      </c>
      <c r="G161" t="s">
        <v>42</v>
      </c>
    </row>
    <row r="162" spans="1:7" x14ac:dyDescent="0.2">
      <c r="A162">
        <v>13</v>
      </c>
      <c r="B162">
        <v>61</v>
      </c>
      <c r="C162" t="s">
        <v>115</v>
      </c>
      <c r="D162" t="s">
        <v>39</v>
      </c>
      <c r="E162" t="s">
        <v>46</v>
      </c>
      <c r="F162" t="s">
        <v>41</v>
      </c>
      <c r="G162" t="s">
        <v>42</v>
      </c>
    </row>
    <row r="163" spans="1:7" x14ac:dyDescent="0.2">
      <c r="A163">
        <v>13</v>
      </c>
      <c r="B163">
        <v>61</v>
      </c>
      <c r="C163" t="s">
        <v>123</v>
      </c>
      <c r="D163" t="s">
        <v>39</v>
      </c>
      <c r="E163" t="s">
        <v>46</v>
      </c>
      <c r="F163" t="s">
        <v>41</v>
      </c>
      <c r="G163" t="s">
        <v>42</v>
      </c>
    </row>
    <row r="164" spans="1:7" x14ac:dyDescent="0.2">
      <c r="A164">
        <v>13</v>
      </c>
      <c r="B164">
        <v>61</v>
      </c>
      <c r="C164" t="s">
        <v>124</v>
      </c>
      <c r="D164" t="s">
        <v>39</v>
      </c>
      <c r="E164" t="s">
        <v>46</v>
      </c>
      <c r="F164" t="s">
        <v>41</v>
      </c>
      <c r="G164" t="s">
        <v>42</v>
      </c>
    </row>
    <row r="165" spans="1:7" x14ac:dyDescent="0.2">
      <c r="A165">
        <v>13</v>
      </c>
      <c r="B165">
        <v>61</v>
      </c>
      <c r="C165" t="s">
        <v>85</v>
      </c>
      <c r="D165" t="s">
        <v>39</v>
      </c>
      <c r="E165" t="s">
        <v>46</v>
      </c>
      <c r="F165" t="s">
        <v>41</v>
      </c>
      <c r="G165" t="s">
        <v>42</v>
      </c>
    </row>
    <row r="166" spans="1:7" x14ac:dyDescent="0.2">
      <c r="A166">
        <v>14</v>
      </c>
      <c r="B166">
        <v>61</v>
      </c>
      <c r="C166" t="s">
        <v>107</v>
      </c>
      <c r="D166" t="s">
        <v>39</v>
      </c>
      <c r="E166" t="s">
        <v>46</v>
      </c>
      <c r="F166" t="s">
        <v>51</v>
      </c>
      <c r="G166" t="s">
        <v>42</v>
      </c>
    </row>
    <row r="167" spans="1:7" x14ac:dyDescent="0.2">
      <c r="A167">
        <v>14</v>
      </c>
      <c r="B167">
        <v>61</v>
      </c>
      <c r="C167" t="s">
        <v>38</v>
      </c>
      <c r="D167" t="s">
        <v>39</v>
      </c>
      <c r="E167" t="s">
        <v>46</v>
      </c>
      <c r="F167" t="s">
        <v>51</v>
      </c>
      <c r="G167" t="s">
        <v>42</v>
      </c>
    </row>
    <row r="168" spans="1:7" x14ac:dyDescent="0.2">
      <c r="A168">
        <v>14</v>
      </c>
      <c r="B168">
        <v>61</v>
      </c>
      <c r="C168" t="s">
        <v>108</v>
      </c>
      <c r="D168" t="s">
        <v>39</v>
      </c>
      <c r="E168" t="s">
        <v>46</v>
      </c>
      <c r="F168" t="s">
        <v>51</v>
      </c>
      <c r="G168" t="s">
        <v>42</v>
      </c>
    </row>
    <row r="169" spans="1:7" x14ac:dyDescent="0.2">
      <c r="A169">
        <v>14</v>
      </c>
      <c r="B169">
        <v>61</v>
      </c>
      <c r="C169" t="s">
        <v>73</v>
      </c>
      <c r="D169" t="s">
        <v>39</v>
      </c>
      <c r="E169" t="s">
        <v>46</v>
      </c>
      <c r="F169" t="s">
        <v>51</v>
      </c>
      <c r="G169" t="s">
        <v>42</v>
      </c>
    </row>
    <row r="170" spans="1:7" x14ac:dyDescent="0.2">
      <c r="A170">
        <v>14</v>
      </c>
      <c r="B170">
        <v>61</v>
      </c>
      <c r="C170" t="s">
        <v>125</v>
      </c>
      <c r="D170" t="s">
        <v>39</v>
      </c>
      <c r="E170" t="s">
        <v>46</v>
      </c>
      <c r="F170" t="s">
        <v>47</v>
      </c>
      <c r="G170" t="s">
        <v>42</v>
      </c>
    </row>
    <row r="171" spans="1:7" x14ac:dyDescent="0.2">
      <c r="A171">
        <v>14</v>
      </c>
      <c r="B171">
        <v>61</v>
      </c>
      <c r="C171" t="s">
        <v>110</v>
      </c>
      <c r="D171" t="s">
        <v>39</v>
      </c>
      <c r="E171" t="s">
        <v>46</v>
      </c>
      <c r="F171" t="s">
        <v>51</v>
      </c>
      <c r="G171" t="s">
        <v>42</v>
      </c>
    </row>
    <row r="172" spans="1:7" x14ac:dyDescent="0.2">
      <c r="A172">
        <v>14</v>
      </c>
      <c r="B172">
        <v>61</v>
      </c>
      <c r="C172" t="s">
        <v>126</v>
      </c>
      <c r="D172" t="s">
        <v>39</v>
      </c>
      <c r="E172" t="s">
        <v>46</v>
      </c>
      <c r="F172" t="s">
        <v>51</v>
      </c>
      <c r="G172" t="s">
        <v>42</v>
      </c>
    </row>
    <row r="173" spans="1:7" x14ac:dyDescent="0.2">
      <c r="A173">
        <v>14</v>
      </c>
      <c r="B173">
        <v>61</v>
      </c>
      <c r="C173" t="s">
        <v>127</v>
      </c>
      <c r="D173" t="s">
        <v>39</v>
      </c>
      <c r="E173" t="s">
        <v>46</v>
      </c>
      <c r="F173" t="s">
        <v>51</v>
      </c>
      <c r="G173" t="s">
        <v>42</v>
      </c>
    </row>
    <row r="174" spans="1:7" x14ac:dyDescent="0.2">
      <c r="A174">
        <v>14</v>
      </c>
      <c r="B174">
        <v>61</v>
      </c>
      <c r="C174" t="s">
        <v>128</v>
      </c>
      <c r="D174" t="s">
        <v>39</v>
      </c>
      <c r="E174" t="s">
        <v>46</v>
      </c>
      <c r="F174" t="s">
        <v>51</v>
      </c>
      <c r="G174" t="s">
        <v>42</v>
      </c>
    </row>
    <row r="175" spans="1:7" x14ac:dyDescent="0.2">
      <c r="A175">
        <v>14</v>
      </c>
      <c r="B175">
        <v>61</v>
      </c>
      <c r="C175" t="s">
        <v>129</v>
      </c>
      <c r="D175" t="s">
        <v>39</v>
      </c>
      <c r="E175" t="s">
        <v>46</v>
      </c>
      <c r="F175" t="s">
        <v>51</v>
      </c>
      <c r="G175" t="s">
        <v>42</v>
      </c>
    </row>
    <row r="176" spans="1:7" x14ac:dyDescent="0.2">
      <c r="A176">
        <v>14</v>
      </c>
      <c r="B176">
        <v>61</v>
      </c>
      <c r="C176" t="s">
        <v>62</v>
      </c>
      <c r="D176" t="s">
        <v>39</v>
      </c>
      <c r="E176" t="s">
        <v>46</v>
      </c>
      <c r="F176" t="s">
        <v>51</v>
      </c>
      <c r="G176" t="s">
        <v>42</v>
      </c>
    </row>
    <row r="177" spans="1:7" x14ac:dyDescent="0.2">
      <c r="A177">
        <v>14</v>
      </c>
      <c r="B177">
        <v>61</v>
      </c>
      <c r="C177" t="s">
        <v>118</v>
      </c>
      <c r="D177" t="s">
        <v>39</v>
      </c>
      <c r="E177" t="s">
        <v>46</v>
      </c>
      <c r="F177" t="s">
        <v>51</v>
      </c>
      <c r="G177" t="s">
        <v>42</v>
      </c>
    </row>
    <row r="178" spans="1:7" x14ac:dyDescent="0.2">
      <c r="A178">
        <v>14</v>
      </c>
      <c r="B178">
        <v>61</v>
      </c>
      <c r="C178" t="s">
        <v>67</v>
      </c>
      <c r="D178" t="s">
        <v>39</v>
      </c>
      <c r="E178" t="s">
        <v>46</v>
      </c>
      <c r="F178" t="s">
        <v>51</v>
      </c>
      <c r="G178" t="s">
        <v>42</v>
      </c>
    </row>
    <row r="179" spans="1:7" x14ac:dyDescent="0.2">
      <c r="A179">
        <v>14</v>
      </c>
      <c r="B179">
        <v>61</v>
      </c>
      <c r="C179" t="s">
        <v>102</v>
      </c>
      <c r="D179" t="s">
        <v>39</v>
      </c>
      <c r="E179" t="s">
        <v>46</v>
      </c>
      <c r="F179" t="s">
        <v>51</v>
      </c>
      <c r="G179" t="s">
        <v>42</v>
      </c>
    </row>
    <row r="180" spans="1:7" x14ac:dyDescent="0.2">
      <c r="A180">
        <v>14</v>
      </c>
      <c r="B180">
        <v>61</v>
      </c>
      <c r="C180" t="s">
        <v>113</v>
      </c>
      <c r="D180" t="s">
        <v>39</v>
      </c>
      <c r="E180" t="s">
        <v>46</v>
      </c>
      <c r="F180" t="s">
        <v>47</v>
      </c>
      <c r="G180" t="s">
        <v>42</v>
      </c>
    </row>
    <row r="181" spans="1:7" x14ac:dyDescent="0.2">
      <c r="A181">
        <v>14</v>
      </c>
      <c r="B181">
        <v>61</v>
      </c>
      <c r="C181" t="s">
        <v>101</v>
      </c>
      <c r="D181" t="s">
        <v>39</v>
      </c>
      <c r="E181" t="s">
        <v>46</v>
      </c>
      <c r="F181" t="s">
        <v>51</v>
      </c>
      <c r="G181" t="s">
        <v>42</v>
      </c>
    </row>
    <row r="182" spans="1:7" x14ac:dyDescent="0.2">
      <c r="A182">
        <v>14</v>
      </c>
      <c r="B182">
        <v>61</v>
      </c>
      <c r="C182" t="s">
        <v>100</v>
      </c>
      <c r="D182" t="s">
        <v>39</v>
      </c>
      <c r="E182" t="s">
        <v>46</v>
      </c>
      <c r="F182" t="s">
        <v>51</v>
      </c>
      <c r="G182" t="s">
        <v>42</v>
      </c>
    </row>
    <row r="183" spans="1:7" x14ac:dyDescent="0.2">
      <c r="A183">
        <v>14</v>
      </c>
      <c r="B183">
        <v>61</v>
      </c>
      <c r="C183" t="s">
        <v>70</v>
      </c>
      <c r="D183" t="s">
        <v>39</v>
      </c>
      <c r="E183" t="s">
        <v>46</v>
      </c>
      <c r="F183" t="s">
        <v>51</v>
      </c>
      <c r="G183" t="s">
        <v>42</v>
      </c>
    </row>
    <row r="184" spans="1:7" x14ac:dyDescent="0.2">
      <c r="A184">
        <v>14</v>
      </c>
      <c r="B184">
        <v>61</v>
      </c>
      <c r="C184" t="s">
        <v>130</v>
      </c>
      <c r="D184" t="s">
        <v>39</v>
      </c>
      <c r="E184" t="s">
        <v>46</v>
      </c>
      <c r="F184" t="s">
        <v>51</v>
      </c>
      <c r="G184" t="s">
        <v>42</v>
      </c>
    </row>
    <row r="185" spans="1:7" x14ac:dyDescent="0.2">
      <c r="A185">
        <v>14</v>
      </c>
      <c r="B185">
        <v>61</v>
      </c>
      <c r="C185" t="s">
        <v>131</v>
      </c>
      <c r="D185" t="s">
        <v>39</v>
      </c>
      <c r="E185" t="s">
        <v>46</v>
      </c>
      <c r="F185" t="s">
        <v>51</v>
      </c>
      <c r="G185" t="s">
        <v>42</v>
      </c>
    </row>
    <row r="186" spans="1:7" x14ac:dyDescent="0.2">
      <c r="A186">
        <v>14</v>
      </c>
      <c r="B186">
        <v>61</v>
      </c>
      <c r="C186" t="s">
        <v>80</v>
      </c>
      <c r="D186" t="s">
        <v>39</v>
      </c>
      <c r="E186" t="s">
        <v>46</v>
      </c>
      <c r="F186" t="s">
        <v>51</v>
      </c>
      <c r="G186" t="s">
        <v>42</v>
      </c>
    </row>
    <row r="187" spans="1:7" x14ac:dyDescent="0.2">
      <c r="A187">
        <v>14</v>
      </c>
      <c r="B187">
        <v>61</v>
      </c>
      <c r="C187" t="s">
        <v>98</v>
      </c>
      <c r="D187" t="s">
        <v>39</v>
      </c>
      <c r="E187" t="s">
        <v>46</v>
      </c>
      <c r="F187" t="s">
        <v>51</v>
      </c>
      <c r="G187" t="s">
        <v>42</v>
      </c>
    </row>
    <row r="188" spans="1:7" x14ac:dyDescent="0.2">
      <c r="A188">
        <v>14</v>
      </c>
      <c r="B188">
        <v>61</v>
      </c>
      <c r="C188" t="s">
        <v>66</v>
      </c>
      <c r="D188" t="s">
        <v>39</v>
      </c>
      <c r="E188" t="s">
        <v>46</v>
      </c>
      <c r="F188" t="s">
        <v>51</v>
      </c>
      <c r="G188" t="s">
        <v>42</v>
      </c>
    </row>
    <row r="189" spans="1:7" x14ac:dyDescent="0.2">
      <c r="A189">
        <v>14</v>
      </c>
      <c r="B189">
        <v>61</v>
      </c>
      <c r="C189" t="s">
        <v>97</v>
      </c>
      <c r="D189" t="s">
        <v>39</v>
      </c>
      <c r="E189" t="s">
        <v>46</v>
      </c>
      <c r="F189" t="s">
        <v>51</v>
      </c>
      <c r="G189" t="s">
        <v>42</v>
      </c>
    </row>
    <row r="190" spans="1:7" x14ac:dyDescent="0.2">
      <c r="A190">
        <v>14</v>
      </c>
      <c r="B190">
        <v>61</v>
      </c>
      <c r="C190" t="s">
        <v>95</v>
      </c>
      <c r="D190" t="s">
        <v>39</v>
      </c>
      <c r="E190" t="s">
        <v>46</v>
      </c>
      <c r="F190" t="s">
        <v>51</v>
      </c>
      <c r="G190" t="s">
        <v>42</v>
      </c>
    </row>
    <row r="191" spans="1:7" x14ac:dyDescent="0.2">
      <c r="A191">
        <v>14</v>
      </c>
      <c r="B191">
        <v>61</v>
      </c>
      <c r="C191" t="s">
        <v>132</v>
      </c>
      <c r="D191" t="s">
        <v>39</v>
      </c>
      <c r="E191" t="s">
        <v>46</v>
      </c>
      <c r="F191" t="s">
        <v>51</v>
      </c>
      <c r="G191" t="s">
        <v>42</v>
      </c>
    </row>
    <row r="192" spans="1:7" x14ac:dyDescent="0.2">
      <c r="A192">
        <v>14</v>
      </c>
      <c r="B192">
        <v>61</v>
      </c>
      <c r="C192" t="s">
        <v>123</v>
      </c>
      <c r="D192" t="s">
        <v>39</v>
      </c>
      <c r="E192" t="s">
        <v>46</v>
      </c>
      <c r="F192" t="s">
        <v>51</v>
      </c>
      <c r="G192" t="s">
        <v>42</v>
      </c>
    </row>
    <row r="193" spans="1:7" x14ac:dyDescent="0.2">
      <c r="A193">
        <v>14</v>
      </c>
      <c r="B193">
        <v>61</v>
      </c>
      <c r="C193" t="s">
        <v>124</v>
      </c>
      <c r="D193" t="s">
        <v>39</v>
      </c>
      <c r="E193" t="s">
        <v>46</v>
      </c>
      <c r="F193" t="s">
        <v>51</v>
      </c>
      <c r="G193" t="s">
        <v>42</v>
      </c>
    </row>
    <row r="194" spans="1:7" x14ac:dyDescent="0.2">
      <c r="A194">
        <v>14</v>
      </c>
      <c r="B194">
        <v>61</v>
      </c>
      <c r="C194" t="s">
        <v>85</v>
      </c>
      <c r="D194" t="s">
        <v>39</v>
      </c>
      <c r="E194" t="s">
        <v>46</v>
      </c>
      <c r="F194" t="s">
        <v>51</v>
      </c>
      <c r="G194" t="s">
        <v>42</v>
      </c>
    </row>
    <row r="195" spans="1:7" x14ac:dyDescent="0.2">
      <c r="A195">
        <v>15</v>
      </c>
      <c r="B195">
        <v>61</v>
      </c>
      <c r="C195" t="s">
        <v>133</v>
      </c>
      <c r="D195" t="s">
        <v>39</v>
      </c>
      <c r="E195" t="s">
        <v>46</v>
      </c>
      <c r="F195" t="s">
        <v>51</v>
      </c>
      <c r="G195" t="s">
        <v>42</v>
      </c>
    </row>
    <row r="196" spans="1:7" x14ac:dyDescent="0.2">
      <c r="A196">
        <v>15</v>
      </c>
      <c r="B196">
        <v>61</v>
      </c>
      <c r="C196" t="s">
        <v>38</v>
      </c>
      <c r="D196" t="s">
        <v>39</v>
      </c>
      <c r="E196" t="s">
        <v>46</v>
      </c>
      <c r="F196" t="s">
        <v>41</v>
      </c>
      <c r="G196" t="s">
        <v>42</v>
      </c>
    </row>
    <row r="197" spans="1:7" x14ac:dyDescent="0.2">
      <c r="A197">
        <v>15</v>
      </c>
      <c r="B197">
        <v>61</v>
      </c>
      <c r="C197" t="s">
        <v>111</v>
      </c>
      <c r="D197" t="s">
        <v>39</v>
      </c>
      <c r="E197" t="s">
        <v>46</v>
      </c>
      <c r="F197" t="s">
        <v>41</v>
      </c>
      <c r="G197" t="s">
        <v>42</v>
      </c>
    </row>
    <row r="198" spans="1:7" x14ac:dyDescent="0.2">
      <c r="A198">
        <v>15</v>
      </c>
      <c r="B198">
        <v>61</v>
      </c>
      <c r="C198" t="s">
        <v>73</v>
      </c>
      <c r="D198" t="s">
        <v>39</v>
      </c>
      <c r="E198" t="s">
        <v>46</v>
      </c>
      <c r="F198" t="s">
        <v>41</v>
      </c>
      <c r="G198" t="s">
        <v>42</v>
      </c>
    </row>
    <row r="199" spans="1:7" x14ac:dyDescent="0.2">
      <c r="A199">
        <v>15</v>
      </c>
      <c r="B199">
        <v>61</v>
      </c>
      <c r="C199" t="s">
        <v>110</v>
      </c>
      <c r="D199" t="s">
        <v>39</v>
      </c>
      <c r="E199" t="s">
        <v>46</v>
      </c>
      <c r="F199" t="s">
        <v>41</v>
      </c>
      <c r="G199" t="s">
        <v>42</v>
      </c>
    </row>
    <row r="200" spans="1:7" x14ac:dyDescent="0.2">
      <c r="A200">
        <v>15</v>
      </c>
      <c r="B200">
        <v>61</v>
      </c>
      <c r="C200" t="s">
        <v>64</v>
      </c>
      <c r="D200" t="s">
        <v>39</v>
      </c>
      <c r="E200" t="s">
        <v>46</v>
      </c>
      <c r="F200" t="s">
        <v>41</v>
      </c>
      <c r="G200" t="s">
        <v>42</v>
      </c>
    </row>
    <row r="201" spans="1:7" x14ac:dyDescent="0.2">
      <c r="A201">
        <v>15</v>
      </c>
      <c r="B201">
        <v>61</v>
      </c>
      <c r="C201" t="s">
        <v>65</v>
      </c>
      <c r="D201" t="s">
        <v>39</v>
      </c>
      <c r="E201" t="s">
        <v>46</v>
      </c>
      <c r="F201" t="s">
        <v>41</v>
      </c>
      <c r="G201" t="s">
        <v>42</v>
      </c>
    </row>
    <row r="202" spans="1:7" x14ac:dyDescent="0.2">
      <c r="A202">
        <v>15</v>
      </c>
      <c r="B202">
        <v>61</v>
      </c>
      <c r="C202" t="s">
        <v>62</v>
      </c>
      <c r="D202" t="s">
        <v>39</v>
      </c>
      <c r="E202" t="s">
        <v>46</v>
      </c>
      <c r="F202" t="s">
        <v>41</v>
      </c>
      <c r="G202" t="s">
        <v>42</v>
      </c>
    </row>
    <row r="203" spans="1:7" x14ac:dyDescent="0.2">
      <c r="A203">
        <v>15</v>
      </c>
      <c r="B203">
        <v>61</v>
      </c>
      <c r="C203" t="s">
        <v>134</v>
      </c>
      <c r="D203" t="s">
        <v>39</v>
      </c>
      <c r="E203" t="s">
        <v>46</v>
      </c>
      <c r="F203" t="s">
        <v>41</v>
      </c>
      <c r="G203" t="s">
        <v>42</v>
      </c>
    </row>
    <row r="204" spans="1:7" x14ac:dyDescent="0.2">
      <c r="A204">
        <v>15</v>
      </c>
      <c r="B204">
        <v>61</v>
      </c>
      <c r="C204" t="s">
        <v>118</v>
      </c>
      <c r="D204" t="s">
        <v>39</v>
      </c>
      <c r="E204" t="s">
        <v>46</v>
      </c>
      <c r="F204" t="s">
        <v>41</v>
      </c>
      <c r="G204" t="s">
        <v>42</v>
      </c>
    </row>
    <row r="205" spans="1:7" x14ac:dyDescent="0.2">
      <c r="A205">
        <v>15</v>
      </c>
      <c r="B205">
        <v>61</v>
      </c>
      <c r="C205" t="s">
        <v>67</v>
      </c>
      <c r="D205" t="s">
        <v>39</v>
      </c>
      <c r="E205" t="s">
        <v>46</v>
      </c>
      <c r="F205" t="s">
        <v>41</v>
      </c>
      <c r="G205" t="s">
        <v>42</v>
      </c>
    </row>
    <row r="206" spans="1:7" x14ac:dyDescent="0.2">
      <c r="A206">
        <v>15</v>
      </c>
      <c r="B206">
        <v>61</v>
      </c>
      <c r="C206" t="s">
        <v>135</v>
      </c>
      <c r="D206" t="s">
        <v>39</v>
      </c>
      <c r="E206" t="s">
        <v>46</v>
      </c>
      <c r="F206" t="s">
        <v>41</v>
      </c>
      <c r="G206" t="s">
        <v>42</v>
      </c>
    </row>
    <row r="207" spans="1:7" x14ac:dyDescent="0.2">
      <c r="A207">
        <v>15</v>
      </c>
      <c r="B207">
        <v>61</v>
      </c>
      <c r="C207" t="s">
        <v>93</v>
      </c>
      <c r="D207" t="s">
        <v>94</v>
      </c>
      <c r="E207" t="s">
        <v>46</v>
      </c>
      <c r="F207" t="s">
        <v>41</v>
      </c>
      <c r="G207" t="s">
        <v>42</v>
      </c>
    </row>
    <row r="208" spans="1:7" x14ac:dyDescent="0.2">
      <c r="A208">
        <v>15</v>
      </c>
      <c r="B208">
        <v>61</v>
      </c>
      <c r="C208" t="s">
        <v>101</v>
      </c>
      <c r="D208" t="s">
        <v>39</v>
      </c>
      <c r="E208" t="s">
        <v>46</v>
      </c>
      <c r="F208" t="s">
        <v>41</v>
      </c>
      <c r="G208" t="s">
        <v>42</v>
      </c>
    </row>
    <row r="209" spans="1:7" x14ac:dyDescent="0.2">
      <c r="A209">
        <v>15</v>
      </c>
      <c r="B209">
        <v>61</v>
      </c>
      <c r="C209" t="s">
        <v>136</v>
      </c>
      <c r="D209" t="s">
        <v>39</v>
      </c>
      <c r="E209" t="s">
        <v>46</v>
      </c>
      <c r="F209" t="s">
        <v>41</v>
      </c>
      <c r="G209" t="s">
        <v>42</v>
      </c>
    </row>
    <row r="210" spans="1:7" x14ac:dyDescent="0.2">
      <c r="A210">
        <v>15</v>
      </c>
      <c r="B210">
        <v>61</v>
      </c>
      <c r="C210" t="s">
        <v>137</v>
      </c>
      <c r="D210" t="s">
        <v>39</v>
      </c>
      <c r="E210" t="s">
        <v>46</v>
      </c>
      <c r="F210" t="s">
        <v>41</v>
      </c>
      <c r="G210" t="s">
        <v>42</v>
      </c>
    </row>
    <row r="211" spans="1:7" x14ac:dyDescent="0.2">
      <c r="A211">
        <v>15</v>
      </c>
      <c r="B211">
        <v>61</v>
      </c>
      <c r="C211" t="s">
        <v>70</v>
      </c>
      <c r="D211" t="s">
        <v>39</v>
      </c>
      <c r="E211" t="s">
        <v>46</v>
      </c>
      <c r="F211" t="s">
        <v>41</v>
      </c>
      <c r="G211" t="s">
        <v>42</v>
      </c>
    </row>
    <row r="212" spans="1:7" x14ac:dyDescent="0.2">
      <c r="A212">
        <v>15</v>
      </c>
      <c r="B212">
        <v>61</v>
      </c>
      <c r="C212" t="s">
        <v>138</v>
      </c>
      <c r="D212" t="s">
        <v>39</v>
      </c>
      <c r="E212" t="s">
        <v>46</v>
      </c>
      <c r="F212" t="s">
        <v>41</v>
      </c>
      <c r="G212" t="s">
        <v>42</v>
      </c>
    </row>
    <row r="213" spans="1:7" x14ac:dyDescent="0.2">
      <c r="A213">
        <v>15</v>
      </c>
      <c r="B213">
        <v>61</v>
      </c>
      <c r="C213" t="s">
        <v>139</v>
      </c>
      <c r="D213" t="s">
        <v>39</v>
      </c>
      <c r="E213" t="s">
        <v>46</v>
      </c>
      <c r="F213" t="s">
        <v>41</v>
      </c>
      <c r="G213" t="s">
        <v>42</v>
      </c>
    </row>
    <row r="214" spans="1:7" x14ac:dyDescent="0.2">
      <c r="A214">
        <v>15</v>
      </c>
      <c r="B214">
        <v>61</v>
      </c>
      <c r="C214" t="s">
        <v>140</v>
      </c>
      <c r="D214" t="s">
        <v>39</v>
      </c>
      <c r="E214" t="s">
        <v>46</v>
      </c>
      <c r="F214" t="s">
        <v>41</v>
      </c>
      <c r="G214" t="s">
        <v>42</v>
      </c>
    </row>
    <row r="215" spans="1:7" x14ac:dyDescent="0.2">
      <c r="A215">
        <v>15</v>
      </c>
      <c r="B215">
        <v>61</v>
      </c>
      <c r="C215" t="s">
        <v>66</v>
      </c>
      <c r="D215" t="s">
        <v>39</v>
      </c>
      <c r="E215" t="s">
        <v>46</v>
      </c>
      <c r="F215" t="s">
        <v>41</v>
      </c>
      <c r="G215" t="s">
        <v>42</v>
      </c>
    </row>
    <row r="216" spans="1:7" x14ac:dyDescent="0.2">
      <c r="A216">
        <v>15</v>
      </c>
      <c r="B216">
        <v>61</v>
      </c>
      <c r="C216" t="s">
        <v>141</v>
      </c>
      <c r="D216" t="s">
        <v>39</v>
      </c>
      <c r="E216" t="s">
        <v>46</v>
      </c>
      <c r="F216" t="s">
        <v>41</v>
      </c>
      <c r="G216" t="s">
        <v>42</v>
      </c>
    </row>
    <row r="217" spans="1:7" x14ac:dyDescent="0.2">
      <c r="A217">
        <v>15</v>
      </c>
      <c r="B217">
        <v>61</v>
      </c>
      <c r="C217" t="s">
        <v>142</v>
      </c>
      <c r="D217" t="s">
        <v>39</v>
      </c>
      <c r="E217" t="s">
        <v>46</v>
      </c>
      <c r="F217" t="s">
        <v>41</v>
      </c>
      <c r="G217" t="s">
        <v>42</v>
      </c>
    </row>
    <row r="218" spans="1:7" x14ac:dyDescent="0.2">
      <c r="A218">
        <v>15</v>
      </c>
      <c r="B218">
        <v>61</v>
      </c>
      <c r="C218" t="s">
        <v>95</v>
      </c>
      <c r="D218" t="s">
        <v>39</v>
      </c>
      <c r="E218" t="s">
        <v>46</v>
      </c>
      <c r="F218" t="s">
        <v>41</v>
      </c>
      <c r="G218" t="s">
        <v>42</v>
      </c>
    </row>
    <row r="219" spans="1:7" x14ac:dyDescent="0.2">
      <c r="A219">
        <v>15</v>
      </c>
      <c r="B219">
        <v>61</v>
      </c>
      <c r="C219" t="s">
        <v>143</v>
      </c>
      <c r="D219" t="s">
        <v>39</v>
      </c>
      <c r="E219" t="s">
        <v>46</v>
      </c>
      <c r="F219" t="s">
        <v>41</v>
      </c>
      <c r="G219" t="s">
        <v>42</v>
      </c>
    </row>
    <row r="220" spans="1:7" x14ac:dyDescent="0.2">
      <c r="A220">
        <v>15</v>
      </c>
      <c r="B220">
        <v>61</v>
      </c>
      <c r="C220" t="s">
        <v>144</v>
      </c>
      <c r="D220" t="s">
        <v>39</v>
      </c>
      <c r="E220" t="s">
        <v>46</v>
      </c>
      <c r="F220" t="s">
        <v>41</v>
      </c>
      <c r="G220" t="s">
        <v>42</v>
      </c>
    </row>
    <row r="221" spans="1:7" x14ac:dyDescent="0.2">
      <c r="A221">
        <v>15</v>
      </c>
      <c r="B221">
        <v>61</v>
      </c>
      <c r="C221" t="s">
        <v>145</v>
      </c>
      <c r="D221" t="s">
        <v>39</v>
      </c>
      <c r="E221" t="s">
        <v>46</v>
      </c>
      <c r="F221" t="s">
        <v>41</v>
      </c>
      <c r="G221" t="s">
        <v>42</v>
      </c>
    </row>
    <row r="222" spans="1:7" x14ac:dyDescent="0.2">
      <c r="A222">
        <v>15</v>
      </c>
      <c r="B222">
        <v>61</v>
      </c>
      <c r="C222" t="s">
        <v>146</v>
      </c>
      <c r="D222" t="s">
        <v>39</v>
      </c>
      <c r="E222" t="s">
        <v>46</v>
      </c>
      <c r="F222" t="s">
        <v>41</v>
      </c>
      <c r="G222" t="s">
        <v>42</v>
      </c>
    </row>
    <row r="223" spans="1:7" x14ac:dyDescent="0.2">
      <c r="A223">
        <v>15</v>
      </c>
      <c r="B223">
        <v>61</v>
      </c>
      <c r="C223" t="s">
        <v>85</v>
      </c>
      <c r="D223" t="s">
        <v>39</v>
      </c>
      <c r="E223" t="s">
        <v>46</v>
      </c>
      <c r="F223" t="s">
        <v>41</v>
      </c>
      <c r="G223" t="s">
        <v>42</v>
      </c>
    </row>
    <row r="224" spans="1:7" x14ac:dyDescent="0.2">
      <c r="A224">
        <v>16</v>
      </c>
      <c r="B224">
        <v>61</v>
      </c>
      <c r="C224" t="s">
        <v>107</v>
      </c>
      <c r="D224" t="s">
        <v>39</v>
      </c>
      <c r="E224" t="s">
        <v>46</v>
      </c>
      <c r="F224" t="s">
        <v>51</v>
      </c>
      <c r="G224" t="s">
        <v>42</v>
      </c>
    </row>
    <row r="225" spans="1:7" x14ac:dyDescent="0.2">
      <c r="A225">
        <v>16</v>
      </c>
      <c r="B225">
        <v>61</v>
      </c>
      <c r="C225" t="s">
        <v>38</v>
      </c>
      <c r="D225" t="s">
        <v>39</v>
      </c>
      <c r="E225" t="s">
        <v>46</v>
      </c>
      <c r="F225" t="s">
        <v>51</v>
      </c>
      <c r="G225" t="s">
        <v>42</v>
      </c>
    </row>
    <row r="226" spans="1:7" x14ac:dyDescent="0.2">
      <c r="A226">
        <v>16</v>
      </c>
      <c r="B226">
        <v>61</v>
      </c>
      <c r="C226" t="s">
        <v>108</v>
      </c>
      <c r="D226" t="s">
        <v>39</v>
      </c>
      <c r="E226" t="s">
        <v>46</v>
      </c>
      <c r="F226" t="s">
        <v>51</v>
      </c>
      <c r="G226" t="s">
        <v>42</v>
      </c>
    </row>
    <row r="227" spans="1:7" x14ac:dyDescent="0.2">
      <c r="A227">
        <v>16</v>
      </c>
      <c r="B227">
        <v>61</v>
      </c>
      <c r="C227" t="s">
        <v>73</v>
      </c>
      <c r="D227" t="s">
        <v>39</v>
      </c>
      <c r="E227" t="s">
        <v>46</v>
      </c>
      <c r="F227" t="s">
        <v>51</v>
      </c>
      <c r="G227" t="s">
        <v>42</v>
      </c>
    </row>
    <row r="228" spans="1:7" x14ac:dyDescent="0.2">
      <c r="A228">
        <v>16</v>
      </c>
      <c r="B228">
        <v>61</v>
      </c>
      <c r="C228" t="s">
        <v>110</v>
      </c>
      <c r="D228" t="s">
        <v>39</v>
      </c>
      <c r="E228" t="s">
        <v>46</v>
      </c>
      <c r="F228" t="s">
        <v>51</v>
      </c>
      <c r="G228" t="s">
        <v>42</v>
      </c>
    </row>
    <row r="229" spans="1:7" x14ac:dyDescent="0.2">
      <c r="A229">
        <v>16</v>
      </c>
      <c r="B229">
        <v>61</v>
      </c>
      <c r="C229" t="s">
        <v>109</v>
      </c>
      <c r="D229" t="s">
        <v>39</v>
      </c>
      <c r="E229" t="s">
        <v>46</v>
      </c>
      <c r="F229" t="s">
        <v>51</v>
      </c>
      <c r="G229" t="s">
        <v>42</v>
      </c>
    </row>
    <row r="230" spans="1:7" x14ac:dyDescent="0.2">
      <c r="A230">
        <v>16</v>
      </c>
      <c r="B230">
        <v>61</v>
      </c>
      <c r="C230" t="s">
        <v>64</v>
      </c>
      <c r="D230" t="s">
        <v>39</v>
      </c>
      <c r="E230" t="s">
        <v>46</v>
      </c>
      <c r="F230" t="s">
        <v>51</v>
      </c>
      <c r="G230" t="s">
        <v>42</v>
      </c>
    </row>
    <row r="231" spans="1:7" x14ac:dyDescent="0.2">
      <c r="A231">
        <v>16</v>
      </c>
      <c r="B231">
        <v>61</v>
      </c>
      <c r="C231" t="s">
        <v>65</v>
      </c>
      <c r="D231" t="s">
        <v>39</v>
      </c>
      <c r="E231" t="s">
        <v>46</v>
      </c>
      <c r="F231" t="s">
        <v>51</v>
      </c>
      <c r="G231" t="s">
        <v>42</v>
      </c>
    </row>
    <row r="232" spans="1:7" x14ac:dyDescent="0.2">
      <c r="A232">
        <v>16</v>
      </c>
      <c r="B232">
        <v>61</v>
      </c>
      <c r="C232" t="s">
        <v>106</v>
      </c>
      <c r="D232" t="s">
        <v>94</v>
      </c>
      <c r="E232" t="s">
        <v>46</v>
      </c>
      <c r="F232" t="s">
        <v>51</v>
      </c>
      <c r="G232" t="s">
        <v>42</v>
      </c>
    </row>
    <row r="233" spans="1:7" x14ac:dyDescent="0.2">
      <c r="A233">
        <v>16</v>
      </c>
      <c r="B233">
        <v>61</v>
      </c>
      <c r="C233" t="s">
        <v>147</v>
      </c>
      <c r="D233" t="s">
        <v>39</v>
      </c>
      <c r="E233" t="s">
        <v>46</v>
      </c>
      <c r="F233" t="s">
        <v>51</v>
      </c>
      <c r="G233" t="s">
        <v>42</v>
      </c>
    </row>
    <row r="234" spans="1:7" x14ac:dyDescent="0.2">
      <c r="A234">
        <v>16</v>
      </c>
      <c r="B234">
        <v>61</v>
      </c>
      <c r="C234" t="s">
        <v>67</v>
      </c>
      <c r="D234" t="s">
        <v>39</v>
      </c>
      <c r="E234" t="s">
        <v>46</v>
      </c>
      <c r="F234" t="s">
        <v>51</v>
      </c>
      <c r="G234" t="s">
        <v>42</v>
      </c>
    </row>
    <row r="235" spans="1:7" x14ac:dyDescent="0.2">
      <c r="A235">
        <v>16</v>
      </c>
      <c r="B235">
        <v>61</v>
      </c>
      <c r="C235" t="s">
        <v>135</v>
      </c>
      <c r="D235" t="s">
        <v>39</v>
      </c>
      <c r="E235" t="s">
        <v>46</v>
      </c>
      <c r="F235" t="s">
        <v>51</v>
      </c>
      <c r="G235" t="s">
        <v>42</v>
      </c>
    </row>
    <row r="236" spans="1:7" x14ac:dyDescent="0.2">
      <c r="A236">
        <v>16</v>
      </c>
      <c r="B236">
        <v>61</v>
      </c>
      <c r="C236" t="s">
        <v>148</v>
      </c>
      <c r="D236" t="s">
        <v>39</v>
      </c>
      <c r="E236" t="s">
        <v>46</v>
      </c>
      <c r="F236" t="s">
        <v>51</v>
      </c>
      <c r="G236" t="s">
        <v>42</v>
      </c>
    </row>
    <row r="237" spans="1:7" x14ac:dyDescent="0.2">
      <c r="A237">
        <v>16</v>
      </c>
      <c r="B237">
        <v>61</v>
      </c>
      <c r="C237" t="s">
        <v>93</v>
      </c>
      <c r="D237" t="s">
        <v>94</v>
      </c>
      <c r="E237" t="s">
        <v>46</v>
      </c>
      <c r="F237" t="s">
        <v>51</v>
      </c>
      <c r="G237" t="s">
        <v>42</v>
      </c>
    </row>
    <row r="238" spans="1:7" x14ac:dyDescent="0.2">
      <c r="A238">
        <v>16</v>
      </c>
      <c r="B238">
        <v>61</v>
      </c>
      <c r="C238" t="s">
        <v>101</v>
      </c>
      <c r="D238" t="s">
        <v>39</v>
      </c>
      <c r="E238" t="s">
        <v>46</v>
      </c>
      <c r="F238" t="s">
        <v>51</v>
      </c>
      <c r="G238" t="s">
        <v>42</v>
      </c>
    </row>
    <row r="239" spans="1:7" x14ac:dyDescent="0.2">
      <c r="A239">
        <v>16</v>
      </c>
      <c r="B239">
        <v>61</v>
      </c>
      <c r="C239" t="s">
        <v>149</v>
      </c>
      <c r="D239" t="s">
        <v>39</v>
      </c>
      <c r="E239" t="s">
        <v>46</v>
      </c>
      <c r="F239" t="s">
        <v>51</v>
      </c>
      <c r="G239" t="s">
        <v>42</v>
      </c>
    </row>
    <row r="240" spans="1:7" x14ac:dyDescent="0.2">
      <c r="A240">
        <v>16</v>
      </c>
      <c r="B240">
        <v>61</v>
      </c>
      <c r="C240" t="s">
        <v>70</v>
      </c>
      <c r="D240" t="s">
        <v>39</v>
      </c>
      <c r="E240" t="s">
        <v>46</v>
      </c>
      <c r="F240" t="s">
        <v>51</v>
      </c>
      <c r="G240" t="s">
        <v>42</v>
      </c>
    </row>
    <row r="241" spans="1:7" x14ac:dyDescent="0.2">
      <c r="A241">
        <v>16</v>
      </c>
      <c r="B241">
        <v>61</v>
      </c>
      <c r="C241" t="s">
        <v>150</v>
      </c>
      <c r="D241" t="s">
        <v>39</v>
      </c>
      <c r="E241" t="s">
        <v>46</v>
      </c>
      <c r="F241" t="s">
        <v>51</v>
      </c>
      <c r="G241" t="s">
        <v>42</v>
      </c>
    </row>
    <row r="242" spans="1:7" x14ac:dyDescent="0.2">
      <c r="A242">
        <v>16</v>
      </c>
      <c r="B242">
        <v>61</v>
      </c>
      <c r="C242" t="s">
        <v>151</v>
      </c>
      <c r="D242" t="s">
        <v>39</v>
      </c>
      <c r="E242" t="s">
        <v>46</v>
      </c>
      <c r="F242" t="s">
        <v>51</v>
      </c>
      <c r="G242" t="s">
        <v>42</v>
      </c>
    </row>
    <row r="243" spans="1:7" x14ac:dyDescent="0.2">
      <c r="A243">
        <v>16</v>
      </c>
      <c r="B243">
        <v>61</v>
      </c>
      <c r="C243" t="s">
        <v>152</v>
      </c>
      <c r="D243" t="s">
        <v>39</v>
      </c>
      <c r="E243" t="s">
        <v>46</v>
      </c>
      <c r="F243" t="s">
        <v>51</v>
      </c>
      <c r="G243" t="s">
        <v>42</v>
      </c>
    </row>
    <row r="244" spans="1:7" x14ac:dyDescent="0.2">
      <c r="A244">
        <v>16</v>
      </c>
      <c r="B244">
        <v>61</v>
      </c>
      <c r="C244" t="s">
        <v>66</v>
      </c>
      <c r="D244" t="s">
        <v>39</v>
      </c>
      <c r="E244" t="s">
        <v>46</v>
      </c>
      <c r="F244" t="s">
        <v>51</v>
      </c>
      <c r="G244" t="s">
        <v>42</v>
      </c>
    </row>
    <row r="245" spans="1:7" x14ac:dyDescent="0.2">
      <c r="A245">
        <v>16</v>
      </c>
      <c r="B245">
        <v>61</v>
      </c>
      <c r="C245" t="s">
        <v>95</v>
      </c>
      <c r="D245" t="s">
        <v>39</v>
      </c>
      <c r="E245" t="s">
        <v>46</v>
      </c>
      <c r="F245" t="s">
        <v>51</v>
      </c>
      <c r="G245" t="s">
        <v>42</v>
      </c>
    </row>
    <row r="246" spans="1:7" x14ac:dyDescent="0.2">
      <c r="A246">
        <v>16</v>
      </c>
      <c r="B246">
        <v>61</v>
      </c>
      <c r="C246" t="s">
        <v>142</v>
      </c>
      <c r="D246" t="s">
        <v>39</v>
      </c>
      <c r="E246" t="s">
        <v>46</v>
      </c>
      <c r="F246" t="s">
        <v>51</v>
      </c>
      <c r="G246" t="s">
        <v>42</v>
      </c>
    </row>
    <row r="247" spans="1:7" x14ac:dyDescent="0.2">
      <c r="A247">
        <v>16</v>
      </c>
      <c r="B247">
        <v>61</v>
      </c>
      <c r="C247" t="s">
        <v>153</v>
      </c>
      <c r="D247" t="s">
        <v>39</v>
      </c>
      <c r="E247" t="s">
        <v>46</v>
      </c>
      <c r="F247" t="s">
        <v>51</v>
      </c>
      <c r="G247" t="s">
        <v>42</v>
      </c>
    </row>
    <row r="248" spans="1:7" x14ac:dyDescent="0.2">
      <c r="A248">
        <v>16</v>
      </c>
      <c r="B248">
        <v>61</v>
      </c>
      <c r="C248" t="s">
        <v>154</v>
      </c>
      <c r="D248" t="s">
        <v>39</v>
      </c>
      <c r="E248" t="s">
        <v>46</v>
      </c>
      <c r="F248" t="s">
        <v>51</v>
      </c>
      <c r="G248" t="s">
        <v>42</v>
      </c>
    </row>
    <row r="249" spans="1:7" x14ac:dyDescent="0.2">
      <c r="A249">
        <v>16</v>
      </c>
      <c r="B249">
        <v>61</v>
      </c>
      <c r="C249" t="s">
        <v>85</v>
      </c>
      <c r="D249" t="s">
        <v>39</v>
      </c>
      <c r="E249" t="s">
        <v>46</v>
      </c>
      <c r="F249" t="s">
        <v>51</v>
      </c>
      <c r="G249" t="s">
        <v>42</v>
      </c>
    </row>
    <row r="250" spans="1:7" x14ac:dyDescent="0.2">
      <c r="A250">
        <v>17</v>
      </c>
      <c r="B250">
        <v>61</v>
      </c>
      <c r="C250" t="s">
        <v>155</v>
      </c>
      <c r="D250" t="s">
        <v>39</v>
      </c>
      <c r="E250" t="s">
        <v>46</v>
      </c>
      <c r="F250" t="s">
        <v>41</v>
      </c>
      <c r="G250" t="s">
        <v>42</v>
      </c>
    </row>
    <row r="251" spans="1:7" x14ac:dyDescent="0.2">
      <c r="A251">
        <v>17</v>
      </c>
      <c r="B251">
        <v>61</v>
      </c>
      <c r="C251" t="s">
        <v>38</v>
      </c>
      <c r="D251" t="s">
        <v>39</v>
      </c>
      <c r="E251" t="s">
        <v>46</v>
      </c>
      <c r="F251" t="s">
        <v>41</v>
      </c>
      <c r="G251" t="s">
        <v>42</v>
      </c>
    </row>
    <row r="252" spans="1:7" x14ac:dyDescent="0.2">
      <c r="A252">
        <v>17</v>
      </c>
      <c r="B252">
        <v>61</v>
      </c>
      <c r="C252" t="s">
        <v>111</v>
      </c>
      <c r="D252" t="s">
        <v>39</v>
      </c>
      <c r="E252" t="s">
        <v>46</v>
      </c>
      <c r="F252" t="s">
        <v>41</v>
      </c>
      <c r="G252" t="s">
        <v>42</v>
      </c>
    </row>
    <row r="253" spans="1:7" x14ac:dyDescent="0.2">
      <c r="A253">
        <v>17</v>
      </c>
      <c r="B253">
        <v>61</v>
      </c>
      <c r="C253" t="s">
        <v>73</v>
      </c>
      <c r="D253" t="s">
        <v>39</v>
      </c>
      <c r="E253" t="s">
        <v>46</v>
      </c>
      <c r="F253" t="s">
        <v>41</v>
      </c>
      <c r="G253" t="s">
        <v>42</v>
      </c>
    </row>
    <row r="254" spans="1:7" x14ac:dyDescent="0.2">
      <c r="A254">
        <v>17</v>
      </c>
      <c r="B254">
        <v>61</v>
      </c>
      <c r="C254" t="s">
        <v>110</v>
      </c>
      <c r="D254" t="s">
        <v>39</v>
      </c>
      <c r="E254" t="s">
        <v>46</v>
      </c>
      <c r="F254" t="s">
        <v>41</v>
      </c>
      <c r="G254" t="s">
        <v>42</v>
      </c>
    </row>
    <row r="255" spans="1:7" x14ac:dyDescent="0.2">
      <c r="A255">
        <v>17</v>
      </c>
      <c r="B255">
        <v>61</v>
      </c>
      <c r="C255" t="s">
        <v>156</v>
      </c>
      <c r="D255" t="s">
        <v>39</v>
      </c>
      <c r="E255" t="s">
        <v>46</v>
      </c>
      <c r="F255" t="s">
        <v>41</v>
      </c>
      <c r="G255" t="s">
        <v>42</v>
      </c>
    </row>
    <row r="256" spans="1:7" x14ac:dyDescent="0.2">
      <c r="A256">
        <v>17</v>
      </c>
      <c r="B256">
        <v>61</v>
      </c>
      <c r="C256" t="s">
        <v>64</v>
      </c>
      <c r="D256" t="s">
        <v>39</v>
      </c>
      <c r="E256" t="s">
        <v>46</v>
      </c>
      <c r="F256" t="s">
        <v>41</v>
      </c>
      <c r="G256" t="s">
        <v>42</v>
      </c>
    </row>
    <row r="257" spans="1:7" x14ac:dyDescent="0.2">
      <c r="A257">
        <v>17</v>
      </c>
      <c r="B257">
        <v>61</v>
      </c>
      <c r="C257" t="s">
        <v>65</v>
      </c>
      <c r="D257" t="s">
        <v>39</v>
      </c>
      <c r="E257" t="s">
        <v>46</v>
      </c>
      <c r="F257" t="s">
        <v>41</v>
      </c>
      <c r="G257" t="s">
        <v>42</v>
      </c>
    </row>
    <row r="258" spans="1:7" x14ac:dyDescent="0.2">
      <c r="A258">
        <v>17</v>
      </c>
      <c r="B258">
        <v>61</v>
      </c>
      <c r="C258" t="s">
        <v>118</v>
      </c>
      <c r="D258" t="s">
        <v>39</v>
      </c>
      <c r="E258" t="s">
        <v>46</v>
      </c>
      <c r="F258" t="s">
        <v>41</v>
      </c>
      <c r="G258" t="s">
        <v>42</v>
      </c>
    </row>
    <row r="259" spans="1:7" x14ac:dyDescent="0.2">
      <c r="A259">
        <v>17</v>
      </c>
      <c r="B259">
        <v>61</v>
      </c>
      <c r="C259" t="s">
        <v>62</v>
      </c>
      <c r="D259" t="s">
        <v>39</v>
      </c>
      <c r="E259" t="s">
        <v>46</v>
      </c>
      <c r="F259" t="s">
        <v>41</v>
      </c>
      <c r="G259" t="s">
        <v>42</v>
      </c>
    </row>
    <row r="260" spans="1:7" x14ac:dyDescent="0.2">
      <c r="A260">
        <v>17</v>
      </c>
      <c r="B260">
        <v>61</v>
      </c>
      <c r="C260" t="s">
        <v>157</v>
      </c>
      <c r="D260" t="s">
        <v>39</v>
      </c>
      <c r="E260" t="s">
        <v>46</v>
      </c>
      <c r="F260" t="s">
        <v>41</v>
      </c>
      <c r="G260" t="s">
        <v>42</v>
      </c>
    </row>
    <row r="261" spans="1:7" x14ac:dyDescent="0.2">
      <c r="A261">
        <v>17</v>
      </c>
      <c r="B261">
        <v>61</v>
      </c>
      <c r="C261" t="s">
        <v>67</v>
      </c>
      <c r="D261" t="s">
        <v>39</v>
      </c>
      <c r="E261" t="s">
        <v>46</v>
      </c>
      <c r="F261" t="s">
        <v>41</v>
      </c>
      <c r="G261" t="s">
        <v>42</v>
      </c>
    </row>
    <row r="262" spans="1:7" x14ac:dyDescent="0.2">
      <c r="A262">
        <v>17</v>
      </c>
      <c r="B262">
        <v>61</v>
      </c>
      <c r="C262" t="s">
        <v>135</v>
      </c>
      <c r="D262" t="s">
        <v>39</v>
      </c>
      <c r="E262" t="s">
        <v>46</v>
      </c>
      <c r="F262" t="s">
        <v>41</v>
      </c>
      <c r="G262" t="s">
        <v>42</v>
      </c>
    </row>
    <row r="263" spans="1:7" x14ac:dyDescent="0.2">
      <c r="A263">
        <v>17</v>
      </c>
      <c r="B263">
        <v>61</v>
      </c>
      <c r="C263" t="s">
        <v>158</v>
      </c>
      <c r="D263" t="s">
        <v>39</v>
      </c>
      <c r="E263" t="s">
        <v>46</v>
      </c>
      <c r="F263" t="s">
        <v>41</v>
      </c>
      <c r="G263" t="s">
        <v>42</v>
      </c>
    </row>
    <row r="264" spans="1:7" x14ac:dyDescent="0.2">
      <c r="A264">
        <v>17</v>
      </c>
      <c r="B264">
        <v>61</v>
      </c>
      <c r="C264" t="s">
        <v>93</v>
      </c>
      <c r="D264" t="s">
        <v>39</v>
      </c>
      <c r="E264" t="s">
        <v>46</v>
      </c>
      <c r="F264" t="s">
        <v>41</v>
      </c>
      <c r="G264" t="s">
        <v>42</v>
      </c>
    </row>
    <row r="265" spans="1:7" x14ac:dyDescent="0.2">
      <c r="A265">
        <v>17</v>
      </c>
      <c r="B265">
        <v>61</v>
      </c>
      <c r="C265" t="s">
        <v>101</v>
      </c>
      <c r="D265" t="s">
        <v>39</v>
      </c>
      <c r="E265" t="s">
        <v>46</v>
      </c>
      <c r="F265" t="s">
        <v>51</v>
      </c>
      <c r="G265" t="s">
        <v>42</v>
      </c>
    </row>
    <row r="266" spans="1:7" x14ac:dyDescent="0.2">
      <c r="A266">
        <v>17</v>
      </c>
      <c r="B266">
        <v>61</v>
      </c>
      <c r="C266" t="s">
        <v>149</v>
      </c>
      <c r="D266" t="s">
        <v>39</v>
      </c>
      <c r="E266" t="s">
        <v>46</v>
      </c>
      <c r="F266" t="s">
        <v>51</v>
      </c>
      <c r="G266" t="s">
        <v>42</v>
      </c>
    </row>
    <row r="267" spans="1:7" x14ac:dyDescent="0.2">
      <c r="A267">
        <v>17</v>
      </c>
      <c r="B267">
        <v>61</v>
      </c>
      <c r="C267" t="s">
        <v>159</v>
      </c>
      <c r="D267" t="s">
        <v>39</v>
      </c>
      <c r="E267" t="s">
        <v>46</v>
      </c>
      <c r="F267" t="s">
        <v>41</v>
      </c>
      <c r="G267" t="s">
        <v>42</v>
      </c>
    </row>
    <row r="268" spans="1:7" x14ac:dyDescent="0.2">
      <c r="A268">
        <v>17</v>
      </c>
      <c r="B268">
        <v>61</v>
      </c>
      <c r="C268" t="s">
        <v>150</v>
      </c>
      <c r="D268" t="s">
        <v>39</v>
      </c>
      <c r="E268" t="s">
        <v>46</v>
      </c>
      <c r="F268" t="s">
        <v>41</v>
      </c>
      <c r="G268" t="s">
        <v>42</v>
      </c>
    </row>
    <row r="269" spans="1:7" x14ac:dyDescent="0.2">
      <c r="A269">
        <v>17</v>
      </c>
      <c r="B269">
        <v>61</v>
      </c>
      <c r="C269" t="s">
        <v>160</v>
      </c>
      <c r="D269" t="s">
        <v>39</v>
      </c>
      <c r="E269" t="s">
        <v>46</v>
      </c>
      <c r="F269" t="s">
        <v>41</v>
      </c>
      <c r="G269" t="s">
        <v>42</v>
      </c>
    </row>
    <row r="270" spans="1:7" x14ac:dyDescent="0.2">
      <c r="A270">
        <v>17</v>
      </c>
      <c r="B270">
        <v>61</v>
      </c>
      <c r="C270" t="s">
        <v>66</v>
      </c>
      <c r="D270" t="s">
        <v>39</v>
      </c>
      <c r="E270" t="s">
        <v>46</v>
      </c>
      <c r="F270" t="s">
        <v>41</v>
      </c>
      <c r="G270" t="s">
        <v>42</v>
      </c>
    </row>
    <row r="271" spans="1:7" x14ac:dyDescent="0.2">
      <c r="A271">
        <v>17</v>
      </c>
      <c r="B271">
        <v>61</v>
      </c>
      <c r="C271" t="s">
        <v>142</v>
      </c>
      <c r="D271" t="s">
        <v>39</v>
      </c>
      <c r="E271" t="s">
        <v>46</v>
      </c>
      <c r="F271" t="s">
        <v>41</v>
      </c>
      <c r="G271" t="s">
        <v>42</v>
      </c>
    </row>
    <row r="272" spans="1:7" x14ac:dyDescent="0.2">
      <c r="A272">
        <v>17</v>
      </c>
      <c r="B272">
        <v>61</v>
      </c>
      <c r="C272" t="s">
        <v>95</v>
      </c>
      <c r="D272" t="s">
        <v>39</v>
      </c>
      <c r="E272" t="s">
        <v>46</v>
      </c>
      <c r="F272" t="s">
        <v>41</v>
      </c>
      <c r="G272" t="s">
        <v>42</v>
      </c>
    </row>
    <row r="273" spans="1:7" x14ac:dyDescent="0.2">
      <c r="A273">
        <v>17</v>
      </c>
      <c r="B273">
        <v>61</v>
      </c>
      <c r="C273" t="s">
        <v>161</v>
      </c>
      <c r="D273" t="s">
        <v>39</v>
      </c>
      <c r="E273" t="s">
        <v>46</v>
      </c>
      <c r="F273" t="s">
        <v>41</v>
      </c>
      <c r="G273" t="s">
        <v>42</v>
      </c>
    </row>
    <row r="274" spans="1:7" x14ac:dyDescent="0.2">
      <c r="A274">
        <v>18</v>
      </c>
      <c r="B274">
        <v>61</v>
      </c>
      <c r="C274" t="s">
        <v>162</v>
      </c>
      <c r="D274" t="s">
        <v>39</v>
      </c>
      <c r="E274" t="s">
        <v>46</v>
      </c>
      <c r="F274" t="s">
        <v>51</v>
      </c>
      <c r="G274" t="s">
        <v>42</v>
      </c>
    </row>
    <row r="275" spans="1:7" x14ac:dyDescent="0.2">
      <c r="A275">
        <v>18</v>
      </c>
      <c r="B275">
        <v>61</v>
      </c>
      <c r="C275" t="s">
        <v>38</v>
      </c>
      <c r="D275" t="s">
        <v>39</v>
      </c>
      <c r="E275" t="s">
        <v>46</v>
      </c>
      <c r="F275" t="s">
        <v>51</v>
      </c>
      <c r="G275" t="s">
        <v>42</v>
      </c>
    </row>
    <row r="276" spans="1:7" x14ac:dyDescent="0.2">
      <c r="A276">
        <v>18</v>
      </c>
      <c r="B276">
        <v>61</v>
      </c>
      <c r="C276" t="s">
        <v>73</v>
      </c>
      <c r="D276" t="s">
        <v>39</v>
      </c>
      <c r="E276" t="s">
        <v>46</v>
      </c>
      <c r="F276" t="s">
        <v>51</v>
      </c>
      <c r="G276" t="s">
        <v>42</v>
      </c>
    </row>
    <row r="277" spans="1:7" x14ac:dyDescent="0.2">
      <c r="A277">
        <v>18</v>
      </c>
      <c r="B277">
        <v>61</v>
      </c>
      <c r="C277" t="s">
        <v>110</v>
      </c>
      <c r="D277" t="s">
        <v>39</v>
      </c>
      <c r="E277" t="s">
        <v>46</v>
      </c>
      <c r="F277" t="s">
        <v>51</v>
      </c>
      <c r="G277" t="s">
        <v>42</v>
      </c>
    </row>
    <row r="278" spans="1:7" x14ac:dyDescent="0.2">
      <c r="A278">
        <v>18</v>
      </c>
      <c r="B278">
        <v>61</v>
      </c>
      <c r="C278" t="s">
        <v>163</v>
      </c>
      <c r="D278" t="s">
        <v>39</v>
      </c>
      <c r="E278" t="s">
        <v>46</v>
      </c>
      <c r="F278" t="s">
        <v>51</v>
      </c>
      <c r="G278" t="s">
        <v>42</v>
      </c>
    </row>
    <row r="279" spans="1:7" x14ac:dyDescent="0.2">
      <c r="A279">
        <v>18</v>
      </c>
      <c r="B279">
        <v>61</v>
      </c>
      <c r="C279" t="s">
        <v>118</v>
      </c>
      <c r="D279" t="s">
        <v>39</v>
      </c>
      <c r="E279" t="s">
        <v>46</v>
      </c>
      <c r="F279" t="s">
        <v>51</v>
      </c>
      <c r="G279" t="s">
        <v>42</v>
      </c>
    </row>
    <row r="280" spans="1:7" x14ac:dyDescent="0.2">
      <c r="A280">
        <v>18</v>
      </c>
      <c r="B280">
        <v>61</v>
      </c>
      <c r="C280" t="s">
        <v>164</v>
      </c>
      <c r="D280" t="s">
        <v>39</v>
      </c>
      <c r="E280" t="s">
        <v>46</v>
      </c>
      <c r="F280" t="s">
        <v>51</v>
      </c>
      <c r="G280" t="s">
        <v>42</v>
      </c>
    </row>
    <row r="281" spans="1:7" x14ac:dyDescent="0.2">
      <c r="A281">
        <v>18</v>
      </c>
      <c r="B281">
        <v>61</v>
      </c>
      <c r="C281" t="s">
        <v>65</v>
      </c>
      <c r="D281" t="s">
        <v>39</v>
      </c>
      <c r="E281" t="s">
        <v>46</v>
      </c>
      <c r="F281" t="s">
        <v>51</v>
      </c>
      <c r="G281" t="s">
        <v>42</v>
      </c>
    </row>
    <row r="282" spans="1:7" x14ac:dyDescent="0.2">
      <c r="A282">
        <v>18</v>
      </c>
      <c r="B282">
        <v>61</v>
      </c>
      <c r="C282" t="s">
        <v>62</v>
      </c>
      <c r="D282" t="s">
        <v>39</v>
      </c>
      <c r="E282" t="s">
        <v>46</v>
      </c>
      <c r="F282" t="s">
        <v>51</v>
      </c>
      <c r="G282" t="s">
        <v>42</v>
      </c>
    </row>
    <row r="283" spans="1:7" x14ac:dyDescent="0.2">
      <c r="A283">
        <v>18</v>
      </c>
      <c r="B283">
        <v>61</v>
      </c>
      <c r="C283" t="s">
        <v>165</v>
      </c>
      <c r="D283" t="s">
        <v>39</v>
      </c>
      <c r="E283" t="s">
        <v>46</v>
      </c>
      <c r="F283" t="s">
        <v>51</v>
      </c>
      <c r="G283" t="s">
        <v>42</v>
      </c>
    </row>
    <row r="284" spans="1:7" x14ac:dyDescent="0.2">
      <c r="A284">
        <v>18</v>
      </c>
      <c r="B284">
        <v>61</v>
      </c>
      <c r="C284" t="s">
        <v>67</v>
      </c>
      <c r="D284" t="s">
        <v>39</v>
      </c>
      <c r="E284" t="s">
        <v>46</v>
      </c>
      <c r="F284" t="s">
        <v>51</v>
      </c>
      <c r="G284" t="s">
        <v>42</v>
      </c>
    </row>
    <row r="285" spans="1:7" x14ac:dyDescent="0.2">
      <c r="A285">
        <v>18</v>
      </c>
      <c r="B285">
        <v>61</v>
      </c>
      <c r="C285" t="s">
        <v>166</v>
      </c>
      <c r="D285" t="s">
        <v>39</v>
      </c>
      <c r="E285" t="s">
        <v>46</v>
      </c>
      <c r="F285" t="s">
        <v>51</v>
      </c>
      <c r="G285" t="s">
        <v>42</v>
      </c>
    </row>
    <row r="286" spans="1:7" x14ac:dyDescent="0.2">
      <c r="A286">
        <v>18</v>
      </c>
      <c r="B286">
        <v>61</v>
      </c>
      <c r="C286" t="s">
        <v>158</v>
      </c>
      <c r="D286" t="s">
        <v>39</v>
      </c>
      <c r="E286" t="s">
        <v>46</v>
      </c>
      <c r="F286" t="s">
        <v>51</v>
      </c>
      <c r="G286" t="s">
        <v>42</v>
      </c>
    </row>
    <row r="287" spans="1:7" x14ac:dyDescent="0.2">
      <c r="A287">
        <v>18</v>
      </c>
      <c r="B287">
        <v>61</v>
      </c>
      <c r="C287" t="s">
        <v>101</v>
      </c>
      <c r="D287" t="s">
        <v>39</v>
      </c>
      <c r="E287" t="s">
        <v>46</v>
      </c>
      <c r="F287" t="s">
        <v>51</v>
      </c>
      <c r="G287" t="s">
        <v>42</v>
      </c>
    </row>
    <row r="288" spans="1:7" x14ac:dyDescent="0.2">
      <c r="A288">
        <v>18</v>
      </c>
      <c r="B288">
        <v>61</v>
      </c>
      <c r="C288" t="s">
        <v>167</v>
      </c>
      <c r="D288" t="s">
        <v>39</v>
      </c>
      <c r="E288" t="s">
        <v>46</v>
      </c>
      <c r="F288" t="s">
        <v>51</v>
      </c>
      <c r="G288" t="s">
        <v>42</v>
      </c>
    </row>
    <row r="289" spans="1:7" x14ac:dyDescent="0.2">
      <c r="A289">
        <v>18</v>
      </c>
      <c r="B289">
        <v>61</v>
      </c>
      <c r="C289" t="s">
        <v>168</v>
      </c>
      <c r="D289" t="s">
        <v>39</v>
      </c>
      <c r="E289" t="s">
        <v>46</v>
      </c>
      <c r="F289" t="s">
        <v>51</v>
      </c>
      <c r="G289" t="s">
        <v>42</v>
      </c>
    </row>
    <row r="290" spans="1:7" x14ac:dyDescent="0.2">
      <c r="A290">
        <v>18</v>
      </c>
      <c r="B290">
        <v>61</v>
      </c>
      <c r="C290" t="s">
        <v>169</v>
      </c>
      <c r="D290" t="s">
        <v>39</v>
      </c>
      <c r="E290" t="s">
        <v>46</v>
      </c>
      <c r="F290" t="s">
        <v>51</v>
      </c>
      <c r="G290" t="s">
        <v>42</v>
      </c>
    </row>
    <row r="291" spans="1:7" x14ac:dyDescent="0.2">
      <c r="A291">
        <v>18</v>
      </c>
      <c r="B291">
        <v>61</v>
      </c>
      <c r="C291" t="s">
        <v>142</v>
      </c>
      <c r="D291" t="s">
        <v>39</v>
      </c>
      <c r="E291" t="s">
        <v>46</v>
      </c>
      <c r="F291" t="s">
        <v>51</v>
      </c>
      <c r="G291" t="s">
        <v>42</v>
      </c>
    </row>
    <row r="292" spans="1:7" x14ac:dyDescent="0.2">
      <c r="A292">
        <v>18</v>
      </c>
      <c r="B292">
        <v>61</v>
      </c>
      <c r="C292" t="s">
        <v>95</v>
      </c>
      <c r="D292" t="s">
        <v>39</v>
      </c>
      <c r="E292" t="s">
        <v>46</v>
      </c>
      <c r="F292" t="s">
        <v>51</v>
      </c>
      <c r="G292" t="s">
        <v>42</v>
      </c>
    </row>
    <row r="293" spans="1:7" x14ac:dyDescent="0.2">
      <c r="A293">
        <v>18</v>
      </c>
      <c r="B293">
        <v>61</v>
      </c>
      <c r="C293" t="s">
        <v>170</v>
      </c>
      <c r="D293" t="s">
        <v>39</v>
      </c>
      <c r="E293" t="s">
        <v>46</v>
      </c>
      <c r="F293" t="s">
        <v>51</v>
      </c>
      <c r="G293" t="s">
        <v>42</v>
      </c>
    </row>
    <row r="294" spans="1:7" x14ac:dyDescent="0.2">
      <c r="A294">
        <v>18</v>
      </c>
      <c r="B294">
        <v>61</v>
      </c>
      <c r="C294" t="s">
        <v>171</v>
      </c>
      <c r="D294" t="s">
        <v>39</v>
      </c>
      <c r="E294" t="s">
        <v>46</v>
      </c>
      <c r="F294" t="s">
        <v>51</v>
      </c>
      <c r="G294" t="s">
        <v>42</v>
      </c>
    </row>
    <row r="295" spans="1:7" x14ac:dyDescent="0.2">
      <c r="A295">
        <v>18</v>
      </c>
      <c r="B295">
        <v>61</v>
      </c>
      <c r="C295" t="s">
        <v>172</v>
      </c>
      <c r="D295" t="s">
        <v>39</v>
      </c>
      <c r="E295" t="s">
        <v>46</v>
      </c>
      <c r="F295" t="s">
        <v>51</v>
      </c>
      <c r="G295" t="s">
        <v>42</v>
      </c>
    </row>
    <row r="296" spans="1:7" x14ac:dyDescent="0.2">
      <c r="A296">
        <v>18</v>
      </c>
      <c r="B296">
        <v>61</v>
      </c>
      <c r="C296" t="s">
        <v>173</v>
      </c>
      <c r="D296" t="s">
        <v>39</v>
      </c>
      <c r="E296" t="s">
        <v>46</v>
      </c>
      <c r="F296" t="s">
        <v>51</v>
      </c>
      <c r="G296" t="s">
        <v>42</v>
      </c>
    </row>
    <row r="297" spans="1:7" x14ac:dyDescent="0.2">
      <c r="A297">
        <v>18</v>
      </c>
      <c r="B297">
        <v>61</v>
      </c>
      <c r="C297" t="s">
        <v>174</v>
      </c>
      <c r="D297" t="s">
        <v>39</v>
      </c>
      <c r="E297" t="s">
        <v>46</v>
      </c>
      <c r="F297" t="s">
        <v>51</v>
      </c>
      <c r="G297" t="s">
        <v>42</v>
      </c>
    </row>
    <row r="298" spans="1:7" x14ac:dyDescent="0.2">
      <c r="A298">
        <v>19</v>
      </c>
      <c r="B298">
        <v>61</v>
      </c>
      <c r="C298" t="s">
        <v>175</v>
      </c>
      <c r="D298" t="s">
        <v>39</v>
      </c>
      <c r="E298" t="s">
        <v>46</v>
      </c>
      <c r="F298" t="s">
        <v>51</v>
      </c>
      <c r="G298" t="s">
        <v>42</v>
      </c>
    </row>
    <row r="299" spans="1:7" x14ac:dyDescent="0.2">
      <c r="A299">
        <v>19</v>
      </c>
      <c r="B299">
        <v>61</v>
      </c>
      <c r="C299" t="s">
        <v>107</v>
      </c>
      <c r="D299" t="s">
        <v>39</v>
      </c>
      <c r="E299" t="s">
        <v>46</v>
      </c>
      <c r="F299" t="s">
        <v>51</v>
      </c>
      <c r="G299" t="s">
        <v>42</v>
      </c>
    </row>
    <row r="300" spans="1:7" x14ac:dyDescent="0.2">
      <c r="A300">
        <v>19</v>
      </c>
      <c r="B300">
        <v>61</v>
      </c>
      <c r="C300" t="s">
        <v>73</v>
      </c>
      <c r="D300" t="s">
        <v>39</v>
      </c>
      <c r="E300" t="s">
        <v>46</v>
      </c>
      <c r="F300" t="s">
        <v>41</v>
      </c>
      <c r="G300" t="s">
        <v>42</v>
      </c>
    </row>
    <row r="301" spans="1:7" x14ac:dyDescent="0.2">
      <c r="A301">
        <v>19</v>
      </c>
      <c r="B301">
        <v>61</v>
      </c>
      <c r="C301" t="s">
        <v>163</v>
      </c>
      <c r="D301" t="s">
        <v>39</v>
      </c>
      <c r="E301" t="s">
        <v>46</v>
      </c>
      <c r="F301" t="s">
        <v>41</v>
      </c>
      <c r="G301" t="s">
        <v>42</v>
      </c>
    </row>
    <row r="302" spans="1:7" x14ac:dyDescent="0.2">
      <c r="A302">
        <v>19</v>
      </c>
      <c r="B302">
        <v>61</v>
      </c>
      <c r="C302" t="s">
        <v>118</v>
      </c>
      <c r="D302" t="s">
        <v>39</v>
      </c>
      <c r="E302" t="s">
        <v>46</v>
      </c>
      <c r="F302" t="s">
        <v>41</v>
      </c>
      <c r="G302" t="s">
        <v>42</v>
      </c>
    </row>
    <row r="303" spans="1:7" x14ac:dyDescent="0.2">
      <c r="A303">
        <v>19</v>
      </c>
      <c r="B303">
        <v>61</v>
      </c>
      <c r="C303" t="s">
        <v>62</v>
      </c>
      <c r="D303" t="s">
        <v>39</v>
      </c>
      <c r="E303" t="s">
        <v>46</v>
      </c>
      <c r="F303" t="s">
        <v>41</v>
      </c>
      <c r="G303" t="s">
        <v>42</v>
      </c>
    </row>
    <row r="304" spans="1:7" x14ac:dyDescent="0.2">
      <c r="A304">
        <v>19</v>
      </c>
      <c r="B304">
        <v>61</v>
      </c>
      <c r="C304" t="s">
        <v>101</v>
      </c>
      <c r="D304" t="s">
        <v>39</v>
      </c>
      <c r="E304" t="s">
        <v>46</v>
      </c>
      <c r="F304" t="s">
        <v>41</v>
      </c>
      <c r="G304" t="s">
        <v>42</v>
      </c>
    </row>
    <row r="305" spans="1:7" x14ac:dyDescent="0.2">
      <c r="A305">
        <v>19</v>
      </c>
      <c r="B305">
        <v>61</v>
      </c>
      <c r="C305" t="s">
        <v>176</v>
      </c>
      <c r="D305" t="s">
        <v>39</v>
      </c>
      <c r="E305" t="s">
        <v>46</v>
      </c>
      <c r="F305" t="s">
        <v>41</v>
      </c>
      <c r="G305" t="s">
        <v>42</v>
      </c>
    </row>
    <row r="306" spans="1:7" x14ac:dyDescent="0.2">
      <c r="A306">
        <v>19</v>
      </c>
      <c r="B306">
        <v>61</v>
      </c>
      <c r="C306" t="s">
        <v>177</v>
      </c>
      <c r="D306" t="s">
        <v>39</v>
      </c>
      <c r="E306" t="s">
        <v>46</v>
      </c>
      <c r="F306" t="s">
        <v>41</v>
      </c>
      <c r="G306" t="s">
        <v>42</v>
      </c>
    </row>
    <row r="307" spans="1:7" x14ac:dyDescent="0.2">
      <c r="A307">
        <v>19</v>
      </c>
      <c r="B307">
        <v>61</v>
      </c>
      <c r="C307" t="s">
        <v>178</v>
      </c>
      <c r="D307" t="s">
        <v>39</v>
      </c>
      <c r="E307" t="s">
        <v>46</v>
      </c>
      <c r="F307" t="s">
        <v>41</v>
      </c>
      <c r="G307" t="s">
        <v>42</v>
      </c>
    </row>
    <row r="308" spans="1:7" x14ac:dyDescent="0.2">
      <c r="A308">
        <v>19</v>
      </c>
      <c r="B308">
        <v>61</v>
      </c>
      <c r="C308" t="s">
        <v>179</v>
      </c>
      <c r="D308" t="s">
        <v>39</v>
      </c>
      <c r="E308" t="s">
        <v>46</v>
      </c>
      <c r="F308" t="s">
        <v>41</v>
      </c>
      <c r="G308" t="s">
        <v>42</v>
      </c>
    </row>
    <row r="309" spans="1:7" x14ac:dyDescent="0.2">
      <c r="A309">
        <v>19</v>
      </c>
      <c r="B309">
        <v>61</v>
      </c>
      <c r="C309" t="s">
        <v>180</v>
      </c>
      <c r="D309" t="s">
        <v>39</v>
      </c>
      <c r="E309" t="s">
        <v>46</v>
      </c>
      <c r="F309" t="s">
        <v>41</v>
      </c>
      <c r="G309" t="s">
        <v>42</v>
      </c>
    </row>
    <row r="310" spans="1:7" x14ac:dyDescent="0.2">
      <c r="A310">
        <v>19</v>
      </c>
      <c r="B310">
        <v>61</v>
      </c>
      <c r="C310" t="s">
        <v>181</v>
      </c>
      <c r="D310" t="s">
        <v>39</v>
      </c>
      <c r="E310" t="s">
        <v>46</v>
      </c>
      <c r="F310" t="s">
        <v>41</v>
      </c>
      <c r="G310" t="s">
        <v>42</v>
      </c>
    </row>
    <row r="311" spans="1:7" x14ac:dyDescent="0.2">
      <c r="A311">
        <v>19</v>
      </c>
      <c r="B311">
        <v>61</v>
      </c>
      <c r="C311" t="s">
        <v>142</v>
      </c>
      <c r="D311" t="s">
        <v>39</v>
      </c>
      <c r="E311" t="s">
        <v>46</v>
      </c>
      <c r="F311" t="s">
        <v>41</v>
      </c>
      <c r="G311" t="s">
        <v>42</v>
      </c>
    </row>
    <row r="312" spans="1:7" x14ac:dyDescent="0.2">
      <c r="A312">
        <v>19</v>
      </c>
      <c r="B312">
        <v>61</v>
      </c>
      <c r="C312" t="s">
        <v>182</v>
      </c>
      <c r="D312" t="s">
        <v>39</v>
      </c>
      <c r="E312" t="s">
        <v>46</v>
      </c>
      <c r="F312" t="s">
        <v>41</v>
      </c>
      <c r="G312" t="s">
        <v>42</v>
      </c>
    </row>
    <row r="313" spans="1:7" x14ac:dyDescent="0.2">
      <c r="A313">
        <v>19</v>
      </c>
      <c r="B313">
        <v>61</v>
      </c>
      <c r="C313" t="s">
        <v>171</v>
      </c>
      <c r="D313" t="s">
        <v>39</v>
      </c>
      <c r="E313" t="s">
        <v>46</v>
      </c>
      <c r="F313" t="s">
        <v>41</v>
      </c>
      <c r="G313" t="s">
        <v>42</v>
      </c>
    </row>
    <row r="314" spans="1:7" x14ac:dyDescent="0.2">
      <c r="A314">
        <v>19</v>
      </c>
      <c r="B314">
        <v>61</v>
      </c>
      <c r="C314" t="s">
        <v>183</v>
      </c>
      <c r="D314" t="s">
        <v>39</v>
      </c>
      <c r="E314" t="s">
        <v>46</v>
      </c>
      <c r="F314" t="s">
        <v>41</v>
      </c>
      <c r="G314" t="s">
        <v>42</v>
      </c>
    </row>
    <row r="315" spans="1:7" x14ac:dyDescent="0.2">
      <c r="A315">
        <v>19</v>
      </c>
      <c r="B315">
        <v>61</v>
      </c>
      <c r="C315" t="s">
        <v>184</v>
      </c>
      <c r="D315" t="s">
        <v>39</v>
      </c>
      <c r="E315" t="s">
        <v>46</v>
      </c>
      <c r="F315" t="s">
        <v>41</v>
      </c>
      <c r="G315" t="s">
        <v>42</v>
      </c>
    </row>
    <row r="316" spans="1:7" x14ac:dyDescent="0.2">
      <c r="A316">
        <v>20</v>
      </c>
      <c r="B316">
        <v>61</v>
      </c>
      <c r="C316" t="s">
        <v>185</v>
      </c>
      <c r="D316" t="s">
        <v>39</v>
      </c>
      <c r="E316" t="s">
        <v>46</v>
      </c>
      <c r="F316" t="s">
        <v>41</v>
      </c>
      <c r="G316" t="s">
        <v>42</v>
      </c>
    </row>
    <row r="317" spans="1:7" x14ac:dyDescent="0.2">
      <c r="A317">
        <v>20</v>
      </c>
      <c r="B317">
        <v>61</v>
      </c>
      <c r="C317" t="s">
        <v>186</v>
      </c>
      <c r="D317" t="s">
        <v>39</v>
      </c>
      <c r="E317" t="s">
        <v>46</v>
      </c>
      <c r="F317" t="s">
        <v>41</v>
      </c>
      <c r="G317" t="s">
        <v>42</v>
      </c>
    </row>
    <row r="318" spans="1:7" x14ac:dyDescent="0.2">
      <c r="A318">
        <v>20</v>
      </c>
      <c r="B318">
        <v>61</v>
      </c>
      <c r="C318" t="s">
        <v>184</v>
      </c>
      <c r="D318" t="s">
        <v>39</v>
      </c>
      <c r="E318" t="s">
        <v>46</v>
      </c>
      <c r="F318" t="s">
        <v>41</v>
      </c>
      <c r="G318" t="s">
        <v>42</v>
      </c>
    </row>
    <row r="319" spans="1:7" x14ac:dyDescent="0.2">
      <c r="A319">
        <v>20</v>
      </c>
      <c r="B319">
        <v>61</v>
      </c>
      <c r="C319" t="s">
        <v>187</v>
      </c>
      <c r="D319" t="s">
        <v>39</v>
      </c>
      <c r="E319" t="s">
        <v>46</v>
      </c>
      <c r="F319" t="s">
        <v>41</v>
      </c>
      <c r="G319" t="s">
        <v>42</v>
      </c>
    </row>
    <row r="320" spans="1:7" x14ac:dyDescent="0.2">
      <c r="A320">
        <v>20</v>
      </c>
      <c r="B320">
        <v>61</v>
      </c>
      <c r="C320" t="s">
        <v>188</v>
      </c>
      <c r="D320" t="s">
        <v>39</v>
      </c>
      <c r="E320" t="s">
        <v>46</v>
      </c>
      <c r="F320" t="s">
        <v>41</v>
      </c>
      <c r="G320" t="s">
        <v>42</v>
      </c>
    </row>
    <row r="321" spans="1:7" x14ac:dyDescent="0.2">
      <c r="A321">
        <v>20</v>
      </c>
      <c r="B321">
        <v>61</v>
      </c>
      <c r="C321" t="s">
        <v>142</v>
      </c>
      <c r="D321" t="s">
        <v>39</v>
      </c>
      <c r="E321" t="s">
        <v>46</v>
      </c>
      <c r="F321" t="s">
        <v>41</v>
      </c>
      <c r="G321" t="s">
        <v>42</v>
      </c>
    </row>
    <row r="322" spans="1:7" x14ac:dyDescent="0.2">
      <c r="A322">
        <v>20</v>
      </c>
      <c r="B322">
        <v>61</v>
      </c>
      <c r="C322" t="s">
        <v>189</v>
      </c>
      <c r="D322" t="s">
        <v>39</v>
      </c>
      <c r="E322" t="s">
        <v>46</v>
      </c>
      <c r="F322" t="s">
        <v>41</v>
      </c>
      <c r="G322" t="s">
        <v>42</v>
      </c>
    </row>
    <row r="323" spans="1:7" x14ac:dyDescent="0.2">
      <c r="A323">
        <v>20</v>
      </c>
      <c r="B323">
        <v>61</v>
      </c>
      <c r="C323" t="s">
        <v>180</v>
      </c>
      <c r="D323" t="s">
        <v>39</v>
      </c>
      <c r="E323" t="s">
        <v>46</v>
      </c>
      <c r="F323" t="s">
        <v>41</v>
      </c>
      <c r="G323" t="s">
        <v>42</v>
      </c>
    </row>
    <row r="324" spans="1:7" x14ac:dyDescent="0.2">
      <c r="A324">
        <v>20</v>
      </c>
      <c r="B324">
        <v>61</v>
      </c>
      <c r="C324" t="s">
        <v>190</v>
      </c>
      <c r="D324" t="s">
        <v>39</v>
      </c>
      <c r="E324" t="s">
        <v>46</v>
      </c>
      <c r="F324" t="s">
        <v>41</v>
      </c>
      <c r="G324" t="s">
        <v>42</v>
      </c>
    </row>
    <row r="325" spans="1:7" x14ac:dyDescent="0.2">
      <c r="A325">
        <v>20</v>
      </c>
      <c r="B325">
        <v>61</v>
      </c>
      <c r="C325" t="s">
        <v>177</v>
      </c>
      <c r="D325" t="s">
        <v>39</v>
      </c>
      <c r="E325" t="s">
        <v>46</v>
      </c>
      <c r="F325" t="s">
        <v>41</v>
      </c>
      <c r="G325" t="s">
        <v>42</v>
      </c>
    </row>
    <row r="326" spans="1:7" x14ac:dyDescent="0.2">
      <c r="A326">
        <v>20</v>
      </c>
      <c r="B326">
        <v>61</v>
      </c>
      <c r="C326" t="s">
        <v>191</v>
      </c>
      <c r="D326" t="s">
        <v>39</v>
      </c>
      <c r="E326" t="s">
        <v>46</v>
      </c>
      <c r="F326" t="s">
        <v>41</v>
      </c>
      <c r="G326" t="s">
        <v>42</v>
      </c>
    </row>
    <row r="327" spans="1:7" x14ac:dyDescent="0.2">
      <c r="A327">
        <v>20</v>
      </c>
      <c r="B327">
        <v>61</v>
      </c>
      <c r="C327" t="s">
        <v>192</v>
      </c>
      <c r="D327" t="s">
        <v>39</v>
      </c>
      <c r="E327" t="s">
        <v>46</v>
      </c>
      <c r="F327" t="s">
        <v>41</v>
      </c>
      <c r="G327" t="s">
        <v>42</v>
      </c>
    </row>
    <row r="328" spans="1:7" x14ac:dyDescent="0.2">
      <c r="A328">
        <v>20</v>
      </c>
      <c r="B328">
        <v>61</v>
      </c>
      <c r="C328" t="s">
        <v>193</v>
      </c>
      <c r="D328" t="s">
        <v>39</v>
      </c>
      <c r="E328" t="s">
        <v>46</v>
      </c>
      <c r="F328" t="s">
        <v>41</v>
      </c>
      <c r="G328" t="s">
        <v>42</v>
      </c>
    </row>
    <row r="329" spans="1:7" x14ac:dyDescent="0.2">
      <c r="A329">
        <v>20</v>
      </c>
      <c r="B329">
        <v>61</v>
      </c>
      <c r="C329" t="s">
        <v>194</v>
      </c>
      <c r="D329" t="s">
        <v>39</v>
      </c>
      <c r="E329" t="s">
        <v>46</v>
      </c>
      <c r="F329" t="s">
        <v>41</v>
      </c>
      <c r="G329" t="s">
        <v>42</v>
      </c>
    </row>
    <row r="330" spans="1:7" x14ac:dyDescent="0.2">
      <c r="A330">
        <v>20</v>
      </c>
      <c r="B330">
        <v>61</v>
      </c>
      <c r="C330" t="s">
        <v>62</v>
      </c>
      <c r="D330" t="s">
        <v>39</v>
      </c>
      <c r="E330" t="s">
        <v>46</v>
      </c>
      <c r="F330" t="s">
        <v>41</v>
      </c>
      <c r="G330" t="s">
        <v>42</v>
      </c>
    </row>
    <row r="331" spans="1:7" x14ac:dyDescent="0.2">
      <c r="A331">
        <v>20</v>
      </c>
      <c r="B331">
        <v>61</v>
      </c>
      <c r="C331" t="s">
        <v>118</v>
      </c>
      <c r="D331" t="s">
        <v>39</v>
      </c>
      <c r="E331" t="s">
        <v>46</v>
      </c>
      <c r="F331" t="s">
        <v>41</v>
      </c>
      <c r="G331" t="s">
        <v>42</v>
      </c>
    </row>
    <row r="332" spans="1:7" x14ac:dyDescent="0.2">
      <c r="A332">
        <v>20</v>
      </c>
      <c r="B332">
        <v>61</v>
      </c>
      <c r="C332" t="s">
        <v>195</v>
      </c>
      <c r="D332" t="s">
        <v>39</v>
      </c>
      <c r="E332" t="s">
        <v>46</v>
      </c>
      <c r="F332" t="s">
        <v>41</v>
      </c>
      <c r="G332" t="s">
        <v>42</v>
      </c>
    </row>
    <row r="333" spans="1:7" x14ac:dyDescent="0.2">
      <c r="A333">
        <v>20</v>
      </c>
      <c r="B333">
        <v>61</v>
      </c>
      <c r="C333" t="s">
        <v>196</v>
      </c>
      <c r="D333" t="s">
        <v>39</v>
      </c>
      <c r="E333" t="s">
        <v>46</v>
      </c>
      <c r="F333" t="s">
        <v>41</v>
      </c>
      <c r="G333" t="s">
        <v>42</v>
      </c>
    </row>
    <row r="334" spans="1:7" x14ac:dyDescent="0.2">
      <c r="A334">
        <v>20</v>
      </c>
      <c r="B334">
        <v>61</v>
      </c>
      <c r="C334" t="s">
        <v>73</v>
      </c>
      <c r="D334" t="s">
        <v>39</v>
      </c>
      <c r="E334" t="s">
        <v>46</v>
      </c>
      <c r="F334" t="s">
        <v>41</v>
      </c>
      <c r="G334" t="s">
        <v>42</v>
      </c>
    </row>
    <row r="335" spans="1:7" x14ac:dyDescent="0.2">
      <c r="A335">
        <v>21</v>
      </c>
      <c r="B335">
        <v>61</v>
      </c>
      <c r="C335" t="s">
        <v>197</v>
      </c>
      <c r="D335" t="s">
        <v>39</v>
      </c>
      <c r="E335" t="s">
        <v>40</v>
      </c>
      <c r="F335" t="s">
        <v>51</v>
      </c>
      <c r="G335" t="s">
        <v>42</v>
      </c>
    </row>
    <row r="336" spans="1:7" x14ac:dyDescent="0.2">
      <c r="A336">
        <v>21</v>
      </c>
      <c r="B336">
        <v>61</v>
      </c>
      <c r="C336" t="s">
        <v>73</v>
      </c>
      <c r="D336" t="s">
        <v>39</v>
      </c>
      <c r="E336" t="s">
        <v>40</v>
      </c>
      <c r="F336" t="s">
        <v>41</v>
      </c>
      <c r="G336" t="s">
        <v>42</v>
      </c>
    </row>
    <row r="337" spans="1:7" x14ac:dyDescent="0.2">
      <c r="A337">
        <v>21</v>
      </c>
      <c r="B337">
        <v>61</v>
      </c>
      <c r="C337" t="s">
        <v>196</v>
      </c>
      <c r="D337" t="s">
        <v>39</v>
      </c>
      <c r="E337" t="s">
        <v>40</v>
      </c>
      <c r="F337" t="s">
        <v>51</v>
      </c>
      <c r="G337" t="s">
        <v>42</v>
      </c>
    </row>
    <row r="338" spans="1:7" x14ac:dyDescent="0.2">
      <c r="A338">
        <v>21</v>
      </c>
      <c r="B338">
        <v>61</v>
      </c>
      <c r="C338" t="s">
        <v>198</v>
      </c>
      <c r="D338" t="s">
        <v>39</v>
      </c>
      <c r="E338" t="s">
        <v>40</v>
      </c>
      <c r="F338" t="s">
        <v>51</v>
      </c>
      <c r="G338" t="s">
        <v>42</v>
      </c>
    </row>
    <row r="339" spans="1:7" x14ac:dyDescent="0.2">
      <c r="A339">
        <v>21</v>
      </c>
      <c r="B339">
        <v>61</v>
      </c>
      <c r="C339" t="s">
        <v>199</v>
      </c>
      <c r="D339" t="s">
        <v>39</v>
      </c>
      <c r="E339" t="s">
        <v>40</v>
      </c>
      <c r="F339" t="s">
        <v>51</v>
      </c>
      <c r="G339" t="s">
        <v>42</v>
      </c>
    </row>
    <row r="340" spans="1:7" x14ac:dyDescent="0.2">
      <c r="A340">
        <v>21</v>
      </c>
      <c r="B340">
        <v>61</v>
      </c>
      <c r="C340" t="s">
        <v>118</v>
      </c>
      <c r="D340" t="s">
        <v>39</v>
      </c>
      <c r="E340" t="s">
        <v>40</v>
      </c>
      <c r="F340" t="s">
        <v>51</v>
      </c>
      <c r="G340" t="s">
        <v>42</v>
      </c>
    </row>
    <row r="341" spans="1:7" x14ac:dyDescent="0.2">
      <c r="A341">
        <v>21</v>
      </c>
      <c r="B341">
        <v>61</v>
      </c>
      <c r="C341" t="s">
        <v>62</v>
      </c>
      <c r="D341" t="s">
        <v>39</v>
      </c>
      <c r="E341" t="s">
        <v>40</v>
      </c>
      <c r="F341" t="s">
        <v>41</v>
      </c>
      <c r="G341" t="s">
        <v>42</v>
      </c>
    </row>
    <row r="342" spans="1:7" x14ac:dyDescent="0.2">
      <c r="A342">
        <v>21</v>
      </c>
      <c r="B342">
        <v>61</v>
      </c>
      <c r="C342" t="s">
        <v>200</v>
      </c>
      <c r="D342" t="s">
        <v>39</v>
      </c>
      <c r="E342" t="s">
        <v>40</v>
      </c>
      <c r="F342" t="s">
        <v>41</v>
      </c>
      <c r="G342" t="s">
        <v>42</v>
      </c>
    </row>
    <row r="343" spans="1:7" x14ac:dyDescent="0.2">
      <c r="A343">
        <v>21</v>
      </c>
      <c r="B343">
        <v>61</v>
      </c>
      <c r="C343" t="s">
        <v>192</v>
      </c>
      <c r="D343" t="s">
        <v>39</v>
      </c>
      <c r="E343" t="s">
        <v>40</v>
      </c>
      <c r="F343" t="s">
        <v>51</v>
      </c>
      <c r="G343" t="s">
        <v>42</v>
      </c>
    </row>
    <row r="344" spans="1:7" x14ac:dyDescent="0.2">
      <c r="A344">
        <v>21</v>
      </c>
      <c r="B344">
        <v>61</v>
      </c>
      <c r="C344" t="s">
        <v>201</v>
      </c>
      <c r="D344" t="s">
        <v>39</v>
      </c>
      <c r="E344" t="s">
        <v>40</v>
      </c>
      <c r="F344" t="s">
        <v>41</v>
      </c>
      <c r="G344" t="s">
        <v>42</v>
      </c>
    </row>
    <row r="345" spans="1:7" x14ac:dyDescent="0.2">
      <c r="A345">
        <v>21</v>
      </c>
      <c r="B345">
        <v>61</v>
      </c>
      <c r="C345" t="s">
        <v>191</v>
      </c>
      <c r="D345" t="s">
        <v>39</v>
      </c>
      <c r="E345" t="s">
        <v>40</v>
      </c>
      <c r="F345" t="s">
        <v>51</v>
      </c>
      <c r="G345" t="s">
        <v>42</v>
      </c>
    </row>
    <row r="346" spans="1:7" x14ac:dyDescent="0.2">
      <c r="A346">
        <v>21</v>
      </c>
      <c r="B346">
        <v>61</v>
      </c>
      <c r="C346" t="s">
        <v>177</v>
      </c>
      <c r="D346" t="s">
        <v>39</v>
      </c>
      <c r="E346" t="s">
        <v>40</v>
      </c>
      <c r="F346" t="s">
        <v>51</v>
      </c>
      <c r="G346" t="s">
        <v>42</v>
      </c>
    </row>
    <row r="347" spans="1:7" x14ac:dyDescent="0.2">
      <c r="A347">
        <v>21</v>
      </c>
      <c r="B347">
        <v>61</v>
      </c>
      <c r="C347" t="s">
        <v>202</v>
      </c>
      <c r="D347" t="s">
        <v>39</v>
      </c>
      <c r="E347" t="s">
        <v>40</v>
      </c>
      <c r="F347" t="s">
        <v>51</v>
      </c>
      <c r="G347" t="s">
        <v>42</v>
      </c>
    </row>
    <row r="348" spans="1:7" x14ac:dyDescent="0.2">
      <c r="A348">
        <v>21</v>
      </c>
      <c r="B348">
        <v>61</v>
      </c>
      <c r="C348" t="s">
        <v>203</v>
      </c>
      <c r="D348" t="s">
        <v>39</v>
      </c>
      <c r="E348" t="s">
        <v>40</v>
      </c>
      <c r="F348" t="s">
        <v>51</v>
      </c>
      <c r="G348" t="s">
        <v>42</v>
      </c>
    </row>
    <row r="349" spans="1:7" x14ac:dyDescent="0.2">
      <c r="A349">
        <v>21</v>
      </c>
      <c r="B349">
        <v>61</v>
      </c>
      <c r="C349" t="s">
        <v>189</v>
      </c>
      <c r="D349" t="s">
        <v>39</v>
      </c>
      <c r="E349" t="s">
        <v>40</v>
      </c>
      <c r="F349" t="s">
        <v>51</v>
      </c>
      <c r="G349" t="s">
        <v>42</v>
      </c>
    </row>
    <row r="350" spans="1:7" x14ac:dyDescent="0.2">
      <c r="A350">
        <v>21</v>
      </c>
      <c r="B350">
        <v>61</v>
      </c>
      <c r="C350" t="s">
        <v>204</v>
      </c>
      <c r="D350" t="s">
        <v>39</v>
      </c>
      <c r="E350" t="s">
        <v>40</v>
      </c>
      <c r="F350" t="s">
        <v>51</v>
      </c>
      <c r="G350" t="s">
        <v>42</v>
      </c>
    </row>
    <row r="351" spans="1:7" x14ac:dyDescent="0.2">
      <c r="A351">
        <v>21</v>
      </c>
      <c r="B351">
        <v>61</v>
      </c>
      <c r="C351" t="s">
        <v>142</v>
      </c>
      <c r="D351" t="s">
        <v>39</v>
      </c>
      <c r="E351" t="s">
        <v>40</v>
      </c>
      <c r="F351" t="s">
        <v>51</v>
      </c>
      <c r="G351" t="s">
        <v>42</v>
      </c>
    </row>
    <row r="352" spans="1:7" x14ac:dyDescent="0.2">
      <c r="A352">
        <v>21</v>
      </c>
      <c r="B352">
        <v>61</v>
      </c>
      <c r="C352" t="s">
        <v>205</v>
      </c>
      <c r="D352" t="s">
        <v>39</v>
      </c>
      <c r="E352" t="s">
        <v>40</v>
      </c>
      <c r="F352" t="s">
        <v>41</v>
      </c>
      <c r="G352" t="s">
        <v>42</v>
      </c>
    </row>
    <row r="353" spans="1:7" x14ac:dyDescent="0.2">
      <c r="A353">
        <v>21</v>
      </c>
      <c r="B353">
        <v>61</v>
      </c>
      <c r="C353" t="s">
        <v>188</v>
      </c>
      <c r="D353" t="s">
        <v>39</v>
      </c>
      <c r="E353" t="s">
        <v>40</v>
      </c>
      <c r="F353" t="s">
        <v>41</v>
      </c>
      <c r="G353" t="s">
        <v>42</v>
      </c>
    </row>
    <row r="354" spans="1:7" x14ac:dyDescent="0.2">
      <c r="A354">
        <v>21</v>
      </c>
      <c r="B354">
        <v>61</v>
      </c>
      <c r="C354" t="s">
        <v>187</v>
      </c>
      <c r="D354" t="s">
        <v>39</v>
      </c>
      <c r="E354" t="s">
        <v>40</v>
      </c>
      <c r="F354" t="s">
        <v>41</v>
      </c>
      <c r="G354" t="s">
        <v>42</v>
      </c>
    </row>
    <row r="355" spans="1:7" x14ac:dyDescent="0.2">
      <c r="A355">
        <v>22</v>
      </c>
      <c r="B355">
        <v>61</v>
      </c>
      <c r="C355" t="s">
        <v>206</v>
      </c>
      <c r="D355" t="s">
        <v>39</v>
      </c>
      <c r="E355" t="s">
        <v>46</v>
      </c>
      <c r="F355" t="s">
        <v>51</v>
      </c>
      <c r="G355" t="s">
        <v>42</v>
      </c>
    </row>
    <row r="356" spans="1:7" x14ac:dyDescent="0.2">
      <c r="A356">
        <v>22</v>
      </c>
      <c r="B356">
        <v>61</v>
      </c>
      <c r="C356" t="s">
        <v>73</v>
      </c>
      <c r="D356" t="s">
        <v>39</v>
      </c>
      <c r="E356" t="s">
        <v>46</v>
      </c>
      <c r="F356" t="s">
        <v>51</v>
      </c>
      <c r="G356" t="s">
        <v>42</v>
      </c>
    </row>
    <row r="357" spans="1:7" x14ac:dyDescent="0.2">
      <c r="A357">
        <v>22</v>
      </c>
      <c r="B357">
        <v>61</v>
      </c>
      <c r="C357" t="s">
        <v>207</v>
      </c>
      <c r="D357" t="s">
        <v>39</v>
      </c>
      <c r="E357" t="s">
        <v>46</v>
      </c>
      <c r="F357" t="s">
        <v>51</v>
      </c>
      <c r="G357" t="s">
        <v>42</v>
      </c>
    </row>
    <row r="358" spans="1:7" x14ac:dyDescent="0.2">
      <c r="A358">
        <v>22</v>
      </c>
      <c r="B358">
        <v>61</v>
      </c>
      <c r="C358" t="s">
        <v>208</v>
      </c>
      <c r="D358" t="s">
        <v>39</v>
      </c>
      <c r="E358" t="s">
        <v>46</v>
      </c>
      <c r="F358" t="s">
        <v>51</v>
      </c>
      <c r="G358" t="s">
        <v>42</v>
      </c>
    </row>
    <row r="359" spans="1:7" x14ac:dyDescent="0.2">
      <c r="A359">
        <v>22</v>
      </c>
      <c r="B359">
        <v>61</v>
      </c>
      <c r="C359" t="s">
        <v>209</v>
      </c>
      <c r="D359" t="s">
        <v>39</v>
      </c>
      <c r="E359" t="s">
        <v>46</v>
      </c>
      <c r="F359" t="s">
        <v>51</v>
      </c>
      <c r="G359" t="s">
        <v>42</v>
      </c>
    </row>
    <row r="360" spans="1:7" x14ac:dyDescent="0.2">
      <c r="A360">
        <v>22</v>
      </c>
      <c r="B360">
        <v>61</v>
      </c>
      <c r="C360" t="s">
        <v>200</v>
      </c>
      <c r="D360" t="s">
        <v>39</v>
      </c>
      <c r="E360" t="s">
        <v>46</v>
      </c>
      <c r="F360" t="s">
        <v>51</v>
      </c>
      <c r="G360" t="s">
        <v>42</v>
      </c>
    </row>
    <row r="361" spans="1:7" x14ac:dyDescent="0.2">
      <c r="A361">
        <v>22</v>
      </c>
      <c r="B361">
        <v>61</v>
      </c>
      <c r="C361" t="s">
        <v>210</v>
      </c>
      <c r="D361" t="s">
        <v>39</v>
      </c>
      <c r="E361" t="s">
        <v>46</v>
      </c>
      <c r="F361" t="s">
        <v>51</v>
      </c>
      <c r="G361" t="s">
        <v>42</v>
      </c>
    </row>
    <row r="362" spans="1:7" x14ac:dyDescent="0.2">
      <c r="A362">
        <v>22</v>
      </c>
      <c r="B362">
        <v>61</v>
      </c>
      <c r="C362" t="s">
        <v>211</v>
      </c>
      <c r="D362" t="s">
        <v>39</v>
      </c>
      <c r="E362" t="s">
        <v>46</v>
      </c>
      <c r="F362" t="s">
        <v>51</v>
      </c>
      <c r="G362" t="s">
        <v>42</v>
      </c>
    </row>
    <row r="363" spans="1:7" x14ac:dyDescent="0.2">
      <c r="A363">
        <v>22</v>
      </c>
      <c r="B363">
        <v>61</v>
      </c>
      <c r="C363" t="s">
        <v>212</v>
      </c>
      <c r="D363" t="s">
        <v>39</v>
      </c>
      <c r="E363" t="s">
        <v>46</v>
      </c>
      <c r="F363" t="s">
        <v>51</v>
      </c>
      <c r="G363" t="s">
        <v>42</v>
      </c>
    </row>
    <row r="364" spans="1:7" x14ac:dyDescent="0.2">
      <c r="A364">
        <v>22</v>
      </c>
      <c r="B364">
        <v>61</v>
      </c>
      <c r="C364" t="s">
        <v>202</v>
      </c>
      <c r="D364" t="s">
        <v>39</v>
      </c>
      <c r="E364" t="s">
        <v>46</v>
      </c>
      <c r="F364" t="s">
        <v>51</v>
      </c>
      <c r="G364" t="s">
        <v>42</v>
      </c>
    </row>
    <row r="365" spans="1:7" x14ac:dyDescent="0.2">
      <c r="A365">
        <v>22</v>
      </c>
      <c r="B365">
        <v>61</v>
      </c>
      <c r="C365" t="s">
        <v>213</v>
      </c>
      <c r="D365" t="s">
        <v>39</v>
      </c>
      <c r="E365" t="s">
        <v>46</v>
      </c>
      <c r="F365" t="s">
        <v>51</v>
      </c>
      <c r="G365" t="s">
        <v>42</v>
      </c>
    </row>
    <row r="366" spans="1:7" x14ac:dyDescent="0.2">
      <c r="A366">
        <v>22</v>
      </c>
      <c r="B366">
        <v>61</v>
      </c>
      <c r="C366" t="s">
        <v>214</v>
      </c>
      <c r="D366" t="s">
        <v>39</v>
      </c>
      <c r="E366" t="s">
        <v>46</v>
      </c>
      <c r="F366" t="s">
        <v>51</v>
      </c>
      <c r="G366" t="s">
        <v>42</v>
      </c>
    </row>
    <row r="367" spans="1:7" x14ac:dyDescent="0.2">
      <c r="A367">
        <v>22</v>
      </c>
      <c r="B367">
        <v>61</v>
      </c>
      <c r="C367" t="s">
        <v>187</v>
      </c>
      <c r="D367" t="s">
        <v>39</v>
      </c>
      <c r="E367" t="s">
        <v>46</v>
      </c>
      <c r="F367" t="s">
        <v>51</v>
      </c>
      <c r="G367" t="s">
        <v>42</v>
      </c>
    </row>
    <row r="368" spans="1:7" x14ac:dyDescent="0.2">
      <c r="A368">
        <v>7</v>
      </c>
      <c r="B368">
        <v>62</v>
      </c>
      <c r="C368" t="s">
        <v>215</v>
      </c>
      <c r="D368" t="s">
        <v>39</v>
      </c>
      <c r="E368" t="s">
        <v>40</v>
      </c>
      <c r="F368" t="s">
        <v>51</v>
      </c>
      <c r="G368" t="s">
        <v>42</v>
      </c>
    </row>
    <row r="369" spans="1:7" x14ac:dyDescent="0.2">
      <c r="A369">
        <v>7</v>
      </c>
      <c r="B369">
        <v>62</v>
      </c>
      <c r="C369" t="s">
        <v>216</v>
      </c>
      <c r="D369" t="s">
        <v>39</v>
      </c>
      <c r="E369" t="s">
        <v>40</v>
      </c>
      <c r="F369" t="s">
        <v>41</v>
      </c>
      <c r="G369" t="s">
        <v>42</v>
      </c>
    </row>
    <row r="370" spans="1:7" x14ac:dyDescent="0.2">
      <c r="A370">
        <v>7</v>
      </c>
      <c r="B370">
        <v>62</v>
      </c>
      <c r="C370" t="s">
        <v>217</v>
      </c>
      <c r="D370" t="s">
        <v>39</v>
      </c>
      <c r="E370" t="s">
        <v>40</v>
      </c>
      <c r="F370" t="s">
        <v>41</v>
      </c>
      <c r="G370" t="s">
        <v>42</v>
      </c>
    </row>
    <row r="371" spans="1:7" x14ac:dyDescent="0.2">
      <c r="A371">
        <v>7</v>
      </c>
      <c r="B371">
        <v>62</v>
      </c>
      <c r="C371" t="s">
        <v>218</v>
      </c>
      <c r="D371" t="s">
        <v>39</v>
      </c>
      <c r="E371" t="s">
        <v>40</v>
      </c>
      <c r="F371" t="s">
        <v>41</v>
      </c>
      <c r="G371" t="s">
        <v>42</v>
      </c>
    </row>
    <row r="372" spans="1:7" x14ac:dyDescent="0.2">
      <c r="A372">
        <v>8</v>
      </c>
      <c r="B372">
        <v>62</v>
      </c>
      <c r="C372" t="s">
        <v>61</v>
      </c>
      <c r="D372" t="s">
        <v>39</v>
      </c>
      <c r="E372" t="s">
        <v>46</v>
      </c>
      <c r="F372" t="s">
        <v>41</v>
      </c>
      <c r="G372" t="s">
        <v>42</v>
      </c>
    </row>
    <row r="373" spans="1:7" x14ac:dyDescent="0.2">
      <c r="A373">
        <v>8</v>
      </c>
      <c r="B373">
        <v>62</v>
      </c>
      <c r="C373" t="s">
        <v>215</v>
      </c>
      <c r="D373" t="s">
        <v>39</v>
      </c>
      <c r="E373" t="s">
        <v>46</v>
      </c>
      <c r="F373" t="s">
        <v>51</v>
      </c>
      <c r="G373" t="s">
        <v>42</v>
      </c>
    </row>
    <row r="374" spans="1:7" x14ac:dyDescent="0.2">
      <c r="A374">
        <v>9</v>
      </c>
      <c r="B374">
        <v>62</v>
      </c>
      <c r="C374" t="s">
        <v>61</v>
      </c>
      <c r="D374" t="s">
        <v>39</v>
      </c>
      <c r="E374" t="s">
        <v>40</v>
      </c>
      <c r="F374" t="s">
        <v>41</v>
      </c>
      <c r="G374" t="s">
        <v>42</v>
      </c>
    </row>
    <row r="375" spans="1:7" x14ac:dyDescent="0.2">
      <c r="A375">
        <v>9</v>
      </c>
      <c r="B375">
        <v>62</v>
      </c>
      <c r="C375" t="s">
        <v>219</v>
      </c>
      <c r="D375" t="s">
        <v>39</v>
      </c>
      <c r="E375" t="s">
        <v>40</v>
      </c>
      <c r="F375" t="s">
        <v>51</v>
      </c>
      <c r="G375" t="s">
        <v>42</v>
      </c>
    </row>
    <row r="376" spans="1:7" x14ac:dyDescent="0.2">
      <c r="A376">
        <v>9</v>
      </c>
      <c r="B376">
        <v>62</v>
      </c>
      <c r="C376" t="s">
        <v>220</v>
      </c>
      <c r="D376" t="s">
        <v>39</v>
      </c>
      <c r="E376" t="s">
        <v>40</v>
      </c>
      <c r="F376" t="s">
        <v>51</v>
      </c>
      <c r="G376" t="s">
        <v>42</v>
      </c>
    </row>
    <row r="377" spans="1:7" x14ac:dyDescent="0.2">
      <c r="A377">
        <v>9</v>
      </c>
      <c r="B377">
        <v>62</v>
      </c>
      <c r="C377" t="s">
        <v>221</v>
      </c>
      <c r="D377" t="s">
        <v>39</v>
      </c>
      <c r="E377" t="s">
        <v>40</v>
      </c>
      <c r="F377" t="s">
        <v>51</v>
      </c>
      <c r="G377" t="s">
        <v>42</v>
      </c>
    </row>
    <row r="378" spans="1:7" x14ac:dyDescent="0.2">
      <c r="A378">
        <v>9</v>
      </c>
      <c r="B378">
        <v>62</v>
      </c>
      <c r="C378" t="s">
        <v>222</v>
      </c>
      <c r="D378" t="s">
        <v>39</v>
      </c>
      <c r="E378" t="s">
        <v>40</v>
      </c>
      <c r="F378" t="s">
        <v>51</v>
      </c>
      <c r="G378" t="s">
        <v>42</v>
      </c>
    </row>
    <row r="379" spans="1:7" x14ac:dyDescent="0.2">
      <c r="A379">
        <v>10</v>
      </c>
      <c r="B379">
        <v>62</v>
      </c>
      <c r="C379" t="s">
        <v>223</v>
      </c>
      <c r="D379" t="s">
        <v>39</v>
      </c>
      <c r="E379" t="s">
        <v>46</v>
      </c>
      <c r="F379" t="s">
        <v>51</v>
      </c>
      <c r="G379" t="s">
        <v>42</v>
      </c>
    </row>
    <row r="380" spans="1:7" x14ac:dyDescent="0.2">
      <c r="A380">
        <v>10</v>
      </c>
      <c r="B380">
        <v>62</v>
      </c>
      <c r="C380" t="s">
        <v>224</v>
      </c>
      <c r="D380" t="s">
        <v>39</v>
      </c>
      <c r="E380" t="s">
        <v>46</v>
      </c>
      <c r="F380" t="s">
        <v>51</v>
      </c>
      <c r="G380" t="s">
        <v>42</v>
      </c>
    </row>
    <row r="381" spans="1:7" x14ac:dyDescent="0.2">
      <c r="A381">
        <v>10</v>
      </c>
      <c r="B381">
        <v>62</v>
      </c>
      <c r="C381" t="s">
        <v>225</v>
      </c>
      <c r="D381" t="s">
        <v>39</v>
      </c>
      <c r="E381" t="s">
        <v>46</v>
      </c>
      <c r="F381" t="s">
        <v>51</v>
      </c>
      <c r="G381" t="s">
        <v>42</v>
      </c>
    </row>
    <row r="382" spans="1:7" x14ac:dyDescent="0.2">
      <c r="A382">
        <v>10</v>
      </c>
      <c r="B382">
        <v>62</v>
      </c>
      <c r="C382" t="s">
        <v>221</v>
      </c>
      <c r="D382" t="s">
        <v>39</v>
      </c>
      <c r="E382" t="s">
        <v>46</v>
      </c>
      <c r="F382" t="s">
        <v>51</v>
      </c>
      <c r="G382" t="s">
        <v>42</v>
      </c>
    </row>
    <row r="383" spans="1:7" x14ac:dyDescent="0.2">
      <c r="A383">
        <v>10</v>
      </c>
      <c r="B383">
        <v>62</v>
      </c>
      <c r="C383" t="s">
        <v>226</v>
      </c>
      <c r="D383" t="s">
        <v>39</v>
      </c>
      <c r="E383" t="s">
        <v>46</v>
      </c>
      <c r="F383" t="s">
        <v>51</v>
      </c>
      <c r="G383" t="s">
        <v>42</v>
      </c>
    </row>
    <row r="384" spans="1:7" x14ac:dyDescent="0.2">
      <c r="A384">
        <v>10</v>
      </c>
      <c r="B384">
        <v>62</v>
      </c>
      <c r="C384" t="s">
        <v>227</v>
      </c>
      <c r="D384" t="s">
        <v>39</v>
      </c>
      <c r="E384" t="s">
        <v>46</v>
      </c>
      <c r="F384" t="s">
        <v>51</v>
      </c>
      <c r="G384" t="s">
        <v>42</v>
      </c>
    </row>
    <row r="385" spans="1:7" x14ac:dyDescent="0.2">
      <c r="A385">
        <v>10</v>
      </c>
      <c r="B385">
        <v>62</v>
      </c>
      <c r="C385" t="s">
        <v>216</v>
      </c>
      <c r="D385" t="s">
        <v>39</v>
      </c>
      <c r="E385" t="s">
        <v>46</v>
      </c>
      <c r="F385" t="s">
        <v>51</v>
      </c>
      <c r="G385" t="s">
        <v>42</v>
      </c>
    </row>
    <row r="386" spans="1:7" x14ac:dyDescent="0.2">
      <c r="A386">
        <v>10</v>
      </c>
      <c r="B386">
        <v>62</v>
      </c>
      <c r="C386" t="s">
        <v>228</v>
      </c>
      <c r="D386" t="s">
        <v>39</v>
      </c>
      <c r="E386" t="s">
        <v>46</v>
      </c>
      <c r="F386" t="s">
        <v>51</v>
      </c>
      <c r="G386" t="s">
        <v>42</v>
      </c>
    </row>
    <row r="387" spans="1:7" x14ac:dyDescent="0.2">
      <c r="A387">
        <v>10</v>
      </c>
      <c r="B387">
        <v>62</v>
      </c>
      <c r="C387" t="s">
        <v>229</v>
      </c>
      <c r="D387" t="s">
        <v>39</v>
      </c>
      <c r="E387" t="s">
        <v>46</v>
      </c>
      <c r="F387" t="s">
        <v>51</v>
      </c>
      <c r="G387" t="s">
        <v>42</v>
      </c>
    </row>
    <row r="388" spans="1:7" x14ac:dyDescent="0.2">
      <c r="A388">
        <v>10</v>
      </c>
      <c r="B388">
        <v>62</v>
      </c>
      <c r="C388" t="s">
        <v>230</v>
      </c>
      <c r="D388" t="s">
        <v>39</v>
      </c>
      <c r="E388" t="s">
        <v>46</v>
      </c>
      <c r="F388" t="s">
        <v>51</v>
      </c>
      <c r="G388" t="s">
        <v>42</v>
      </c>
    </row>
    <row r="389" spans="1:7" x14ac:dyDescent="0.2">
      <c r="A389">
        <v>10</v>
      </c>
      <c r="B389">
        <v>62</v>
      </c>
      <c r="C389" t="s">
        <v>231</v>
      </c>
      <c r="D389" t="s">
        <v>39</v>
      </c>
      <c r="E389" t="s">
        <v>46</v>
      </c>
      <c r="F389" t="s">
        <v>51</v>
      </c>
      <c r="G389" t="s">
        <v>42</v>
      </c>
    </row>
    <row r="390" spans="1:7" x14ac:dyDescent="0.2">
      <c r="A390">
        <v>10</v>
      </c>
      <c r="B390">
        <v>62</v>
      </c>
      <c r="C390" t="s">
        <v>232</v>
      </c>
      <c r="D390" t="s">
        <v>39</v>
      </c>
      <c r="E390" t="s">
        <v>46</v>
      </c>
      <c r="F390" t="s">
        <v>51</v>
      </c>
      <c r="G390" t="s">
        <v>42</v>
      </c>
    </row>
    <row r="391" spans="1:7" x14ac:dyDescent="0.2">
      <c r="A391">
        <v>10</v>
      </c>
      <c r="B391">
        <v>62</v>
      </c>
      <c r="C391" t="s">
        <v>233</v>
      </c>
      <c r="D391" t="s">
        <v>39</v>
      </c>
      <c r="E391" t="s">
        <v>46</v>
      </c>
      <c r="F391" t="s">
        <v>51</v>
      </c>
      <c r="G391" t="s">
        <v>42</v>
      </c>
    </row>
    <row r="392" spans="1:7" x14ac:dyDescent="0.2">
      <c r="A392">
        <v>10</v>
      </c>
      <c r="B392">
        <v>62</v>
      </c>
      <c r="C392" t="s">
        <v>234</v>
      </c>
      <c r="D392" t="s">
        <v>39</v>
      </c>
      <c r="E392" t="s">
        <v>46</v>
      </c>
      <c r="F392" t="s">
        <v>51</v>
      </c>
      <c r="G392" t="s">
        <v>42</v>
      </c>
    </row>
    <row r="393" spans="1:7" x14ac:dyDescent="0.2">
      <c r="A393">
        <v>11</v>
      </c>
      <c r="B393">
        <v>62</v>
      </c>
      <c r="C393" t="s">
        <v>234</v>
      </c>
      <c r="D393" t="s">
        <v>39</v>
      </c>
      <c r="E393" t="s">
        <v>46</v>
      </c>
      <c r="F393" t="s">
        <v>41</v>
      </c>
      <c r="G393" t="s">
        <v>42</v>
      </c>
    </row>
    <row r="394" spans="1:7" x14ac:dyDescent="0.2">
      <c r="A394">
        <v>11</v>
      </c>
      <c r="B394">
        <v>62</v>
      </c>
      <c r="C394" t="s">
        <v>233</v>
      </c>
      <c r="D394" t="s">
        <v>39</v>
      </c>
      <c r="E394" t="s">
        <v>46</v>
      </c>
      <c r="F394" t="s">
        <v>41</v>
      </c>
      <c r="G394" t="s">
        <v>42</v>
      </c>
    </row>
    <row r="395" spans="1:7" x14ac:dyDescent="0.2">
      <c r="A395">
        <v>11</v>
      </c>
      <c r="B395">
        <v>62</v>
      </c>
      <c r="C395" t="s">
        <v>232</v>
      </c>
      <c r="D395" t="s">
        <v>39</v>
      </c>
      <c r="E395" t="s">
        <v>46</v>
      </c>
      <c r="F395" t="s">
        <v>41</v>
      </c>
      <c r="G395" t="s">
        <v>42</v>
      </c>
    </row>
    <row r="396" spans="1:7" x14ac:dyDescent="0.2">
      <c r="A396">
        <v>11</v>
      </c>
      <c r="B396">
        <v>62</v>
      </c>
      <c r="C396" t="s">
        <v>230</v>
      </c>
      <c r="D396" t="s">
        <v>39</v>
      </c>
      <c r="E396" t="s">
        <v>46</v>
      </c>
      <c r="F396" t="s">
        <v>41</v>
      </c>
      <c r="G396" t="s">
        <v>42</v>
      </c>
    </row>
    <row r="397" spans="1:7" x14ac:dyDescent="0.2">
      <c r="A397">
        <v>11</v>
      </c>
      <c r="B397">
        <v>62</v>
      </c>
      <c r="C397" t="s">
        <v>231</v>
      </c>
      <c r="D397" t="s">
        <v>39</v>
      </c>
      <c r="E397" t="s">
        <v>46</v>
      </c>
      <c r="F397" t="s">
        <v>41</v>
      </c>
      <c r="G397" t="s">
        <v>42</v>
      </c>
    </row>
    <row r="398" spans="1:7" x14ac:dyDescent="0.2">
      <c r="A398">
        <v>11</v>
      </c>
      <c r="B398">
        <v>62</v>
      </c>
      <c r="C398" t="s">
        <v>229</v>
      </c>
      <c r="D398" t="s">
        <v>39</v>
      </c>
      <c r="E398" t="s">
        <v>46</v>
      </c>
      <c r="F398" t="s">
        <v>41</v>
      </c>
      <c r="G398" t="s">
        <v>42</v>
      </c>
    </row>
    <row r="399" spans="1:7" x14ac:dyDescent="0.2">
      <c r="A399">
        <v>11</v>
      </c>
      <c r="B399">
        <v>62</v>
      </c>
      <c r="C399" t="s">
        <v>228</v>
      </c>
      <c r="D399" t="s">
        <v>39</v>
      </c>
      <c r="E399" t="s">
        <v>46</v>
      </c>
      <c r="F399" t="s">
        <v>41</v>
      </c>
      <c r="G399" t="s">
        <v>42</v>
      </c>
    </row>
    <row r="400" spans="1:7" x14ac:dyDescent="0.2">
      <c r="A400">
        <v>11</v>
      </c>
      <c r="B400">
        <v>62</v>
      </c>
      <c r="C400" t="s">
        <v>235</v>
      </c>
      <c r="D400" t="s">
        <v>39</v>
      </c>
      <c r="E400" t="s">
        <v>46</v>
      </c>
      <c r="F400" t="s">
        <v>41</v>
      </c>
      <c r="G400" t="s">
        <v>42</v>
      </c>
    </row>
    <row r="401" spans="1:7" x14ac:dyDescent="0.2">
      <c r="A401">
        <v>11</v>
      </c>
      <c r="B401">
        <v>62</v>
      </c>
      <c r="C401" t="s">
        <v>227</v>
      </c>
      <c r="D401" t="s">
        <v>39</v>
      </c>
      <c r="E401" t="s">
        <v>46</v>
      </c>
      <c r="F401" t="s">
        <v>41</v>
      </c>
      <c r="G401" t="s">
        <v>42</v>
      </c>
    </row>
    <row r="402" spans="1:7" x14ac:dyDescent="0.2">
      <c r="A402">
        <v>11</v>
      </c>
      <c r="B402">
        <v>62</v>
      </c>
      <c r="C402" t="s">
        <v>226</v>
      </c>
      <c r="D402" t="s">
        <v>39</v>
      </c>
      <c r="E402" t="s">
        <v>46</v>
      </c>
      <c r="F402" t="s">
        <v>41</v>
      </c>
      <c r="G402" t="s">
        <v>42</v>
      </c>
    </row>
    <row r="403" spans="1:7" x14ac:dyDescent="0.2">
      <c r="A403">
        <v>11</v>
      </c>
      <c r="B403">
        <v>62</v>
      </c>
      <c r="C403" t="s">
        <v>236</v>
      </c>
      <c r="D403" t="s">
        <v>39</v>
      </c>
      <c r="E403" t="s">
        <v>46</v>
      </c>
      <c r="F403" t="s">
        <v>41</v>
      </c>
      <c r="G403" t="s">
        <v>42</v>
      </c>
    </row>
    <row r="404" spans="1:7" x14ac:dyDescent="0.2">
      <c r="A404">
        <v>11</v>
      </c>
      <c r="B404">
        <v>62</v>
      </c>
      <c r="C404" t="s">
        <v>237</v>
      </c>
      <c r="D404" t="s">
        <v>39</v>
      </c>
      <c r="E404" t="s">
        <v>46</v>
      </c>
      <c r="F404" t="s">
        <v>41</v>
      </c>
      <c r="G404" t="s">
        <v>42</v>
      </c>
    </row>
    <row r="405" spans="1:7" x14ac:dyDescent="0.2">
      <c r="A405">
        <v>11</v>
      </c>
      <c r="B405">
        <v>62</v>
      </c>
      <c r="C405" t="s">
        <v>87</v>
      </c>
      <c r="D405" t="s">
        <v>39</v>
      </c>
      <c r="E405" t="s">
        <v>46</v>
      </c>
      <c r="F405" t="s">
        <v>41</v>
      </c>
      <c r="G405" t="s">
        <v>42</v>
      </c>
    </row>
    <row r="406" spans="1:7" x14ac:dyDescent="0.2">
      <c r="A406">
        <v>11</v>
      </c>
      <c r="B406">
        <v>62</v>
      </c>
      <c r="C406" t="s">
        <v>238</v>
      </c>
      <c r="D406" t="s">
        <v>39</v>
      </c>
      <c r="E406" t="s">
        <v>46</v>
      </c>
      <c r="F406" t="s">
        <v>41</v>
      </c>
      <c r="G406" t="s">
        <v>42</v>
      </c>
    </row>
    <row r="407" spans="1:7" x14ac:dyDescent="0.2">
      <c r="A407">
        <v>11</v>
      </c>
      <c r="B407">
        <v>62</v>
      </c>
      <c r="C407" t="s">
        <v>239</v>
      </c>
      <c r="D407" t="s">
        <v>39</v>
      </c>
      <c r="E407" t="s">
        <v>46</v>
      </c>
      <c r="F407" t="s">
        <v>41</v>
      </c>
      <c r="G407" t="s">
        <v>42</v>
      </c>
    </row>
    <row r="408" spans="1:7" x14ac:dyDescent="0.2">
      <c r="A408">
        <v>11</v>
      </c>
      <c r="B408">
        <v>62</v>
      </c>
      <c r="C408" t="s">
        <v>221</v>
      </c>
      <c r="D408" t="s">
        <v>39</v>
      </c>
      <c r="E408" t="s">
        <v>46</v>
      </c>
      <c r="F408" t="s">
        <v>41</v>
      </c>
      <c r="G408" t="s">
        <v>42</v>
      </c>
    </row>
    <row r="409" spans="1:7" x14ac:dyDescent="0.2">
      <c r="A409">
        <v>11</v>
      </c>
      <c r="B409">
        <v>62</v>
      </c>
      <c r="C409" t="s">
        <v>240</v>
      </c>
      <c r="D409" t="s">
        <v>39</v>
      </c>
      <c r="E409" t="s">
        <v>46</v>
      </c>
      <c r="F409" t="s">
        <v>41</v>
      </c>
      <c r="G409" t="s">
        <v>42</v>
      </c>
    </row>
    <row r="410" spans="1:7" x14ac:dyDescent="0.2">
      <c r="A410">
        <v>11</v>
      </c>
      <c r="B410">
        <v>62</v>
      </c>
      <c r="C410" t="s">
        <v>225</v>
      </c>
      <c r="D410" t="s">
        <v>39</v>
      </c>
      <c r="E410" t="s">
        <v>46</v>
      </c>
      <c r="F410" t="s">
        <v>41</v>
      </c>
      <c r="G410" t="s">
        <v>42</v>
      </c>
    </row>
    <row r="411" spans="1:7" x14ac:dyDescent="0.2">
      <c r="A411">
        <v>11</v>
      </c>
      <c r="B411">
        <v>62</v>
      </c>
      <c r="C411" t="s">
        <v>174</v>
      </c>
      <c r="D411" t="s">
        <v>39</v>
      </c>
      <c r="E411" t="s">
        <v>46</v>
      </c>
      <c r="F411" t="s">
        <v>41</v>
      </c>
      <c r="G411" t="s">
        <v>42</v>
      </c>
    </row>
    <row r="412" spans="1:7" x14ac:dyDescent="0.2">
      <c r="A412">
        <v>11</v>
      </c>
      <c r="B412">
        <v>62</v>
      </c>
      <c r="C412" t="s">
        <v>224</v>
      </c>
      <c r="D412" t="s">
        <v>39</v>
      </c>
      <c r="E412" t="s">
        <v>46</v>
      </c>
      <c r="F412" t="s">
        <v>41</v>
      </c>
      <c r="G412" t="s">
        <v>42</v>
      </c>
    </row>
    <row r="413" spans="1:7" x14ac:dyDescent="0.2">
      <c r="A413">
        <v>11</v>
      </c>
      <c r="B413">
        <v>62</v>
      </c>
      <c r="C413" t="s">
        <v>223</v>
      </c>
      <c r="D413" t="s">
        <v>39</v>
      </c>
      <c r="E413" t="s">
        <v>46</v>
      </c>
      <c r="F413" t="s">
        <v>41</v>
      </c>
      <c r="G413" t="s">
        <v>42</v>
      </c>
    </row>
    <row r="414" spans="1:7" x14ac:dyDescent="0.2">
      <c r="A414">
        <v>11</v>
      </c>
      <c r="B414">
        <v>62</v>
      </c>
      <c r="C414" t="s">
        <v>241</v>
      </c>
      <c r="D414" t="s">
        <v>39</v>
      </c>
      <c r="E414" t="s">
        <v>46</v>
      </c>
      <c r="F414" t="s">
        <v>41</v>
      </c>
      <c r="G414" t="s">
        <v>42</v>
      </c>
    </row>
    <row r="415" spans="1:7" x14ac:dyDescent="0.2">
      <c r="A415">
        <v>12</v>
      </c>
      <c r="B415">
        <v>62</v>
      </c>
      <c r="C415" t="s">
        <v>241</v>
      </c>
      <c r="D415" t="s">
        <v>39</v>
      </c>
      <c r="E415" t="s">
        <v>46</v>
      </c>
      <c r="F415" t="s">
        <v>51</v>
      </c>
      <c r="G415" t="s">
        <v>42</v>
      </c>
    </row>
    <row r="416" spans="1:7" x14ac:dyDescent="0.2">
      <c r="A416">
        <v>12</v>
      </c>
      <c r="B416">
        <v>62</v>
      </c>
      <c r="C416" t="s">
        <v>242</v>
      </c>
      <c r="D416" t="s">
        <v>39</v>
      </c>
      <c r="E416" t="s">
        <v>46</v>
      </c>
      <c r="F416" t="s">
        <v>51</v>
      </c>
      <c r="G416" t="s">
        <v>42</v>
      </c>
    </row>
    <row r="417" spans="1:7" x14ac:dyDescent="0.2">
      <c r="A417">
        <v>12</v>
      </c>
      <c r="B417">
        <v>62</v>
      </c>
      <c r="C417" t="s">
        <v>243</v>
      </c>
      <c r="D417" t="s">
        <v>39</v>
      </c>
      <c r="E417" t="s">
        <v>46</v>
      </c>
      <c r="F417" t="s">
        <v>51</v>
      </c>
      <c r="G417" t="s">
        <v>42</v>
      </c>
    </row>
    <row r="418" spans="1:7" x14ac:dyDescent="0.2">
      <c r="A418">
        <v>12</v>
      </c>
      <c r="B418">
        <v>62</v>
      </c>
      <c r="C418" t="s">
        <v>225</v>
      </c>
      <c r="D418" t="s">
        <v>39</v>
      </c>
      <c r="E418" t="s">
        <v>46</v>
      </c>
      <c r="F418" t="s">
        <v>51</v>
      </c>
      <c r="G418" t="s">
        <v>42</v>
      </c>
    </row>
    <row r="419" spans="1:7" x14ac:dyDescent="0.2">
      <c r="A419">
        <v>12</v>
      </c>
      <c r="B419">
        <v>62</v>
      </c>
      <c r="C419" t="s">
        <v>221</v>
      </c>
      <c r="D419" t="s">
        <v>39</v>
      </c>
      <c r="E419" t="s">
        <v>46</v>
      </c>
      <c r="F419" t="s">
        <v>51</v>
      </c>
      <c r="G419" t="s">
        <v>42</v>
      </c>
    </row>
    <row r="420" spans="1:7" x14ac:dyDescent="0.2">
      <c r="A420">
        <v>12</v>
      </c>
      <c r="B420">
        <v>62</v>
      </c>
      <c r="C420" t="s">
        <v>239</v>
      </c>
      <c r="D420" t="s">
        <v>39</v>
      </c>
      <c r="E420" t="s">
        <v>46</v>
      </c>
      <c r="F420" t="s">
        <v>51</v>
      </c>
      <c r="G420" t="s">
        <v>42</v>
      </c>
    </row>
    <row r="421" spans="1:7" x14ac:dyDescent="0.2">
      <c r="A421">
        <v>12</v>
      </c>
      <c r="B421">
        <v>62</v>
      </c>
      <c r="C421" t="s">
        <v>244</v>
      </c>
      <c r="D421" t="s">
        <v>39</v>
      </c>
      <c r="E421" t="s">
        <v>46</v>
      </c>
      <c r="F421" t="s">
        <v>51</v>
      </c>
      <c r="G421" t="s">
        <v>42</v>
      </c>
    </row>
    <row r="422" spans="1:7" x14ac:dyDescent="0.2">
      <c r="A422">
        <v>12</v>
      </c>
      <c r="B422">
        <v>62</v>
      </c>
      <c r="C422" t="s">
        <v>87</v>
      </c>
      <c r="D422" t="s">
        <v>39</v>
      </c>
      <c r="E422" t="s">
        <v>46</v>
      </c>
      <c r="F422" t="s">
        <v>51</v>
      </c>
      <c r="G422" t="s">
        <v>42</v>
      </c>
    </row>
    <row r="423" spans="1:7" x14ac:dyDescent="0.2">
      <c r="A423">
        <v>12</v>
      </c>
      <c r="B423">
        <v>62</v>
      </c>
      <c r="C423" t="s">
        <v>237</v>
      </c>
      <c r="D423" t="s">
        <v>39</v>
      </c>
      <c r="E423" t="s">
        <v>46</v>
      </c>
      <c r="F423" t="s">
        <v>51</v>
      </c>
      <c r="G423" t="s">
        <v>42</v>
      </c>
    </row>
    <row r="424" spans="1:7" x14ac:dyDescent="0.2">
      <c r="A424">
        <v>12</v>
      </c>
      <c r="B424">
        <v>62</v>
      </c>
      <c r="C424" t="s">
        <v>236</v>
      </c>
      <c r="D424" t="s">
        <v>39</v>
      </c>
      <c r="E424" t="s">
        <v>46</v>
      </c>
      <c r="F424" t="s">
        <v>51</v>
      </c>
      <c r="G424" t="s">
        <v>42</v>
      </c>
    </row>
    <row r="425" spans="1:7" x14ac:dyDescent="0.2">
      <c r="A425">
        <v>12</v>
      </c>
      <c r="B425">
        <v>62</v>
      </c>
      <c r="C425" t="s">
        <v>226</v>
      </c>
      <c r="D425" t="s">
        <v>39</v>
      </c>
      <c r="E425" t="s">
        <v>46</v>
      </c>
      <c r="F425" t="s">
        <v>51</v>
      </c>
      <c r="G425" t="s">
        <v>42</v>
      </c>
    </row>
    <row r="426" spans="1:7" x14ac:dyDescent="0.2">
      <c r="A426">
        <v>12</v>
      </c>
      <c r="B426">
        <v>62</v>
      </c>
      <c r="C426" t="s">
        <v>227</v>
      </c>
      <c r="D426" t="s">
        <v>39</v>
      </c>
      <c r="E426" t="s">
        <v>46</v>
      </c>
      <c r="F426" t="s">
        <v>51</v>
      </c>
      <c r="G426" t="s">
        <v>42</v>
      </c>
    </row>
    <row r="427" spans="1:7" x14ac:dyDescent="0.2">
      <c r="A427">
        <v>12</v>
      </c>
      <c r="B427">
        <v>62</v>
      </c>
      <c r="C427" t="s">
        <v>245</v>
      </c>
      <c r="D427" t="s">
        <v>39</v>
      </c>
      <c r="E427" t="s">
        <v>46</v>
      </c>
      <c r="F427" t="s">
        <v>51</v>
      </c>
      <c r="G427" t="s">
        <v>42</v>
      </c>
    </row>
    <row r="428" spans="1:7" x14ac:dyDescent="0.2">
      <c r="A428">
        <v>12</v>
      </c>
      <c r="B428">
        <v>62</v>
      </c>
      <c r="C428" t="s">
        <v>246</v>
      </c>
      <c r="D428" t="s">
        <v>39</v>
      </c>
      <c r="E428" t="s">
        <v>46</v>
      </c>
      <c r="F428" t="s">
        <v>51</v>
      </c>
      <c r="G428" t="s">
        <v>42</v>
      </c>
    </row>
    <row r="429" spans="1:7" x14ac:dyDescent="0.2">
      <c r="A429">
        <v>12</v>
      </c>
      <c r="B429">
        <v>62</v>
      </c>
      <c r="C429" t="s">
        <v>228</v>
      </c>
      <c r="D429" t="s">
        <v>39</v>
      </c>
      <c r="E429" t="s">
        <v>46</v>
      </c>
      <c r="F429" t="s">
        <v>51</v>
      </c>
      <c r="G429" t="s">
        <v>42</v>
      </c>
    </row>
    <row r="430" spans="1:7" x14ac:dyDescent="0.2">
      <c r="A430">
        <v>12</v>
      </c>
      <c r="B430">
        <v>62</v>
      </c>
      <c r="C430" t="s">
        <v>229</v>
      </c>
      <c r="D430" t="s">
        <v>39</v>
      </c>
      <c r="E430" t="s">
        <v>46</v>
      </c>
      <c r="F430" t="s">
        <v>51</v>
      </c>
      <c r="G430" t="s">
        <v>42</v>
      </c>
    </row>
    <row r="431" spans="1:7" x14ac:dyDescent="0.2">
      <c r="A431">
        <v>12</v>
      </c>
      <c r="B431">
        <v>62</v>
      </c>
      <c r="C431" t="s">
        <v>231</v>
      </c>
      <c r="D431" t="s">
        <v>39</v>
      </c>
      <c r="E431" t="s">
        <v>46</v>
      </c>
      <c r="F431" t="s">
        <v>51</v>
      </c>
      <c r="G431" t="s">
        <v>42</v>
      </c>
    </row>
    <row r="432" spans="1:7" x14ac:dyDescent="0.2">
      <c r="A432">
        <v>12</v>
      </c>
      <c r="B432">
        <v>62</v>
      </c>
      <c r="C432" t="s">
        <v>230</v>
      </c>
      <c r="D432" t="s">
        <v>39</v>
      </c>
      <c r="E432" t="s">
        <v>46</v>
      </c>
      <c r="F432" t="s">
        <v>51</v>
      </c>
      <c r="G432" t="s">
        <v>42</v>
      </c>
    </row>
    <row r="433" spans="1:7" x14ac:dyDescent="0.2">
      <c r="A433">
        <v>12</v>
      </c>
      <c r="B433">
        <v>62</v>
      </c>
      <c r="C433" t="s">
        <v>232</v>
      </c>
      <c r="D433" t="s">
        <v>39</v>
      </c>
      <c r="E433" t="s">
        <v>46</v>
      </c>
      <c r="F433" t="s">
        <v>51</v>
      </c>
      <c r="G433" t="s">
        <v>42</v>
      </c>
    </row>
    <row r="434" spans="1:7" x14ac:dyDescent="0.2">
      <c r="A434">
        <v>12</v>
      </c>
      <c r="B434">
        <v>62</v>
      </c>
      <c r="C434" t="s">
        <v>233</v>
      </c>
      <c r="D434" t="s">
        <v>39</v>
      </c>
      <c r="E434" t="s">
        <v>46</v>
      </c>
      <c r="F434" t="s">
        <v>51</v>
      </c>
      <c r="G434" t="s">
        <v>42</v>
      </c>
    </row>
    <row r="435" spans="1:7" x14ac:dyDescent="0.2">
      <c r="A435">
        <v>12</v>
      </c>
      <c r="B435">
        <v>62</v>
      </c>
      <c r="C435" t="s">
        <v>234</v>
      </c>
      <c r="D435" t="s">
        <v>39</v>
      </c>
      <c r="E435" t="s">
        <v>46</v>
      </c>
      <c r="F435" t="s">
        <v>51</v>
      </c>
      <c r="G435" t="s">
        <v>42</v>
      </c>
    </row>
    <row r="436" spans="1:7" x14ac:dyDescent="0.2">
      <c r="A436">
        <v>13</v>
      </c>
      <c r="B436">
        <v>62</v>
      </c>
      <c r="C436" t="s">
        <v>224</v>
      </c>
      <c r="D436" t="s">
        <v>39</v>
      </c>
      <c r="E436" t="s">
        <v>46</v>
      </c>
      <c r="F436" t="s">
        <v>41</v>
      </c>
      <c r="G436" t="s">
        <v>42</v>
      </c>
    </row>
    <row r="437" spans="1:7" x14ac:dyDescent="0.2">
      <c r="A437">
        <v>13</v>
      </c>
      <c r="B437">
        <v>62</v>
      </c>
      <c r="C437" t="s">
        <v>223</v>
      </c>
      <c r="D437" t="s">
        <v>39</v>
      </c>
      <c r="E437" t="s">
        <v>46</v>
      </c>
      <c r="F437" t="s">
        <v>41</v>
      </c>
      <c r="G437" t="s">
        <v>42</v>
      </c>
    </row>
    <row r="438" spans="1:7" x14ac:dyDescent="0.2">
      <c r="A438">
        <v>13</v>
      </c>
      <c r="B438">
        <v>62</v>
      </c>
      <c r="C438" t="s">
        <v>243</v>
      </c>
      <c r="D438" t="s">
        <v>39</v>
      </c>
      <c r="E438" t="s">
        <v>46</v>
      </c>
      <c r="F438" t="s">
        <v>41</v>
      </c>
      <c r="G438" t="s">
        <v>42</v>
      </c>
    </row>
    <row r="439" spans="1:7" x14ac:dyDescent="0.2">
      <c r="A439">
        <v>13</v>
      </c>
      <c r="B439">
        <v>62</v>
      </c>
      <c r="C439" t="s">
        <v>174</v>
      </c>
      <c r="D439" t="s">
        <v>39</v>
      </c>
      <c r="E439" t="s">
        <v>46</v>
      </c>
      <c r="F439" t="s">
        <v>41</v>
      </c>
      <c r="G439" t="s">
        <v>42</v>
      </c>
    </row>
    <row r="440" spans="1:7" x14ac:dyDescent="0.2">
      <c r="A440">
        <v>13</v>
      </c>
      <c r="B440">
        <v>62</v>
      </c>
      <c r="C440" t="s">
        <v>225</v>
      </c>
      <c r="D440" t="s">
        <v>39</v>
      </c>
      <c r="E440" t="s">
        <v>46</v>
      </c>
      <c r="F440" t="s">
        <v>41</v>
      </c>
      <c r="G440" t="s">
        <v>42</v>
      </c>
    </row>
    <row r="441" spans="1:7" x14ac:dyDescent="0.2">
      <c r="A441">
        <v>13</v>
      </c>
      <c r="B441">
        <v>62</v>
      </c>
      <c r="C441" t="s">
        <v>221</v>
      </c>
      <c r="D441" t="s">
        <v>39</v>
      </c>
      <c r="E441" t="s">
        <v>46</v>
      </c>
      <c r="F441" t="s">
        <v>41</v>
      </c>
      <c r="G441" t="s">
        <v>42</v>
      </c>
    </row>
    <row r="442" spans="1:7" x14ac:dyDescent="0.2">
      <c r="A442">
        <v>13</v>
      </c>
      <c r="B442">
        <v>62</v>
      </c>
      <c r="C442" t="s">
        <v>239</v>
      </c>
      <c r="D442" t="s">
        <v>39</v>
      </c>
      <c r="E442" t="s">
        <v>46</v>
      </c>
      <c r="F442" t="s">
        <v>41</v>
      </c>
      <c r="G442" t="s">
        <v>42</v>
      </c>
    </row>
    <row r="443" spans="1:7" x14ac:dyDescent="0.2">
      <c r="A443">
        <v>13</v>
      </c>
      <c r="B443">
        <v>62</v>
      </c>
      <c r="C443" t="s">
        <v>247</v>
      </c>
      <c r="D443" t="s">
        <v>39</v>
      </c>
      <c r="E443" t="s">
        <v>46</v>
      </c>
      <c r="F443" t="s">
        <v>51</v>
      </c>
      <c r="G443" t="s">
        <v>42</v>
      </c>
    </row>
    <row r="444" spans="1:7" x14ac:dyDescent="0.2">
      <c r="A444">
        <v>13</v>
      </c>
      <c r="B444">
        <v>62</v>
      </c>
      <c r="C444" t="s">
        <v>87</v>
      </c>
      <c r="D444" t="s">
        <v>39</v>
      </c>
      <c r="E444" t="s">
        <v>46</v>
      </c>
      <c r="F444" t="s">
        <v>41</v>
      </c>
      <c r="G444" t="s">
        <v>42</v>
      </c>
    </row>
    <row r="445" spans="1:7" x14ac:dyDescent="0.2">
      <c r="A445">
        <v>13</v>
      </c>
      <c r="B445">
        <v>62</v>
      </c>
      <c r="C445" t="s">
        <v>237</v>
      </c>
      <c r="D445" t="s">
        <v>39</v>
      </c>
      <c r="E445" t="s">
        <v>46</v>
      </c>
      <c r="F445" t="s">
        <v>41</v>
      </c>
      <c r="G445" t="s">
        <v>42</v>
      </c>
    </row>
    <row r="446" spans="1:7" x14ac:dyDescent="0.2">
      <c r="A446">
        <v>13</v>
      </c>
      <c r="B446">
        <v>62</v>
      </c>
      <c r="C446" t="s">
        <v>248</v>
      </c>
      <c r="D446" t="s">
        <v>39</v>
      </c>
      <c r="E446" t="s">
        <v>46</v>
      </c>
      <c r="F446" t="s">
        <v>41</v>
      </c>
      <c r="G446" t="s">
        <v>42</v>
      </c>
    </row>
    <row r="447" spans="1:7" x14ac:dyDescent="0.2">
      <c r="A447">
        <v>13</v>
      </c>
      <c r="B447">
        <v>62</v>
      </c>
      <c r="C447" t="s">
        <v>217</v>
      </c>
      <c r="D447" t="s">
        <v>39</v>
      </c>
      <c r="E447" t="s">
        <v>46</v>
      </c>
      <c r="F447" t="s">
        <v>41</v>
      </c>
      <c r="G447" t="s">
        <v>42</v>
      </c>
    </row>
    <row r="448" spans="1:7" x14ac:dyDescent="0.2">
      <c r="A448">
        <v>13</v>
      </c>
      <c r="B448">
        <v>62</v>
      </c>
      <c r="C448" t="s">
        <v>226</v>
      </c>
      <c r="D448" t="s">
        <v>39</v>
      </c>
      <c r="E448" t="s">
        <v>46</v>
      </c>
      <c r="F448" t="s">
        <v>41</v>
      </c>
      <c r="G448" t="s">
        <v>42</v>
      </c>
    </row>
    <row r="449" spans="1:7" x14ac:dyDescent="0.2">
      <c r="A449">
        <v>13</v>
      </c>
      <c r="B449">
        <v>62</v>
      </c>
      <c r="C449" t="s">
        <v>227</v>
      </c>
      <c r="D449" t="s">
        <v>39</v>
      </c>
      <c r="E449" t="s">
        <v>46</v>
      </c>
      <c r="F449" t="s">
        <v>41</v>
      </c>
      <c r="G449" t="s">
        <v>42</v>
      </c>
    </row>
    <row r="450" spans="1:7" x14ac:dyDescent="0.2">
      <c r="A450">
        <v>13</v>
      </c>
      <c r="B450">
        <v>62</v>
      </c>
      <c r="C450" t="s">
        <v>216</v>
      </c>
      <c r="D450" t="s">
        <v>39</v>
      </c>
      <c r="E450" t="s">
        <v>46</v>
      </c>
      <c r="F450" t="s">
        <v>41</v>
      </c>
      <c r="G450" t="s">
        <v>42</v>
      </c>
    </row>
    <row r="451" spans="1:7" x14ac:dyDescent="0.2">
      <c r="A451">
        <v>13</v>
      </c>
      <c r="B451">
        <v>62</v>
      </c>
      <c r="C451" t="s">
        <v>246</v>
      </c>
      <c r="D451" t="s">
        <v>39</v>
      </c>
      <c r="E451" t="s">
        <v>46</v>
      </c>
      <c r="F451" t="s">
        <v>41</v>
      </c>
      <c r="G451" t="s">
        <v>42</v>
      </c>
    </row>
    <row r="452" spans="1:7" x14ac:dyDescent="0.2">
      <c r="A452">
        <v>13</v>
      </c>
      <c r="B452">
        <v>62</v>
      </c>
      <c r="C452" t="s">
        <v>229</v>
      </c>
      <c r="D452" t="s">
        <v>39</v>
      </c>
      <c r="E452" t="s">
        <v>46</v>
      </c>
      <c r="F452" t="s">
        <v>41</v>
      </c>
      <c r="G452" t="s">
        <v>42</v>
      </c>
    </row>
    <row r="453" spans="1:7" x14ac:dyDescent="0.2">
      <c r="A453">
        <v>13</v>
      </c>
      <c r="B453">
        <v>62</v>
      </c>
      <c r="C453" t="s">
        <v>230</v>
      </c>
      <c r="D453" t="s">
        <v>39</v>
      </c>
      <c r="E453" t="s">
        <v>46</v>
      </c>
      <c r="F453" t="s">
        <v>41</v>
      </c>
      <c r="G453" t="s">
        <v>42</v>
      </c>
    </row>
    <row r="454" spans="1:7" x14ac:dyDescent="0.2">
      <c r="A454">
        <v>13</v>
      </c>
      <c r="B454">
        <v>62</v>
      </c>
      <c r="C454" t="s">
        <v>249</v>
      </c>
      <c r="D454" t="s">
        <v>39</v>
      </c>
      <c r="E454" t="s">
        <v>46</v>
      </c>
      <c r="F454" t="s">
        <v>41</v>
      </c>
      <c r="G454" t="s">
        <v>42</v>
      </c>
    </row>
    <row r="455" spans="1:7" x14ac:dyDescent="0.2">
      <c r="A455">
        <v>13</v>
      </c>
      <c r="B455">
        <v>62</v>
      </c>
      <c r="C455" t="s">
        <v>232</v>
      </c>
      <c r="D455" t="s">
        <v>39</v>
      </c>
      <c r="E455" t="s">
        <v>46</v>
      </c>
      <c r="F455" t="s">
        <v>41</v>
      </c>
      <c r="G455" t="s">
        <v>42</v>
      </c>
    </row>
    <row r="456" spans="1:7" x14ac:dyDescent="0.2">
      <c r="A456">
        <v>13</v>
      </c>
      <c r="B456">
        <v>62</v>
      </c>
      <c r="C456" t="s">
        <v>233</v>
      </c>
      <c r="D456" t="s">
        <v>39</v>
      </c>
      <c r="E456" t="s">
        <v>46</v>
      </c>
      <c r="F456" t="s">
        <v>41</v>
      </c>
      <c r="G456" t="s">
        <v>42</v>
      </c>
    </row>
    <row r="457" spans="1:7" x14ac:dyDescent="0.2">
      <c r="A457">
        <v>13</v>
      </c>
      <c r="B457">
        <v>62</v>
      </c>
      <c r="C457" t="s">
        <v>250</v>
      </c>
      <c r="D457" t="s">
        <v>39</v>
      </c>
      <c r="E457" t="s">
        <v>46</v>
      </c>
      <c r="F457" t="s">
        <v>41</v>
      </c>
      <c r="G457" t="s">
        <v>42</v>
      </c>
    </row>
    <row r="458" spans="1:7" x14ac:dyDescent="0.2">
      <c r="A458">
        <v>13</v>
      </c>
      <c r="B458">
        <v>62</v>
      </c>
      <c r="C458" t="s">
        <v>251</v>
      </c>
      <c r="D458" t="s">
        <v>39</v>
      </c>
      <c r="E458" t="s">
        <v>46</v>
      </c>
      <c r="F458" t="s">
        <v>41</v>
      </c>
      <c r="G458" t="s">
        <v>42</v>
      </c>
    </row>
    <row r="459" spans="1:7" x14ac:dyDescent="0.2">
      <c r="A459">
        <v>13</v>
      </c>
      <c r="B459">
        <v>62</v>
      </c>
      <c r="C459" t="s">
        <v>252</v>
      </c>
      <c r="D459" t="s">
        <v>39</v>
      </c>
      <c r="E459" t="s">
        <v>46</v>
      </c>
      <c r="F459" t="s">
        <v>41</v>
      </c>
      <c r="G459" t="s">
        <v>42</v>
      </c>
    </row>
    <row r="460" spans="1:7" x14ac:dyDescent="0.2">
      <c r="A460">
        <v>14</v>
      </c>
      <c r="B460">
        <v>62</v>
      </c>
      <c r="C460" t="s">
        <v>224</v>
      </c>
      <c r="D460" t="s">
        <v>39</v>
      </c>
      <c r="E460" t="s">
        <v>46</v>
      </c>
      <c r="F460" t="s">
        <v>51</v>
      </c>
      <c r="G460" t="s">
        <v>42</v>
      </c>
    </row>
    <row r="461" spans="1:7" x14ac:dyDescent="0.2">
      <c r="A461">
        <v>14</v>
      </c>
      <c r="B461">
        <v>62</v>
      </c>
      <c r="C461" t="s">
        <v>253</v>
      </c>
      <c r="D461" t="s">
        <v>39</v>
      </c>
      <c r="E461" t="s">
        <v>46</v>
      </c>
      <c r="F461" t="s">
        <v>51</v>
      </c>
      <c r="G461" t="s">
        <v>42</v>
      </c>
    </row>
    <row r="462" spans="1:7" x14ac:dyDescent="0.2">
      <c r="A462">
        <v>14</v>
      </c>
      <c r="B462">
        <v>62</v>
      </c>
      <c r="C462" t="s">
        <v>223</v>
      </c>
      <c r="D462" t="s">
        <v>39</v>
      </c>
      <c r="E462" t="s">
        <v>46</v>
      </c>
      <c r="F462" t="s">
        <v>51</v>
      </c>
      <c r="G462" t="s">
        <v>42</v>
      </c>
    </row>
    <row r="463" spans="1:7" x14ac:dyDescent="0.2">
      <c r="A463">
        <v>14</v>
      </c>
      <c r="B463">
        <v>62</v>
      </c>
      <c r="C463" t="s">
        <v>243</v>
      </c>
      <c r="D463" t="s">
        <v>39</v>
      </c>
      <c r="E463" t="s">
        <v>46</v>
      </c>
      <c r="F463" t="s">
        <v>51</v>
      </c>
      <c r="G463" t="s">
        <v>42</v>
      </c>
    </row>
    <row r="464" spans="1:7" x14ac:dyDescent="0.2">
      <c r="A464">
        <v>14</v>
      </c>
      <c r="B464">
        <v>62</v>
      </c>
      <c r="C464" t="s">
        <v>174</v>
      </c>
      <c r="D464" t="s">
        <v>39</v>
      </c>
      <c r="E464" t="s">
        <v>46</v>
      </c>
      <c r="F464" t="s">
        <v>51</v>
      </c>
      <c r="G464" t="s">
        <v>42</v>
      </c>
    </row>
    <row r="465" spans="1:7" x14ac:dyDescent="0.2">
      <c r="A465">
        <v>14</v>
      </c>
      <c r="B465">
        <v>62</v>
      </c>
      <c r="C465" t="s">
        <v>225</v>
      </c>
      <c r="D465" t="s">
        <v>39</v>
      </c>
      <c r="E465" t="s">
        <v>46</v>
      </c>
      <c r="F465" t="s">
        <v>51</v>
      </c>
      <c r="G465" t="s">
        <v>42</v>
      </c>
    </row>
    <row r="466" spans="1:7" x14ac:dyDescent="0.2">
      <c r="A466">
        <v>14</v>
      </c>
      <c r="B466">
        <v>62</v>
      </c>
      <c r="C466" t="s">
        <v>254</v>
      </c>
      <c r="D466" t="s">
        <v>39</v>
      </c>
      <c r="E466" t="s">
        <v>46</v>
      </c>
      <c r="F466" t="s">
        <v>51</v>
      </c>
      <c r="G466" t="s">
        <v>42</v>
      </c>
    </row>
    <row r="467" spans="1:7" x14ac:dyDescent="0.2">
      <c r="A467">
        <v>14</v>
      </c>
      <c r="B467">
        <v>62</v>
      </c>
      <c r="C467" t="s">
        <v>255</v>
      </c>
      <c r="D467" t="s">
        <v>39</v>
      </c>
      <c r="E467" t="s">
        <v>46</v>
      </c>
      <c r="F467" t="s">
        <v>47</v>
      </c>
      <c r="G467" t="s">
        <v>42</v>
      </c>
    </row>
    <row r="468" spans="1:7" x14ac:dyDescent="0.2">
      <c r="A468">
        <v>14</v>
      </c>
      <c r="B468">
        <v>62</v>
      </c>
      <c r="C468" t="s">
        <v>221</v>
      </c>
      <c r="D468" t="s">
        <v>39</v>
      </c>
      <c r="E468" t="s">
        <v>46</v>
      </c>
      <c r="F468" t="s">
        <v>51</v>
      </c>
      <c r="G468" t="s">
        <v>42</v>
      </c>
    </row>
    <row r="469" spans="1:7" x14ac:dyDescent="0.2">
      <c r="A469">
        <v>14</v>
      </c>
      <c r="B469">
        <v>62</v>
      </c>
      <c r="C469" t="s">
        <v>239</v>
      </c>
      <c r="D469" t="s">
        <v>39</v>
      </c>
      <c r="E469" t="s">
        <v>46</v>
      </c>
      <c r="F469" t="s">
        <v>51</v>
      </c>
      <c r="G469" t="s">
        <v>42</v>
      </c>
    </row>
    <row r="470" spans="1:7" x14ac:dyDescent="0.2">
      <c r="A470">
        <v>14</v>
      </c>
      <c r="B470">
        <v>62</v>
      </c>
      <c r="C470" t="s">
        <v>256</v>
      </c>
      <c r="D470" t="s">
        <v>39</v>
      </c>
      <c r="E470" t="s">
        <v>46</v>
      </c>
      <c r="F470" t="s">
        <v>51</v>
      </c>
      <c r="G470" t="s">
        <v>42</v>
      </c>
    </row>
    <row r="471" spans="1:7" x14ac:dyDescent="0.2">
      <c r="A471">
        <v>14</v>
      </c>
      <c r="B471">
        <v>62</v>
      </c>
      <c r="C471" t="s">
        <v>257</v>
      </c>
      <c r="D471" t="s">
        <v>39</v>
      </c>
      <c r="E471" t="s">
        <v>46</v>
      </c>
      <c r="F471" t="s">
        <v>51</v>
      </c>
      <c r="G471" t="s">
        <v>42</v>
      </c>
    </row>
    <row r="472" spans="1:7" x14ac:dyDescent="0.2">
      <c r="A472">
        <v>14</v>
      </c>
      <c r="B472">
        <v>62</v>
      </c>
      <c r="C472" t="s">
        <v>87</v>
      </c>
      <c r="D472" t="s">
        <v>39</v>
      </c>
      <c r="E472" t="s">
        <v>46</v>
      </c>
      <c r="F472" t="s">
        <v>51</v>
      </c>
      <c r="G472" t="s">
        <v>42</v>
      </c>
    </row>
    <row r="473" spans="1:7" x14ac:dyDescent="0.2">
      <c r="A473">
        <v>14</v>
      </c>
      <c r="B473">
        <v>62</v>
      </c>
      <c r="C473" t="s">
        <v>237</v>
      </c>
      <c r="D473" t="s">
        <v>39</v>
      </c>
      <c r="E473" t="s">
        <v>46</v>
      </c>
      <c r="F473" t="s">
        <v>51</v>
      </c>
      <c r="G473" t="s">
        <v>42</v>
      </c>
    </row>
    <row r="474" spans="1:7" x14ac:dyDescent="0.2">
      <c r="A474">
        <v>14</v>
      </c>
      <c r="B474">
        <v>62</v>
      </c>
      <c r="C474" t="s">
        <v>248</v>
      </c>
      <c r="D474" t="s">
        <v>39</v>
      </c>
      <c r="E474" t="s">
        <v>46</v>
      </c>
      <c r="F474" t="s">
        <v>51</v>
      </c>
      <c r="G474" t="s">
        <v>42</v>
      </c>
    </row>
    <row r="475" spans="1:7" x14ac:dyDescent="0.2">
      <c r="A475">
        <v>14</v>
      </c>
      <c r="B475">
        <v>62</v>
      </c>
      <c r="C475" t="s">
        <v>258</v>
      </c>
      <c r="D475" t="s">
        <v>39</v>
      </c>
      <c r="E475" t="s">
        <v>46</v>
      </c>
      <c r="F475" t="s">
        <v>51</v>
      </c>
      <c r="G475" t="s">
        <v>42</v>
      </c>
    </row>
    <row r="476" spans="1:7" x14ac:dyDescent="0.2">
      <c r="A476">
        <v>14</v>
      </c>
      <c r="B476">
        <v>62</v>
      </c>
      <c r="C476" t="s">
        <v>226</v>
      </c>
      <c r="D476" t="s">
        <v>39</v>
      </c>
      <c r="E476" t="s">
        <v>46</v>
      </c>
      <c r="F476" t="s">
        <v>51</v>
      </c>
      <c r="G476" t="s">
        <v>42</v>
      </c>
    </row>
    <row r="477" spans="1:7" x14ac:dyDescent="0.2">
      <c r="A477">
        <v>14</v>
      </c>
      <c r="B477">
        <v>62</v>
      </c>
      <c r="C477" t="s">
        <v>227</v>
      </c>
      <c r="D477" t="s">
        <v>39</v>
      </c>
      <c r="E477" t="s">
        <v>46</v>
      </c>
      <c r="F477" t="s">
        <v>51</v>
      </c>
      <c r="G477" t="s">
        <v>42</v>
      </c>
    </row>
    <row r="478" spans="1:7" x14ac:dyDescent="0.2">
      <c r="A478">
        <v>14</v>
      </c>
      <c r="B478">
        <v>62</v>
      </c>
      <c r="C478" t="s">
        <v>259</v>
      </c>
      <c r="D478" t="s">
        <v>39</v>
      </c>
      <c r="E478" t="s">
        <v>46</v>
      </c>
      <c r="F478" t="s">
        <v>51</v>
      </c>
      <c r="G478" t="s">
        <v>42</v>
      </c>
    </row>
    <row r="479" spans="1:7" x14ac:dyDescent="0.2">
      <c r="A479">
        <v>14</v>
      </c>
      <c r="B479">
        <v>62</v>
      </c>
      <c r="C479" t="s">
        <v>260</v>
      </c>
      <c r="D479" t="s">
        <v>94</v>
      </c>
      <c r="E479" t="s">
        <v>46</v>
      </c>
      <c r="F479" t="s">
        <v>51</v>
      </c>
      <c r="G479" t="s">
        <v>42</v>
      </c>
    </row>
    <row r="480" spans="1:7" x14ac:dyDescent="0.2">
      <c r="A480">
        <v>14</v>
      </c>
      <c r="B480">
        <v>62</v>
      </c>
      <c r="C480" t="s">
        <v>230</v>
      </c>
      <c r="D480" t="s">
        <v>39</v>
      </c>
      <c r="E480" t="s">
        <v>46</v>
      </c>
      <c r="F480" t="s">
        <v>51</v>
      </c>
      <c r="G480" t="s">
        <v>42</v>
      </c>
    </row>
    <row r="481" spans="1:7" x14ac:dyDescent="0.2">
      <c r="A481">
        <v>14</v>
      </c>
      <c r="B481">
        <v>62</v>
      </c>
      <c r="C481" t="s">
        <v>249</v>
      </c>
      <c r="D481" t="s">
        <v>94</v>
      </c>
      <c r="E481" t="s">
        <v>46</v>
      </c>
      <c r="F481" t="s">
        <v>51</v>
      </c>
      <c r="G481" t="s">
        <v>42</v>
      </c>
    </row>
    <row r="482" spans="1:7" x14ac:dyDescent="0.2">
      <c r="A482">
        <v>14</v>
      </c>
      <c r="B482">
        <v>62</v>
      </c>
      <c r="C482" t="s">
        <v>261</v>
      </c>
      <c r="D482" t="s">
        <v>39</v>
      </c>
      <c r="E482" t="s">
        <v>46</v>
      </c>
      <c r="F482" t="s">
        <v>51</v>
      </c>
      <c r="G482" t="s">
        <v>42</v>
      </c>
    </row>
    <row r="483" spans="1:7" x14ac:dyDescent="0.2">
      <c r="A483">
        <v>14</v>
      </c>
      <c r="B483">
        <v>62</v>
      </c>
      <c r="C483" t="s">
        <v>233</v>
      </c>
      <c r="D483" t="s">
        <v>39</v>
      </c>
      <c r="E483" t="s">
        <v>46</v>
      </c>
      <c r="F483" t="s">
        <v>51</v>
      </c>
      <c r="G483" t="s">
        <v>42</v>
      </c>
    </row>
    <row r="484" spans="1:7" x14ac:dyDescent="0.2">
      <c r="A484">
        <v>14</v>
      </c>
      <c r="B484">
        <v>62</v>
      </c>
      <c r="C484" t="s">
        <v>262</v>
      </c>
      <c r="D484" t="s">
        <v>39</v>
      </c>
      <c r="E484" t="s">
        <v>46</v>
      </c>
      <c r="F484" t="s">
        <v>51</v>
      </c>
      <c r="G484" t="s">
        <v>42</v>
      </c>
    </row>
    <row r="485" spans="1:7" x14ac:dyDescent="0.2">
      <c r="A485">
        <v>15</v>
      </c>
      <c r="B485">
        <v>62</v>
      </c>
      <c r="C485" t="s">
        <v>224</v>
      </c>
      <c r="D485" t="s">
        <v>39</v>
      </c>
      <c r="E485" t="s">
        <v>46</v>
      </c>
      <c r="F485" t="s">
        <v>41</v>
      </c>
      <c r="G485" t="s">
        <v>42</v>
      </c>
    </row>
    <row r="486" spans="1:7" x14ac:dyDescent="0.2">
      <c r="A486">
        <v>15</v>
      </c>
      <c r="B486">
        <v>62</v>
      </c>
      <c r="C486" t="s">
        <v>223</v>
      </c>
      <c r="D486" t="s">
        <v>39</v>
      </c>
      <c r="E486" t="s">
        <v>46</v>
      </c>
      <c r="F486" t="s">
        <v>41</v>
      </c>
      <c r="G486" t="s">
        <v>42</v>
      </c>
    </row>
    <row r="487" spans="1:7" x14ac:dyDescent="0.2">
      <c r="A487">
        <v>15</v>
      </c>
      <c r="B487">
        <v>62</v>
      </c>
      <c r="C487" t="s">
        <v>243</v>
      </c>
      <c r="D487" t="s">
        <v>39</v>
      </c>
      <c r="E487" t="s">
        <v>46</v>
      </c>
      <c r="F487" t="s">
        <v>41</v>
      </c>
      <c r="G487" t="s">
        <v>42</v>
      </c>
    </row>
    <row r="488" spans="1:7" x14ac:dyDescent="0.2">
      <c r="A488">
        <v>15</v>
      </c>
      <c r="B488">
        <v>62</v>
      </c>
      <c r="C488" t="s">
        <v>174</v>
      </c>
      <c r="D488" t="s">
        <v>39</v>
      </c>
      <c r="E488" t="s">
        <v>46</v>
      </c>
      <c r="F488" t="s">
        <v>41</v>
      </c>
      <c r="G488" t="s">
        <v>42</v>
      </c>
    </row>
    <row r="489" spans="1:7" x14ac:dyDescent="0.2">
      <c r="A489">
        <v>15</v>
      </c>
      <c r="B489">
        <v>62</v>
      </c>
      <c r="C489" t="s">
        <v>225</v>
      </c>
      <c r="D489" t="s">
        <v>39</v>
      </c>
      <c r="E489" t="s">
        <v>46</v>
      </c>
      <c r="F489" t="s">
        <v>41</v>
      </c>
      <c r="G489" t="s">
        <v>42</v>
      </c>
    </row>
    <row r="490" spans="1:7" x14ac:dyDescent="0.2">
      <c r="A490">
        <v>15</v>
      </c>
      <c r="B490">
        <v>62</v>
      </c>
      <c r="C490" t="s">
        <v>263</v>
      </c>
      <c r="D490" t="s">
        <v>39</v>
      </c>
      <c r="E490" t="s">
        <v>46</v>
      </c>
      <c r="F490" t="s">
        <v>41</v>
      </c>
      <c r="G490" t="s">
        <v>42</v>
      </c>
    </row>
    <row r="491" spans="1:7" x14ac:dyDescent="0.2">
      <c r="A491">
        <v>15</v>
      </c>
      <c r="B491">
        <v>62</v>
      </c>
      <c r="C491" t="s">
        <v>221</v>
      </c>
      <c r="D491" t="s">
        <v>39</v>
      </c>
      <c r="E491" t="s">
        <v>46</v>
      </c>
      <c r="F491" t="s">
        <v>41</v>
      </c>
      <c r="G491" t="s">
        <v>42</v>
      </c>
    </row>
    <row r="492" spans="1:7" x14ac:dyDescent="0.2">
      <c r="A492">
        <v>15</v>
      </c>
      <c r="B492">
        <v>62</v>
      </c>
      <c r="C492" t="s">
        <v>239</v>
      </c>
      <c r="D492" t="s">
        <v>39</v>
      </c>
      <c r="E492" t="s">
        <v>46</v>
      </c>
      <c r="F492" t="s">
        <v>41</v>
      </c>
      <c r="G492" t="s">
        <v>42</v>
      </c>
    </row>
    <row r="493" spans="1:7" x14ac:dyDescent="0.2">
      <c r="A493">
        <v>15</v>
      </c>
      <c r="B493">
        <v>62</v>
      </c>
      <c r="C493" t="s">
        <v>256</v>
      </c>
      <c r="D493" t="s">
        <v>39</v>
      </c>
      <c r="E493" t="s">
        <v>46</v>
      </c>
      <c r="F493" t="s">
        <v>41</v>
      </c>
      <c r="G493" t="s">
        <v>42</v>
      </c>
    </row>
    <row r="494" spans="1:7" x14ac:dyDescent="0.2">
      <c r="A494">
        <v>15</v>
      </c>
      <c r="B494">
        <v>62</v>
      </c>
      <c r="C494" t="s">
        <v>264</v>
      </c>
      <c r="D494" t="s">
        <v>39</v>
      </c>
      <c r="E494" t="s">
        <v>46</v>
      </c>
      <c r="F494" t="s">
        <v>41</v>
      </c>
      <c r="G494" t="s">
        <v>42</v>
      </c>
    </row>
    <row r="495" spans="1:7" x14ac:dyDescent="0.2">
      <c r="A495">
        <v>15</v>
      </c>
      <c r="B495">
        <v>62</v>
      </c>
      <c r="C495" t="s">
        <v>87</v>
      </c>
      <c r="D495" t="s">
        <v>39</v>
      </c>
      <c r="E495" t="s">
        <v>46</v>
      </c>
      <c r="F495" t="s">
        <v>41</v>
      </c>
      <c r="G495" t="s">
        <v>42</v>
      </c>
    </row>
    <row r="496" spans="1:7" x14ac:dyDescent="0.2">
      <c r="A496">
        <v>15</v>
      </c>
      <c r="B496">
        <v>62</v>
      </c>
      <c r="C496" t="s">
        <v>237</v>
      </c>
      <c r="D496" t="s">
        <v>39</v>
      </c>
      <c r="E496" t="s">
        <v>46</v>
      </c>
      <c r="F496" t="s">
        <v>47</v>
      </c>
      <c r="G496" t="s">
        <v>42</v>
      </c>
    </row>
    <row r="497" spans="1:7" x14ac:dyDescent="0.2">
      <c r="A497">
        <v>15</v>
      </c>
      <c r="B497">
        <v>62</v>
      </c>
      <c r="C497" t="s">
        <v>265</v>
      </c>
      <c r="D497" t="s">
        <v>39</v>
      </c>
      <c r="E497" t="s">
        <v>46</v>
      </c>
      <c r="F497" t="s">
        <v>41</v>
      </c>
      <c r="G497" t="s">
        <v>42</v>
      </c>
    </row>
    <row r="498" spans="1:7" x14ac:dyDescent="0.2">
      <c r="A498">
        <v>15</v>
      </c>
      <c r="B498">
        <v>62</v>
      </c>
      <c r="C498" t="s">
        <v>248</v>
      </c>
      <c r="D498" t="s">
        <v>39</v>
      </c>
      <c r="E498" t="s">
        <v>46</v>
      </c>
      <c r="F498" t="s">
        <v>41</v>
      </c>
      <c r="G498" t="s">
        <v>42</v>
      </c>
    </row>
    <row r="499" spans="1:7" x14ac:dyDescent="0.2">
      <c r="A499">
        <v>15</v>
      </c>
      <c r="B499">
        <v>62</v>
      </c>
      <c r="C499" t="s">
        <v>266</v>
      </c>
      <c r="D499" t="s">
        <v>39</v>
      </c>
      <c r="E499" t="s">
        <v>46</v>
      </c>
      <c r="F499" t="s">
        <v>41</v>
      </c>
      <c r="G499" t="s">
        <v>42</v>
      </c>
    </row>
    <row r="500" spans="1:7" x14ac:dyDescent="0.2">
      <c r="A500">
        <v>15</v>
      </c>
      <c r="B500">
        <v>62</v>
      </c>
      <c r="C500" t="s">
        <v>226</v>
      </c>
      <c r="D500" t="s">
        <v>39</v>
      </c>
      <c r="E500" t="s">
        <v>46</v>
      </c>
      <c r="F500" t="s">
        <v>41</v>
      </c>
      <c r="G500" t="s">
        <v>42</v>
      </c>
    </row>
    <row r="501" spans="1:7" x14ac:dyDescent="0.2">
      <c r="A501">
        <v>15</v>
      </c>
      <c r="B501">
        <v>62</v>
      </c>
      <c r="C501" t="s">
        <v>227</v>
      </c>
      <c r="D501" t="s">
        <v>39</v>
      </c>
      <c r="E501" t="s">
        <v>46</v>
      </c>
      <c r="F501" t="s">
        <v>41</v>
      </c>
      <c r="G501" t="s">
        <v>42</v>
      </c>
    </row>
    <row r="502" spans="1:7" x14ac:dyDescent="0.2">
      <c r="A502">
        <v>15</v>
      </c>
      <c r="B502">
        <v>62</v>
      </c>
      <c r="C502" t="s">
        <v>216</v>
      </c>
      <c r="D502" t="s">
        <v>39</v>
      </c>
      <c r="E502" t="s">
        <v>46</v>
      </c>
      <c r="F502" t="s">
        <v>41</v>
      </c>
      <c r="G502" t="s">
        <v>42</v>
      </c>
    </row>
    <row r="503" spans="1:7" x14ac:dyDescent="0.2">
      <c r="A503">
        <v>15</v>
      </c>
      <c r="B503">
        <v>62</v>
      </c>
      <c r="C503" t="s">
        <v>229</v>
      </c>
      <c r="D503" t="s">
        <v>39</v>
      </c>
      <c r="E503" t="s">
        <v>40</v>
      </c>
      <c r="F503" t="s">
        <v>41</v>
      </c>
      <c r="G503" t="s">
        <v>42</v>
      </c>
    </row>
    <row r="504" spans="1:7" x14ac:dyDescent="0.2">
      <c r="A504">
        <v>15</v>
      </c>
      <c r="B504">
        <v>62</v>
      </c>
      <c r="C504" t="s">
        <v>232</v>
      </c>
      <c r="D504" t="s">
        <v>39</v>
      </c>
      <c r="E504" t="s">
        <v>46</v>
      </c>
      <c r="F504" t="s">
        <v>41</v>
      </c>
      <c r="G504" t="s">
        <v>42</v>
      </c>
    </row>
    <row r="505" spans="1:7" x14ac:dyDescent="0.2">
      <c r="A505">
        <v>15</v>
      </c>
      <c r="B505">
        <v>62</v>
      </c>
      <c r="C505" t="s">
        <v>267</v>
      </c>
      <c r="D505" t="s">
        <v>39</v>
      </c>
      <c r="E505" t="s">
        <v>46</v>
      </c>
      <c r="F505" t="s">
        <v>41</v>
      </c>
      <c r="G505" t="s">
        <v>42</v>
      </c>
    </row>
    <row r="506" spans="1:7" x14ac:dyDescent="0.2">
      <c r="A506">
        <v>15</v>
      </c>
      <c r="B506">
        <v>62</v>
      </c>
      <c r="C506" t="s">
        <v>230</v>
      </c>
      <c r="D506" t="s">
        <v>39</v>
      </c>
      <c r="E506" t="s">
        <v>46</v>
      </c>
      <c r="F506" t="s">
        <v>41</v>
      </c>
      <c r="G506" t="s">
        <v>42</v>
      </c>
    </row>
    <row r="507" spans="1:7" x14ac:dyDescent="0.2">
      <c r="A507">
        <v>15</v>
      </c>
      <c r="B507">
        <v>62</v>
      </c>
      <c r="C507" t="s">
        <v>249</v>
      </c>
      <c r="D507" t="s">
        <v>39</v>
      </c>
      <c r="E507" t="s">
        <v>46</v>
      </c>
      <c r="F507" t="s">
        <v>41</v>
      </c>
      <c r="G507" t="s">
        <v>42</v>
      </c>
    </row>
    <row r="508" spans="1:7" x14ac:dyDescent="0.2">
      <c r="A508">
        <v>15</v>
      </c>
      <c r="B508">
        <v>62</v>
      </c>
      <c r="C508" t="s">
        <v>268</v>
      </c>
      <c r="D508" t="s">
        <v>39</v>
      </c>
      <c r="E508" t="s">
        <v>46</v>
      </c>
      <c r="F508" t="s">
        <v>41</v>
      </c>
      <c r="G508" t="s">
        <v>42</v>
      </c>
    </row>
    <row r="509" spans="1:7" x14ac:dyDescent="0.2">
      <c r="A509">
        <v>15</v>
      </c>
      <c r="B509">
        <v>62</v>
      </c>
      <c r="C509" t="s">
        <v>233</v>
      </c>
      <c r="D509" t="s">
        <v>39</v>
      </c>
      <c r="E509" t="s">
        <v>46</v>
      </c>
      <c r="F509" t="s">
        <v>41</v>
      </c>
      <c r="G509" t="s">
        <v>42</v>
      </c>
    </row>
    <row r="510" spans="1:7" x14ac:dyDescent="0.2">
      <c r="A510">
        <v>15</v>
      </c>
      <c r="B510">
        <v>62</v>
      </c>
      <c r="C510" t="s">
        <v>269</v>
      </c>
      <c r="D510" t="s">
        <v>39</v>
      </c>
      <c r="E510" t="s">
        <v>46</v>
      </c>
      <c r="F510" t="s">
        <v>41</v>
      </c>
      <c r="G510" t="s">
        <v>42</v>
      </c>
    </row>
    <row r="511" spans="1:7" x14ac:dyDescent="0.2">
      <c r="A511">
        <v>15</v>
      </c>
      <c r="B511">
        <v>62</v>
      </c>
      <c r="C511" t="s">
        <v>251</v>
      </c>
      <c r="D511" t="s">
        <v>39</v>
      </c>
      <c r="E511" t="s">
        <v>46</v>
      </c>
      <c r="F511" t="s">
        <v>41</v>
      </c>
      <c r="G511" t="s">
        <v>42</v>
      </c>
    </row>
    <row r="512" spans="1:7" x14ac:dyDescent="0.2">
      <c r="A512">
        <v>15</v>
      </c>
      <c r="B512">
        <v>62</v>
      </c>
      <c r="C512" t="s">
        <v>252</v>
      </c>
      <c r="D512" t="s">
        <v>39</v>
      </c>
      <c r="E512" t="s">
        <v>46</v>
      </c>
      <c r="F512" t="s">
        <v>41</v>
      </c>
      <c r="G512" t="s">
        <v>42</v>
      </c>
    </row>
    <row r="513" spans="1:7" x14ac:dyDescent="0.2">
      <c r="A513">
        <v>16</v>
      </c>
      <c r="B513">
        <v>62</v>
      </c>
      <c r="C513" t="s">
        <v>224</v>
      </c>
      <c r="D513" t="s">
        <v>39</v>
      </c>
      <c r="E513" t="s">
        <v>46</v>
      </c>
      <c r="F513" t="s">
        <v>51</v>
      </c>
      <c r="G513" t="s">
        <v>42</v>
      </c>
    </row>
    <row r="514" spans="1:7" x14ac:dyDescent="0.2">
      <c r="A514">
        <v>16</v>
      </c>
      <c r="B514">
        <v>62</v>
      </c>
      <c r="C514" t="s">
        <v>270</v>
      </c>
      <c r="D514" t="s">
        <v>39</v>
      </c>
      <c r="E514" t="s">
        <v>46</v>
      </c>
      <c r="F514" t="s">
        <v>51</v>
      </c>
      <c r="G514" t="s">
        <v>42</v>
      </c>
    </row>
    <row r="515" spans="1:7" x14ac:dyDescent="0.2">
      <c r="A515">
        <v>16</v>
      </c>
      <c r="B515">
        <v>62</v>
      </c>
      <c r="C515" t="s">
        <v>243</v>
      </c>
      <c r="D515" t="s">
        <v>39</v>
      </c>
      <c r="E515" t="s">
        <v>46</v>
      </c>
      <c r="F515" t="s">
        <v>51</v>
      </c>
      <c r="G515" t="s">
        <v>42</v>
      </c>
    </row>
    <row r="516" spans="1:7" x14ac:dyDescent="0.2">
      <c r="A516">
        <v>16</v>
      </c>
      <c r="B516">
        <v>62</v>
      </c>
      <c r="C516" t="s">
        <v>271</v>
      </c>
      <c r="D516" t="s">
        <v>39</v>
      </c>
      <c r="E516" t="s">
        <v>46</v>
      </c>
      <c r="F516" t="s">
        <v>51</v>
      </c>
      <c r="G516" t="s">
        <v>42</v>
      </c>
    </row>
    <row r="517" spans="1:7" x14ac:dyDescent="0.2">
      <c r="A517">
        <v>16</v>
      </c>
      <c r="B517">
        <v>62</v>
      </c>
      <c r="C517" t="s">
        <v>225</v>
      </c>
      <c r="D517" t="s">
        <v>39</v>
      </c>
      <c r="E517" t="s">
        <v>46</v>
      </c>
      <c r="F517" t="s">
        <v>51</v>
      </c>
      <c r="G517" t="s">
        <v>42</v>
      </c>
    </row>
    <row r="518" spans="1:7" x14ac:dyDescent="0.2">
      <c r="A518">
        <v>16</v>
      </c>
      <c r="B518">
        <v>62</v>
      </c>
      <c r="C518" t="s">
        <v>272</v>
      </c>
      <c r="D518" t="s">
        <v>39</v>
      </c>
      <c r="E518" t="s">
        <v>46</v>
      </c>
      <c r="F518" t="s">
        <v>51</v>
      </c>
      <c r="G518" t="s">
        <v>42</v>
      </c>
    </row>
    <row r="519" spans="1:7" x14ac:dyDescent="0.2">
      <c r="A519">
        <v>16</v>
      </c>
      <c r="B519">
        <v>62</v>
      </c>
      <c r="C519" t="s">
        <v>273</v>
      </c>
      <c r="D519" t="s">
        <v>39</v>
      </c>
      <c r="E519" t="s">
        <v>46</v>
      </c>
      <c r="F519" t="s">
        <v>51</v>
      </c>
      <c r="G519" t="s">
        <v>42</v>
      </c>
    </row>
    <row r="520" spans="1:7" x14ac:dyDescent="0.2">
      <c r="A520">
        <v>16</v>
      </c>
      <c r="B520">
        <v>62</v>
      </c>
      <c r="C520" t="s">
        <v>239</v>
      </c>
      <c r="D520" t="s">
        <v>39</v>
      </c>
      <c r="E520" t="s">
        <v>46</v>
      </c>
      <c r="F520" t="s">
        <v>51</v>
      </c>
      <c r="G520" t="s">
        <v>42</v>
      </c>
    </row>
    <row r="521" spans="1:7" x14ac:dyDescent="0.2">
      <c r="A521">
        <v>16</v>
      </c>
      <c r="B521">
        <v>62</v>
      </c>
      <c r="C521" t="s">
        <v>274</v>
      </c>
      <c r="D521" t="s">
        <v>39</v>
      </c>
      <c r="E521" t="s">
        <v>46</v>
      </c>
      <c r="F521" t="s">
        <v>51</v>
      </c>
      <c r="G521" t="s">
        <v>42</v>
      </c>
    </row>
    <row r="522" spans="1:7" x14ac:dyDescent="0.2">
      <c r="A522">
        <v>16</v>
      </c>
      <c r="B522">
        <v>62</v>
      </c>
      <c r="C522" t="s">
        <v>87</v>
      </c>
      <c r="D522" t="s">
        <v>39</v>
      </c>
      <c r="E522" t="s">
        <v>46</v>
      </c>
      <c r="F522" t="s">
        <v>51</v>
      </c>
      <c r="G522" t="s">
        <v>42</v>
      </c>
    </row>
    <row r="523" spans="1:7" x14ac:dyDescent="0.2">
      <c r="A523">
        <v>16</v>
      </c>
      <c r="B523">
        <v>62</v>
      </c>
      <c r="C523" t="s">
        <v>237</v>
      </c>
      <c r="D523" t="s">
        <v>39</v>
      </c>
      <c r="E523" t="s">
        <v>46</v>
      </c>
      <c r="F523" t="s">
        <v>51</v>
      </c>
      <c r="G523" t="s">
        <v>42</v>
      </c>
    </row>
    <row r="524" spans="1:7" x14ac:dyDescent="0.2">
      <c r="A524">
        <v>16</v>
      </c>
      <c r="B524">
        <v>62</v>
      </c>
      <c r="C524" t="s">
        <v>275</v>
      </c>
      <c r="D524" t="s">
        <v>39</v>
      </c>
      <c r="E524" t="s">
        <v>46</v>
      </c>
      <c r="F524" t="s">
        <v>51</v>
      </c>
      <c r="G524" t="s">
        <v>42</v>
      </c>
    </row>
    <row r="525" spans="1:7" x14ac:dyDescent="0.2">
      <c r="A525">
        <v>16</v>
      </c>
      <c r="B525">
        <v>62</v>
      </c>
      <c r="C525" t="s">
        <v>248</v>
      </c>
      <c r="D525" t="s">
        <v>39</v>
      </c>
      <c r="E525" t="s">
        <v>46</v>
      </c>
      <c r="F525" t="s">
        <v>51</v>
      </c>
      <c r="G525" t="s">
        <v>42</v>
      </c>
    </row>
    <row r="526" spans="1:7" x14ac:dyDescent="0.2">
      <c r="A526">
        <v>16</v>
      </c>
      <c r="B526">
        <v>62</v>
      </c>
      <c r="C526" t="s">
        <v>226</v>
      </c>
      <c r="D526" t="s">
        <v>39</v>
      </c>
      <c r="E526" t="s">
        <v>46</v>
      </c>
      <c r="F526" t="s">
        <v>51</v>
      </c>
      <c r="G526" t="s">
        <v>42</v>
      </c>
    </row>
    <row r="527" spans="1:7" x14ac:dyDescent="0.2">
      <c r="A527">
        <v>16</v>
      </c>
      <c r="B527">
        <v>62</v>
      </c>
      <c r="C527" t="s">
        <v>227</v>
      </c>
      <c r="D527" t="s">
        <v>39</v>
      </c>
      <c r="E527" t="s">
        <v>46</v>
      </c>
      <c r="F527" t="s">
        <v>51</v>
      </c>
      <c r="G527" t="s">
        <v>42</v>
      </c>
    </row>
    <row r="528" spans="1:7" x14ac:dyDescent="0.2">
      <c r="A528">
        <v>16</v>
      </c>
      <c r="B528">
        <v>62</v>
      </c>
      <c r="C528" t="s">
        <v>216</v>
      </c>
      <c r="D528" t="s">
        <v>39</v>
      </c>
      <c r="E528" t="s">
        <v>46</v>
      </c>
      <c r="F528" t="s">
        <v>51</v>
      </c>
      <c r="G528" t="s">
        <v>42</v>
      </c>
    </row>
    <row r="529" spans="1:7" x14ac:dyDescent="0.2">
      <c r="A529">
        <v>16</v>
      </c>
      <c r="B529">
        <v>62</v>
      </c>
      <c r="C529" t="s">
        <v>229</v>
      </c>
      <c r="D529" t="s">
        <v>39</v>
      </c>
      <c r="E529" t="s">
        <v>46</v>
      </c>
      <c r="F529" t="s">
        <v>51</v>
      </c>
      <c r="G529" t="s">
        <v>42</v>
      </c>
    </row>
    <row r="530" spans="1:7" x14ac:dyDescent="0.2">
      <c r="A530">
        <v>16</v>
      </c>
      <c r="B530">
        <v>62</v>
      </c>
      <c r="C530" t="s">
        <v>232</v>
      </c>
      <c r="D530" t="s">
        <v>39</v>
      </c>
      <c r="E530" t="s">
        <v>46</v>
      </c>
      <c r="F530" t="s">
        <v>51</v>
      </c>
      <c r="G530" t="s">
        <v>42</v>
      </c>
    </row>
    <row r="531" spans="1:7" x14ac:dyDescent="0.2">
      <c r="A531">
        <v>16</v>
      </c>
      <c r="B531">
        <v>62</v>
      </c>
      <c r="C531" t="s">
        <v>267</v>
      </c>
      <c r="D531" t="s">
        <v>39</v>
      </c>
      <c r="E531" t="s">
        <v>46</v>
      </c>
      <c r="F531" t="s">
        <v>51</v>
      </c>
      <c r="G531" t="s">
        <v>42</v>
      </c>
    </row>
    <row r="532" spans="1:7" x14ac:dyDescent="0.2">
      <c r="A532">
        <v>16</v>
      </c>
      <c r="B532">
        <v>62</v>
      </c>
      <c r="C532" t="s">
        <v>230</v>
      </c>
      <c r="D532" t="s">
        <v>39</v>
      </c>
      <c r="E532" t="s">
        <v>46</v>
      </c>
      <c r="F532" t="s">
        <v>51</v>
      </c>
      <c r="G532" t="s">
        <v>42</v>
      </c>
    </row>
    <row r="533" spans="1:7" x14ac:dyDescent="0.2">
      <c r="A533">
        <v>16</v>
      </c>
      <c r="B533">
        <v>62</v>
      </c>
      <c r="C533" t="s">
        <v>249</v>
      </c>
      <c r="D533" t="s">
        <v>39</v>
      </c>
      <c r="E533" t="s">
        <v>46</v>
      </c>
      <c r="F533" t="s">
        <v>51</v>
      </c>
      <c r="G533" t="s">
        <v>42</v>
      </c>
    </row>
    <row r="534" spans="1:7" x14ac:dyDescent="0.2">
      <c r="A534">
        <v>16</v>
      </c>
      <c r="B534">
        <v>62</v>
      </c>
      <c r="C534" t="s">
        <v>268</v>
      </c>
      <c r="D534" t="s">
        <v>39</v>
      </c>
      <c r="E534" t="s">
        <v>46</v>
      </c>
      <c r="F534" t="s">
        <v>51</v>
      </c>
      <c r="G534" t="s">
        <v>42</v>
      </c>
    </row>
    <row r="535" spans="1:7" x14ac:dyDescent="0.2">
      <c r="A535">
        <v>16</v>
      </c>
      <c r="B535">
        <v>62</v>
      </c>
      <c r="C535" t="s">
        <v>233</v>
      </c>
      <c r="D535" t="s">
        <v>39</v>
      </c>
      <c r="E535" t="s">
        <v>46</v>
      </c>
      <c r="F535" t="s">
        <v>51</v>
      </c>
      <c r="G535" t="s">
        <v>42</v>
      </c>
    </row>
    <row r="536" spans="1:7" x14ac:dyDescent="0.2">
      <c r="A536">
        <v>16</v>
      </c>
      <c r="B536">
        <v>62</v>
      </c>
      <c r="C536" t="s">
        <v>269</v>
      </c>
      <c r="D536" t="s">
        <v>39</v>
      </c>
      <c r="E536" t="s">
        <v>46</v>
      </c>
      <c r="F536" t="s">
        <v>47</v>
      </c>
      <c r="G536" t="s">
        <v>42</v>
      </c>
    </row>
    <row r="537" spans="1:7" x14ac:dyDescent="0.2">
      <c r="A537">
        <v>17</v>
      </c>
      <c r="B537">
        <v>62</v>
      </c>
      <c r="C537" t="s">
        <v>224</v>
      </c>
      <c r="D537" t="s">
        <v>39</v>
      </c>
      <c r="E537" t="s">
        <v>46</v>
      </c>
      <c r="F537" t="s">
        <v>41</v>
      </c>
      <c r="G537" t="s">
        <v>42</v>
      </c>
    </row>
    <row r="538" spans="1:7" x14ac:dyDescent="0.2">
      <c r="A538">
        <v>17</v>
      </c>
      <c r="B538">
        <v>62</v>
      </c>
      <c r="C538" t="s">
        <v>223</v>
      </c>
      <c r="D538" t="s">
        <v>39</v>
      </c>
      <c r="E538" t="s">
        <v>46</v>
      </c>
      <c r="F538" t="s">
        <v>41</v>
      </c>
      <c r="G538" t="s">
        <v>42</v>
      </c>
    </row>
    <row r="539" spans="1:7" x14ac:dyDescent="0.2">
      <c r="A539">
        <v>17</v>
      </c>
      <c r="B539">
        <v>62</v>
      </c>
      <c r="C539" t="s">
        <v>174</v>
      </c>
      <c r="D539" t="s">
        <v>39</v>
      </c>
      <c r="E539" t="s">
        <v>46</v>
      </c>
      <c r="F539" t="s">
        <v>41</v>
      </c>
      <c r="G539" t="s">
        <v>42</v>
      </c>
    </row>
    <row r="540" spans="1:7" x14ac:dyDescent="0.2">
      <c r="A540">
        <v>17</v>
      </c>
      <c r="B540">
        <v>62</v>
      </c>
      <c r="C540" t="s">
        <v>225</v>
      </c>
      <c r="D540" t="s">
        <v>39</v>
      </c>
      <c r="E540" t="s">
        <v>46</v>
      </c>
      <c r="F540" t="s">
        <v>41</v>
      </c>
      <c r="G540" t="s">
        <v>42</v>
      </c>
    </row>
    <row r="541" spans="1:7" x14ac:dyDescent="0.2">
      <c r="A541">
        <v>17</v>
      </c>
      <c r="B541">
        <v>62</v>
      </c>
      <c r="C541" t="s">
        <v>276</v>
      </c>
      <c r="D541" t="s">
        <v>39</v>
      </c>
      <c r="E541" t="s">
        <v>46</v>
      </c>
      <c r="F541" t="s">
        <v>51</v>
      </c>
      <c r="G541" t="s">
        <v>42</v>
      </c>
    </row>
    <row r="542" spans="1:7" x14ac:dyDescent="0.2">
      <c r="A542">
        <v>17</v>
      </c>
      <c r="B542">
        <v>62</v>
      </c>
      <c r="C542" t="s">
        <v>239</v>
      </c>
      <c r="D542" t="s">
        <v>39</v>
      </c>
      <c r="E542" t="s">
        <v>46</v>
      </c>
      <c r="F542" t="s">
        <v>51</v>
      </c>
      <c r="G542" t="s">
        <v>42</v>
      </c>
    </row>
    <row r="543" spans="1:7" x14ac:dyDescent="0.2">
      <c r="A543">
        <v>17</v>
      </c>
      <c r="B543">
        <v>62</v>
      </c>
      <c r="C543" t="s">
        <v>87</v>
      </c>
      <c r="D543" t="s">
        <v>39</v>
      </c>
      <c r="E543" t="s">
        <v>46</v>
      </c>
      <c r="F543" t="s">
        <v>41</v>
      </c>
      <c r="G543" t="s">
        <v>42</v>
      </c>
    </row>
    <row r="544" spans="1:7" x14ac:dyDescent="0.2">
      <c r="A544">
        <v>17</v>
      </c>
      <c r="B544">
        <v>62</v>
      </c>
      <c r="C544" t="s">
        <v>237</v>
      </c>
      <c r="D544" t="s">
        <v>39</v>
      </c>
      <c r="E544" t="s">
        <v>46</v>
      </c>
      <c r="F544" t="s">
        <v>51</v>
      </c>
      <c r="G544" t="s">
        <v>42</v>
      </c>
    </row>
    <row r="545" spans="1:7" x14ac:dyDescent="0.2">
      <c r="A545">
        <v>17</v>
      </c>
      <c r="B545">
        <v>62</v>
      </c>
      <c r="C545" t="s">
        <v>248</v>
      </c>
      <c r="D545" t="s">
        <v>39</v>
      </c>
      <c r="E545" t="s">
        <v>46</v>
      </c>
      <c r="F545" t="s">
        <v>51</v>
      </c>
      <c r="G545" t="s">
        <v>42</v>
      </c>
    </row>
    <row r="546" spans="1:7" x14ac:dyDescent="0.2">
      <c r="A546">
        <v>17</v>
      </c>
      <c r="B546">
        <v>62</v>
      </c>
      <c r="C546" t="s">
        <v>226</v>
      </c>
      <c r="D546" t="s">
        <v>39</v>
      </c>
      <c r="E546" t="s">
        <v>46</v>
      </c>
      <c r="F546" t="s">
        <v>41</v>
      </c>
      <c r="G546" t="s">
        <v>42</v>
      </c>
    </row>
    <row r="547" spans="1:7" x14ac:dyDescent="0.2">
      <c r="A547">
        <v>17</v>
      </c>
      <c r="B547">
        <v>62</v>
      </c>
      <c r="C547" t="s">
        <v>227</v>
      </c>
      <c r="D547" t="s">
        <v>39</v>
      </c>
      <c r="E547" t="s">
        <v>46</v>
      </c>
      <c r="F547" t="s">
        <v>41</v>
      </c>
      <c r="G547" t="s">
        <v>42</v>
      </c>
    </row>
    <row r="548" spans="1:7" x14ac:dyDescent="0.2">
      <c r="A548">
        <v>17</v>
      </c>
      <c r="B548">
        <v>62</v>
      </c>
      <c r="C548" t="s">
        <v>216</v>
      </c>
      <c r="D548" t="s">
        <v>39</v>
      </c>
      <c r="E548" t="s">
        <v>46</v>
      </c>
      <c r="F548" t="s">
        <v>41</v>
      </c>
      <c r="G548" t="s">
        <v>42</v>
      </c>
    </row>
    <row r="549" spans="1:7" x14ac:dyDescent="0.2">
      <c r="A549">
        <v>17</v>
      </c>
      <c r="B549">
        <v>62</v>
      </c>
      <c r="C549" t="s">
        <v>229</v>
      </c>
      <c r="D549" t="s">
        <v>39</v>
      </c>
      <c r="E549" t="s">
        <v>46</v>
      </c>
      <c r="F549" t="s">
        <v>41</v>
      </c>
      <c r="G549" t="s">
        <v>42</v>
      </c>
    </row>
    <row r="550" spans="1:7" x14ac:dyDescent="0.2">
      <c r="A550">
        <v>17</v>
      </c>
      <c r="B550">
        <v>62</v>
      </c>
      <c r="C550" t="s">
        <v>232</v>
      </c>
      <c r="D550" t="s">
        <v>39</v>
      </c>
      <c r="E550" t="s">
        <v>46</v>
      </c>
      <c r="F550" t="s">
        <v>41</v>
      </c>
      <c r="G550" t="s">
        <v>42</v>
      </c>
    </row>
    <row r="551" spans="1:7" x14ac:dyDescent="0.2">
      <c r="A551">
        <v>17</v>
      </c>
      <c r="B551">
        <v>62</v>
      </c>
      <c r="C551" t="s">
        <v>267</v>
      </c>
      <c r="D551" t="s">
        <v>39</v>
      </c>
      <c r="E551" t="s">
        <v>46</v>
      </c>
      <c r="F551" t="s">
        <v>41</v>
      </c>
      <c r="G551" t="s">
        <v>42</v>
      </c>
    </row>
    <row r="552" spans="1:7" x14ac:dyDescent="0.2">
      <c r="A552">
        <v>17</v>
      </c>
      <c r="B552">
        <v>62</v>
      </c>
      <c r="C552" t="s">
        <v>230</v>
      </c>
      <c r="D552" t="s">
        <v>39</v>
      </c>
      <c r="E552" t="s">
        <v>46</v>
      </c>
      <c r="F552" t="s">
        <v>41</v>
      </c>
      <c r="G552" t="s">
        <v>42</v>
      </c>
    </row>
    <row r="553" spans="1:7" x14ac:dyDescent="0.2">
      <c r="A553">
        <v>17</v>
      </c>
      <c r="B553">
        <v>62</v>
      </c>
      <c r="C553" t="s">
        <v>249</v>
      </c>
      <c r="D553" t="s">
        <v>94</v>
      </c>
      <c r="E553" t="s">
        <v>46</v>
      </c>
      <c r="F553" t="s">
        <v>41</v>
      </c>
      <c r="G553" t="s">
        <v>42</v>
      </c>
    </row>
    <row r="554" spans="1:7" x14ac:dyDescent="0.2">
      <c r="A554">
        <v>17</v>
      </c>
      <c r="B554">
        <v>62</v>
      </c>
      <c r="C554" t="s">
        <v>268</v>
      </c>
      <c r="D554" t="s">
        <v>39</v>
      </c>
      <c r="E554" t="s">
        <v>46</v>
      </c>
      <c r="F554" t="s">
        <v>41</v>
      </c>
      <c r="G554" t="s">
        <v>42</v>
      </c>
    </row>
    <row r="555" spans="1:7" x14ac:dyDescent="0.2">
      <c r="A555">
        <v>17</v>
      </c>
      <c r="B555">
        <v>62</v>
      </c>
      <c r="C555" t="s">
        <v>233</v>
      </c>
      <c r="D555" t="s">
        <v>39</v>
      </c>
      <c r="E555" t="s">
        <v>46</v>
      </c>
      <c r="F555" t="s">
        <v>41</v>
      </c>
      <c r="G555" t="s">
        <v>42</v>
      </c>
    </row>
    <row r="556" spans="1:7" x14ac:dyDescent="0.2">
      <c r="A556">
        <v>17</v>
      </c>
      <c r="B556">
        <v>62</v>
      </c>
      <c r="C556" t="s">
        <v>269</v>
      </c>
      <c r="D556" t="s">
        <v>39</v>
      </c>
      <c r="E556" t="s">
        <v>46</v>
      </c>
      <c r="F556" t="s">
        <v>41</v>
      </c>
      <c r="G556" t="s">
        <v>42</v>
      </c>
    </row>
    <row r="557" spans="1:7" x14ac:dyDescent="0.2">
      <c r="A557">
        <v>18</v>
      </c>
      <c r="B557">
        <v>62</v>
      </c>
      <c r="C557" t="s">
        <v>224</v>
      </c>
      <c r="D557" t="s">
        <v>39</v>
      </c>
      <c r="E557" t="s">
        <v>46</v>
      </c>
      <c r="F557" t="s">
        <v>51</v>
      </c>
      <c r="G557" t="s">
        <v>42</v>
      </c>
    </row>
    <row r="558" spans="1:7" x14ac:dyDescent="0.2">
      <c r="A558">
        <v>18</v>
      </c>
      <c r="B558">
        <v>62</v>
      </c>
      <c r="C558" t="s">
        <v>223</v>
      </c>
      <c r="D558" t="s">
        <v>39</v>
      </c>
      <c r="E558" t="s">
        <v>46</v>
      </c>
      <c r="F558" t="s">
        <v>51</v>
      </c>
      <c r="G558" t="s">
        <v>42</v>
      </c>
    </row>
    <row r="559" spans="1:7" x14ac:dyDescent="0.2">
      <c r="A559">
        <v>18</v>
      </c>
      <c r="B559">
        <v>62</v>
      </c>
      <c r="C559" t="s">
        <v>225</v>
      </c>
      <c r="D559" t="s">
        <v>39</v>
      </c>
      <c r="E559" t="s">
        <v>46</v>
      </c>
      <c r="F559" t="s">
        <v>51</v>
      </c>
      <c r="G559" t="s">
        <v>42</v>
      </c>
    </row>
    <row r="560" spans="1:7" x14ac:dyDescent="0.2">
      <c r="A560">
        <v>18</v>
      </c>
      <c r="B560">
        <v>62</v>
      </c>
      <c r="C560" t="s">
        <v>277</v>
      </c>
      <c r="D560" t="s">
        <v>39</v>
      </c>
      <c r="E560" t="s">
        <v>46</v>
      </c>
      <c r="F560" t="s">
        <v>51</v>
      </c>
      <c r="G560" t="s">
        <v>42</v>
      </c>
    </row>
    <row r="561" spans="1:7" x14ac:dyDescent="0.2">
      <c r="A561">
        <v>18</v>
      </c>
      <c r="B561">
        <v>62</v>
      </c>
      <c r="C561" t="s">
        <v>278</v>
      </c>
      <c r="D561" t="s">
        <v>39</v>
      </c>
      <c r="E561" t="s">
        <v>46</v>
      </c>
      <c r="F561" t="s">
        <v>51</v>
      </c>
      <c r="G561" t="s">
        <v>42</v>
      </c>
    </row>
    <row r="562" spans="1:7" x14ac:dyDescent="0.2">
      <c r="A562">
        <v>18</v>
      </c>
      <c r="B562">
        <v>62</v>
      </c>
      <c r="C562" t="s">
        <v>239</v>
      </c>
      <c r="D562" t="s">
        <v>39</v>
      </c>
      <c r="E562" t="s">
        <v>46</v>
      </c>
      <c r="F562" t="s">
        <v>51</v>
      </c>
      <c r="G562" t="s">
        <v>42</v>
      </c>
    </row>
    <row r="563" spans="1:7" x14ac:dyDescent="0.2">
      <c r="A563">
        <v>18</v>
      </c>
      <c r="B563">
        <v>62</v>
      </c>
      <c r="C563" t="s">
        <v>87</v>
      </c>
      <c r="D563" t="s">
        <v>39</v>
      </c>
      <c r="E563" t="s">
        <v>46</v>
      </c>
      <c r="F563" t="s">
        <v>51</v>
      </c>
      <c r="G563" t="s">
        <v>42</v>
      </c>
    </row>
    <row r="564" spans="1:7" x14ac:dyDescent="0.2">
      <c r="A564">
        <v>18</v>
      </c>
      <c r="B564">
        <v>62</v>
      </c>
      <c r="C564" t="s">
        <v>237</v>
      </c>
      <c r="D564" t="s">
        <v>39</v>
      </c>
      <c r="E564" t="s">
        <v>46</v>
      </c>
      <c r="F564" t="s">
        <v>51</v>
      </c>
      <c r="G564" t="s">
        <v>42</v>
      </c>
    </row>
    <row r="565" spans="1:7" x14ac:dyDescent="0.2">
      <c r="A565">
        <v>18</v>
      </c>
      <c r="B565">
        <v>62</v>
      </c>
      <c r="C565" t="s">
        <v>248</v>
      </c>
      <c r="D565" t="s">
        <v>39</v>
      </c>
      <c r="E565" t="s">
        <v>46</v>
      </c>
      <c r="F565" t="s">
        <v>51</v>
      </c>
      <c r="G565" t="s">
        <v>42</v>
      </c>
    </row>
    <row r="566" spans="1:7" x14ac:dyDescent="0.2">
      <c r="A566">
        <v>18</v>
      </c>
      <c r="B566">
        <v>62</v>
      </c>
      <c r="C566" t="s">
        <v>279</v>
      </c>
      <c r="D566" t="s">
        <v>39</v>
      </c>
      <c r="E566" t="s">
        <v>46</v>
      </c>
      <c r="F566" t="s">
        <v>51</v>
      </c>
      <c r="G566" t="s">
        <v>42</v>
      </c>
    </row>
    <row r="567" spans="1:7" x14ac:dyDescent="0.2">
      <c r="A567">
        <v>18</v>
      </c>
      <c r="B567">
        <v>62</v>
      </c>
      <c r="C567" t="s">
        <v>226</v>
      </c>
      <c r="D567" t="s">
        <v>39</v>
      </c>
      <c r="E567" t="s">
        <v>46</v>
      </c>
      <c r="F567" t="s">
        <v>51</v>
      </c>
      <c r="G567" t="s">
        <v>42</v>
      </c>
    </row>
    <row r="568" spans="1:7" x14ac:dyDescent="0.2">
      <c r="A568">
        <v>18</v>
      </c>
      <c r="B568">
        <v>62</v>
      </c>
      <c r="C568" t="s">
        <v>227</v>
      </c>
      <c r="D568" t="s">
        <v>39</v>
      </c>
      <c r="E568" t="s">
        <v>46</v>
      </c>
      <c r="F568" t="s">
        <v>51</v>
      </c>
      <c r="G568" t="s">
        <v>42</v>
      </c>
    </row>
    <row r="569" spans="1:7" x14ac:dyDescent="0.2">
      <c r="A569">
        <v>18</v>
      </c>
      <c r="B569">
        <v>62</v>
      </c>
      <c r="C569" t="s">
        <v>216</v>
      </c>
      <c r="D569" t="s">
        <v>39</v>
      </c>
      <c r="E569" t="s">
        <v>46</v>
      </c>
      <c r="F569" t="s">
        <v>51</v>
      </c>
      <c r="G569" t="s">
        <v>42</v>
      </c>
    </row>
    <row r="570" spans="1:7" x14ac:dyDescent="0.2">
      <c r="A570">
        <v>18</v>
      </c>
      <c r="B570">
        <v>62</v>
      </c>
      <c r="C570" t="s">
        <v>229</v>
      </c>
      <c r="D570" t="s">
        <v>39</v>
      </c>
      <c r="E570" t="s">
        <v>46</v>
      </c>
      <c r="F570" t="s">
        <v>51</v>
      </c>
      <c r="G570" t="s">
        <v>42</v>
      </c>
    </row>
    <row r="571" spans="1:7" x14ac:dyDescent="0.2">
      <c r="A571">
        <v>18</v>
      </c>
      <c r="B571">
        <v>62</v>
      </c>
      <c r="C571" t="s">
        <v>232</v>
      </c>
      <c r="D571" t="s">
        <v>39</v>
      </c>
      <c r="E571" t="s">
        <v>46</v>
      </c>
      <c r="F571" t="s">
        <v>51</v>
      </c>
      <c r="G571" t="s">
        <v>42</v>
      </c>
    </row>
    <row r="572" spans="1:7" x14ac:dyDescent="0.2">
      <c r="A572">
        <v>18</v>
      </c>
      <c r="B572">
        <v>62</v>
      </c>
      <c r="C572" t="s">
        <v>267</v>
      </c>
      <c r="D572" t="s">
        <v>39</v>
      </c>
      <c r="E572" t="s">
        <v>46</v>
      </c>
      <c r="F572" t="s">
        <v>51</v>
      </c>
      <c r="G572" t="s">
        <v>42</v>
      </c>
    </row>
    <row r="573" spans="1:7" x14ac:dyDescent="0.2">
      <c r="A573">
        <v>18</v>
      </c>
      <c r="B573">
        <v>62</v>
      </c>
      <c r="C573" t="s">
        <v>230</v>
      </c>
      <c r="D573" t="s">
        <v>39</v>
      </c>
      <c r="E573" t="s">
        <v>46</v>
      </c>
      <c r="F573" t="s">
        <v>51</v>
      </c>
      <c r="G573" t="s">
        <v>42</v>
      </c>
    </row>
    <row r="574" spans="1:7" x14ac:dyDescent="0.2">
      <c r="A574">
        <v>18</v>
      </c>
      <c r="B574">
        <v>62</v>
      </c>
      <c r="C574" t="s">
        <v>280</v>
      </c>
      <c r="D574" t="s">
        <v>39</v>
      </c>
      <c r="E574" t="s">
        <v>46</v>
      </c>
      <c r="F574" t="s">
        <v>51</v>
      </c>
      <c r="G574" t="s">
        <v>42</v>
      </c>
    </row>
    <row r="575" spans="1:7" x14ac:dyDescent="0.2">
      <c r="A575">
        <v>18</v>
      </c>
      <c r="B575">
        <v>62</v>
      </c>
      <c r="C575" t="s">
        <v>268</v>
      </c>
      <c r="D575" t="s">
        <v>39</v>
      </c>
      <c r="E575" t="s">
        <v>46</v>
      </c>
      <c r="F575" t="s">
        <v>51</v>
      </c>
      <c r="G575" t="s">
        <v>42</v>
      </c>
    </row>
    <row r="576" spans="1:7" x14ac:dyDescent="0.2">
      <c r="A576">
        <v>18</v>
      </c>
      <c r="B576">
        <v>62</v>
      </c>
      <c r="C576" t="s">
        <v>233</v>
      </c>
      <c r="D576" t="s">
        <v>39</v>
      </c>
      <c r="E576" t="s">
        <v>46</v>
      </c>
      <c r="F576" t="s">
        <v>51</v>
      </c>
      <c r="G576" t="s">
        <v>42</v>
      </c>
    </row>
    <row r="577" spans="1:7" x14ac:dyDescent="0.2">
      <c r="A577">
        <v>18</v>
      </c>
      <c r="B577">
        <v>62</v>
      </c>
      <c r="C577" t="s">
        <v>269</v>
      </c>
      <c r="D577" t="s">
        <v>39</v>
      </c>
      <c r="E577" t="s">
        <v>46</v>
      </c>
      <c r="F577" t="s">
        <v>51</v>
      </c>
      <c r="G577" t="s">
        <v>42</v>
      </c>
    </row>
    <row r="578" spans="1:7" x14ac:dyDescent="0.2">
      <c r="A578">
        <v>19</v>
      </c>
      <c r="B578">
        <v>62</v>
      </c>
      <c r="C578" t="s">
        <v>224</v>
      </c>
      <c r="D578" t="s">
        <v>39</v>
      </c>
      <c r="E578" t="s">
        <v>46</v>
      </c>
      <c r="F578" t="s">
        <v>41</v>
      </c>
      <c r="G578" t="s">
        <v>42</v>
      </c>
    </row>
    <row r="579" spans="1:7" x14ac:dyDescent="0.2">
      <c r="A579">
        <v>19</v>
      </c>
      <c r="B579">
        <v>62</v>
      </c>
      <c r="C579" t="s">
        <v>281</v>
      </c>
      <c r="D579" t="s">
        <v>39</v>
      </c>
      <c r="E579" t="s">
        <v>46</v>
      </c>
      <c r="F579" t="s">
        <v>41</v>
      </c>
      <c r="G579" t="s">
        <v>42</v>
      </c>
    </row>
    <row r="580" spans="1:7" x14ac:dyDescent="0.2">
      <c r="A580">
        <v>19</v>
      </c>
      <c r="B580">
        <v>62</v>
      </c>
      <c r="C580" t="s">
        <v>174</v>
      </c>
      <c r="D580" t="s">
        <v>39</v>
      </c>
      <c r="E580" t="s">
        <v>46</v>
      </c>
      <c r="F580" t="s">
        <v>41</v>
      </c>
      <c r="G580" t="s">
        <v>42</v>
      </c>
    </row>
    <row r="581" spans="1:7" x14ac:dyDescent="0.2">
      <c r="A581">
        <v>19</v>
      </c>
      <c r="B581">
        <v>62</v>
      </c>
      <c r="C581" t="s">
        <v>225</v>
      </c>
      <c r="D581" t="s">
        <v>39</v>
      </c>
      <c r="E581" t="s">
        <v>46</v>
      </c>
      <c r="F581" t="s">
        <v>41</v>
      </c>
      <c r="G581" t="s">
        <v>42</v>
      </c>
    </row>
    <row r="582" spans="1:7" x14ac:dyDescent="0.2">
      <c r="A582">
        <v>19</v>
      </c>
      <c r="B582">
        <v>62</v>
      </c>
      <c r="C582" t="s">
        <v>277</v>
      </c>
      <c r="D582" t="s">
        <v>39</v>
      </c>
      <c r="E582" t="s">
        <v>46</v>
      </c>
      <c r="F582" t="s">
        <v>41</v>
      </c>
      <c r="G582" t="s">
        <v>42</v>
      </c>
    </row>
    <row r="583" spans="1:7" x14ac:dyDescent="0.2">
      <c r="A583">
        <v>19</v>
      </c>
      <c r="B583">
        <v>62</v>
      </c>
      <c r="C583" t="s">
        <v>278</v>
      </c>
      <c r="D583" t="s">
        <v>39</v>
      </c>
      <c r="E583" t="s">
        <v>46</v>
      </c>
      <c r="F583" t="s">
        <v>41</v>
      </c>
      <c r="G583" t="s">
        <v>42</v>
      </c>
    </row>
    <row r="584" spans="1:7" x14ac:dyDescent="0.2">
      <c r="A584">
        <v>19</v>
      </c>
      <c r="B584">
        <v>62</v>
      </c>
      <c r="C584" t="s">
        <v>239</v>
      </c>
      <c r="D584" t="s">
        <v>39</v>
      </c>
      <c r="E584" t="s">
        <v>46</v>
      </c>
      <c r="F584" t="s">
        <v>41</v>
      </c>
      <c r="G584" t="s">
        <v>42</v>
      </c>
    </row>
    <row r="585" spans="1:7" x14ac:dyDescent="0.2">
      <c r="A585">
        <v>19</v>
      </c>
      <c r="B585">
        <v>62</v>
      </c>
      <c r="C585" t="s">
        <v>282</v>
      </c>
      <c r="D585" t="s">
        <v>39</v>
      </c>
      <c r="E585" t="s">
        <v>46</v>
      </c>
      <c r="F585" t="s">
        <v>51</v>
      </c>
      <c r="G585" t="s">
        <v>42</v>
      </c>
    </row>
    <row r="586" spans="1:7" x14ac:dyDescent="0.2">
      <c r="A586">
        <v>19</v>
      </c>
      <c r="B586">
        <v>62</v>
      </c>
      <c r="C586" t="s">
        <v>87</v>
      </c>
      <c r="D586" t="s">
        <v>39</v>
      </c>
      <c r="E586" t="s">
        <v>46</v>
      </c>
      <c r="F586" t="s">
        <v>41</v>
      </c>
      <c r="G586" t="s">
        <v>42</v>
      </c>
    </row>
    <row r="587" spans="1:7" x14ac:dyDescent="0.2">
      <c r="A587">
        <v>19</v>
      </c>
      <c r="B587">
        <v>62</v>
      </c>
      <c r="C587" t="s">
        <v>237</v>
      </c>
      <c r="D587" t="s">
        <v>39</v>
      </c>
      <c r="E587" t="s">
        <v>46</v>
      </c>
      <c r="F587" t="s">
        <v>51</v>
      </c>
      <c r="G587" t="s">
        <v>42</v>
      </c>
    </row>
    <row r="588" spans="1:7" x14ac:dyDescent="0.2">
      <c r="A588">
        <v>19</v>
      </c>
      <c r="B588">
        <v>62</v>
      </c>
      <c r="C588" t="s">
        <v>283</v>
      </c>
      <c r="D588" t="s">
        <v>39</v>
      </c>
      <c r="E588" t="s">
        <v>46</v>
      </c>
      <c r="F588" t="s">
        <v>51</v>
      </c>
      <c r="G588" t="s">
        <v>42</v>
      </c>
    </row>
    <row r="589" spans="1:7" x14ac:dyDescent="0.2">
      <c r="A589">
        <v>19</v>
      </c>
      <c r="B589">
        <v>62</v>
      </c>
      <c r="C589" t="s">
        <v>248</v>
      </c>
      <c r="D589" t="s">
        <v>39</v>
      </c>
      <c r="E589" t="s">
        <v>46</v>
      </c>
      <c r="F589" t="s">
        <v>51</v>
      </c>
      <c r="G589" t="s">
        <v>42</v>
      </c>
    </row>
    <row r="590" spans="1:7" x14ac:dyDescent="0.2">
      <c r="A590">
        <v>19</v>
      </c>
      <c r="B590">
        <v>62</v>
      </c>
      <c r="C590" t="s">
        <v>279</v>
      </c>
      <c r="D590" t="s">
        <v>39</v>
      </c>
      <c r="E590" t="s">
        <v>46</v>
      </c>
      <c r="F590" t="s">
        <v>41</v>
      </c>
      <c r="G590" t="s">
        <v>42</v>
      </c>
    </row>
    <row r="591" spans="1:7" x14ac:dyDescent="0.2">
      <c r="A591">
        <v>19</v>
      </c>
      <c r="B591">
        <v>62</v>
      </c>
      <c r="C591" t="s">
        <v>218</v>
      </c>
      <c r="D591" t="s">
        <v>39</v>
      </c>
      <c r="E591" t="s">
        <v>46</v>
      </c>
      <c r="F591" t="s">
        <v>41</v>
      </c>
      <c r="G591" t="s">
        <v>42</v>
      </c>
    </row>
    <row r="592" spans="1:7" x14ac:dyDescent="0.2">
      <c r="A592">
        <v>19</v>
      </c>
      <c r="B592">
        <v>62</v>
      </c>
      <c r="C592" t="s">
        <v>227</v>
      </c>
      <c r="D592" t="s">
        <v>39</v>
      </c>
      <c r="E592" t="s">
        <v>46</v>
      </c>
      <c r="F592" t="s">
        <v>41</v>
      </c>
      <c r="G592" t="s">
        <v>42</v>
      </c>
    </row>
    <row r="593" spans="1:7" x14ac:dyDescent="0.2">
      <c r="A593">
        <v>19</v>
      </c>
      <c r="B593">
        <v>62</v>
      </c>
      <c r="C593" t="s">
        <v>284</v>
      </c>
      <c r="D593" t="s">
        <v>39</v>
      </c>
      <c r="E593" t="s">
        <v>46</v>
      </c>
      <c r="F593" t="s">
        <v>41</v>
      </c>
      <c r="G593" t="s">
        <v>42</v>
      </c>
    </row>
    <row r="594" spans="1:7" x14ac:dyDescent="0.2">
      <c r="A594">
        <v>19</v>
      </c>
      <c r="B594">
        <v>62</v>
      </c>
      <c r="C594" t="s">
        <v>285</v>
      </c>
      <c r="D594" t="s">
        <v>39</v>
      </c>
      <c r="E594" t="s">
        <v>46</v>
      </c>
      <c r="F594" t="s">
        <v>41</v>
      </c>
      <c r="G594" t="s">
        <v>42</v>
      </c>
    </row>
    <row r="595" spans="1:7" x14ac:dyDescent="0.2">
      <c r="A595">
        <v>19</v>
      </c>
      <c r="B595">
        <v>62</v>
      </c>
      <c r="C595" t="s">
        <v>249</v>
      </c>
      <c r="D595" t="s">
        <v>94</v>
      </c>
      <c r="E595" t="s">
        <v>46</v>
      </c>
      <c r="F595" t="s">
        <v>41</v>
      </c>
      <c r="G595" t="s">
        <v>42</v>
      </c>
    </row>
    <row r="596" spans="1:7" x14ac:dyDescent="0.2">
      <c r="A596">
        <v>19</v>
      </c>
      <c r="B596">
        <v>62</v>
      </c>
      <c r="C596" t="s">
        <v>268</v>
      </c>
      <c r="D596" t="s">
        <v>39</v>
      </c>
      <c r="E596" t="s">
        <v>46</v>
      </c>
      <c r="F596" t="s">
        <v>41</v>
      </c>
      <c r="G596" t="s">
        <v>42</v>
      </c>
    </row>
    <row r="597" spans="1:7" x14ac:dyDescent="0.2">
      <c r="A597">
        <v>19</v>
      </c>
      <c r="B597">
        <v>62</v>
      </c>
      <c r="C597" t="s">
        <v>286</v>
      </c>
      <c r="D597" t="s">
        <v>39</v>
      </c>
      <c r="E597" t="s">
        <v>46</v>
      </c>
      <c r="F597" t="s">
        <v>41</v>
      </c>
      <c r="G597" t="s">
        <v>42</v>
      </c>
    </row>
    <row r="598" spans="1:7" x14ac:dyDescent="0.2">
      <c r="A598">
        <v>19</v>
      </c>
      <c r="B598">
        <v>62</v>
      </c>
      <c r="C598" t="s">
        <v>269</v>
      </c>
      <c r="D598" t="s">
        <v>39</v>
      </c>
      <c r="E598" t="s">
        <v>46</v>
      </c>
      <c r="F598" t="s">
        <v>41</v>
      </c>
      <c r="G598" t="s">
        <v>42</v>
      </c>
    </row>
    <row r="599" spans="1:7" x14ac:dyDescent="0.2">
      <c r="A599">
        <v>20</v>
      </c>
      <c r="B599">
        <v>62</v>
      </c>
      <c r="C599" t="s">
        <v>233</v>
      </c>
      <c r="D599" t="s">
        <v>39</v>
      </c>
      <c r="E599" t="s">
        <v>46</v>
      </c>
      <c r="F599" t="s">
        <v>41</v>
      </c>
      <c r="G599" t="s">
        <v>42</v>
      </c>
    </row>
    <row r="600" spans="1:7" x14ac:dyDescent="0.2">
      <c r="A600">
        <v>20</v>
      </c>
      <c r="B600">
        <v>62</v>
      </c>
      <c r="C600" t="s">
        <v>287</v>
      </c>
      <c r="D600" t="s">
        <v>39</v>
      </c>
      <c r="E600" t="s">
        <v>46</v>
      </c>
      <c r="F600" t="s">
        <v>41</v>
      </c>
      <c r="G600" t="s">
        <v>42</v>
      </c>
    </row>
    <row r="601" spans="1:7" x14ac:dyDescent="0.2">
      <c r="A601">
        <v>20</v>
      </c>
      <c r="B601">
        <v>62</v>
      </c>
      <c r="C601" t="s">
        <v>249</v>
      </c>
      <c r="D601" t="s">
        <v>39</v>
      </c>
      <c r="E601" t="s">
        <v>46</v>
      </c>
      <c r="F601" t="s">
        <v>41</v>
      </c>
      <c r="G601" t="s">
        <v>42</v>
      </c>
    </row>
    <row r="602" spans="1:7" x14ac:dyDescent="0.2">
      <c r="A602">
        <v>20</v>
      </c>
      <c r="B602">
        <v>62</v>
      </c>
      <c r="C602" t="s">
        <v>285</v>
      </c>
      <c r="D602" t="s">
        <v>39</v>
      </c>
      <c r="E602" t="s">
        <v>46</v>
      </c>
      <c r="F602" t="s">
        <v>41</v>
      </c>
      <c r="G602" t="s">
        <v>42</v>
      </c>
    </row>
    <row r="603" spans="1:7" x14ac:dyDescent="0.2">
      <c r="A603">
        <v>20</v>
      </c>
      <c r="B603">
        <v>62</v>
      </c>
      <c r="C603" t="s">
        <v>288</v>
      </c>
      <c r="D603" t="s">
        <v>39</v>
      </c>
      <c r="E603" t="s">
        <v>46</v>
      </c>
      <c r="F603" t="s">
        <v>41</v>
      </c>
      <c r="G603" t="s">
        <v>42</v>
      </c>
    </row>
    <row r="604" spans="1:7" x14ac:dyDescent="0.2">
      <c r="A604">
        <v>20</v>
      </c>
      <c r="B604">
        <v>62</v>
      </c>
      <c r="C604" t="s">
        <v>218</v>
      </c>
      <c r="D604" t="s">
        <v>39</v>
      </c>
      <c r="E604" t="s">
        <v>46</v>
      </c>
      <c r="F604" t="s">
        <v>41</v>
      </c>
      <c r="G604" t="s">
        <v>42</v>
      </c>
    </row>
    <row r="605" spans="1:7" x14ac:dyDescent="0.2">
      <c r="A605">
        <v>20</v>
      </c>
      <c r="B605">
        <v>62</v>
      </c>
      <c r="C605" t="s">
        <v>279</v>
      </c>
      <c r="D605" t="s">
        <v>39</v>
      </c>
      <c r="E605" t="s">
        <v>46</v>
      </c>
      <c r="F605" t="s">
        <v>41</v>
      </c>
      <c r="G605" t="s">
        <v>42</v>
      </c>
    </row>
    <row r="606" spans="1:7" x14ac:dyDescent="0.2">
      <c r="A606">
        <v>20</v>
      </c>
      <c r="B606">
        <v>62</v>
      </c>
      <c r="C606" t="s">
        <v>248</v>
      </c>
      <c r="D606" t="s">
        <v>39</v>
      </c>
      <c r="E606" t="s">
        <v>46</v>
      </c>
      <c r="F606" t="s">
        <v>51</v>
      </c>
      <c r="G606" t="s">
        <v>42</v>
      </c>
    </row>
    <row r="607" spans="1:7" x14ac:dyDescent="0.2">
      <c r="A607">
        <v>20</v>
      </c>
      <c r="B607">
        <v>62</v>
      </c>
      <c r="C607" t="s">
        <v>217</v>
      </c>
      <c r="D607" t="s">
        <v>39</v>
      </c>
      <c r="E607" t="s">
        <v>46</v>
      </c>
      <c r="F607" t="s">
        <v>41</v>
      </c>
      <c r="G607" t="s">
        <v>42</v>
      </c>
    </row>
    <row r="608" spans="1:7" x14ac:dyDescent="0.2">
      <c r="A608">
        <v>20</v>
      </c>
      <c r="B608">
        <v>62</v>
      </c>
      <c r="C608" t="s">
        <v>215</v>
      </c>
      <c r="D608" t="s">
        <v>39</v>
      </c>
      <c r="E608" t="s">
        <v>46</v>
      </c>
      <c r="F608" t="s">
        <v>41</v>
      </c>
      <c r="G608" t="s">
        <v>42</v>
      </c>
    </row>
    <row r="609" spans="1:7" x14ac:dyDescent="0.2">
      <c r="A609">
        <v>20</v>
      </c>
      <c r="B609">
        <v>62</v>
      </c>
      <c r="C609" t="s">
        <v>239</v>
      </c>
      <c r="D609" t="s">
        <v>39</v>
      </c>
      <c r="E609" t="s">
        <v>46</v>
      </c>
      <c r="F609" t="s">
        <v>41</v>
      </c>
      <c r="G609" t="s">
        <v>42</v>
      </c>
    </row>
    <row r="610" spans="1:7" x14ac:dyDescent="0.2">
      <c r="A610">
        <v>20</v>
      </c>
      <c r="B610">
        <v>62</v>
      </c>
      <c r="C610" t="s">
        <v>289</v>
      </c>
      <c r="D610" t="s">
        <v>39</v>
      </c>
      <c r="E610" t="s">
        <v>46</v>
      </c>
      <c r="F610" t="s">
        <v>41</v>
      </c>
      <c r="G610" t="s">
        <v>42</v>
      </c>
    </row>
    <row r="611" spans="1:7" x14ac:dyDescent="0.2">
      <c r="A611">
        <v>20</v>
      </c>
      <c r="B611">
        <v>62</v>
      </c>
      <c r="C611" t="s">
        <v>225</v>
      </c>
      <c r="D611" t="s">
        <v>39</v>
      </c>
      <c r="E611" t="s">
        <v>46</v>
      </c>
      <c r="F611" t="s">
        <v>41</v>
      </c>
      <c r="G611" t="s">
        <v>42</v>
      </c>
    </row>
    <row r="612" spans="1:7" x14ac:dyDescent="0.2">
      <c r="A612">
        <v>20</v>
      </c>
      <c r="B612">
        <v>62</v>
      </c>
      <c r="C612" t="s">
        <v>290</v>
      </c>
      <c r="D612" t="s">
        <v>39</v>
      </c>
      <c r="E612" t="s">
        <v>46</v>
      </c>
      <c r="F612" t="s">
        <v>41</v>
      </c>
      <c r="G612" t="s">
        <v>42</v>
      </c>
    </row>
    <row r="613" spans="1:7" x14ac:dyDescent="0.2">
      <c r="A613">
        <v>20</v>
      </c>
      <c r="B613">
        <v>62</v>
      </c>
      <c r="C613" t="s">
        <v>291</v>
      </c>
      <c r="D613" t="s">
        <v>39</v>
      </c>
      <c r="E613" t="s">
        <v>46</v>
      </c>
      <c r="F613" t="s">
        <v>41</v>
      </c>
      <c r="G613" t="s">
        <v>42</v>
      </c>
    </row>
    <row r="614" spans="1:7" x14ac:dyDescent="0.2">
      <c r="A614">
        <v>20</v>
      </c>
      <c r="B614">
        <v>62</v>
      </c>
      <c r="C614" t="s">
        <v>292</v>
      </c>
      <c r="D614" t="s">
        <v>39</v>
      </c>
      <c r="E614" t="s">
        <v>46</v>
      </c>
      <c r="F614" t="s">
        <v>41</v>
      </c>
      <c r="G614" t="s">
        <v>42</v>
      </c>
    </row>
    <row r="615" spans="1:7" x14ac:dyDescent="0.2">
      <c r="A615">
        <v>20</v>
      </c>
      <c r="B615">
        <v>62</v>
      </c>
      <c r="C615" t="s">
        <v>293</v>
      </c>
      <c r="D615" t="s">
        <v>39</v>
      </c>
      <c r="E615" t="s">
        <v>46</v>
      </c>
      <c r="F615" t="s">
        <v>41</v>
      </c>
      <c r="G615" t="s">
        <v>42</v>
      </c>
    </row>
    <row r="616" spans="1:7" x14ac:dyDescent="0.2">
      <c r="A616">
        <v>21</v>
      </c>
      <c r="B616">
        <v>62</v>
      </c>
      <c r="C616" t="s">
        <v>92</v>
      </c>
      <c r="D616" t="s">
        <v>39</v>
      </c>
      <c r="E616" t="s">
        <v>40</v>
      </c>
      <c r="F616" t="s">
        <v>41</v>
      </c>
      <c r="G616" t="s">
        <v>42</v>
      </c>
    </row>
    <row r="617" spans="1:7" x14ac:dyDescent="0.2">
      <c r="A617">
        <v>21</v>
      </c>
      <c r="B617">
        <v>62</v>
      </c>
      <c r="C617" t="s">
        <v>292</v>
      </c>
      <c r="D617" t="s">
        <v>39</v>
      </c>
      <c r="E617" t="s">
        <v>40</v>
      </c>
      <c r="F617" t="s">
        <v>41</v>
      </c>
      <c r="G617" t="s">
        <v>42</v>
      </c>
    </row>
    <row r="618" spans="1:7" x14ac:dyDescent="0.2">
      <c r="A618">
        <v>21</v>
      </c>
      <c r="B618">
        <v>62</v>
      </c>
      <c r="C618" t="s">
        <v>291</v>
      </c>
      <c r="D618" t="s">
        <v>39</v>
      </c>
      <c r="E618" t="s">
        <v>40</v>
      </c>
      <c r="F618" t="s">
        <v>51</v>
      </c>
      <c r="G618" t="s">
        <v>42</v>
      </c>
    </row>
    <row r="619" spans="1:7" x14ac:dyDescent="0.2">
      <c r="A619">
        <v>21</v>
      </c>
      <c r="B619">
        <v>62</v>
      </c>
      <c r="C619" t="s">
        <v>225</v>
      </c>
      <c r="D619" t="s">
        <v>39</v>
      </c>
      <c r="E619" t="s">
        <v>40</v>
      </c>
      <c r="F619" t="s">
        <v>41</v>
      </c>
      <c r="G619" t="s">
        <v>42</v>
      </c>
    </row>
    <row r="620" spans="1:7" x14ac:dyDescent="0.2">
      <c r="A620">
        <v>21</v>
      </c>
      <c r="B620">
        <v>62</v>
      </c>
      <c r="C620" t="s">
        <v>294</v>
      </c>
      <c r="D620" t="s">
        <v>39</v>
      </c>
      <c r="E620" t="s">
        <v>40</v>
      </c>
      <c r="F620" t="s">
        <v>41</v>
      </c>
      <c r="G620" t="s">
        <v>42</v>
      </c>
    </row>
    <row r="621" spans="1:7" x14ac:dyDescent="0.2">
      <c r="A621">
        <v>21</v>
      </c>
      <c r="B621">
        <v>62</v>
      </c>
      <c r="C621" t="s">
        <v>239</v>
      </c>
      <c r="D621" t="s">
        <v>39</v>
      </c>
      <c r="E621" t="s">
        <v>40</v>
      </c>
      <c r="F621" t="s">
        <v>51</v>
      </c>
      <c r="G621" t="s">
        <v>42</v>
      </c>
    </row>
    <row r="622" spans="1:7" x14ac:dyDescent="0.2">
      <c r="A622">
        <v>21</v>
      </c>
      <c r="B622">
        <v>62</v>
      </c>
      <c r="C622" t="s">
        <v>215</v>
      </c>
      <c r="D622" t="s">
        <v>39</v>
      </c>
      <c r="E622" t="s">
        <v>40</v>
      </c>
      <c r="F622" t="s">
        <v>41</v>
      </c>
      <c r="G622" t="s">
        <v>42</v>
      </c>
    </row>
    <row r="623" spans="1:7" x14ac:dyDescent="0.2">
      <c r="A623">
        <v>22</v>
      </c>
      <c r="B623">
        <v>62</v>
      </c>
      <c r="C623" t="s">
        <v>291</v>
      </c>
      <c r="D623" t="s">
        <v>39</v>
      </c>
      <c r="E623" t="s">
        <v>46</v>
      </c>
      <c r="F623" t="s">
        <v>51</v>
      </c>
      <c r="G623" t="s">
        <v>42</v>
      </c>
    </row>
    <row r="624" spans="1:7" x14ac:dyDescent="0.2">
      <c r="A624">
        <v>22</v>
      </c>
      <c r="B624">
        <v>62</v>
      </c>
      <c r="C624" t="s">
        <v>225</v>
      </c>
      <c r="D624" t="s">
        <v>39</v>
      </c>
      <c r="E624" t="s">
        <v>46</v>
      </c>
      <c r="F624" t="s">
        <v>41</v>
      </c>
      <c r="G624" t="s">
        <v>42</v>
      </c>
    </row>
    <row r="625" spans="1:7" x14ac:dyDescent="0.2">
      <c r="A625">
        <v>22</v>
      </c>
      <c r="B625">
        <v>62</v>
      </c>
      <c r="C625" t="s">
        <v>295</v>
      </c>
      <c r="D625" t="s">
        <v>39</v>
      </c>
      <c r="E625" t="s">
        <v>46</v>
      </c>
      <c r="F625" t="s">
        <v>41</v>
      </c>
      <c r="G625" t="s">
        <v>42</v>
      </c>
    </row>
    <row r="626" spans="1:7" x14ac:dyDescent="0.2">
      <c r="A626">
        <v>22</v>
      </c>
      <c r="B626">
        <v>62</v>
      </c>
      <c r="C626" t="s">
        <v>294</v>
      </c>
      <c r="D626" t="s">
        <v>39</v>
      </c>
      <c r="E626" t="s">
        <v>46</v>
      </c>
      <c r="F626" t="s">
        <v>41</v>
      </c>
      <c r="G626" t="s">
        <v>42</v>
      </c>
    </row>
    <row r="627" spans="1:7" x14ac:dyDescent="0.2">
      <c r="A627">
        <v>22</v>
      </c>
      <c r="B627">
        <v>62</v>
      </c>
      <c r="C627" t="s">
        <v>215</v>
      </c>
      <c r="D627" t="s">
        <v>39</v>
      </c>
      <c r="E627" t="s">
        <v>46</v>
      </c>
      <c r="F627" t="s">
        <v>41</v>
      </c>
      <c r="G627" t="s">
        <v>42</v>
      </c>
    </row>
    <row r="628" spans="1:7" x14ac:dyDescent="0.2">
      <c r="A628">
        <v>7</v>
      </c>
      <c r="B628">
        <v>63</v>
      </c>
      <c r="C628" t="s">
        <v>296</v>
      </c>
      <c r="D628" t="s">
        <v>94</v>
      </c>
      <c r="E628" t="s">
        <v>46</v>
      </c>
      <c r="F628" t="s">
        <v>47</v>
      </c>
      <c r="G628" t="s">
        <v>42</v>
      </c>
    </row>
    <row r="629" spans="1:7" x14ac:dyDescent="0.2">
      <c r="A629">
        <v>8</v>
      </c>
      <c r="B629">
        <v>63</v>
      </c>
      <c r="C629" t="s">
        <v>227</v>
      </c>
      <c r="D629" t="s">
        <v>39</v>
      </c>
      <c r="E629" t="s">
        <v>46</v>
      </c>
      <c r="F629" t="s">
        <v>41</v>
      </c>
      <c r="G629" t="s">
        <v>42</v>
      </c>
    </row>
    <row r="630" spans="1:7" x14ac:dyDescent="0.2">
      <c r="A630">
        <v>8</v>
      </c>
      <c r="B630">
        <v>63</v>
      </c>
      <c r="C630" t="s">
        <v>216</v>
      </c>
      <c r="D630" t="s">
        <v>39</v>
      </c>
      <c r="E630" t="s">
        <v>46</v>
      </c>
      <c r="F630" t="s">
        <v>41</v>
      </c>
      <c r="G630" t="s">
        <v>42</v>
      </c>
    </row>
    <row r="631" spans="1:7" x14ac:dyDescent="0.2">
      <c r="A631">
        <v>8</v>
      </c>
      <c r="B631">
        <v>63</v>
      </c>
      <c r="C631" t="s">
        <v>218</v>
      </c>
      <c r="D631" t="s">
        <v>39</v>
      </c>
      <c r="E631" t="s">
        <v>46</v>
      </c>
      <c r="F631" t="s">
        <v>51</v>
      </c>
      <c r="G631" t="s">
        <v>42</v>
      </c>
    </row>
    <row r="632" spans="1:7" x14ac:dyDescent="0.2">
      <c r="A632">
        <v>8</v>
      </c>
      <c r="B632">
        <v>63</v>
      </c>
      <c r="C632" t="s">
        <v>297</v>
      </c>
      <c r="D632" t="s">
        <v>39</v>
      </c>
      <c r="E632" t="s">
        <v>46</v>
      </c>
      <c r="F632" t="s">
        <v>51</v>
      </c>
      <c r="G632" t="s">
        <v>42</v>
      </c>
    </row>
    <row r="633" spans="1:7" x14ac:dyDescent="0.2">
      <c r="A633">
        <v>9</v>
      </c>
      <c r="B633">
        <v>63</v>
      </c>
      <c r="C633" t="s">
        <v>298</v>
      </c>
      <c r="D633" t="s">
        <v>39</v>
      </c>
      <c r="E633" t="s">
        <v>40</v>
      </c>
      <c r="F633" t="s">
        <v>41</v>
      </c>
      <c r="G633" t="s">
        <v>42</v>
      </c>
    </row>
    <row r="634" spans="1:7" x14ac:dyDescent="0.2">
      <c r="A634">
        <v>9</v>
      </c>
      <c r="B634">
        <v>63</v>
      </c>
      <c r="C634" t="s">
        <v>227</v>
      </c>
      <c r="D634" t="s">
        <v>39</v>
      </c>
      <c r="E634" t="s">
        <v>40</v>
      </c>
      <c r="F634" t="s">
        <v>41</v>
      </c>
      <c r="G634" t="s">
        <v>42</v>
      </c>
    </row>
    <row r="635" spans="1:7" x14ac:dyDescent="0.2">
      <c r="A635">
        <v>9</v>
      </c>
      <c r="B635">
        <v>63</v>
      </c>
      <c r="C635" t="s">
        <v>216</v>
      </c>
      <c r="D635" t="s">
        <v>39</v>
      </c>
      <c r="E635" t="s">
        <v>40</v>
      </c>
      <c r="F635" t="s">
        <v>41</v>
      </c>
      <c r="G635" t="s">
        <v>42</v>
      </c>
    </row>
    <row r="636" spans="1:7" x14ac:dyDescent="0.2">
      <c r="A636">
        <v>10</v>
      </c>
      <c r="B636">
        <v>63</v>
      </c>
      <c r="C636" t="s">
        <v>251</v>
      </c>
      <c r="D636" t="s">
        <v>39</v>
      </c>
      <c r="E636" t="s">
        <v>46</v>
      </c>
      <c r="F636" t="s">
        <v>51</v>
      </c>
      <c r="G636" t="s">
        <v>42</v>
      </c>
    </row>
    <row r="637" spans="1:7" x14ac:dyDescent="0.2">
      <c r="A637">
        <v>10</v>
      </c>
      <c r="B637">
        <v>63</v>
      </c>
      <c r="C637" t="s">
        <v>252</v>
      </c>
      <c r="D637" t="s">
        <v>39</v>
      </c>
      <c r="E637" t="s">
        <v>46</v>
      </c>
      <c r="F637" t="s">
        <v>51</v>
      </c>
      <c r="G637" t="s">
        <v>42</v>
      </c>
    </row>
    <row r="638" spans="1:7" x14ac:dyDescent="0.2">
      <c r="A638">
        <v>10</v>
      </c>
      <c r="B638">
        <v>63</v>
      </c>
      <c r="C638" t="s">
        <v>296</v>
      </c>
      <c r="D638" t="s">
        <v>94</v>
      </c>
      <c r="E638" t="s">
        <v>46</v>
      </c>
      <c r="F638" t="s">
        <v>47</v>
      </c>
      <c r="G638" t="s">
        <v>42</v>
      </c>
    </row>
    <row r="639" spans="1:7" x14ac:dyDescent="0.2">
      <c r="A639">
        <v>11</v>
      </c>
      <c r="B639">
        <v>63</v>
      </c>
      <c r="C639" t="s">
        <v>978</v>
      </c>
      <c r="D639" t="s">
        <v>39</v>
      </c>
      <c r="E639" t="s">
        <v>46</v>
      </c>
      <c r="F639" t="s">
        <v>47</v>
      </c>
      <c r="G639" t="s">
        <v>42</v>
      </c>
    </row>
    <row r="640" spans="1:7" x14ac:dyDescent="0.2">
      <c r="A640">
        <v>11</v>
      </c>
      <c r="B640">
        <v>63</v>
      </c>
      <c r="C640" t="s">
        <v>300</v>
      </c>
      <c r="D640" t="s">
        <v>94</v>
      </c>
      <c r="E640" t="s">
        <v>46</v>
      </c>
      <c r="F640" t="s">
        <v>47</v>
      </c>
      <c r="G640" t="s">
        <v>42</v>
      </c>
    </row>
    <row r="641" spans="1:7" x14ac:dyDescent="0.2">
      <c r="A641">
        <v>12</v>
      </c>
      <c r="B641">
        <v>63</v>
      </c>
      <c r="C641" t="s">
        <v>301</v>
      </c>
      <c r="D641" t="s">
        <v>39</v>
      </c>
      <c r="E641" t="s">
        <v>46</v>
      </c>
      <c r="F641" t="s">
        <v>47</v>
      </c>
      <c r="G641" t="s">
        <v>42</v>
      </c>
    </row>
    <row r="642" spans="1:7" x14ac:dyDescent="0.2">
      <c r="A642">
        <v>12</v>
      </c>
      <c r="B642">
        <v>63</v>
      </c>
      <c r="C642" t="s">
        <v>252</v>
      </c>
      <c r="D642" t="s">
        <v>39</v>
      </c>
      <c r="E642" t="s">
        <v>46</v>
      </c>
      <c r="F642" t="s">
        <v>51</v>
      </c>
      <c r="G642" t="s">
        <v>42</v>
      </c>
    </row>
    <row r="643" spans="1:7" x14ac:dyDescent="0.2">
      <c r="A643">
        <v>12</v>
      </c>
      <c r="B643">
        <v>63</v>
      </c>
      <c r="C643" t="s">
        <v>296</v>
      </c>
      <c r="D643" t="s">
        <v>94</v>
      </c>
      <c r="E643" t="s">
        <v>46</v>
      </c>
      <c r="F643" t="s">
        <v>47</v>
      </c>
      <c r="G643" t="s">
        <v>42</v>
      </c>
    </row>
    <row r="644" spans="1:7" x14ac:dyDescent="0.2">
      <c r="A644">
        <v>13</v>
      </c>
      <c r="B644">
        <v>63</v>
      </c>
      <c r="C644" t="s">
        <v>302</v>
      </c>
      <c r="D644" t="s">
        <v>39</v>
      </c>
      <c r="E644" t="s">
        <v>46</v>
      </c>
      <c r="F644" t="s">
        <v>47</v>
      </c>
      <c r="G644" t="s">
        <v>42</v>
      </c>
    </row>
    <row r="645" spans="1:7" x14ac:dyDescent="0.2">
      <c r="A645">
        <v>13</v>
      </c>
      <c r="B645">
        <v>63</v>
      </c>
      <c r="C645" t="s">
        <v>303</v>
      </c>
      <c r="D645" t="s">
        <v>39</v>
      </c>
      <c r="E645" t="s">
        <v>46</v>
      </c>
      <c r="F645" t="s">
        <v>47</v>
      </c>
      <c r="G645" t="s">
        <v>42</v>
      </c>
    </row>
    <row r="646" spans="1:7" x14ac:dyDescent="0.2">
      <c r="A646">
        <v>13</v>
      </c>
      <c r="B646">
        <v>63</v>
      </c>
      <c r="C646" t="s">
        <v>296</v>
      </c>
      <c r="D646" t="s">
        <v>94</v>
      </c>
      <c r="E646" t="s">
        <v>46</v>
      </c>
      <c r="F646" t="s">
        <v>47</v>
      </c>
      <c r="G646" t="s">
        <v>42</v>
      </c>
    </row>
    <row r="647" spans="1:7" x14ac:dyDescent="0.2">
      <c r="A647">
        <v>14</v>
      </c>
      <c r="B647">
        <v>63</v>
      </c>
      <c r="C647" t="s">
        <v>251</v>
      </c>
      <c r="D647" t="s">
        <v>39</v>
      </c>
      <c r="E647" t="s">
        <v>46</v>
      </c>
      <c r="F647" t="s">
        <v>51</v>
      </c>
      <c r="G647" t="s">
        <v>42</v>
      </c>
    </row>
    <row r="648" spans="1:7" x14ac:dyDescent="0.2">
      <c r="A648">
        <v>14</v>
      </c>
      <c r="B648">
        <v>63</v>
      </c>
      <c r="C648" t="s">
        <v>252</v>
      </c>
      <c r="D648" t="s">
        <v>39</v>
      </c>
      <c r="E648" t="s">
        <v>46</v>
      </c>
      <c r="F648" t="s">
        <v>51</v>
      </c>
      <c r="G648" t="s">
        <v>42</v>
      </c>
    </row>
    <row r="649" spans="1:7" x14ac:dyDescent="0.2">
      <c r="A649">
        <v>14</v>
      </c>
      <c r="B649">
        <v>63</v>
      </c>
      <c r="C649" t="s">
        <v>304</v>
      </c>
      <c r="D649" t="s">
        <v>39</v>
      </c>
      <c r="E649" t="s">
        <v>46</v>
      </c>
      <c r="F649" t="s">
        <v>47</v>
      </c>
      <c r="G649" t="s">
        <v>42</v>
      </c>
    </row>
    <row r="650" spans="1:7" x14ac:dyDescent="0.2">
      <c r="A650">
        <v>14</v>
      </c>
      <c r="B650">
        <v>63</v>
      </c>
      <c r="C650" t="s">
        <v>305</v>
      </c>
      <c r="D650" t="s">
        <v>94</v>
      </c>
      <c r="E650" t="s">
        <v>46</v>
      </c>
      <c r="F650" t="s">
        <v>47</v>
      </c>
      <c r="G650" t="s">
        <v>42</v>
      </c>
    </row>
    <row r="651" spans="1:7" x14ac:dyDescent="0.2">
      <c r="A651">
        <v>15</v>
      </c>
      <c r="B651">
        <v>63</v>
      </c>
      <c r="C651" t="s">
        <v>296</v>
      </c>
      <c r="D651" t="s">
        <v>94</v>
      </c>
      <c r="E651" t="s">
        <v>46</v>
      </c>
      <c r="F651" t="s">
        <v>47</v>
      </c>
      <c r="G651" t="s">
        <v>42</v>
      </c>
    </row>
    <row r="652" spans="1:7" x14ac:dyDescent="0.2">
      <c r="A652">
        <v>16</v>
      </c>
      <c r="B652">
        <v>63</v>
      </c>
      <c r="C652" t="s">
        <v>251</v>
      </c>
      <c r="D652" t="s">
        <v>39</v>
      </c>
      <c r="E652" t="s">
        <v>46</v>
      </c>
      <c r="F652" t="s">
        <v>51</v>
      </c>
      <c r="G652" t="s">
        <v>42</v>
      </c>
    </row>
    <row r="653" spans="1:7" x14ac:dyDescent="0.2">
      <c r="A653">
        <v>16</v>
      </c>
      <c r="B653">
        <v>63</v>
      </c>
      <c r="C653" t="s">
        <v>252</v>
      </c>
      <c r="D653" t="s">
        <v>39</v>
      </c>
      <c r="E653" t="s">
        <v>46</v>
      </c>
      <c r="F653" t="s">
        <v>51</v>
      </c>
      <c r="G653" t="s">
        <v>42</v>
      </c>
    </row>
    <row r="654" spans="1:7" x14ac:dyDescent="0.2">
      <c r="A654">
        <v>16</v>
      </c>
      <c r="B654">
        <v>63</v>
      </c>
      <c r="C654" t="s">
        <v>305</v>
      </c>
      <c r="D654" t="s">
        <v>39</v>
      </c>
      <c r="E654" t="s">
        <v>46</v>
      </c>
      <c r="F654" t="s">
        <v>47</v>
      </c>
      <c r="G654" t="s">
        <v>42</v>
      </c>
    </row>
    <row r="655" spans="1:7" x14ac:dyDescent="0.2">
      <c r="A655">
        <v>17</v>
      </c>
      <c r="B655">
        <v>63</v>
      </c>
      <c r="C655" t="s">
        <v>306</v>
      </c>
      <c r="D655" t="s">
        <v>39</v>
      </c>
      <c r="E655" t="s">
        <v>46</v>
      </c>
      <c r="F655" t="s">
        <v>41</v>
      </c>
      <c r="G655" t="s">
        <v>42</v>
      </c>
    </row>
    <row r="656" spans="1:7" x14ac:dyDescent="0.2">
      <c r="A656">
        <v>17</v>
      </c>
      <c r="B656">
        <v>63</v>
      </c>
      <c r="C656" t="s">
        <v>252</v>
      </c>
      <c r="D656" t="s">
        <v>39</v>
      </c>
      <c r="E656" t="s">
        <v>46</v>
      </c>
      <c r="F656" t="s">
        <v>41</v>
      </c>
      <c r="G656" t="s">
        <v>42</v>
      </c>
    </row>
    <row r="657" spans="1:7" x14ac:dyDescent="0.2">
      <c r="A657">
        <v>18</v>
      </c>
      <c r="B657">
        <v>63</v>
      </c>
      <c r="C657" t="s">
        <v>251</v>
      </c>
      <c r="D657" t="s">
        <v>39</v>
      </c>
      <c r="E657" t="s">
        <v>46</v>
      </c>
      <c r="F657" t="s">
        <v>51</v>
      </c>
      <c r="G657" t="s">
        <v>42</v>
      </c>
    </row>
    <row r="658" spans="1:7" x14ac:dyDescent="0.2">
      <c r="A658">
        <v>18</v>
      </c>
      <c r="B658">
        <v>63</v>
      </c>
      <c r="C658" t="s">
        <v>252</v>
      </c>
      <c r="D658" t="s">
        <v>39</v>
      </c>
      <c r="E658" t="s">
        <v>46</v>
      </c>
      <c r="F658" t="s">
        <v>51</v>
      </c>
      <c r="G658" t="s">
        <v>42</v>
      </c>
    </row>
    <row r="659" spans="1:7" x14ac:dyDescent="0.2">
      <c r="A659">
        <v>18</v>
      </c>
      <c r="B659">
        <v>63</v>
      </c>
      <c r="C659" t="s">
        <v>307</v>
      </c>
      <c r="D659" t="s">
        <v>39</v>
      </c>
      <c r="E659" t="s">
        <v>46</v>
      </c>
      <c r="F659" t="s">
        <v>47</v>
      </c>
      <c r="G659" t="s">
        <v>42</v>
      </c>
    </row>
    <row r="660" spans="1:7" x14ac:dyDescent="0.2">
      <c r="A660">
        <v>18</v>
      </c>
      <c r="B660">
        <v>63</v>
      </c>
      <c r="C660" t="s">
        <v>308</v>
      </c>
      <c r="D660" t="s">
        <v>39</v>
      </c>
      <c r="E660" t="s">
        <v>46</v>
      </c>
      <c r="F660" t="s">
        <v>47</v>
      </c>
      <c r="G660" t="s">
        <v>42</v>
      </c>
    </row>
    <row r="661" spans="1:7" x14ac:dyDescent="0.2">
      <c r="A661">
        <v>18</v>
      </c>
      <c r="B661">
        <v>63</v>
      </c>
      <c r="C661" t="s">
        <v>231</v>
      </c>
      <c r="D661" t="s">
        <v>39</v>
      </c>
      <c r="E661" t="s">
        <v>46</v>
      </c>
      <c r="F661" t="s">
        <v>47</v>
      </c>
      <c r="G661" t="s">
        <v>42</v>
      </c>
    </row>
    <row r="662" spans="1:7" x14ac:dyDescent="0.2">
      <c r="A662">
        <v>18</v>
      </c>
      <c r="B662">
        <v>63</v>
      </c>
      <c r="C662" t="s">
        <v>296</v>
      </c>
      <c r="D662" t="s">
        <v>94</v>
      </c>
      <c r="E662" t="s">
        <v>46</v>
      </c>
      <c r="F662" t="s">
        <v>47</v>
      </c>
      <c r="G662" t="s">
        <v>42</v>
      </c>
    </row>
    <row r="663" spans="1:7" x14ac:dyDescent="0.2">
      <c r="A663">
        <v>19</v>
      </c>
      <c r="B663">
        <v>63</v>
      </c>
      <c r="C663" t="s">
        <v>251</v>
      </c>
      <c r="D663" t="s">
        <v>39</v>
      </c>
      <c r="E663" t="s">
        <v>46</v>
      </c>
      <c r="F663" t="s">
        <v>41</v>
      </c>
      <c r="G663" t="s">
        <v>42</v>
      </c>
    </row>
    <row r="664" spans="1:7" x14ac:dyDescent="0.2">
      <c r="A664">
        <v>19</v>
      </c>
      <c r="B664">
        <v>63</v>
      </c>
      <c r="C664" t="s">
        <v>252</v>
      </c>
      <c r="D664" t="s">
        <v>39</v>
      </c>
      <c r="E664" t="s">
        <v>46</v>
      </c>
      <c r="F664" t="s">
        <v>41</v>
      </c>
      <c r="G664" t="s">
        <v>42</v>
      </c>
    </row>
    <row r="665" spans="1:7" x14ac:dyDescent="0.2">
      <c r="A665">
        <v>20</v>
      </c>
      <c r="B665">
        <v>63</v>
      </c>
      <c r="C665" t="s">
        <v>252</v>
      </c>
      <c r="D665" t="s">
        <v>39</v>
      </c>
      <c r="E665" t="s">
        <v>46</v>
      </c>
      <c r="F665" t="s">
        <v>41</v>
      </c>
      <c r="G665" t="s">
        <v>42</v>
      </c>
    </row>
    <row r="666" spans="1:7" x14ac:dyDescent="0.2">
      <c r="A666">
        <v>21</v>
      </c>
      <c r="B666">
        <v>63</v>
      </c>
      <c r="C666" t="s">
        <v>217</v>
      </c>
      <c r="D666" t="s">
        <v>39</v>
      </c>
      <c r="E666" t="s">
        <v>40</v>
      </c>
      <c r="F666" t="s">
        <v>51</v>
      </c>
      <c r="G666" t="s">
        <v>42</v>
      </c>
    </row>
    <row r="667" spans="1:7" x14ac:dyDescent="0.2">
      <c r="A667">
        <v>21</v>
      </c>
      <c r="B667">
        <v>63</v>
      </c>
      <c r="C667" t="s">
        <v>248</v>
      </c>
      <c r="D667" t="s">
        <v>39</v>
      </c>
      <c r="E667" t="s">
        <v>40</v>
      </c>
      <c r="F667" t="s">
        <v>51</v>
      </c>
      <c r="G667" t="s">
        <v>42</v>
      </c>
    </row>
    <row r="668" spans="1:7" x14ac:dyDescent="0.2">
      <c r="A668">
        <v>21</v>
      </c>
      <c r="B668">
        <v>63</v>
      </c>
      <c r="C668" t="s">
        <v>279</v>
      </c>
      <c r="D668" t="s">
        <v>39</v>
      </c>
      <c r="E668" t="s">
        <v>40</v>
      </c>
      <c r="F668" t="s">
        <v>41</v>
      </c>
      <c r="G668" t="s">
        <v>42</v>
      </c>
    </row>
    <row r="669" spans="1:7" x14ac:dyDescent="0.2">
      <c r="A669">
        <v>21</v>
      </c>
      <c r="B669">
        <v>63</v>
      </c>
      <c r="C669" t="s">
        <v>218</v>
      </c>
      <c r="D669" t="s">
        <v>39</v>
      </c>
      <c r="E669" t="s">
        <v>40</v>
      </c>
      <c r="F669" t="s">
        <v>41</v>
      </c>
      <c r="G669" t="s">
        <v>42</v>
      </c>
    </row>
    <row r="670" spans="1:7" x14ac:dyDescent="0.2">
      <c r="A670">
        <v>21</v>
      </c>
      <c r="B670">
        <v>63</v>
      </c>
      <c r="C670" t="s">
        <v>309</v>
      </c>
      <c r="D670" t="s">
        <v>39</v>
      </c>
      <c r="E670" t="s">
        <v>40</v>
      </c>
      <c r="F670" t="s">
        <v>41</v>
      </c>
      <c r="G670" t="s">
        <v>42</v>
      </c>
    </row>
    <row r="671" spans="1:7" x14ac:dyDescent="0.2">
      <c r="A671">
        <v>21</v>
      </c>
      <c r="B671">
        <v>63</v>
      </c>
      <c r="C671" t="s">
        <v>310</v>
      </c>
      <c r="D671" t="s">
        <v>39</v>
      </c>
      <c r="E671" t="s">
        <v>40</v>
      </c>
      <c r="F671" t="s">
        <v>41</v>
      </c>
      <c r="G671" t="s">
        <v>42</v>
      </c>
    </row>
    <row r="672" spans="1:7" x14ac:dyDescent="0.2">
      <c r="A672">
        <v>21</v>
      </c>
      <c r="B672">
        <v>63</v>
      </c>
      <c r="C672" t="s">
        <v>285</v>
      </c>
      <c r="D672" t="s">
        <v>39</v>
      </c>
      <c r="E672" t="s">
        <v>40</v>
      </c>
      <c r="F672" t="s">
        <v>41</v>
      </c>
      <c r="G672" t="s">
        <v>42</v>
      </c>
    </row>
    <row r="673" spans="1:7" x14ac:dyDescent="0.2">
      <c r="A673">
        <v>22</v>
      </c>
      <c r="B673">
        <v>63</v>
      </c>
      <c r="C673" t="s">
        <v>217</v>
      </c>
      <c r="D673" t="s">
        <v>39</v>
      </c>
      <c r="E673" t="s">
        <v>46</v>
      </c>
      <c r="F673" t="s">
        <v>51</v>
      </c>
      <c r="G673" t="s">
        <v>42</v>
      </c>
    </row>
    <row r="674" spans="1:7" x14ac:dyDescent="0.2">
      <c r="A674">
        <v>22</v>
      </c>
      <c r="B674">
        <v>63</v>
      </c>
      <c r="C674" t="s">
        <v>279</v>
      </c>
      <c r="D674" t="s">
        <v>39</v>
      </c>
      <c r="E674" t="s">
        <v>46</v>
      </c>
      <c r="F674" t="s">
        <v>41</v>
      </c>
      <c r="G674" t="s">
        <v>42</v>
      </c>
    </row>
    <row r="675" spans="1:7" x14ac:dyDescent="0.2">
      <c r="A675">
        <v>22</v>
      </c>
      <c r="B675">
        <v>63</v>
      </c>
      <c r="C675" t="s">
        <v>218</v>
      </c>
      <c r="D675" t="s">
        <v>39</v>
      </c>
      <c r="E675" t="s">
        <v>46</v>
      </c>
      <c r="F675" t="s">
        <v>41</v>
      </c>
      <c r="G675" t="s">
        <v>42</v>
      </c>
    </row>
    <row r="676" spans="1:7" x14ac:dyDescent="0.2">
      <c r="A676">
        <v>22</v>
      </c>
      <c r="B676">
        <v>63</v>
      </c>
      <c r="C676" t="s">
        <v>311</v>
      </c>
      <c r="D676" t="s">
        <v>39</v>
      </c>
      <c r="E676" t="s">
        <v>46</v>
      </c>
      <c r="F676" t="s">
        <v>41</v>
      </c>
      <c r="G676" t="s">
        <v>42</v>
      </c>
    </row>
    <row r="677" spans="1:7" x14ac:dyDescent="0.2">
      <c r="A677">
        <v>22</v>
      </c>
      <c r="B677">
        <v>63</v>
      </c>
      <c r="C677" t="s">
        <v>285</v>
      </c>
      <c r="D677" t="s">
        <v>39</v>
      </c>
      <c r="E677" t="s">
        <v>46</v>
      </c>
      <c r="F677" t="s">
        <v>41</v>
      </c>
      <c r="G677" t="s">
        <v>42</v>
      </c>
    </row>
    <row r="678" spans="1:7" x14ac:dyDescent="0.2">
      <c r="A678">
        <v>8</v>
      </c>
      <c r="B678">
        <v>64</v>
      </c>
      <c r="C678" t="s">
        <v>312</v>
      </c>
      <c r="D678" t="s">
        <v>39</v>
      </c>
      <c r="E678" t="s">
        <v>46</v>
      </c>
      <c r="F678" t="s">
        <v>47</v>
      </c>
      <c r="G678" t="s">
        <v>42</v>
      </c>
    </row>
    <row r="679" spans="1:7" x14ac:dyDescent="0.2">
      <c r="A679">
        <v>8</v>
      </c>
      <c r="B679">
        <v>64</v>
      </c>
      <c r="C679" t="s">
        <v>313</v>
      </c>
      <c r="D679" t="s">
        <v>39</v>
      </c>
      <c r="E679" t="s">
        <v>46</v>
      </c>
      <c r="F679" t="s">
        <v>47</v>
      </c>
      <c r="G679" t="s">
        <v>42</v>
      </c>
    </row>
    <row r="680" spans="1:7" x14ac:dyDescent="0.2">
      <c r="A680">
        <v>9</v>
      </c>
      <c r="B680">
        <v>64</v>
      </c>
      <c r="C680" t="s">
        <v>314</v>
      </c>
      <c r="D680" t="s">
        <v>39</v>
      </c>
      <c r="E680" t="s">
        <v>46</v>
      </c>
      <c r="F680" t="s">
        <v>47</v>
      </c>
      <c r="G680" t="s">
        <v>42</v>
      </c>
    </row>
    <row r="681" spans="1:7" x14ac:dyDescent="0.2">
      <c r="A681">
        <v>9</v>
      </c>
      <c r="B681">
        <v>64</v>
      </c>
      <c r="C681" t="s">
        <v>315</v>
      </c>
      <c r="D681" t="s">
        <v>39</v>
      </c>
      <c r="E681" t="s">
        <v>46</v>
      </c>
      <c r="F681" t="s">
        <v>47</v>
      </c>
      <c r="G681" t="s">
        <v>42</v>
      </c>
    </row>
    <row r="682" spans="1:7" x14ac:dyDescent="0.2">
      <c r="A682">
        <v>9</v>
      </c>
      <c r="B682">
        <v>64</v>
      </c>
      <c r="C682" t="s">
        <v>316</v>
      </c>
      <c r="D682" t="s">
        <v>39</v>
      </c>
      <c r="E682" t="s">
        <v>46</v>
      </c>
      <c r="F682" t="s">
        <v>47</v>
      </c>
      <c r="G682" t="s">
        <v>42</v>
      </c>
    </row>
    <row r="683" spans="1:7" x14ac:dyDescent="0.2">
      <c r="A683">
        <v>9</v>
      </c>
      <c r="B683">
        <v>64</v>
      </c>
      <c r="C683" t="s">
        <v>317</v>
      </c>
      <c r="D683" t="s">
        <v>39</v>
      </c>
      <c r="E683" t="s">
        <v>46</v>
      </c>
      <c r="F683" t="s">
        <v>47</v>
      </c>
      <c r="G683" t="s">
        <v>42</v>
      </c>
    </row>
    <row r="684" spans="1:7" x14ac:dyDescent="0.2">
      <c r="A684">
        <v>10</v>
      </c>
      <c r="B684">
        <v>64</v>
      </c>
      <c r="C684" t="s">
        <v>318</v>
      </c>
      <c r="D684" t="s">
        <v>39</v>
      </c>
      <c r="E684" t="s">
        <v>46</v>
      </c>
      <c r="F684" t="s">
        <v>47</v>
      </c>
      <c r="G684" t="s">
        <v>42</v>
      </c>
    </row>
    <row r="685" spans="1:7" x14ac:dyDescent="0.2">
      <c r="A685">
        <v>10</v>
      </c>
      <c r="B685">
        <v>64</v>
      </c>
      <c r="C685" t="s">
        <v>314</v>
      </c>
      <c r="D685" t="s">
        <v>39</v>
      </c>
      <c r="E685" t="s">
        <v>46</v>
      </c>
      <c r="F685" t="s">
        <v>47</v>
      </c>
      <c r="G685" t="s">
        <v>42</v>
      </c>
    </row>
    <row r="686" spans="1:7" x14ac:dyDescent="0.2">
      <c r="A686">
        <v>10</v>
      </c>
      <c r="B686">
        <v>64</v>
      </c>
      <c r="C686" t="s">
        <v>319</v>
      </c>
      <c r="D686" t="s">
        <v>39</v>
      </c>
      <c r="E686" t="s">
        <v>46</v>
      </c>
      <c r="F686" t="s">
        <v>47</v>
      </c>
      <c r="G686" t="s">
        <v>42</v>
      </c>
    </row>
    <row r="687" spans="1:7" x14ac:dyDescent="0.2">
      <c r="A687">
        <v>11</v>
      </c>
      <c r="B687">
        <v>64</v>
      </c>
      <c r="C687" t="s">
        <v>320</v>
      </c>
      <c r="D687" t="s">
        <v>39</v>
      </c>
      <c r="E687" t="s">
        <v>46</v>
      </c>
      <c r="F687" t="s">
        <v>41</v>
      </c>
      <c r="G687" t="s">
        <v>42</v>
      </c>
    </row>
    <row r="688" spans="1:7" x14ac:dyDescent="0.2">
      <c r="A688">
        <v>11</v>
      </c>
      <c r="B688">
        <v>64</v>
      </c>
      <c r="C688" t="s">
        <v>321</v>
      </c>
      <c r="D688" t="s">
        <v>39</v>
      </c>
      <c r="E688" t="s">
        <v>46</v>
      </c>
      <c r="F688" t="s">
        <v>41</v>
      </c>
      <c r="G688" t="s">
        <v>42</v>
      </c>
    </row>
    <row r="689" spans="1:7" x14ac:dyDescent="0.2">
      <c r="A689">
        <v>11</v>
      </c>
      <c r="B689">
        <v>64</v>
      </c>
      <c r="C689" t="s">
        <v>322</v>
      </c>
      <c r="D689" t="s">
        <v>39</v>
      </c>
      <c r="E689" t="s">
        <v>46</v>
      </c>
      <c r="F689" t="s">
        <v>41</v>
      </c>
      <c r="G689" t="s">
        <v>42</v>
      </c>
    </row>
    <row r="690" spans="1:7" x14ac:dyDescent="0.2">
      <c r="A690">
        <v>11</v>
      </c>
      <c r="B690">
        <v>64</v>
      </c>
      <c r="C690" t="s">
        <v>323</v>
      </c>
      <c r="D690" t="s">
        <v>39</v>
      </c>
      <c r="E690" t="s">
        <v>46</v>
      </c>
      <c r="F690" t="s">
        <v>47</v>
      </c>
      <c r="G690" t="s">
        <v>42</v>
      </c>
    </row>
    <row r="691" spans="1:7" x14ac:dyDescent="0.2">
      <c r="A691">
        <v>11</v>
      </c>
      <c r="B691">
        <v>64</v>
      </c>
      <c r="C691" t="s">
        <v>324</v>
      </c>
      <c r="D691" t="s">
        <v>39</v>
      </c>
      <c r="E691" t="s">
        <v>46</v>
      </c>
      <c r="F691" t="s">
        <v>47</v>
      </c>
      <c r="G691" t="s">
        <v>42</v>
      </c>
    </row>
    <row r="692" spans="1:7" x14ac:dyDescent="0.2">
      <c r="A692">
        <v>11</v>
      </c>
      <c r="B692">
        <v>64</v>
      </c>
      <c r="C692" t="s">
        <v>325</v>
      </c>
      <c r="D692" t="s">
        <v>39</v>
      </c>
      <c r="E692" t="s">
        <v>46</v>
      </c>
      <c r="F692" t="s">
        <v>47</v>
      </c>
      <c r="G692" t="s">
        <v>42</v>
      </c>
    </row>
    <row r="693" spans="1:7" x14ac:dyDescent="0.2">
      <c r="A693">
        <v>11</v>
      </c>
      <c r="B693">
        <v>64</v>
      </c>
      <c r="C693" t="s">
        <v>326</v>
      </c>
      <c r="D693" t="s">
        <v>39</v>
      </c>
      <c r="E693" t="s">
        <v>46</v>
      </c>
      <c r="F693" t="s">
        <v>47</v>
      </c>
      <c r="G693" t="s">
        <v>42</v>
      </c>
    </row>
    <row r="694" spans="1:7" x14ac:dyDescent="0.2">
      <c r="A694">
        <v>11</v>
      </c>
      <c r="B694">
        <v>64</v>
      </c>
      <c r="C694" t="s">
        <v>314</v>
      </c>
      <c r="D694" t="s">
        <v>39</v>
      </c>
      <c r="E694" t="s">
        <v>46</v>
      </c>
      <c r="F694" t="s">
        <v>47</v>
      </c>
      <c r="G694" t="s">
        <v>42</v>
      </c>
    </row>
    <row r="695" spans="1:7" x14ac:dyDescent="0.2">
      <c r="A695">
        <v>11</v>
      </c>
      <c r="B695">
        <v>64</v>
      </c>
      <c r="C695" t="s">
        <v>318</v>
      </c>
      <c r="D695" t="s">
        <v>39</v>
      </c>
      <c r="E695" t="s">
        <v>46</v>
      </c>
      <c r="F695" t="s">
        <v>47</v>
      </c>
      <c r="G695" t="s">
        <v>42</v>
      </c>
    </row>
    <row r="696" spans="1:7" x14ac:dyDescent="0.2">
      <c r="A696">
        <v>11</v>
      </c>
      <c r="B696">
        <v>64</v>
      </c>
      <c r="C696" t="s">
        <v>327</v>
      </c>
      <c r="D696" t="s">
        <v>39</v>
      </c>
      <c r="E696" t="s">
        <v>46</v>
      </c>
      <c r="F696" t="s">
        <v>47</v>
      </c>
      <c r="G696" t="s">
        <v>42</v>
      </c>
    </row>
    <row r="697" spans="1:7" x14ac:dyDescent="0.2">
      <c r="A697">
        <v>12</v>
      </c>
      <c r="B697">
        <v>64</v>
      </c>
      <c r="C697" t="s">
        <v>327</v>
      </c>
      <c r="D697" t="s">
        <v>39</v>
      </c>
      <c r="E697" t="s">
        <v>46</v>
      </c>
      <c r="F697" t="s">
        <v>47</v>
      </c>
      <c r="G697" t="s">
        <v>42</v>
      </c>
    </row>
    <row r="698" spans="1:7" x14ac:dyDescent="0.2">
      <c r="A698">
        <v>12</v>
      </c>
      <c r="B698">
        <v>64</v>
      </c>
      <c r="C698" t="s">
        <v>318</v>
      </c>
      <c r="D698" t="s">
        <v>39</v>
      </c>
      <c r="E698" t="s">
        <v>46</v>
      </c>
      <c r="F698" t="s">
        <v>47</v>
      </c>
      <c r="G698" t="s">
        <v>42</v>
      </c>
    </row>
    <row r="699" spans="1:7" x14ac:dyDescent="0.2">
      <c r="A699">
        <v>12</v>
      </c>
      <c r="B699">
        <v>64</v>
      </c>
      <c r="C699" t="s">
        <v>314</v>
      </c>
      <c r="D699" t="s">
        <v>39</v>
      </c>
      <c r="E699" t="s">
        <v>46</v>
      </c>
      <c r="F699" t="s">
        <v>47</v>
      </c>
      <c r="G699" t="s">
        <v>42</v>
      </c>
    </row>
    <row r="700" spans="1:7" x14ac:dyDescent="0.2">
      <c r="A700">
        <v>12</v>
      </c>
      <c r="B700">
        <v>64</v>
      </c>
      <c r="C700" t="s">
        <v>328</v>
      </c>
      <c r="D700" t="s">
        <v>39</v>
      </c>
      <c r="E700" t="s">
        <v>46</v>
      </c>
      <c r="F700" t="s">
        <v>47</v>
      </c>
      <c r="G700" t="s">
        <v>42</v>
      </c>
    </row>
    <row r="701" spans="1:7" x14ac:dyDescent="0.2">
      <c r="A701">
        <v>13</v>
      </c>
      <c r="B701">
        <v>64</v>
      </c>
      <c r="C701" t="s">
        <v>318</v>
      </c>
      <c r="D701" t="s">
        <v>39</v>
      </c>
      <c r="E701" t="s">
        <v>46</v>
      </c>
      <c r="F701" t="s">
        <v>47</v>
      </c>
      <c r="G701" t="s">
        <v>42</v>
      </c>
    </row>
    <row r="702" spans="1:7" x14ac:dyDescent="0.2">
      <c r="A702">
        <v>13</v>
      </c>
      <c r="B702">
        <v>64</v>
      </c>
      <c r="C702" t="s">
        <v>329</v>
      </c>
      <c r="D702" t="s">
        <v>39</v>
      </c>
      <c r="E702" t="s">
        <v>46</v>
      </c>
      <c r="F702" t="s">
        <v>47</v>
      </c>
      <c r="G702" t="s">
        <v>42</v>
      </c>
    </row>
    <row r="703" spans="1:7" x14ac:dyDescent="0.2">
      <c r="A703">
        <v>13</v>
      </c>
      <c r="B703">
        <v>64</v>
      </c>
      <c r="C703" t="s">
        <v>330</v>
      </c>
      <c r="D703" t="s">
        <v>39</v>
      </c>
      <c r="E703" t="s">
        <v>46</v>
      </c>
      <c r="F703" t="s">
        <v>47</v>
      </c>
      <c r="G703" t="s">
        <v>42</v>
      </c>
    </row>
    <row r="704" spans="1:7" x14ac:dyDescent="0.2">
      <c r="A704">
        <v>13</v>
      </c>
      <c r="B704">
        <v>64</v>
      </c>
      <c r="C704" t="s">
        <v>331</v>
      </c>
      <c r="D704" t="s">
        <v>39</v>
      </c>
      <c r="E704" t="s">
        <v>46</v>
      </c>
      <c r="F704" t="s">
        <v>47</v>
      </c>
      <c r="G704" t="s">
        <v>42</v>
      </c>
    </row>
    <row r="705" spans="1:7" x14ac:dyDescent="0.2">
      <c r="A705">
        <v>13</v>
      </c>
      <c r="B705">
        <v>64</v>
      </c>
      <c r="C705" t="s">
        <v>332</v>
      </c>
      <c r="D705" t="s">
        <v>39</v>
      </c>
      <c r="E705" t="s">
        <v>46</v>
      </c>
      <c r="F705" t="s">
        <v>47</v>
      </c>
      <c r="G705" t="s">
        <v>42</v>
      </c>
    </row>
    <row r="706" spans="1:7" x14ac:dyDescent="0.2">
      <c r="A706">
        <v>14</v>
      </c>
      <c r="B706">
        <v>64</v>
      </c>
      <c r="C706" t="s">
        <v>333</v>
      </c>
      <c r="D706" t="s">
        <v>39</v>
      </c>
      <c r="E706" t="s">
        <v>46</v>
      </c>
      <c r="F706" t="s">
        <v>47</v>
      </c>
      <c r="G706" t="s">
        <v>42</v>
      </c>
    </row>
    <row r="707" spans="1:7" x14ac:dyDescent="0.2">
      <c r="A707">
        <v>14</v>
      </c>
      <c r="B707">
        <v>64</v>
      </c>
      <c r="C707" t="s">
        <v>334</v>
      </c>
      <c r="D707" t="s">
        <v>39</v>
      </c>
      <c r="E707" t="s">
        <v>46</v>
      </c>
      <c r="F707" t="s">
        <v>47</v>
      </c>
      <c r="G707" t="s">
        <v>42</v>
      </c>
    </row>
    <row r="708" spans="1:7" x14ac:dyDescent="0.2">
      <c r="A708">
        <v>14</v>
      </c>
      <c r="B708">
        <v>64</v>
      </c>
      <c r="C708" t="s">
        <v>335</v>
      </c>
      <c r="D708" t="s">
        <v>39</v>
      </c>
      <c r="E708" t="s">
        <v>46</v>
      </c>
      <c r="F708" t="s">
        <v>47</v>
      </c>
      <c r="G708" t="s">
        <v>42</v>
      </c>
    </row>
    <row r="709" spans="1:7" x14ac:dyDescent="0.2">
      <c r="A709">
        <v>14</v>
      </c>
      <c r="B709">
        <v>64</v>
      </c>
      <c r="C709" t="s">
        <v>336</v>
      </c>
      <c r="D709" t="s">
        <v>39</v>
      </c>
      <c r="E709" t="s">
        <v>46</v>
      </c>
      <c r="F709" t="s">
        <v>47</v>
      </c>
      <c r="G709" t="s">
        <v>42</v>
      </c>
    </row>
    <row r="710" spans="1:7" x14ac:dyDescent="0.2">
      <c r="A710">
        <v>14</v>
      </c>
      <c r="B710">
        <v>64</v>
      </c>
      <c r="C710" t="s">
        <v>337</v>
      </c>
      <c r="D710" t="s">
        <v>39</v>
      </c>
      <c r="E710" t="s">
        <v>46</v>
      </c>
      <c r="F710" t="s">
        <v>47</v>
      </c>
      <c r="G710" t="s">
        <v>42</v>
      </c>
    </row>
    <row r="711" spans="1:7" x14ac:dyDescent="0.2">
      <c r="A711">
        <v>15</v>
      </c>
      <c r="B711">
        <v>64</v>
      </c>
      <c r="C711" t="s">
        <v>338</v>
      </c>
      <c r="D711" t="s">
        <v>39</v>
      </c>
      <c r="E711" t="s">
        <v>46</v>
      </c>
      <c r="F711" t="s">
        <v>41</v>
      </c>
      <c r="G711" t="s">
        <v>42</v>
      </c>
    </row>
    <row r="712" spans="1:7" x14ac:dyDescent="0.2">
      <c r="A712">
        <v>15</v>
      </c>
      <c r="B712">
        <v>64</v>
      </c>
      <c r="C712" t="s">
        <v>339</v>
      </c>
      <c r="D712" t="s">
        <v>39</v>
      </c>
      <c r="E712" t="s">
        <v>46</v>
      </c>
      <c r="F712" t="s">
        <v>47</v>
      </c>
      <c r="G712" t="s">
        <v>42</v>
      </c>
    </row>
    <row r="713" spans="1:7" x14ac:dyDescent="0.2">
      <c r="A713">
        <v>15</v>
      </c>
      <c r="B713">
        <v>64</v>
      </c>
      <c r="C713" t="s">
        <v>340</v>
      </c>
      <c r="D713" t="s">
        <v>39</v>
      </c>
      <c r="E713" t="s">
        <v>46</v>
      </c>
      <c r="F713" t="s">
        <v>47</v>
      </c>
      <c r="G713" t="s">
        <v>42</v>
      </c>
    </row>
    <row r="714" spans="1:7" x14ac:dyDescent="0.2">
      <c r="A714">
        <v>15</v>
      </c>
      <c r="B714">
        <v>64</v>
      </c>
      <c r="C714" t="s">
        <v>163</v>
      </c>
      <c r="D714" t="s">
        <v>39</v>
      </c>
      <c r="E714" t="s">
        <v>46</v>
      </c>
      <c r="F714" t="s">
        <v>47</v>
      </c>
      <c r="G714" t="s">
        <v>42</v>
      </c>
    </row>
    <row r="715" spans="1:7" x14ac:dyDescent="0.2">
      <c r="A715">
        <v>15</v>
      </c>
      <c r="B715">
        <v>64</v>
      </c>
      <c r="C715" t="s">
        <v>341</v>
      </c>
      <c r="D715" t="s">
        <v>39</v>
      </c>
      <c r="E715" t="s">
        <v>46</v>
      </c>
      <c r="F715" t="s">
        <v>47</v>
      </c>
      <c r="G715" t="s">
        <v>42</v>
      </c>
    </row>
    <row r="716" spans="1:7" x14ac:dyDescent="0.2">
      <c r="A716">
        <v>15</v>
      </c>
      <c r="B716">
        <v>64</v>
      </c>
      <c r="C716" t="s">
        <v>342</v>
      </c>
      <c r="D716" t="s">
        <v>39</v>
      </c>
      <c r="E716" t="s">
        <v>46</v>
      </c>
      <c r="F716" t="s">
        <v>41</v>
      </c>
      <c r="G716" t="s">
        <v>42</v>
      </c>
    </row>
    <row r="717" spans="1:7" x14ac:dyDescent="0.2">
      <c r="A717">
        <v>15</v>
      </c>
      <c r="B717">
        <v>64</v>
      </c>
      <c r="C717" t="s">
        <v>343</v>
      </c>
      <c r="D717" t="s">
        <v>39</v>
      </c>
      <c r="E717" t="s">
        <v>46</v>
      </c>
      <c r="F717" t="s">
        <v>47</v>
      </c>
      <c r="G717" t="s">
        <v>42</v>
      </c>
    </row>
    <row r="718" spans="1:7" x14ac:dyDescent="0.2">
      <c r="A718">
        <v>16</v>
      </c>
      <c r="B718">
        <v>64</v>
      </c>
      <c r="C718" t="s">
        <v>344</v>
      </c>
      <c r="D718" t="s">
        <v>39</v>
      </c>
      <c r="E718" t="s">
        <v>46</v>
      </c>
      <c r="F718" t="s">
        <v>47</v>
      </c>
      <c r="G718" t="s">
        <v>42</v>
      </c>
    </row>
    <row r="719" spans="1:7" x14ac:dyDescent="0.2">
      <c r="A719">
        <v>16</v>
      </c>
      <c r="B719">
        <v>64</v>
      </c>
      <c r="C719" t="s">
        <v>345</v>
      </c>
      <c r="D719" t="s">
        <v>39</v>
      </c>
      <c r="E719" t="s">
        <v>46</v>
      </c>
      <c r="F719" t="s">
        <v>47</v>
      </c>
      <c r="G719" t="s">
        <v>42</v>
      </c>
    </row>
    <row r="720" spans="1:7" x14ac:dyDescent="0.2">
      <c r="A720">
        <v>16</v>
      </c>
      <c r="B720">
        <v>64</v>
      </c>
      <c r="C720" t="s">
        <v>346</v>
      </c>
      <c r="D720" t="s">
        <v>39</v>
      </c>
      <c r="E720" t="s">
        <v>46</v>
      </c>
      <c r="F720" t="s">
        <v>47</v>
      </c>
      <c r="G720" t="s">
        <v>42</v>
      </c>
    </row>
    <row r="721" spans="1:7" x14ac:dyDescent="0.2">
      <c r="A721">
        <v>16</v>
      </c>
      <c r="B721">
        <v>64</v>
      </c>
      <c r="C721" t="s">
        <v>347</v>
      </c>
      <c r="D721" t="s">
        <v>39</v>
      </c>
      <c r="E721" t="s">
        <v>46</v>
      </c>
      <c r="F721" t="s">
        <v>47</v>
      </c>
      <c r="G721" t="s">
        <v>42</v>
      </c>
    </row>
    <row r="722" spans="1:7" x14ac:dyDescent="0.2">
      <c r="A722">
        <v>16</v>
      </c>
      <c r="B722">
        <v>64</v>
      </c>
      <c r="C722" t="s">
        <v>348</v>
      </c>
      <c r="D722" t="s">
        <v>39</v>
      </c>
      <c r="E722" t="s">
        <v>46</v>
      </c>
      <c r="F722" t="s">
        <v>47</v>
      </c>
      <c r="G722" t="s">
        <v>42</v>
      </c>
    </row>
    <row r="723" spans="1:7" x14ac:dyDescent="0.2">
      <c r="A723">
        <v>17</v>
      </c>
      <c r="B723">
        <v>64</v>
      </c>
      <c r="C723" t="s">
        <v>349</v>
      </c>
      <c r="D723" t="s">
        <v>39</v>
      </c>
      <c r="E723" t="s">
        <v>46</v>
      </c>
      <c r="F723" t="s">
        <v>47</v>
      </c>
      <c r="G723" t="s">
        <v>42</v>
      </c>
    </row>
    <row r="724" spans="1:7" x14ac:dyDescent="0.2">
      <c r="A724">
        <v>17</v>
      </c>
      <c r="B724">
        <v>64</v>
      </c>
      <c r="C724" t="s">
        <v>350</v>
      </c>
      <c r="D724" t="s">
        <v>39</v>
      </c>
      <c r="E724" t="s">
        <v>46</v>
      </c>
      <c r="F724" t="s">
        <v>47</v>
      </c>
      <c r="G724" t="s">
        <v>42</v>
      </c>
    </row>
    <row r="725" spans="1:7" x14ac:dyDescent="0.2">
      <c r="A725">
        <v>17</v>
      </c>
      <c r="B725">
        <v>64</v>
      </c>
      <c r="C725" t="s">
        <v>351</v>
      </c>
      <c r="D725" t="s">
        <v>39</v>
      </c>
      <c r="E725" t="s">
        <v>46</v>
      </c>
      <c r="F725" t="s">
        <v>47</v>
      </c>
      <c r="G725" t="s">
        <v>42</v>
      </c>
    </row>
    <row r="726" spans="1:7" x14ac:dyDescent="0.2">
      <c r="A726">
        <v>17</v>
      </c>
      <c r="B726">
        <v>64</v>
      </c>
      <c r="C726" t="s">
        <v>352</v>
      </c>
      <c r="D726" t="s">
        <v>39</v>
      </c>
      <c r="E726" t="s">
        <v>46</v>
      </c>
      <c r="F726" t="s">
        <v>47</v>
      </c>
      <c r="G726" t="s">
        <v>42</v>
      </c>
    </row>
    <row r="727" spans="1:7" x14ac:dyDescent="0.2">
      <c r="A727">
        <v>18</v>
      </c>
      <c r="B727">
        <v>64</v>
      </c>
      <c r="C727" t="s">
        <v>350</v>
      </c>
      <c r="D727" t="s">
        <v>39</v>
      </c>
      <c r="E727" t="s">
        <v>46</v>
      </c>
      <c r="F727" t="s">
        <v>47</v>
      </c>
      <c r="G727" t="s">
        <v>42</v>
      </c>
    </row>
    <row r="728" spans="1:7" x14ac:dyDescent="0.2">
      <c r="A728">
        <v>18</v>
      </c>
      <c r="B728">
        <v>64</v>
      </c>
      <c r="C728" t="s">
        <v>353</v>
      </c>
      <c r="D728" t="s">
        <v>39</v>
      </c>
      <c r="E728" t="s">
        <v>46</v>
      </c>
      <c r="F728" t="s">
        <v>47</v>
      </c>
      <c r="G728" t="s">
        <v>42</v>
      </c>
    </row>
    <row r="729" spans="1:7" x14ac:dyDescent="0.2">
      <c r="A729">
        <v>19</v>
      </c>
      <c r="B729">
        <v>64</v>
      </c>
      <c r="C729" t="s">
        <v>354</v>
      </c>
      <c r="D729" t="s">
        <v>39</v>
      </c>
      <c r="E729" t="s">
        <v>46</v>
      </c>
      <c r="F729" t="s">
        <v>47</v>
      </c>
      <c r="G729" t="s">
        <v>42</v>
      </c>
    </row>
    <row r="730" spans="1:7" x14ac:dyDescent="0.2">
      <c r="A730">
        <v>19</v>
      </c>
      <c r="B730">
        <v>64</v>
      </c>
      <c r="C730" t="s">
        <v>355</v>
      </c>
      <c r="D730" t="s">
        <v>39</v>
      </c>
      <c r="E730" t="s">
        <v>46</v>
      </c>
      <c r="F730" t="s">
        <v>47</v>
      </c>
      <c r="G730" t="s">
        <v>42</v>
      </c>
    </row>
    <row r="731" spans="1:7" x14ac:dyDescent="0.2">
      <c r="A731">
        <v>19</v>
      </c>
      <c r="B731">
        <v>64</v>
      </c>
      <c r="C731" t="s">
        <v>356</v>
      </c>
      <c r="D731" t="s">
        <v>39</v>
      </c>
      <c r="E731" t="s">
        <v>46</v>
      </c>
      <c r="F731" t="s">
        <v>47</v>
      </c>
      <c r="G731" t="s">
        <v>42</v>
      </c>
    </row>
    <row r="732" spans="1:7" x14ac:dyDescent="0.2">
      <c r="A732">
        <v>19</v>
      </c>
      <c r="B732">
        <v>64</v>
      </c>
      <c r="C732" t="s">
        <v>357</v>
      </c>
      <c r="D732" t="s">
        <v>39</v>
      </c>
      <c r="E732" t="s">
        <v>46</v>
      </c>
      <c r="F732" t="s">
        <v>47</v>
      </c>
      <c r="G732" t="s">
        <v>42</v>
      </c>
    </row>
    <row r="733" spans="1:7" x14ac:dyDescent="0.2">
      <c r="A733">
        <v>19</v>
      </c>
      <c r="B733">
        <v>64</v>
      </c>
      <c r="C733" t="s">
        <v>358</v>
      </c>
      <c r="D733" t="s">
        <v>39</v>
      </c>
      <c r="E733" t="s">
        <v>46</v>
      </c>
      <c r="F733" t="s">
        <v>47</v>
      </c>
      <c r="G733" t="s">
        <v>42</v>
      </c>
    </row>
    <row r="734" spans="1:7" x14ac:dyDescent="0.2">
      <c r="A734">
        <v>20</v>
      </c>
      <c r="B734">
        <v>64</v>
      </c>
      <c r="C734" t="s">
        <v>359</v>
      </c>
      <c r="D734" t="s">
        <v>39</v>
      </c>
      <c r="E734" t="s">
        <v>46</v>
      </c>
      <c r="F734" t="s">
        <v>47</v>
      </c>
      <c r="G734" t="s">
        <v>42</v>
      </c>
    </row>
    <row r="735" spans="1:7" x14ac:dyDescent="0.2">
      <c r="A735">
        <v>20</v>
      </c>
      <c r="B735">
        <v>64</v>
      </c>
      <c r="C735" t="s">
        <v>360</v>
      </c>
      <c r="D735" t="s">
        <v>39</v>
      </c>
      <c r="E735" t="s">
        <v>46</v>
      </c>
      <c r="F735" t="s">
        <v>47</v>
      </c>
      <c r="G735" t="s">
        <v>42</v>
      </c>
    </row>
    <row r="736" spans="1:7" x14ac:dyDescent="0.2">
      <c r="A736">
        <v>20</v>
      </c>
      <c r="B736">
        <v>64</v>
      </c>
      <c r="C736" t="s">
        <v>361</v>
      </c>
      <c r="D736" t="s">
        <v>39</v>
      </c>
      <c r="E736" t="s">
        <v>46</v>
      </c>
      <c r="F736" t="s">
        <v>47</v>
      </c>
      <c r="G736" t="s">
        <v>42</v>
      </c>
    </row>
    <row r="737" spans="1:7" x14ac:dyDescent="0.2">
      <c r="A737">
        <v>20</v>
      </c>
      <c r="B737">
        <v>64</v>
      </c>
      <c r="C737" t="s">
        <v>362</v>
      </c>
      <c r="D737" t="s">
        <v>39</v>
      </c>
      <c r="E737" t="s">
        <v>46</v>
      </c>
      <c r="F737" t="s">
        <v>47</v>
      </c>
      <c r="G737" t="s">
        <v>42</v>
      </c>
    </row>
    <row r="738" spans="1:7" x14ac:dyDescent="0.2">
      <c r="A738">
        <v>20</v>
      </c>
      <c r="B738">
        <v>64</v>
      </c>
      <c r="C738" t="s">
        <v>363</v>
      </c>
      <c r="D738" t="s">
        <v>39</v>
      </c>
      <c r="E738" t="s">
        <v>46</v>
      </c>
      <c r="F738" t="s">
        <v>47</v>
      </c>
      <c r="G738" t="s">
        <v>42</v>
      </c>
    </row>
    <row r="739" spans="1:7" x14ac:dyDescent="0.2">
      <c r="A739">
        <v>20</v>
      </c>
      <c r="B739">
        <v>64</v>
      </c>
      <c r="C739" t="s">
        <v>355</v>
      </c>
      <c r="D739" t="s">
        <v>39</v>
      </c>
      <c r="E739" t="s">
        <v>46</v>
      </c>
      <c r="F739" t="s">
        <v>47</v>
      </c>
      <c r="G739" t="s">
        <v>42</v>
      </c>
    </row>
    <row r="740" spans="1:7" x14ac:dyDescent="0.2">
      <c r="A740">
        <v>21</v>
      </c>
      <c r="B740">
        <v>64</v>
      </c>
      <c r="C740" t="s">
        <v>364</v>
      </c>
      <c r="D740" t="s">
        <v>39</v>
      </c>
      <c r="E740" t="s">
        <v>46</v>
      </c>
      <c r="F740" t="s">
        <v>47</v>
      </c>
      <c r="G740" t="s">
        <v>42</v>
      </c>
    </row>
    <row r="741" spans="1:7" x14ac:dyDescent="0.2">
      <c r="A741">
        <v>21</v>
      </c>
      <c r="B741">
        <v>64</v>
      </c>
      <c r="C741" t="s">
        <v>365</v>
      </c>
      <c r="D741" t="s">
        <v>39</v>
      </c>
      <c r="E741" t="s">
        <v>46</v>
      </c>
      <c r="F741" t="s">
        <v>47</v>
      </c>
      <c r="G741" t="s">
        <v>42</v>
      </c>
    </row>
    <row r="742" spans="1:7" x14ac:dyDescent="0.2">
      <c r="A742">
        <v>21</v>
      </c>
      <c r="B742">
        <v>64</v>
      </c>
      <c r="C742" t="s">
        <v>362</v>
      </c>
      <c r="D742" t="s">
        <v>39</v>
      </c>
      <c r="E742" t="s">
        <v>46</v>
      </c>
      <c r="F742" t="s">
        <v>51</v>
      </c>
      <c r="G742" t="s">
        <v>42</v>
      </c>
    </row>
    <row r="743" spans="1:7" x14ac:dyDescent="0.2">
      <c r="A743">
        <v>21</v>
      </c>
      <c r="B743">
        <v>64</v>
      </c>
      <c r="C743" t="s">
        <v>319</v>
      </c>
      <c r="D743" t="s">
        <v>39</v>
      </c>
      <c r="E743" t="s">
        <v>46</v>
      </c>
      <c r="F743" t="s">
        <v>47</v>
      </c>
      <c r="G743" t="s">
        <v>42</v>
      </c>
    </row>
    <row r="744" spans="1:7" x14ac:dyDescent="0.2">
      <c r="A744">
        <v>21</v>
      </c>
      <c r="B744">
        <v>64</v>
      </c>
      <c r="C744" t="s">
        <v>366</v>
      </c>
      <c r="D744" t="s">
        <v>39</v>
      </c>
      <c r="E744" t="s">
        <v>46</v>
      </c>
      <c r="F744" t="s">
        <v>47</v>
      </c>
      <c r="G744" t="s">
        <v>42</v>
      </c>
    </row>
    <row r="745" spans="1:7" x14ac:dyDescent="0.2">
      <c r="A745">
        <v>21</v>
      </c>
      <c r="B745">
        <v>64</v>
      </c>
      <c r="C745" t="s">
        <v>367</v>
      </c>
      <c r="D745" t="s">
        <v>39</v>
      </c>
      <c r="E745" t="s">
        <v>46</v>
      </c>
      <c r="F745" t="s">
        <v>47</v>
      </c>
      <c r="G745" t="s">
        <v>42</v>
      </c>
    </row>
    <row r="746" spans="1:7" x14ac:dyDescent="0.2">
      <c r="A746">
        <v>22</v>
      </c>
      <c r="B746">
        <v>64</v>
      </c>
      <c r="C746" t="s">
        <v>364</v>
      </c>
      <c r="D746" t="s">
        <v>39</v>
      </c>
      <c r="E746" t="s">
        <v>46</v>
      </c>
      <c r="F746" t="s">
        <v>47</v>
      </c>
      <c r="G746" t="s">
        <v>42</v>
      </c>
    </row>
    <row r="747" spans="1:7" x14ac:dyDescent="0.2">
      <c r="A747">
        <v>22</v>
      </c>
      <c r="B747">
        <v>64</v>
      </c>
      <c r="C747" t="s">
        <v>368</v>
      </c>
      <c r="D747" t="s">
        <v>39</v>
      </c>
      <c r="E747" t="s">
        <v>46</v>
      </c>
      <c r="F747" t="s">
        <v>47</v>
      </c>
      <c r="G747" t="s">
        <v>42</v>
      </c>
    </row>
    <row r="748" spans="1:7" x14ac:dyDescent="0.2">
      <c r="A748">
        <v>22</v>
      </c>
      <c r="B748">
        <v>64</v>
      </c>
      <c r="C748" t="s">
        <v>369</v>
      </c>
      <c r="D748" t="s">
        <v>39</v>
      </c>
      <c r="E748" t="s">
        <v>46</v>
      </c>
      <c r="F748" t="s">
        <v>47</v>
      </c>
      <c r="G748" t="s">
        <v>42</v>
      </c>
    </row>
    <row r="749" spans="1:7" x14ac:dyDescent="0.2">
      <c r="A749">
        <v>22</v>
      </c>
      <c r="B749">
        <v>64</v>
      </c>
      <c r="C749" t="s">
        <v>370</v>
      </c>
      <c r="D749" t="s">
        <v>39</v>
      </c>
      <c r="E749" t="s">
        <v>46</v>
      </c>
      <c r="F749" t="s">
        <v>47</v>
      </c>
      <c r="G749" t="s">
        <v>42</v>
      </c>
    </row>
    <row r="750" spans="1:7" x14ac:dyDescent="0.2">
      <c r="A750">
        <v>22</v>
      </c>
      <c r="B750">
        <v>64</v>
      </c>
      <c r="C750" t="s">
        <v>371</v>
      </c>
      <c r="D750" t="s">
        <v>39</v>
      </c>
      <c r="E750" t="s">
        <v>46</v>
      </c>
      <c r="F750" t="s">
        <v>47</v>
      </c>
      <c r="G750" t="s">
        <v>42</v>
      </c>
    </row>
    <row r="751" spans="1:7" x14ac:dyDescent="0.2">
      <c r="A751">
        <v>22</v>
      </c>
      <c r="B751">
        <v>64</v>
      </c>
      <c r="C751" t="s">
        <v>372</v>
      </c>
      <c r="D751" t="s">
        <v>39</v>
      </c>
      <c r="E751" t="s">
        <v>46</v>
      </c>
      <c r="F751" t="s">
        <v>47</v>
      </c>
      <c r="G751" t="s">
        <v>42</v>
      </c>
    </row>
    <row r="752" spans="1:7" x14ac:dyDescent="0.2">
      <c r="A752">
        <v>7</v>
      </c>
      <c r="B752">
        <v>65</v>
      </c>
      <c r="C752" t="s">
        <v>317</v>
      </c>
      <c r="D752" t="s">
        <v>39</v>
      </c>
      <c r="E752" t="s">
        <v>40</v>
      </c>
      <c r="F752" t="s">
        <v>41</v>
      </c>
      <c r="G752" t="s">
        <v>42</v>
      </c>
    </row>
    <row r="753" spans="1:7" x14ac:dyDescent="0.2">
      <c r="A753">
        <v>7</v>
      </c>
      <c r="B753">
        <v>65</v>
      </c>
      <c r="C753" t="s">
        <v>373</v>
      </c>
      <c r="D753" t="s">
        <v>39</v>
      </c>
      <c r="E753" t="s">
        <v>46</v>
      </c>
      <c r="F753" t="s">
        <v>41</v>
      </c>
      <c r="G753" t="s">
        <v>42</v>
      </c>
    </row>
    <row r="754" spans="1:7" x14ac:dyDescent="0.2">
      <c r="A754">
        <v>8</v>
      </c>
      <c r="B754">
        <v>65</v>
      </c>
      <c r="C754" t="s">
        <v>317</v>
      </c>
      <c r="D754" t="s">
        <v>39</v>
      </c>
      <c r="E754" t="s">
        <v>40</v>
      </c>
      <c r="F754" t="s">
        <v>41</v>
      </c>
      <c r="G754" t="s">
        <v>42</v>
      </c>
    </row>
    <row r="755" spans="1:7" x14ac:dyDescent="0.2">
      <c r="A755">
        <v>8</v>
      </c>
      <c r="B755">
        <v>65</v>
      </c>
      <c r="C755" t="s">
        <v>373</v>
      </c>
      <c r="D755" t="s">
        <v>39</v>
      </c>
      <c r="E755" t="s">
        <v>40</v>
      </c>
      <c r="F755" t="s">
        <v>41</v>
      </c>
      <c r="G755" t="s">
        <v>42</v>
      </c>
    </row>
    <row r="756" spans="1:7" x14ac:dyDescent="0.2">
      <c r="A756">
        <v>9</v>
      </c>
      <c r="B756">
        <v>65</v>
      </c>
      <c r="C756" t="s">
        <v>320</v>
      </c>
      <c r="D756" t="s">
        <v>39</v>
      </c>
      <c r="E756" t="s">
        <v>40</v>
      </c>
      <c r="F756" t="s">
        <v>41</v>
      </c>
      <c r="G756" t="s">
        <v>42</v>
      </c>
    </row>
    <row r="757" spans="1:7" x14ac:dyDescent="0.2">
      <c r="A757">
        <v>9</v>
      </c>
      <c r="B757">
        <v>65</v>
      </c>
      <c r="C757" t="s">
        <v>374</v>
      </c>
      <c r="D757" t="s">
        <v>39</v>
      </c>
      <c r="E757" t="s">
        <v>40</v>
      </c>
      <c r="F757" t="s">
        <v>41</v>
      </c>
      <c r="G757" t="s">
        <v>42</v>
      </c>
    </row>
    <row r="758" spans="1:7" x14ac:dyDescent="0.2">
      <c r="A758">
        <v>9</v>
      </c>
      <c r="B758">
        <v>65</v>
      </c>
      <c r="C758" t="s">
        <v>375</v>
      </c>
      <c r="D758" t="s">
        <v>39</v>
      </c>
      <c r="E758" t="s">
        <v>40</v>
      </c>
      <c r="F758" t="s">
        <v>41</v>
      </c>
      <c r="G758" t="s">
        <v>42</v>
      </c>
    </row>
    <row r="759" spans="1:7" x14ac:dyDescent="0.2">
      <c r="A759">
        <v>9</v>
      </c>
      <c r="B759">
        <v>65</v>
      </c>
      <c r="C759" t="s">
        <v>376</v>
      </c>
      <c r="D759" t="s">
        <v>39</v>
      </c>
      <c r="E759" t="s">
        <v>40</v>
      </c>
      <c r="F759" t="s">
        <v>41</v>
      </c>
      <c r="G759" t="s">
        <v>42</v>
      </c>
    </row>
    <row r="760" spans="1:7" x14ac:dyDescent="0.2">
      <c r="A760">
        <v>9</v>
      </c>
      <c r="B760">
        <v>65</v>
      </c>
      <c r="C760" t="s">
        <v>377</v>
      </c>
      <c r="D760" t="s">
        <v>39</v>
      </c>
      <c r="E760" t="s">
        <v>40</v>
      </c>
      <c r="F760" t="s">
        <v>41</v>
      </c>
      <c r="G760" t="s">
        <v>42</v>
      </c>
    </row>
    <row r="761" spans="1:7" x14ac:dyDescent="0.2">
      <c r="A761">
        <v>9</v>
      </c>
      <c r="B761">
        <v>65</v>
      </c>
      <c r="C761" t="s">
        <v>373</v>
      </c>
      <c r="D761" t="s">
        <v>39</v>
      </c>
      <c r="E761" t="s">
        <v>40</v>
      </c>
      <c r="F761" t="s">
        <v>41</v>
      </c>
      <c r="G761" t="s">
        <v>42</v>
      </c>
    </row>
    <row r="762" spans="1:7" x14ac:dyDescent="0.2">
      <c r="A762">
        <v>9</v>
      </c>
      <c r="B762">
        <v>65</v>
      </c>
      <c r="C762" t="s">
        <v>378</v>
      </c>
      <c r="D762" t="s">
        <v>39</v>
      </c>
      <c r="E762" t="s">
        <v>40</v>
      </c>
      <c r="F762" t="s">
        <v>41</v>
      </c>
      <c r="G762" t="s">
        <v>42</v>
      </c>
    </row>
    <row r="763" spans="1:7" x14ac:dyDescent="0.2">
      <c r="A763">
        <v>9</v>
      </c>
      <c r="B763">
        <v>65</v>
      </c>
      <c r="C763" t="s">
        <v>379</v>
      </c>
      <c r="D763" t="s">
        <v>39</v>
      </c>
      <c r="E763" t="s">
        <v>40</v>
      </c>
      <c r="F763" t="s">
        <v>41</v>
      </c>
      <c r="G763" t="s">
        <v>42</v>
      </c>
    </row>
    <row r="764" spans="1:7" x14ac:dyDescent="0.2">
      <c r="A764">
        <v>9</v>
      </c>
      <c r="B764">
        <v>65</v>
      </c>
      <c r="C764" t="s">
        <v>380</v>
      </c>
      <c r="D764" t="s">
        <v>39</v>
      </c>
      <c r="E764" t="s">
        <v>40</v>
      </c>
      <c r="F764" t="s">
        <v>41</v>
      </c>
      <c r="G764" t="s">
        <v>42</v>
      </c>
    </row>
    <row r="765" spans="1:7" x14ac:dyDescent="0.2">
      <c r="A765">
        <v>10</v>
      </c>
      <c r="B765">
        <v>65</v>
      </c>
      <c r="C765" t="s">
        <v>381</v>
      </c>
      <c r="D765" t="s">
        <v>39</v>
      </c>
      <c r="E765" t="s">
        <v>46</v>
      </c>
      <c r="F765" t="s">
        <v>51</v>
      </c>
      <c r="G765" t="s">
        <v>42</v>
      </c>
    </row>
    <row r="766" spans="1:7" x14ac:dyDescent="0.2">
      <c r="A766">
        <v>10</v>
      </c>
      <c r="B766">
        <v>65</v>
      </c>
      <c r="C766" t="s">
        <v>321</v>
      </c>
      <c r="D766" t="s">
        <v>39</v>
      </c>
      <c r="E766" t="s">
        <v>46</v>
      </c>
      <c r="F766" t="s">
        <v>51</v>
      </c>
      <c r="G766" t="s">
        <v>42</v>
      </c>
    </row>
    <row r="767" spans="1:7" x14ac:dyDescent="0.2">
      <c r="A767">
        <v>10</v>
      </c>
      <c r="B767">
        <v>65</v>
      </c>
      <c r="C767" t="s">
        <v>382</v>
      </c>
      <c r="D767" t="s">
        <v>39</v>
      </c>
      <c r="E767" t="s">
        <v>46</v>
      </c>
      <c r="F767" t="s">
        <v>51</v>
      </c>
      <c r="G767" t="s">
        <v>42</v>
      </c>
    </row>
    <row r="768" spans="1:7" x14ac:dyDescent="0.2">
      <c r="A768">
        <v>10</v>
      </c>
      <c r="B768">
        <v>65</v>
      </c>
      <c r="C768" t="s">
        <v>322</v>
      </c>
      <c r="D768" t="s">
        <v>39</v>
      </c>
      <c r="E768" t="s">
        <v>46</v>
      </c>
      <c r="F768" t="s">
        <v>47</v>
      </c>
      <c r="G768" t="s">
        <v>42</v>
      </c>
    </row>
    <row r="769" spans="1:7" x14ac:dyDescent="0.2">
      <c r="A769">
        <v>10</v>
      </c>
      <c r="B769">
        <v>65</v>
      </c>
      <c r="C769" t="s">
        <v>320</v>
      </c>
      <c r="D769" t="s">
        <v>39</v>
      </c>
      <c r="E769" t="s">
        <v>46</v>
      </c>
      <c r="F769" t="s">
        <v>51</v>
      </c>
      <c r="G769" t="s">
        <v>42</v>
      </c>
    </row>
    <row r="770" spans="1:7" x14ac:dyDescent="0.2">
      <c r="A770">
        <v>10</v>
      </c>
      <c r="B770">
        <v>65</v>
      </c>
      <c r="C770" t="s">
        <v>383</v>
      </c>
      <c r="D770" t="s">
        <v>39</v>
      </c>
      <c r="E770" t="s">
        <v>46</v>
      </c>
      <c r="F770" t="s">
        <v>47</v>
      </c>
      <c r="G770" t="s">
        <v>42</v>
      </c>
    </row>
    <row r="771" spans="1:7" x14ac:dyDescent="0.2">
      <c r="A771">
        <v>10</v>
      </c>
      <c r="B771">
        <v>65</v>
      </c>
      <c r="C771" t="s">
        <v>384</v>
      </c>
      <c r="D771" t="s">
        <v>39</v>
      </c>
      <c r="E771" t="s">
        <v>46</v>
      </c>
      <c r="F771" t="s">
        <v>51</v>
      </c>
      <c r="G771" t="s">
        <v>42</v>
      </c>
    </row>
    <row r="772" spans="1:7" x14ac:dyDescent="0.2">
      <c r="A772">
        <v>10</v>
      </c>
      <c r="B772">
        <v>65</v>
      </c>
      <c r="C772" t="s">
        <v>385</v>
      </c>
      <c r="D772" t="s">
        <v>39</v>
      </c>
      <c r="E772" t="s">
        <v>46</v>
      </c>
      <c r="F772" t="s">
        <v>51</v>
      </c>
      <c r="G772" t="s">
        <v>42</v>
      </c>
    </row>
    <row r="773" spans="1:7" x14ac:dyDescent="0.2">
      <c r="A773">
        <v>10</v>
      </c>
      <c r="B773">
        <v>65</v>
      </c>
      <c r="C773" t="s">
        <v>375</v>
      </c>
      <c r="D773" t="s">
        <v>39</v>
      </c>
      <c r="E773" t="s">
        <v>46</v>
      </c>
      <c r="F773" t="s">
        <v>51</v>
      </c>
      <c r="G773" t="s">
        <v>42</v>
      </c>
    </row>
    <row r="774" spans="1:7" x14ac:dyDescent="0.2">
      <c r="A774">
        <v>10</v>
      </c>
      <c r="B774">
        <v>65</v>
      </c>
      <c r="C774" t="s">
        <v>376</v>
      </c>
      <c r="D774" t="s">
        <v>39</v>
      </c>
      <c r="E774" t="s">
        <v>46</v>
      </c>
      <c r="F774" t="s">
        <v>51</v>
      </c>
      <c r="G774" t="s">
        <v>42</v>
      </c>
    </row>
    <row r="775" spans="1:7" x14ac:dyDescent="0.2">
      <c r="A775">
        <v>10</v>
      </c>
      <c r="B775">
        <v>65</v>
      </c>
      <c r="C775" t="s">
        <v>386</v>
      </c>
      <c r="D775" t="s">
        <v>39</v>
      </c>
      <c r="E775" t="s">
        <v>46</v>
      </c>
      <c r="F775" t="s">
        <v>51</v>
      </c>
      <c r="G775" t="s">
        <v>42</v>
      </c>
    </row>
    <row r="776" spans="1:7" x14ac:dyDescent="0.2">
      <c r="A776">
        <v>10</v>
      </c>
      <c r="B776">
        <v>65</v>
      </c>
      <c r="C776" t="s">
        <v>387</v>
      </c>
      <c r="D776" t="s">
        <v>39</v>
      </c>
      <c r="E776" t="s">
        <v>46</v>
      </c>
      <c r="F776" t="s">
        <v>51</v>
      </c>
      <c r="G776" t="s">
        <v>42</v>
      </c>
    </row>
    <row r="777" spans="1:7" x14ac:dyDescent="0.2">
      <c r="A777">
        <v>10</v>
      </c>
      <c r="B777">
        <v>65</v>
      </c>
      <c r="C777" t="s">
        <v>388</v>
      </c>
      <c r="D777" t="s">
        <v>39</v>
      </c>
      <c r="E777" t="s">
        <v>46</v>
      </c>
      <c r="F777" t="s">
        <v>51</v>
      </c>
      <c r="G777" t="s">
        <v>42</v>
      </c>
    </row>
    <row r="778" spans="1:7" x14ac:dyDescent="0.2">
      <c r="A778">
        <v>10</v>
      </c>
      <c r="B778">
        <v>65</v>
      </c>
      <c r="C778" t="s">
        <v>373</v>
      </c>
      <c r="D778" t="s">
        <v>39</v>
      </c>
      <c r="E778" t="s">
        <v>46</v>
      </c>
      <c r="F778" t="s">
        <v>51</v>
      </c>
      <c r="G778" t="s">
        <v>42</v>
      </c>
    </row>
    <row r="779" spans="1:7" x14ac:dyDescent="0.2">
      <c r="A779">
        <v>11</v>
      </c>
      <c r="B779">
        <v>65</v>
      </c>
      <c r="C779" t="s">
        <v>389</v>
      </c>
      <c r="D779" t="s">
        <v>39</v>
      </c>
      <c r="E779" t="s">
        <v>46</v>
      </c>
      <c r="F779" t="s">
        <v>41</v>
      </c>
      <c r="G779" t="s">
        <v>42</v>
      </c>
    </row>
    <row r="780" spans="1:7" x14ac:dyDescent="0.2">
      <c r="A780">
        <v>11</v>
      </c>
      <c r="B780">
        <v>65</v>
      </c>
      <c r="C780" t="s">
        <v>388</v>
      </c>
      <c r="D780" t="s">
        <v>39</v>
      </c>
      <c r="E780" t="s">
        <v>46</v>
      </c>
      <c r="F780" t="s">
        <v>41</v>
      </c>
      <c r="G780" t="s">
        <v>42</v>
      </c>
    </row>
    <row r="781" spans="1:7" x14ac:dyDescent="0.2">
      <c r="A781">
        <v>11</v>
      </c>
      <c r="B781">
        <v>65</v>
      </c>
      <c r="C781" t="s">
        <v>390</v>
      </c>
      <c r="D781" t="s">
        <v>39</v>
      </c>
      <c r="E781" t="s">
        <v>46</v>
      </c>
      <c r="F781" t="s">
        <v>41</v>
      </c>
      <c r="G781" t="s">
        <v>42</v>
      </c>
    </row>
    <row r="782" spans="1:7" x14ac:dyDescent="0.2">
      <c r="A782">
        <v>11</v>
      </c>
      <c r="B782">
        <v>65</v>
      </c>
      <c r="C782" t="s">
        <v>391</v>
      </c>
      <c r="D782" t="s">
        <v>39</v>
      </c>
      <c r="E782" t="s">
        <v>46</v>
      </c>
      <c r="F782" t="s">
        <v>41</v>
      </c>
      <c r="G782" t="s">
        <v>42</v>
      </c>
    </row>
    <row r="783" spans="1:7" x14ac:dyDescent="0.2">
      <c r="A783">
        <v>11</v>
      </c>
      <c r="B783">
        <v>65</v>
      </c>
      <c r="C783" t="s">
        <v>376</v>
      </c>
      <c r="D783" t="s">
        <v>39</v>
      </c>
      <c r="E783" t="s">
        <v>46</v>
      </c>
      <c r="F783" t="s">
        <v>41</v>
      </c>
      <c r="G783" t="s">
        <v>42</v>
      </c>
    </row>
    <row r="784" spans="1:7" x14ac:dyDescent="0.2">
      <c r="A784">
        <v>11</v>
      </c>
      <c r="B784">
        <v>65</v>
      </c>
      <c r="C784" t="s">
        <v>375</v>
      </c>
      <c r="D784" t="s">
        <v>39</v>
      </c>
      <c r="E784" t="s">
        <v>46</v>
      </c>
      <c r="F784" t="s">
        <v>41</v>
      </c>
      <c r="G784" t="s">
        <v>42</v>
      </c>
    </row>
    <row r="785" spans="1:7" x14ac:dyDescent="0.2">
      <c r="A785">
        <v>11</v>
      </c>
      <c r="B785">
        <v>65</v>
      </c>
      <c r="C785" t="s">
        <v>392</v>
      </c>
      <c r="D785" t="s">
        <v>39</v>
      </c>
      <c r="E785" t="s">
        <v>46</v>
      </c>
      <c r="F785" t="s">
        <v>41</v>
      </c>
      <c r="G785" t="s">
        <v>42</v>
      </c>
    </row>
    <row r="786" spans="1:7" x14ac:dyDescent="0.2">
      <c r="A786">
        <v>11</v>
      </c>
      <c r="B786">
        <v>65</v>
      </c>
      <c r="C786" t="s">
        <v>393</v>
      </c>
      <c r="D786" t="s">
        <v>39</v>
      </c>
      <c r="E786" t="s">
        <v>46</v>
      </c>
      <c r="F786" t="s">
        <v>41</v>
      </c>
      <c r="G786" t="s">
        <v>42</v>
      </c>
    </row>
    <row r="787" spans="1:7" x14ac:dyDescent="0.2">
      <c r="A787">
        <v>12</v>
      </c>
      <c r="B787">
        <v>65</v>
      </c>
      <c r="C787" t="s">
        <v>322</v>
      </c>
      <c r="D787" t="s">
        <v>39</v>
      </c>
      <c r="E787" t="s">
        <v>46</v>
      </c>
      <c r="F787" t="s">
        <v>51</v>
      </c>
      <c r="G787" t="s">
        <v>42</v>
      </c>
    </row>
    <row r="788" spans="1:7" x14ac:dyDescent="0.2">
      <c r="A788">
        <v>12</v>
      </c>
      <c r="B788">
        <v>65</v>
      </c>
      <c r="C788" t="s">
        <v>321</v>
      </c>
      <c r="D788" t="s">
        <v>39</v>
      </c>
      <c r="E788" t="s">
        <v>46</v>
      </c>
      <c r="F788" t="s">
        <v>51</v>
      </c>
      <c r="G788" t="s">
        <v>42</v>
      </c>
    </row>
    <row r="789" spans="1:7" x14ac:dyDescent="0.2">
      <c r="A789">
        <v>12</v>
      </c>
      <c r="B789">
        <v>65</v>
      </c>
      <c r="C789" t="s">
        <v>320</v>
      </c>
      <c r="D789" t="s">
        <v>39</v>
      </c>
      <c r="E789" t="s">
        <v>46</v>
      </c>
      <c r="F789" t="s">
        <v>51</v>
      </c>
      <c r="G789" t="s">
        <v>42</v>
      </c>
    </row>
    <row r="790" spans="1:7" x14ac:dyDescent="0.2">
      <c r="A790">
        <v>12</v>
      </c>
      <c r="B790">
        <v>65</v>
      </c>
      <c r="C790" t="s">
        <v>394</v>
      </c>
      <c r="D790" t="s">
        <v>39</v>
      </c>
      <c r="E790" t="s">
        <v>46</v>
      </c>
      <c r="F790" t="s">
        <v>47</v>
      </c>
      <c r="G790" t="s">
        <v>42</v>
      </c>
    </row>
    <row r="791" spans="1:7" x14ac:dyDescent="0.2">
      <c r="A791">
        <v>12</v>
      </c>
      <c r="B791">
        <v>65</v>
      </c>
      <c r="C791" t="s">
        <v>395</v>
      </c>
      <c r="D791" t="s">
        <v>39</v>
      </c>
      <c r="E791" t="s">
        <v>46</v>
      </c>
      <c r="F791" t="s">
        <v>51</v>
      </c>
      <c r="G791" t="s">
        <v>42</v>
      </c>
    </row>
    <row r="792" spans="1:7" x14ac:dyDescent="0.2">
      <c r="A792">
        <v>12</v>
      </c>
      <c r="B792">
        <v>65</v>
      </c>
      <c r="C792" t="s">
        <v>375</v>
      </c>
      <c r="D792" t="s">
        <v>39</v>
      </c>
      <c r="E792" t="s">
        <v>46</v>
      </c>
      <c r="F792" t="s">
        <v>51</v>
      </c>
      <c r="G792" t="s">
        <v>42</v>
      </c>
    </row>
    <row r="793" spans="1:7" x14ac:dyDescent="0.2">
      <c r="A793">
        <v>12</v>
      </c>
      <c r="B793">
        <v>65</v>
      </c>
      <c r="C793" t="s">
        <v>376</v>
      </c>
      <c r="D793" t="s">
        <v>39</v>
      </c>
      <c r="E793" t="s">
        <v>46</v>
      </c>
      <c r="F793" t="s">
        <v>51</v>
      </c>
      <c r="G793" t="s">
        <v>42</v>
      </c>
    </row>
    <row r="794" spans="1:7" x14ac:dyDescent="0.2">
      <c r="A794">
        <v>12</v>
      </c>
      <c r="B794">
        <v>65</v>
      </c>
      <c r="C794" t="s">
        <v>386</v>
      </c>
      <c r="D794" t="s">
        <v>39</v>
      </c>
      <c r="E794" t="s">
        <v>46</v>
      </c>
      <c r="F794" t="s">
        <v>51</v>
      </c>
      <c r="G794" t="s">
        <v>42</v>
      </c>
    </row>
    <row r="795" spans="1:7" x14ac:dyDescent="0.2">
      <c r="A795">
        <v>12</v>
      </c>
      <c r="B795">
        <v>65</v>
      </c>
      <c r="C795" t="s">
        <v>388</v>
      </c>
      <c r="D795" t="s">
        <v>39</v>
      </c>
      <c r="E795" t="s">
        <v>46</v>
      </c>
      <c r="F795" t="s">
        <v>51</v>
      </c>
      <c r="G795" t="s">
        <v>42</v>
      </c>
    </row>
    <row r="796" spans="1:7" x14ac:dyDescent="0.2">
      <c r="A796">
        <v>12</v>
      </c>
      <c r="B796">
        <v>65</v>
      </c>
      <c r="C796" t="s">
        <v>373</v>
      </c>
      <c r="D796" t="s">
        <v>39</v>
      </c>
      <c r="E796" t="s">
        <v>46</v>
      </c>
      <c r="F796" t="s">
        <v>51</v>
      </c>
      <c r="G796" t="s">
        <v>42</v>
      </c>
    </row>
    <row r="797" spans="1:7" x14ac:dyDescent="0.2">
      <c r="A797">
        <v>12</v>
      </c>
      <c r="B797">
        <v>65</v>
      </c>
      <c r="C797" t="s">
        <v>396</v>
      </c>
      <c r="D797" t="s">
        <v>39</v>
      </c>
      <c r="E797" t="s">
        <v>46</v>
      </c>
      <c r="F797" t="s">
        <v>51</v>
      </c>
      <c r="G797" t="s">
        <v>42</v>
      </c>
    </row>
    <row r="798" spans="1:7" x14ac:dyDescent="0.2">
      <c r="A798">
        <v>12</v>
      </c>
      <c r="B798">
        <v>65</v>
      </c>
      <c r="C798" t="s">
        <v>397</v>
      </c>
      <c r="D798" t="s">
        <v>39</v>
      </c>
      <c r="E798" t="s">
        <v>46</v>
      </c>
      <c r="F798" t="s">
        <v>51</v>
      </c>
      <c r="G798" t="s">
        <v>42</v>
      </c>
    </row>
    <row r="799" spans="1:7" x14ac:dyDescent="0.2">
      <c r="A799">
        <v>12</v>
      </c>
      <c r="B799">
        <v>65</v>
      </c>
      <c r="C799" t="s">
        <v>398</v>
      </c>
      <c r="D799" t="s">
        <v>39</v>
      </c>
      <c r="E799" t="s">
        <v>46</v>
      </c>
      <c r="F799" t="s">
        <v>51</v>
      </c>
      <c r="G799" t="s">
        <v>42</v>
      </c>
    </row>
    <row r="800" spans="1:7" x14ac:dyDescent="0.2">
      <c r="A800">
        <v>12</v>
      </c>
      <c r="B800">
        <v>65</v>
      </c>
      <c r="C800" t="s">
        <v>389</v>
      </c>
      <c r="D800" t="s">
        <v>39</v>
      </c>
      <c r="E800" t="s">
        <v>46</v>
      </c>
      <c r="F800" t="s">
        <v>51</v>
      </c>
      <c r="G800" t="s">
        <v>42</v>
      </c>
    </row>
    <row r="801" spans="1:7" x14ac:dyDescent="0.2">
      <c r="A801">
        <v>13</v>
      </c>
      <c r="B801">
        <v>65</v>
      </c>
      <c r="C801" t="s">
        <v>399</v>
      </c>
      <c r="D801" t="s">
        <v>39</v>
      </c>
      <c r="E801" t="s">
        <v>46</v>
      </c>
      <c r="F801" t="s">
        <v>41</v>
      </c>
      <c r="G801" t="s">
        <v>42</v>
      </c>
    </row>
    <row r="802" spans="1:7" x14ac:dyDescent="0.2">
      <c r="A802">
        <v>13</v>
      </c>
      <c r="B802">
        <v>65</v>
      </c>
      <c r="C802" t="s">
        <v>359</v>
      </c>
      <c r="D802" t="s">
        <v>39</v>
      </c>
      <c r="E802" t="s">
        <v>46</v>
      </c>
      <c r="F802" t="s">
        <v>41</v>
      </c>
      <c r="G802" t="s">
        <v>42</v>
      </c>
    </row>
    <row r="803" spans="1:7" x14ac:dyDescent="0.2">
      <c r="A803">
        <v>13</v>
      </c>
      <c r="B803">
        <v>65</v>
      </c>
      <c r="C803" t="s">
        <v>375</v>
      </c>
      <c r="D803" t="s">
        <v>39</v>
      </c>
      <c r="E803" t="s">
        <v>46</v>
      </c>
      <c r="F803" t="s">
        <v>41</v>
      </c>
      <c r="G803" t="s">
        <v>42</v>
      </c>
    </row>
    <row r="804" spans="1:7" x14ac:dyDescent="0.2">
      <c r="A804">
        <v>13</v>
      </c>
      <c r="B804">
        <v>65</v>
      </c>
      <c r="C804" t="s">
        <v>376</v>
      </c>
      <c r="D804" t="s">
        <v>39</v>
      </c>
      <c r="E804" t="s">
        <v>46</v>
      </c>
      <c r="F804" t="s">
        <v>41</v>
      </c>
      <c r="G804" t="s">
        <v>42</v>
      </c>
    </row>
    <row r="805" spans="1:7" x14ac:dyDescent="0.2">
      <c r="A805">
        <v>13</v>
      </c>
      <c r="B805">
        <v>65</v>
      </c>
      <c r="C805" t="s">
        <v>391</v>
      </c>
      <c r="D805" t="s">
        <v>39</v>
      </c>
      <c r="E805" t="s">
        <v>46</v>
      </c>
      <c r="F805" t="s">
        <v>41</v>
      </c>
      <c r="G805" t="s">
        <v>42</v>
      </c>
    </row>
    <row r="806" spans="1:7" x14ac:dyDescent="0.2">
      <c r="A806">
        <v>13</v>
      </c>
      <c r="B806">
        <v>65</v>
      </c>
      <c r="C806" t="s">
        <v>400</v>
      </c>
      <c r="D806" t="s">
        <v>39</v>
      </c>
      <c r="E806" t="s">
        <v>46</v>
      </c>
      <c r="F806" t="s">
        <v>41</v>
      </c>
      <c r="G806" t="s">
        <v>42</v>
      </c>
    </row>
    <row r="807" spans="1:7" x14ac:dyDescent="0.2">
      <c r="A807">
        <v>13</v>
      </c>
      <c r="B807">
        <v>65</v>
      </c>
      <c r="C807" t="s">
        <v>388</v>
      </c>
      <c r="D807" t="s">
        <v>39</v>
      </c>
      <c r="E807" t="s">
        <v>46</v>
      </c>
      <c r="F807" t="s">
        <v>41</v>
      </c>
      <c r="G807" t="s">
        <v>42</v>
      </c>
    </row>
    <row r="808" spans="1:7" x14ac:dyDescent="0.2">
      <c r="A808">
        <v>13</v>
      </c>
      <c r="B808">
        <v>65</v>
      </c>
      <c r="C808" t="s">
        <v>373</v>
      </c>
      <c r="D808" t="s">
        <v>39</v>
      </c>
      <c r="E808" t="s">
        <v>46</v>
      </c>
      <c r="F808" t="s">
        <v>41</v>
      </c>
      <c r="G808" t="s">
        <v>42</v>
      </c>
    </row>
    <row r="809" spans="1:7" x14ac:dyDescent="0.2">
      <c r="A809">
        <v>13</v>
      </c>
      <c r="B809">
        <v>65</v>
      </c>
      <c r="C809" t="s">
        <v>401</v>
      </c>
      <c r="D809" t="s">
        <v>39</v>
      </c>
      <c r="E809" t="s">
        <v>46</v>
      </c>
      <c r="F809" t="s">
        <v>41</v>
      </c>
      <c r="G809" t="s">
        <v>42</v>
      </c>
    </row>
    <row r="810" spans="1:7" x14ac:dyDescent="0.2">
      <c r="A810">
        <v>13</v>
      </c>
      <c r="B810">
        <v>65</v>
      </c>
      <c r="C810" t="s">
        <v>402</v>
      </c>
      <c r="D810" t="s">
        <v>39</v>
      </c>
      <c r="E810" t="s">
        <v>46</v>
      </c>
      <c r="F810" t="s">
        <v>41</v>
      </c>
      <c r="G810" t="s">
        <v>42</v>
      </c>
    </row>
    <row r="811" spans="1:7" x14ac:dyDescent="0.2">
      <c r="A811">
        <v>13</v>
      </c>
      <c r="B811">
        <v>65</v>
      </c>
      <c r="C811" t="s">
        <v>403</v>
      </c>
      <c r="D811" t="s">
        <v>39</v>
      </c>
      <c r="E811" t="s">
        <v>46</v>
      </c>
      <c r="F811" t="s">
        <v>41</v>
      </c>
      <c r="G811" t="s">
        <v>42</v>
      </c>
    </row>
    <row r="812" spans="1:7" x14ac:dyDescent="0.2">
      <c r="A812">
        <v>13</v>
      </c>
      <c r="B812">
        <v>65</v>
      </c>
      <c r="C812" t="s">
        <v>404</v>
      </c>
      <c r="D812" t="s">
        <v>94</v>
      </c>
      <c r="E812" t="s">
        <v>46</v>
      </c>
      <c r="F812" t="s">
        <v>41</v>
      </c>
      <c r="G812" t="s">
        <v>42</v>
      </c>
    </row>
    <row r="813" spans="1:7" x14ac:dyDescent="0.2">
      <c r="A813">
        <v>13</v>
      </c>
      <c r="B813">
        <v>65</v>
      </c>
      <c r="C813" t="s">
        <v>405</v>
      </c>
      <c r="D813" t="s">
        <v>39</v>
      </c>
      <c r="E813" t="s">
        <v>40</v>
      </c>
      <c r="F813" t="s">
        <v>51</v>
      </c>
      <c r="G813" t="s">
        <v>42</v>
      </c>
    </row>
    <row r="814" spans="1:7" x14ac:dyDescent="0.2">
      <c r="A814">
        <v>13</v>
      </c>
      <c r="B814">
        <v>65</v>
      </c>
      <c r="C814" t="s">
        <v>406</v>
      </c>
      <c r="D814" t="s">
        <v>39</v>
      </c>
      <c r="E814" t="s">
        <v>40</v>
      </c>
      <c r="F814" t="s">
        <v>51</v>
      </c>
      <c r="G814" t="s">
        <v>42</v>
      </c>
    </row>
    <row r="815" spans="1:7" x14ac:dyDescent="0.2">
      <c r="A815">
        <v>13</v>
      </c>
      <c r="B815">
        <v>65</v>
      </c>
      <c r="C815" t="s">
        <v>407</v>
      </c>
      <c r="D815" t="s">
        <v>39</v>
      </c>
      <c r="E815" t="s">
        <v>40</v>
      </c>
      <c r="F815" t="s">
        <v>51</v>
      </c>
      <c r="G815" t="s">
        <v>42</v>
      </c>
    </row>
    <row r="816" spans="1:7" x14ac:dyDescent="0.2">
      <c r="A816">
        <v>13</v>
      </c>
      <c r="B816">
        <v>65</v>
      </c>
      <c r="C816" t="s">
        <v>408</v>
      </c>
      <c r="D816" t="s">
        <v>39</v>
      </c>
      <c r="E816" t="s">
        <v>40</v>
      </c>
      <c r="F816" t="s">
        <v>51</v>
      </c>
      <c r="G816" t="s">
        <v>42</v>
      </c>
    </row>
    <row r="817" spans="1:7" x14ac:dyDescent="0.2">
      <c r="A817">
        <v>13</v>
      </c>
      <c r="B817">
        <v>65</v>
      </c>
      <c r="C817" t="s">
        <v>409</v>
      </c>
      <c r="D817" t="s">
        <v>39</v>
      </c>
      <c r="E817" t="s">
        <v>40</v>
      </c>
      <c r="F817" t="s">
        <v>51</v>
      </c>
      <c r="G817" t="s">
        <v>42</v>
      </c>
    </row>
    <row r="818" spans="1:7" x14ac:dyDescent="0.2">
      <c r="A818">
        <v>13</v>
      </c>
      <c r="B818">
        <v>65</v>
      </c>
      <c r="C818" t="s">
        <v>410</v>
      </c>
      <c r="D818" t="s">
        <v>39</v>
      </c>
      <c r="E818" t="s">
        <v>40</v>
      </c>
      <c r="F818" t="s">
        <v>51</v>
      </c>
      <c r="G818" t="s">
        <v>42</v>
      </c>
    </row>
    <row r="819" spans="1:7" x14ac:dyDescent="0.2">
      <c r="A819">
        <v>13</v>
      </c>
      <c r="B819">
        <v>65</v>
      </c>
      <c r="C819" t="s">
        <v>411</v>
      </c>
      <c r="D819" t="s">
        <v>39</v>
      </c>
      <c r="E819" t="s">
        <v>40</v>
      </c>
      <c r="F819" t="s">
        <v>51</v>
      </c>
      <c r="G819" t="s">
        <v>42</v>
      </c>
    </row>
    <row r="820" spans="1:7" x14ac:dyDescent="0.2">
      <c r="A820">
        <v>13</v>
      </c>
      <c r="B820">
        <v>65</v>
      </c>
      <c r="C820" t="s">
        <v>412</v>
      </c>
      <c r="D820" t="s">
        <v>39</v>
      </c>
      <c r="E820" t="s">
        <v>40</v>
      </c>
      <c r="F820" t="s">
        <v>51</v>
      </c>
      <c r="G820" t="s">
        <v>42</v>
      </c>
    </row>
    <row r="821" spans="1:7" x14ac:dyDescent="0.2">
      <c r="A821">
        <v>13</v>
      </c>
      <c r="B821">
        <v>65</v>
      </c>
      <c r="C821" t="s">
        <v>413</v>
      </c>
      <c r="D821" t="s">
        <v>39</v>
      </c>
      <c r="E821" t="s">
        <v>40</v>
      </c>
      <c r="F821" t="s">
        <v>51</v>
      </c>
      <c r="G821" t="s">
        <v>42</v>
      </c>
    </row>
    <row r="822" spans="1:7" x14ac:dyDescent="0.2">
      <c r="A822">
        <v>14</v>
      </c>
      <c r="B822">
        <v>65</v>
      </c>
      <c r="C822" t="s">
        <v>414</v>
      </c>
      <c r="D822" t="s">
        <v>39</v>
      </c>
      <c r="E822" t="s">
        <v>46</v>
      </c>
      <c r="F822" t="s">
        <v>51</v>
      </c>
      <c r="G822" t="s">
        <v>42</v>
      </c>
    </row>
    <row r="823" spans="1:7" x14ac:dyDescent="0.2">
      <c r="A823">
        <v>14</v>
      </c>
      <c r="B823">
        <v>65</v>
      </c>
      <c r="C823" t="s">
        <v>322</v>
      </c>
      <c r="D823" t="s">
        <v>39</v>
      </c>
      <c r="E823" t="s">
        <v>46</v>
      </c>
      <c r="F823" t="s">
        <v>51</v>
      </c>
      <c r="G823" t="s">
        <v>42</v>
      </c>
    </row>
    <row r="824" spans="1:7" x14ac:dyDescent="0.2">
      <c r="A824">
        <v>14</v>
      </c>
      <c r="B824">
        <v>65</v>
      </c>
      <c r="C824" t="s">
        <v>321</v>
      </c>
      <c r="D824" t="s">
        <v>39</v>
      </c>
      <c r="E824" t="s">
        <v>46</v>
      </c>
      <c r="F824" t="s">
        <v>51</v>
      </c>
      <c r="G824" t="s">
        <v>42</v>
      </c>
    </row>
    <row r="825" spans="1:7" x14ac:dyDescent="0.2">
      <c r="A825">
        <v>14</v>
      </c>
      <c r="B825">
        <v>65</v>
      </c>
      <c r="C825" t="s">
        <v>415</v>
      </c>
      <c r="D825" t="s">
        <v>39</v>
      </c>
      <c r="E825" t="s">
        <v>46</v>
      </c>
      <c r="F825" t="s">
        <v>47</v>
      </c>
      <c r="G825" t="s">
        <v>42</v>
      </c>
    </row>
    <row r="826" spans="1:7" x14ac:dyDescent="0.2">
      <c r="A826">
        <v>14</v>
      </c>
      <c r="B826">
        <v>65</v>
      </c>
      <c r="C826" t="s">
        <v>320</v>
      </c>
      <c r="D826" t="s">
        <v>39</v>
      </c>
      <c r="E826" t="s">
        <v>46</v>
      </c>
      <c r="F826" t="s">
        <v>51</v>
      </c>
      <c r="G826" t="s">
        <v>42</v>
      </c>
    </row>
    <row r="827" spans="1:7" x14ac:dyDescent="0.2">
      <c r="A827">
        <v>14</v>
      </c>
      <c r="B827">
        <v>65</v>
      </c>
      <c r="C827" t="s">
        <v>399</v>
      </c>
      <c r="D827" t="s">
        <v>39</v>
      </c>
      <c r="E827" t="s">
        <v>46</v>
      </c>
      <c r="F827" t="s">
        <v>51</v>
      </c>
      <c r="G827" t="s">
        <v>42</v>
      </c>
    </row>
    <row r="828" spans="1:7" x14ac:dyDescent="0.2">
      <c r="A828">
        <v>14</v>
      </c>
      <c r="B828">
        <v>65</v>
      </c>
      <c r="C828" t="s">
        <v>416</v>
      </c>
      <c r="D828" t="s">
        <v>39</v>
      </c>
      <c r="E828" t="s">
        <v>46</v>
      </c>
      <c r="F828" t="s">
        <v>51</v>
      </c>
      <c r="G828" t="s">
        <v>42</v>
      </c>
    </row>
    <row r="829" spans="1:7" x14ac:dyDescent="0.2">
      <c r="A829">
        <v>14</v>
      </c>
      <c r="B829">
        <v>65</v>
      </c>
      <c r="C829" t="s">
        <v>375</v>
      </c>
      <c r="D829" t="s">
        <v>39</v>
      </c>
      <c r="E829" t="s">
        <v>46</v>
      </c>
      <c r="F829" t="s">
        <v>51</v>
      </c>
      <c r="G829" t="s">
        <v>42</v>
      </c>
    </row>
    <row r="830" spans="1:7" x14ac:dyDescent="0.2">
      <c r="A830">
        <v>14</v>
      </c>
      <c r="B830">
        <v>65</v>
      </c>
      <c r="C830" t="s">
        <v>417</v>
      </c>
      <c r="D830" t="s">
        <v>39</v>
      </c>
      <c r="E830" t="s">
        <v>46</v>
      </c>
      <c r="F830" t="s">
        <v>51</v>
      </c>
      <c r="G830" t="s">
        <v>42</v>
      </c>
    </row>
    <row r="831" spans="1:7" x14ac:dyDescent="0.2">
      <c r="A831">
        <v>14</v>
      </c>
      <c r="B831">
        <v>65</v>
      </c>
      <c r="C831" t="s">
        <v>391</v>
      </c>
      <c r="D831" t="s">
        <v>39</v>
      </c>
      <c r="E831" t="s">
        <v>46</v>
      </c>
      <c r="F831" t="s">
        <v>51</v>
      </c>
      <c r="G831" t="s">
        <v>42</v>
      </c>
    </row>
    <row r="832" spans="1:7" x14ac:dyDescent="0.2">
      <c r="A832">
        <v>14</v>
      </c>
      <c r="B832">
        <v>65</v>
      </c>
      <c r="C832" t="s">
        <v>418</v>
      </c>
      <c r="D832" t="s">
        <v>39</v>
      </c>
      <c r="E832" t="s">
        <v>46</v>
      </c>
      <c r="F832" t="s">
        <v>51</v>
      </c>
      <c r="G832" t="s">
        <v>42</v>
      </c>
    </row>
    <row r="833" spans="1:7" x14ac:dyDescent="0.2">
      <c r="A833">
        <v>14</v>
      </c>
      <c r="B833">
        <v>65</v>
      </c>
      <c r="C833" t="s">
        <v>388</v>
      </c>
      <c r="D833" t="s">
        <v>39</v>
      </c>
      <c r="E833" t="s">
        <v>46</v>
      </c>
      <c r="F833" t="s">
        <v>51</v>
      </c>
      <c r="G833" t="s">
        <v>42</v>
      </c>
    </row>
    <row r="834" spans="1:7" x14ac:dyDescent="0.2">
      <c r="A834">
        <v>14</v>
      </c>
      <c r="B834">
        <v>65</v>
      </c>
      <c r="C834" t="s">
        <v>373</v>
      </c>
      <c r="D834" t="s">
        <v>39</v>
      </c>
      <c r="E834" t="s">
        <v>46</v>
      </c>
      <c r="F834" t="s">
        <v>51</v>
      </c>
      <c r="G834" t="s">
        <v>42</v>
      </c>
    </row>
    <row r="835" spans="1:7" x14ac:dyDescent="0.2">
      <c r="A835">
        <v>14</v>
      </c>
      <c r="B835">
        <v>65</v>
      </c>
      <c r="C835" t="s">
        <v>419</v>
      </c>
      <c r="D835" t="s">
        <v>39</v>
      </c>
      <c r="E835" t="s">
        <v>46</v>
      </c>
      <c r="F835" t="s">
        <v>51</v>
      </c>
      <c r="G835" t="s">
        <v>42</v>
      </c>
    </row>
    <row r="836" spans="1:7" x14ac:dyDescent="0.2">
      <c r="A836">
        <v>14</v>
      </c>
      <c r="B836">
        <v>65</v>
      </c>
      <c r="C836" t="s">
        <v>402</v>
      </c>
      <c r="D836" t="s">
        <v>39</v>
      </c>
      <c r="E836" t="s">
        <v>46</v>
      </c>
      <c r="F836" t="s">
        <v>51</v>
      </c>
      <c r="G836" t="s">
        <v>42</v>
      </c>
    </row>
    <row r="837" spans="1:7" x14ac:dyDescent="0.2">
      <c r="A837">
        <v>14</v>
      </c>
      <c r="B837">
        <v>65</v>
      </c>
      <c r="C837" t="s">
        <v>398</v>
      </c>
      <c r="D837" t="s">
        <v>39</v>
      </c>
      <c r="E837" t="s">
        <v>46</v>
      </c>
      <c r="F837" t="s">
        <v>51</v>
      </c>
      <c r="G837" t="s">
        <v>42</v>
      </c>
    </row>
    <row r="838" spans="1:7" x14ac:dyDescent="0.2">
      <c r="A838">
        <v>14</v>
      </c>
      <c r="B838">
        <v>65</v>
      </c>
      <c r="C838" t="s">
        <v>404</v>
      </c>
      <c r="D838" t="s">
        <v>94</v>
      </c>
      <c r="E838" t="s">
        <v>46</v>
      </c>
      <c r="F838" t="s">
        <v>51</v>
      </c>
      <c r="G838" t="s">
        <v>42</v>
      </c>
    </row>
    <row r="839" spans="1:7" x14ac:dyDescent="0.2">
      <c r="A839">
        <v>15</v>
      </c>
      <c r="B839">
        <v>65</v>
      </c>
      <c r="C839" t="s">
        <v>420</v>
      </c>
      <c r="D839" t="s">
        <v>39</v>
      </c>
      <c r="E839" t="s">
        <v>46</v>
      </c>
      <c r="F839" t="s">
        <v>41</v>
      </c>
      <c r="G839" t="s">
        <v>42</v>
      </c>
    </row>
    <row r="840" spans="1:7" x14ac:dyDescent="0.2">
      <c r="A840">
        <v>15</v>
      </c>
      <c r="B840">
        <v>65</v>
      </c>
      <c r="C840" t="s">
        <v>421</v>
      </c>
      <c r="D840" t="s">
        <v>94</v>
      </c>
      <c r="E840" t="s">
        <v>46</v>
      </c>
      <c r="F840" t="s">
        <v>41</v>
      </c>
      <c r="G840" t="s">
        <v>42</v>
      </c>
    </row>
    <row r="841" spans="1:7" x14ac:dyDescent="0.2">
      <c r="A841">
        <v>15</v>
      </c>
      <c r="B841">
        <v>65</v>
      </c>
      <c r="C841" t="s">
        <v>375</v>
      </c>
      <c r="D841" t="s">
        <v>39</v>
      </c>
      <c r="E841" t="s">
        <v>46</v>
      </c>
      <c r="F841" t="s">
        <v>41</v>
      </c>
      <c r="G841" t="s">
        <v>42</v>
      </c>
    </row>
    <row r="842" spans="1:7" x14ac:dyDescent="0.2">
      <c r="A842">
        <v>15</v>
      </c>
      <c r="B842">
        <v>65</v>
      </c>
      <c r="C842" t="s">
        <v>376</v>
      </c>
      <c r="D842" t="s">
        <v>39</v>
      </c>
      <c r="E842" t="s">
        <v>46</v>
      </c>
      <c r="F842" t="s">
        <v>41</v>
      </c>
      <c r="G842" t="s">
        <v>42</v>
      </c>
    </row>
    <row r="843" spans="1:7" x14ac:dyDescent="0.2">
      <c r="A843">
        <v>15</v>
      </c>
      <c r="B843">
        <v>65</v>
      </c>
      <c r="C843" t="s">
        <v>391</v>
      </c>
      <c r="D843" t="s">
        <v>39</v>
      </c>
      <c r="E843" t="s">
        <v>46</v>
      </c>
      <c r="F843" t="s">
        <v>41</v>
      </c>
      <c r="G843" t="s">
        <v>42</v>
      </c>
    </row>
    <row r="844" spans="1:7" x14ac:dyDescent="0.2">
      <c r="A844">
        <v>15</v>
      </c>
      <c r="B844">
        <v>65</v>
      </c>
      <c r="C844" t="s">
        <v>422</v>
      </c>
      <c r="D844" t="s">
        <v>39</v>
      </c>
      <c r="E844" t="s">
        <v>46</v>
      </c>
      <c r="F844" t="s">
        <v>41</v>
      </c>
      <c r="G844" t="s">
        <v>42</v>
      </c>
    </row>
    <row r="845" spans="1:7" x14ac:dyDescent="0.2">
      <c r="A845">
        <v>15</v>
      </c>
      <c r="B845">
        <v>65</v>
      </c>
      <c r="C845" t="s">
        <v>388</v>
      </c>
      <c r="D845" t="s">
        <v>39</v>
      </c>
      <c r="E845" t="s">
        <v>46</v>
      </c>
      <c r="F845" t="s">
        <v>41</v>
      </c>
      <c r="G845" t="s">
        <v>42</v>
      </c>
    </row>
    <row r="846" spans="1:7" x14ac:dyDescent="0.2">
      <c r="A846">
        <v>15</v>
      </c>
      <c r="B846">
        <v>65</v>
      </c>
      <c r="C846" t="s">
        <v>373</v>
      </c>
      <c r="D846" t="s">
        <v>39</v>
      </c>
      <c r="E846" t="s">
        <v>46</v>
      </c>
      <c r="F846" t="s">
        <v>41</v>
      </c>
      <c r="G846" t="s">
        <v>42</v>
      </c>
    </row>
    <row r="847" spans="1:7" x14ac:dyDescent="0.2">
      <c r="A847">
        <v>15</v>
      </c>
      <c r="B847">
        <v>65</v>
      </c>
      <c r="C847" t="s">
        <v>423</v>
      </c>
      <c r="D847" t="s">
        <v>94</v>
      </c>
      <c r="E847" t="s">
        <v>46</v>
      </c>
      <c r="F847" t="s">
        <v>41</v>
      </c>
      <c r="G847" t="s">
        <v>42</v>
      </c>
    </row>
    <row r="848" spans="1:7" x14ac:dyDescent="0.2">
      <c r="A848">
        <v>15</v>
      </c>
      <c r="B848">
        <v>65</v>
      </c>
      <c r="C848" t="s">
        <v>424</v>
      </c>
      <c r="D848" t="s">
        <v>39</v>
      </c>
      <c r="E848" t="s">
        <v>46</v>
      </c>
      <c r="F848" t="s">
        <v>41</v>
      </c>
      <c r="G848" t="s">
        <v>42</v>
      </c>
    </row>
    <row r="849" spans="1:7" x14ac:dyDescent="0.2">
      <c r="A849">
        <v>15</v>
      </c>
      <c r="B849">
        <v>65</v>
      </c>
      <c r="C849" t="s">
        <v>403</v>
      </c>
      <c r="D849" t="s">
        <v>39</v>
      </c>
      <c r="E849" t="s">
        <v>46</v>
      </c>
      <c r="F849" t="s">
        <v>41</v>
      </c>
      <c r="G849" t="s">
        <v>42</v>
      </c>
    </row>
    <row r="850" spans="1:7" x14ac:dyDescent="0.2">
      <c r="A850">
        <v>15</v>
      </c>
      <c r="B850">
        <v>65</v>
      </c>
      <c r="C850" t="s">
        <v>404</v>
      </c>
      <c r="D850" t="s">
        <v>94</v>
      </c>
      <c r="E850" t="s">
        <v>46</v>
      </c>
      <c r="F850" t="s">
        <v>41</v>
      </c>
      <c r="G850" t="s">
        <v>42</v>
      </c>
    </row>
    <row r="851" spans="1:7" x14ac:dyDescent="0.2">
      <c r="A851">
        <v>16</v>
      </c>
      <c r="B851">
        <v>65</v>
      </c>
      <c r="C851" t="s">
        <v>322</v>
      </c>
      <c r="D851" t="s">
        <v>39</v>
      </c>
      <c r="E851" t="s">
        <v>46</v>
      </c>
      <c r="F851" t="s">
        <v>51</v>
      </c>
      <c r="G851" t="s">
        <v>42</v>
      </c>
    </row>
    <row r="852" spans="1:7" x14ac:dyDescent="0.2">
      <c r="A852">
        <v>16</v>
      </c>
      <c r="B852">
        <v>65</v>
      </c>
      <c r="C852" t="s">
        <v>317</v>
      </c>
      <c r="D852" t="s">
        <v>39</v>
      </c>
      <c r="E852" t="s">
        <v>46</v>
      </c>
      <c r="F852" t="s">
        <v>51</v>
      </c>
      <c r="G852" t="s">
        <v>42</v>
      </c>
    </row>
    <row r="853" spans="1:7" x14ac:dyDescent="0.2">
      <c r="A853">
        <v>16</v>
      </c>
      <c r="B853">
        <v>65</v>
      </c>
      <c r="C853" t="s">
        <v>425</v>
      </c>
      <c r="D853" t="s">
        <v>39</v>
      </c>
      <c r="E853" t="s">
        <v>46</v>
      </c>
      <c r="F853" t="s">
        <v>51</v>
      </c>
      <c r="G853" t="s">
        <v>42</v>
      </c>
    </row>
    <row r="854" spans="1:7" x14ac:dyDescent="0.2">
      <c r="A854">
        <v>16</v>
      </c>
      <c r="B854">
        <v>65</v>
      </c>
      <c r="C854" t="s">
        <v>421</v>
      </c>
      <c r="D854" t="s">
        <v>94</v>
      </c>
      <c r="E854" t="s">
        <v>46</v>
      </c>
      <c r="F854" t="s">
        <v>51</v>
      </c>
      <c r="G854" t="s">
        <v>42</v>
      </c>
    </row>
    <row r="855" spans="1:7" x14ac:dyDescent="0.2">
      <c r="A855">
        <v>16</v>
      </c>
      <c r="B855">
        <v>65</v>
      </c>
      <c r="C855" t="s">
        <v>426</v>
      </c>
      <c r="D855" t="s">
        <v>39</v>
      </c>
      <c r="E855" t="s">
        <v>46</v>
      </c>
      <c r="F855" t="s">
        <v>51</v>
      </c>
      <c r="G855" t="s">
        <v>42</v>
      </c>
    </row>
    <row r="856" spans="1:7" x14ac:dyDescent="0.2">
      <c r="A856">
        <v>16</v>
      </c>
      <c r="B856">
        <v>65</v>
      </c>
      <c r="C856" t="s">
        <v>376</v>
      </c>
      <c r="D856" t="s">
        <v>39</v>
      </c>
      <c r="E856" t="s">
        <v>46</v>
      </c>
      <c r="F856" t="s">
        <v>51</v>
      </c>
      <c r="G856" t="s">
        <v>42</v>
      </c>
    </row>
    <row r="857" spans="1:7" x14ac:dyDescent="0.2">
      <c r="A857">
        <v>16</v>
      </c>
      <c r="B857">
        <v>65</v>
      </c>
      <c r="C857" t="s">
        <v>427</v>
      </c>
      <c r="D857" t="s">
        <v>39</v>
      </c>
      <c r="E857" t="s">
        <v>46</v>
      </c>
      <c r="F857" t="s">
        <v>51</v>
      </c>
      <c r="G857" t="s">
        <v>42</v>
      </c>
    </row>
    <row r="858" spans="1:7" x14ac:dyDescent="0.2">
      <c r="A858">
        <v>16</v>
      </c>
      <c r="B858">
        <v>65</v>
      </c>
      <c r="C858" t="s">
        <v>428</v>
      </c>
      <c r="D858" t="s">
        <v>39</v>
      </c>
      <c r="E858" t="s">
        <v>46</v>
      </c>
      <c r="F858" t="s">
        <v>51</v>
      </c>
      <c r="G858" t="s">
        <v>42</v>
      </c>
    </row>
    <row r="859" spans="1:7" x14ac:dyDescent="0.2">
      <c r="A859">
        <v>16</v>
      </c>
      <c r="B859">
        <v>65</v>
      </c>
      <c r="C859" t="s">
        <v>388</v>
      </c>
      <c r="D859" t="s">
        <v>39</v>
      </c>
      <c r="E859" t="s">
        <v>46</v>
      </c>
      <c r="F859" t="s">
        <v>51</v>
      </c>
      <c r="G859" t="s">
        <v>42</v>
      </c>
    </row>
    <row r="860" spans="1:7" x14ac:dyDescent="0.2">
      <c r="A860">
        <v>16</v>
      </c>
      <c r="B860">
        <v>65</v>
      </c>
      <c r="C860" t="s">
        <v>373</v>
      </c>
      <c r="D860" t="s">
        <v>39</v>
      </c>
      <c r="E860" t="s">
        <v>46</v>
      </c>
      <c r="F860" t="s">
        <v>51</v>
      </c>
      <c r="G860" t="s">
        <v>42</v>
      </c>
    </row>
    <row r="861" spans="1:7" x14ac:dyDescent="0.2">
      <c r="A861">
        <v>16</v>
      </c>
      <c r="B861">
        <v>65</v>
      </c>
      <c r="C861" t="s">
        <v>423</v>
      </c>
      <c r="D861" t="s">
        <v>94</v>
      </c>
      <c r="E861" t="s">
        <v>46</v>
      </c>
      <c r="F861" t="s">
        <v>51</v>
      </c>
      <c r="G861" t="s">
        <v>42</v>
      </c>
    </row>
    <row r="862" spans="1:7" x14ac:dyDescent="0.2">
      <c r="A862">
        <v>16</v>
      </c>
      <c r="B862">
        <v>65</v>
      </c>
      <c r="C862" t="s">
        <v>429</v>
      </c>
      <c r="D862" t="s">
        <v>39</v>
      </c>
      <c r="E862" t="s">
        <v>46</v>
      </c>
      <c r="F862" t="s">
        <v>51</v>
      </c>
      <c r="G862" t="s">
        <v>42</v>
      </c>
    </row>
    <row r="863" spans="1:7" x14ac:dyDescent="0.2">
      <c r="A863">
        <v>16</v>
      </c>
      <c r="B863">
        <v>65</v>
      </c>
      <c r="C863" t="s">
        <v>430</v>
      </c>
      <c r="D863" t="s">
        <v>39</v>
      </c>
      <c r="E863" t="s">
        <v>46</v>
      </c>
      <c r="F863" t="s">
        <v>51</v>
      </c>
      <c r="G863" t="s">
        <v>42</v>
      </c>
    </row>
    <row r="864" spans="1:7" x14ac:dyDescent="0.2">
      <c r="A864">
        <v>17</v>
      </c>
      <c r="B864">
        <v>65</v>
      </c>
      <c r="C864" t="s">
        <v>431</v>
      </c>
      <c r="D864" t="s">
        <v>39</v>
      </c>
      <c r="E864" t="s">
        <v>46</v>
      </c>
      <c r="F864" t="s">
        <v>41</v>
      </c>
      <c r="G864" t="s">
        <v>42</v>
      </c>
    </row>
    <row r="865" spans="1:7" x14ac:dyDescent="0.2">
      <c r="A865">
        <v>17</v>
      </c>
      <c r="B865">
        <v>65</v>
      </c>
      <c r="C865" t="s">
        <v>375</v>
      </c>
      <c r="D865" t="s">
        <v>39</v>
      </c>
      <c r="E865" t="s">
        <v>46</v>
      </c>
      <c r="F865" t="s">
        <v>41</v>
      </c>
      <c r="G865" t="s">
        <v>42</v>
      </c>
    </row>
    <row r="866" spans="1:7" x14ac:dyDescent="0.2">
      <c r="A866">
        <v>17</v>
      </c>
      <c r="B866">
        <v>65</v>
      </c>
      <c r="C866" t="s">
        <v>376</v>
      </c>
      <c r="D866" t="s">
        <v>39</v>
      </c>
      <c r="E866" t="s">
        <v>46</v>
      </c>
      <c r="F866" t="s">
        <v>41</v>
      </c>
      <c r="G866" t="s">
        <v>42</v>
      </c>
    </row>
    <row r="867" spans="1:7" x14ac:dyDescent="0.2">
      <c r="A867">
        <v>17</v>
      </c>
      <c r="B867">
        <v>65</v>
      </c>
      <c r="C867" t="s">
        <v>432</v>
      </c>
      <c r="D867" t="s">
        <v>39</v>
      </c>
      <c r="E867" t="s">
        <v>46</v>
      </c>
      <c r="F867" t="s">
        <v>41</v>
      </c>
      <c r="G867" t="s">
        <v>42</v>
      </c>
    </row>
    <row r="868" spans="1:7" x14ac:dyDescent="0.2">
      <c r="A868">
        <v>17</v>
      </c>
      <c r="B868">
        <v>65</v>
      </c>
      <c r="C868" t="s">
        <v>433</v>
      </c>
      <c r="D868" t="s">
        <v>39</v>
      </c>
      <c r="E868" t="s">
        <v>46</v>
      </c>
      <c r="F868" t="s">
        <v>41</v>
      </c>
      <c r="G868" t="s">
        <v>42</v>
      </c>
    </row>
    <row r="869" spans="1:7" x14ac:dyDescent="0.2">
      <c r="A869">
        <v>17</v>
      </c>
      <c r="B869">
        <v>65</v>
      </c>
      <c r="C869" t="s">
        <v>388</v>
      </c>
      <c r="D869" t="s">
        <v>39</v>
      </c>
      <c r="E869" t="s">
        <v>46</v>
      </c>
      <c r="F869" t="s">
        <v>41</v>
      </c>
      <c r="G869" t="s">
        <v>42</v>
      </c>
    </row>
    <row r="870" spans="1:7" x14ac:dyDescent="0.2">
      <c r="A870">
        <v>17</v>
      </c>
      <c r="B870">
        <v>65</v>
      </c>
      <c r="C870" t="s">
        <v>373</v>
      </c>
      <c r="D870" t="s">
        <v>39</v>
      </c>
      <c r="E870" t="s">
        <v>46</v>
      </c>
      <c r="F870" t="s">
        <v>41</v>
      </c>
      <c r="G870" t="s">
        <v>42</v>
      </c>
    </row>
    <row r="871" spans="1:7" x14ac:dyDescent="0.2">
      <c r="A871">
        <v>17</v>
      </c>
      <c r="B871">
        <v>65</v>
      </c>
      <c r="C871" t="s">
        <v>434</v>
      </c>
      <c r="D871" t="s">
        <v>39</v>
      </c>
      <c r="E871" t="s">
        <v>46</v>
      </c>
      <c r="F871" t="s">
        <v>41</v>
      </c>
      <c r="G871" t="s">
        <v>42</v>
      </c>
    </row>
    <row r="872" spans="1:7" x14ac:dyDescent="0.2">
      <c r="A872">
        <v>17</v>
      </c>
      <c r="B872">
        <v>65</v>
      </c>
      <c r="C872" t="s">
        <v>435</v>
      </c>
      <c r="D872" t="s">
        <v>94</v>
      </c>
      <c r="E872" t="s">
        <v>46</v>
      </c>
      <c r="F872" t="s">
        <v>51</v>
      </c>
      <c r="G872" t="s">
        <v>42</v>
      </c>
    </row>
    <row r="873" spans="1:7" x14ac:dyDescent="0.2">
      <c r="A873">
        <v>17</v>
      </c>
      <c r="B873">
        <v>65</v>
      </c>
      <c r="C873" t="s">
        <v>436</v>
      </c>
      <c r="D873" t="s">
        <v>39</v>
      </c>
      <c r="E873" t="s">
        <v>46</v>
      </c>
      <c r="F873" t="s">
        <v>41</v>
      </c>
      <c r="G873" t="s">
        <v>42</v>
      </c>
    </row>
    <row r="874" spans="1:7" x14ac:dyDescent="0.2">
      <c r="A874">
        <v>17</v>
      </c>
      <c r="B874">
        <v>65</v>
      </c>
      <c r="C874" t="s">
        <v>437</v>
      </c>
      <c r="D874" t="s">
        <v>39</v>
      </c>
      <c r="E874" t="s">
        <v>46</v>
      </c>
      <c r="F874" t="s">
        <v>51</v>
      </c>
      <c r="G874" t="s">
        <v>42</v>
      </c>
    </row>
    <row r="875" spans="1:7" x14ac:dyDescent="0.2">
      <c r="A875">
        <v>18</v>
      </c>
      <c r="B875">
        <v>65</v>
      </c>
      <c r="C875" t="s">
        <v>438</v>
      </c>
      <c r="D875" t="s">
        <v>39</v>
      </c>
      <c r="E875" t="s">
        <v>46</v>
      </c>
      <c r="F875" t="s">
        <v>51</v>
      </c>
      <c r="G875" t="s">
        <v>42</v>
      </c>
    </row>
    <row r="876" spans="1:7" x14ac:dyDescent="0.2">
      <c r="A876">
        <v>18</v>
      </c>
      <c r="B876">
        <v>65</v>
      </c>
      <c r="C876" t="s">
        <v>317</v>
      </c>
      <c r="D876" t="s">
        <v>94</v>
      </c>
      <c r="E876" t="s">
        <v>46</v>
      </c>
      <c r="F876" t="s">
        <v>51</v>
      </c>
      <c r="G876" t="s">
        <v>42</v>
      </c>
    </row>
    <row r="877" spans="1:7" x14ac:dyDescent="0.2">
      <c r="A877">
        <v>18</v>
      </c>
      <c r="B877">
        <v>65</v>
      </c>
      <c r="C877" t="s">
        <v>439</v>
      </c>
      <c r="D877" t="s">
        <v>39</v>
      </c>
      <c r="E877" t="s">
        <v>46</v>
      </c>
      <c r="F877" t="s">
        <v>51</v>
      </c>
      <c r="G877" t="s">
        <v>42</v>
      </c>
    </row>
    <row r="878" spans="1:7" x14ac:dyDescent="0.2">
      <c r="A878">
        <v>18</v>
      </c>
      <c r="B878">
        <v>65</v>
      </c>
      <c r="C878" t="s">
        <v>322</v>
      </c>
      <c r="D878" t="s">
        <v>39</v>
      </c>
      <c r="E878" t="s">
        <v>46</v>
      </c>
      <c r="F878" t="s">
        <v>51</v>
      </c>
      <c r="G878" t="s">
        <v>42</v>
      </c>
    </row>
    <row r="879" spans="1:7" x14ac:dyDescent="0.2">
      <c r="A879">
        <v>18</v>
      </c>
      <c r="B879">
        <v>65</v>
      </c>
      <c r="C879" t="s">
        <v>440</v>
      </c>
      <c r="D879" t="s">
        <v>39</v>
      </c>
      <c r="E879" t="s">
        <v>46</v>
      </c>
      <c r="F879" t="s">
        <v>51</v>
      </c>
      <c r="G879" t="s">
        <v>42</v>
      </c>
    </row>
    <row r="880" spans="1:7" x14ac:dyDescent="0.2">
      <c r="A880">
        <v>18</v>
      </c>
      <c r="B880">
        <v>65</v>
      </c>
      <c r="C880" t="s">
        <v>431</v>
      </c>
      <c r="D880" t="s">
        <v>39</v>
      </c>
      <c r="E880" t="s">
        <v>46</v>
      </c>
      <c r="F880" t="s">
        <v>51</v>
      </c>
      <c r="G880" t="s">
        <v>42</v>
      </c>
    </row>
    <row r="881" spans="1:7" x14ac:dyDescent="0.2">
      <c r="A881">
        <v>18</v>
      </c>
      <c r="B881">
        <v>65</v>
      </c>
      <c r="C881" t="s">
        <v>375</v>
      </c>
      <c r="D881" t="s">
        <v>39</v>
      </c>
      <c r="E881" t="s">
        <v>46</v>
      </c>
      <c r="F881" t="s">
        <v>51</v>
      </c>
      <c r="G881" t="s">
        <v>42</v>
      </c>
    </row>
    <row r="882" spans="1:7" x14ac:dyDescent="0.2">
      <c r="A882">
        <v>18</v>
      </c>
      <c r="B882">
        <v>65</v>
      </c>
      <c r="C882" t="s">
        <v>441</v>
      </c>
      <c r="D882" t="s">
        <v>39</v>
      </c>
      <c r="E882" t="s">
        <v>46</v>
      </c>
      <c r="F882" t="s">
        <v>51</v>
      </c>
      <c r="G882" t="s">
        <v>42</v>
      </c>
    </row>
    <row r="883" spans="1:7" x14ac:dyDescent="0.2">
      <c r="A883">
        <v>18</v>
      </c>
      <c r="B883">
        <v>65</v>
      </c>
      <c r="C883" t="s">
        <v>433</v>
      </c>
      <c r="D883" t="s">
        <v>39</v>
      </c>
      <c r="E883" t="s">
        <v>46</v>
      </c>
      <c r="F883" t="s">
        <v>51</v>
      </c>
      <c r="G883" t="s">
        <v>42</v>
      </c>
    </row>
    <row r="884" spans="1:7" x14ac:dyDescent="0.2">
      <c r="A884">
        <v>18</v>
      </c>
      <c r="B884">
        <v>65</v>
      </c>
      <c r="C884" t="s">
        <v>388</v>
      </c>
      <c r="D884" t="s">
        <v>39</v>
      </c>
      <c r="E884" t="s">
        <v>46</v>
      </c>
      <c r="F884" t="s">
        <v>51</v>
      </c>
      <c r="G884" t="s">
        <v>42</v>
      </c>
    </row>
    <row r="885" spans="1:7" x14ac:dyDescent="0.2">
      <c r="A885">
        <v>18</v>
      </c>
      <c r="B885">
        <v>65</v>
      </c>
      <c r="C885" t="s">
        <v>373</v>
      </c>
      <c r="D885" t="s">
        <v>39</v>
      </c>
      <c r="E885" t="s">
        <v>46</v>
      </c>
      <c r="F885" t="s">
        <v>51</v>
      </c>
      <c r="G885" t="s">
        <v>42</v>
      </c>
    </row>
    <row r="886" spans="1:7" x14ac:dyDescent="0.2">
      <c r="A886">
        <v>18</v>
      </c>
      <c r="B886">
        <v>65</v>
      </c>
      <c r="C886" t="s">
        <v>442</v>
      </c>
      <c r="D886" t="s">
        <v>39</v>
      </c>
      <c r="E886" t="s">
        <v>46</v>
      </c>
      <c r="F886" t="s">
        <v>51</v>
      </c>
      <c r="G886" t="s">
        <v>42</v>
      </c>
    </row>
    <row r="887" spans="1:7" x14ac:dyDescent="0.2">
      <c r="A887">
        <v>18</v>
      </c>
      <c r="B887">
        <v>65</v>
      </c>
      <c r="C887" t="s">
        <v>443</v>
      </c>
      <c r="D887" t="s">
        <v>39</v>
      </c>
      <c r="E887" t="s">
        <v>46</v>
      </c>
      <c r="F887" t="s">
        <v>51</v>
      </c>
      <c r="G887" t="s">
        <v>42</v>
      </c>
    </row>
    <row r="888" spans="1:7" x14ac:dyDescent="0.2">
      <c r="A888">
        <v>18</v>
      </c>
      <c r="B888">
        <v>65</v>
      </c>
      <c r="C888" t="s">
        <v>435</v>
      </c>
      <c r="D888" t="s">
        <v>94</v>
      </c>
      <c r="E888" t="s">
        <v>46</v>
      </c>
      <c r="F888" t="s">
        <v>51</v>
      </c>
      <c r="G888" t="s">
        <v>42</v>
      </c>
    </row>
    <row r="889" spans="1:7" x14ac:dyDescent="0.2">
      <c r="A889">
        <v>18</v>
      </c>
      <c r="B889">
        <v>65</v>
      </c>
      <c r="C889" t="s">
        <v>437</v>
      </c>
      <c r="D889" t="s">
        <v>94</v>
      </c>
      <c r="E889" t="s">
        <v>46</v>
      </c>
      <c r="F889" t="s">
        <v>51</v>
      </c>
      <c r="G889" t="s">
        <v>42</v>
      </c>
    </row>
    <row r="890" spans="1:7" x14ac:dyDescent="0.2">
      <c r="A890">
        <v>19</v>
      </c>
      <c r="B890">
        <v>65</v>
      </c>
      <c r="C890" t="s">
        <v>444</v>
      </c>
      <c r="D890" t="s">
        <v>39</v>
      </c>
      <c r="E890" t="s">
        <v>46</v>
      </c>
      <c r="F890" t="s">
        <v>41</v>
      </c>
      <c r="G890" t="s">
        <v>42</v>
      </c>
    </row>
    <row r="891" spans="1:7" x14ac:dyDescent="0.2">
      <c r="A891">
        <v>19</v>
      </c>
      <c r="B891">
        <v>65</v>
      </c>
      <c r="C891" t="s">
        <v>445</v>
      </c>
      <c r="D891" t="s">
        <v>39</v>
      </c>
      <c r="E891" t="s">
        <v>46</v>
      </c>
      <c r="F891" t="s">
        <v>41</v>
      </c>
      <c r="G891" t="s">
        <v>42</v>
      </c>
    </row>
    <row r="892" spans="1:7" x14ac:dyDescent="0.2">
      <c r="A892">
        <v>19</v>
      </c>
      <c r="B892">
        <v>65</v>
      </c>
      <c r="C892" t="s">
        <v>446</v>
      </c>
      <c r="D892" t="s">
        <v>39</v>
      </c>
      <c r="E892" t="s">
        <v>46</v>
      </c>
      <c r="F892" t="s">
        <v>41</v>
      </c>
      <c r="G892" t="s">
        <v>42</v>
      </c>
    </row>
    <row r="893" spans="1:7" x14ac:dyDescent="0.2">
      <c r="A893">
        <v>19</v>
      </c>
      <c r="B893">
        <v>65</v>
      </c>
      <c r="C893" t="s">
        <v>447</v>
      </c>
      <c r="D893" t="s">
        <v>39</v>
      </c>
      <c r="E893" t="s">
        <v>46</v>
      </c>
      <c r="F893" t="s">
        <v>41</v>
      </c>
      <c r="G893" t="s">
        <v>42</v>
      </c>
    </row>
    <row r="894" spans="1:7" x14ac:dyDescent="0.2">
      <c r="A894">
        <v>19</v>
      </c>
      <c r="B894">
        <v>65</v>
      </c>
      <c r="C894" t="s">
        <v>448</v>
      </c>
      <c r="D894" t="s">
        <v>39</v>
      </c>
      <c r="E894" t="s">
        <v>46</v>
      </c>
      <c r="F894" t="s">
        <v>41</v>
      </c>
      <c r="G894" t="s">
        <v>42</v>
      </c>
    </row>
    <row r="895" spans="1:7" x14ac:dyDescent="0.2">
      <c r="A895">
        <v>19</v>
      </c>
      <c r="B895">
        <v>65</v>
      </c>
      <c r="C895" t="s">
        <v>433</v>
      </c>
      <c r="D895" t="s">
        <v>39</v>
      </c>
      <c r="E895" t="s">
        <v>46</v>
      </c>
      <c r="F895" t="s">
        <v>41</v>
      </c>
      <c r="G895" t="s">
        <v>42</v>
      </c>
    </row>
    <row r="896" spans="1:7" x14ac:dyDescent="0.2">
      <c r="A896">
        <v>19</v>
      </c>
      <c r="B896">
        <v>65</v>
      </c>
      <c r="C896" t="s">
        <v>388</v>
      </c>
      <c r="D896" t="s">
        <v>39</v>
      </c>
      <c r="E896" t="s">
        <v>46</v>
      </c>
      <c r="F896" t="s">
        <v>41</v>
      </c>
      <c r="G896" t="s">
        <v>42</v>
      </c>
    </row>
    <row r="897" spans="1:7" x14ac:dyDescent="0.2">
      <c r="A897">
        <v>19</v>
      </c>
      <c r="B897">
        <v>65</v>
      </c>
      <c r="C897" t="s">
        <v>373</v>
      </c>
      <c r="D897" t="s">
        <v>39</v>
      </c>
      <c r="E897" t="s">
        <v>46</v>
      </c>
      <c r="F897" t="s">
        <v>41</v>
      </c>
      <c r="G897" t="s">
        <v>42</v>
      </c>
    </row>
    <row r="898" spans="1:7" x14ac:dyDescent="0.2">
      <c r="A898">
        <v>19</v>
      </c>
      <c r="B898">
        <v>65</v>
      </c>
      <c r="C898" t="s">
        <v>442</v>
      </c>
      <c r="D898" t="s">
        <v>39</v>
      </c>
      <c r="E898" t="s">
        <v>46</v>
      </c>
      <c r="F898" t="s">
        <v>41</v>
      </c>
      <c r="G898" t="s">
        <v>42</v>
      </c>
    </row>
    <row r="899" spans="1:7" x14ac:dyDescent="0.2">
      <c r="A899">
        <v>19</v>
      </c>
      <c r="B899">
        <v>65</v>
      </c>
      <c r="C899" t="s">
        <v>449</v>
      </c>
      <c r="D899" t="s">
        <v>39</v>
      </c>
      <c r="E899" t="s">
        <v>46</v>
      </c>
      <c r="F899" t="s">
        <v>41</v>
      </c>
      <c r="G899" t="s">
        <v>42</v>
      </c>
    </row>
    <row r="900" spans="1:7" x14ac:dyDescent="0.2">
      <c r="A900">
        <v>19</v>
      </c>
      <c r="B900">
        <v>65</v>
      </c>
      <c r="C900" t="s">
        <v>435</v>
      </c>
      <c r="D900" t="s">
        <v>39</v>
      </c>
      <c r="E900" t="s">
        <v>46</v>
      </c>
      <c r="F900" t="s">
        <v>41</v>
      </c>
      <c r="G900" t="s">
        <v>42</v>
      </c>
    </row>
    <row r="901" spans="1:7" x14ac:dyDescent="0.2">
      <c r="A901">
        <v>19</v>
      </c>
      <c r="B901">
        <v>65</v>
      </c>
      <c r="C901" t="s">
        <v>437</v>
      </c>
      <c r="D901" t="s">
        <v>39</v>
      </c>
      <c r="E901" t="s">
        <v>46</v>
      </c>
      <c r="F901" t="s">
        <v>41</v>
      </c>
      <c r="G901" t="s">
        <v>42</v>
      </c>
    </row>
    <row r="902" spans="1:7" x14ac:dyDescent="0.2">
      <c r="A902">
        <v>20</v>
      </c>
      <c r="B902">
        <v>65</v>
      </c>
      <c r="C902" t="s">
        <v>437</v>
      </c>
      <c r="D902" t="s">
        <v>39</v>
      </c>
      <c r="E902" t="s">
        <v>46</v>
      </c>
      <c r="F902" t="s">
        <v>41</v>
      </c>
      <c r="G902" t="s">
        <v>42</v>
      </c>
    </row>
    <row r="903" spans="1:7" x14ac:dyDescent="0.2">
      <c r="A903">
        <v>20</v>
      </c>
      <c r="B903">
        <v>65</v>
      </c>
      <c r="C903" t="s">
        <v>435</v>
      </c>
      <c r="D903" t="s">
        <v>39</v>
      </c>
      <c r="E903" t="s">
        <v>46</v>
      </c>
      <c r="F903" t="s">
        <v>41</v>
      </c>
      <c r="G903" t="s">
        <v>42</v>
      </c>
    </row>
    <row r="904" spans="1:7" x14ac:dyDescent="0.2">
      <c r="A904">
        <v>20</v>
      </c>
      <c r="B904">
        <v>65</v>
      </c>
      <c r="C904" t="s">
        <v>450</v>
      </c>
      <c r="D904" t="s">
        <v>39</v>
      </c>
      <c r="E904" t="s">
        <v>46</v>
      </c>
      <c r="F904" t="s">
        <v>41</v>
      </c>
      <c r="G904" t="s">
        <v>42</v>
      </c>
    </row>
    <row r="905" spans="1:7" x14ac:dyDescent="0.2">
      <c r="A905">
        <v>20</v>
      </c>
      <c r="B905">
        <v>65</v>
      </c>
      <c r="C905" t="s">
        <v>373</v>
      </c>
      <c r="D905" t="s">
        <v>39</v>
      </c>
      <c r="E905" t="s">
        <v>46</v>
      </c>
      <c r="F905" t="s">
        <v>41</v>
      </c>
      <c r="G905" t="s">
        <v>42</v>
      </c>
    </row>
    <row r="906" spans="1:7" x14ac:dyDescent="0.2">
      <c r="A906">
        <v>20</v>
      </c>
      <c r="B906">
        <v>65</v>
      </c>
      <c r="C906" t="s">
        <v>388</v>
      </c>
      <c r="D906" t="s">
        <v>39</v>
      </c>
      <c r="E906" t="s">
        <v>46</v>
      </c>
      <c r="F906" t="s">
        <v>41</v>
      </c>
      <c r="G906" t="s">
        <v>42</v>
      </c>
    </row>
    <row r="907" spans="1:7" x14ac:dyDescent="0.2">
      <c r="A907">
        <v>20</v>
      </c>
      <c r="B907">
        <v>65</v>
      </c>
      <c r="C907" t="s">
        <v>433</v>
      </c>
      <c r="D907" t="s">
        <v>39</v>
      </c>
      <c r="E907" t="s">
        <v>46</v>
      </c>
      <c r="F907" t="s">
        <v>41</v>
      </c>
      <c r="G907" t="s">
        <v>42</v>
      </c>
    </row>
    <row r="908" spans="1:7" x14ac:dyDescent="0.2">
      <c r="A908">
        <v>20</v>
      </c>
      <c r="B908">
        <v>65</v>
      </c>
      <c r="C908" t="s">
        <v>448</v>
      </c>
      <c r="D908" t="s">
        <v>39</v>
      </c>
      <c r="E908" t="s">
        <v>46</v>
      </c>
      <c r="F908" t="s">
        <v>41</v>
      </c>
      <c r="G908" t="s">
        <v>42</v>
      </c>
    </row>
    <row r="909" spans="1:7" x14ac:dyDescent="0.2">
      <c r="A909">
        <v>20</v>
      </c>
      <c r="B909">
        <v>65</v>
      </c>
      <c r="C909" t="s">
        <v>447</v>
      </c>
      <c r="D909" t="s">
        <v>39</v>
      </c>
      <c r="E909" t="s">
        <v>46</v>
      </c>
      <c r="F909" t="s">
        <v>41</v>
      </c>
      <c r="G909" t="s">
        <v>42</v>
      </c>
    </row>
    <row r="910" spans="1:7" x14ac:dyDescent="0.2">
      <c r="A910">
        <v>20</v>
      </c>
      <c r="B910">
        <v>65</v>
      </c>
      <c r="C910" t="s">
        <v>451</v>
      </c>
      <c r="D910" t="s">
        <v>39</v>
      </c>
      <c r="E910" t="s">
        <v>46</v>
      </c>
      <c r="F910" t="s">
        <v>41</v>
      </c>
      <c r="G910" t="s">
        <v>42</v>
      </c>
    </row>
    <row r="911" spans="1:7" x14ac:dyDescent="0.2">
      <c r="A911">
        <v>20</v>
      </c>
      <c r="B911">
        <v>65</v>
      </c>
      <c r="C911" t="s">
        <v>452</v>
      </c>
      <c r="D911" t="s">
        <v>39</v>
      </c>
      <c r="E911" t="s">
        <v>46</v>
      </c>
      <c r="F911" t="s">
        <v>41</v>
      </c>
      <c r="G911" t="s">
        <v>42</v>
      </c>
    </row>
    <row r="912" spans="1:7" x14ac:dyDescent="0.2">
      <c r="A912">
        <v>20</v>
      </c>
      <c r="B912">
        <v>65</v>
      </c>
      <c r="C912" t="s">
        <v>453</v>
      </c>
      <c r="D912" t="s">
        <v>39</v>
      </c>
      <c r="E912" t="s">
        <v>46</v>
      </c>
      <c r="F912" t="s">
        <v>41</v>
      </c>
      <c r="G912" t="s">
        <v>42</v>
      </c>
    </row>
    <row r="913" spans="1:7" x14ac:dyDescent="0.2">
      <c r="A913">
        <v>21</v>
      </c>
      <c r="B913">
        <v>65</v>
      </c>
      <c r="C913" t="s">
        <v>322</v>
      </c>
      <c r="D913" t="s">
        <v>39</v>
      </c>
      <c r="E913" t="s">
        <v>40</v>
      </c>
      <c r="F913" t="s">
        <v>41</v>
      </c>
      <c r="G913" t="s">
        <v>42</v>
      </c>
    </row>
    <row r="914" spans="1:7" x14ac:dyDescent="0.2">
      <c r="A914">
        <v>21</v>
      </c>
      <c r="B914">
        <v>65</v>
      </c>
      <c r="C914" t="s">
        <v>317</v>
      </c>
      <c r="D914" t="s">
        <v>39</v>
      </c>
      <c r="E914" t="s">
        <v>40</v>
      </c>
      <c r="F914" t="s">
        <v>41</v>
      </c>
      <c r="G914" t="s">
        <v>42</v>
      </c>
    </row>
    <row r="915" spans="1:7" x14ac:dyDescent="0.2">
      <c r="A915">
        <v>21</v>
      </c>
      <c r="B915">
        <v>65</v>
      </c>
      <c r="C915" t="s">
        <v>439</v>
      </c>
      <c r="D915" t="s">
        <v>39</v>
      </c>
      <c r="E915" t="s">
        <v>40</v>
      </c>
      <c r="F915" t="s">
        <v>41</v>
      </c>
      <c r="G915" t="s">
        <v>42</v>
      </c>
    </row>
    <row r="916" spans="1:7" x14ac:dyDescent="0.2">
      <c r="A916">
        <v>21</v>
      </c>
      <c r="B916">
        <v>65</v>
      </c>
      <c r="C916" t="s">
        <v>454</v>
      </c>
      <c r="D916" t="s">
        <v>39</v>
      </c>
      <c r="E916" t="s">
        <v>40</v>
      </c>
      <c r="F916" t="s">
        <v>41</v>
      </c>
      <c r="G916" t="s">
        <v>42</v>
      </c>
    </row>
    <row r="917" spans="1:7" x14ac:dyDescent="0.2">
      <c r="A917">
        <v>21</v>
      </c>
      <c r="B917">
        <v>65</v>
      </c>
      <c r="C917" t="s">
        <v>455</v>
      </c>
      <c r="D917" t="s">
        <v>39</v>
      </c>
      <c r="E917" t="s">
        <v>40</v>
      </c>
      <c r="F917" t="s">
        <v>41</v>
      </c>
      <c r="G917" t="s">
        <v>42</v>
      </c>
    </row>
    <row r="918" spans="1:7" x14ac:dyDescent="0.2">
      <c r="A918">
        <v>21</v>
      </c>
      <c r="B918">
        <v>65</v>
      </c>
      <c r="C918" t="s">
        <v>456</v>
      </c>
      <c r="D918" t="s">
        <v>39</v>
      </c>
      <c r="E918" t="s">
        <v>40</v>
      </c>
      <c r="F918" t="s">
        <v>41</v>
      </c>
      <c r="G918" t="s">
        <v>42</v>
      </c>
    </row>
    <row r="919" spans="1:7" x14ac:dyDescent="0.2">
      <c r="A919">
        <v>21</v>
      </c>
      <c r="B919">
        <v>65</v>
      </c>
      <c r="C919" t="s">
        <v>457</v>
      </c>
      <c r="D919" t="s">
        <v>39</v>
      </c>
      <c r="E919" t="s">
        <v>40</v>
      </c>
      <c r="F919" t="s">
        <v>41</v>
      </c>
      <c r="G919" t="s">
        <v>42</v>
      </c>
    </row>
    <row r="920" spans="1:7" x14ac:dyDescent="0.2">
      <c r="A920">
        <v>21</v>
      </c>
      <c r="B920">
        <v>65</v>
      </c>
      <c r="C920" t="s">
        <v>369</v>
      </c>
      <c r="D920" t="s">
        <v>39</v>
      </c>
      <c r="E920" t="s">
        <v>40</v>
      </c>
      <c r="F920" t="s">
        <v>41</v>
      </c>
      <c r="G920" t="s">
        <v>42</v>
      </c>
    </row>
    <row r="921" spans="1:7" x14ac:dyDescent="0.2">
      <c r="A921">
        <v>21</v>
      </c>
      <c r="B921">
        <v>65</v>
      </c>
      <c r="C921" t="s">
        <v>458</v>
      </c>
      <c r="D921" t="s">
        <v>39</v>
      </c>
      <c r="E921" t="s">
        <v>40</v>
      </c>
      <c r="F921" t="s">
        <v>41</v>
      </c>
      <c r="G921" t="s">
        <v>42</v>
      </c>
    </row>
    <row r="922" spans="1:7" x14ac:dyDescent="0.2">
      <c r="A922">
        <v>21</v>
      </c>
      <c r="B922">
        <v>65</v>
      </c>
      <c r="C922" t="s">
        <v>459</v>
      </c>
      <c r="D922" t="s">
        <v>39</v>
      </c>
      <c r="E922" t="s">
        <v>40</v>
      </c>
      <c r="F922" t="s">
        <v>41</v>
      </c>
      <c r="G922" t="s">
        <v>42</v>
      </c>
    </row>
    <row r="923" spans="1:7" x14ac:dyDescent="0.2">
      <c r="A923">
        <v>21</v>
      </c>
      <c r="B923">
        <v>65</v>
      </c>
      <c r="C923" t="s">
        <v>450</v>
      </c>
      <c r="D923" t="s">
        <v>39</v>
      </c>
      <c r="E923" t="s">
        <v>40</v>
      </c>
      <c r="F923" t="s">
        <v>41</v>
      </c>
      <c r="G923" t="s">
        <v>42</v>
      </c>
    </row>
    <row r="924" spans="1:7" x14ac:dyDescent="0.2">
      <c r="A924">
        <v>21</v>
      </c>
      <c r="B924">
        <v>65</v>
      </c>
      <c r="C924" t="s">
        <v>373</v>
      </c>
      <c r="D924" t="s">
        <v>39</v>
      </c>
      <c r="E924" t="s">
        <v>40</v>
      </c>
      <c r="F924" t="s">
        <v>41</v>
      </c>
      <c r="G924" t="s">
        <v>42</v>
      </c>
    </row>
    <row r="925" spans="1:7" x14ac:dyDescent="0.2">
      <c r="A925">
        <v>21</v>
      </c>
      <c r="B925">
        <v>65</v>
      </c>
      <c r="C925" t="s">
        <v>448</v>
      </c>
      <c r="D925" t="s">
        <v>39</v>
      </c>
      <c r="E925" t="s">
        <v>40</v>
      </c>
      <c r="F925" t="s">
        <v>41</v>
      </c>
      <c r="G925" t="s">
        <v>42</v>
      </c>
    </row>
    <row r="926" spans="1:7" x14ac:dyDescent="0.2">
      <c r="A926">
        <v>21</v>
      </c>
      <c r="B926">
        <v>65</v>
      </c>
      <c r="C926" t="s">
        <v>388</v>
      </c>
      <c r="D926" t="s">
        <v>39</v>
      </c>
      <c r="E926" t="s">
        <v>40</v>
      </c>
      <c r="F926" t="s">
        <v>41</v>
      </c>
      <c r="G926" t="s">
        <v>42</v>
      </c>
    </row>
    <row r="927" spans="1:7" x14ac:dyDescent="0.2">
      <c r="A927">
        <v>21</v>
      </c>
      <c r="B927">
        <v>65</v>
      </c>
      <c r="C927" t="s">
        <v>460</v>
      </c>
      <c r="D927" t="s">
        <v>39</v>
      </c>
      <c r="E927" t="s">
        <v>40</v>
      </c>
      <c r="F927" t="s">
        <v>41</v>
      </c>
      <c r="G927" t="s">
        <v>42</v>
      </c>
    </row>
    <row r="928" spans="1:7" x14ac:dyDescent="0.2">
      <c r="A928">
        <v>21</v>
      </c>
      <c r="B928">
        <v>65</v>
      </c>
      <c r="C928" t="s">
        <v>451</v>
      </c>
      <c r="D928" t="s">
        <v>39</v>
      </c>
      <c r="E928" t="s">
        <v>40</v>
      </c>
      <c r="F928" t="s">
        <v>41</v>
      </c>
      <c r="G928" t="s">
        <v>42</v>
      </c>
    </row>
    <row r="929" spans="1:7" x14ac:dyDescent="0.2">
      <c r="A929">
        <v>22</v>
      </c>
      <c r="B929">
        <v>65</v>
      </c>
      <c r="C929" t="s">
        <v>322</v>
      </c>
      <c r="D929" t="s">
        <v>39</v>
      </c>
      <c r="E929" t="s">
        <v>46</v>
      </c>
      <c r="F929" t="s">
        <v>41</v>
      </c>
      <c r="G929" t="s">
        <v>42</v>
      </c>
    </row>
    <row r="930" spans="1:7" x14ac:dyDescent="0.2">
      <c r="A930">
        <v>22</v>
      </c>
      <c r="B930">
        <v>65</v>
      </c>
      <c r="C930" t="s">
        <v>461</v>
      </c>
      <c r="D930" t="s">
        <v>39</v>
      </c>
      <c r="E930" t="s">
        <v>46</v>
      </c>
      <c r="F930" t="s">
        <v>51</v>
      </c>
      <c r="G930" t="s">
        <v>42</v>
      </c>
    </row>
    <row r="931" spans="1:7" x14ac:dyDescent="0.2">
      <c r="A931">
        <v>22</v>
      </c>
      <c r="B931">
        <v>65</v>
      </c>
      <c r="C931" t="s">
        <v>317</v>
      </c>
      <c r="D931" t="s">
        <v>39</v>
      </c>
      <c r="E931" t="s">
        <v>46</v>
      </c>
      <c r="F931" t="s">
        <v>41</v>
      </c>
      <c r="G931" t="s">
        <v>42</v>
      </c>
    </row>
    <row r="932" spans="1:7" x14ac:dyDescent="0.2">
      <c r="A932">
        <v>22</v>
      </c>
      <c r="B932">
        <v>65</v>
      </c>
      <c r="C932" t="s">
        <v>456</v>
      </c>
      <c r="D932" t="s">
        <v>39</v>
      </c>
      <c r="E932" t="s">
        <v>46</v>
      </c>
      <c r="F932" t="s">
        <v>41</v>
      </c>
      <c r="G932" t="s">
        <v>42</v>
      </c>
    </row>
    <row r="933" spans="1:7" x14ac:dyDescent="0.2">
      <c r="A933">
        <v>22</v>
      </c>
      <c r="B933">
        <v>65</v>
      </c>
      <c r="C933" t="s">
        <v>462</v>
      </c>
      <c r="D933" t="s">
        <v>39</v>
      </c>
      <c r="E933" t="s">
        <v>46</v>
      </c>
      <c r="F933" t="s">
        <v>47</v>
      </c>
      <c r="G933" t="s">
        <v>42</v>
      </c>
    </row>
    <row r="934" spans="1:7" x14ac:dyDescent="0.2">
      <c r="A934">
        <v>22</v>
      </c>
      <c r="B934">
        <v>65</v>
      </c>
      <c r="C934" t="s">
        <v>463</v>
      </c>
      <c r="D934" t="s">
        <v>39</v>
      </c>
      <c r="E934" t="s">
        <v>46</v>
      </c>
      <c r="F934" t="s">
        <v>51</v>
      </c>
      <c r="G934" t="s">
        <v>42</v>
      </c>
    </row>
    <row r="935" spans="1:7" x14ac:dyDescent="0.2">
      <c r="A935">
        <v>22</v>
      </c>
      <c r="B935">
        <v>65</v>
      </c>
      <c r="C935" t="s">
        <v>464</v>
      </c>
      <c r="D935" t="s">
        <v>39</v>
      </c>
      <c r="E935" t="s">
        <v>46</v>
      </c>
      <c r="F935" t="s">
        <v>41</v>
      </c>
      <c r="G935" t="s">
        <v>42</v>
      </c>
    </row>
    <row r="936" spans="1:7" x14ac:dyDescent="0.2">
      <c r="A936">
        <v>22</v>
      </c>
      <c r="B936">
        <v>65</v>
      </c>
      <c r="C936" t="s">
        <v>373</v>
      </c>
      <c r="D936" t="s">
        <v>39</v>
      </c>
      <c r="E936" t="s">
        <v>46</v>
      </c>
      <c r="F936" t="s">
        <v>41</v>
      </c>
      <c r="G936" t="s">
        <v>42</v>
      </c>
    </row>
    <row r="937" spans="1:7" x14ac:dyDescent="0.2">
      <c r="A937">
        <v>22</v>
      </c>
      <c r="B937">
        <v>65</v>
      </c>
      <c r="C937" t="s">
        <v>465</v>
      </c>
      <c r="D937" t="s">
        <v>39</v>
      </c>
      <c r="E937" t="s">
        <v>46</v>
      </c>
      <c r="F937" t="s">
        <v>41</v>
      </c>
      <c r="G937" t="s">
        <v>42</v>
      </c>
    </row>
    <row r="938" spans="1:7" x14ac:dyDescent="0.2">
      <c r="A938">
        <v>22</v>
      </c>
      <c r="B938">
        <v>65</v>
      </c>
      <c r="C938" t="s">
        <v>466</v>
      </c>
      <c r="D938" t="s">
        <v>39</v>
      </c>
      <c r="E938" t="s">
        <v>46</v>
      </c>
      <c r="F938" t="s">
        <v>41</v>
      </c>
      <c r="G938" t="s">
        <v>42</v>
      </c>
    </row>
    <row r="939" spans="1:7" x14ac:dyDescent="0.2">
      <c r="A939">
        <v>22</v>
      </c>
      <c r="B939">
        <v>65</v>
      </c>
      <c r="C939" t="s">
        <v>467</v>
      </c>
      <c r="D939" t="s">
        <v>39</v>
      </c>
      <c r="E939" t="s">
        <v>46</v>
      </c>
      <c r="F939" t="s">
        <v>41</v>
      </c>
      <c r="G939" t="s">
        <v>42</v>
      </c>
    </row>
    <row r="940" spans="1:7" x14ac:dyDescent="0.2">
      <c r="A940">
        <v>7</v>
      </c>
      <c r="B940">
        <v>66</v>
      </c>
      <c r="C940" t="s">
        <v>468</v>
      </c>
      <c r="D940" t="s">
        <v>39</v>
      </c>
      <c r="E940" t="s">
        <v>46</v>
      </c>
      <c r="F940" t="s">
        <v>41</v>
      </c>
      <c r="G940" t="s">
        <v>42</v>
      </c>
    </row>
    <row r="941" spans="1:7" x14ac:dyDescent="0.2">
      <c r="A941">
        <v>7</v>
      </c>
      <c r="B941">
        <v>66</v>
      </c>
      <c r="C941" t="s">
        <v>469</v>
      </c>
      <c r="D941" t="s">
        <v>39</v>
      </c>
      <c r="E941" t="s">
        <v>46</v>
      </c>
      <c r="F941" t="s">
        <v>51</v>
      </c>
      <c r="G941" t="s">
        <v>42</v>
      </c>
    </row>
    <row r="942" spans="1:7" x14ac:dyDescent="0.2">
      <c r="A942">
        <v>7</v>
      </c>
      <c r="B942">
        <v>66</v>
      </c>
      <c r="C942" t="s">
        <v>470</v>
      </c>
      <c r="D942" t="s">
        <v>39</v>
      </c>
      <c r="E942" t="s">
        <v>46</v>
      </c>
      <c r="F942" t="s">
        <v>51</v>
      </c>
      <c r="G942" t="s">
        <v>42</v>
      </c>
    </row>
    <row r="943" spans="1:7" x14ac:dyDescent="0.2">
      <c r="A943">
        <v>7</v>
      </c>
      <c r="B943">
        <v>66</v>
      </c>
      <c r="C943" t="s">
        <v>471</v>
      </c>
      <c r="D943" t="s">
        <v>39</v>
      </c>
      <c r="E943" t="s">
        <v>40</v>
      </c>
      <c r="F943" t="s">
        <v>51</v>
      </c>
      <c r="G943" t="s">
        <v>42</v>
      </c>
    </row>
    <row r="944" spans="1:7" x14ac:dyDescent="0.2">
      <c r="A944">
        <v>7</v>
      </c>
      <c r="B944">
        <v>66</v>
      </c>
      <c r="C944" t="s">
        <v>472</v>
      </c>
      <c r="D944" t="s">
        <v>39</v>
      </c>
      <c r="E944" t="s">
        <v>40</v>
      </c>
      <c r="F944" t="s">
        <v>41</v>
      </c>
      <c r="G944" t="s">
        <v>42</v>
      </c>
    </row>
    <row r="945" spans="1:7" x14ac:dyDescent="0.2">
      <c r="A945">
        <v>8</v>
      </c>
      <c r="B945">
        <v>66</v>
      </c>
      <c r="C945" t="s">
        <v>468</v>
      </c>
      <c r="D945" t="s">
        <v>39</v>
      </c>
      <c r="E945" t="s">
        <v>40</v>
      </c>
      <c r="F945" t="s">
        <v>41</v>
      </c>
      <c r="G945" t="s">
        <v>42</v>
      </c>
    </row>
    <row r="946" spans="1:7" x14ac:dyDescent="0.2">
      <c r="A946">
        <v>8</v>
      </c>
      <c r="B946">
        <v>66</v>
      </c>
      <c r="C946" t="s">
        <v>473</v>
      </c>
      <c r="D946" t="s">
        <v>94</v>
      </c>
      <c r="E946" t="s">
        <v>40</v>
      </c>
      <c r="F946" t="s">
        <v>41</v>
      </c>
      <c r="G946" t="s">
        <v>42</v>
      </c>
    </row>
    <row r="947" spans="1:7" x14ac:dyDescent="0.2">
      <c r="A947">
        <v>8</v>
      </c>
      <c r="B947">
        <v>66</v>
      </c>
      <c r="C947" t="s">
        <v>469</v>
      </c>
      <c r="D947" t="s">
        <v>39</v>
      </c>
      <c r="E947" t="s">
        <v>40</v>
      </c>
      <c r="F947" t="s">
        <v>51</v>
      </c>
      <c r="G947" t="s">
        <v>42</v>
      </c>
    </row>
    <row r="948" spans="1:7" x14ac:dyDescent="0.2">
      <c r="A948">
        <v>8</v>
      </c>
      <c r="B948">
        <v>66</v>
      </c>
      <c r="C948" t="s">
        <v>474</v>
      </c>
      <c r="D948" t="s">
        <v>39</v>
      </c>
      <c r="E948" t="s">
        <v>40</v>
      </c>
      <c r="F948" t="s">
        <v>51</v>
      </c>
      <c r="G948" t="s">
        <v>42</v>
      </c>
    </row>
    <row r="949" spans="1:7" x14ac:dyDescent="0.2">
      <c r="A949">
        <v>8</v>
      </c>
      <c r="B949">
        <v>66</v>
      </c>
      <c r="C949" t="s">
        <v>470</v>
      </c>
      <c r="D949" t="s">
        <v>39</v>
      </c>
      <c r="E949" t="s">
        <v>40</v>
      </c>
      <c r="F949" t="s">
        <v>51</v>
      </c>
      <c r="G949" t="s">
        <v>42</v>
      </c>
    </row>
    <row r="950" spans="1:7" x14ac:dyDescent="0.2">
      <c r="A950">
        <v>8</v>
      </c>
      <c r="B950">
        <v>66</v>
      </c>
      <c r="C950" t="s">
        <v>170</v>
      </c>
      <c r="D950" t="s">
        <v>39</v>
      </c>
      <c r="E950" t="s">
        <v>40</v>
      </c>
      <c r="F950" t="s">
        <v>51</v>
      </c>
      <c r="G950" t="s">
        <v>42</v>
      </c>
    </row>
    <row r="951" spans="1:7" x14ac:dyDescent="0.2">
      <c r="A951">
        <v>8</v>
      </c>
      <c r="B951">
        <v>66</v>
      </c>
      <c r="C951" t="s">
        <v>475</v>
      </c>
      <c r="D951" t="s">
        <v>39</v>
      </c>
      <c r="E951" t="s">
        <v>40</v>
      </c>
      <c r="F951" t="s">
        <v>51</v>
      </c>
      <c r="G951" t="s">
        <v>42</v>
      </c>
    </row>
    <row r="952" spans="1:7" x14ac:dyDescent="0.2">
      <c r="A952">
        <v>8</v>
      </c>
      <c r="B952">
        <v>66</v>
      </c>
      <c r="C952" t="s">
        <v>476</v>
      </c>
      <c r="D952" t="s">
        <v>39</v>
      </c>
      <c r="E952" t="s">
        <v>40</v>
      </c>
      <c r="F952" t="s">
        <v>51</v>
      </c>
      <c r="G952" t="s">
        <v>42</v>
      </c>
    </row>
    <row r="953" spans="1:7" x14ac:dyDescent="0.2">
      <c r="A953">
        <v>8</v>
      </c>
      <c r="B953">
        <v>66</v>
      </c>
      <c r="C953" t="s">
        <v>477</v>
      </c>
      <c r="D953" t="s">
        <v>39</v>
      </c>
      <c r="E953" t="s">
        <v>40</v>
      </c>
      <c r="F953" t="s">
        <v>51</v>
      </c>
      <c r="G953" t="s">
        <v>42</v>
      </c>
    </row>
    <row r="954" spans="1:7" x14ac:dyDescent="0.2">
      <c r="A954">
        <v>8</v>
      </c>
      <c r="B954">
        <v>66</v>
      </c>
      <c r="C954" t="s">
        <v>478</v>
      </c>
      <c r="D954" t="s">
        <v>39</v>
      </c>
      <c r="E954" t="s">
        <v>40</v>
      </c>
      <c r="F954" t="s">
        <v>51</v>
      </c>
      <c r="G954" t="s">
        <v>42</v>
      </c>
    </row>
    <row r="955" spans="1:7" x14ac:dyDescent="0.2">
      <c r="A955">
        <v>8</v>
      </c>
      <c r="B955">
        <v>66</v>
      </c>
      <c r="C955" t="s">
        <v>479</v>
      </c>
      <c r="D955" t="s">
        <v>39</v>
      </c>
      <c r="E955" t="s">
        <v>40</v>
      </c>
      <c r="F955" t="s">
        <v>51</v>
      </c>
      <c r="G955" t="s">
        <v>42</v>
      </c>
    </row>
    <row r="956" spans="1:7" x14ac:dyDescent="0.2">
      <c r="A956">
        <v>8</v>
      </c>
      <c r="B956">
        <v>66</v>
      </c>
      <c r="C956" t="s">
        <v>480</v>
      </c>
      <c r="D956" t="s">
        <v>39</v>
      </c>
      <c r="E956" t="s">
        <v>40</v>
      </c>
      <c r="F956" t="s">
        <v>51</v>
      </c>
      <c r="G956" t="s">
        <v>42</v>
      </c>
    </row>
    <row r="957" spans="1:7" x14ac:dyDescent="0.2">
      <c r="A957">
        <v>9</v>
      </c>
      <c r="B957">
        <v>66</v>
      </c>
      <c r="C957" t="s">
        <v>468</v>
      </c>
      <c r="D957" t="s">
        <v>39</v>
      </c>
      <c r="E957" t="s">
        <v>40</v>
      </c>
      <c r="F957" t="s">
        <v>51</v>
      </c>
      <c r="G957" t="s">
        <v>42</v>
      </c>
    </row>
    <row r="958" spans="1:7" x14ac:dyDescent="0.2">
      <c r="A958">
        <v>9</v>
      </c>
      <c r="B958">
        <v>66</v>
      </c>
      <c r="C958" t="s">
        <v>481</v>
      </c>
      <c r="D958" t="s">
        <v>39</v>
      </c>
      <c r="E958" t="s">
        <v>40</v>
      </c>
      <c r="F958" t="s">
        <v>51</v>
      </c>
      <c r="G958" t="s">
        <v>42</v>
      </c>
    </row>
    <row r="959" spans="1:7" x14ac:dyDescent="0.2">
      <c r="A959">
        <v>9</v>
      </c>
      <c r="B959">
        <v>66</v>
      </c>
      <c r="C959" t="s">
        <v>482</v>
      </c>
      <c r="D959" t="s">
        <v>39</v>
      </c>
      <c r="E959" t="s">
        <v>40</v>
      </c>
      <c r="F959" t="s">
        <v>51</v>
      </c>
      <c r="G959" t="s">
        <v>42</v>
      </c>
    </row>
    <row r="960" spans="1:7" x14ac:dyDescent="0.2">
      <c r="A960">
        <v>9</v>
      </c>
      <c r="B960">
        <v>66</v>
      </c>
      <c r="C960" t="s">
        <v>483</v>
      </c>
      <c r="D960" t="s">
        <v>39</v>
      </c>
      <c r="E960" t="s">
        <v>40</v>
      </c>
      <c r="F960" t="s">
        <v>41</v>
      </c>
      <c r="G960" t="s">
        <v>42</v>
      </c>
    </row>
    <row r="961" spans="1:7" x14ac:dyDescent="0.2">
      <c r="A961">
        <v>9</v>
      </c>
      <c r="B961">
        <v>66</v>
      </c>
      <c r="C961" t="s">
        <v>484</v>
      </c>
      <c r="D961" t="s">
        <v>39</v>
      </c>
      <c r="E961" t="s">
        <v>40</v>
      </c>
      <c r="F961" t="s">
        <v>51</v>
      </c>
      <c r="G961" t="s">
        <v>42</v>
      </c>
    </row>
    <row r="962" spans="1:7" x14ac:dyDescent="0.2">
      <c r="A962">
        <v>9</v>
      </c>
      <c r="B962">
        <v>66</v>
      </c>
      <c r="C962" t="s">
        <v>469</v>
      </c>
      <c r="D962" t="s">
        <v>39</v>
      </c>
      <c r="E962" t="s">
        <v>40</v>
      </c>
      <c r="F962" t="s">
        <v>51</v>
      </c>
      <c r="G962" t="s">
        <v>42</v>
      </c>
    </row>
    <row r="963" spans="1:7" x14ac:dyDescent="0.2">
      <c r="A963">
        <v>9</v>
      </c>
      <c r="B963">
        <v>66</v>
      </c>
      <c r="C963" t="s">
        <v>485</v>
      </c>
      <c r="D963" t="s">
        <v>39</v>
      </c>
      <c r="E963" t="s">
        <v>40</v>
      </c>
      <c r="F963" t="s">
        <v>51</v>
      </c>
      <c r="G963" t="s">
        <v>42</v>
      </c>
    </row>
    <row r="964" spans="1:7" x14ac:dyDescent="0.2">
      <c r="A964">
        <v>9</v>
      </c>
      <c r="B964">
        <v>66</v>
      </c>
      <c r="C964" t="s">
        <v>486</v>
      </c>
      <c r="D964" t="s">
        <v>39</v>
      </c>
      <c r="E964" t="s">
        <v>40</v>
      </c>
      <c r="F964" t="s">
        <v>51</v>
      </c>
      <c r="G964" t="s">
        <v>42</v>
      </c>
    </row>
    <row r="965" spans="1:7" x14ac:dyDescent="0.2">
      <c r="A965">
        <v>9</v>
      </c>
      <c r="B965">
        <v>66</v>
      </c>
      <c r="C965" t="s">
        <v>474</v>
      </c>
      <c r="D965" t="s">
        <v>39</v>
      </c>
      <c r="E965" t="s">
        <v>40</v>
      </c>
      <c r="F965" t="s">
        <v>51</v>
      </c>
      <c r="G965" t="s">
        <v>42</v>
      </c>
    </row>
    <row r="966" spans="1:7" x14ac:dyDescent="0.2">
      <c r="A966">
        <v>9</v>
      </c>
      <c r="B966">
        <v>66</v>
      </c>
      <c r="C966" t="s">
        <v>487</v>
      </c>
      <c r="D966" t="s">
        <v>39</v>
      </c>
      <c r="E966" t="s">
        <v>40</v>
      </c>
      <c r="F966" t="s">
        <v>51</v>
      </c>
      <c r="G966" t="s">
        <v>42</v>
      </c>
    </row>
    <row r="967" spans="1:7" x14ac:dyDescent="0.2">
      <c r="A967">
        <v>9</v>
      </c>
      <c r="B967">
        <v>66</v>
      </c>
      <c r="C967" t="s">
        <v>470</v>
      </c>
      <c r="D967" t="s">
        <v>39</v>
      </c>
      <c r="E967" t="s">
        <v>40</v>
      </c>
      <c r="F967" t="s">
        <v>51</v>
      </c>
      <c r="G967" t="s">
        <v>42</v>
      </c>
    </row>
    <row r="968" spans="1:7" x14ac:dyDescent="0.2">
      <c r="A968">
        <v>9</v>
      </c>
      <c r="B968">
        <v>66</v>
      </c>
      <c r="C968" t="s">
        <v>488</v>
      </c>
      <c r="D968" t="s">
        <v>39</v>
      </c>
      <c r="E968" t="s">
        <v>40</v>
      </c>
      <c r="F968" t="s">
        <v>51</v>
      </c>
      <c r="G968" t="s">
        <v>42</v>
      </c>
    </row>
    <row r="969" spans="1:7" x14ac:dyDescent="0.2">
      <c r="A969">
        <v>9</v>
      </c>
      <c r="B969">
        <v>66</v>
      </c>
      <c r="C969" t="s">
        <v>489</v>
      </c>
      <c r="D969" t="s">
        <v>39</v>
      </c>
      <c r="E969" t="s">
        <v>40</v>
      </c>
      <c r="F969" t="s">
        <v>51</v>
      </c>
      <c r="G969" t="s">
        <v>42</v>
      </c>
    </row>
    <row r="970" spans="1:7" x14ac:dyDescent="0.2">
      <c r="A970">
        <v>9</v>
      </c>
      <c r="B970">
        <v>66</v>
      </c>
      <c r="C970" t="s">
        <v>490</v>
      </c>
      <c r="D970" t="s">
        <v>39</v>
      </c>
      <c r="E970" t="s">
        <v>40</v>
      </c>
      <c r="F970" t="s">
        <v>51</v>
      </c>
      <c r="G970" t="s">
        <v>42</v>
      </c>
    </row>
    <row r="971" spans="1:7" x14ac:dyDescent="0.2">
      <c r="A971">
        <v>9</v>
      </c>
      <c r="B971">
        <v>66</v>
      </c>
      <c r="C971" t="s">
        <v>491</v>
      </c>
      <c r="D971" t="s">
        <v>39</v>
      </c>
      <c r="E971" t="s">
        <v>40</v>
      </c>
      <c r="F971" t="s">
        <v>51</v>
      </c>
      <c r="G971" t="s">
        <v>42</v>
      </c>
    </row>
    <row r="972" spans="1:7" x14ac:dyDescent="0.2">
      <c r="A972">
        <v>9</v>
      </c>
      <c r="B972">
        <v>66</v>
      </c>
      <c r="C972" t="s">
        <v>492</v>
      </c>
      <c r="D972" t="s">
        <v>39</v>
      </c>
      <c r="E972" t="s">
        <v>40</v>
      </c>
      <c r="F972" t="s">
        <v>51</v>
      </c>
      <c r="G972" t="s">
        <v>42</v>
      </c>
    </row>
    <row r="973" spans="1:7" x14ac:dyDescent="0.2">
      <c r="A973">
        <v>9</v>
      </c>
      <c r="B973">
        <v>66</v>
      </c>
      <c r="C973" t="s">
        <v>493</v>
      </c>
      <c r="D973" t="s">
        <v>494</v>
      </c>
      <c r="E973" t="s">
        <v>40</v>
      </c>
      <c r="F973" t="s">
        <v>41</v>
      </c>
      <c r="G973" t="s">
        <v>42</v>
      </c>
    </row>
    <row r="974" spans="1:7" x14ac:dyDescent="0.2">
      <c r="A974">
        <v>9</v>
      </c>
      <c r="B974">
        <v>66</v>
      </c>
      <c r="C974" t="s">
        <v>477</v>
      </c>
      <c r="D974" t="s">
        <v>39</v>
      </c>
      <c r="E974" t="s">
        <v>40</v>
      </c>
      <c r="F974" t="s">
        <v>51</v>
      </c>
      <c r="G974" t="s">
        <v>42</v>
      </c>
    </row>
    <row r="975" spans="1:7" x14ac:dyDescent="0.2">
      <c r="A975">
        <v>9</v>
      </c>
      <c r="B975">
        <v>66</v>
      </c>
      <c r="C975" t="s">
        <v>495</v>
      </c>
      <c r="D975" t="s">
        <v>39</v>
      </c>
      <c r="E975" t="s">
        <v>40</v>
      </c>
      <c r="F975" t="s">
        <v>41</v>
      </c>
      <c r="G975" t="s">
        <v>42</v>
      </c>
    </row>
    <row r="976" spans="1:7" x14ac:dyDescent="0.2">
      <c r="A976">
        <v>9</v>
      </c>
      <c r="B976">
        <v>66</v>
      </c>
      <c r="C976" t="s">
        <v>496</v>
      </c>
      <c r="D976" t="s">
        <v>39</v>
      </c>
      <c r="E976" t="s">
        <v>40</v>
      </c>
      <c r="F976" t="s">
        <v>41</v>
      </c>
      <c r="G976" t="s">
        <v>42</v>
      </c>
    </row>
    <row r="977" spans="1:7" x14ac:dyDescent="0.2">
      <c r="A977">
        <v>9</v>
      </c>
      <c r="B977">
        <v>66</v>
      </c>
      <c r="C977" t="s">
        <v>497</v>
      </c>
      <c r="D977" t="s">
        <v>39</v>
      </c>
      <c r="E977" t="s">
        <v>40</v>
      </c>
      <c r="F977" t="s">
        <v>51</v>
      </c>
      <c r="G977" t="s">
        <v>42</v>
      </c>
    </row>
    <row r="978" spans="1:7" x14ac:dyDescent="0.2">
      <c r="A978">
        <v>9</v>
      </c>
      <c r="B978">
        <v>66</v>
      </c>
      <c r="C978" t="s">
        <v>498</v>
      </c>
      <c r="D978" t="s">
        <v>39</v>
      </c>
      <c r="E978" t="s">
        <v>40</v>
      </c>
      <c r="F978" t="s">
        <v>41</v>
      </c>
      <c r="G978" t="s">
        <v>42</v>
      </c>
    </row>
    <row r="979" spans="1:7" x14ac:dyDescent="0.2">
      <c r="A979">
        <v>9</v>
      </c>
      <c r="B979">
        <v>66</v>
      </c>
      <c r="C979" t="s">
        <v>480</v>
      </c>
      <c r="D979" t="s">
        <v>39</v>
      </c>
      <c r="E979" t="s">
        <v>40</v>
      </c>
      <c r="F979" t="s">
        <v>41</v>
      </c>
      <c r="G979" t="s">
        <v>42</v>
      </c>
    </row>
    <row r="980" spans="1:7" x14ac:dyDescent="0.2">
      <c r="A980">
        <v>10</v>
      </c>
      <c r="B980">
        <v>66</v>
      </c>
      <c r="C980" t="s">
        <v>499</v>
      </c>
      <c r="D980" t="s">
        <v>39</v>
      </c>
      <c r="E980" t="s">
        <v>46</v>
      </c>
      <c r="F980" t="s">
        <v>51</v>
      </c>
      <c r="G980" t="s">
        <v>42</v>
      </c>
    </row>
    <row r="981" spans="1:7" x14ac:dyDescent="0.2">
      <c r="A981">
        <v>10</v>
      </c>
      <c r="B981">
        <v>66</v>
      </c>
      <c r="C981" t="s">
        <v>500</v>
      </c>
      <c r="D981" t="s">
        <v>39</v>
      </c>
      <c r="E981" t="s">
        <v>46</v>
      </c>
      <c r="F981" t="s">
        <v>51</v>
      </c>
      <c r="G981" t="s">
        <v>42</v>
      </c>
    </row>
    <row r="982" spans="1:7" x14ac:dyDescent="0.2">
      <c r="A982">
        <v>10</v>
      </c>
      <c r="B982">
        <v>66</v>
      </c>
      <c r="C982" t="s">
        <v>468</v>
      </c>
      <c r="D982" t="s">
        <v>39</v>
      </c>
      <c r="E982" t="s">
        <v>46</v>
      </c>
      <c r="F982" t="s">
        <v>51</v>
      </c>
      <c r="G982" t="s">
        <v>42</v>
      </c>
    </row>
    <row r="983" spans="1:7" x14ac:dyDescent="0.2">
      <c r="A983">
        <v>10</v>
      </c>
      <c r="B983">
        <v>66</v>
      </c>
      <c r="C983" t="s">
        <v>501</v>
      </c>
      <c r="D983" t="s">
        <v>39</v>
      </c>
      <c r="E983" t="s">
        <v>46</v>
      </c>
      <c r="F983" t="s">
        <v>51</v>
      </c>
      <c r="G983" t="s">
        <v>42</v>
      </c>
    </row>
    <row r="984" spans="1:7" x14ac:dyDescent="0.2">
      <c r="A984">
        <v>10</v>
      </c>
      <c r="B984">
        <v>66</v>
      </c>
      <c r="C984" t="s">
        <v>502</v>
      </c>
      <c r="D984" t="s">
        <v>39</v>
      </c>
      <c r="E984" t="s">
        <v>46</v>
      </c>
      <c r="F984" t="s">
        <v>51</v>
      </c>
      <c r="G984" t="s">
        <v>42</v>
      </c>
    </row>
    <row r="985" spans="1:7" x14ac:dyDescent="0.2">
      <c r="A985">
        <v>10</v>
      </c>
      <c r="B985">
        <v>66</v>
      </c>
      <c r="C985" t="s">
        <v>484</v>
      </c>
      <c r="D985" t="s">
        <v>39</v>
      </c>
      <c r="E985" t="s">
        <v>46</v>
      </c>
      <c r="F985" t="s">
        <v>51</v>
      </c>
      <c r="G985" t="s">
        <v>42</v>
      </c>
    </row>
    <row r="986" spans="1:7" x14ac:dyDescent="0.2">
      <c r="A986">
        <v>10</v>
      </c>
      <c r="B986">
        <v>66</v>
      </c>
      <c r="C986" t="s">
        <v>503</v>
      </c>
      <c r="D986" t="s">
        <v>39</v>
      </c>
      <c r="E986" t="s">
        <v>46</v>
      </c>
      <c r="F986" t="s">
        <v>51</v>
      </c>
      <c r="G986" t="s">
        <v>42</v>
      </c>
    </row>
    <row r="987" spans="1:7" x14ac:dyDescent="0.2">
      <c r="A987">
        <v>10</v>
      </c>
      <c r="B987">
        <v>66</v>
      </c>
      <c r="C987" t="s">
        <v>504</v>
      </c>
      <c r="D987" t="s">
        <v>39</v>
      </c>
      <c r="E987" t="s">
        <v>46</v>
      </c>
      <c r="F987" t="s">
        <v>51</v>
      </c>
      <c r="G987" t="s">
        <v>42</v>
      </c>
    </row>
    <row r="988" spans="1:7" x14ac:dyDescent="0.2">
      <c r="A988">
        <v>10</v>
      </c>
      <c r="B988">
        <v>66</v>
      </c>
      <c r="C988" t="s">
        <v>486</v>
      </c>
      <c r="D988" t="s">
        <v>39</v>
      </c>
      <c r="E988" t="s">
        <v>46</v>
      </c>
      <c r="F988" t="s">
        <v>51</v>
      </c>
      <c r="G988" t="s">
        <v>42</v>
      </c>
    </row>
    <row r="989" spans="1:7" x14ac:dyDescent="0.2">
      <c r="A989">
        <v>10</v>
      </c>
      <c r="B989">
        <v>66</v>
      </c>
      <c r="C989" t="s">
        <v>474</v>
      </c>
      <c r="D989" t="s">
        <v>39</v>
      </c>
      <c r="E989" t="s">
        <v>46</v>
      </c>
      <c r="F989" t="s">
        <v>51</v>
      </c>
      <c r="G989" t="s">
        <v>42</v>
      </c>
    </row>
    <row r="990" spans="1:7" x14ac:dyDescent="0.2">
      <c r="A990">
        <v>10</v>
      </c>
      <c r="B990">
        <v>66</v>
      </c>
      <c r="C990" t="s">
        <v>505</v>
      </c>
      <c r="D990" t="s">
        <v>39</v>
      </c>
      <c r="E990" t="s">
        <v>46</v>
      </c>
      <c r="F990" t="s">
        <v>51</v>
      </c>
      <c r="G990" t="s">
        <v>42</v>
      </c>
    </row>
    <row r="991" spans="1:7" x14ac:dyDescent="0.2">
      <c r="A991">
        <v>10</v>
      </c>
      <c r="B991">
        <v>66</v>
      </c>
      <c r="C991" t="s">
        <v>470</v>
      </c>
      <c r="D991" t="s">
        <v>39</v>
      </c>
      <c r="E991" t="s">
        <v>46</v>
      </c>
      <c r="F991" t="s">
        <v>51</v>
      </c>
      <c r="G991" t="s">
        <v>42</v>
      </c>
    </row>
    <row r="992" spans="1:7" x14ac:dyDescent="0.2">
      <c r="A992">
        <v>10</v>
      </c>
      <c r="B992">
        <v>66</v>
      </c>
      <c r="C992" t="s">
        <v>506</v>
      </c>
      <c r="D992" t="s">
        <v>39</v>
      </c>
      <c r="E992" t="s">
        <v>46</v>
      </c>
      <c r="F992" t="s">
        <v>51</v>
      </c>
      <c r="G992" t="s">
        <v>42</v>
      </c>
    </row>
    <row r="993" spans="1:7" x14ac:dyDescent="0.2">
      <c r="A993">
        <v>10</v>
      </c>
      <c r="B993">
        <v>66</v>
      </c>
      <c r="C993" t="s">
        <v>507</v>
      </c>
      <c r="D993" t="s">
        <v>39</v>
      </c>
      <c r="E993" t="s">
        <v>46</v>
      </c>
      <c r="F993" t="s">
        <v>51</v>
      </c>
      <c r="G993" t="s">
        <v>42</v>
      </c>
    </row>
    <row r="994" spans="1:7" x14ac:dyDescent="0.2">
      <c r="A994">
        <v>10</v>
      </c>
      <c r="B994">
        <v>66</v>
      </c>
      <c r="C994" t="s">
        <v>492</v>
      </c>
      <c r="D994" t="s">
        <v>39</v>
      </c>
      <c r="E994" t="s">
        <v>46</v>
      </c>
      <c r="F994" t="s">
        <v>51</v>
      </c>
      <c r="G994" t="s">
        <v>42</v>
      </c>
    </row>
    <row r="995" spans="1:7" x14ac:dyDescent="0.2">
      <c r="A995">
        <v>10</v>
      </c>
      <c r="B995">
        <v>66</v>
      </c>
      <c r="C995" t="s">
        <v>508</v>
      </c>
      <c r="D995" t="s">
        <v>39</v>
      </c>
      <c r="E995" t="s">
        <v>46</v>
      </c>
      <c r="F995" t="s">
        <v>51</v>
      </c>
      <c r="G995" t="s">
        <v>42</v>
      </c>
    </row>
    <row r="996" spans="1:7" x14ac:dyDescent="0.2">
      <c r="A996">
        <v>10</v>
      </c>
      <c r="B996">
        <v>66</v>
      </c>
      <c r="C996" t="s">
        <v>509</v>
      </c>
      <c r="D996" t="s">
        <v>39</v>
      </c>
      <c r="E996" t="s">
        <v>46</v>
      </c>
      <c r="F996" t="s">
        <v>51</v>
      </c>
      <c r="G996" t="s">
        <v>42</v>
      </c>
    </row>
    <row r="997" spans="1:7" x14ac:dyDescent="0.2">
      <c r="A997">
        <v>10</v>
      </c>
      <c r="B997">
        <v>66</v>
      </c>
      <c r="C997" t="s">
        <v>496</v>
      </c>
      <c r="D997" t="s">
        <v>39</v>
      </c>
      <c r="E997" t="s">
        <v>46</v>
      </c>
      <c r="F997" t="s">
        <v>51</v>
      </c>
      <c r="G997" t="s">
        <v>42</v>
      </c>
    </row>
    <row r="998" spans="1:7" x14ac:dyDescent="0.2">
      <c r="A998">
        <v>10</v>
      </c>
      <c r="B998">
        <v>66</v>
      </c>
      <c r="C998" t="s">
        <v>497</v>
      </c>
      <c r="D998" t="s">
        <v>39</v>
      </c>
      <c r="E998" t="s">
        <v>46</v>
      </c>
      <c r="F998" t="s">
        <v>51</v>
      </c>
      <c r="G998" t="s">
        <v>42</v>
      </c>
    </row>
    <row r="999" spans="1:7" x14ac:dyDescent="0.2">
      <c r="A999">
        <v>10</v>
      </c>
      <c r="B999">
        <v>66</v>
      </c>
      <c r="C999" t="s">
        <v>498</v>
      </c>
      <c r="D999" t="s">
        <v>39</v>
      </c>
      <c r="E999" t="s">
        <v>46</v>
      </c>
      <c r="F999" t="s">
        <v>51</v>
      </c>
      <c r="G999" t="s">
        <v>42</v>
      </c>
    </row>
    <row r="1000" spans="1:7" x14ac:dyDescent="0.2">
      <c r="A1000">
        <v>10</v>
      </c>
      <c r="B1000">
        <v>66</v>
      </c>
      <c r="C1000" t="s">
        <v>480</v>
      </c>
      <c r="D1000" t="s">
        <v>39</v>
      </c>
      <c r="E1000" t="s">
        <v>46</v>
      </c>
      <c r="F1000" t="s">
        <v>51</v>
      </c>
      <c r="G1000" t="s">
        <v>42</v>
      </c>
    </row>
    <row r="1001" spans="1:7" x14ac:dyDescent="0.2">
      <c r="A1001">
        <v>11</v>
      </c>
      <c r="B1001">
        <v>66</v>
      </c>
      <c r="C1001" t="s">
        <v>480</v>
      </c>
      <c r="D1001" t="s">
        <v>39</v>
      </c>
      <c r="E1001" t="s">
        <v>46</v>
      </c>
      <c r="F1001" t="s">
        <v>51</v>
      </c>
      <c r="G1001" t="s">
        <v>42</v>
      </c>
    </row>
    <row r="1002" spans="1:7" x14ac:dyDescent="0.2">
      <c r="A1002">
        <v>11</v>
      </c>
      <c r="B1002">
        <v>66</v>
      </c>
      <c r="C1002" t="s">
        <v>498</v>
      </c>
      <c r="D1002" t="s">
        <v>39</v>
      </c>
      <c r="E1002" t="s">
        <v>46</v>
      </c>
      <c r="F1002" t="s">
        <v>51</v>
      </c>
      <c r="G1002" t="s">
        <v>42</v>
      </c>
    </row>
    <row r="1003" spans="1:7" x14ac:dyDescent="0.2">
      <c r="A1003">
        <v>11</v>
      </c>
      <c r="B1003">
        <v>66</v>
      </c>
      <c r="C1003" t="s">
        <v>510</v>
      </c>
      <c r="D1003" t="s">
        <v>39</v>
      </c>
      <c r="E1003" t="s">
        <v>46</v>
      </c>
      <c r="F1003" t="s">
        <v>51</v>
      </c>
      <c r="G1003" t="s">
        <v>42</v>
      </c>
    </row>
    <row r="1004" spans="1:7" x14ac:dyDescent="0.2">
      <c r="A1004">
        <v>11</v>
      </c>
      <c r="B1004">
        <v>66</v>
      </c>
      <c r="C1004" t="s">
        <v>497</v>
      </c>
      <c r="D1004" t="s">
        <v>39</v>
      </c>
      <c r="E1004" t="s">
        <v>46</v>
      </c>
      <c r="F1004" t="s">
        <v>51</v>
      </c>
      <c r="G1004" t="s">
        <v>42</v>
      </c>
    </row>
    <row r="1005" spans="1:7" x14ac:dyDescent="0.2">
      <c r="A1005">
        <v>11</v>
      </c>
      <c r="B1005">
        <v>66</v>
      </c>
      <c r="C1005" t="s">
        <v>496</v>
      </c>
      <c r="D1005" t="s">
        <v>39</v>
      </c>
      <c r="E1005" t="s">
        <v>46</v>
      </c>
      <c r="F1005" t="s">
        <v>51</v>
      </c>
      <c r="G1005" t="s">
        <v>42</v>
      </c>
    </row>
    <row r="1006" spans="1:7" x14ac:dyDescent="0.2">
      <c r="A1006">
        <v>11</v>
      </c>
      <c r="B1006">
        <v>66</v>
      </c>
      <c r="C1006" t="s">
        <v>511</v>
      </c>
      <c r="D1006" t="s">
        <v>39</v>
      </c>
      <c r="E1006" t="s">
        <v>46</v>
      </c>
      <c r="F1006" t="s">
        <v>51</v>
      </c>
      <c r="G1006" t="s">
        <v>42</v>
      </c>
    </row>
    <row r="1007" spans="1:7" x14ac:dyDescent="0.2">
      <c r="A1007">
        <v>11</v>
      </c>
      <c r="B1007">
        <v>66</v>
      </c>
      <c r="C1007" t="s">
        <v>512</v>
      </c>
      <c r="D1007" t="s">
        <v>39</v>
      </c>
      <c r="E1007" t="s">
        <v>46</v>
      </c>
      <c r="F1007" t="s">
        <v>51</v>
      </c>
      <c r="G1007" t="s">
        <v>42</v>
      </c>
    </row>
    <row r="1008" spans="1:7" x14ac:dyDescent="0.2">
      <c r="A1008">
        <v>11</v>
      </c>
      <c r="B1008">
        <v>66</v>
      </c>
      <c r="C1008" t="s">
        <v>513</v>
      </c>
      <c r="D1008" t="s">
        <v>39</v>
      </c>
      <c r="E1008" t="s">
        <v>46</v>
      </c>
      <c r="F1008" t="s">
        <v>51</v>
      </c>
      <c r="G1008" t="s">
        <v>42</v>
      </c>
    </row>
    <row r="1009" spans="1:7" x14ac:dyDescent="0.2">
      <c r="A1009">
        <v>11</v>
      </c>
      <c r="B1009">
        <v>66</v>
      </c>
      <c r="C1009" t="s">
        <v>508</v>
      </c>
      <c r="D1009" t="s">
        <v>39</v>
      </c>
      <c r="E1009" t="s">
        <v>46</v>
      </c>
      <c r="F1009" t="s">
        <v>51</v>
      </c>
      <c r="G1009" t="s">
        <v>42</v>
      </c>
    </row>
    <row r="1010" spans="1:7" x14ac:dyDescent="0.2">
      <c r="A1010">
        <v>11</v>
      </c>
      <c r="B1010">
        <v>66</v>
      </c>
      <c r="C1010" t="s">
        <v>514</v>
      </c>
      <c r="D1010" t="s">
        <v>39</v>
      </c>
      <c r="E1010" t="s">
        <v>46</v>
      </c>
      <c r="F1010" t="s">
        <v>51</v>
      </c>
      <c r="G1010" t="s">
        <v>42</v>
      </c>
    </row>
    <row r="1011" spans="1:7" x14ac:dyDescent="0.2">
      <c r="A1011">
        <v>11</v>
      </c>
      <c r="B1011">
        <v>66</v>
      </c>
      <c r="C1011" t="s">
        <v>507</v>
      </c>
      <c r="D1011" t="s">
        <v>39</v>
      </c>
      <c r="E1011" t="s">
        <v>46</v>
      </c>
      <c r="F1011" t="s">
        <v>51</v>
      </c>
      <c r="G1011" t="s">
        <v>42</v>
      </c>
    </row>
    <row r="1012" spans="1:7" x14ac:dyDescent="0.2">
      <c r="A1012">
        <v>11</v>
      </c>
      <c r="B1012">
        <v>66</v>
      </c>
      <c r="C1012" t="s">
        <v>515</v>
      </c>
      <c r="D1012" t="s">
        <v>494</v>
      </c>
      <c r="E1012" t="s">
        <v>46</v>
      </c>
      <c r="F1012" t="s">
        <v>41</v>
      </c>
      <c r="G1012" t="s">
        <v>42</v>
      </c>
    </row>
    <row r="1013" spans="1:7" x14ac:dyDescent="0.2">
      <c r="A1013">
        <v>11</v>
      </c>
      <c r="B1013">
        <v>66</v>
      </c>
      <c r="C1013" t="s">
        <v>516</v>
      </c>
      <c r="D1013" t="s">
        <v>39</v>
      </c>
      <c r="E1013" t="s">
        <v>46</v>
      </c>
      <c r="F1013" t="s">
        <v>51</v>
      </c>
      <c r="G1013" t="s">
        <v>42</v>
      </c>
    </row>
    <row r="1014" spans="1:7" x14ac:dyDescent="0.2">
      <c r="A1014">
        <v>11</v>
      </c>
      <c r="B1014">
        <v>66</v>
      </c>
      <c r="C1014" t="s">
        <v>490</v>
      </c>
      <c r="D1014" t="s">
        <v>39</v>
      </c>
      <c r="E1014" t="s">
        <v>46</v>
      </c>
      <c r="F1014" t="s">
        <v>47</v>
      </c>
      <c r="G1014" t="s">
        <v>42</v>
      </c>
    </row>
    <row r="1015" spans="1:7" x14ac:dyDescent="0.2">
      <c r="A1015">
        <v>11</v>
      </c>
      <c r="B1015">
        <v>66</v>
      </c>
      <c r="C1015" t="s">
        <v>489</v>
      </c>
      <c r="D1015" t="s">
        <v>39</v>
      </c>
      <c r="E1015" t="s">
        <v>46</v>
      </c>
      <c r="F1015" t="s">
        <v>51</v>
      </c>
      <c r="G1015" t="s">
        <v>42</v>
      </c>
    </row>
    <row r="1016" spans="1:7" x14ac:dyDescent="0.2">
      <c r="A1016">
        <v>11</v>
      </c>
      <c r="B1016">
        <v>66</v>
      </c>
      <c r="C1016" t="s">
        <v>506</v>
      </c>
      <c r="D1016" t="s">
        <v>39</v>
      </c>
      <c r="E1016" t="s">
        <v>46</v>
      </c>
      <c r="F1016" t="s">
        <v>51</v>
      </c>
      <c r="G1016" t="s">
        <v>42</v>
      </c>
    </row>
    <row r="1017" spans="1:7" x14ac:dyDescent="0.2">
      <c r="A1017">
        <v>11</v>
      </c>
      <c r="B1017">
        <v>66</v>
      </c>
      <c r="C1017" t="s">
        <v>517</v>
      </c>
      <c r="D1017" t="s">
        <v>39</v>
      </c>
      <c r="E1017" t="s">
        <v>46</v>
      </c>
      <c r="F1017" t="s">
        <v>47</v>
      </c>
      <c r="G1017" t="s">
        <v>42</v>
      </c>
    </row>
    <row r="1018" spans="1:7" x14ac:dyDescent="0.2">
      <c r="A1018">
        <v>11</v>
      </c>
      <c r="B1018">
        <v>66</v>
      </c>
      <c r="C1018" t="s">
        <v>470</v>
      </c>
      <c r="D1018" t="s">
        <v>39</v>
      </c>
      <c r="E1018" t="s">
        <v>46</v>
      </c>
      <c r="F1018" t="s">
        <v>51</v>
      </c>
      <c r="G1018" t="s">
        <v>42</v>
      </c>
    </row>
    <row r="1019" spans="1:7" x14ac:dyDescent="0.2">
      <c r="A1019">
        <v>11</v>
      </c>
      <c r="B1019">
        <v>66</v>
      </c>
      <c r="C1019" t="s">
        <v>518</v>
      </c>
      <c r="D1019" t="s">
        <v>39</v>
      </c>
      <c r="E1019" t="s">
        <v>46</v>
      </c>
      <c r="F1019" t="s">
        <v>51</v>
      </c>
      <c r="G1019" t="s">
        <v>42</v>
      </c>
    </row>
    <row r="1020" spans="1:7" x14ac:dyDescent="0.2">
      <c r="A1020">
        <v>11</v>
      </c>
      <c r="B1020">
        <v>66</v>
      </c>
      <c r="C1020" t="s">
        <v>519</v>
      </c>
      <c r="D1020" t="s">
        <v>39</v>
      </c>
      <c r="E1020" t="s">
        <v>46</v>
      </c>
      <c r="F1020" t="s">
        <v>47</v>
      </c>
      <c r="G1020" t="s">
        <v>42</v>
      </c>
    </row>
    <row r="1021" spans="1:7" x14ac:dyDescent="0.2">
      <c r="A1021">
        <v>11</v>
      </c>
      <c r="B1021">
        <v>66</v>
      </c>
      <c r="C1021" t="s">
        <v>486</v>
      </c>
      <c r="D1021" t="s">
        <v>39</v>
      </c>
      <c r="E1021" t="s">
        <v>46</v>
      </c>
      <c r="F1021" t="s">
        <v>51</v>
      </c>
      <c r="G1021" t="s">
        <v>42</v>
      </c>
    </row>
    <row r="1022" spans="1:7" x14ac:dyDescent="0.2">
      <c r="A1022">
        <v>11</v>
      </c>
      <c r="B1022">
        <v>66</v>
      </c>
      <c r="C1022" t="s">
        <v>504</v>
      </c>
      <c r="D1022" t="s">
        <v>39</v>
      </c>
      <c r="E1022" t="s">
        <v>46</v>
      </c>
      <c r="F1022" t="s">
        <v>51</v>
      </c>
      <c r="G1022" t="s">
        <v>42</v>
      </c>
    </row>
    <row r="1023" spans="1:7" x14ac:dyDescent="0.2">
      <c r="A1023">
        <v>11</v>
      </c>
      <c r="B1023">
        <v>66</v>
      </c>
      <c r="C1023" t="s">
        <v>503</v>
      </c>
      <c r="D1023" t="s">
        <v>39</v>
      </c>
      <c r="E1023" t="s">
        <v>46</v>
      </c>
      <c r="F1023" t="s">
        <v>51</v>
      </c>
      <c r="G1023" t="s">
        <v>42</v>
      </c>
    </row>
    <row r="1024" spans="1:7" x14ac:dyDescent="0.2">
      <c r="A1024">
        <v>11</v>
      </c>
      <c r="B1024">
        <v>66</v>
      </c>
      <c r="C1024" t="s">
        <v>484</v>
      </c>
      <c r="D1024" t="s">
        <v>39</v>
      </c>
      <c r="E1024" t="s">
        <v>46</v>
      </c>
      <c r="F1024" t="s">
        <v>51</v>
      </c>
      <c r="G1024" t="s">
        <v>42</v>
      </c>
    </row>
    <row r="1025" spans="1:7" x14ac:dyDescent="0.2">
      <c r="A1025">
        <v>11</v>
      </c>
      <c r="B1025">
        <v>66</v>
      </c>
      <c r="C1025" t="s">
        <v>520</v>
      </c>
      <c r="D1025" t="s">
        <v>39</v>
      </c>
      <c r="E1025" t="s">
        <v>46</v>
      </c>
      <c r="F1025" t="s">
        <v>51</v>
      </c>
      <c r="G1025" t="s">
        <v>42</v>
      </c>
    </row>
    <row r="1026" spans="1:7" x14ac:dyDescent="0.2">
      <c r="A1026">
        <v>11</v>
      </c>
      <c r="B1026">
        <v>66</v>
      </c>
      <c r="C1026" t="s">
        <v>521</v>
      </c>
      <c r="D1026" t="s">
        <v>39</v>
      </c>
      <c r="E1026" t="s">
        <v>46</v>
      </c>
      <c r="F1026" t="s">
        <v>51</v>
      </c>
      <c r="G1026" t="s">
        <v>42</v>
      </c>
    </row>
    <row r="1027" spans="1:7" x14ac:dyDescent="0.2">
      <c r="A1027">
        <v>11</v>
      </c>
      <c r="B1027">
        <v>66</v>
      </c>
      <c r="C1027" t="s">
        <v>522</v>
      </c>
      <c r="D1027" t="s">
        <v>39</v>
      </c>
      <c r="E1027" t="s">
        <v>46</v>
      </c>
      <c r="F1027" t="s">
        <v>51</v>
      </c>
      <c r="G1027" t="s">
        <v>42</v>
      </c>
    </row>
    <row r="1028" spans="1:7" x14ac:dyDescent="0.2">
      <c r="A1028">
        <v>11</v>
      </c>
      <c r="B1028">
        <v>66</v>
      </c>
      <c r="C1028" t="s">
        <v>468</v>
      </c>
      <c r="D1028" t="s">
        <v>39</v>
      </c>
      <c r="E1028" t="s">
        <v>46</v>
      </c>
      <c r="F1028" t="s">
        <v>51</v>
      </c>
      <c r="G1028" t="s">
        <v>42</v>
      </c>
    </row>
    <row r="1029" spans="1:7" x14ac:dyDescent="0.2">
      <c r="A1029">
        <v>11</v>
      </c>
      <c r="B1029">
        <v>66</v>
      </c>
      <c r="C1029" t="s">
        <v>523</v>
      </c>
      <c r="D1029" t="s">
        <v>39</v>
      </c>
      <c r="E1029" t="s">
        <v>46</v>
      </c>
      <c r="F1029" t="s">
        <v>47</v>
      </c>
      <c r="G1029" t="s">
        <v>42</v>
      </c>
    </row>
    <row r="1030" spans="1:7" x14ac:dyDescent="0.2">
      <c r="A1030">
        <v>11</v>
      </c>
      <c r="B1030">
        <v>66</v>
      </c>
      <c r="C1030" t="s">
        <v>500</v>
      </c>
      <c r="D1030" t="s">
        <v>39</v>
      </c>
      <c r="E1030" t="s">
        <v>46</v>
      </c>
      <c r="F1030" t="s">
        <v>51</v>
      </c>
      <c r="G1030" t="s">
        <v>42</v>
      </c>
    </row>
    <row r="1031" spans="1:7" x14ac:dyDescent="0.2">
      <c r="A1031">
        <v>11</v>
      </c>
      <c r="B1031">
        <v>66</v>
      </c>
      <c r="C1031" t="s">
        <v>524</v>
      </c>
      <c r="D1031" t="s">
        <v>39</v>
      </c>
      <c r="E1031" t="s">
        <v>46</v>
      </c>
      <c r="F1031" t="s">
        <v>41</v>
      </c>
      <c r="G1031" t="s">
        <v>42</v>
      </c>
    </row>
    <row r="1032" spans="1:7" x14ac:dyDescent="0.2">
      <c r="A1032">
        <v>11</v>
      </c>
      <c r="B1032">
        <v>66</v>
      </c>
      <c r="C1032" t="s">
        <v>373</v>
      </c>
      <c r="D1032" t="s">
        <v>39</v>
      </c>
      <c r="E1032" t="s">
        <v>46</v>
      </c>
      <c r="F1032" t="s">
        <v>41</v>
      </c>
      <c r="G1032" t="s">
        <v>42</v>
      </c>
    </row>
    <row r="1033" spans="1:7" x14ac:dyDescent="0.2">
      <c r="A1033">
        <v>12</v>
      </c>
      <c r="B1033">
        <v>66</v>
      </c>
      <c r="C1033" t="s">
        <v>499</v>
      </c>
      <c r="D1033" t="s">
        <v>39</v>
      </c>
      <c r="E1033" t="s">
        <v>46</v>
      </c>
      <c r="F1033" t="s">
        <v>51</v>
      </c>
      <c r="G1033" t="s">
        <v>42</v>
      </c>
    </row>
    <row r="1034" spans="1:7" x14ac:dyDescent="0.2">
      <c r="A1034">
        <v>12</v>
      </c>
      <c r="B1034">
        <v>66</v>
      </c>
      <c r="C1034" t="s">
        <v>500</v>
      </c>
      <c r="D1034" t="s">
        <v>39</v>
      </c>
      <c r="E1034" t="s">
        <v>46</v>
      </c>
      <c r="F1034" t="s">
        <v>51</v>
      </c>
      <c r="G1034" t="s">
        <v>42</v>
      </c>
    </row>
    <row r="1035" spans="1:7" x14ac:dyDescent="0.2">
      <c r="A1035">
        <v>12</v>
      </c>
      <c r="B1035">
        <v>66</v>
      </c>
      <c r="C1035" t="s">
        <v>525</v>
      </c>
      <c r="D1035" t="s">
        <v>39</v>
      </c>
      <c r="E1035" t="s">
        <v>46</v>
      </c>
      <c r="F1035" t="s">
        <v>51</v>
      </c>
      <c r="G1035" t="s">
        <v>42</v>
      </c>
    </row>
    <row r="1036" spans="1:7" x14ac:dyDescent="0.2">
      <c r="A1036">
        <v>12</v>
      </c>
      <c r="B1036">
        <v>66</v>
      </c>
      <c r="C1036" t="s">
        <v>526</v>
      </c>
      <c r="D1036" t="s">
        <v>39</v>
      </c>
      <c r="E1036" t="s">
        <v>46</v>
      </c>
      <c r="F1036" t="s">
        <v>51</v>
      </c>
      <c r="G1036" t="s">
        <v>42</v>
      </c>
    </row>
    <row r="1037" spans="1:7" x14ac:dyDescent="0.2">
      <c r="A1037">
        <v>12</v>
      </c>
      <c r="B1037">
        <v>66</v>
      </c>
      <c r="C1037" t="s">
        <v>527</v>
      </c>
      <c r="D1037" t="s">
        <v>39</v>
      </c>
      <c r="E1037" t="s">
        <v>46</v>
      </c>
      <c r="F1037" t="s">
        <v>51</v>
      </c>
      <c r="G1037" t="s">
        <v>42</v>
      </c>
    </row>
    <row r="1038" spans="1:7" x14ac:dyDescent="0.2">
      <c r="A1038">
        <v>12</v>
      </c>
      <c r="B1038">
        <v>66</v>
      </c>
      <c r="C1038" t="s">
        <v>528</v>
      </c>
      <c r="D1038" t="s">
        <v>39</v>
      </c>
      <c r="E1038" t="s">
        <v>46</v>
      </c>
      <c r="F1038" t="s">
        <v>51</v>
      </c>
      <c r="G1038" t="s">
        <v>42</v>
      </c>
    </row>
    <row r="1039" spans="1:7" x14ac:dyDescent="0.2">
      <c r="A1039">
        <v>12</v>
      </c>
      <c r="B1039">
        <v>66</v>
      </c>
      <c r="C1039" t="s">
        <v>484</v>
      </c>
      <c r="D1039" t="s">
        <v>39</v>
      </c>
      <c r="E1039" t="s">
        <v>46</v>
      </c>
      <c r="F1039" t="s">
        <v>51</v>
      </c>
      <c r="G1039" t="s">
        <v>42</v>
      </c>
    </row>
    <row r="1040" spans="1:7" x14ac:dyDescent="0.2">
      <c r="A1040">
        <v>12</v>
      </c>
      <c r="B1040">
        <v>66</v>
      </c>
      <c r="C1040" t="s">
        <v>529</v>
      </c>
      <c r="D1040" t="s">
        <v>39</v>
      </c>
      <c r="E1040" t="s">
        <v>46</v>
      </c>
      <c r="F1040" t="s">
        <v>51</v>
      </c>
      <c r="G1040" t="s">
        <v>42</v>
      </c>
    </row>
    <row r="1041" spans="1:7" x14ac:dyDescent="0.2">
      <c r="A1041">
        <v>12</v>
      </c>
      <c r="B1041">
        <v>66</v>
      </c>
      <c r="C1041" t="s">
        <v>504</v>
      </c>
      <c r="D1041" t="s">
        <v>39</v>
      </c>
      <c r="E1041" t="s">
        <v>46</v>
      </c>
      <c r="F1041" t="s">
        <v>51</v>
      </c>
      <c r="G1041" t="s">
        <v>42</v>
      </c>
    </row>
    <row r="1042" spans="1:7" x14ac:dyDescent="0.2">
      <c r="A1042">
        <v>12</v>
      </c>
      <c r="B1042">
        <v>66</v>
      </c>
      <c r="C1042" t="s">
        <v>530</v>
      </c>
      <c r="D1042" t="s">
        <v>39</v>
      </c>
      <c r="E1042" t="s">
        <v>46</v>
      </c>
      <c r="F1042" t="s">
        <v>51</v>
      </c>
      <c r="G1042" t="s">
        <v>42</v>
      </c>
    </row>
    <row r="1043" spans="1:7" x14ac:dyDescent="0.2">
      <c r="A1043">
        <v>12</v>
      </c>
      <c r="B1043">
        <v>66</v>
      </c>
      <c r="C1043" t="s">
        <v>474</v>
      </c>
      <c r="D1043" t="s">
        <v>39</v>
      </c>
      <c r="E1043" t="s">
        <v>46</v>
      </c>
      <c r="F1043" t="s">
        <v>51</v>
      </c>
      <c r="G1043" t="s">
        <v>42</v>
      </c>
    </row>
    <row r="1044" spans="1:7" x14ac:dyDescent="0.2">
      <c r="A1044">
        <v>12</v>
      </c>
      <c r="B1044">
        <v>66</v>
      </c>
      <c r="C1044" t="s">
        <v>531</v>
      </c>
      <c r="D1044" t="s">
        <v>39</v>
      </c>
      <c r="E1044" t="s">
        <v>46</v>
      </c>
      <c r="F1044" t="s">
        <v>51</v>
      </c>
      <c r="G1044" t="s">
        <v>42</v>
      </c>
    </row>
    <row r="1045" spans="1:7" x14ac:dyDescent="0.2">
      <c r="A1045">
        <v>12</v>
      </c>
      <c r="B1045">
        <v>66</v>
      </c>
      <c r="C1045" t="s">
        <v>532</v>
      </c>
      <c r="D1045" t="s">
        <v>39</v>
      </c>
      <c r="E1045" t="s">
        <v>46</v>
      </c>
      <c r="F1045" t="s">
        <v>51</v>
      </c>
      <c r="G1045" t="s">
        <v>42</v>
      </c>
    </row>
    <row r="1046" spans="1:7" x14ac:dyDescent="0.2">
      <c r="A1046">
        <v>12</v>
      </c>
      <c r="B1046">
        <v>66</v>
      </c>
      <c r="C1046" t="s">
        <v>533</v>
      </c>
      <c r="D1046" t="s">
        <v>39</v>
      </c>
      <c r="E1046" t="s">
        <v>46</v>
      </c>
      <c r="F1046" t="s">
        <v>51</v>
      </c>
      <c r="G1046" t="s">
        <v>42</v>
      </c>
    </row>
    <row r="1047" spans="1:7" x14ac:dyDescent="0.2">
      <c r="A1047">
        <v>12</v>
      </c>
      <c r="B1047">
        <v>66</v>
      </c>
      <c r="C1047" t="s">
        <v>508</v>
      </c>
      <c r="D1047" t="s">
        <v>39</v>
      </c>
      <c r="E1047" t="s">
        <v>46</v>
      </c>
      <c r="F1047" t="s">
        <v>51</v>
      </c>
      <c r="G1047" t="s">
        <v>42</v>
      </c>
    </row>
    <row r="1048" spans="1:7" x14ac:dyDescent="0.2">
      <c r="A1048">
        <v>12</v>
      </c>
      <c r="B1048">
        <v>66</v>
      </c>
      <c r="C1048" t="s">
        <v>534</v>
      </c>
      <c r="D1048" t="s">
        <v>39</v>
      </c>
      <c r="E1048" t="s">
        <v>46</v>
      </c>
      <c r="F1048" t="s">
        <v>51</v>
      </c>
      <c r="G1048" t="s">
        <v>42</v>
      </c>
    </row>
    <row r="1049" spans="1:7" x14ac:dyDescent="0.2">
      <c r="A1049">
        <v>12</v>
      </c>
      <c r="B1049">
        <v>66</v>
      </c>
      <c r="C1049" t="s">
        <v>496</v>
      </c>
      <c r="D1049" t="s">
        <v>39</v>
      </c>
      <c r="E1049" t="s">
        <v>46</v>
      </c>
      <c r="F1049" t="s">
        <v>51</v>
      </c>
      <c r="G1049" t="s">
        <v>42</v>
      </c>
    </row>
    <row r="1050" spans="1:7" x14ac:dyDescent="0.2">
      <c r="A1050">
        <v>12</v>
      </c>
      <c r="B1050">
        <v>66</v>
      </c>
      <c r="C1050" t="s">
        <v>535</v>
      </c>
      <c r="D1050" t="s">
        <v>39</v>
      </c>
      <c r="E1050" t="s">
        <v>46</v>
      </c>
      <c r="F1050" t="s">
        <v>51</v>
      </c>
      <c r="G1050" t="s">
        <v>42</v>
      </c>
    </row>
    <row r="1051" spans="1:7" x14ac:dyDescent="0.2">
      <c r="A1051">
        <v>12</v>
      </c>
      <c r="B1051">
        <v>66</v>
      </c>
      <c r="C1051" t="s">
        <v>536</v>
      </c>
      <c r="D1051" t="s">
        <v>39</v>
      </c>
      <c r="E1051" t="s">
        <v>46</v>
      </c>
      <c r="F1051" t="s">
        <v>51</v>
      </c>
      <c r="G1051" t="s">
        <v>42</v>
      </c>
    </row>
    <row r="1052" spans="1:7" x14ac:dyDescent="0.2">
      <c r="A1052">
        <v>12</v>
      </c>
      <c r="B1052">
        <v>66</v>
      </c>
      <c r="C1052" t="s">
        <v>498</v>
      </c>
      <c r="D1052" t="s">
        <v>39</v>
      </c>
      <c r="E1052" t="s">
        <v>46</v>
      </c>
      <c r="F1052" t="s">
        <v>51</v>
      </c>
      <c r="G1052" t="s">
        <v>42</v>
      </c>
    </row>
    <row r="1053" spans="1:7" x14ac:dyDescent="0.2">
      <c r="A1053">
        <v>12</v>
      </c>
      <c r="B1053">
        <v>66</v>
      </c>
      <c r="C1053" t="s">
        <v>480</v>
      </c>
      <c r="D1053" t="s">
        <v>39</v>
      </c>
      <c r="E1053" t="s">
        <v>46</v>
      </c>
      <c r="F1053" t="s">
        <v>51</v>
      </c>
      <c r="G1053" t="s">
        <v>42</v>
      </c>
    </row>
    <row r="1054" spans="1:7" x14ac:dyDescent="0.2">
      <c r="A1054">
        <v>13</v>
      </c>
      <c r="B1054">
        <v>66</v>
      </c>
      <c r="C1054" t="s">
        <v>480</v>
      </c>
      <c r="D1054" t="s">
        <v>39</v>
      </c>
      <c r="E1054" t="s">
        <v>46</v>
      </c>
      <c r="F1054" t="s">
        <v>51</v>
      </c>
      <c r="G1054" t="s">
        <v>42</v>
      </c>
    </row>
    <row r="1055" spans="1:7" x14ac:dyDescent="0.2">
      <c r="A1055">
        <v>13</v>
      </c>
      <c r="B1055">
        <v>66</v>
      </c>
      <c r="C1055" t="s">
        <v>498</v>
      </c>
      <c r="D1055" t="s">
        <v>39</v>
      </c>
      <c r="E1055" t="s">
        <v>46</v>
      </c>
      <c r="F1055" t="s">
        <v>47</v>
      </c>
      <c r="G1055" t="s">
        <v>42</v>
      </c>
    </row>
    <row r="1056" spans="1:7" x14ac:dyDescent="0.2">
      <c r="A1056">
        <v>13</v>
      </c>
      <c r="B1056">
        <v>66</v>
      </c>
      <c r="C1056" t="s">
        <v>536</v>
      </c>
      <c r="D1056" t="s">
        <v>39</v>
      </c>
      <c r="E1056" t="s">
        <v>46</v>
      </c>
      <c r="F1056" t="s">
        <v>51</v>
      </c>
      <c r="G1056" t="s">
        <v>42</v>
      </c>
    </row>
    <row r="1057" spans="1:7" x14ac:dyDescent="0.2">
      <c r="A1057">
        <v>13</v>
      </c>
      <c r="B1057">
        <v>66</v>
      </c>
      <c r="C1057" t="s">
        <v>537</v>
      </c>
      <c r="D1057" t="s">
        <v>39</v>
      </c>
      <c r="E1057" t="s">
        <v>46</v>
      </c>
      <c r="F1057" t="s">
        <v>51</v>
      </c>
      <c r="G1057" t="s">
        <v>42</v>
      </c>
    </row>
    <row r="1058" spans="1:7" x14ac:dyDescent="0.2">
      <c r="A1058">
        <v>13</v>
      </c>
      <c r="B1058">
        <v>66</v>
      </c>
      <c r="C1058" t="s">
        <v>496</v>
      </c>
      <c r="D1058" t="s">
        <v>39</v>
      </c>
      <c r="E1058" t="s">
        <v>46</v>
      </c>
      <c r="F1058" t="s">
        <v>51</v>
      </c>
      <c r="G1058" t="s">
        <v>42</v>
      </c>
    </row>
    <row r="1059" spans="1:7" x14ac:dyDescent="0.2">
      <c r="A1059">
        <v>13</v>
      </c>
      <c r="B1059">
        <v>66</v>
      </c>
      <c r="C1059" t="s">
        <v>538</v>
      </c>
      <c r="D1059" t="s">
        <v>39</v>
      </c>
      <c r="E1059" t="s">
        <v>46</v>
      </c>
      <c r="F1059" t="s">
        <v>51</v>
      </c>
      <c r="G1059" t="s">
        <v>42</v>
      </c>
    </row>
    <row r="1060" spans="1:7" x14ac:dyDescent="0.2">
      <c r="A1060">
        <v>13</v>
      </c>
      <c r="B1060">
        <v>66</v>
      </c>
      <c r="C1060" t="s">
        <v>539</v>
      </c>
      <c r="D1060" t="s">
        <v>39</v>
      </c>
      <c r="E1060" t="s">
        <v>46</v>
      </c>
      <c r="F1060" t="s">
        <v>51</v>
      </c>
      <c r="G1060" t="s">
        <v>42</v>
      </c>
    </row>
    <row r="1061" spans="1:7" x14ac:dyDescent="0.2">
      <c r="A1061">
        <v>13</v>
      </c>
      <c r="B1061">
        <v>66</v>
      </c>
      <c r="C1061" t="s">
        <v>540</v>
      </c>
      <c r="D1061" t="s">
        <v>39</v>
      </c>
      <c r="E1061" t="s">
        <v>46</v>
      </c>
      <c r="F1061" t="s">
        <v>51</v>
      </c>
      <c r="G1061" t="s">
        <v>42</v>
      </c>
    </row>
    <row r="1062" spans="1:7" x14ac:dyDescent="0.2">
      <c r="A1062">
        <v>13</v>
      </c>
      <c r="B1062">
        <v>66</v>
      </c>
      <c r="C1062" t="s">
        <v>541</v>
      </c>
      <c r="D1062" t="s">
        <v>39</v>
      </c>
      <c r="E1062" t="s">
        <v>46</v>
      </c>
      <c r="F1062" t="s">
        <v>51</v>
      </c>
      <c r="G1062" t="s">
        <v>42</v>
      </c>
    </row>
    <row r="1063" spans="1:7" x14ac:dyDescent="0.2">
      <c r="A1063">
        <v>13</v>
      </c>
      <c r="B1063">
        <v>66</v>
      </c>
      <c r="C1063" t="s">
        <v>489</v>
      </c>
      <c r="D1063" t="s">
        <v>39</v>
      </c>
      <c r="E1063" t="s">
        <v>46</v>
      </c>
      <c r="F1063" t="s">
        <v>51</v>
      </c>
      <c r="G1063" t="s">
        <v>42</v>
      </c>
    </row>
    <row r="1064" spans="1:7" x14ac:dyDescent="0.2">
      <c r="A1064">
        <v>13</v>
      </c>
      <c r="B1064">
        <v>66</v>
      </c>
      <c r="C1064" t="s">
        <v>542</v>
      </c>
      <c r="D1064" t="s">
        <v>39</v>
      </c>
      <c r="E1064" t="s">
        <v>46</v>
      </c>
      <c r="F1064" t="s">
        <v>51</v>
      </c>
      <c r="G1064" t="s">
        <v>42</v>
      </c>
    </row>
    <row r="1065" spans="1:7" x14ac:dyDescent="0.2">
      <c r="A1065">
        <v>13</v>
      </c>
      <c r="B1065">
        <v>66</v>
      </c>
      <c r="C1065" t="s">
        <v>531</v>
      </c>
      <c r="D1065" t="s">
        <v>39</v>
      </c>
      <c r="E1065" t="s">
        <v>46</v>
      </c>
      <c r="F1065" t="s">
        <v>51</v>
      </c>
      <c r="G1065" t="s">
        <v>42</v>
      </c>
    </row>
    <row r="1066" spans="1:7" x14ac:dyDescent="0.2">
      <c r="A1066">
        <v>13</v>
      </c>
      <c r="B1066">
        <v>66</v>
      </c>
      <c r="C1066" t="s">
        <v>543</v>
      </c>
      <c r="D1066" t="s">
        <v>39</v>
      </c>
      <c r="E1066" t="s">
        <v>46</v>
      </c>
      <c r="F1066" t="s">
        <v>51</v>
      </c>
      <c r="G1066" t="s">
        <v>42</v>
      </c>
    </row>
    <row r="1067" spans="1:7" x14ac:dyDescent="0.2">
      <c r="A1067">
        <v>13</v>
      </c>
      <c r="B1067">
        <v>66</v>
      </c>
      <c r="C1067" t="s">
        <v>474</v>
      </c>
      <c r="D1067" t="s">
        <v>39</v>
      </c>
      <c r="E1067" t="s">
        <v>46</v>
      </c>
      <c r="F1067" t="s">
        <v>51</v>
      </c>
      <c r="G1067" t="s">
        <v>42</v>
      </c>
    </row>
    <row r="1068" spans="1:7" x14ac:dyDescent="0.2">
      <c r="A1068">
        <v>13</v>
      </c>
      <c r="B1068">
        <v>66</v>
      </c>
      <c r="C1068" t="s">
        <v>486</v>
      </c>
      <c r="D1068" t="s">
        <v>39</v>
      </c>
      <c r="E1068" t="s">
        <v>46</v>
      </c>
      <c r="F1068" t="s">
        <v>51</v>
      </c>
      <c r="G1068" t="s">
        <v>42</v>
      </c>
    </row>
    <row r="1069" spans="1:7" x14ac:dyDescent="0.2">
      <c r="A1069">
        <v>13</v>
      </c>
      <c r="B1069">
        <v>66</v>
      </c>
      <c r="C1069" t="s">
        <v>544</v>
      </c>
      <c r="D1069" t="s">
        <v>39</v>
      </c>
      <c r="E1069" t="s">
        <v>46</v>
      </c>
      <c r="F1069" t="s">
        <v>51</v>
      </c>
      <c r="G1069" t="s">
        <v>42</v>
      </c>
    </row>
    <row r="1070" spans="1:7" x14ac:dyDescent="0.2">
      <c r="A1070">
        <v>13</v>
      </c>
      <c r="B1070">
        <v>66</v>
      </c>
      <c r="C1070" t="s">
        <v>484</v>
      </c>
      <c r="D1070" t="s">
        <v>39</v>
      </c>
      <c r="E1070" t="s">
        <v>46</v>
      </c>
      <c r="F1070" t="s">
        <v>51</v>
      </c>
      <c r="G1070" t="s">
        <v>42</v>
      </c>
    </row>
    <row r="1071" spans="1:7" x14ac:dyDescent="0.2">
      <c r="A1071">
        <v>13</v>
      </c>
      <c r="B1071">
        <v>66</v>
      </c>
      <c r="C1071" t="s">
        <v>504</v>
      </c>
      <c r="D1071" t="s">
        <v>39</v>
      </c>
      <c r="E1071" t="s">
        <v>46</v>
      </c>
      <c r="F1071" t="s">
        <v>51</v>
      </c>
      <c r="G1071" t="s">
        <v>42</v>
      </c>
    </row>
    <row r="1072" spans="1:7" x14ac:dyDescent="0.2">
      <c r="A1072">
        <v>13</v>
      </c>
      <c r="B1072">
        <v>66</v>
      </c>
      <c r="C1072" t="s">
        <v>545</v>
      </c>
      <c r="D1072" t="s">
        <v>39</v>
      </c>
      <c r="E1072" t="s">
        <v>46</v>
      </c>
      <c r="F1072" t="s">
        <v>51</v>
      </c>
      <c r="G1072" t="s">
        <v>42</v>
      </c>
    </row>
    <row r="1073" spans="1:7" x14ac:dyDescent="0.2">
      <c r="A1073">
        <v>13</v>
      </c>
      <c r="B1073">
        <v>66</v>
      </c>
      <c r="C1073" t="s">
        <v>546</v>
      </c>
      <c r="D1073" t="s">
        <v>39</v>
      </c>
      <c r="E1073" t="s">
        <v>46</v>
      </c>
      <c r="F1073" t="s">
        <v>51</v>
      </c>
      <c r="G1073" t="s">
        <v>42</v>
      </c>
    </row>
    <row r="1074" spans="1:7" x14ac:dyDescent="0.2">
      <c r="A1074">
        <v>13</v>
      </c>
      <c r="B1074">
        <v>66</v>
      </c>
      <c r="C1074" t="s">
        <v>91</v>
      </c>
      <c r="D1074" t="s">
        <v>39</v>
      </c>
      <c r="E1074" t="s">
        <v>46</v>
      </c>
      <c r="F1074" t="s">
        <v>51</v>
      </c>
      <c r="G1074" t="s">
        <v>42</v>
      </c>
    </row>
    <row r="1075" spans="1:7" x14ac:dyDescent="0.2">
      <c r="A1075">
        <v>13</v>
      </c>
      <c r="B1075">
        <v>66</v>
      </c>
      <c r="C1075" t="s">
        <v>547</v>
      </c>
      <c r="D1075" t="s">
        <v>39</v>
      </c>
      <c r="E1075" t="s">
        <v>46</v>
      </c>
      <c r="F1075" t="s">
        <v>51</v>
      </c>
      <c r="G1075" t="s">
        <v>42</v>
      </c>
    </row>
    <row r="1076" spans="1:7" x14ac:dyDescent="0.2">
      <c r="A1076">
        <v>13</v>
      </c>
      <c r="B1076">
        <v>66</v>
      </c>
      <c r="C1076" t="s">
        <v>548</v>
      </c>
      <c r="D1076" t="s">
        <v>39</v>
      </c>
      <c r="E1076" t="s">
        <v>46</v>
      </c>
      <c r="F1076" t="s">
        <v>51</v>
      </c>
      <c r="G1076" t="s">
        <v>42</v>
      </c>
    </row>
    <row r="1077" spans="1:7" x14ac:dyDescent="0.2">
      <c r="A1077">
        <v>13</v>
      </c>
      <c r="B1077">
        <v>66</v>
      </c>
      <c r="C1077" t="s">
        <v>499</v>
      </c>
      <c r="D1077" t="s">
        <v>39</v>
      </c>
      <c r="E1077" t="s">
        <v>46</v>
      </c>
      <c r="F1077" t="s">
        <v>51</v>
      </c>
      <c r="G1077" t="s">
        <v>42</v>
      </c>
    </row>
    <row r="1078" spans="1:7" x14ac:dyDescent="0.2">
      <c r="A1078">
        <v>14</v>
      </c>
      <c r="B1078">
        <v>66</v>
      </c>
      <c r="C1078" t="s">
        <v>549</v>
      </c>
      <c r="D1078" t="s">
        <v>39</v>
      </c>
      <c r="E1078" t="s">
        <v>46</v>
      </c>
      <c r="F1078" t="s">
        <v>51</v>
      </c>
      <c r="G1078" t="s">
        <v>42</v>
      </c>
    </row>
    <row r="1079" spans="1:7" x14ac:dyDescent="0.2">
      <c r="A1079">
        <v>14</v>
      </c>
      <c r="B1079">
        <v>66</v>
      </c>
      <c r="C1079" t="s">
        <v>499</v>
      </c>
      <c r="D1079" t="s">
        <v>39</v>
      </c>
      <c r="E1079" t="s">
        <v>46</v>
      </c>
      <c r="F1079" t="s">
        <v>51</v>
      </c>
      <c r="G1079" t="s">
        <v>42</v>
      </c>
    </row>
    <row r="1080" spans="1:7" x14ac:dyDescent="0.2">
      <c r="A1080">
        <v>14</v>
      </c>
      <c r="B1080">
        <v>66</v>
      </c>
      <c r="C1080" t="s">
        <v>550</v>
      </c>
      <c r="D1080" t="s">
        <v>39</v>
      </c>
      <c r="E1080" t="s">
        <v>46</v>
      </c>
      <c r="F1080" t="s">
        <v>51</v>
      </c>
      <c r="G1080" t="s">
        <v>42</v>
      </c>
    </row>
    <row r="1081" spans="1:7" x14ac:dyDescent="0.2">
      <c r="A1081">
        <v>14</v>
      </c>
      <c r="B1081">
        <v>66</v>
      </c>
      <c r="C1081" t="s">
        <v>551</v>
      </c>
      <c r="D1081" t="s">
        <v>39</v>
      </c>
      <c r="E1081" t="s">
        <v>46</v>
      </c>
      <c r="F1081" t="s">
        <v>51</v>
      </c>
      <c r="G1081" t="s">
        <v>42</v>
      </c>
    </row>
    <row r="1082" spans="1:7" x14ac:dyDescent="0.2">
      <c r="A1082">
        <v>14</v>
      </c>
      <c r="B1082">
        <v>66</v>
      </c>
      <c r="C1082" t="s">
        <v>552</v>
      </c>
      <c r="D1082" t="s">
        <v>39</v>
      </c>
      <c r="E1082" t="s">
        <v>46</v>
      </c>
      <c r="F1082" t="s">
        <v>51</v>
      </c>
      <c r="G1082" t="s">
        <v>42</v>
      </c>
    </row>
    <row r="1083" spans="1:7" x14ac:dyDescent="0.2">
      <c r="A1083">
        <v>14</v>
      </c>
      <c r="B1083">
        <v>66</v>
      </c>
      <c r="C1083" t="s">
        <v>545</v>
      </c>
      <c r="D1083" t="s">
        <v>39</v>
      </c>
      <c r="E1083" t="s">
        <v>46</v>
      </c>
      <c r="F1083" t="s">
        <v>51</v>
      </c>
      <c r="G1083" t="s">
        <v>42</v>
      </c>
    </row>
    <row r="1084" spans="1:7" x14ac:dyDescent="0.2">
      <c r="A1084">
        <v>14</v>
      </c>
      <c r="B1084">
        <v>66</v>
      </c>
      <c r="C1084" t="s">
        <v>484</v>
      </c>
      <c r="D1084" t="s">
        <v>39</v>
      </c>
      <c r="E1084" t="s">
        <v>46</v>
      </c>
      <c r="F1084" t="s">
        <v>51</v>
      </c>
      <c r="G1084" t="s">
        <v>42</v>
      </c>
    </row>
    <row r="1085" spans="1:7" x14ac:dyDescent="0.2">
      <c r="A1085">
        <v>14</v>
      </c>
      <c r="B1085">
        <v>66</v>
      </c>
      <c r="C1085" t="s">
        <v>553</v>
      </c>
      <c r="D1085" t="s">
        <v>39</v>
      </c>
      <c r="E1085" t="s">
        <v>46</v>
      </c>
      <c r="F1085" t="s">
        <v>51</v>
      </c>
      <c r="G1085" t="s">
        <v>42</v>
      </c>
    </row>
    <row r="1086" spans="1:7" x14ac:dyDescent="0.2">
      <c r="A1086">
        <v>14</v>
      </c>
      <c r="B1086">
        <v>66</v>
      </c>
      <c r="C1086" t="s">
        <v>504</v>
      </c>
      <c r="D1086" t="s">
        <v>39</v>
      </c>
      <c r="E1086" t="s">
        <v>46</v>
      </c>
      <c r="F1086" t="s">
        <v>51</v>
      </c>
      <c r="G1086" t="s">
        <v>42</v>
      </c>
    </row>
    <row r="1087" spans="1:7" x14ac:dyDescent="0.2">
      <c r="A1087">
        <v>14</v>
      </c>
      <c r="B1087">
        <v>66</v>
      </c>
      <c r="C1087" t="s">
        <v>486</v>
      </c>
      <c r="D1087" t="s">
        <v>39</v>
      </c>
      <c r="E1087" t="s">
        <v>46</v>
      </c>
      <c r="F1087" t="s">
        <v>51</v>
      </c>
      <c r="G1087" t="s">
        <v>42</v>
      </c>
    </row>
    <row r="1088" spans="1:7" x14ac:dyDescent="0.2">
      <c r="A1088">
        <v>14</v>
      </c>
      <c r="B1088">
        <v>66</v>
      </c>
      <c r="C1088" t="s">
        <v>474</v>
      </c>
      <c r="D1088" t="s">
        <v>39</v>
      </c>
      <c r="E1088" t="s">
        <v>46</v>
      </c>
      <c r="F1088" t="s">
        <v>51</v>
      </c>
      <c r="G1088" t="s">
        <v>42</v>
      </c>
    </row>
    <row r="1089" spans="1:7" x14ac:dyDescent="0.2">
      <c r="A1089">
        <v>14</v>
      </c>
      <c r="B1089">
        <v>66</v>
      </c>
      <c r="C1089" t="s">
        <v>543</v>
      </c>
      <c r="D1089" t="s">
        <v>39</v>
      </c>
      <c r="E1089" t="s">
        <v>46</v>
      </c>
      <c r="F1089" t="s">
        <v>51</v>
      </c>
      <c r="G1089" t="s">
        <v>42</v>
      </c>
    </row>
    <row r="1090" spans="1:7" x14ac:dyDescent="0.2">
      <c r="A1090">
        <v>14</v>
      </c>
      <c r="B1090">
        <v>66</v>
      </c>
      <c r="C1090" t="s">
        <v>554</v>
      </c>
      <c r="D1090" t="s">
        <v>39</v>
      </c>
      <c r="E1090" t="s">
        <v>46</v>
      </c>
      <c r="F1090" t="s">
        <v>51</v>
      </c>
      <c r="G1090" t="s">
        <v>42</v>
      </c>
    </row>
    <row r="1091" spans="1:7" x14ac:dyDescent="0.2">
      <c r="A1091">
        <v>14</v>
      </c>
      <c r="B1091">
        <v>66</v>
      </c>
      <c r="C1091" t="s">
        <v>531</v>
      </c>
      <c r="D1091" t="s">
        <v>39</v>
      </c>
      <c r="E1091" t="s">
        <v>46</v>
      </c>
      <c r="F1091" t="s">
        <v>51</v>
      </c>
      <c r="G1091" t="s">
        <v>42</v>
      </c>
    </row>
    <row r="1092" spans="1:7" x14ac:dyDescent="0.2">
      <c r="A1092">
        <v>14</v>
      </c>
      <c r="B1092">
        <v>66</v>
      </c>
      <c r="C1092" t="s">
        <v>498</v>
      </c>
      <c r="D1092" t="s">
        <v>39</v>
      </c>
      <c r="E1092" t="s">
        <v>46</v>
      </c>
      <c r="F1092" t="s">
        <v>51</v>
      </c>
      <c r="G1092" t="s">
        <v>42</v>
      </c>
    </row>
    <row r="1093" spans="1:7" x14ac:dyDescent="0.2">
      <c r="A1093">
        <v>14</v>
      </c>
      <c r="B1093">
        <v>66</v>
      </c>
      <c r="C1093" t="s">
        <v>555</v>
      </c>
      <c r="D1093" t="s">
        <v>39</v>
      </c>
      <c r="E1093" t="s">
        <v>46</v>
      </c>
      <c r="F1093" t="s">
        <v>51</v>
      </c>
      <c r="G1093" t="s">
        <v>42</v>
      </c>
    </row>
    <row r="1094" spans="1:7" x14ac:dyDescent="0.2">
      <c r="A1094">
        <v>14</v>
      </c>
      <c r="B1094">
        <v>66</v>
      </c>
      <c r="C1094" t="s">
        <v>536</v>
      </c>
      <c r="D1094" t="s">
        <v>39</v>
      </c>
      <c r="E1094" t="s">
        <v>46</v>
      </c>
      <c r="F1094" t="s">
        <v>51</v>
      </c>
      <c r="G1094" t="s">
        <v>42</v>
      </c>
    </row>
    <row r="1095" spans="1:7" x14ac:dyDescent="0.2">
      <c r="A1095">
        <v>14</v>
      </c>
      <c r="B1095">
        <v>66</v>
      </c>
      <c r="C1095" t="s">
        <v>489</v>
      </c>
      <c r="D1095" t="s">
        <v>39</v>
      </c>
      <c r="E1095" t="s">
        <v>46</v>
      </c>
      <c r="F1095" t="s">
        <v>51</v>
      </c>
      <c r="G1095" t="s">
        <v>42</v>
      </c>
    </row>
    <row r="1096" spans="1:7" x14ac:dyDescent="0.2">
      <c r="A1096">
        <v>14</v>
      </c>
      <c r="B1096">
        <v>66</v>
      </c>
      <c r="C1096" t="s">
        <v>556</v>
      </c>
      <c r="D1096" t="s">
        <v>39</v>
      </c>
      <c r="E1096" t="s">
        <v>46</v>
      </c>
      <c r="F1096" t="s">
        <v>51</v>
      </c>
      <c r="G1096" t="s">
        <v>42</v>
      </c>
    </row>
    <row r="1097" spans="1:7" x14ac:dyDescent="0.2">
      <c r="A1097">
        <v>14</v>
      </c>
      <c r="B1097">
        <v>66</v>
      </c>
      <c r="C1097" t="s">
        <v>541</v>
      </c>
      <c r="D1097" t="s">
        <v>39</v>
      </c>
      <c r="E1097" t="s">
        <v>46</v>
      </c>
      <c r="F1097" t="s">
        <v>51</v>
      </c>
      <c r="G1097" t="s">
        <v>42</v>
      </c>
    </row>
    <row r="1098" spans="1:7" x14ac:dyDescent="0.2">
      <c r="A1098">
        <v>14</v>
      </c>
      <c r="B1098">
        <v>66</v>
      </c>
      <c r="C1098" t="s">
        <v>496</v>
      </c>
      <c r="D1098" t="s">
        <v>39</v>
      </c>
      <c r="E1098" t="s">
        <v>46</v>
      </c>
      <c r="F1098" t="s">
        <v>51</v>
      </c>
      <c r="G1098" t="s">
        <v>42</v>
      </c>
    </row>
    <row r="1099" spans="1:7" x14ac:dyDescent="0.2">
      <c r="A1099">
        <v>14</v>
      </c>
      <c r="B1099">
        <v>66</v>
      </c>
      <c r="C1099" t="s">
        <v>557</v>
      </c>
      <c r="D1099" t="s">
        <v>39</v>
      </c>
      <c r="E1099" t="s">
        <v>46</v>
      </c>
      <c r="F1099" t="s">
        <v>51</v>
      </c>
      <c r="G1099" t="s">
        <v>42</v>
      </c>
    </row>
    <row r="1100" spans="1:7" x14ac:dyDescent="0.2">
      <c r="A1100">
        <v>14</v>
      </c>
      <c r="B1100">
        <v>66</v>
      </c>
      <c r="C1100" t="s">
        <v>558</v>
      </c>
      <c r="D1100" t="s">
        <v>39</v>
      </c>
      <c r="E1100" t="s">
        <v>46</v>
      </c>
      <c r="F1100" t="s">
        <v>51</v>
      </c>
      <c r="G1100" t="s">
        <v>42</v>
      </c>
    </row>
    <row r="1101" spans="1:7" x14ac:dyDescent="0.2">
      <c r="A1101">
        <v>14</v>
      </c>
      <c r="B1101">
        <v>66</v>
      </c>
      <c r="C1101" t="s">
        <v>559</v>
      </c>
      <c r="D1101" t="s">
        <v>39</v>
      </c>
      <c r="E1101" t="s">
        <v>46</v>
      </c>
      <c r="F1101" t="s">
        <v>51</v>
      </c>
      <c r="G1101" t="s">
        <v>42</v>
      </c>
    </row>
    <row r="1102" spans="1:7" x14ac:dyDescent="0.2">
      <c r="A1102">
        <v>15</v>
      </c>
      <c r="B1102">
        <v>66</v>
      </c>
      <c r="C1102" t="s">
        <v>480</v>
      </c>
      <c r="D1102" t="s">
        <v>39</v>
      </c>
      <c r="E1102" t="s">
        <v>46</v>
      </c>
      <c r="F1102" t="s">
        <v>51</v>
      </c>
      <c r="G1102" t="s">
        <v>42</v>
      </c>
    </row>
    <row r="1103" spans="1:7" x14ac:dyDescent="0.2">
      <c r="A1103">
        <v>15</v>
      </c>
      <c r="B1103">
        <v>66</v>
      </c>
      <c r="C1103" t="s">
        <v>560</v>
      </c>
      <c r="D1103" t="s">
        <v>39</v>
      </c>
      <c r="E1103" t="s">
        <v>46</v>
      </c>
      <c r="F1103" t="s">
        <v>51</v>
      </c>
      <c r="G1103" t="s">
        <v>42</v>
      </c>
    </row>
    <row r="1104" spans="1:7" x14ac:dyDescent="0.2">
      <c r="A1104">
        <v>15</v>
      </c>
      <c r="B1104">
        <v>66</v>
      </c>
      <c r="C1104" t="s">
        <v>536</v>
      </c>
      <c r="D1104" t="s">
        <v>39</v>
      </c>
      <c r="E1104" t="s">
        <v>46</v>
      </c>
      <c r="F1104" t="s">
        <v>51</v>
      </c>
      <c r="G1104" t="s">
        <v>42</v>
      </c>
    </row>
    <row r="1105" spans="1:7" x14ac:dyDescent="0.2">
      <c r="A1105">
        <v>15</v>
      </c>
      <c r="B1105">
        <v>66</v>
      </c>
      <c r="C1105" t="s">
        <v>561</v>
      </c>
      <c r="D1105" t="s">
        <v>39</v>
      </c>
      <c r="E1105" t="s">
        <v>46</v>
      </c>
      <c r="F1105" t="s">
        <v>51</v>
      </c>
      <c r="G1105" t="s">
        <v>42</v>
      </c>
    </row>
    <row r="1106" spans="1:7" x14ac:dyDescent="0.2">
      <c r="A1106">
        <v>15</v>
      </c>
      <c r="B1106">
        <v>66</v>
      </c>
      <c r="C1106" t="s">
        <v>496</v>
      </c>
      <c r="D1106" t="s">
        <v>39</v>
      </c>
      <c r="E1106" t="s">
        <v>46</v>
      </c>
      <c r="F1106" t="s">
        <v>51</v>
      </c>
      <c r="G1106" t="s">
        <v>42</v>
      </c>
    </row>
    <row r="1107" spans="1:7" x14ac:dyDescent="0.2">
      <c r="A1107">
        <v>15</v>
      </c>
      <c r="B1107">
        <v>66</v>
      </c>
      <c r="C1107" t="s">
        <v>558</v>
      </c>
      <c r="D1107" t="s">
        <v>39</v>
      </c>
      <c r="E1107" t="s">
        <v>46</v>
      </c>
      <c r="F1107" t="s">
        <v>51</v>
      </c>
      <c r="G1107" t="s">
        <v>42</v>
      </c>
    </row>
    <row r="1108" spans="1:7" x14ac:dyDescent="0.2">
      <c r="A1108">
        <v>15</v>
      </c>
      <c r="B1108">
        <v>66</v>
      </c>
      <c r="C1108" t="s">
        <v>562</v>
      </c>
      <c r="D1108" t="s">
        <v>39</v>
      </c>
      <c r="E1108" t="s">
        <v>46</v>
      </c>
      <c r="F1108" t="s">
        <v>51</v>
      </c>
      <c r="G1108" t="s">
        <v>42</v>
      </c>
    </row>
    <row r="1109" spans="1:7" x14ac:dyDescent="0.2">
      <c r="A1109">
        <v>15</v>
      </c>
      <c r="B1109">
        <v>66</v>
      </c>
      <c r="C1109" t="s">
        <v>563</v>
      </c>
      <c r="D1109" t="s">
        <v>39</v>
      </c>
      <c r="E1109" t="s">
        <v>46</v>
      </c>
      <c r="F1109" t="s">
        <v>51</v>
      </c>
      <c r="G1109" t="s">
        <v>42</v>
      </c>
    </row>
    <row r="1110" spans="1:7" x14ac:dyDescent="0.2">
      <c r="A1110">
        <v>15</v>
      </c>
      <c r="B1110">
        <v>66</v>
      </c>
      <c r="C1110" t="s">
        <v>564</v>
      </c>
      <c r="D1110" t="s">
        <v>39</v>
      </c>
      <c r="E1110" t="s">
        <v>46</v>
      </c>
      <c r="F1110" t="s">
        <v>51</v>
      </c>
      <c r="G1110" t="s">
        <v>42</v>
      </c>
    </row>
    <row r="1111" spans="1:7" x14ac:dyDescent="0.2">
      <c r="A1111">
        <v>15</v>
      </c>
      <c r="B1111">
        <v>66</v>
      </c>
      <c r="C1111" t="s">
        <v>489</v>
      </c>
      <c r="D1111" t="s">
        <v>39</v>
      </c>
      <c r="E1111" t="s">
        <v>46</v>
      </c>
      <c r="F1111" t="s">
        <v>51</v>
      </c>
      <c r="G1111" t="s">
        <v>42</v>
      </c>
    </row>
    <row r="1112" spans="1:7" x14ac:dyDescent="0.2">
      <c r="A1112">
        <v>15</v>
      </c>
      <c r="B1112">
        <v>66</v>
      </c>
      <c r="C1112" t="s">
        <v>555</v>
      </c>
      <c r="D1112" t="s">
        <v>39</v>
      </c>
      <c r="E1112" t="s">
        <v>46</v>
      </c>
      <c r="F1112" t="s">
        <v>51</v>
      </c>
      <c r="G1112" t="s">
        <v>42</v>
      </c>
    </row>
    <row r="1113" spans="1:7" x14ac:dyDescent="0.2">
      <c r="A1113">
        <v>15</v>
      </c>
      <c r="B1113">
        <v>66</v>
      </c>
      <c r="C1113" t="s">
        <v>531</v>
      </c>
      <c r="D1113" t="s">
        <v>39</v>
      </c>
      <c r="E1113" t="s">
        <v>46</v>
      </c>
      <c r="F1113" t="s">
        <v>51</v>
      </c>
      <c r="G1113" t="s">
        <v>42</v>
      </c>
    </row>
    <row r="1114" spans="1:7" x14ac:dyDescent="0.2">
      <c r="A1114">
        <v>15</v>
      </c>
      <c r="B1114">
        <v>66</v>
      </c>
      <c r="C1114" t="s">
        <v>565</v>
      </c>
      <c r="D1114" t="s">
        <v>39</v>
      </c>
      <c r="E1114" t="s">
        <v>46</v>
      </c>
      <c r="F1114" t="s">
        <v>51</v>
      </c>
      <c r="G1114" t="s">
        <v>42</v>
      </c>
    </row>
    <row r="1115" spans="1:7" x14ac:dyDescent="0.2">
      <c r="A1115">
        <v>15</v>
      </c>
      <c r="B1115">
        <v>66</v>
      </c>
      <c r="C1115" t="s">
        <v>474</v>
      </c>
      <c r="D1115" t="s">
        <v>39</v>
      </c>
      <c r="E1115" t="s">
        <v>46</v>
      </c>
      <c r="F1115" t="s">
        <v>51</v>
      </c>
      <c r="G1115" t="s">
        <v>42</v>
      </c>
    </row>
    <row r="1116" spans="1:7" x14ac:dyDescent="0.2">
      <c r="A1116">
        <v>15</v>
      </c>
      <c r="B1116">
        <v>66</v>
      </c>
      <c r="C1116" t="s">
        <v>486</v>
      </c>
      <c r="D1116" t="s">
        <v>39</v>
      </c>
      <c r="E1116" t="s">
        <v>46</v>
      </c>
      <c r="F1116" t="s">
        <v>51</v>
      </c>
      <c r="G1116" t="s">
        <v>42</v>
      </c>
    </row>
    <row r="1117" spans="1:7" x14ac:dyDescent="0.2">
      <c r="A1117">
        <v>15</v>
      </c>
      <c r="B1117">
        <v>66</v>
      </c>
      <c r="C1117" t="s">
        <v>504</v>
      </c>
      <c r="D1117" t="s">
        <v>39</v>
      </c>
      <c r="E1117" t="s">
        <v>46</v>
      </c>
      <c r="F1117" t="s">
        <v>51</v>
      </c>
      <c r="G1117" t="s">
        <v>42</v>
      </c>
    </row>
    <row r="1118" spans="1:7" x14ac:dyDescent="0.2">
      <c r="A1118">
        <v>15</v>
      </c>
      <c r="B1118">
        <v>66</v>
      </c>
      <c r="C1118" t="s">
        <v>566</v>
      </c>
      <c r="D1118" t="s">
        <v>39</v>
      </c>
      <c r="E1118" t="s">
        <v>46</v>
      </c>
      <c r="F1118" t="s">
        <v>51</v>
      </c>
      <c r="G1118" t="s">
        <v>42</v>
      </c>
    </row>
    <row r="1119" spans="1:7" x14ac:dyDescent="0.2">
      <c r="A1119">
        <v>15</v>
      </c>
      <c r="B1119">
        <v>66</v>
      </c>
      <c r="C1119" t="s">
        <v>567</v>
      </c>
      <c r="D1119" t="s">
        <v>39</v>
      </c>
      <c r="E1119" t="s">
        <v>46</v>
      </c>
      <c r="F1119" t="s">
        <v>51</v>
      </c>
      <c r="G1119" t="s">
        <v>42</v>
      </c>
    </row>
    <row r="1120" spans="1:7" x14ac:dyDescent="0.2">
      <c r="A1120">
        <v>15</v>
      </c>
      <c r="B1120">
        <v>66</v>
      </c>
      <c r="C1120" t="s">
        <v>545</v>
      </c>
      <c r="D1120" t="s">
        <v>39</v>
      </c>
      <c r="E1120" t="s">
        <v>46</v>
      </c>
      <c r="F1120" t="s">
        <v>51</v>
      </c>
      <c r="G1120" t="s">
        <v>42</v>
      </c>
    </row>
    <row r="1121" spans="1:7" x14ac:dyDescent="0.2">
      <c r="A1121">
        <v>15</v>
      </c>
      <c r="B1121">
        <v>66</v>
      </c>
      <c r="C1121" t="s">
        <v>568</v>
      </c>
      <c r="D1121" t="s">
        <v>39</v>
      </c>
      <c r="E1121" t="s">
        <v>46</v>
      </c>
      <c r="F1121" t="s">
        <v>51</v>
      </c>
      <c r="G1121" t="s">
        <v>42</v>
      </c>
    </row>
    <row r="1122" spans="1:7" x14ac:dyDescent="0.2">
      <c r="A1122">
        <v>15</v>
      </c>
      <c r="B1122">
        <v>66</v>
      </c>
      <c r="C1122" t="s">
        <v>551</v>
      </c>
      <c r="D1122" t="s">
        <v>39</v>
      </c>
      <c r="E1122" t="s">
        <v>46</v>
      </c>
      <c r="F1122" t="s">
        <v>51</v>
      </c>
      <c r="G1122" t="s">
        <v>42</v>
      </c>
    </row>
    <row r="1123" spans="1:7" x14ac:dyDescent="0.2">
      <c r="A1123">
        <v>15</v>
      </c>
      <c r="B1123">
        <v>66</v>
      </c>
      <c r="C1123" t="s">
        <v>500</v>
      </c>
      <c r="D1123" t="s">
        <v>39</v>
      </c>
      <c r="E1123" t="s">
        <v>46</v>
      </c>
      <c r="F1123" t="s">
        <v>51</v>
      </c>
      <c r="G1123" t="s">
        <v>42</v>
      </c>
    </row>
    <row r="1124" spans="1:7" x14ac:dyDescent="0.2">
      <c r="A1124">
        <v>15</v>
      </c>
      <c r="B1124">
        <v>66</v>
      </c>
      <c r="C1124" t="s">
        <v>569</v>
      </c>
      <c r="D1124" t="s">
        <v>39</v>
      </c>
      <c r="E1124" t="s">
        <v>46</v>
      </c>
      <c r="F1124" t="s">
        <v>51</v>
      </c>
      <c r="G1124" t="s">
        <v>42</v>
      </c>
    </row>
    <row r="1125" spans="1:7" x14ac:dyDescent="0.2">
      <c r="A1125">
        <v>16</v>
      </c>
      <c r="B1125">
        <v>66</v>
      </c>
      <c r="C1125" t="s">
        <v>499</v>
      </c>
      <c r="D1125" t="s">
        <v>39</v>
      </c>
      <c r="E1125" t="s">
        <v>46</v>
      </c>
      <c r="F1125" t="s">
        <v>51</v>
      </c>
      <c r="G1125" t="s">
        <v>42</v>
      </c>
    </row>
    <row r="1126" spans="1:7" x14ac:dyDescent="0.2">
      <c r="A1126">
        <v>16</v>
      </c>
      <c r="B1126">
        <v>66</v>
      </c>
      <c r="C1126" t="s">
        <v>500</v>
      </c>
      <c r="D1126" t="s">
        <v>39</v>
      </c>
      <c r="E1126" t="s">
        <v>46</v>
      </c>
      <c r="F1126" t="s">
        <v>51</v>
      </c>
      <c r="G1126" t="s">
        <v>42</v>
      </c>
    </row>
    <row r="1127" spans="1:7" x14ac:dyDescent="0.2">
      <c r="A1127">
        <v>16</v>
      </c>
      <c r="B1127">
        <v>66</v>
      </c>
      <c r="C1127" t="s">
        <v>570</v>
      </c>
      <c r="D1127" t="s">
        <v>39</v>
      </c>
      <c r="E1127" t="s">
        <v>46</v>
      </c>
      <c r="F1127" t="s">
        <v>51</v>
      </c>
      <c r="G1127" t="s">
        <v>42</v>
      </c>
    </row>
    <row r="1128" spans="1:7" x14ac:dyDescent="0.2">
      <c r="A1128">
        <v>16</v>
      </c>
      <c r="B1128">
        <v>66</v>
      </c>
      <c r="C1128" t="s">
        <v>551</v>
      </c>
      <c r="D1128" t="s">
        <v>39</v>
      </c>
      <c r="E1128" t="s">
        <v>46</v>
      </c>
      <c r="F1128" t="s">
        <v>51</v>
      </c>
      <c r="G1128" t="s">
        <v>42</v>
      </c>
    </row>
    <row r="1129" spans="1:7" x14ac:dyDescent="0.2">
      <c r="A1129">
        <v>16</v>
      </c>
      <c r="B1129">
        <v>66</v>
      </c>
      <c r="C1129" t="s">
        <v>545</v>
      </c>
      <c r="D1129" t="s">
        <v>39</v>
      </c>
      <c r="E1129" t="s">
        <v>46</v>
      </c>
      <c r="F1129" t="s">
        <v>51</v>
      </c>
      <c r="G1129" t="s">
        <v>42</v>
      </c>
    </row>
    <row r="1130" spans="1:7" x14ac:dyDescent="0.2">
      <c r="A1130">
        <v>16</v>
      </c>
      <c r="B1130">
        <v>66</v>
      </c>
      <c r="C1130" t="s">
        <v>484</v>
      </c>
      <c r="D1130" t="s">
        <v>39</v>
      </c>
      <c r="E1130" t="s">
        <v>46</v>
      </c>
      <c r="F1130" t="s">
        <v>51</v>
      </c>
      <c r="G1130" t="s">
        <v>42</v>
      </c>
    </row>
    <row r="1131" spans="1:7" x14ac:dyDescent="0.2">
      <c r="A1131">
        <v>16</v>
      </c>
      <c r="B1131">
        <v>66</v>
      </c>
      <c r="C1131" t="s">
        <v>571</v>
      </c>
      <c r="D1131" t="s">
        <v>39</v>
      </c>
      <c r="E1131" t="s">
        <v>46</v>
      </c>
      <c r="F1131" t="s">
        <v>51</v>
      </c>
      <c r="G1131" t="s">
        <v>42</v>
      </c>
    </row>
    <row r="1132" spans="1:7" x14ac:dyDescent="0.2">
      <c r="A1132">
        <v>16</v>
      </c>
      <c r="B1132">
        <v>66</v>
      </c>
      <c r="C1132" t="s">
        <v>572</v>
      </c>
      <c r="D1132" t="s">
        <v>39</v>
      </c>
      <c r="E1132" t="s">
        <v>46</v>
      </c>
      <c r="F1132" t="s">
        <v>51</v>
      </c>
      <c r="G1132" t="s">
        <v>42</v>
      </c>
    </row>
    <row r="1133" spans="1:7" x14ac:dyDescent="0.2">
      <c r="A1133">
        <v>16</v>
      </c>
      <c r="B1133">
        <v>66</v>
      </c>
      <c r="C1133" t="s">
        <v>573</v>
      </c>
      <c r="D1133" t="s">
        <v>39</v>
      </c>
      <c r="E1133" t="s">
        <v>46</v>
      </c>
      <c r="F1133" t="s">
        <v>51</v>
      </c>
      <c r="G1133" t="s">
        <v>42</v>
      </c>
    </row>
    <row r="1134" spans="1:7" x14ac:dyDescent="0.2">
      <c r="A1134">
        <v>16</v>
      </c>
      <c r="B1134">
        <v>66</v>
      </c>
      <c r="C1134" t="s">
        <v>504</v>
      </c>
      <c r="D1134" t="s">
        <v>39</v>
      </c>
      <c r="E1134" t="s">
        <v>46</v>
      </c>
      <c r="F1134" t="s">
        <v>51</v>
      </c>
      <c r="G1134" t="s">
        <v>42</v>
      </c>
    </row>
    <row r="1135" spans="1:7" x14ac:dyDescent="0.2">
      <c r="A1135">
        <v>16</v>
      </c>
      <c r="B1135">
        <v>66</v>
      </c>
      <c r="C1135" t="s">
        <v>574</v>
      </c>
      <c r="D1135" t="s">
        <v>39</v>
      </c>
      <c r="E1135" t="s">
        <v>46</v>
      </c>
      <c r="F1135" t="s">
        <v>51</v>
      </c>
      <c r="G1135" t="s">
        <v>42</v>
      </c>
    </row>
    <row r="1136" spans="1:7" x14ac:dyDescent="0.2">
      <c r="A1136">
        <v>16</v>
      </c>
      <c r="B1136">
        <v>66</v>
      </c>
      <c r="C1136" t="s">
        <v>575</v>
      </c>
      <c r="D1136" t="s">
        <v>39</v>
      </c>
      <c r="E1136" t="s">
        <v>46</v>
      </c>
      <c r="F1136" t="s">
        <v>51</v>
      </c>
      <c r="G1136" t="s">
        <v>42</v>
      </c>
    </row>
    <row r="1137" spans="1:7" x14ac:dyDescent="0.2">
      <c r="A1137">
        <v>16</v>
      </c>
      <c r="B1137">
        <v>66</v>
      </c>
      <c r="C1137" t="s">
        <v>486</v>
      </c>
      <c r="D1137" t="s">
        <v>39</v>
      </c>
      <c r="E1137" t="s">
        <v>46</v>
      </c>
      <c r="F1137" t="s">
        <v>51</v>
      </c>
      <c r="G1137" t="s">
        <v>42</v>
      </c>
    </row>
    <row r="1138" spans="1:7" x14ac:dyDescent="0.2">
      <c r="A1138">
        <v>16</v>
      </c>
      <c r="B1138">
        <v>66</v>
      </c>
      <c r="C1138" t="s">
        <v>474</v>
      </c>
      <c r="D1138" t="s">
        <v>39</v>
      </c>
      <c r="E1138" t="s">
        <v>46</v>
      </c>
      <c r="F1138" t="s">
        <v>51</v>
      </c>
      <c r="G1138" t="s">
        <v>42</v>
      </c>
    </row>
    <row r="1139" spans="1:7" x14ac:dyDescent="0.2">
      <c r="A1139">
        <v>16</v>
      </c>
      <c r="B1139">
        <v>66</v>
      </c>
      <c r="C1139" t="s">
        <v>576</v>
      </c>
      <c r="D1139" t="s">
        <v>39</v>
      </c>
      <c r="E1139" t="s">
        <v>46</v>
      </c>
      <c r="F1139" t="s">
        <v>51</v>
      </c>
      <c r="G1139" t="s">
        <v>42</v>
      </c>
    </row>
    <row r="1140" spans="1:7" x14ac:dyDescent="0.2">
      <c r="A1140">
        <v>16</v>
      </c>
      <c r="B1140">
        <v>66</v>
      </c>
      <c r="C1140" t="s">
        <v>531</v>
      </c>
      <c r="D1140" t="s">
        <v>39</v>
      </c>
      <c r="E1140" t="s">
        <v>46</v>
      </c>
      <c r="F1140" t="s">
        <v>51</v>
      </c>
      <c r="G1140" t="s">
        <v>42</v>
      </c>
    </row>
    <row r="1141" spans="1:7" x14ac:dyDescent="0.2">
      <c r="A1141">
        <v>16</v>
      </c>
      <c r="B1141">
        <v>66</v>
      </c>
      <c r="C1141" t="s">
        <v>577</v>
      </c>
      <c r="D1141" t="s">
        <v>39</v>
      </c>
      <c r="E1141" t="s">
        <v>46</v>
      </c>
      <c r="F1141" t="s">
        <v>51</v>
      </c>
      <c r="G1141" t="s">
        <v>42</v>
      </c>
    </row>
    <row r="1142" spans="1:7" x14ac:dyDescent="0.2">
      <c r="A1142">
        <v>16</v>
      </c>
      <c r="B1142">
        <v>66</v>
      </c>
      <c r="C1142" t="s">
        <v>578</v>
      </c>
      <c r="D1142" t="s">
        <v>39</v>
      </c>
      <c r="E1142" t="s">
        <v>46</v>
      </c>
      <c r="F1142" t="s">
        <v>51</v>
      </c>
      <c r="G1142" t="s">
        <v>42</v>
      </c>
    </row>
    <row r="1143" spans="1:7" x14ac:dyDescent="0.2">
      <c r="A1143">
        <v>16</v>
      </c>
      <c r="B1143">
        <v>66</v>
      </c>
      <c r="C1143" t="s">
        <v>579</v>
      </c>
      <c r="D1143" t="s">
        <v>39</v>
      </c>
      <c r="E1143" t="s">
        <v>46</v>
      </c>
      <c r="F1143" t="s">
        <v>51</v>
      </c>
      <c r="G1143" t="s">
        <v>42</v>
      </c>
    </row>
    <row r="1144" spans="1:7" x14ac:dyDescent="0.2">
      <c r="A1144">
        <v>16</v>
      </c>
      <c r="B1144">
        <v>66</v>
      </c>
      <c r="C1144" t="s">
        <v>580</v>
      </c>
      <c r="D1144" t="s">
        <v>39</v>
      </c>
      <c r="E1144" t="s">
        <v>46</v>
      </c>
      <c r="F1144" t="s">
        <v>51</v>
      </c>
      <c r="G1144" t="s">
        <v>42</v>
      </c>
    </row>
    <row r="1145" spans="1:7" x14ac:dyDescent="0.2">
      <c r="A1145">
        <v>16</v>
      </c>
      <c r="B1145">
        <v>66</v>
      </c>
      <c r="C1145" t="s">
        <v>581</v>
      </c>
      <c r="D1145" t="s">
        <v>39</v>
      </c>
      <c r="E1145" t="s">
        <v>46</v>
      </c>
      <c r="F1145" t="s">
        <v>51</v>
      </c>
      <c r="G1145" t="s">
        <v>42</v>
      </c>
    </row>
    <row r="1146" spans="1:7" x14ac:dyDescent="0.2">
      <c r="A1146">
        <v>16</v>
      </c>
      <c r="B1146">
        <v>66</v>
      </c>
      <c r="C1146" t="s">
        <v>582</v>
      </c>
      <c r="D1146" t="s">
        <v>39</v>
      </c>
      <c r="E1146" t="s">
        <v>46</v>
      </c>
      <c r="F1146" t="s">
        <v>51</v>
      </c>
      <c r="G1146" t="s">
        <v>42</v>
      </c>
    </row>
    <row r="1147" spans="1:7" x14ac:dyDescent="0.2">
      <c r="A1147">
        <v>16</v>
      </c>
      <c r="B1147">
        <v>66</v>
      </c>
      <c r="C1147" t="s">
        <v>496</v>
      </c>
      <c r="D1147" t="s">
        <v>39</v>
      </c>
      <c r="E1147" t="s">
        <v>46</v>
      </c>
      <c r="F1147" t="s">
        <v>51</v>
      </c>
      <c r="G1147" t="s">
        <v>42</v>
      </c>
    </row>
    <row r="1148" spans="1:7" x14ac:dyDescent="0.2">
      <c r="A1148">
        <v>16</v>
      </c>
      <c r="B1148">
        <v>66</v>
      </c>
      <c r="C1148" t="s">
        <v>561</v>
      </c>
      <c r="D1148" t="s">
        <v>39</v>
      </c>
      <c r="E1148" t="s">
        <v>46</v>
      </c>
      <c r="F1148" t="s">
        <v>51</v>
      </c>
      <c r="G1148" t="s">
        <v>42</v>
      </c>
    </row>
    <row r="1149" spans="1:7" x14ac:dyDescent="0.2">
      <c r="A1149">
        <v>16</v>
      </c>
      <c r="B1149">
        <v>66</v>
      </c>
      <c r="C1149" t="s">
        <v>536</v>
      </c>
      <c r="D1149" t="s">
        <v>39</v>
      </c>
      <c r="E1149" t="s">
        <v>46</v>
      </c>
      <c r="F1149" t="s">
        <v>51</v>
      </c>
      <c r="G1149" t="s">
        <v>42</v>
      </c>
    </row>
    <row r="1150" spans="1:7" x14ac:dyDescent="0.2">
      <c r="A1150">
        <v>16</v>
      </c>
      <c r="B1150">
        <v>66</v>
      </c>
      <c r="C1150" t="s">
        <v>498</v>
      </c>
      <c r="D1150" t="s">
        <v>39</v>
      </c>
      <c r="E1150" t="s">
        <v>46</v>
      </c>
      <c r="F1150" t="s">
        <v>51</v>
      </c>
      <c r="G1150" t="s">
        <v>42</v>
      </c>
    </row>
    <row r="1151" spans="1:7" x14ac:dyDescent="0.2">
      <c r="A1151">
        <v>16</v>
      </c>
      <c r="B1151">
        <v>66</v>
      </c>
      <c r="C1151" t="s">
        <v>480</v>
      </c>
      <c r="D1151" t="s">
        <v>39</v>
      </c>
      <c r="E1151" t="s">
        <v>46</v>
      </c>
      <c r="F1151" t="s">
        <v>51</v>
      </c>
      <c r="G1151" t="s">
        <v>42</v>
      </c>
    </row>
    <row r="1152" spans="1:7" x14ac:dyDescent="0.2">
      <c r="A1152">
        <v>17</v>
      </c>
      <c r="B1152">
        <v>66</v>
      </c>
      <c r="C1152" t="s">
        <v>554</v>
      </c>
      <c r="D1152" t="s">
        <v>39</v>
      </c>
      <c r="E1152" t="s">
        <v>46</v>
      </c>
      <c r="F1152" t="s">
        <v>51</v>
      </c>
      <c r="G1152" t="s">
        <v>42</v>
      </c>
    </row>
    <row r="1153" spans="1:7" x14ac:dyDescent="0.2">
      <c r="A1153">
        <v>17</v>
      </c>
      <c r="B1153">
        <v>66</v>
      </c>
      <c r="C1153" t="s">
        <v>498</v>
      </c>
      <c r="D1153" t="s">
        <v>39</v>
      </c>
      <c r="E1153" t="s">
        <v>46</v>
      </c>
      <c r="F1153" t="s">
        <v>51</v>
      </c>
      <c r="G1153" t="s">
        <v>42</v>
      </c>
    </row>
    <row r="1154" spans="1:7" x14ac:dyDescent="0.2">
      <c r="A1154">
        <v>17</v>
      </c>
      <c r="B1154">
        <v>66</v>
      </c>
      <c r="C1154" t="s">
        <v>536</v>
      </c>
      <c r="D1154" t="s">
        <v>39</v>
      </c>
      <c r="E1154" t="s">
        <v>46</v>
      </c>
      <c r="F1154" t="s">
        <v>51</v>
      </c>
      <c r="G1154" t="s">
        <v>42</v>
      </c>
    </row>
    <row r="1155" spans="1:7" x14ac:dyDescent="0.2">
      <c r="A1155">
        <v>17</v>
      </c>
      <c r="B1155">
        <v>66</v>
      </c>
      <c r="C1155" t="s">
        <v>243</v>
      </c>
      <c r="D1155" t="s">
        <v>39</v>
      </c>
      <c r="E1155" t="s">
        <v>46</v>
      </c>
      <c r="F1155" t="s">
        <v>51</v>
      </c>
      <c r="G1155" t="s">
        <v>42</v>
      </c>
    </row>
    <row r="1156" spans="1:7" x14ac:dyDescent="0.2">
      <c r="A1156">
        <v>17</v>
      </c>
      <c r="B1156">
        <v>66</v>
      </c>
      <c r="C1156" t="s">
        <v>496</v>
      </c>
      <c r="D1156" t="s">
        <v>39</v>
      </c>
      <c r="E1156" t="s">
        <v>46</v>
      </c>
      <c r="F1156" t="s">
        <v>51</v>
      </c>
      <c r="G1156" t="s">
        <v>42</v>
      </c>
    </row>
    <row r="1157" spans="1:7" x14ac:dyDescent="0.2">
      <c r="A1157">
        <v>17</v>
      </c>
      <c r="B1157">
        <v>66</v>
      </c>
      <c r="C1157" t="s">
        <v>582</v>
      </c>
      <c r="D1157" t="s">
        <v>39</v>
      </c>
      <c r="E1157" t="s">
        <v>46</v>
      </c>
      <c r="F1157" t="s">
        <v>51</v>
      </c>
      <c r="G1157" t="s">
        <v>42</v>
      </c>
    </row>
    <row r="1158" spans="1:7" x14ac:dyDescent="0.2">
      <c r="A1158">
        <v>17</v>
      </c>
      <c r="B1158">
        <v>66</v>
      </c>
      <c r="C1158" t="s">
        <v>583</v>
      </c>
      <c r="D1158" t="s">
        <v>39</v>
      </c>
      <c r="E1158" t="s">
        <v>46</v>
      </c>
      <c r="F1158" t="s">
        <v>51</v>
      </c>
      <c r="G1158" t="s">
        <v>42</v>
      </c>
    </row>
    <row r="1159" spans="1:7" x14ac:dyDescent="0.2">
      <c r="A1159">
        <v>17</v>
      </c>
      <c r="B1159">
        <v>66</v>
      </c>
      <c r="C1159" t="s">
        <v>580</v>
      </c>
      <c r="D1159" t="s">
        <v>39</v>
      </c>
      <c r="E1159" t="s">
        <v>46</v>
      </c>
      <c r="F1159" t="s">
        <v>51</v>
      </c>
      <c r="G1159" t="s">
        <v>42</v>
      </c>
    </row>
    <row r="1160" spans="1:7" x14ac:dyDescent="0.2">
      <c r="A1160">
        <v>17</v>
      </c>
      <c r="B1160">
        <v>66</v>
      </c>
      <c r="C1160" t="s">
        <v>584</v>
      </c>
      <c r="D1160" t="s">
        <v>39</v>
      </c>
      <c r="E1160" t="s">
        <v>46</v>
      </c>
      <c r="F1160" t="s">
        <v>51</v>
      </c>
      <c r="G1160" t="s">
        <v>42</v>
      </c>
    </row>
    <row r="1161" spans="1:7" x14ac:dyDescent="0.2">
      <c r="A1161">
        <v>17</v>
      </c>
      <c r="B1161">
        <v>66</v>
      </c>
      <c r="C1161" t="s">
        <v>585</v>
      </c>
      <c r="D1161" t="s">
        <v>39</v>
      </c>
      <c r="E1161" t="s">
        <v>46</v>
      </c>
      <c r="F1161" t="s">
        <v>51</v>
      </c>
      <c r="G1161" t="s">
        <v>42</v>
      </c>
    </row>
    <row r="1162" spans="1:7" x14ac:dyDescent="0.2">
      <c r="A1162">
        <v>17</v>
      </c>
      <c r="B1162">
        <v>66</v>
      </c>
      <c r="C1162" t="s">
        <v>586</v>
      </c>
      <c r="D1162" t="s">
        <v>39</v>
      </c>
      <c r="E1162" t="s">
        <v>46</v>
      </c>
      <c r="F1162" t="s">
        <v>51</v>
      </c>
      <c r="G1162" t="s">
        <v>42</v>
      </c>
    </row>
    <row r="1163" spans="1:7" x14ac:dyDescent="0.2">
      <c r="A1163">
        <v>17</v>
      </c>
      <c r="B1163">
        <v>66</v>
      </c>
      <c r="C1163" t="s">
        <v>531</v>
      </c>
      <c r="D1163" t="s">
        <v>39</v>
      </c>
      <c r="E1163" t="s">
        <v>46</v>
      </c>
      <c r="F1163" t="s">
        <v>51</v>
      </c>
      <c r="G1163" t="s">
        <v>42</v>
      </c>
    </row>
    <row r="1164" spans="1:7" x14ac:dyDescent="0.2">
      <c r="A1164">
        <v>17</v>
      </c>
      <c r="B1164">
        <v>66</v>
      </c>
      <c r="C1164" t="s">
        <v>576</v>
      </c>
      <c r="D1164" t="s">
        <v>39</v>
      </c>
      <c r="E1164" t="s">
        <v>46</v>
      </c>
      <c r="F1164" t="s">
        <v>51</v>
      </c>
      <c r="G1164" t="s">
        <v>42</v>
      </c>
    </row>
    <row r="1165" spans="1:7" x14ac:dyDescent="0.2">
      <c r="A1165">
        <v>17</v>
      </c>
      <c r="B1165">
        <v>66</v>
      </c>
      <c r="C1165" t="s">
        <v>474</v>
      </c>
      <c r="D1165" t="s">
        <v>39</v>
      </c>
      <c r="E1165" t="s">
        <v>46</v>
      </c>
      <c r="F1165" t="s">
        <v>51</v>
      </c>
      <c r="G1165" t="s">
        <v>42</v>
      </c>
    </row>
    <row r="1166" spans="1:7" x14ac:dyDescent="0.2">
      <c r="A1166">
        <v>17</v>
      </c>
      <c r="B1166">
        <v>66</v>
      </c>
      <c r="C1166" t="s">
        <v>504</v>
      </c>
      <c r="D1166" t="s">
        <v>39</v>
      </c>
      <c r="E1166" t="s">
        <v>46</v>
      </c>
      <c r="F1166" t="s">
        <v>51</v>
      </c>
      <c r="G1166" t="s">
        <v>42</v>
      </c>
    </row>
    <row r="1167" spans="1:7" x14ac:dyDescent="0.2">
      <c r="A1167">
        <v>17</v>
      </c>
      <c r="B1167">
        <v>66</v>
      </c>
      <c r="C1167" t="s">
        <v>587</v>
      </c>
      <c r="D1167" t="s">
        <v>39</v>
      </c>
      <c r="E1167" t="s">
        <v>46</v>
      </c>
      <c r="F1167" t="s">
        <v>51</v>
      </c>
      <c r="G1167" t="s">
        <v>42</v>
      </c>
    </row>
    <row r="1168" spans="1:7" x14ac:dyDescent="0.2">
      <c r="A1168">
        <v>17</v>
      </c>
      <c r="B1168">
        <v>66</v>
      </c>
      <c r="C1168" t="s">
        <v>484</v>
      </c>
      <c r="D1168" t="s">
        <v>39</v>
      </c>
      <c r="E1168" t="s">
        <v>46</v>
      </c>
      <c r="F1168" t="s">
        <v>51</v>
      </c>
      <c r="G1168" t="s">
        <v>42</v>
      </c>
    </row>
    <row r="1169" spans="1:7" x14ac:dyDescent="0.2">
      <c r="A1169">
        <v>17</v>
      </c>
      <c r="B1169">
        <v>66</v>
      </c>
      <c r="C1169" t="s">
        <v>545</v>
      </c>
      <c r="D1169" t="s">
        <v>39</v>
      </c>
      <c r="E1169" t="s">
        <v>46</v>
      </c>
      <c r="F1169" t="s">
        <v>51</v>
      </c>
      <c r="G1169" t="s">
        <v>42</v>
      </c>
    </row>
    <row r="1170" spans="1:7" x14ac:dyDescent="0.2">
      <c r="A1170">
        <v>17</v>
      </c>
      <c r="B1170">
        <v>66</v>
      </c>
      <c r="C1170" t="s">
        <v>588</v>
      </c>
      <c r="D1170" t="s">
        <v>39</v>
      </c>
      <c r="E1170" t="s">
        <v>46</v>
      </c>
      <c r="F1170" t="s">
        <v>51</v>
      </c>
      <c r="G1170" t="s">
        <v>42</v>
      </c>
    </row>
    <row r="1171" spans="1:7" x14ac:dyDescent="0.2">
      <c r="A1171">
        <v>17</v>
      </c>
      <c r="B1171">
        <v>66</v>
      </c>
      <c r="C1171" t="s">
        <v>551</v>
      </c>
      <c r="D1171" t="s">
        <v>39</v>
      </c>
      <c r="E1171" t="s">
        <v>46</v>
      </c>
      <c r="F1171" t="s">
        <v>51</v>
      </c>
      <c r="G1171" t="s">
        <v>42</v>
      </c>
    </row>
    <row r="1172" spans="1:7" x14ac:dyDescent="0.2">
      <c r="A1172">
        <v>17</v>
      </c>
      <c r="B1172">
        <v>66</v>
      </c>
      <c r="C1172" t="s">
        <v>589</v>
      </c>
      <c r="D1172" t="s">
        <v>39</v>
      </c>
      <c r="E1172" t="s">
        <v>46</v>
      </c>
      <c r="F1172" t="s">
        <v>51</v>
      </c>
      <c r="G1172" t="s">
        <v>42</v>
      </c>
    </row>
    <row r="1173" spans="1:7" x14ac:dyDescent="0.2">
      <c r="A1173">
        <v>17</v>
      </c>
      <c r="B1173">
        <v>66</v>
      </c>
      <c r="C1173" t="s">
        <v>500</v>
      </c>
      <c r="D1173" t="s">
        <v>39</v>
      </c>
      <c r="E1173" t="s">
        <v>46</v>
      </c>
      <c r="F1173" t="s">
        <v>51</v>
      </c>
      <c r="G1173" t="s">
        <v>42</v>
      </c>
    </row>
    <row r="1174" spans="1:7" x14ac:dyDescent="0.2">
      <c r="A1174">
        <v>17</v>
      </c>
      <c r="B1174">
        <v>66</v>
      </c>
      <c r="C1174" t="s">
        <v>590</v>
      </c>
      <c r="D1174" t="s">
        <v>39</v>
      </c>
      <c r="E1174" t="s">
        <v>46</v>
      </c>
      <c r="F1174" t="s">
        <v>51</v>
      </c>
      <c r="G1174" t="s">
        <v>42</v>
      </c>
    </row>
    <row r="1175" spans="1:7" x14ac:dyDescent="0.2">
      <c r="A1175">
        <v>18</v>
      </c>
      <c r="B1175">
        <v>66</v>
      </c>
      <c r="C1175" t="s">
        <v>499</v>
      </c>
      <c r="D1175" t="s">
        <v>39</v>
      </c>
      <c r="E1175" t="s">
        <v>46</v>
      </c>
      <c r="F1175" t="s">
        <v>51</v>
      </c>
      <c r="G1175" t="s">
        <v>42</v>
      </c>
    </row>
    <row r="1176" spans="1:7" x14ac:dyDescent="0.2">
      <c r="A1176">
        <v>18</v>
      </c>
      <c r="B1176">
        <v>66</v>
      </c>
      <c r="C1176" t="s">
        <v>549</v>
      </c>
      <c r="D1176" t="s">
        <v>39</v>
      </c>
      <c r="E1176" t="s">
        <v>46</v>
      </c>
      <c r="F1176" t="s">
        <v>51</v>
      </c>
      <c r="G1176" t="s">
        <v>42</v>
      </c>
    </row>
    <row r="1177" spans="1:7" x14ac:dyDescent="0.2">
      <c r="A1177">
        <v>18</v>
      </c>
      <c r="B1177">
        <v>66</v>
      </c>
      <c r="C1177" t="s">
        <v>589</v>
      </c>
      <c r="D1177" t="s">
        <v>39</v>
      </c>
      <c r="E1177" t="s">
        <v>46</v>
      </c>
      <c r="F1177" t="s">
        <v>51</v>
      </c>
      <c r="G1177" t="s">
        <v>42</v>
      </c>
    </row>
    <row r="1178" spans="1:7" x14ac:dyDescent="0.2">
      <c r="A1178">
        <v>18</v>
      </c>
      <c r="B1178">
        <v>66</v>
      </c>
      <c r="C1178" t="s">
        <v>551</v>
      </c>
      <c r="D1178" t="s">
        <v>39</v>
      </c>
      <c r="E1178" t="s">
        <v>46</v>
      </c>
      <c r="F1178" t="s">
        <v>51</v>
      </c>
      <c r="G1178" t="s">
        <v>42</v>
      </c>
    </row>
    <row r="1179" spans="1:7" x14ac:dyDescent="0.2">
      <c r="A1179">
        <v>18</v>
      </c>
      <c r="B1179">
        <v>66</v>
      </c>
      <c r="C1179" t="s">
        <v>588</v>
      </c>
      <c r="D1179" t="s">
        <v>39</v>
      </c>
      <c r="E1179" t="s">
        <v>46</v>
      </c>
      <c r="F1179" t="s">
        <v>51</v>
      </c>
      <c r="G1179" t="s">
        <v>42</v>
      </c>
    </row>
    <row r="1180" spans="1:7" x14ac:dyDescent="0.2">
      <c r="A1180">
        <v>18</v>
      </c>
      <c r="B1180">
        <v>66</v>
      </c>
      <c r="C1180" t="s">
        <v>480</v>
      </c>
      <c r="D1180" t="s">
        <v>39</v>
      </c>
      <c r="E1180" t="s">
        <v>46</v>
      </c>
      <c r="F1180" t="s">
        <v>51</v>
      </c>
      <c r="G1180" t="s">
        <v>42</v>
      </c>
    </row>
    <row r="1181" spans="1:7" x14ac:dyDescent="0.2">
      <c r="A1181">
        <v>18</v>
      </c>
      <c r="B1181">
        <v>66</v>
      </c>
      <c r="C1181" t="s">
        <v>545</v>
      </c>
      <c r="D1181" t="s">
        <v>39</v>
      </c>
      <c r="E1181" t="s">
        <v>46</v>
      </c>
      <c r="F1181" t="s">
        <v>51</v>
      </c>
      <c r="G1181" t="s">
        <v>42</v>
      </c>
    </row>
    <row r="1182" spans="1:7" x14ac:dyDescent="0.2">
      <c r="A1182">
        <v>18</v>
      </c>
      <c r="B1182">
        <v>66</v>
      </c>
      <c r="C1182" t="s">
        <v>484</v>
      </c>
      <c r="D1182" t="s">
        <v>39</v>
      </c>
      <c r="E1182" t="s">
        <v>46</v>
      </c>
      <c r="F1182" t="s">
        <v>51</v>
      </c>
      <c r="G1182" t="s">
        <v>42</v>
      </c>
    </row>
    <row r="1183" spans="1:7" x14ac:dyDescent="0.2">
      <c r="A1183">
        <v>18</v>
      </c>
      <c r="B1183">
        <v>66</v>
      </c>
      <c r="C1183" t="s">
        <v>498</v>
      </c>
      <c r="D1183" t="s">
        <v>39</v>
      </c>
      <c r="E1183" t="s">
        <v>46</v>
      </c>
      <c r="F1183" t="s">
        <v>51</v>
      </c>
      <c r="G1183" t="s">
        <v>42</v>
      </c>
    </row>
    <row r="1184" spans="1:7" x14ac:dyDescent="0.2">
      <c r="A1184">
        <v>18</v>
      </c>
      <c r="B1184">
        <v>66</v>
      </c>
      <c r="C1184" t="s">
        <v>587</v>
      </c>
      <c r="D1184" t="s">
        <v>39</v>
      </c>
      <c r="E1184" t="s">
        <v>46</v>
      </c>
      <c r="F1184" t="s">
        <v>51</v>
      </c>
      <c r="G1184" t="s">
        <v>42</v>
      </c>
    </row>
    <row r="1185" spans="1:7" x14ac:dyDescent="0.2">
      <c r="A1185">
        <v>18</v>
      </c>
      <c r="B1185">
        <v>66</v>
      </c>
      <c r="C1185" t="s">
        <v>536</v>
      </c>
      <c r="D1185" t="s">
        <v>39</v>
      </c>
      <c r="E1185" t="s">
        <v>46</v>
      </c>
      <c r="F1185" t="s">
        <v>51</v>
      </c>
      <c r="G1185" t="s">
        <v>42</v>
      </c>
    </row>
    <row r="1186" spans="1:7" x14ac:dyDescent="0.2">
      <c r="A1186">
        <v>18</v>
      </c>
      <c r="B1186">
        <v>66</v>
      </c>
      <c r="C1186" t="s">
        <v>504</v>
      </c>
      <c r="D1186" t="s">
        <v>39</v>
      </c>
      <c r="E1186" t="s">
        <v>46</v>
      </c>
      <c r="F1186" t="s">
        <v>51</v>
      </c>
      <c r="G1186" t="s">
        <v>42</v>
      </c>
    </row>
    <row r="1187" spans="1:7" x14ac:dyDescent="0.2">
      <c r="A1187">
        <v>18</v>
      </c>
      <c r="B1187">
        <v>66</v>
      </c>
      <c r="C1187" t="s">
        <v>591</v>
      </c>
      <c r="D1187" t="s">
        <v>39</v>
      </c>
      <c r="E1187" t="s">
        <v>46</v>
      </c>
      <c r="F1187" t="s">
        <v>51</v>
      </c>
      <c r="G1187" t="s">
        <v>42</v>
      </c>
    </row>
    <row r="1188" spans="1:7" x14ac:dyDescent="0.2">
      <c r="A1188">
        <v>18</v>
      </c>
      <c r="B1188">
        <v>66</v>
      </c>
      <c r="C1188" t="s">
        <v>474</v>
      </c>
      <c r="D1188" t="s">
        <v>39</v>
      </c>
      <c r="E1188" t="s">
        <v>46</v>
      </c>
      <c r="F1188" t="s">
        <v>51</v>
      </c>
      <c r="G1188" t="s">
        <v>42</v>
      </c>
    </row>
    <row r="1189" spans="1:7" x14ac:dyDescent="0.2">
      <c r="A1189">
        <v>18</v>
      </c>
      <c r="B1189">
        <v>66</v>
      </c>
      <c r="C1189" t="s">
        <v>592</v>
      </c>
      <c r="D1189" t="s">
        <v>39</v>
      </c>
      <c r="E1189" t="s">
        <v>46</v>
      </c>
      <c r="F1189" t="s">
        <v>51</v>
      </c>
      <c r="G1189" t="s">
        <v>42</v>
      </c>
    </row>
    <row r="1190" spans="1:7" x14ac:dyDescent="0.2">
      <c r="A1190">
        <v>18</v>
      </c>
      <c r="B1190">
        <v>66</v>
      </c>
      <c r="C1190" t="s">
        <v>576</v>
      </c>
      <c r="D1190" t="s">
        <v>39</v>
      </c>
      <c r="E1190" t="s">
        <v>46</v>
      </c>
      <c r="F1190" t="s">
        <v>51</v>
      </c>
      <c r="G1190" t="s">
        <v>42</v>
      </c>
    </row>
    <row r="1191" spans="1:7" x14ac:dyDescent="0.2">
      <c r="A1191">
        <v>18</v>
      </c>
      <c r="B1191">
        <v>66</v>
      </c>
      <c r="C1191" t="s">
        <v>582</v>
      </c>
      <c r="D1191" t="s">
        <v>39</v>
      </c>
      <c r="E1191" t="s">
        <v>46</v>
      </c>
      <c r="F1191" t="s">
        <v>51</v>
      </c>
      <c r="G1191" t="s">
        <v>42</v>
      </c>
    </row>
    <row r="1192" spans="1:7" x14ac:dyDescent="0.2">
      <c r="A1192">
        <v>18</v>
      </c>
      <c r="B1192">
        <v>66</v>
      </c>
      <c r="C1192" t="s">
        <v>531</v>
      </c>
      <c r="D1192" t="s">
        <v>39</v>
      </c>
      <c r="E1192" t="s">
        <v>46</v>
      </c>
      <c r="F1192" t="s">
        <v>51</v>
      </c>
      <c r="G1192" t="s">
        <v>42</v>
      </c>
    </row>
    <row r="1193" spans="1:7" x14ac:dyDescent="0.2">
      <c r="A1193">
        <v>18</v>
      </c>
      <c r="B1193">
        <v>66</v>
      </c>
      <c r="C1193" t="s">
        <v>593</v>
      </c>
      <c r="D1193" t="s">
        <v>39</v>
      </c>
      <c r="E1193" t="s">
        <v>46</v>
      </c>
      <c r="F1193" t="s">
        <v>51</v>
      </c>
      <c r="G1193" t="s">
        <v>42</v>
      </c>
    </row>
    <row r="1194" spans="1:7" x14ac:dyDescent="0.2">
      <c r="A1194">
        <v>18</v>
      </c>
      <c r="B1194">
        <v>66</v>
      </c>
      <c r="C1194" t="s">
        <v>594</v>
      </c>
      <c r="D1194" t="s">
        <v>39</v>
      </c>
      <c r="E1194" t="s">
        <v>46</v>
      </c>
      <c r="F1194" t="s">
        <v>51</v>
      </c>
      <c r="G1194" t="s">
        <v>42</v>
      </c>
    </row>
    <row r="1195" spans="1:7" x14ac:dyDescent="0.2">
      <c r="A1195">
        <v>18</v>
      </c>
      <c r="B1195">
        <v>66</v>
      </c>
      <c r="C1195" t="s">
        <v>595</v>
      </c>
      <c r="D1195" t="s">
        <v>39</v>
      </c>
      <c r="E1195" t="s">
        <v>46</v>
      </c>
      <c r="F1195" t="s">
        <v>51</v>
      </c>
      <c r="G1195" t="s">
        <v>42</v>
      </c>
    </row>
    <row r="1196" spans="1:7" x14ac:dyDescent="0.2">
      <c r="A1196">
        <v>18</v>
      </c>
      <c r="B1196">
        <v>66</v>
      </c>
      <c r="C1196" t="s">
        <v>596</v>
      </c>
      <c r="D1196" t="s">
        <v>39</v>
      </c>
      <c r="E1196" t="s">
        <v>46</v>
      </c>
      <c r="F1196" t="s">
        <v>51</v>
      </c>
      <c r="G1196" t="s">
        <v>42</v>
      </c>
    </row>
    <row r="1197" spans="1:7" x14ac:dyDescent="0.2">
      <c r="A1197">
        <v>19</v>
      </c>
      <c r="B1197">
        <v>66</v>
      </c>
      <c r="C1197" t="s">
        <v>498</v>
      </c>
      <c r="D1197" t="s">
        <v>39</v>
      </c>
      <c r="E1197" t="s">
        <v>46</v>
      </c>
      <c r="F1197" t="s">
        <v>51</v>
      </c>
      <c r="G1197" t="s">
        <v>42</v>
      </c>
    </row>
    <row r="1198" spans="1:7" x14ac:dyDescent="0.2">
      <c r="A1198">
        <v>19</v>
      </c>
      <c r="B1198">
        <v>66</v>
      </c>
      <c r="C1198" t="s">
        <v>536</v>
      </c>
      <c r="D1198" t="s">
        <v>39</v>
      </c>
      <c r="E1198" t="s">
        <v>46</v>
      </c>
      <c r="F1198" t="s">
        <v>51</v>
      </c>
      <c r="G1198" t="s">
        <v>42</v>
      </c>
    </row>
    <row r="1199" spans="1:7" x14ac:dyDescent="0.2">
      <c r="A1199">
        <v>19</v>
      </c>
      <c r="B1199">
        <v>66</v>
      </c>
      <c r="C1199" t="s">
        <v>597</v>
      </c>
      <c r="D1199" t="s">
        <v>39</v>
      </c>
      <c r="E1199" t="s">
        <v>46</v>
      </c>
      <c r="F1199" t="s">
        <v>51</v>
      </c>
      <c r="G1199" t="s">
        <v>42</v>
      </c>
    </row>
    <row r="1200" spans="1:7" x14ac:dyDescent="0.2">
      <c r="A1200">
        <v>19</v>
      </c>
      <c r="B1200">
        <v>66</v>
      </c>
      <c r="C1200" t="s">
        <v>598</v>
      </c>
      <c r="D1200" t="s">
        <v>39</v>
      </c>
      <c r="E1200" t="s">
        <v>46</v>
      </c>
      <c r="F1200" t="s">
        <v>51</v>
      </c>
      <c r="G1200" t="s">
        <v>42</v>
      </c>
    </row>
    <row r="1201" spans="1:7" x14ac:dyDescent="0.2">
      <c r="A1201">
        <v>19</v>
      </c>
      <c r="B1201">
        <v>66</v>
      </c>
      <c r="C1201" t="s">
        <v>599</v>
      </c>
      <c r="D1201" t="s">
        <v>39</v>
      </c>
      <c r="E1201" t="s">
        <v>46</v>
      </c>
      <c r="F1201" t="s">
        <v>51</v>
      </c>
      <c r="G1201" t="s">
        <v>42</v>
      </c>
    </row>
    <row r="1202" spans="1:7" x14ac:dyDescent="0.2">
      <c r="A1202">
        <v>19</v>
      </c>
      <c r="B1202">
        <v>66</v>
      </c>
      <c r="C1202" t="s">
        <v>599</v>
      </c>
      <c r="D1202" t="s">
        <v>39</v>
      </c>
      <c r="E1202" t="s">
        <v>46</v>
      </c>
      <c r="F1202" t="s">
        <v>51</v>
      </c>
      <c r="G1202" t="s">
        <v>42</v>
      </c>
    </row>
    <row r="1203" spans="1:7" x14ac:dyDescent="0.2">
      <c r="A1203">
        <v>19</v>
      </c>
      <c r="B1203">
        <v>66</v>
      </c>
      <c r="C1203" t="s">
        <v>594</v>
      </c>
      <c r="D1203" t="s">
        <v>39</v>
      </c>
      <c r="E1203" t="s">
        <v>46</v>
      </c>
      <c r="F1203" t="s">
        <v>51</v>
      </c>
      <c r="G1203" t="s">
        <v>42</v>
      </c>
    </row>
    <row r="1204" spans="1:7" x14ac:dyDescent="0.2">
      <c r="A1204">
        <v>19</v>
      </c>
      <c r="B1204">
        <v>66</v>
      </c>
      <c r="C1204" t="s">
        <v>600</v>
      </c>
      <c r="D1204" t="s">
        <v>39</v>
      </c>
      <c r="E1204" t="s">
        <v>46</v>
      </c>
      <c r="F1204" t="s">
        <v>51</v>
      </c>
      <c r="G1204" t="s">
        <v>42</v>
      </c>
    </row>
    <row r="1205" spans="1:7" x14ac:dyDescent="0.2">
      <c r="A1205">
        <v>19</v>
      </c>
      <c r="B1205">
        <v>66</v>
      </c>
      <c r="C1205" t="s">
        <v>601</v>
      </c>
      <c r="D1205" t="s">
        <v>39</v>
      </c>
      <c r="E1205" t="s">
        <v>46</v>
      </c>
      <c r="F1205" t="s">
        <v>51</v>
      </c>
      <c r="G1205" t="s">
        <v>42</v>
      </c>
    </row>
    <row r="1206" spans="1:7" x14ac:dyDescent="0.2">
      <c r="A1206">
        <v>19</v>
      </c>
      <c r="B1206">
        <v>66</v>
      </c>
      <c r="C1206" t="s">
        <v>602</v>
      </c>
      <c r="D1206" t="s">
        <v>39</v>
      </c>
      <c r="E1206" t="s">
        <v>46</v>
      </c>
      <c r="F1206" t="s">
        <v>51</v>
      </c>
      <c r="G1206" t="s">
        <v>42</v>
      </c>
    </row>
    <row r="1207" spans="1:7" x14ac:dyDescent="0.2">
      <c r="A1207">
        <v>19</v>
      </c>
      <c r="B1207">
        <v>66</v>
      </c>
      <c r="C1207" t="s">
        <v>531</v>
      </c>
      <c r="D1207" t="s">
        <v>39</v>
      </c>
      <c r="E1207" t="s">
        <v>46</v>
      </c>
      <c r="F1207" t="s">
        <v>51</v>
      </c>
      <c r="G1207" t="s">
        <v>42</v>
      </c>
    </row>
    <row r="1208" spans="1:7" x14ac:dyDescent="0.2">
      <c r="A1208">
        <v>19</v>
      </c>
      <c r="B1208">
        <v>66</v>
      </c>
      <c r="C1208" t="s">
        <v>576</v>
      </c>
      <c r="D1208" t="s">
        <v>39</v>
      </c>
      <c r="E1208" t="s">
        <v>46</v>
      </c>
      <c r="F1208" t="s">
        <v>51</v>
      </c>
      <c r="G1208" t="s">
        <v>42</v>
      </c>
    </row>
    <row r="1209" spans="1:7" x14ac:dyDescent="0.2">
      <c r="A1209">
        <v>19</v>
      </c>
      <c r="B1209">
        <v>66</v>
      </c>
      <c r="C1209" t="s">
        <v>474</v>
      </c>
      <c r="D1209" t="s">
        <v>39</v>
      </c>
      <c r="E1209" t="s">
        <v>46</v>
      </c>
      <c r="F1209" t="s">
        <v>51</v>
      </c>
      <c r="G1209" t="s">
        <v>42</v>
      </c>
    </row>
    <row r="1210" spans="1:7" x14ac:dyDescent="0.2">
      <c r="A1210">
        <v>19</v>
      </c>
      <c r="B1210">
        <v>66</v>
      </c>
      <c r="C1210" t="s">
        <v>500</v>
      </c>
      <c r="D1210" t="s">
        <v>39</v>
      </c>
      <c r="E1210" t="s">
        <v>46</v>
      </c>
      <c r="F1210" t="s">
        <v>51</v>
      </c>
      <c r="G1210" t="s">
        <v>42</v>
      </c>
    </row>
    <row r="1211" spans="1:7" x14ac:dyDescent="0.2">
      <c r="A1211">
        <v>19</v>
      </c>
      <c r="B1211">
        <v>66</v>
      </c>
      <c r="C1211" t="s">
        <v>603</v>
      </c>
      <c r="D1211" t="s">
        <v>39</v>
      </c>
      <c r="E1211" t="s">
        <v>46</v>
      </c>
      <c r="F1211" t="s">
        <v>51</v>
      </c>
      <c r="G1211" t="s">
        <v>42</v>
      </c>
    </row>
    <row r="1212" spans="1:7" x14ac:dyDescent="0.2">
      <c r="A1212">
        <v>19</v>
      </c>
      <c r="B1212">
        <v>66</v>
      </c>
      <c r="C1212" t="s">
        <v>604</v>
      </c>
      <c r="D1212" t="s">
        <v>39</v>
      </c>
      <c r="E1212" t="s">
        <v>46</v>
      </c>
      <c r="F1212" t="s">
        <v>51</v>
      </c>
      <c r="G1212" t="s">
        <v>42</v>
      </c>
    </row>
    <row r="1213" spans="1:7" x14ac:dyDescent="0.2">
      <c r="A1213">
        <v>19</v>
      </c>
      <c r="B1213">
        <v>66</v>
      </c>
      <c r="C1213" t="s">
        <v>551</v>
      </c>
      <c r="D1213" t="s">
        <v>39</v>
      </c>
      <c r="E1213" t="s">
        <v>46</v>
      </c>
      <c r="F1213" t="s">
        <v>41</v>
      </c>
      <c r="G1213" t="s">
        <v>42</v>
      </c>
    </row>
    <row r="1214" spans="1:7" x14ac:dyDescent="0.2">
      <c r="A1214">
        <v>19</v>
      </c>
      <c r="B1214">
        <v>66</v>
      </c>
      <c r="C1214" t="s">
        <v>504</v>
      </c>
      <c r="D1214" t="s">
        <v>39</v>
      </c>
      <c r="E1214" t="s">
        <v>46</v>
      </c>
      <c r="F1214" t="s">
        <v>51</v>
      </c>
      <c r="G1214" t="s">
        <v>42</v>
      </c>
    </row>
    <row r="1215" spans="1:7" x14ac:dyDescent="0.2">
      <c r="A1215">
        <v>19</v>
      </c>
      <c r="B1215">
        <v>66</v>
      </c>
      <c r="C1215" t="s">
        <v>588</v>
      </c>
      <c r="D1215" t="s">
        <v>39</v>
      </c>
      <c r="E1215" t="s">
        <v>46</v>
      </c>
      <c r="F1215" t="s">
        <v>51</v>
      </c>
      <c r="G1215" t="s">
        <v>42</v>
      </c>
    </row>
    <row r="1216" spans="1:7" x14ac:dyDescent="0.2">
      <c r="A1216">
        <v>19</v>
      </c>
      <c r="B1216">
        <v>66</v>
      </c>
      <c r="C1216" t="s">
        <v>484</v>
      </c>
      <c r="D1216" t="s">
        <v>39</v>
      </c>
      <c r="E1216" t="s">
        <v>46</v>
      </c>
      <c r="F1216" t="s">
        <v>51</v>
      </c>
      <c r="G1216" t="s">
        <v>42</v>
      </c>
    </row>
    <row r="1217" spans="1:7" x14ac:dyDescent="0.2">
      <c r="A1217">
        <v>19</v>
      </c>
      <c r="B1217">
        <v>66</v>
      </c>
      <c r="C1217" t="s">
        <v>545</v>
      </c>
      <c r="D1217" t="s">
        <v>39</v>
      </c>
      <c r="E1217" t="s">
        <v>46</v>
      </c>
      <c r="F1217" t="s">
        <v>51</v>
      </c>
      <c r="G1217" t="s">
        <v>42</v>
      </c>
    </row>
    <row r="1218" spans="1:7" x14ac:dyDescent="0.2">
      <c r="A1218">
        <v>20</v>
      </c>
      <c r="B1218">
        <v>66</v>
      </c>
      <c r="C1218" t="s">
        <v>605</v>
      </c>
      <c r="D1218" t="s">
        <v>39</v>
      </c>
      <c r="E1218" t="s">
        <v>46</v>
      </c>
      <c r="F1218" t="s">
        <v>51</v>
      </c>
      <c r="G1218" t="s">
        <v>42</v>
      </c>
    </row>
    <row r="1219" spans="1:7" x14ac:dyDescent="0.2">
      <c r="A1219">
        <v>20</v>
      </c>
      <c r="B1219">
        <v>66</v>
      </c>
      <c r="C1219" t="s">
        <v>498</v>
      </c>
      <c r="D1219" t="s">
        <v>39</v>
      </c>
      <c r="E1219" t="s">
        <v>46</v>
      </c>
      <c r="F1219" t="s">
        <v>51</v>
      </c>
      <c r="G1219" t="s">
        <v>42</v>
      </c>
    </row>
    <row r="1220" spans="1:7" x14ac:dyDescent="0.2">
      <c r="A1220">
        <v>20</v>
      </c>
      <c r="B1220">
        <v>66</v>
      </c>
      <c r="C1220" t="s">
        <v>536</v>
      </c>
      <c r="D1220" t="s">
        <v>39</v>
      </c>
      <c r="E1220" t="s">
        <v>46</v>
      </c>
      <c r="F1220" t="s">
        <v>51</v>
      </c>
      <c r="G1220" t="s">
        <v>42</v>
      </c>
    </row>
    <row r="1221" spans="1:7" x14ac:dyDescent="0.2">
      <c r="A1221">
        <v>20</v>
      </c>
      <c r="B1221">
        <v>66</v>
      </c>
      <c r="C1221" t="s">
        <v>597</v>
      </c>
      <c r="D1221" t="s">
        <v>39</v>
      </c>
      <c r="E1221" t="s">
        <v>46</v>
      </c>
      <c r="F1221" t="s">
        <v>51</v>
      </c>
      <c r="G1221" t="s">
        <v>42</v>
      </c>
    </row>
    <row r="1222" spans="1:7" x14ac:dyDescent="0.2">
      <c r="A1222">
        <v>20</v>
      </c>
      <c r="B1222">
        <v>66</v>
      </c>
      <c r="C1222" t="s">
        <v>606</v>
      </c>
      <c r="D1222" t="s">
        <v>39</v>
      </c>
      <c r="E1222" t="s">
        <v>46</v>
      </c>
      <c r="F1222" t="s">
        <v>51</v>
      </c>
      <c r="G1222" t="s">
        <v>42</v>
      </c>
    </row>
    <row r="1223" spans="1:7" x14ac:dyDescent="0.2">
      <c r="A1223">
        <v>20</v>
      </c>
      <c r="B1223">
        <v>66</v>
      </c>
      <c r="C1223" t="s">
        <v>598</v>
      </c>
      <c r="D1223" t="s">
        <v>39</v>
      </c>
      <c r="E1223" t="s">
        <v>46</v>
      </c>
      <c r="F1223" t="s">
        <v>51</v>
      </c>
      <c r="G1223" t="s">
        <v>42</v>
      </c>
    </row>
    <row r="1224" spans="1:7" x14ac:dyDescent="0.2">
      <c r="A1224">
        <v>20</v>
      </c>
      <c r="B1224">
        <v>66</v>
      </c>
      <c r="C1224" t="s">
        <v>599</v>
      </c>
      <c r="D1224" t="s">
        <v>39</v>
      </c>
      <c r="E1224" t="s">
        <v>46</v>
      </c>
      <c r="F1224" t="s">
        <v>51</v>
      </c>
      <c r="G1224" t="s">
        <v>42</v>
      </c>
    </row>
    <row r="1225" spans="1:7" x14ac:dyDescent="0.2">
      <c r="A1225">
        <v>20</v>
      </c>
      <c r="B1225">
        <v>66</v>
      </c>
      <c r="C1225" t="s">
        <v>594</v>
      </c>
      <c r="D1225" t="s">
        <v>39</v>
      </c>
      <c r="E1225" t="s">
        <v>46</v>
      </c>
      <c r="F1225" t="s">
        <v>51</v>
      </c>
      <c r="G1225" t="s">
        <v>42</v>
      </c>
    </row>
    <row r="1226" spans="1:7" x14ac:dyDescent="0.2">
      <c r="A1226">
        <v>20</v>
      </c>
      <c r="B1226">
        <v>66</v>
      </c>
      <c r="C1226" t="s">
        <v>607</v>
      </c>
      <c r="D1226" t="s">
        <v>39</v>
      </c>
      <c r="E1226" t="s">
        <v>46</v>
      </c>
      <c r="F1226" t="s">
        <v>51</v>
      </c>
      <c r="G1226" t="s">
        <v>42</v>
      </c>
    </row>
    <row r="1227" spans="1:7" x14ac:dyDescent="0.2">
      <c r="A1227">
        <v>20</v>
      </c>
      <c r="B1227">
        <v>66</v>
      </c>
      <c r="C1227" t="s">
        <v>608</v>
      </c>
      <c r="D1227" t="s">
        <v>39</v>
      </c>
      <c r="E1227" t="s">
        <v>46</v>
      </c>
      <c r="F1227" t="s">
        <v>51</v>
      </c>
      <c r="G1227" t="s">
        <v>42</v>
      </c>
    </row>
    <row r="1228" spans="1:7" x14ac:dyDescent="0.2">
      <c r="A1228">
        <v>20</v>
      </c>
      <c r="B1228">
        <v>66</v>
      </c>
      <c r="C1228" t="s">
        <v>602</v>
      </c>
      <c r="D1228" t="s">
        <v>39</v>
      </c>
      <c r="E1228" t="s">
        <v>46</v>
      </c>
      <c r="F1228" t="s">
        <v>51</v>
      </c>
      <c r="G1228" t="s">
        <v>42</v>
      </c>
    </row>
    <row r="1229" spans="1:7" x14ac:dyDescent="0.2">
      <c r="A1229">
        <v>20</v>
      </c>
      <c r="B1229">
        <v>66</v>
      </c>
      <c r="C1229" t="s">
        <v>531</v>
      </c>
      <c r="D1229" t="s">
        <v>39</v>
      </c>
      <c r="E1229" t="s">
        <v>46</v>
      </c>
      <c r="F1229" t="s">
        <v>51</v>
      </c>
      <c r="G1229" t="s">
        <v>42</v>
      </c>
    </row>
    <row r="1230" spans="1:7" x14ac:dyDescent="0.2">
      <c r="A1230">
        <v>20</v>
      </c>
      <c r="B1230">
        <v>66</v>
      </c>
      <c r="C1230" t="s">
        <v>576</v>
      </c>
      <c r="D1230" t="s">
        <v>39</v>
      </c>
      <c r="E1230" t="s">
        <v>46</v>
      </c>
      <c r="F1230" t="s">
        <v>51</v>
      </c>
      <c r="G1230" t="s">
        <v>42</v>
      </c>
    </row>
    <row r="1231" spans="1:7" x14ac:dyDescent="0.2">
      <c r="A1231">
        <v>20</v>
      </c>
      <c r="B1231">
        <v>66</v>
      </c>
      <c r="C1231" t="s">
        <v>474</v>
      </c>
      <c r="D1231" t="s">
        <v>39</v>
      </c>
      <c r="E1231" t="s">
        <v>46</v>
      </c>
      <c r="F1231" t="s">
        <v>51</v>
      </c>
      <c r="G1231" t="s">
        <v>42</v>
      </c>
    </row>
    <row r="1232" spans="1:7" x14ac:dyDescent="0.2">
      <c r="A1232">
        <v>20</v>
      </c>
      <c r="B1232">
        <v>66</v>
      </c>
      <c r="C1232" t="s">
        <v>609</v>
      </c>
      <c r="D1232" t="s">
        <v>39</v>
      </c>
      <c r="E1232" t="s">
        <v>46</v>
      </c>
      <c r="F1232" t="s">
        <v>51</v>
      </c>
      <c r="G1232" t="s">
        <v>42</v>
      </c>
    </row>
    <row r="1233" spans="1:7" x14ac:dyDescent="0.2">
      <c r="A1233">
        <v>20</v>
      </c>
      <c r="B1233">
        <v>66</v>
      </c>
      <c r="C1233" t="s">
        <v>504</v>
      </c>
      <c r="D1233" t="s">
        <v>39</v>
      </c>
      <c r="E1233" t="s">
        <v>46</v>
      </c>
      <c r="F1233" t="s">
        <v>51</v>
      </c>
      <c r="G1233" t="s">
        <v>42</v>
      </c>
    </row>
    <row r="1234" spans="1:7" x14ac:dyDescent="0.2">
      <c r="A1234">
        <v>20</v>
      </c>
      <c r="B1234">
        <v>66</v>
      </c>
      <c r="C1234" t="s">
        <v>610</v>
      </c>
      <c r="D1234" t="s">
        <v>39</v>
      </c>
      <c r="E1234" t="s">
        <v>46</v>
      </c>
      <c r="F1234" t="s">
        <v>51</v>
      </c>
      <c r="G1234" t="s">
        <v>42</v>
      </c>
    </row>
    <row r="1235" spans="1:7" x14ac:dyDescent="0.2">
      <c r="A1235">
        <v>20</v>
      </c>
      <c r="B1235">
        <v>66</v>
      </c>
      <c r="C1235" t="s">
        <v>484</v>
      </c>
      <c r="D1235" t="s">
        <v>39</v>
      </c>
      <c r="E1235" t="s">
        <v>46</v>
      </c>
      <c r="F1235" t="s">
        <v>51</v>
      </c>
      <c r="G1235" t="s">
        <v>42</v>
      </c>
    </row>
    <row r="1236" spans="1:7" x14ac:dyDescent="0.2">
      <c r="A1236">
        <v>20</v>
      </c>
      <c r="B1236">
        <v>66</v>
      </c>
      <c r="C1236" t="s">
        <v>545</v>
      </c>
      <c r="D1236" t="s">
        <v>39</v>
      </c>
      <c r="E1236" t="s">
        <v>46</v>
      </c>
      <c r="F1236" t="s">
        <v>51</v>
      </c>
      <c r="G1236" t="s">
        <v>42</v>
      </c>
    </row>
    <row r="1237" spans="1:7" x14ac:dyDescent="0.2">
      <c r="A1237">
        <v>20</v>
      </c>
      <c r="B1237">
        <v>66</v>
      </c>
      <c r="C1237" t="s">
        <v>551</v>
      </c>
      <c r="D1237" t="s">
        <v>39</v>
      </c>
      <c r="E1237" t="s">
        <v>46</v>
      </c>
      <c r="F1237" t="s">
        <v>51</v>
      </c>
      <c r="G1237" t="s">
        <v>42</v>
      </c>
    </row>
    <row r="1238" spans="1:7" x14ac:dyDescent="0.2">
      <c r="A1238">
        <v>20</v>
      </c>
      <c r="B1238">
        <v>66</v>
      </c>
      <c r="C1238" t="s">
        <v>611</v>
      </c>
      <c r="D1238" t="s">
        <v>39</v>
      </c>
      <c r="E1238" t="s">
        <v>46</v>
      </c>
      <c r="F1238" t="s">
        <v>51</v>
      </c>
      <c r="G1238" t="s">
        <v>42</v>
      </c>
    </row>
    <row r="1239" spans="1:7" x14ac:dyDescent="0.2">
      <c r="A1239">
        <v>20</v>
      </c>
      <c r="B1239">
        <v>66</v>
      </c>
      <c r="C1239" t="s">
        <v>612</v>
      </c>
      <c r="D1239" t="s">
        <v>39</v>
      </c>
      <c r="E1239" t="s">
        <v>46</v>
      </c>
      <c r="F1239" t="s">
        <v>51</v>
      </c>
      <c r="G1239" t="s">
        <v>42</v>
      </c>
    </row>
    <row r="1240" spans="1:7" x14ac:dyDescent="0.2">
      <c r="A1240">
        <v>21</v>
      </c>
      <c r="B1240">
        <v>66</v>
      </c>
      <c r="C1240" t="s">
        <v>613</v>
      </c>
      <c r="D1240" t="s">
        <v>39</v>
      </c>
      <c r="E1240" t="s">
        <v>40</v>
      </c>
      <c r="F1240" t="s">
        <v>51</v>
      </c>
      <c r="G1240" t="s">
        <v>42</v>
      </c>
    </row>
    <row r="1241" spans="1:7" x14ac:dyDescent="0.2">
      <c r="A1241">
        <v>21</v>
      </c>
      <c r="B1241">
        <v>66</v>
      </c>
      <c r="C1241" t="s">
        <v>614</v>
      </c>
      <c r="D1241" t="s">
        <v>39</v>
      </c>
      <c r="E1241" t="s">
        <v>40</v>
      </c>
      <c r="F1241" t="s">
        <v>41</v>
      </c>
      <c r="G1241" t="s">
        <v>42</v>
      </c>
    </row>
    <row r="1242" spans="1:7" x14ac:dyDescent="0.2">
      <c r="A1242">
        <v>21</v>
      </c>
      <c r="B1242">
        <v>66</v>
      </c>
      <c r="C1242" t="s">
        <v>615</v>
      </c>
      <c r="D1242" t="s">
        <v>39</v>
      </c>
      <c r="E1242" t="s">
        <v>40</v>
      </c>
      <c r="F1242" t="s">
        <v>51</v>
      </c>
      <c r="G1242" t="s">
        <v>42</v>
      </c>
    </row>
    <row r="1243" spans="1:7" x14ac:dyDescent="0.2">
      <c r="A1243">
        <v>21</v>
      </c>
      <c r="B1243">
        <v>66</v>
      </c>
      <c r="C1243" t="s">
        <v>616</v>
      </c>
      <c r="D1243" t="s">
        <v>39</v>
      </c>
      <c r="E1243" t="s">
        <v>40</v>
      </c>
      <c r="F1243" t="s">
        <v>51</v>
      </c>
      <c r="G1243" t="s">
        <v>42</v>
      </c>
    </row>
    <row r="1244" spans="1:7" x14ac:dyDescent="0.2">
      <c r="A1244">
        <v>21</v>
      </c>
      <c r="B1244">
        <v>66</v>
      </c>
      <c r="C1244" t="s">
        <v>551</v>
      </c>
      <c r="D1244" t="s">
        <v>39</v>
      </c>
      <c r="E1244" t="s">
        <v>40</v>
      </c>
      <c r="F1244" t="s">
        <v>51</v>
      </c>
      <c r="G1244" t="s">
        <v>42</v>
      </c>
    </row>
    <row r="1245" spans="1:7" x14ac:dyDescent="0.2">
      <c r="A1245">
        <v>21</v>
      </c>
      <c r="B1245">
        <v>66</v>
      </c>
      <c r="C1245" t="s">
        <v>545</v>
      </c>
      <c r="D1245" t="s">
        <v>39</v>
      </c>
      <c r="E1245" t="s">
        <v>40</v>
      </c>
      <c r="F1245" t="s">
        <v>51</v>
      </c>
      <c r="G1245" t="s">
        <v>42</v>
      </c>
    </row>
    <row r="1246" spans="1:7" x14ac:dyDescent="0.2">
      <c r="A1246">
        <v>21</v>
      </c>
      <c r="B1246">
        <v>66</v>
      </c>
      <c r="C1246" t="s">
        <v>617</v>
      </c>
      <c r="D1246" t="s">
        <v>39</v>
      </c>
      <c r="E1246" t="s">
        <v>40</v>
      </c>
      <c r="F1246" t="s">
        <v>51</v>
      </c>
      <c r="G1246" t="s">
        <v>42</v>
      </c>
    </row>
    <row r="1247" spans="1:7" x14ac:dyDescent="0.2">
      <c r="A1247">
        <v>21</v>
      </c>
      <c r="B1247">
        <v>66</v>
      </c>
      <c r="C1247" t="s">
        <v>484</v>
      </c>
      <c r="D1247" t="s">
        <v>39</v>
      </c>
      <c r="E1247" t="s">
        <v>40</v>
      </c>
      <c r="F1247" t="s">
        <v>51</v>
      </c>
      <c r="G1247" t="s">
        <v>42</v>
      </c>
    </row>
    <row r="1248" spans="1:7" x14ac:dyDescent="0.2">
      <c r="A1248">
        <v>21</v>
      </c>
      <c r="B1248">
        <v>66</v>
      </c>
      <c r="C1248" t="s">
        <v>504</v>
      </c>
      <c r="D1248" t="s">
        <v>39</v>
      </c>
      <c r="E1248" t="s">
        <v>40</v>
      </c>
      <c r="F1248" t="s">
        <v>51</v>
      </c>
      <c r="G1248" t="s">
        <v>42</v>
      </c>
    </row>
    <row r="1249" spans="1:7" x14ac:dyDescent="0.2">
      <c r="A1249">
        <v>21</v>
      </c>
      <c r="B1249">
        <v>66</v>
      </c>
      <c r="C1249" t="s">
        <v>474</v>
      </c>
      <c r="D1249" t="s">
        <v>39</v>
      </c>
      <c r="E1249" t="s">
        <v>40</v>
      </c>
      <c r="F1249" t="s">
        <v>51</v>
      </c>
      <c r="G1249" t="s">
        <v>42</v>
      </c>
    </row>
    <row r="1250" spans="1:7" x14ac:dyDescent="0.2">
      <c r="A1250">
        <v>21</v>
      </c>
      <c r="B1250">
        <v>66</v>
      </c>
      <c r="C1250" t="s">
        <v>576</v>
      </c>
      <c r="D1250" t="s">
        <v>39</v>
      </c>
      <c r="E1250" t="s">
        <v>40</v>
      </c>
      <c r="F1250" t="s">
        <v>51</v>
      </c>
      <c r="G1250" t="s">
        <v>42</v>
      </c>
    </row>
    <row r="1251" spans="1:7" x14ac:dyDescent="0.2">
      <c r="A1251">
        <v>21</v>
      </c>
      <c r="B1251">
        <v>66</v>
      </c>
      <c r="C1251" t="s">
        <v>531</v>
      </c>
      <c r="D1251" t="s">
        <v>39</v>
      </c>
      <c r="E1251" t="s">
        <v>40</v>
      </c>
      <c r="F1251" t="s">
        <v>51</v>
      </c>
      <c r="G1251" t="s">
        <v>42</v>
      </c>
    </row>
    <row r="1252" spans="1:7" x14ac:dyDescent="0.2">
      <c r="A1252">
        <v>21</v>
      </c>
      <c r="B1252">
        <v>66</v>
      </c>
      <c r="C1252" t="s">
        <v>618</v>
      </c>
      <c r="D1252" t="s">
        <v>39</v>
      </c>
      <c r="E1252" t="s">
        <v>40</v>
      </c>
      <c r="F1252" t="s">
        <v>51</v>
      </c>
      <c r="G1252" t="s">
        <v>42</v>
      </c>
    </row>
    <row r="1253" spans="1:7" x14ac:dyDescent="0.2">
      <c r="A1253">
        <v>21</v>
      </c>
      <c r="B1253">
        <v>66</v>
      </c>
      <c r="C1253" t="s">
        <v>619</v>
      </c>
      <c r="D1253" t="s">
        <v>39</v>
      </c>
      <c r="E1253" t="s">
        <v>40</v>
      </c>
      <c r="F1253" t="s">
        <v>51</v>
      </c>
      <c r="G1253" t="s">
        <v>42</v>
      </c>
    </row>
    <row r="1254" spans="1:7" x14ac:dyDescent="0.2">
      <c r="A1254">
        <v>21</v>
      </c>
      <c r="B1254">
        <v>66</v>
      </c>
      <c r="C1254" t="s">
        <v>602</v>
      </c>
      <c r="D1254" t="s">
        <v>39</v>
      </c>
      <c r="E1254" t="s">
        <v>40</v>
      </c>
      <c r="F1254" t="s">
        <v>51</v>
      </c>
      <c r="G1254" t="s">
        <v>42</v>
      </c>
    </row>
    <row r="1255" spans="1:7" x14ac:dyDescent="0.2">
      <c r="A1255">
        <v>21</v>
      </c>
      <c r="B1255">
        <v>66</v>
      </c>
      <c r="C1255" t="s">
        <v>620</v>
      </c>
      <c r="D1255" t="s">
        <v>39</v>
      </c>
      <c r="E1255" t="s">
        <v>40</v>
      </c>
      <c r="F1255" t="s">
        <v>51</v>
      </c>
      <c r="G1255" t="s">
        <v>42</v>
      </c>
    </row>
    <row r="1256" spans="1:7" x14ac:dyDescent="0.2">
      <c r="A1256">
        <v>21</v>
      </c>
      <c r="B1256">
        <v>66</v>
      </c>
      <c r="C1256" t="s">
        <v>621</v>
      </c>
      <c r="D1256" t="s">
        <v>39</v>
      </c>
      <c r="E1256" t="s">
        <v>40</v>
      </c>
      <c r="F1256" t="s">
        <v>51</v>
      </c>
      <c r="G1256" t="s">
        <v>42</v>
      </c>
    </row>
    <row r="1257" spans="1:7" x14ac:dyDescent="0.2">
      <c r="A1257">
        <v>21</v>
      </c>
      <c r="B1257">
        <v>66</v>
      </c>
      <c r="C1257" t="s">
        <v>536</v>
      </c>
      <c r="D1257" t="s">
        <v>39</v>
      </c>
      <c r="E1257" t="s">
        <v>40</v>
      </c>
      <c r="F1257" t="s">
        <v>51</v>
      </c>
      <c r="G1257" t="s">
        <v>42</v>
      </c>
    </row>
    <row r="1258" spans="1:7" x14ac:dyDescent="0.2">
      <c r="A1258">
        <v>21</v>
      </c>
      <c r="B1258">
        <v>66</v>
      </c>
      <c r="C1258" t="s">
        <v>498</v>
      </c>
      <c r="D1258" t="s">
        <v>39</v>
      </c>
      <c r="E1258" t="s">
        <v>40</v>
      </c>
      <c r="F1258" t="s">
        <v>51</v>
      </c>
      <c r="G1258" t="s">
        <v>42</v>
      </c>
    </row>
    <row r="1259" spans="1:7" x14ac:dyDescent="0.2">
      <c r="A1259">
        <v>21</v>
      </c>
      <c r="B1259">
        <v>66</v>
      </c>
      <c r="C1259" t="s">
        <v>433</v>
      </c>
      <c r="D1259" t="s">
        <v>39</v>
      </c>
      <c r="E1259" t="s">
        <v>40</v>
      </c>
      <c r="F1259" t="s">
        <v>51</v>
      </c>
      <c r="G1259" t="s">
        <v>42</v>
      </c>
    </row>
    <row r="1260" spans="1:7" x14ac:dyDescent="0.2">
      <c r="A1260">
        <v>22</v>
      </c>
      <c r="B1260">
        <v>66</v>
      </c>
      <c r="C1260" t="s">
        <v>622</v>
      </c>
      <c r="D1260" t="s">
        <v>39</v>
      </c>
      <c r="E1260" t="s">
        <v>40</v>
      </c>
      <c r="F1260" t="s">
        <v>51</v>
      </c>
      <c r="G1260" t="s">
        <v>42</v>
      </c>
    </row>
    <row r="1261" spans="1:7" x14ac:dyDescent="0.2">
      <c r="A1261">
        <v>22</v>
      </c>
      <c r="B1261">
        <v>66</v>
      </c>
      <c r="C1261" t="s">
        <v>623</v>
      </c>
      <c r="D1261" t="s">
        <v>39</v>
      </c>
      <c r="E1261" t="s">
        <v>40</v>
      </c>
      <c r="F1261" t="s">
        <v>51</v>
      </c>
      <c r="G1261" t="s">
        <v>42</v>
      </c>
    </row>
    <row r="1262" spans="1:7" x14ac:dyDescent="0.2">
      <c r="A1262">
        <v>22</v>
      </c>
      <c r="B1262">
        <v>66</v>
      </c>
      <c r="C1262" t="s">
        <v>624</v>
      </c>
      <c r="D1262" t="s">
        <v>39</v>
      </c>
      <c r="E1262" t="s">
        <v>40</v>
      </c>
      <c r="F1262" t="s">
        <v>51</v>
      </c>
      <c r="G1262" t="s">
        <v>42</v>
      </c>
    </row>
    <row r="1263" spans="1:7" x14ac:dyDescent="0.2">
      <c r="A1263">
        <v>22</v>
      </c>
      <c r="B1263">
        <v>66</v>
      </c>
      <c r="C1263" t="s">
        <v>625</v>
      </c>
      <c r="D1263" t="s">
        <v>39</v>
      </c>
      <c r="E1263" t="s">
        <v>46</v>
      </c>
      <c r="F1263" t="s">
        <v>51</v>
      </c>
      <c r="G1263" t="s">
        <v>42</v>
      </c>
    </row>
    <row r="1264" spans="1:7" x14ac:dyDescent="0.2">
      <c r="A1264">
        <v>22</v>
      </c>
      <c r="B1264">
        <v>66</v>
      </c>
      <c r="C1264" t="s">
        <v>545</v>
      </c>
      <c r="D1264" t="s">
        <v>39</v>
      </c>
      <c r="E1264" t="s">
        <v>40</v>
      </c>
      <c r="F1264" t="s">
        <v>51</v>
      </c>
      <c r="G1264" t="s">
        <v>42</v>
      </c>
    </row>
    <row r="1265" spans="1:7" x14ac:dyDescent="0.2">
      <c r="A1265">
        <v>22</v>
      </c>
      <c r="B1265">
        <v>66</v>
      </c>
      <c r="C1265" t="s">
        <v>626</v>
      </c>
      <c r="D1265" t="s">
        <v>39</v>
      </c>
      <c r="E1265" t="s">
        <v>40</v>
      </c>
      <c r="F1265" t="s">
        <v>51</v>
      </c>
      <c r="G1265" t="s">
        <v>42</v>
      </c>
    </row>
    <row r="1266" spans="1:7" x14ac:dyDescent="0.2">
      <c r="A1266">
        <v>22</v>
      </c>
      <c r="B1266">
        <v>66</v>
      </c>
      <c r="C1266" t="s">
        <v>627</v>
      </c>
      <c r="D1266" t="s">
        <v>39</v>
      </c>
      <c r="E1266" t="s">
        <v>40</v>
      </c>
      <c r="F1266" t="s">
        <v>51</v>
      </c>
      <c r="G1266" t="s">
        <v>42</v>
      </c>
    </row>
    <row r="1267" spans="1:7" x14ac:dyDescent="0.2">
      <c r="A1267">
        <v>22</v>
      </c>
      <c r="B1267">
        <v>66</v>
      </c>
      <c r="C1267" t="s">
        <v>628</v>
      </c>
      <c r="D1267" t="s">
        <v>39</v>
      </c>
      <c r="E1267" t="s">
        <v>40</v>
      </c>
      <c r="F1267" t="s">
        <v>51</v>
      </c>
      <c r="G1267" t="s">
        <v>42</v>
      </c>
    </row>
    <row r="1268" spans="1:7" x14ac:dyDescent="0.2">
      <c r="A1268">
        <v>22</v>
      </c>
      <c r="B1268">
        <v>66</v>
      </c>
      <c r="C1268" t="s">
        <v>629</v>
      </c>
      <c r="D1268" t="s">
        <v>39</v>
      </c>
      <c r="E1268" t="s">
        <v>40</v>
      </c>
      <c r="F1268" t="s">
        <v>51</v>
      </c>
      <c r="G1268" t="s">
        <v>42</v>
      </c>
    </row>
    <row r="1269" spans="1:7" x14ac:dyDescent="0.2">
      <c r="A1269">
        <v>22</v>
      </c>
      <c r="B1269">
        <v>66</v>
      </c>
      <c r="C1269" t="s">
        <v>630</v>
      </c>
      <c r="D1269" t="s">
        <v>39</v>
      </c>
      <c r="E1269" t="s">
        <v>40</v>
      </c>
      <c r="F1269" t="s">
        <v>51</v>
      </c>
      <c r="G1269" t="s">
        <v>42</v>
      </c>
    </row>
    <row r="1270" spans="1:7" x14ac:dyDescent="0.2">
      <c r="A1270">
        <v>22</v>
      </c>
      <c r="B1270">
        <v>66</v>
      </c>
      <c r="C1270" t="s">
        <v>631</v>
      </c>
      <c r="D1270" t="s">
        <v>39</v>
      </c>
      <c r="E1270" t="s">
        <v>40</v>
      </c>
      <c r="F1270" t="s">
        <v>51</v>
      </c>
      <c r="G1270" t="s">
        <v>42</v>
      </c>
    </row>
    <row r="1271" spans="1:7" x14ac:dyDescent="0.2">
      <c r="A1271">
        <v>22</v>
      </c>
      <c r="B1271">
        <v>66</v>
      </c>
      <c r="C1271" t="s">
        <v>531</v>
      </c>
      <c r="D1271" t="s">
        <v>39</v>
      </c>
      <c r="E1271" t="s">
        <v>40</v>
      </c>
      <c r="F1271" t="s">
        <v>51</v>
      </c>
      <c r="G1271" t="s">
        <v>42</v>
      </c>
    </row>
    <row r="1272" spans="1:7" x14ac:dyDescent="0.2">
      <c r="A1272">
        <v>22</v>
      </c>
      <c r="B1272">
        <v>66</v>
      </c>
      <c r="C1272" t="s">
        <v>632</v>
      </c>
      <c r="D1272" t="s">
        <v>39</v>
      </c>
      <c r="E1272" t="s">
        <v>40</v>
      </c>
      <c r="F1272" t="s">
        <v>51</v>
      </c>
      <c r="G1272" t="s">
        <v>42</v>
      </c>
    </row>
    <row r="1273" spans="1:7" x14ac:dyDescent="0.2">
      <c r="A1273">
        <v>22</v>
      </c>
      <c r="B1273">
        <v>66</v>
      </c>
      <c r="C1273" t="s">
        <v>633</v>
      </c>
      <c r="D1273" t="s">
        <v>39</v>
      </c>
      <c r="E1273" t="s">
        <v>40</v>
      </c>
      <c r="F1273" t="s">
        <v>51</v>
      </c>
      <c r="G1273" t="s">
        <v>42</v>
      </c>
    </row>
    <row r="1274" spans="1:7" x14ac:dyDescent="0.2">
      <c r="A1274">
        <v>22</v>
      </c>
      <c r="B1274">
        <v>66</v>
      </c>
      <c r="C1274" t="s">
        <v>620</v>
      </c>
      <c r="D1274" t="s">
        <v>39</v>
      </c>
      <c r="E1274" t="s">
        <v>40</v>
      </c>
      <c r="F1274" t="s">
        <v>41</v>
      </c>
      <c r="G1274" t="s">
        <v>42</v>
      </c>
    </row>
    <row r="1275" spans="1:7" x14ac:dyDescent="0.2">
      <c r="A1275">
        <v>22</v>
      </c>
      <c r="B1275">
        <v>66</v>
      </c>
      <c r="C1275" t="s">
        <v>634</v>
      </c>
      <c r="D1275" t="s">
        <v>39</v>
      </c>
      <c r="E1275" t="s">
        <v>40</v>
      </c>
      <c r="F1275" t="s">
        <v>51</v>
      </c>
      <c r="G1275" t="s">
        <v>42</v>
      </c>
    </row>
    <row r="1276" spans="1:7" x14ac:dyDescent="0.2">
      <c r="A1276">
        <v>22</v>
      </c>
      <c r="B1276">
        <v>66</v>
      </c>
      <c r="C1276" t="s">
        <v>635</v>
      </c>
      <c r="D1276" t="s">
        <v>39</v>
      </c>
      <c r="E1276" t="s">
        <v>40</v>
      </c>
      <c r="F1276" t="s">
        <v>51</v>
      </c>
      <c r="G1276" t="s">
        <v>42</v>
      </c>
    </row>
    <row r="1277" spans="1:7" x14ac:dyDescent="0.2">
      <c r="A1277">
        <v>8</v>
      </c>
      <c r="B1277">
        <v>67</v>
      </c>
      <c r="C1277" t="s">
        <v>636</v>
      </c>
      <c r="D1277" t="s">
        <v>39</v>
      </c>
      <c r="E1277" t="s">
        <v>46</v>
      </c>
      <c r="F1277" t="s">
        <v>51</v>
      </c>
      <c r="G1277" t="s">
        <v>42</v>
      </c>
    </row>
    <row r="1278" spans="1:7" x14ac:dyDescent="0.2">
      <c r="A1278">
        <v>8</v>
      </c>
      <c r="B1278">
        <v>67</v>
      </c>
      <c r="C1278" t="s">
        <v>637</v>
      </c>
      <c r="D1278" t="s">
        <v>39</v>
      </c>
      <c r="E1278" t="s">
        <v>46</v>
      </c>
      <c r="F1278" t="s">
        <v>51</v>
      </c>
      <c r="G1278" t="s">
        <v>42</v>
      </c>
    </row>
    <row r="1279" spans="1:7" x14ac:dyDescent="0.2">
      <c r="A1279">
        <v>9</v>
      </c>
      <c r="B1279">
        <v>67</v>
      </c>
      <c r="C1279" t="s">
        <v>636</v>
      </c>
      <c r="D1279" t="s">
        <v>39</v>
      </c>
      <c r="E1279" t="s">
        <v>40</v>
      </c>
      <c r="F1279" t="s">
        <v>51</v>
      </c>
      <c r="G1279" t="s">
        <v>42</v>
      </c>
    </row>
    <row r="1280" spans="1:7" x14ac:dyDescent="0.2">
      <c r="A1280">
        <v>9</v>
      </c>
      <c r="B1280">
        <v>67</v>
      </c>
      <c r="C1280" t="s">
        <v>638</v>
      </c>
      <c r="D1280" t="s">
        <v>39</v>
      </c>
      <c r="E1280" t="s">
        <v>40</v>
      </c>
      <c r="F1280" t="s">
        <v>51</v>
      </c>
      <c r="G1280" t="s">
        <v>42</v>
      </c>
    </row>
    <row r="1281" spans="1:7" x14ac:dyDescent="0.2">
      <c r="A1281">
        <v>9</v>
      </c>
      <c r="B1281">
        <v>67</v>
      </c>
      <c r="C1281" t="s">
        <v>639</v>
      </c>
      <c r="D1281" t="s">
        <v>39</v>
      </c>
      <c r="E1281" t="s">
        <v>40</v>
      </c>
      <c r="F1281" t="s">
        <v>51</v>
      </c>
      <c r="G1281" t="s">
        <v>42</v>
      </c>
    </row>
    <row r="1282" spans="1:7" x14ac:dyDescent="0.2">
      <c r="A1282">
        <v>9</v>
      </c>
      <c r="B1282">
        <v>67</v>
      </c>
      <c r="C1282" t="s">
        <v>640</v>
      </c>
      <c r="D1282" t="s">
        <v>39</v>
      </c>
      <c r="E1282" t="s">
        <v>40</v>
      </c>
      <c r="F1282" t="s">
        <v>51</v>
      </c>
      <c r="G1282" t="s">
        <v>42</v>
      </c>
    </row>
    <row r="1283" spans="1:7" x14ac:dyDescent="0.2">
      <c r="A1283">
        <v>9</v>
      </c>
      <c r="B1283">
        <v>67</v>
      </c>
      <c r="C1283" t="s">
        <v>641</v>
      </c>
      <c r="D1283" t="s">
        <v>39</v>
      </c>
      <c r="E1283" t="s">
        <v>40</v>
      </c>
      <c r="F1283" t="s">
        <v>51</v>
      </c>
      <c r="G1283" t="s">
        <v>42</v>
      </c>
    </row>
    <row r="1284" spans="1:7" x14ac:dyDescent="0.2">
      <c r="A1284">
        <v>9</v>
      </c>
      <c r="B1284">
        <v>67</v>
      </c>
      <c r="C1284" t="s">
        <v>642</v>
      </c>
      <c r="D1284" t="s">
        <v>39</v>
      </c>
      <c r="E1284" t="s">
        <v>40</v>
      </c>
      <c r="F1284" t="s">
        <v>51</v>
      </c>
      <c r="G1284" t="s">
        <v>42</v>
      </c>
    </row>
    <row r="1285" spans="1:7" x14ac:dyDescent="0.2">
      <c r="A1285">
        <v>10</v>
      </c>
      <c r="B1285">
        <v>67</v>
      </c>
      <c r="C1285" t="s">
        <v>636</v>
      </c>
      <c r="D1285" t="s">
        <v>39</v>
      </c>
      <c r="E1285" t="s">
        <v>46</v>
      </c>
      <c r="F1285" t="s">
        <v>51</v>
      </c>
      <c r="G1285" t="s">
        <v>42</v>
      </c>
    </row>
    <row r="1286" spans="1:7" x14ac:dyDescent="0.2">
      <c r="A1286">
        <v>10</v>
      </c>
      <c r="B1286">
        <v>67</v>
      </c>
      <c r="C1286" t="s">
        <v>638</v>
      </c>
      <c r="D1286" t="s">
        <v>39</v>
      </c>
      <c r="E1286" t="s">
        <v>46</v>
      </c>
      <c r="F1286" t="s">
        <v>51</v>
      </c>
      <c r="G1286" t="s">
        <v>42</v>
      </c>
    </row>
    <row r="1287" spans="1:7" x14ac:dyDescent="0.2">
      <c r="A1287">
        <v>10</v>
      </c>
      <c r="B1287">
        <v>67</v>
      </c>
      <c r="C1287" t="s">
        <v>643</v>
      </c>
      <c r="D1287" t="s">
        <v>39</v>
      </c>
      <c r="E1287" t="s">
        <v>46</v>
      </c>
      <c r="F1287" t="s">
        <v>51</v>
      </c>
      <c r="G1287" t="s">
        <v>42</v>
      </c>
    </row>
    <row r="1288" spans="1:7" x14ac:dyDescent="0.2">
      <c r="A1288">
        <v>10</v>
      </c>
      <c r="B1288">
        <v>67</v>
      </c>
      <c r="C1288" t="s">
        <v>639</v>
      </c>
      <c r="D1288" t="s">
        <v>39</v>
      </c>
      <c r="E1288" t="s">
        <v>46</v>
      </c>
      <c r="F1288" t="s">
        <v>51</v>
      </c>
      <c r="G1288" t="s">
        <v>42</v>
      </c>
    </row>
    <row r="1289" spans="1:7" x14ac:dyDescent="0.2">
      <c r="A1289">
        <v>10</v>
      </c>
      <c r="B1289">
        <v>67</v>
      </c>
      <c r="C1289" t="s">
        <v>644</v>
      </c>
      <c r="D1289" t="s">
        <v>39</v>
      </c>
      <c r="E1289" t="s">
        <v>46</v>
      </c>
      <c r="F1289" t="s">
        <v>51</v>
      </c>
      <c r="G1289" t="s">
        <v>42</v>
      </c>
    </row>
    <row r="1290" spans="1:7" x14ac:dyDescent="0.2">
      <c r="A1290">
        <v>10</v>
      </c>
      <c r="B1290">
        <v>67</v>
      </c>
      <c r="C1290" t="s">
        <v>571</v>
      </c>
      <c r="D1290" t="s">
        <v>39</v>
      </c>
      <c r="E1290" t="s">
        <v>46</v>
      </c>
      <c r="F1290" t="s">
        <v>51</v>
      </c>
      <c r="G1290" t="s">
        <v>42</v>
      </c>
    </row>
    <row r="1291" spans="1:7" x14ac:dyDescent="0.2">
      <c r="A1291">
        <v>10</v>
      </c>
      <c r="B1291">
        <v>67</v>
      </c>
      <c r="C1291" t="s">
        <v>642</v>
      </c>
      <c r="D1291" t="s">
        <v>39</v>
      </c>
      <c r="E1291" t="s">
        <v>46</v>
      </c>
      <c r="F1291" t="s">
        <v>51</v>
      </c>
      <c r="G1291" t="s">
        <v>42</v>
      </c>
    </row>
    <row r="1292" spans="1:7" x14ac:dyDescent="0.2">
      <c r="A1292">
        <v>10</v>
      </c>
      <c r="B1292">
        <v>67</v>
      </c>
      <c r="C1292" t="s">
        <v>645</v>
      </c>
      <c r="D1292" t="s">
        <v>39</v>
      </c>
      <c r="E1292" t="s">
        <v>46</v>
      </c>
      <c r="F1292" t="s">
        <v>51</v>
      </c>
      <c r="G1292" t="s">
        <v>42</v>
      </c>
    </row>
    <row r="1293" spans="1:7" x14ac:dyDescent="0.2">
      <c r="A1293">
        <v>11</v>
      </c>
      <c r="B1293">
        <v>67</v>
      </c>
      <c r="C1293" t="s">
        <v>642</v>
      </c>
      <c r="D1293" t="s">
        <v>39</v>
      </c>
      <c r="E1293" t="s">
        <v>46</v>
      </c>
      <c r="F1293" t="s">
        <v>51</v>
      </c>
      <c r="G1293" t="s">
        <v>42</v>
      </c>
    </row>
    <row r="1294" spans="1:7" x14ac:dyDescent="0.2">
      <c r="A1294">
        <v>11</v>
      </c>
      <c r="B1294">
        <v>67</v>
      </c>
      <c r="C1294" t="s">
        <v>571</v>
      </c>
      <c r="D1294" t="s">
        <v>39</v>
      </c>
      <c r="E1294" t="s">
        <v>46</v>
      </c>
      <c r="F1294" t="s">
        <v>51</v>
      </c>
      <c r="G1294" t="s">
        <v>42</v>
      </c>
    </row>
    <row r="1295" spans="1:7" x14ac:dyDescent="0.2">
      <c r="A1295">
        <v>11</v>
      </c>
      <c r="B1295">
        <v>67</v>
      </c>
      <c r="C1295" t="s">
        <v>646</v>
      </c>
      <c r="D1295" t="s">
        <v>39</v>
      </c>
      <c r="E1295" t="s">
        <v>46</v>
      </c>
      <c r="F1295" t="s">
        <v>51</v>
      </c>
      <c r="G1295" t="s">
        <v>42</v>
      </c>
    </row>
    <row r="1296" spans="1:7" x14ac:dyDescent="0.2">
      <c r="A1296">
        <v>11</v>
      </c>
      <c r="B1296">
        <v>67</v>
      </c>
      <c r="C1296" t="s">
        <v>639</v>
      </c>
      <c r="D1296" t="s">
        <v>39</v>
      </c>
      <c r="E1296" t="s">
        <v>46</v>
      </c>
      <c r="F1296" t="s">
        <v>51</v>
      </c>
      <c r="G1296" t="s">
        <v>42</v>
      </c>
    </row>
    <row r="1297" spans="1:7" x14ac:dyDescent="0.2">
      <c r="A1297">
        <v>11</v>
      </c>
      <c r="B1297">
        <v>67</v>
      </c>
      <c r="C1297" t="s">
        <v>647</v>
      </c>
      <c r="D1297" t="s">
        <v>39</v>
      </c>
      <c r="E1297" t="s">
        <v>46</v>
      </c>
      <c r="F1297" t="s">
        <v>51</v>
      </c>
      <c r="G1297" t="s">
        <v>42</v>
      </c>
    </row>
    <row r="1298" spans="1:7" x14ac:dyDescent="0.2">
      <c r="A1298">
        <v>11</v>
      </c>
      <c r="B1298">
        <v>67</v>
      </c>
      <c r="C1298" t="s">
        <v>638</v>
      </c>
      <c r="D1298" t="s">
        <v>39</v>
      </c>
      <c r="E1298" t="s">
        <v>46</v>
      </c>
      <c r="F1298" t="s">
        <v>51</v>
      </c>
      <c r="G1298" t="s">
        <v>42</v>
      </c>
    </row>
    <row r="1299" spans="1:7" x14ac:dyDescent="0.2">
      <c r="A1299">
        <v>11</v>
      </c>
      <c r="B1299">
        <v>67</v>
      </c>
      <c r="C1299" t="s">
        <v>636</v>
      </c>
      <c r="D1299" t="s">
        <v>39</v>
      </c>
      <c r="E1299" t="s">
        <v>46</v>
      </c>
      <c r="F1299" t="s">
        <v>51</v>
      </c>
      <c r="G1299" t="s">
        <v>42</v>
      </c>
    </row>
    <row r="1300" spans="1:7" x14ac:dyDescent="0.2">
      <c r="A1300">
        <v>12</v>
      </c>
      <c r="B1300">
        <v>67</v>
      </c>
      <c r="C1300" t="s">
        <v>648</v>
      </c>
      <c r="D1300" t="s">
        <v>39</v>
      </c>
      <c r="E1300" t="s">
        <v>46</v>
      </c>
      <c r="F1300" t="s">
        <v>51</v>
      </c>
      <c r="G1300" t="s">
        <v>42</v>
      </c>
    </row>
    <row r="1301" spans="1:7" x14ac:dyDescent="0.2">
      <c r="A1301">
        <v>12</v>
      </c>
      <c r="B1301">
        <v>67</v>
      </c>
      <c r="C1301" t="s">
        <v>571</v>
      </c>
      <c r="D1301" t="s">
        <v>39</v>
      </c>
      <c r="E1301" t="s">
        <v>46</v>
      </c>
      <c r="F1301" t="s">
        <v>51</v>
      </c>
      <c r="G1301" t="s">
        <v>42</v>
      </c>
    </row>
    <row r="1302" spans="1:7" x14ac:dyDescent="0.2">
      <c r="A1302">
        <v>12</v>
      </c>
      <c r="B1302">
        <v>67</v>
      </c>
      <c r="C1302" t="s">
        <v>649</v>
      </c>
      <c r="D1302" t="s">
        <v>39</v>
      </c>
      <c r="E1302" t="s">
        <v>46</v>
      </c>
      <c r="F1302" t="s">
        <v>51</v>
      </c>
      <c r="G1302" t="s">
        <v>42</v>
      </c>
    </row>
    <row r="1303" spans="1:7" x14ac:dyDescent="0.2">
      <c r="A1303">
        <v>12</v>
      </c>
      <c r="B1303">
        <v>67</v>
      </c>
      <c r="C1303" t="s">
        <v>639</v>
      </c>
      <c r="D1303" t="s">
        <v>39</v>
      </c>
      <c r="E1303" t="s">
        <v>46</v>
      </c>
      <c r="F1303" t="s">
        <v>51</v>
      </c>
      <c r="G1303" t="s">
        <v>42</v>
      </c>
    </row>
    <row r="1304" spans="1:7" x14ac:dyDescent="0.2">
      <c r="A1304">
        <v>12</v>
      </c>
      <c r="B1304">
        <v>67</v>
      </c>
      <c r="C1304" t="s">
        <v>650</v>
      </c>
      <c r="D1304" t="s">
        <v>39</v>
      </c>
      <c r="E1304" t="s">
        <v>46</v>
      </c>
      <c r="F1304" t="s">
        <v>51</v>
      </c>
      <c r="G1304" t="s">
        <v>42</v>
      </c>
    </row>
    <row r="1305" spans="1:7" x14ac:dyDescent="0.2">
      <c r="A1305">
        <v>12</v>
      </c>
      <c r="B1305">
        <v>67</v>
      </c>
      <c r="C1305" t="s">
        <v>638</v>
      </c>
      <c r="D1305" t="s">
        <v>39</v>
      </c>
      <c r="E1305" t="s">
        <v>46</v>
      </c>
      <c r="F1305" t="s">
        <v>47</v>
      </c>
      <c r="G1305" t="s">
        <v>42</v>
      </c>
    </row>
    <row r="1306" spans="1:7" x14ac:dyDescent="0.2">
      <c r="A1306">
        <v>12</v>
      </c>
      <c r="B1306">
        <v>67</v>
      </c>
      <c r="C1306" t="s">
        <v>636</v>
      </c>
      <c r="D1306" t="s">
        <v>39</v>
      </c>
      <c r="E1306" t="s">
        <v>46</v>
      </c>
      <c r="F1306" t="s">
        <v>51</v>
      </c>
      <c r="G1306" t="s">
        <v>42</v>
      </c>
    </row>
    <row r="1307" spans="1:7" x14ac:dyDescent="0.2">
      <c r="A1307">
        <v>13</v>
      </c>
      <c r="B1307">
        <v>67</v>
      </c>
      <c r="C1307" t="s">
        <v>651</v>
      </c>
      <c r="D1307" t="s">
        <v>39</v>
      </c>
      <c r="E1307" t="s">
        <v>46</v>
      </c>
      <c r="F1307" t="s">
        <v>51</v>
      </c>
      <c r="G1307" t="s">
        <v>42</v>
      </c>
    </row>
    <row r="1308" spans="1:7" x14ac:dyDescent="0.2">
      <c r="A1308">
        <v>13</v>
      </c>
      <c r="B1308">
        <v>67</v>
      </c>
      <c r="C1308" t="s">
        <v>571</v>
      </c>
      <c r="D1308" t="s">
        <v>39</v>
      </c>
      <c r="E1308" t="s">
        <v>46</v>
      </c>
      <c r="F1308" t="s">
        <v>51</v>
      </c>
      <c r="G1308" t="s">
        <v>42</v>
      </c>
    </row>
    <row r="1309" spans="1:7" x14ac:dyDescent="0.2">
      <c r="A1309">
        <v>13</v>
      </c>
      <c r="B1309">
        <v>67</v>
      </c>
      <c r="C1309" t="s">
        <v>652</v>
      </c>
      <c r="D1309" t="s">
        <v>39</v>
      </c>
      <c r="E1309" t="s">
        <v>653</v>
      </c>
      <c r="F1309" t="s">
        <v>51</v>
      </c>
      <c r="G1309" t="s">
        <v>42</v>
      </c>
    </row>
    <row r="1310" spans="1:7" x14ac:dyDescent="0.2">
      <c r="A1310">
        <v>13</v>
      </c>
      <c r="B1310">
        <v>67</v>
      </c>
      <c r="C1310" t="s">
        <v>639</v>
      </c>
      <c r="D1310" t="s">
        <v>39</v>
      </c>
      <c r="E1310" t="s">
        <v>46</v>
      </c>
      <c r="F1310" t="s">
        <v>51</v>
      </c>
      <c r="G1310" t="s">
        <v>42</v>
      </c>
    </row>
    <row r="1311" spans="1:7" x14ac:dyDescent="0.2">
      <c r="A1311">
        <v>13</v>
      </c>
      <c r="B1311">
        <v>67</v>
      </c>
      <c r="C1311" t="s">
        <v>650</v>
      </c>
      <c r="D1311" t="s">
        <v>39</v>
      </c>
      <c r="E1311" t="s">
        <v>46</v>
      </c>
      <c r="F1311" t="s">
        <v>51</v>
      </c>
      <c r="G1311" t="s">
        <v>42</v>
      </c>
    </row>
    <row r="1312" spans="1:7" x14ac:dyDescent="0.2">
      <c r="A1312">
        <v>13</v>
      </c>
      <c r="B1312">
        <v>67</v>
      </c>
      <c r="C1312" t="s">
        <v>638</v>
      </c>
      <c r="D1312" t="s">
        <v>39</v>
      </c>
      <c r="E1312" t="s">
        <v>46</v>
      </c>
      <c r="F1312" t="s">
        <v>51</v>
      </c>
      <c r="G1312" t="s">
        <v>42</v>
      </c>
    </row>
    <row r="1313" spans="1:7" x14ac:dyDescent="0.2">
      <c r="A1313">
        <v>13</v>
      </c>
      <c r="B1313">
        <v>67</v>
      </c>
      <c r="C1313" t="s">
        <v>636</v>
      </c>
      <c r="D1313" t="s">
        <v>39</v>
      </c>
      <c r="E1313" t="s">
        <v>46</v>
      </c>
      <c r="F1313" t="s">
        <v>51</v>
      </c>
      <c r="G1313" t="s">
        <v>42</v>
      </c>
    </row>
    <row r="1314" spans="1:7" x14ac:dyDescent="0.2">
      <c r="A1314">
        <v>14</v>
      </c>
      <c r="B1314">
        <v>67</v>
      </c>
      <c r="C1314" t="s">
        <v>654</v>
      </c>
      <c r="D1314" t="s">
        <v>39</v>
      </c>
      <c r="E1314" t="s">
        <v>46</v>
      </c>
      <c r="F1314" t="s">
        <v>47</v>
      </c>
      <c r="G1314" t="s">
        <v>42</v>
      </c>
    </row>
    <row r="1315" spans="1:7" x14ac:dyDescent="0.2">
      <c r="A1315">
        <v>14</v>
      </c>
      <c r="B1315">
        <v>67</v>
      </c>
      <c r="C1315" t="s">
        <v>571</v>
      </c>
      <c r="D1315" t="s">
        <v>39</v>
      </c>
      <c r="E1315" t="s">
        <v>46</v>
      </c>
      <c r="F1315" t="s">
        <v>41</v>
      </c>
      <c r="G1315" t="s">
        <v>42</v>
      </c>
    </row>
    <row r="1316" spans="1:7" x14ac:dyDescent="0.2">
      <c r="A1316">
        <v>14</v>
      </c>
      <c r="B1316">
        <v>67</v>
      </c>
      <c r="C1316" t="s">
        <v>652</v>
      </c>
      <c r="D1316" t="s">
        <v>39</v>
      </c>
      <c r="E1316" t="s">
        <v>46</v>
      </c>
      <c r="F1316" t="s">
        <v>41</v>
      </c>
      <c r="G1316" t="s">
        <v>42</v>
      </c>
    </row>
    <row r="1317" spans="1:7" x14ac:dyDescent="0.2">
      <c r="A1317">
        <v>14</v>
      </c>
      <c r="B1317">
        <v>67</v>
      </c>
      <c r="C1317" t="s">
        <v>639</v>
      </c>
      <c r="D1317" t="s">
        <v>39</v>
      </c>
      <c r="E1317" t="s">
        <v>46</v>
      </c>
      <c r="F1317" t="s">
        <v>41</v>
      </c>
      <c r="G1317" t="s">
        <v>42</v>
      </c>
    </row>
    <row r="1318" spans="1:7" x14ac:dyDescent="0.2">
      <c r="A1318">
        <v>14</v>
      </c>
      <c r="B1318">
        <v>67</v>
      </c>
      <c r="C1318" t="s">
        <v>638</v>
      </c>
      <c r="D1318" t="s">
        <v>39</v>
      </c>
      <c r="E1318" t="s">
        <v>46</v>
      </c>
      <c r="F1318" t="s">
        <v>41</v>
      </c>
      <c r="G1318" t="s">
        <v>42</v>
      </c>
    </row>
    <row r="1319" spans="1:7" x14ac:dyDescent="0.2">
      <c r="A1319">
        <v>14</v>
      </c>
      <c r="B1319">
        <v>67</v>
      </c>
      <c r="C1319" t="s">
        <v>636</v>
      </c>
      <c r="D1319" t="s">
        <v>39</v>
      </c>
      <c r="E1319" t="s">
        <v>46</v>
      </c>
      <c r="F1319" t="s">
        <v>41</v>
      </c>
      <c r="G1319" t="s">
        <v>42</v>
      </c>
    </row>
    <row r="1320" spans="1:7" x14ac:dyDescent="0.2">
      <c r="A1320">
        <v>15</v>
      </c>
      <c r="B1320">
        <v>67</v>
      </c>
      <c r="C1320" t="s">
        <v>655</v>
      </c>
      <c r="D1320" t="s">
        <v>39</v>
      </c>
      <c r="E1320" t="s">
        <v>46</v>
      </c>
      <c r="F1320" t="s">
        <v>51</v>
      </c>
      <c r="G1320" t="s">
        <v>42</v>
      </c>
    </row>
    <row r="1321" spans="1:7" x14ac:dyDescent="0.2">
      <c r="A1321">
        <v>15</v>
      </c>
      <c r="B1321">
        <v>67</v>
      </c>
      <c r="C1321" t="s">
        <v>571</v>
      </c>
      <c r="D1321" t="s">
        <v>39</v>
      </c>
      <c r="E1321" t="s">
        <v>46</v>
      </c>
      <c r="F1321" t="s">
        <v>51</v>
      </c>
      <c r="G1321" t="s">
        <v>42</v>
      </c>
    </row>
    <row r="1322" spans="1:7" x14ac:dyDescent="0.2">
      <c r="A1322">
        <v>15</v>
      </c>
      <c r="B1322">
        <v>67</v>
      </c>
      <c r="C1322" t="s">
        <v>656</v>
      </c>
      <c r="D1322" t="s">
        <v>39</v>
      </c>
      <c r="E1322" t="s">
        <v>46</v>
      </c>
      <c r="F1322" t="s">
        <v>51</v>
      </c>
      <c r="G1322" t="s">
        <v>42</v>
      </c>
    </row>
    <row r="1323" spans="1:7" x14ac:dyDescent="0.2">
      <c r="A1323">
        <v>15</v>
      </c>
      <c r="B1323">
        <v>67</v>
      </c>
      <c r="C1323" t="s">
        <v>639</v>
      </c>
      <c r="D1323" t="s">
        <v>39</v>
      </c>
      <c r="E1323" t="s">
        <v>46</v>
      </c>
      <c r="F1323" t="s">
        <v>51</v>
      </c>
      <c r="G1323" t="s">
        <v>42</v>
      </c>
    </row>
    <row r="1324" spans="1:7" x14ac:dyDescent="0.2">
      <c r="A1324">
        <v>15</v>
      </c>
      <c r="B1324">
        <v>67</v>
      </c>
      <c r="C1324" t="s">
        <v>657</v>
      </c>
      <c r="D1324" t="s">
        <v>39</v>
      </c>
      <c r="E1324" t="s">
        <v>46</v>
      </c>
      <c r="F1324" t="s">
        <v>51</v>
      </c>
      <c r="G1324" t="s">
        <v>42</v>
      </c>
    </row>
    <row r="1325" spans="1:7" x14ac:dyDescent="0.2">
      <c r="A1325">
        <v>15</v>
      </c>
      <c r="B1325">
        <v>67</v>
      </c>
      <c r="C1325" t="s">
        <v>638</v>
      </c>
      <c r="D1325" t="s">
        <v>39</v>
      </c>
      <c r="E1325" t="s">
        <v>46</v>
      </c>
      <c r="F1325" t="s">
        <v>51</v>
      </c>
      <c r="G1325" t="s">
        <v>42</v>
      </c>
    </row>
    <row r="1326" spans="1:7" x14ac:dyDescent="0.2">
      <c r="A1326">
        <v>15</v>
      </c>
      <c r="B1326">
        <v>67</v>
      </c>
      <c r="C1326" t="s">
        <v>636</v>
      </c>
      <c r="D1326" t="s">
        <v>39</v>
      </c>
      <c r="E1326" t="s">
        <v>46</v>
      </c>
      <c r="F1326" t="s">
        <v>51</v>
      </c>
      <c r="G1326" t="s">
        <v>42</v>
      </c>
    </row>
    <row r="1327" spans="1:7" x14ac:dyDescent="0.2">
      <c r="A1327">
        <v>16</v>
      </c>
      <c r="B1327">
        <v>67</v>
      </c>
      <c r="C1327" t="s">
        <v>658</v>
      </c>
      <c r="D1327" t="s">
        <v>39</v>
      </c>
      <c r="E1327" t="s">
        <v>46</v>
      </c>
      <c r="F1327" t="s">
        <v>47</v>
      </c>
      <c r="G1327" t="s">
        <v>42</v>
      </c>
    </row>
    <row r="1328" spans="1:7" x14ac:dyDescent="0.2">
      <c r="A1328">
        <v>16</v>
      </c>
      <c r="B1328">
        <v>67</v>
      </c>
      <c r="C1328" t="s">
        <v>638</v>
      </c>
      <c r="D1328" t="s">
        <v>39</v>
      </c>
      <c r="E1328" t="s">
        <v>46</v>
      </c>
      <c r="F1328" t="s">
        <v>51</v>
      </c>
      <c r="G1328" t="s">
        <v>42</v>
      </c>
    </row>
    <row r="1329" spans="1:7" x14ac:dyDescent="0.2">
      <c r="A1329">
        <v>16</v>
      </c>
      <c r="B1329">
        <v>67</v>
      </c>
      <c r="C1329" t="s">
        <v>636</v>
      </c>
      <c r="D1329" t="s">
        <v>39</v>
      </c>
      <c r="E1329" t="s">
        <v>46</v>
      </c>
      <c r="F1329" t="s">
        <v>51</v>
      </c>
      <c r="G1329" t="s">
        <v>42</v>
      </c>
    </row>
    <row r="1330" spans="1:7" x14ac:dyDescent="0.2">
      <c r="A1330">
        <v>17</v>
      </c>
      <c r="B1330">
        <v>67</v>
      </c>
      <c r="C1330" t="s">
        <v>659</v>
      </c>
      <c r="D1330" t="s">
        <v>39</v>
      </c>
      <c r="E1330" t="s">
        <v>46</v>
      </c>
      <c r="F1330" t="s">
        <v>51</v>
      </c>
      <c r="G1330" t="s">
        <v>42</v>
      </c>
    </row>
    <row r="1331" spans="1:7" x14ac:dyDescent="0.2">
      <c r="A1331">
        <v>17</v>
      </c>
      <c r="B1331">
        <v>67</v>
      </c>
      <c r="C1331" t="s">
        <v>660</v>
      </c>
      <c r="D1331" t="s">
        <v>39</v>
      </c>
      <c r="E1331" t="s">
        <v>46</v>
      </c>
      <c r="F1331" t="s">
        <v>51</v>
      </c>
      <c r="G1331" t="s">
        <v>42</v>
      </c>
    </row>
    <row r="1332" spans="1:7" x14ac:dyDescent="0.2">
      <c r="A1332">
        <v>17</v>
      </c>
      <c r="B1332">
        <v>67</v>
      </c>
      <c r="C1332" t="s">
        <v>571</v>
      </c>
      <c r="D1332" t="s">
        <v>39</v>
      </c>
      <c r="E1332" t="s">
        <v>46</v>
      </c>
      <c r="F1332" t="s">
        <v>51</v>
      </c>
      <c r="G1332" t="s">
        <v>42</v>
      </c>
    </row>
    <row r="1333" spans="1:7" x14ac:dyDescent="0.2">
      <c r="A1333">
        <v>17</v>
      </c>
      <c r="B1333">
        <v>67</v>
      </c>
      <c r="C1333" t="s">
        <v>573</v>
      </c>
      <c r="D1333" t="s">
        <v>39</v>
      </c>
      <c r="E1333" t="s">
        <v>46</v>
      </c>
      <c r="F1333" t="s">
        <v>51</v>
      </c>
      <c r="G1333" t="s">
        <v>42</v>
      </c>
    </row>
    <row r="1334" spans="1:7" x14ac:dyDescent="0.2">
      <c r="A1334">
        <v>17</v>
      </c>
      <c r="B1334">
        <v>67</v>
      </c>
      <c r="C1334" t="s">
        <v>661</v>
      </c>
      <c r="D1334" t="s">
        <v>39</v>
      </c>
      <c r="E1334" t="s">
        <v>46</v>
      </c>
      <c r="F1334" t="s">
        <v>51</v>
      </c>
      <c r="G1334" t="s">
        <v>42</v>
      </c>
    </row>
    <row r="1335" spans="1:7" x14ac:dyDescent="0.2">
      <c r="A1335">
        <v>17</v>
      </c>
      <c r="B1335">
        <v>67</v>
      </c>
      <c r="C1335" t="s">
        <v>594</v>
      </c>
      <c r="D1335" t="s">
        <v>39</v>
      </c>
      <c r="E1335" t="s">
        <v>46</v>
      </c>
      <c r="F1335" t="s">
        <v>51</v>
      </c>
      <c r="G1335" t="s">
        <v>42</v>
      </c>
    </row>
    <row r="1336" spans="1:7" x14ac:dyDescent="0.2">
      <c r="A1336">
        <v>17</v>
      </c>
      <c r="B1336">
        <v>67</v>
      </c>
      <c r="C1336" t="s">
        <v>638</v>
      </c>
      <c r="D1336" t="s">
        <v>39</v>
      </c>
      <c r="E1336" t="s">
        <v>46</v>
      </c>
      <c r="F1336" t="s">
        <v>51</v>
      </c>
      <c r="G1336" t="s">
        <v>42</v>
      </c>
    </row>
    <row r="1337" spans="1:7" x14ac:dyDescent="0.2">
      <c r="A1337">
        <v>17</v>
      </c>
      <c r="B1337">
        <v>67</v>
      </c>
      <c r="C1337" t="s">
        <v>636</v>
      </c>
      <c r="D1337" t="s">
        <v>39</v>
      </c>
      <c r="E1337" t="s">
        <v>46</v>
      </c>
      <c r="F1337" t="s">
        <v>51</v>
      </c>
      <c r="G1337" t="s">
        <v>42</v>
      </c>
    </row>
    <row r="1338" spans="1:7" x14ac:dyDescent="0.2">
      <c r="A1338">
        <v>18</v>
      </c>
      <c r="B1338">
        <v>67</v>
      </c>
      <c r="C1338" t="s">
        <v>659</v>
      </c>
      <c r="D1338" t="s">
        <v>39</v>
      </c>
      <c r="E1338" t="s">
        <v>46</v>
      </c>
      <c r="F1338" t="s">
        <v>51</v>
      </c>
      <c r="G1338" t="s">
        <v>42</v>
      </c>
    </row>
    <row r="1339" spans="1:7" x14ac:dyDescent="0.2">
      <c r="A1339">
        <v>18</v>
      </c>
      <c r="B1339">
        <v>67</v>
      </c>
      <c r="C1339" t="s">
        <v>662</v>
      </c>
      <c r="D1339" t="s">
        <v>39</v>
      </c>
      <c r="E1339" t="s">
        <v>46</v>
      </c>
      <c r="F1339" t="s">
        <v>51</v>
      </c>
      <c r="G1339" t="s">
        <v>42</v>
      </c>
    </row>
    <row r="1340" spans="1:7" x14ac:dyDescent="0.2">
      <c r="A1340">
        <v>18</v>
      </c>
      <c r="B1340">
        <v>67</v>
      </c>
      <c r="C1340" t="s">
        <v>571</v>
      </c>
      <c r="D1340" t="s">
        <v>39</v>
      </c>
      <c r="E1340" t="s">
        <v>46</v>
      </c>
      <c r="F1340" t="s">
        <v>51</v>
      </c>
      <c r="G1340" t="s">
        <v>42</v>
      </c>
    </row>
    <row r="1341" spans="1:7" x14ac:dyDescent="0.2">
      <c r="A1341">
        <v>18</v>
      </c>
      <c r="B1341">
        <v>67</v>
      </c>
      <c r="C1341" t="s">
        <v>573</v>
      </c>
      <c r="D1341" t="s">
        <v>39</v>
      </c>
      <c r="E1341" t="s">
        <v>46</v>
      </c>
      <c r="F1341" t="s">
        <v>51</v>
      </c>
      <c r="G1341" t="s">
        <v>42</v>
      </c>
    </row>
    <row r="1342" spans="1:7" x14ac:dyDescent="0.2">
      <c r="A1342">
        <v>18</v>
      </c>
      <c r="B1342">
        <v>67</v>
      </c>
      <c r="C1342" t="s">
        <v>663</v>
      </c>
      <c r="D1342" t="s">
        <v>39</v>
      </c>
      <c r="E1342" t="s">
        <v>46</v>
      </c>
      <c r="F1342" t="s">
        <v>47</v>
      </c>
      <c r="G1342" t="s">
        <v>42</v>
      </c>
    </row>
    <row r="1343" spans="1:7" x14ac:dyDescent="0.2">
      <c r="A1343">
        <v>18</v>
      </c>
      <c r="B1343">
        <v>67</v>
      </c>
      <c r="C1343" t="s">
        <v>664</v>
      </c>
      <c r="D1343" t="s">
        <v>39</v>
      </c>
      <c r="E1343" t="s">
        <v>46</v>
      </c>
      <c r="F1343" t="s">
        <v>51</v>
      </c>
      <c r="G1343" t="s">
        <v>42</v>
      </c>
    </row>
    <row r="1344" spans="1:7" x14ac:dyDescent="0.2">
      <c r="A1344">
        <v>18</v>
      </c>
      <c r="B1344">
        <v>67</v>
      </c>
      <c r="C1344" t="s">
        <v>665</v>
      </c>
      <c r="D1344" t="s">
        <v>39</v>
      </c>
      <c r="E1344" t="s">
        <v>46</v>
      </c>
      <c r="F1344" t="s">
        <v>51</v>
      </c>
      <c r="G1344" t="s">
        <v>42</v>
      </c>
    </row>
    <row r="1345" spans="1:7" x14ac:dyDescent="0.2">
      <c r="A1345">
        <v>18</v>
      </c>
      <c r="B1345">
        <v>67</v>
      </c>
      <c r="C1345" t="s">
        <v>636</v>
      </c>
      <c r="D1345" t="s">
        <v>39</v>
      </c>
      <c r="E1345" t="s">
        <v>46</v>
      </c>
      <c r="F1345" t="s">
        <v>51</v>
      </c>
      <c r="G1345" t="s">
        <v>42</v>
      </c>
    </row>
    <row r="1346" spans="1:7" x14ac:dyDescent="0.2">
      <c r="A1346">
        <v>19</v>
      </c>
      <c r="B1346">
        <v>67</v>
      </c>
      <c r="C1346" t="s">
        <v>659</v>
      </c>
      <c r="D1346" t="s">
        <v>39</v>
      </c>
      <c r="E1346" t="s">
        <v>46</v>
      </c>
      <c r="F1346" t="s">
        <v>51</v>
      </c>
      <c r="G1346" t="s">
        <v>42</v>
      </c>
    </row>
    <row r="1347" spans="1:7" x14ac:dyDescent="0.2">
      <c r="A1347">
        <v>19</v>
      </c>
      <c r="B1347">
        <v>67</v>
      </c>
      <c r="C1347" t="s">
        <v>571</v>
      </c>
      <c r="D1347" t="s">
        <v>39</v>
      </c>
      <c r="E1347" t="s">
        <v>46</v>
      </c>
      <c r="F1347" t="s">
        <v>51</v>
      </c>
      <c r="G1347" t="s">
        <v>42</v>
      </c>
    </row>
    <row r="1348" spans="1:7" x14ac:dyDescent="0.2">
      <c r="A1348">
        <v>19</v>
      </c>
      <c r="B1348">
        <v>67</v>
      </c>
      <c r="C1348" t="s">
        <v>573</v>
      </c>
      <c r="D1348" t="s">
        <v>39</v>
      </c>
      <c r="E1348" t="s">
        <v>46</v>
      </c>
      <c r="F1348" t="s">
        <v>51</v>
      </c>
      <c r="G1348" t="s">
        <v>42</v>
      </c>
    </row>
    <row r="1349" spans="1:7" x14ac:dyDescent="0.2">
      <c r="A1349">
        <v>19</v>
      </c>
      <c r="B1349">
        <v>67</v>
      </c>
      <c r="C1349" t="s">
        <v>666</v>
      </c>
      <c r="D1349" t="s">
        <v>39</v>
      </c>
      <c r="E1349" t="s">
        <v>46</v>
      </c>
      <c r="F1349" t="s">
        <v>51</v>
      </c>
      <c r="G1349" t="s">
        <v>42</v>
      </c>
    </row>
    <row r="1350" spans="1:7" x14ac:dyDescent="0.2">
      <c r="A1350">
        <v>19</v>
      </c>
      <c r="B1350">
        <v>67</v>
      </c>
      <c r="C1350" t="s">
        <v>667</v>
      </c>
      <c r="D1350" t="s">
        <v>39</v>
      </c>
      <c r="E1350" t="s">
        <v>46</v>
      </c>
      <c r="F1350" t="s">
        <v>51</v>
      </c>
      <c r="G1350" t="s">
        <v>42</v>
      </c>
    </row>
    <row r="1351" spans="1:7" x14ac:dyDescent="0.2">
      <c r="A1351">
        <v>19</v>
      </c>
      <c r="B1351">
        <v>67</v>
      </c>
      <c r="C1351" t="s">
        <v>668</v>
      </c>
      <c r="D1351" t="s">
        <v>39</v>
      </c>
      <c r="E1351" t="s">
        <v>46</v>
      </c>
      <c r="F1351" t="s">
        <v>51</v>
      </c>
      <c r="G1351" t="s">
        <v>42</v>
      </c>
    </row>
    <row r="1352" spans="1:7" x14ac:dyDescent="0.2">
      <c r="A1352">
        <v>20</v>
      </c>
      <c r="B1352">
        <v>67</v>
      </c>
      <c r="C1352" t="s">
        <v>659</v>
      </c>
      <c r="D1352" t="s">
        <v>39</v>
      </c>
      <c r="E1352" t="s">
        <v>46</v>
      </c>
      <c r="F1352" t="s">
        <v>51</v>
      </c>
      <c r="G1352" t="s">
        <v>42</v>
      </c>
    </row>
    <row r="1353" spans="1:7" x14ac:dyDescent="0.2">
      <c r="A1353">
        <v>20</v>
      </c>
      <c r="B1353">
        <v>67</v>
      </c>
      <c r="C1353" t="s">
        <v>669</v>
      </c>
      <c r="D1353" t="s">
        <v>39</v>
      </c>
      <c r="E1353" t="s">
        <v>46</v>
      </c>
      <c r="F1353" t="s">
        <v>51</v>
      </c>
      <c r="G1353" t="s">
        <v>42</v>
      </c>
    </row>
    <row r="1354" spans="1:7" x14ac:dyDescent="0.2">
      <c r="A1354">
        <v>20</v>
      </c>
      <c r="B1354">
        <v>67</v>
      </c>
      <c r="C1354" t="s">
        <v>573</v>
      </c>
      <c r="D1354" t="s">
        <v>39</v>
      </c>
      <c r="E1354" t="s">
        <v>46</v>
      </c>
      <c r="F1354" t="s">
        <v>51</v>
      </c>
      <c r="G1354" t="s">
        <v>42</v>
      </c>
    </row>
    <row r="1355" spans="1:7" x14ac:dyDescent="0.2">
      <c r="A1355">
        <v>20</v>
      </c>
      <c r="B1355">
        <v>67</v>
      </c>
      <c r="C1355" t="s">
        <v>670</v>
      </c>
      <c r="D1355" t="s">
        <v>39</v>
      </c>
      <c r="E1355" t="s">
        <v>46</v>
      </c>
      <c r="F1355" t="s">
        <v>51</v>
      </c>
      <c r="G1355" t="s">
        <v>42</v>
      </c>
    </row>
    <row r="1356" spans="1:7" x14ac:dyDescent="0.2">
      <c r="A1356">
        <v>20</v>
      </c>
      <c r="B1356">
        <v>67</v>
      </c>
      <c r="C1356" t="s">
        <v>671</v>
      </c>
      <c r="D1356" t="s">
        <v>39</v>
      </c>
      <c r="E1356" t="s">
        <v>46</v>
      </c>
      <c r="F1356" t="s">
        <v>51</v>
      </c>
      <c r="G1356" t="s">
        <v>42</v>
      </c>
    </row>
    <row r="1357" spans="1:7" x14ac:dyDescent="0.2">
      <c r="A1357">
        <v>20</v>
      </c>
      <c r="B1357">
        <v>67</v>
      </c>
      <c r="C1357" t="s">
        <v>668</v>
      </c>
      <c r="D1357" t="s">
        <v>39</v>
      </c>
      <c r="E1357" t="s">
        <v>46</v>
      </c>
      <c r="F1357" t="s">
        <v>51</v>
      </c>
      <c r="G1357" t="s">
        <v>42</v>
      </c>
    </row>
    <row r="1358" spans="1:7" x14ac:dyDescent="0.2">
      <c r="A1358">
        <v>21</v>
      </c>
      <c r="B1358">
        <v>67</v>
      </c>
      <c r="C1358" t="s">
        <v>668</v>
      </c>
      <c r="D1358" t="s">
        <v>39</v>
      </c>
      <c r="E1358" t="s">
        <v>46</v>
      </c>
      <c r="F1358" t="s">
        <v>51</v>
      </c>
      <c r="G1358" t="s">
        <v>42</v>
      </c>
    </row>
    <row r="1359" spans="1:7" x14ac:dyDescent="0.2">
      <c r="A1359">
        <v>21</v>
      </c>
      <c r="B1359">
        <v>67</v>
      </c>
      <c r="C1359" t="s">
        <v>672</v>
      </c>
      <c r="D1359" t="s">
        <v>39</v>
      </c>
      <c r="E1359" t="s">
        <v>46</v>
      </c>
      <c r="F1359" t="s">
        <v>51</v>
      </c>
      <c r="G1359" t="s">
        <v>42</v>
      </c>
    </row>
    <row r="1360" spans="1:7" x14ac:dyDescent="0.2">
      <c r="A1360">
        <v>21</v>
      </c>
      <c r="B1360">
        <v>67</v>
      </c>
      <c r="C1360" t="s">
        <v>673</v>
      </c>
      <c r="D1360" t="s">
        <v>39</v>
      </c>
      <c r="E1360" t="s">
        <v>46</v>
      </c>
      <c r="F1360" t="s">
        <v>51</v>
      </c>
      <c r="G1360" t="s">
        <v>42</v>
      </c>
    </row>
    <row r="1361" spans="1:7" x14ac:dyDescent="0.2">
      <c r="A1361">
        <v>21</v>
      </c>
      <c r="B1361">
        <v>67</v>
      </c>
      <c r="C1361" t="s">
        <v>674</v>
      </c>
      <c r="D1361" t="s">
        <v>39</v>
      </c>
      <c r="E1361" t="s">
        <v>46</v>
      </c>
      <c r="F1361" t="s">
        <v>51</v>
      </c>
      <c r="G1361" t="s">
        <v>42</v>
      </c>
    </row>
    <row r="1362" spans="1:7" x14ac:dyDescent="0.2">
      <c r="A1362">
        <v>21</v>
      </c>
      <c r="B1362">
        <v>67</v>
      </c>
      <c r="C1362" t="s">
        <v>659</v>
      </c>
      <c r="D1362" t="s">
        <v>39</v>
      </c>
      <c r="E1362" t="s">
        <v>46</v>
      </c>
      <c r="F1362" t="s">
        <v>51</v>
      </c>
      <c r="G1362" t="s">
        <v>42</v>
      </c>
    </row>
    <row r="1363" spans="1:7" x14ac:dyDescent="0.2">
      <c r="A1363">
        <v>7</v>
      </c>
      <c r="B1363">
        <v>68</v>
      </c>
      <c r="C1363" t="s">
        <v>675</v>
      </c>
      <c r="D1363" t="s">
        <v>39</v>
      </c>
      <c r="E1363" t="s">
        <v>40</v>
      </c>
      <c r="F1363" t="s">
        <v>41</v>
      </c>
      <c r="G1363" t="s">
        <v>42</v>
      </c>
    </row>
    <row r="1364" spans="1:7" x14ac:dyDescent="0.2">
      <c r="A1364">
        <v>7</v>
      </c>
      <c r="B1364">
        <v>68</v>
      </c>
      <c r="C1364" t="s">
        <v>676</v>
      </c>
      <c r="D1364" t="s">
        <v>39</v>
      </c>
      <c r="E1364" t="s">
        <v>40</v>
      </c>
      <c r="F1364" t="s">
        <v>51</v>
      </c>
      <c r="G1364" t="s">
        <v>42</v>
      </c>
    </row>
    <row r="1365" spans="1:7" x14ac:dyDescent="0.2">
      <c r="A1365">
        <v>9</v>
      </c>
      <c r="B1365">
        <v>68</v>
      </c>
      <c r="C1365" t="s">
        <v>677</v>
      </c>
      <c r="D1365" t="s">
        <v>39</v>
      </c>
      <c r="E1365" t="s">
        <v>46</v>
      </c>
      <c r="F1365" t="s">
        <v>47</v>
      </c>
      <c r="G1365" t="s">
        <v>42</v>
      </c>
    </row>
    <row r="1366" spans="1:7" x14ac:dyDescent="0.2">
      <c r="A1366">
        <v>9</v>
      </c>
      <c r="B1366">
        <v>68</v>
      </c>
      <c r="C1366" t="s">
        <v>678</v>
      </c>
      <c r="D1366" t="s">
        <v>39</v>
      </c>
      <c r="E1366" t="s">
        <v>46</v>
      </c>
      <c r="F1366" t="s">
        <v>47</v>
      </c>
      <c r="G1366" t="s">
        <v>42</v>
      </c>
    </row>
    <row r="1367" spans="1:7" x14ac:dyDescent="0.2">
      <c r="A1367">
        <v>9</v>
      </c>
      <c r="B1367">
        <v>68</v>
      </c>
      <c r="C1367" t="s">
        <v>679</v>
      </c>
      <c r="D1367" t="s">
        <v>39</v>
      </c>
      <c r="E1367" t="s">
        <v>46</v>
      </c>
      <c r="F1367" t="s">
        <v>47</v>
      </c>
      <c r="G1367" t="s">
        <v>42</v>
      </c>
    </row>
    <row r="1368" spans="1:7" x14ac:dyDescent="0.2">
      <c r="A1368">
        <v>10</v>
      </c>
      <c r="B1368">
        <v>68</v>
      </c>
      <c r="C1368" t="s">
        <v>679</v>
      </c>
      <c r="D1368" t="s">
        <v>39</v>
      </c>
      <c r="E1368" t="s">
        <v>46</v>
      </c>
      <c r="F1368" t="s">
        <v>47</v>
      </c>
      <c r="G1368" t="s">
        <v>42</v>
      </c>
    </row>
    <row r="1369" spans="1:7" x14ac:dyDescent="0.2">
      <c r="A1369">
        <v>10</v>
      </c>
      <c r="B1369">
        <v>68</v>
      </c>
      <c r="C1369" t="s">
        <v>680</v>
      </c>
      <c r="D1369" t="s">
        <v>39</v>
      </c>
      <c r="E1369" t="s">
        <v>46</v>
      </c>
      <c r="F1369" t="s">
        <v>47</v>
      </c>
      <c r="G1369" t="s">
        <v>42</v>
      </c>
    </row>
    <row r="1370" spans="1:7" x14ac:dyDescent="0.2">
      <c r="A1370">
        <v>10</v>
      </c>
      <c r="B1370">
        <v>68</v>
      </c>
      <c r="C1370" t="s">
        <v>681</v>
      </c>
      <c r="D1370" t="s">
        <v>39</v>
      </c>
      <c r="E1370" t="s">
        <v>46</v>
      </c>
      <c r="F1370" t="s">
        <v>47</v>
      </c>
      <c r="G1370" t="s">
        <v>42</v>
      </c>
    </row>
    <row r="1371" spans="1:7" x14ac:dyDescent="0.2">
      <c r="A1371">
        <v>10</v>
      </c>
      <c r="B1371">
        <v>68</v>
      </c>
      <c r="C1371" t="s">
        <v>682</v>
      </c>
      <c r="D1371" t="s">
        <v>39</v>
      </c>
      <c r="E1371" t="s">
        <v>46</v>
      </c>
      <c r="F1371" t="s">
        <v>47</v>
      </c>
      <c r="G1371" t="s">
        <v>42</v>
      </c>
    </row>
    <row r="1372" spans="1:7" x14ac:dyDescent="0.2">
      <c r="A1372">
        <v>11</v>
      </c>
      <c r="B1372">
        <v>68</v>
      </c>
      <c r="C1372" t="s">
        <v>679</v>
      </c>
      <c r="D1372" t="s">
        <v>39</v>
      </c>
      <c r="E1372" t="s">
        <v>46</v>
      </c>
      <c r="F1372" t="s">
        <v>47</v>
      </c>
      <c r="G1372" t="s">
        <v>42</v>
      </c>
    </row>
    <row r="1373" spans="1:7" x14ac:dyDescent="0.2">
      <c r="A1373">
        <v>11</v>
      </c>
      <c r="B1373">
        <v>68</v>
      </c>
      <c r="C1373" t="s">
        <v>680</v>
      </c>
      <c r="D1373" t="s">
        <v>39</v>
      </c>
      <c r="E1373" t="s">
        <v>46</v>
      </c>
      <c r="F1373" t="s">
        <v>47</v>
      </c>
      <c r="G1373" t="s">
        <v>42</v>
      </c>
    </row>
    <row r="1374" spans="1:7" x14ac:dyDescent="0.2">
      <c r="A1374">
        <v>11</v>
      </c>
      <c r="B1374">
        <v>68</v>
      </c>
      <c r="C1374" t="s">
        <v>681</v>
      </c>
      <c r="D1374" t="s">
        <v>39</v>
      </c>
      <c r="E1374" t="s">
        <v>46</v>
      </c>
      <c r="F1374" t="s">
        <v>47</v>
      </c>
      <c r="G1374" t="s">
        <v>42</v>
      </c>
    </row>
    <row r="1375" spans="1:7" x14ac:dyDescent="0.2">
      <c r="A1375">
        <v>11</v>
      </c>
      <c r="B1375">
        <v>68</v>
      </c>
      <c r="C1375" t="s">
        <v>682</v>
      </c>
      <c r="D1375" t="s">
        <v>39</v>
      </c>
      <c r="E1375" t="s">
        <v>46</v>
      </c>
      <c r="F1375" t="s">
        <v>47</v>
      </c>
      <c r="G1375" t="s">
        <v>42</v>
      </c>
    </row>
    <row r="1376" spans="1:7" x14ac:dyDescent="0.2">
      <c r="A1376">
        <v>12</v>
      </c>
      <c r="B1376">
        <v>68</v>
      </c>
      <c r="C1376" t="s">
        <v>679</v>
      </c>
      <c r="D1376" t="s">
        <v>39</v>
      </c>
      <c r="E1376" t="s">
        <v>46</v>
      </c>
      <c r="F1376" t="s">
        <v>47</v>
      </c>
      <c r="G1376" t="s">
        <v>42</v>
      </c>
    </row>
    <row r="1377" spans="1:7" x14ac:dyDescent="0.2">
      <c r="A1377">
        <v>12</v>
      </c>
      <c r="B1377">
        <v>68</v>
      </c>
      <c r="C1377" t="s">
        <v>680</v>
      </c>
      <c r="D1377" t="s">
        <v>39</v>
      </c>
      <c r="E1377" t="s">
        <v>46</v>
      </c>
      <c r="F1377" t="s">
        <v>47</v>
      </c>
      <c r="G1377" t="s">
        <v>42</v>
      </c>
    </row>
    <row r="1378" spans="1:7" x14ac:dyDescent="0.2">
      <c r="A1378">
        <v>12</v>
      </c>
      <c r="B1378">
        <v>68</v>
      </c>
      <c r="C1378" t="s">
        <v>681</v>
      </c>
      <c r="D1378" t="s">
        <v>39</v>
      </c>
      <c r="E1378" t="s">
        <v>46</v>
      </c>
      <c r="F1378" t="s">
        <v>47</v>
      </c>
      <c r="G1378" t="s">
        <v>42</v>
      </c>
    </row>
    <row r="1379" spans="1:7" x14ac:dyDescent="0.2">
      <c r="A1379">
        <v>12</v>
      </c>
      <c r="B1379">
        <v>68</v>
      </c>
      <c r="C1379" t="s">
        <v>682</v>
      </c>
      <c r="D1379" t="s">
        <v>39</v>
      </c>
      <c r="E1379" t="s">
        <v>46</v>
      </c>
      <c r="F1379" t="s">
        <v>47</v>
      </c>
      <c r="G1379" t="s">
        <v>42</v>
      </c>
    </row>
    <row r="1380" spans="1:7" x14ac:dyDescent="0.2">
      <c r="A1380">
        <v>13</v>
      </c>
      <c r="B1380">
        <v>68</v>
      </c>
      <c r="C1380" t="s">
        <v>680</v>
      </c>
      <c r="D1380" t="s">
        <v>39</v>
      </c>
      <c r="E1380" t="s">
        <v>46</v>
      </c>
      <c r="F1380" t="s">
        <v>47</v>
      </c>
      <c r="G1380" t="s">
        <v>42</v>
      </c>
    </row>
    <row r="1381" spans="1:7" x14ac:dyDescent="0.2">
      <c r="A1381">
        <v>13</v>
      </c>
      <c r="B1381">
        <v>68</v>
      </c>
      <c r="C1381" t="s">
        <v>681</v>
      </c>
      <c r="D1381" t="s">
        <v>39</v>
      </c>
      <c r="E1381" t="s">
        <v>46</v>
      </c>
      <c r="F1381" t="s">
        <v>47</v>
      </c>
      <c r="G1381" t="s">
        <v>42</v>
      </c>
    </row>
    <row r="1382" spans="1:7" x14ac:dyDescent="0.2">
      <c r="A1382">
        <v>13</v>
      </c>
      <c r="B1382">
        <v>68</v>
      </c>
      <c r="C1382" t="s">
        <v>682</v>
      </c>
      <c r="D1382" t="s">
        <v>39</v>
      </c>
      <c r="E1382" t="s">
        <v>46</v>
      </c>
      <c r="F1382" t="s">
        <v>47</v>
      </c>
      <c r="G1382" t="s">
        <v>42</v>
      </c>
    </row>
    <row r="1383" spans="1:7" x14ac:dyDescent="0.2">
      <c r="A1383">
        <v>14</v>
      </c>
      <c r="B1383">
        <v>68</v>
      </c>
      <c r="C1383" t="s">
        <v>679</v>
      </c>
      <c r="D1383" t="s">
        <v>39</v>
      </c>
      <c r="E1383" t="s">
        <v>46</v>
      </c>
      <c r="F1383" t="s">
        <v>47</v>
      </c>
      <c r="G1383" t="s">
        <v>42</v>
      </c>
    </row>
    <row r="1384" spans="1:7" x14ac:dyDescent="0.2">
      <c r="A1384">
        <v>14</v>
      </c>
      <c r="B1384">
        <v>68</v>
      </c>
      <c r="C1384" t="s">
        <v>680</v>
      </c>
      <c r="D1384" t="s">
        <v>39</v>
      </c>
      <c r="E1384" t="s">
        <v>46</v>
      </c>
      <c r="F1384" t="s">
        <v>47</v>
      </c>
      <c r="G1384" t="s">
        <v>42</v>
      </c>
    </row>
    <row r="1385" spans="1:7" x14ac:dyDescent="0.2">
      <c r="A1385">
        <v>14</v>
      </c>
      <c r="B1385">
        <v>68</v>
      </c>
      <c r="C1385" t="s">
        <v>683</v>
      </c>
      <c r="D1385" t="s">
        <v>39</v>
      </c>
      <c r="E1385" t="s">
        <v>46</v>
      </c>
      <c r="F1385" t="s">
        <v>41</v>
      </c>
      <c r="G1385" t="s">
        <v>42</v>
      </c>
    </row>
    <row r="1386" spans="1:7" x14ac:dyDescent="0.2">
      <c r="A1386">
        <v>14</v>
      </c>
      <c r="B1386">
        <v>68</v>
      </c>
      <c r="C1386" t="s">
        <v>682</v>
      </c>
      <c r="D1386" t="s">
        <v>39</v>
      </c>
      <c r="E1386" t="s">
        <v>46</v>
      </c>
      <c r="F1386" t="s">
        <v>47</v>
      </c>
      <c r="G1386" t="s">
        <v>42</v>
      </c>
    </row>
    <row r="1387" spans="1:7" x14ac:dyDescent="0.2">
      <c r="A1387">
        <v>15</v>
      </c>
      <c r="B1387">
        <v>68</v>
      </c>
      <c r="C1387" t="s">
        <v>680</v>
      </c>
      <c r="D1387" t="s">
        <v>39</v>
      </c>
      <c r="E1387" t="s">
        <v>46</v>
      </c>
      <c r="F1387" t="s">
        <v>47</v>
      </c>
      <c r="G1387" t="s">
        <v>42</v>
      </c>
    </row>
    <row r="1388" spans="1:7" x14ac:dyDescent="0.2">
      <c r="A1388">
        <v>15</v>
      </c>
      <c r="B1388">
        <v>68</v>
      </c>
      <c r="C1388" t="s">
        <v>682</v>
      </c>
      <c r="D1388" t="s">
        <v>39</v>
      </c>
      <c r="E1388" t="s">
        <v>46</v>
      </c>
      <c r="F1388" t="s">
        <v>47</v>
      </c>
      <c r="G1388" t="s">
        <v>42</v>
      </c>
    </row>
    <row r="1389" spans="1:7" x14ac:dyDescent="0.2">
      <c r="A1389">
        <v>16</v>
      </c>
      <c r="B1389">
        <v>68</v>
      </c>
      <c r="C1389" t="s">
        <v>684</v>
      </c>
      <c r="D1389" t="s">
        <v>39</v>
      </c>
      <c r="E1389" t="s">
        <v>46</v>
      </c>
      <c r="F1389" t="s">
        <v>47</v>
      </c>
      <c r="G1389" t="s">
        <v>42</v>
      </c>
    </row>
    <row r="1390" spans="1:7" x14ac:dyDescent="0.2">
      <c r="A1390">
        <v>16</v>
      </c>
      <c r="B1390">
        <v>68</v>
      </c>
      <c r="C1390" t="s">
        <v>679</v>
      </c>
      <c r="D1390" t="s">
        <v>39</v>
      </c>
      <c r="E1390" t="s">
        <v>46</v>
      </c>
      <c r="F1390" t="s">
        <v>47</v>
      </c>
      <c r="G1390" t="s">
        <v>42</v>
      </c>
    </row>
    <row r="1391" spans="1:7" x14ac:dyDescent="0.2">
      <c r="A1391">
        <v>16</v>
      </c>
      <c r="B1391">
        <v>68</v>
      </c>
      <c r="C1391" t="s">
        <v>681</v>
      </c>
      <c r="D1391" t="s">
        <v>39</v>
      </c>
      <c r="E1391" t="s">
        <v>46</v>
      </c>
      <c r="F1391" t="s">
        <v>47</v>
      </c>
      <c r="G1391" t="s">
        <v>42</v>
      </c>
    </row>
    <row r="1392" spans="1:7" x14ac:dyDescent="0.2">
      <c r="A1392">
        <v>16</v>
      </c>
      <c r="B1392">
        <v>68</v>
      </c>
      <c r="C1392" t="s">
        <v>682</v>
      </c>
      <c r="D1392" t="s">
        <v>39</v>
      </c>
      <c r="E1392" t="s">
        <v>46</v>
      </c>
      <c r="F1392" t="s">
        <v>47</v>
      </c>
      <c r="G1392" t="s">
        <v>42</v>
      </c>
    </row>
    <row r="1393" spans="1:7" x14ac:dyDescent="0.2">
      <c r="A1393">
        <v>16</v>
      </c>
      <c r="B1393">
        <v>68</v>
      </c>
      <c r="C1393" t="s">
        <v>685</v>
      </c>
      <c r="D1393" t="s">
        <v>39</v>
      </c>
      <c r="E1393" t="s">
        <v>46</v>
      </c>
      <c r="F1393" t="s">
        <v>47</v>
      </c>
      <c r="G1393" t="s">
        <v>42</v>
      </c>
    </row>
    <row r="1394" spans="1:7" x14ac:dyDescent="0.2">
      <c r="A1394">
        <v>17</v>
      </c>
      <c r="B1394">
        <v>68</v>
      </c>
      <c r="C1394" t="s">
        <v>680</v>
      </c>
      <c r="D1394" t="s">
        <v>39</v>
      </c>
      <c r="E1394" t="s">
        <v>46</v>
      </c>
      <c r="F1394" t="s">
        <v>47</v>
      </c>
      <c r="G1394" t="s">
        <v>42</v>
      </c>
    </row>
    <row r="1395" spans="1:7" x14ac:dyDescent="0.2">
      <c r="A1395">
        <v>17</v>
      </c>
      <c r="B1395">
        <v>68</v>
      </c>
      <c r="C1395" t="s">
        <v>681</v>
      </c>
      <c r="D1395" t="s">
        <v>39</v>
      </c>
      <c r="E1395" t="s">
        <v>46</v>
      </c>
      <c r="F1395" t="s">
        <v>47</v>
      </c>
      <c r="G1395" t="s">
        <v>42</v>
      </c>
    </row>
    <row r="1396" spans="1:7" x14ac:dyDescent="0.2">
      <c r="A1396">
        <v>17</v>
      </c>
      <c r="B1396">
        <v>68</v>
      </c>
      <c r="C1396" t="s">
        <v>682</v>
      </c>
      <c r="D1396" t="s">
        <v>39</v>
      </c>
      <c r="E1396" t="s">
        <v>46</v>
      </c>
      <c r="F1396" t="s">
        <v>47</v>
      </c>
      <c r="G1396" t="s">
        <v>42</v>
      </c>
    </row>
    <row r="1397" spans="1:7" x14ac:dyDescent="0.2">
      <c r="A1397">
        <v>18</v>
      </c>
      <c r="B1397">
        <v>68</v>
      </c>
      <c r="C1397" t="s">
        <v>681</v>
      </c>
      <c r="D1397" t="s">
        <v>39</v>
      </c>
      <c r="E1397" t="s">
        <v>46</v>
      </c>
      <c r="F1397" t="s">
        <v>47</v>
      </c>
      <c r="G1397" t="s">
        <v>42</v>
      </c>
    </row>
    <row r="1398" spans="1:7" x14ac:dyDescent="0.2">
      <c r="A1398">
        <v>19</v>
      </c>
      <c r="B1398">
        <v>68</v>
      </c>
      <c r="C1398" t="s">
        <v>686</v>
      </c>
      <c r="D1398" t="s">
        <v>39</v>
      </c>
      <c r="E1398" t="s">
        <v>46</v>
      </c>
      <c r="F1398" t="s">
        <v>47</v>
      </c>
      <c r="G1398" t="s">
        <v>42</v>
      </c>
    </row>
    <row r="1399" spans="1:7" x14ac:dyDescent="0.2">
      <c r="A1399">
        <v>19</v>
      </c>
      <c r="B1399">
        <v>68</v>
      </c>
      <c r="C1399" t="s">
        <v>687</v>
      </c>
      <c r="D1399" t="s">
        <v>39</v>
      </c>
      <c r="E1399" t="s">
        <v>46</v>
      </c>
      <c r="F1399" t="s">
        <v>47</v>
      </c>
      <c r="G1399" t="s">
        <v>42</v>
      </c>
    </row>
    <row r="1400" spans="1:7" x14ac:dyDescent="0.2">
      <c r="A1400">
        <v>21</v>
      </c>
      <c r="B1400">
        <v>68</v>
      </c>
      <c r="C1400" t="s">
        <v>688</v>
      </c>
      <c r="D1400" t="s">
        <v>39</v>
      </c>
      <c r="E1400" t="s">
        <v>46</v>
      </c>
      <c r="F1400" t="s">
        <v>47</v>
      </c>
      <c r="G1400" t="s">
        <v>42</v>
      </c>
    </row>
    <row r="1401" spans="1:7" x14ac:dyDescent="0.2">
      <c r="A1401">
        <v>21</v>
      </c>
      <c r="B1401">
        <v>68</v>
      </c>
      <c r="C1401" t="s">
        <v>689</v>
      </c>
      <c r="D1401" t="s">
        <v>39</v>
      </c>
      <c r="E1401" t="s">
        <v>46</v>
      </c>
      <c r="F1401" t="s">
        <v>47</v>
      </c>
      <c r="G1401" t="s">
        <v>42</v>
      </c>
    </row>
    <row r="1402" spans="1:7" x14ac:dyDescent="0.2">
      <c r="A1402">
        <v>21</v>
      </c>
      <c r="B1402">
        <v>68</v>
      </c>
      <c r="C1402" t="s">
        <v>679</v>
      </c>
      <c r="D1402" t="s">
        <v>39</v>
      </c>
      <c r="E1402" t="s">
        <v>40</v>
      </c>
      <c r="F1402" t="s">
        <v>47</v>
      </c>
      <c r="G1402" t="s">
        <v>42</v>
      </c>
    </row>
    <row r="1403" spans="1:7" x14ac:dyDescent="0.2">
      <c r="A1403">
        <v>21</v>
      </c>
      <c r="B1403">
        <v>68</v>
      </c>
      <c r="C1403" t="s">
        <v>690</v>
      </c>
      <c r="D1403" t="s">
        <v>39</v>
      </c>
      <c r="E1403" t="s">
        <v>40</v>
      </c>
      <c r="F1403" t="s">
        <v>47</v>
      </c>
      <c r="G1403" t="s">
        <v>42</v>
      </c>
    </row>
    <row r="1404" spans="1:7" x14ac:dyDescent="0.2">
      <c r="A1404">
        <v>21</v>
      </c>
      <c r="B1404">
        <v>68</v>
      </c>
      <c r="C1404" t="s">
        <v>691</v>
      </c>
      <c r="D1404" t="s">
        <v>39</v>
      </c>
      <c r="E1404" t="s">
        <v>40</v>
      </c>
      <c r="F1404" t="s">
        <v>41</v>
      </c>
      <c r="G1404" t="s">
        <v>42</v>
      </c>
    </row>
    <row r="1405" spans="1:7" x14ac:dyDescent="0.2">
      <c r="A1405">
        <v>21</v>
      </c>
      <c r="B1405">
        <v>68</v>
      </c>
      <c r="C1405" t="s">
        <v>692</v>
      </c>
      <c r="D1405" t="s">
        <v>39</v>
      </c>
      <c r="E1405" t="s">
        <v>40</v>
      </c>
      <c r="F1405" t="s">
        <v>41</v>
      </c>
      <c r="G1405" t="s">
        <v>42</v>
      </c>
    </row>
    <row r="1406" spans="1:7" x14ac:dyDescent="0.2">
      <c r="A1406">
        <v>21</v>
      </c>
      <c r="B1406">
        <v>68</v>
      </c>
      <c r="C1406" t="s">
        <v>693</v>
      </c>
      <c r="D1406" t="s">
        <v>39</v>
      </c>
      <c r="E1406" t="s">
        <v>40</v>
      </c>
      <c r="F1406" t="s">
        <v>51</v>
      </c>
      <c r="G1406" t="s">
        <v>42</v>
      </c>
    </row>
    <row r="1407" spans="1:7" x14ac:dyDescent="0.2">
      <c r="A1407">
        <v>22</v>
      </c>
      <c r="B1407">
        <v>68</v>
      </c>
      <c r="C1407" t="s">
        <v>694</v>
      </c>
      <c r="D1407" t="s">
        <v>39</v>
      </c>
      <c r="E1407" t="s">
        <v>46</v>
      </c>
      <c r="F1407" t="s">
        <v>47</v>
      </c>
      <c r="G1407" t="s">
        <v>42</v>
      </c>
    </row>
    <row r="1408" spans="1:7" x14ac:dyDescent="0.2">
      <c r="A1408">
        <v>22</v>
      </c>
      <c r="B1408">
        <v>68</v>
      </c>
      <c r="C1408" t="s">
        <v>679</v>
      </c>
      <c r="D1408" t="s">
        <v>39</v>
      </c>
      <c r="E1408" t="s">
        <v>46</v>
      </c>
      <c r="F1408" t="s">
        <v>47</v>
      </c>
      <c r="G1408" t="s">
        <v>42</v>
      </c>
    </row>
    <row r="1409" spans="1:7" x14ac:dyDescent="0.2">
      <c r="A1409">
        <v>7</v>
      </c>
      <c r="B1409">
        <v>69</v>
      </c>
      <c r="C1409" t="s">
        <v>695</v>
      </c>
      <c r="D1409" t="s">
        <v>39</v>
      </c>
      <c r="E1409" t="s">
        <v>40</v>
      </c>
      <c r="F1409" t="s">
        <v>51</v>
      </c>
      <c r="G1409" t="s">
        <v>42</v>
      </c>
    </row>
    <row r="1410" spans="1:7" x14ac:dyDescent="0.2">
      <c r="A1410">
        <v>7</v>
      </c>
      <c r="B1410">
        <v>69</v>
      </c>
      <c r="C1410" t="s">
        <v>696</v>
      </c>
      <c r="D1410" t="s">
        <v>39</v>
      </c>
      <c r="E1410" t="s">
        <v>40</v>
      </c>
      <c r="F1410" t="s">
        <v>51</v>
      </c>
      <c r="G1410" t="s">
        <v>42</v>
      </c>
    </row>
    <row r="1411" spans="1:7" x14ac:dyDescent="0.2">
      <c r="A1411">
        <v>7</v>
      </c>
      <c r="B1411">
        <v>69</v>
      </c>
      <c r="C1411" t="s">
        <v>697</v>
      </c>
      <c r="D1411" t="s">
        <v>39</v>
      </c>
      <c r="E1411" t="s">
        <v>40</v>
      </c>
      <c r="F1411" t="s">
        <v>51</v>
      </c>
      <c r="G1411" t="s">
        <v>42</v>
      </c>
    </row>
    <row r="1412" spans="1:7" x14ac:dyDescent="0.2">
      <c r="A1412">
        <v>8</v>
      </c>
      <c r="B1412">
        <v>69</v>
      </c>
      <c r="C1412" t="s">
        <v>698</v>
      </c>
      <c r="D1412" t="s">
        <v>39</v>
      </c>
      <c r="E1412" t="s">
        <v>46</v>
      </c>
      <c r="F1412" t="s">
        <v>51</v>
      </c>
      <c r="G1412" t="s">
        <v>42</v>
      </c>
    </row>
    <row r="1413" spans="1:7" x14ac:dyDescent="0.2">
      <c r="A1413">
        <v>8</v>
      </c>
      <c r="B1413">
        <v>69</v>
      </c>
      <c r="C1413" t="s">
        <v>699</v>
      </c>
      <c r="D1413" t="s">
        <v>39</v>
      </c>
      <c r="E1413" t="s">
        <v>46</v>
      </c>
      <c r="F1413" t="s">
        <v>51</v>
      </c>
      <c r="G1413" t="s">
        <v>42</v>
      </c>
    </row>
    <row r="1414" spans="1:7" x14ac:dyDescent="0.2">
      <c r="A1414">
        <v>8</v>
      </c>
      <c r="B1414">
        <v>69</v>
      </c>
      <c r="C1414" t="s">
        <v>700</v>
      </c>
      <c r="D1414" t="s">
        <v>39</v>
      </c>
      <c r="E1414" t="s">
        <v>46</v>
      </c>
      <c r="F1414" t="s">
        <v>51</v>
      </c>
      <c r="G1414" t="s">
        <v>42</v>
      </c>
    </row>
    <row r="1415" spans="1:7" x14ac:dyDescent="0.2">
      <c r="A1415">
        <v>8</v>
      </c>
      <c r="B1415">
        <v>69</v>
      </c>
      <c r="C1415" t="s">
        <v>701</v>
      </c>
      <c r="D1415" t="s">
        <v>39</v>
      </c>
      <c r="E1415" t="s">
        <v>46</v>
      </c>
      <c r="F1415" t="s">
        <v>51</v>
      </c>
      <c r="G1415" t="s">
        <v>42</v>
      </c>
    </row>
    <row r="1416" spans="1:7" x14ac:dyDescent="0.2">
      <c r="A1416">
        <v>8</v>
      </c>
      <c r="B1416">
        <v>69</v>
      </c>
      <c r="C1416" t="s">
        <v>702</v>
      </c>
      <c r="D1416" t="s">
        <v>39</v>
      </c>
      <c r="E1416" t="s">
        <v>46</v>
      </c>
      <c r="F1416" t="s">
        <v>51</v>
      </c>
      <c r="G1416" t="s">
        <v>42</v>
      </c>
    </row>
    <row r="1417" spans="1:7" x14ac:dyDescent="0.2">
      <c r="A1417">
        <v>8</v>
      </c>
      <c r="B1417">
        <v>69</v>
      </c>
      <c r="C1417" t="s">
        <v>703</v>
      </c>
      <c r="D1417" t="s">
        <v>39</v>
      </c>
      <c r="E1417" t="s">
        <v>46</v>
      </c>
      <c r="F1417" t="s">
        <v>51</v>
      </c>
      <c r="G1417" t="s">
        <v>42</v>
      </c>
    </row>
    <row r="1418" spans="1:7" x14ac:dyDescent="0.2">
      <c r="A1418">
        <v>8</v>
      </c>
      <c r="B1418">
        <v>69</v>
      </c>
      <c r="C1418" t="s">
        <v>704</v>
      </c>
      <c r="D1418" t="s">
        <v>39</v>
      </c>
      <c r="E1418" t="s">
        <v>46</v>
      </c>
      <c r="F1418" t="s">
        <v>51</v>
      </c>
      <c r="G1418" t="s">
        <v>42</v>
      </c>
    </row>
    <row r="1419" spans="1:7" x14ac:dyDescent="0.2">
      <c r="A1419">
        <v>9</v>
      </c>
      <c r="B1419">
        <v>69</v>
      </c>
      <c r="C1419" t="s">
        <v>704</v>
      </c>
      <c r="D1419" t="s">
        <v>39</v>
      </c>
      <c r="E1419" t="s">
        <v>40</v>
      </c>
      <c r="F1419" t="s">
        <v>51</v>
      </c>
      <c r="G1419" t="s">
        <v>42</v>
      </c>
    </row>
    <row r="1420" spans="1:7" x14ac:dyDescent="0.2">
      <c r="A1420">
        <v>9</v>
      </c>
      <c r="B1420">
        <v>69</v>
      </c>
      <c r="C1420" t="s">
        <v>705</v>
      </c>
      <c r="D1420" t="s">
        <v>39</v>
      </c>
      <c r="E1420" t="s">
        <v>40</v>
      </c>
      <c r="F1420" t="s">
        <v>51</v>
      </c>
      <c r="G1420" t="s">
        <v>42</v>
      </c>
    </row>
    <row r="1421" spans="1:7" x14ac:dyDescent="0.2">
      <c r="A1421">
        <v>9</v>
      </c>
      <c r="B1421">
        <v>69</v>
      </c>
      <c r="C1421" t="s">
        <v>706</v>
      </c>
      <c r="D1421" t="s">
        <v>39</v>
      </c>
      <c r="E1421" t="s">
        <v>40</v>
      </c>
      <c r="F1421" t="s">
        <v>51</v>
      </c>
      <c r="G1421" t="s">
        <v>42</v>
      </c>
    </row>
    <row r="1422" spans="1:7" x14ac:dyDescent="0.2">
      <c r="A1422">
        <v>9</v>
      </c>
      <c r="B1422">
        <v>69</v>
      </c>
      <c r="C1422" t="s">
        <v>707</v>
      </c>
      <c r="D1422" t="s">
        <v>39</v>
      </c>
      <c r="E1422" t="s">
        <v>40</v>
      </c>
      <c r="F1422" t="s">
        <v>51</v>
      </c>
      <c r="G1422" t="s">
        <v>42</v>
      </c>
    </row>
    <row r="1423" spans="1:7" x14ac:dyDescent="0.2">
      <c r="A1423">
        <v>9</v>
      </c>
      <c r="B1423">
        <v>69</v>
      </c>
      <c r="C1423" t="s">
        <v>708</v>
      </c>
      <c r="D1423" t="s">
        <v>39</v>
      </c>
      <c r="E1423" t="s">
        <v>40</v>
      </c>
      <c r="F1423" t="s">
        <v>51</v>
      </c>
      <c r="G1423" t="s">
        <v>42</v>
      </c>
    </row>
    <row r="1424" spans="1:7" x14ac:dyDescent="0.2">
      <c r="A1424">
        <v>9</v>
      </c>
      <c r="B1424">
        <v>69</v>
      </c>
      <c r="C1424" t="s">
        <v>709</v>
      </c>
      <c r="D1424" t="s">
        <v>39</v>
      </c>
      <c r="E1424" t="s">
        <v>40</v>
      </c>
      <c r="F1424" t="s">
        <v>51</v>
      </c>
      <c r="G1424" t="s">
        <v>42</v>
      </c>
    </row>
    <row r="1425" spans="1:7" x14ac:dyDescent="0.2">
      <c r="A1425">
        <v>9</v>
      </c>
      <c r="B1425">
        <v>69</v>
      </c>
      <c r="C1425" t="s">
        <v>710</v>
      </c>
      <c r="D1425" t="s">
        <v>39</v>
      </c>
      <c r="E1425" t="s">
        <v>40</v>
      </c>
      <c r="F1425" t="s">
        <v>51</v>
      </c>
      <c r="G1425" t="s">
        <v>42</v>
      </c>
    </row>
    <row r="1426" spans="1:7" x14ac:dyDescent="0.2">
      <c r="A1426">
        <v>9</v>
      </c>
      <c r="B1426">
        <v>69</v>
      </c>
      <c r="C1426" t="s">
        <v>711</v>
      </c>
      <c r="D1426" t="s">
        <v>39</v>
      </c>
      <c r="E1426" t="s">
        <v>40</v>
      </c>
      <c r="F1426" t="s">
        <v>51</v>
      </c>
      <c r="G1426" t="s">
        <v>42</v>
      </c>
    </row>
    <row r="1427" spans="1:7" x14ac:dyDescent="0.2">
      <c r="A1427">
        <v>9</v>
      </c>
      <c r="B1427">
        <v>69</v>
      </c>
      <c r="C1427" t="s">
        <v>712</v>
      </c>
      <c r="D1427" t="s">
        <v>39</v>
      </c>
      <c r="E1427" t="s">
        <v>40</v>
      </c>
      <c r="F1427" t="s">
        <v>51</v>
      </c>
      <c r="G1427" t="s">
        <v>42</v>
      </c>
    </row>
    <row r="1428" spans="1:7" x14ac:dyDescent="0.2">
      <c r="A1428">
        <v>9</v>
      </c>
      <c r="B1428">
        <v>69</v>
      </c>
      <c r="C1428" t="s">
        <v>713</v>
      </c>
      <c r="D1428" t="s">
        <v>39</v>
      </c>
      <c r="E1428" t="s">
        <v>40</v>
      </c>
      <c r="F1428" t="s">
        <v>51</v>
      </c>
      <c r="G1428" t="s">
        <v>42</v>
      </c>
    </row>
    <row r="1429" spans="1:7" x14ac:dyDescent="0.2">
      <c r="A1429">
        <v>10</v>
      </c>
      <c r="B1429">
        <v>69</v>
      </c>
      <c r="C1429" t="s">
        <v>713</v>
      </c>
      <c r="D1429" t="s">
        <v>39</v>
      </c>
      <c r="E1429" t="s">
        <v>46</v>
      </c>
      <c r="F1429" t="s">
        <v>41</v>
      </c>
      <c r="G1429" t="s">
        <v>42</v>
      </c>
    </row>
    <row r="1430" spans="1:7" x14ac:dyDescent="0.2">
      <c r="A1430">
        <v>10</v>
      </c>
      <c r="B1430">
        <v>69</v>
      </c>
      <c r="C1430" t="s">
        <v>714</v>
      </c>
      <c r="D1430" t="s">
        <v>39</v>
      </c>
      <c r="E1430" t="s">
        <v>46</v>
      </c>
      <c r="F1430" t="s">
        <v>51</v>
      </c>
      <c r="G1430" t="s">
        <v>42</v>
      </c>
    </row>
    <row r="1431" spans="1:7" x14ac:dyDescent="0.2">
      <c r="A1431">
        <v>10</v>
      </c>
      <c r="B1431">
        <v>69</v>
      </c>
      <c r="C1431" t="s">
        <v>711</v>
      </c>
      <c r="D1431" t="s">
        <v>39</v>
      </c>
      <c r="E1431" t="s">
        <v>46</v>
      </c>
      <c r="F1431" t="s">
        <v>51</v>
      </c>
      <c r="G1431" t="s">
        <v>42</v>
      </c>
    </row>
    <row r="1432" spans="1:7" x14ac:dyDescent="0.2">
      <c r="A1432">
        <v>10</v>
      </c>
      <c r="B1432">
        <v>69</v>
      </c>
      <c r="C1432" t="s">
        <v>715</v>
      </c>
      <c r="D1432" t="s">
        <v>39</v>
      </c>
      <c r="E1432" t="s">
        <v>46</v>
      </c>
      <c r="F1432" t="s">
        <v>51</v>
      </c>
      <c r="G1432" t="s">
        <v>42</v>
      </c>
    </row>
    <row r="1433" spans="1:7" x14ac:dyDescent="0.2">
      <c r="A1433">
        <v>10</v>
      </c>
      <c r="B1433">
        <v>69</v>
      </c>
      <c r="C1433" t="s">
        <v>710</v>
      </c>
      <c r="D1433" t="s">
        <v>39</v>
      </c>
      <c r="E1433" t="s">
        <v>46</v>
      </c>
      <c r="F1433" t="s">
        <v>51</v>
      </c>
      <c r="G1433" t="s">
        <v>42</v>
      </c>
    </row>
    <row r="1434" spans="1:7" x14ac:dyDescent="0.2">
      <c r="A1434">
        <v>10</v>
      </c>
      <c r="B1434">
        <v>69</v>
      </c>
      <c r="C1434" t="s">
        <v>716</v>
      </c>
      <c r="D1434" t="s">
        <v>39</v>
      </c>
      <c r="E1434" t="s">
        <v>46</v>
      </c>
      <c r="F1434" t="s">
        <v>51</v>
      </c>
      <c r="G1434" t="s">
        <v>42</v>
      </c>
    </row>
    <row r="1435" spans="1:7" x14ac:dyDescent="0.2">
      <c r="A1435">
        <v>10</v>
      </c>
      <c r="B1435">
        <v>69</v>
      </c>
      <c r="C1435" t="s">
        <v>717</v>
      </c>
      <c r="D1435" t="s">
        <v>39</v>
      </c>
      <c r="E1435" t="s">
        <v>46</v>
      </c>
      <c r="F1435" t="s">
        <v>51</v>
      </c>
      <c r="G1435" t="s">
        <v>42</v>
      </c>
    </row>
    <row r="1436" spans="1:7" x14ac:dyDescent="0.2">
      <c r="A1436">
        <v>10</v>
      </c>
      <c r="B1436">
        <v>69</v>
      </c>
      <c r="C1436" t="s">
        <v>394</v>
      </c>
      <c r="D1436" t="s">
        <v>39</v>
      </c>
      <c r="E1436" t="s">
        <v>46</v>
      </c>
      <c r="F1436" t="s">
        <v>51</v>
      </c>
      <c r="G1436" t="s">
        <v>42</v>
      </c>
    </row>
    <row r="1437" spans="1:7" x14ac:dyDescent="0.2">
      <c r="A1437">
        <v>10</v>
      </c>
      <c r="B1437">
        <v>69</v>
      </c>
      <c r="C1437" t="s">
        <v>718</v>
      </c>
      <c r="D1437" t="s">
        <v>39</v>
      </c>
      <c r="E1437" t="s">
        <v>46</v>
      </c>
      <c r="F1437" t="s">
        <v>51</v>
      </c>
      <c r="G1437" t="s">
        <v>42</v>
      </c>
    </row>
    <row r="1438" spans="1:7" x14ac:dyDescent="0.2">
      <c r="A1438">
        <v>10</v>
      </c>
      <c r="B1438">
        <v>69</v>
      </c>
      <c r="C1438" t="s">
        <v>706</v>
      </c>
      <c r="D1438" t="s">
        <v>39</v>
      </c>
      <c r="E1438" t="s">
        <v>46</v>
      </c>
      <c r="F1438" t="s">
        <v>51</v>
      </c>
      <c r="G1438" t="s">
        <v>42</v>
      </c>
    </row>
    <row r="1439" spans="1:7" x14ac:dyDescent="0.2">
      <c r="A1439">
        <v>10</v>
      </c>
      <c r="B1439">
        <v>69</v>
      </c>
      <c r="C1439" t="s">
        <v>719</v>
      </c>
      <c r="D1439" t="s">
        <v>39</v>
      </c>
      <c r="E1439" t="s">
        <v>46</v>
      </c>
      <c r="F1439" t="s">
        <v>51</v>
      </c>
      <c r="G1439" t="s">
        <v>42</v>
      </c>
    </row>
    <row r="1440" spans="1:7" x14ac:dyDescent="0.2">
      <c r="A1440">
        <v>10</v>
      </c>
      <c r="B1440">
        <v>69</v>
      </c>
      <c r="C1440" t="s">
        <v>704</v>
      </c>
      <c r="D1440" t="s">
        <v>39</v>
      </c>
      <c r="E1440" t="s">
        <v>46</v>
      </c>
      <c r="F1440" t="s">
        <v>51</v>
      </c>
      <c r="G1440" t="s">
        <v>42</v>
      </c>
    </row>
    <row r="1441" spans="1:7" x14ac:dyDescent="0.2">
      <c r="A1441">
        <v>10</v>
      </c>
      <c r="B1441">
        <v>69</v>
      </c>
      <c r="C1441" t="s">
        <v>720</v>
      </c>
      <c r="D1441" t="s">
        <v>39</v>
      </c>
      <c r="E1441" t="s">
        <v>46</v>
      </c>
      <c r="F1441" t="s">
        <v>47</v>
      </c>
      <c r="G1441" t="s">
        <v>42</v>
      </c>
    </row>
    <row r="1442" spans="1:7" x14ac:dyDescent="0.2">
      <c r="A1442">
        <v>11</v>
      </c>
      <c r="B1442">
        <v>69</v>
      </c>
      <c r="C1442" t="s">
        <v>713</v>
      </c>
      <c r="D1442" t="s">
        <v>39</v>
      </c>
      <c r="E1442" t="s">
        <v>46</v>
      </c>
      <c r="F1442" t="s">
        <v>41</v>
      </c>
      <c r="G1442" t="s">
        <v>42</v>
      </c>
    </row>
    <row r="1443" spans="1:7" x14ac:dyDescent="0.2">
      <c r="A1443">
        <v>11</v>
      </c>
      <c r="B1443">
        <v>69</v>
      </c>
      <c r="C1443" t="s">
        <v>714</v>
      </c>
      <c r="D1443" t="s">
        <v>39</v>
      </c>
      <c r="E1443" t="s">
        <v>46</v>
      </c>
      <c r="F1443" t="s">
        <v>51</v>
      </c>
      <c r="G1443" t="s">
        <v>42</v>
      </c>
    </row>
    <row r="1444" spans="1:7" x14ac:dyDescent="0.2">
      <c r="A1444">
        <v>11</v>
      </c>
      <c r="B1444">
        <v>69</v>
      </c>
      <c r="C1444" t="s">
        <v>711</v>
      </c>
      <c r="D1444" t="s">
        <v>39</v>
      </c>
      <c r="E1444" t="s">
        <v>46</v>
      </c>
      <c r="F1444" t="s">
        <v>51</v>
      </c>
      <c r="G1444" t="s">
        <v>42</v>
      </c>
    </row>
    <row r="1445" spans="1:7" x14ac:dyDescent="0.2">
      <c r="A1445">
        <v>11</v>
      </c>
      <c r="B1445">
        <v>69</v>
      </c>
      <c r="C1445" t="s">
        <v>715</v>
      </c>
      <c r="D1445" t="s">
        <v>39</v>
      </c>
      <c r="E1445" t="s">
        <v>46</v>
      </c>
      <c r="F1445" t="s">
        <v>51</v>
      </c>
      <c r="G1445" t="s">
        <v>42</v>
      </c>
    </row>
    <row r="1446" spans="1:7" x14ac:dyDescent="0.2">
      <c r="A1446">
        <v>11</v>
      </c>
      <c r="B1446">
        <v>69</v>
      </c>
      <c r="C1446" t="s">
        <v>710</v>
      </c>
      <c r="D1446" t="s">
        <v>39</v>
      </c>
      <c r="E1446" t="s">
        <v>46</v>
      </c>
      <c r="F1446" t="s">
        <v>51</v>
      </c>
      <c r="G1446" t="s">
        <v>42</v>
      </c>
    </row>
    <row r="1447" spans="1:7" x14ac:dyDescent="0.2">
      <c r="A1447">
        <v>11</v>
      </c>
      <c r="B1447">
        <v>69</v>
      </c>
      <c r="C1447" t="s">
        <v>716</v>
      </c>
      <c r="D1447" t="s">
        <v>39</v>
      </c>
      <c r="E1447" t="s">
        <v>46</v>
      </c>
      <c r="F1447" t="s">
        <v>51</v>
      </c>
      <c r="G1447" t="s">
        <v>42</v>
      </c>
    </row>
    <row r="1448" spans="1:7" x14ac:dyDescent="0.2">
      <c r="A1448">
        <v>11</v>
      </c>
      <c r="B1448">
        <v>69</v>
      </c>
      <c r="C1448" t="s">
        <v>717</v>
      </c>
      <c r="D1448" t="s">
        <v>39</v>
      </c>
      <c r="E1448" t="s">
        <v>46</v>
      </c>
      <c r="F1448" t="s">
        <v>51</v>
      </c>
      <c r="G1448" t="s">
        <v>42</v>
      </c>
    </row>
    <row r="1449" spans="1:7" x14ac:dyDescent="0.2">
      <c r="A1449">
        <v>11</v>
      </c>
      <c r="B1449">
        <v>69</v>
      </c>
      <c r="C1449" t="s">
        <v>394</v>
      </c>
      <c r="D1449" t="s">
        <v>39</v>
      </c>
      <c r="E1449" t="s">
        <v>46</v>
      </c>
      <c r="F1449" t="s">
        <v>51</v>
      </c>
      <c r="G1449" t="s">
        <v>42</v>
      </c>
    </row>
    <row r="1450" spans="1:7" x14ac:dyDescent="0.2">
      <c r="A1450">
        <v>11</v>
      </c>
      <c r="B1450">
        <v>69</v>
      </c>
      <c r="C1450" t="s">
        <v>718</v>
      </c>
      <c r="D1450" t="s">
        <v>39</v>
      </c>
      <c r="E1450" t="s">
        <v>46</v>
      </c>
      <c r="F1450" t="s">
        <v>51</v>
      </c>
      <c r="G1450" t="s">
        <v>42</v>
      </c>
    </row>
    <row r="1451" spans="1:7" x14ac:dyDescent="0.2">
      <c r="A1451">
        <v>11</v>
      </c>
      <c r="B1451">
        <v>69</v>
      </c>
      <c r="C1451" t="s">
        <v>706</v>
      </c>
      <c r="D1451" t="s">
        <v>39</v>
      </c>
      <c r="E1451" t="s">
        <v>46</v>
      </c>
      <c r="F1451" t="s">
        <v>51</v>
      </c>
      <c r="G1451" t="s">
        <v>42</v>
      </c>
    </row>
    <row r="1452" spans="1:7" x14ac:dyDescent="0.2">
      <c r="A1452">
        <v>11</v>
      </c>
      <c r="B1452">
        <v>69</v>
      </c>
      <c r="C1452" t="s">
        <v>719</v>
      </c>
      <c r="D1452" t="s">
        <v>39</v>
      </c>
      <c r="E1452" t="s">
        <v>46</v>
      </c>
      <c r="F1452" t="s">
        <v>51</v>
      </c>
      <c r="G1452" t="s">
        <v>42</v>
      </c>
    </row>
    <row r="1453" spans="1:7" x14ac:dyDescent="0.2">
      <c r="A1453">
        <v>11</v>
      </c>
      <c r="B1453">
        <v>69</v>
      </c>
      <c r="C1453" t="s">
        <v>704</v>
      </c>
      <c r="D1453" t="s">
        <v>39</v>
      </c>
      <c r="E1453" t="s">
        <v>46</v>
      </c>
      <c r="F1453" t="s">
        <v>51</v>
      </c>
      <c r="G1453" t="s">
        <v>42</v>
      </c>
    </row>
    <row r="1454" spans="1:7" x14ac:dyDescent="0.2">
      <c r="A1454">
        <v>11</v>
      </c>
      <c r="B1454">
        <v>69</v>
      </c>
      <c r="C1454" t="s">
        <v>720</v>
      </c>
      <c r="D1454" t="s">
        <v>39</v>
      </c>
      <c r="E1454" t="s">
        <v>46</v>
      </c>
      <c r="F1454" t="s">
        <v>47</v>
      </c>
      <c r="G1454" t="s">
        <v>42</v>
      </c>
    </row>
    <row r="1455" spans="1:7" x14ac:dyDescent="0.2">
      <c r="A1455">
        <v>12</v>
      </c>
      <c r="B1455">
        <v>69</v>
      </c>
      <c r="C1455" t="s">
        <v>713</v>
      </c>
      <c r="D1455" t="s">
        <v>39</v>
      </c>
      <c r="E1455" t="s">
        <v>46</v>
      </c>
      <c r="F1455" t="s">
        <v>51</v>
      </c>
      <c r="G1455" t="s">
        <v>42</v>
      </c>
    </row>
    <row r="1456" spans="1:7" x14ac:dyDescent="0.2">
      <c r="A1456">
        <v>12</v>
      </c>
      <c r="B1456">
        <v>69</v>
      </c>
      <c r="C1456" t="s">
        <v>712</v>
      </c>
      <c r="D1456" t="s">
        <v>39</v>
      </c>
      <c r="E1456" t="s">
        <v>46</v>
      </c>
      <c r="F1456" t="s">
        <v>51</v>
      </c>
      <c r="G1456" t="s">
        <v>42</v>
      </c>
    </row>
    <row r="1457" spans="1:7" x14ac:dyDescent="0.2">
      <c r="A1457">
        <v>12</v>
      </c>
      <c r="B1457">
        <v>69</v>
      </c>
      <c r="C1457" t="s">
        <v>711</v>
      </c>
      <c r="D1457" t="s">
        <v>39</v>
      </c>
      <c r="E1457" t="s">
        <v>46</v>
      </c>
      <c r="F1457" t="s">
        <v>51</v>
      </c>
      <c r="G1457" t="s">
        <v>42</v>
      </c>
    </row>
    <row r="1458" spans="1:7" x14ac:dyDescent="0.2">
      <c r="A1458">
        <v>12</v>
      </c>
      <c r="B1458">
        <v>69</v>
      </c>
      <c r="C1458" t="s">
        <v>715</v>
      </c>
      <c r="D1458" t="s">
        <v>39</v>
      </c>
      <c r="E1458" t="s">
        <v>46</v>
      </c>
      <c r="F1458" t="s">
        <v>51</v>
      </c>
      <c r="G1458" t="s">
        <v>42</v>
      </c>
    </row>
    <row r="1459" spans="1:7" x14ac:dyDescent="0.2">
      <c r="A1459">
        <v>12</v>
      </c>
      <c r="B1459">
        <v>69</v>
      </c>
      <c r="C1459" t="s">
        <v>710</v>
      </c>
      <c r="D1459" t="s">
        <v>39</v>
      </c>
      <c r="E1459" t="s">
        <v>46</v>
      </c>
      <c r="F1459" t="s">
        <v>47</v>
      </c>
      <c r="G1459" t="s">
        <v>42</v>
      </c>
    </row>
    <row r="1460" spans="1:7" x14ac:dyDescent="0.2">
      <c r="A1460">
        <v>12</v>
      </c>
      <c r="B1460">
        <v>69</v>
      </c>
      <c r="C1460" t="s">
        <v>721</v>
      </c>
      <c r="D1460" t="s">
        <v>39</v>
      </c>
      <c r="E1460" t="s">
        <v>46</v>
      </c>
      <c r="F1460" t="s">
        <v>51</v>
      </c>
      <c r="G1460" t="s">
        <v>42</v>
      </c>
    </row>
    <row r="1461" spans="1:7" x14ac:dyDescent="0.2">
      <c r="A1461">
        <v>12</v>
      </c>
      <c r="B1461">
        <v>69</v>
      </c>
      <c r="C1461" t="s">
        <v>722</v>
      </c>
      <c r="D1461" t="s">
        <v>39</v>
      </c>
      <c r="E1461" t="s">
        <v>46</v>
      </c>
      <c r="F1461" t="s">
        <v>51</v>
      </c>
      <c r="G1461" t="s">
        <v>42</v>
      </c>
    </row>
    <row r="1462" spans="1:7" x14ac:dyDescent="0.2">
      <c r="A1462">
        <v>12</v>
      </c>
      <c r="B1462">
        <v>69</v>
      </c>
      <c r="C1462" t="s">
        <v>723</v>
      </c>
      <c r="D1462" t="s">
        <v>39</v>
      </c>
      <c r="E1462" t="s">
        <v>46</v>
      </c>
      <c r="F1462" t="s">
        <v>51</v>
      </c>
      <c r="G1462" t="s">
        <v>42</v>
      </c>
    </row>
    <row r="1463" spans="1:7" x14ac:dyDescent="0.2">
      <c r="A1463">
        <v>12</v>
      </c>
      <c r="B1463">
        <v>69</v>
      </c>
      <c r="C1463" t="s">
        <v>724</v>
      </c>
      <c r="D1463" t="s">
        <v>39</v>
      </c>
      <c r="E1463" t="s">
        <v>46</v>
      </c>
      <c r="F1463" t="s">
        <v>51</v>
      </c>
      <c r="G1463" t="s">
        <v>42</v>
      </c>
    </row>
    <row r="1464" spans="1:7" x14ac:dyDescent="0.2">
      <c r="A1464">
        <v>12</v>
      </c>
      <c r="B1464">
        <v>69</v>
      </c>
      <c r="C1464" t="s">
        <v>704</v>
      </c>
      <c r="D1464" t="s">
        <v>39</v>
      </c>
      <c r="E1464" t="s">
        <v>46</v>
      </c>
      <c r="F1464" t="s">
        <v>51</v>
      </c>
      <c r="G1464" t="s">
        <v>42</v>
      </c>
    </row>
    <row r="1465" spans="1:7" x14ac:dyDescent="0.2">
      <c r="A1465">
        <v>13</v>
      </c>
      <c r="B1465">
        <v>69</v>
      </c>
      <c r="C1465" t="s">
        <v>712</v>
      </c>
      <c r="D1465" t="s">
        <v>39</v>
      </c>
      <c r="E1465" t="s">
        <v>46</v>
      </c>
      <c r="F1465" t="s">
        <v>51</v>
      </c>
      <c r="G1465" t="s">
        <v>42</v>
      </c>
    </row>
    <row r="1466" spans="1:7" x14ac:dyDescent="0.2">
      <c r="A1466">
        <v>13</v>
      </c>
      <c r="B1466">
        <v>69</v>
      </c>
      <c r="C1466" t="s">
        <v>725</v>
      </c>
      <c r="D1466" t="s">
        <v>39</v>
      </c>
      <c r="E1466" t="s">
        <v>46</v>
      </c>
      <c r="F1466" t="s">
        <v>51</v>
      </c>
      <c r="G1466" t="s">
        <v>42</v>
      </c>
    </row>
    <row r="1467" spans="1:7" x14ac:dyDescent="0.2">
      <c r="A1467">
        <v>13</v>
      </c>
      <c r="B1467">
        <v>69</v>
      </c>
      <c r="C1467" t="s">
        <v>711</v>
      </c>
      <c r="D1467" t="s">
        <v>39</v>
      </c>
      <c r="E1467" t="s">
        <v>46</v>
      </c>
      <c r="F1467" t="s">
        <v>51</v>
      </c>
      <c r="G1467" t="s">
        <v>42</v>
      </c>
    </row>
    <row r="1468" spans="1:7" x14ac:dyDescent="0.2">
      <c r="A1468">
        <v>13</v>
      </c>
      <c r="B1468">
        <v>69</v>
      </c>
      <c r="C1468" t="s">
        <v>726</v>
      </c>
      <c r="D1468" t="s">
        <v>39</v>
      </c>
      <c r="E1468" t="s">
        <v>46</v>
      </c>
      <c r="F1468" t="s">
        <v>51</v>
      </c>
      <c r="G1468" t="s">
        <v>42</v>
      </c>
    </row>
    <row r="1469" spans="1:7" x14ac:dyDescent="0.2">
      <c r="A1469">
        <v>13</v>
      </c>
      <c r="B1469">
        <v>69</v>
      </c>
      <c r="C1469" t="s">
        <v>710</v>
      </c>
      <c r="D1469" t="s">
        <v>39</v>
      </c>
      <c r="E1469" t="s">
        <v>46</v>
      </c>
      <c r="F1469" t="s">
        <v>51</v>
      </c>
      <c r="G1469" t="s">
        <v>42</v>
      </c>
    </row>
    <row r="1470" spans="1:7" x14ac:dyDescent="0.2">
      <c r="A1470">
        <v>13</v>
      </c>
      <c r="B1470">
        <v>69</v>
      </c>
      <c r="C1470" t="s">
        <v>727</v>
      </c>
      <c r="D1470" t="s">
        <v>39</v>
      </c>
      <c r="E1470" t="s">
        <v>46</v>
      </c>
      <c r="F1470" t="s">
        <v>51</v>
      </c>
      <c r="G1470" t="s">
        <v>42</v>
      </c>
    </row>
    <row r="1471" spans="1:7" x14ac:dyDescent="0.2">
      <c r="A1471">
        <v>13</v>
      </c>
      <c r="B1471">
        <v>69</v>
      </c>
      <c r="C1471" t="s">
        <v>728</v>
      </c>
      <c r="D1471" t="s">
        <v>39</v>
      </c>
      <c r="E1471" t="s">
        <v>46</v>
      </c>
      <c r="F1471" t="s">
        <v>51</v>
      </c>
      <c r="G1471" t="s">
        <v>42</v>
      </c>
    </row>
    <row r="1472" spans="1:7" x14ac:dyDescent="0.2">
      <c r="A1472">
        <v>13</v>
      </c>
      <c r="B1472">
        <v>69</v>
      </c>
      <c r="C1472" t="s">
        <v>729</v>
      </c>
      <c r="D1472" t="s">
        <v>39</v>
      </c>
      <c r="E1472" t="s">
        <v>46</v>
      </c>
      <c r="F1472" t="s">
        <v>51</v>
      </c>
      <c r="G1472" t="s">
        <v>42</v>
      </c>
    </row>
    <row r="1473" spans="1:7" x14ac:dyDescent="0.2">
      <c r="A1473">
        <v>13</v>
      </c>
      <c r="B1473">
        <v>69</v>
      </c>
      <c r="C1473" t="s">
        <v>723</v>
      </c>
      <c r="D1473" t="s">
        <v>39</v>
      </c>
      <c r="E1473" t="s">
        <v>46</v>
      </c>
      <c r="F1473" t="s">
        <v>51</v>
      </c>
      <c r="G1473" t="s">
        <v>42</v>
      </c>
    </row>
    <row r="1474" spans="1:7" x14ac:dyDescent="0.2">
      <c r="A1474">
        <v>13</v>
      </c>
      <c r="B1474">
        <v>69</v>
      </c>
      <c r="C1474" t="s">
        <v>730</v>
      </c>
      <c r="D1474" t="s">
        <v>39</v>
      </c>
      <c r="E1474" t="s">
        <v>46</v>
      </c>
      <c r="F1474" t="s">
        <v>51</v>
      </c>
      <c r="G1474" t="s">
        <v>42</v>
      </c>
    </row>
    <row r="1475" spans="1:7" x14ac:dyDescent="0.2">
      <c r="A1475">
        <v>13</v>
      </c>
      <c r="B1475">
        <v>69</v>
      </c>
      <c r="C1475" t="s">
        <v>724</v>
      </c>
      <c r="D1475" t="s">
        <v>39</v>
      </c>
      <c r="E1475" t="s">
        <v>46</v>
      </c>
      <c r="F1475" t="s">
        <v>51</v>
      </c>
      <c r="G1475" t="s">
        <v>42</v>
      </c>
    </row>
    <row r="1476" spans="1:7" x14ac:dyDescent="0.2">
      <c r="A1476">
        <v>13</v>
      </c>
      <c r="B1476">
        <v>69</v>
      </c>
      <c r="C1476" t="s">
        <v>704</v>
      </c>
      <c r="D1476" t="s">
        <v>39</v>
      </c>
      <c r="E1476" t="s">
        <v>46</v>
      </c>
      <c r="F1476" t="s">
        <v>51</v>
      </c>
      <c r="G1476" t="s">
        <v>42</v>
      </c>
    </row>
    <row r="1477" spans="1:7" x14ac:dyDescent="0.2">
      <c r="A1477">
        <v>14</v>
      </c>
      <c r="B1477">
        <v>69</v>
      </c>
      <c r="C1477" t="s">
        <v>642</v>
      </c>
      <c r="D1477" t="s">
        <v>39</v>
      </c>
      <c r="E1477" t="s">
        <v>46</v>
      </c>
      <c r="F1477" t="s">
        <v>51</v>
      </c>
      <c r="G1477" t="s">
        <v>42</v>
      </c>
    </row>
    <row r="1478" spans="1:7" x14ac:dyDescent="0.2">
      <c r="A1478">
        <v>14</v>
      </c>
      <c r="B1478">
        <v>69</v>
      </c>
      <c r="C1478" t="s">
        <v>712</v>
      </c>
      <c r="D1478" t="s">
        <v>39</v>
      </c>
      <c r="E1478" t="s">
        <v>46</v>
      </c>
      <c r="F1478" t="s">
        <v>51</v>
      </c>
      <c r="G1478" t="s">
        <v>42</v>
      </c>
    </row>
    <row r="1479" spans="1:7" x14ac:dyDescent="0.2">
      <c r="A1479">
        <v>14</v>
      </c>
      <c r="B1479">
        <v>69</v>
      </c>
      <c r="C1479" t="s">
        <v>711</v>
      </c>
      <c r="D1479" t="s">
        <v>39</v>
      </c>
      <c r="E1479" t="s">
        <v>46</v>
      </c>
      <c r="F1479" t="s">
        <v>51</v>
      </c>
      <c r="G1479" t="s">
        <v>42</v>
      </c>
    </row>
    <row r="1480" spans="1:7" x14ac:dyDescent="0.2">
      <c r="A1480">
        <v>14</v>
      </c>
      <c r="B1480">
        <v>69</v>
      </c>
      <c r="C1480" t="s">
        <v>715</v>
      </c>
      <c r="D1480" t="s">
        <v>39</v>
      </c>
      <c r="E1480" t="s">
        <v>46</v>
      </c>
      <c r="F1480" t="s">
        <v>51</v>
      </c>
      <c r="G1480" t="s">
        <v>42</v>
      </c>
    </row>
    <row r="1481" spans="1:7" x14ac:dyDescent="0.2">
      <c r="A1481">
        <v>14</v>
      </c>
      <c r="B1481">
        <v>69</v>
      </c>
      <c r="C1481" t="s">
        <v>731</v>
      </c>
      <c r="D1481" t="s">
        <v>39</v>
      </c>
      <c r="E1481" t="s">
        <v>46</v>
      </c>
      <c r="F1481" t="s">
        <v>51</v>
      </c>
      <c r="G1481" t="s">
        <v>42</v>
      </c>
    </row>
    <row r="1482" spans="1:7" x14ac:dyDescent="0.2">
      <c r="A1482">
        <v>14</v>
      </c>
      <c r="B1482">
        <v>69</v>
      </c>
      <c r="C1482" t="s">
        <v>732</v>
      </c>
      <c r="D1482" t="s">
        <v>39</v>
      </c>
      <c r="E1482" t="s">
        <v>46</v>
      </c>
      <c r="F1482" t="s">
        <v>51</v>
      </c>
      <c r="G1482" t="s">
        <v>42</v>
      </c>
    </row>
    <row r="1483" spans="1:7" x14ac:dyDescent="0.2">
      <c r="A1483">
        <v>14</v>
      </c>
      <c r="B1483">
        <v>69</v>
      </c>
      <c r="C1483" t="s">
        <v>733</v>
      </c>
      <c r="D1483" t="s">
        <v>39</v>
      </c>
      <c r="E1483" t="s">
        <v>46</v>
      </c>
      <c r="F1483" t="s">
        <v>51</v>
      </c>
      <c r="G1483" t="s">
        <v>42</v>
      </c>
    </row>
    <row r="1484" spans="1:7" x14ac:dyDescent="0.2">
      <c r="A1484">
        <v>14</v>
      </c>
      <c r="B1484">
        <v>69</v>
      </c>
      <c r="C1484" t="s">
        <v>734</v>
      </c>
      <c r="D1484" t="s">
        <v>39</v>
      </c>
      <c r="E1484" t="s">
        <v>46</v>
      </c>
      <c r="F1484" t="s">
        <v>51</v>
      </c>
      <c r="G1484" t="s">
        <v>42</v>
      </c>
    </row>
    <row r="1485" spans="1:7" x14ac:dyDescent="0.2">
      <c r="A1485">
        <v>14</v>
      </c>
      <c r="B1485">
        <v>69</v>
      </c>
      <c r="C1485" t="s">
        <v>723</v>
      </c>
      <c r="D1485" t="s">
        <v>39</v>
      </c>
      <c r="E1485" t="s">
        <v>46</v>
      </c>
      <c r="F1485" t="s">
        <v>51</v>
      </c>
      <c r="G1485" t="s">
        <v>42</v>
      </c>
    </row>
    <row r="1486" spans="1:7" x14ac:dyDescent="0.2">
      <c r="A1486">
        <v>14</v>
      </c>
      <c r="B1486">
        <v>69</v>
      </c>
      <c r="C1486" t="s">
        <v>735</v>
      </c>
      <c r="D1486" t="s">
        <v>39</v>
      </c>
      <c r="E1486" t="s">
        <v>46</v>
      </c>
      <c r="F1486" t="s">
        <v>51</v>
      </c>
      <c r="G1486" t="s">
        <v>42</v>
      </c>
    </row>
    <row r="1487" spans="1:7" x14ac:dyDescent="0.2">
      <c r="A1487">
        <v>14</v>
      </c>
      <c r="B1487">
        <v>69</v>
      </c>
      <c r="C1487" t="s">
        <v>724</v>
      </c>
      <c r="D1487" t="s">
        <v>39</v>
      </c>
      <c r="E1487" t="s">
        <v>46</v>
      </c>
      <c r="F1487" t="s">
        <v>51</v>
      </c>
      <c r="G1487" t="s">
        <v>42</v>
      </c>
    </row>
    <row r="1488" spans="1:7" x14ac:dyDescent="0.2">
      <c r="A1488">
        <v>14</v>
      </c>
      <c r="B1488">
        <v>69</v>
      </c>
      <c r="C1488" t="s">
        <v>704</v>
      </c>
      <c r="D1488" t="s">
        <v>39</v>
      </c>
      <c r="E1488" t="s">
        <v>46</v>
      </c>
      <c r="F1488" t="s">
        <v>51</v>
      </c>
      <c r="G1488" t="s">
        <v>42</v>
      </c>
    </row>
    <row r="1489" spans="1:7" x14ac:dyDescent="0.2">
      <c r="A1489">
        <v>15</v>
      </c>
      <c r="B1489">
        <v>69</v>
      </c>
      <c r="C1489" t="s">
        <v>704</v>
      </c>
      <c r="D1489" t="s">
        <v>39</v>
      </c>
      <c r="E1489" t="s">
        <v>46</v>
      </c>
      <c r="F1489" t="s">
        <v>51</v>
      </c>
      <c r="G1489" t="s">
        <v>42</v>
      </c>
    </row>
    <row r="1490" spans="1:7" x14ac:dyDescent="0.2">
      <c r="A1490">
        <v>15</v>
      </c>
      <c r="B1490">
        <v>69</v>
      </c>
      <c r="C1490" t="s">
        <v>642</v>
      </c>
      <c r="D1490" t="s">
        <v>39</v>
      </c>
      <c r="E1490" t="s">
        <v>46</v>
      </c>
      <c r="F1490" t="s">
        <v>51</v>
      </c>
      <c r="G1490" t="s">
        <v>42</v>
      </c>
    </row>
    <row r="1491" spans="1:7" x14ac:dyDescent="0.2">
      <c r="A1491">
        <v>15</v>
      </c>
      <c r="B1491">
        <v>69</v>
      </c>
      <c r="C1491" t="s">
        <v>711</v>
      </c>
      <c r="D1491" t="s">
        <v>39</v>
      </c>
      <c r="E1491" t="s">
        <v>46</v>
      </c>
      <c r="F1491" t="s">
        <v>51</v>
      </c>
      <c r="G1491" t="s">
        <v>42</v>
      </c>
    </row>
    <row r="1492" spans="1:7" x14ac:dyDescent="0.2">
      <c r="A1492">
        <v>15</v>
      </c>
      <c r="B1492">
        <v>69</v>
      </c>
      <c r="C1492" t="s">
        <v>712</v>
      </c>
      <c r="D1492" t="s">
        <v>39</v>
      </c>
      <c r="E1492" t="s">
        <v>46</v>
      </c>
      <c r="F1492" t="s">
        <v>51</v>
      </c>
      <c r="G1492" t="s">
        <v>42</v>
      </c>
    </row>
    <row r="1493" spans="1:7" x14ac:dyDescent="0.2">
      <c r="A1493">
        <v>15</v>
      </c>
      <c r="B1493">
        <v>69</v>
      </c>
      <c r="C1493" t="s">
        <v>715</v>
      </c>
      <c r="D1493" t="s">
        <v>39</v>
      </c>
      <c r="E1493" t="s">
        <v>46</v>
      </c>
      <c r="F1493" t="s">
        <v>51</v>
      </c>
      <c r="G1493" t="s">
        <v>42</v>
      </c>
    </row>
    <row r="1494" spans="1:7" x14ac:dyDescent="0.2">
      <c r="A1494">
        <v>15</v>
      </c>
      <c r="B1494">
        <v>69</v>
      </c>
      <c r="C1494" t="s">
        <v>736</v>
      </c>
      <c r="D1494" t="s">
        <v>39</v>
      </c>
      <c r="E1494" t="s">
        <v>46</v>
      </c>
      <c r="F1494" t="s">
        <v>51</v>
      </c>
      <c r="G1494" t="s">
        <v>42</v>
      </c>
    </row>
    <row r="1495" spans="1:7" x14ac:dyDescent="0.2">
      <c r="A1495">
        <v>15</v>
      </c>
      <c r="B1495">
        <v>69</v>
      </c>
      <c r="C1495" t="s">
        <v>734</v>
      </c>
      <c r="D1495" t="s">
        <v>39</v>
      </c>
      <c r="E1495" t="s">
        <v>46</v>
      </c>
      <c r="F1495" t="s">
        <v>51</v>
      </c>
      <c r="G1495" t="s">
        <v>42</v>
      </c>
    </row>
    <row r="1496" spans="1:7" x14ac:dyDescent="0.2">
      <c r="A1496">
        <v>15</v>
      </c>
      <c r="B1496">
        <v>69</v>
      </c>
      <c r="C1496" t="s">
        <v>737</v>
      </c>
      <c r="D1496" t="s">
        <v>39</v>
      </c>
      <c r="E1496" t="s">
        <v>46</v>
      </c>
      <c r="F1496" t="s">
        <v>51</v>
      </c>
      <c r="G1496" t="s">
        <v>42</v>
      </c>
    </row>
    <row r="1497" spans="1:7" x14ac:dyDescent="0.2">
      <c r="A1497">
        <v>15</v>
      </c>
      <c r="B1497">
        <v>69</v>
      </c>
      <c r="C1497" t="s">
        <v>738</v>
      </c>
      <c r="D1497" t="s">
        <v>39</v>
      </c>
      <c r="E1497" t="s">
        <v>46</v>
      </c>
      <c r="F1497" t="s">
        <v>51</v>
      </c>
      <c r="G1497" t="s">
        <v>42</v>
      </c>
    </row>
    <row r="1498" spans="1:7" x14ac:dyDescent="0.2">
      <c r="A1498">
        <v>15</v>
      </c>
      <c r="B1498">
        <v>69</v>
      </c>
      <c r="C1498" t="s">
        <v>723</v>
      </c>
      <c r="D1498" t="s">
        <v>39</v>
      </c>
      <c r="E1498" t="s">
        <v>46</v>
      </c>
      <c r="F1498" t="s">
        <v>51</v>
      </c>
      <c r="G1498" t="s">
        <v>42</v>
      </c>
    </row>
    <row r="1499" spans="1:7" x14ac:dyDescent="0.2">
      <c r="A1499">
        <v>15</v>
      </c>
      <c r="B1499">
        <v>69</v>
      </c>
      <c r="C1499" t="s">
        <v>739</v>
      </c>
      <c r="D1499" t="s">
        <v>39</v>
      </c>
      <c r="E1499" t="s">
        <v>46</v>
      </c>
      <c r="F1499" t="s">
        <v>51</v>
      </c>
      <c r="G1499" t="s">
        <v>42</v>
      </c>
    </row>
    <row r="1500" spans="1:7" x14ac:dyDescent="0.2">
      <c r="A1500">
        <v>15</v>
      </c>
      <c r="B1500">
        <v>69</v>
      </c>
      <c r="C1500" t="s">
        <v>740</v>
      </c>
      <c r="D1500" t="s">
        <v>39</v>
      </c>
      <c r="E1500" t="s">
        <v>46</v>
      </c>
      <c r="F1500" t="s">
        <v>51</v>
      </c>
      <c r="G1500" t="s">
        <v>42</v>
      </c>
    </row>
    <row r="1501" spans="1:7" x14ac:dyDescent="0.2">
      <c r="A1501">
        <v>15</v>
      </c>
      <c r="B1501">
        <v>69</v>
      </c>
      <c r="C1501" t="s">
        <v>681</v>
      </c>
      <c r="D1501" t="s">
        <v>39</v>
      </c>
      <c r="E1501" t="s">
        <v>46</v>
      </c>
      <c r="F1501" t="s">
        <v>47</v>
      </c>
      <c r="G1501" t="s">
        <v>42</v>
      </c>
    </row>
    <row r="1502" spans="1:7" x14ac:dyDescent="0.2">
      <c r="A1502">
        <v>16</v>
      </c>
      <c r="B1502">
        <v>69</v>
      </c>
      <c r="C1502" t="s">
        <v>642</v>
      </c>
      <c r="D1502" t="s">
        <v>39</v>
      </c>
      <c r="E1502" t="s">
        <v>46</v>
      </c>
      <c r="F1502" t="s">
        <v>51</v>
      </c>
      <c r="G1502" t="s">
        <v>42</v>
      </c>
    </row>
    <row r="1503" spans="1:7" x14ac:dyDescent="0.2">
      <c r="A1503">
        <v>16</v>
      </c>
      <c r="B1503">
        <v>69</v>
      </c>
      <c r="C1503" t="s">
        <v>712</v>
      </c>
      <c r="D1503" t="s">
        <v>39</v>
      </c>
      <c r="E1503" t="s">
        <v>46</v>
      </c>
      <c r="F1503" t="s">
        <v>47</v>
      </c>
      <c r="G1503" t="s">
        <v>42</v>
      </c>
    </row>
    <row r="1504" spans="1:7" x14ac:dyDescent="0.2">
      <c r="A1504">
        <v>16</v>
      </c>
      <c r="B1504">
        <v>69</v>
      </c>
      <c r="C1504" t="s">
        <v>711</v>
      </c>
      <c r="D1504" t="s">
        <v>39</v>
      </c>
      <c r="E1504" t="s">
        <v>46</v>
      </c>
      <c r="F1504" t="s">
        <v>51</v>
      </c>
      <c r="G1504" t="s">
        <v>42</v>
      </c>
    </row>
    <row r="1505" spans="1:7" x14ac:dyDescent="0.2">
      <c r="A1505">
        <v>16</v>
      </c>
      <c r="B1505">
        <v>69</v>
      </c>
      <c r="C1505" t="s">
        <v>741</v>
      </c>
      <c r="D1505" t="s">
        <v>39</v>
      </c>
      <c r="E1505" t="s">
        <v>46</v>
      </c>
      <c r="F1505" t="s">
        <v>51</v>
      </c>
      <c r="G1505" t="s">
        <v>42</v>
      </c>
    </row>
    <row r="1506" spans="1:7" x14ac:dyDescent="0.2">
      <c r="A1506">
        <v>16</v>
      </c>
      <c r="B1506">
        <v>69</v>
      </c>
      <c r="C1506" t="s">
        <v>742</v>
      </c>
      <c r="D1506" t="s">
        <v>39</v>
      </c>
      <c r="E1506" t="s">
        <v>46</v>
      </c>
      <c r="F1506" t="s">
        <v>41</v>
      </c>
      <c r="G1506" t="s">
        <v>42</v>
      </c>
    </row>
    <row r="1507" spans="1:7" x14ac:dyDescent="0.2">
      <c r="A1507">
        <v>16</v>
      </c>
      <c r="B1507">
        <v>69</v>
      </c>
      <c r="C1507" t="s">
        <v>743</v>
      </c>
      <c r="D1507" t="s">
        <v>39</v>
      </c>
      <c r="E1507" t="s">
        <v>46</v>
      </c>
      <c r="F1507" t="s">
        <v>51</v>
      </c>
      <c r="G1507" t="s">
        <v>42</v>
      </c>
    </row>
    <row r="1508" spans="1:7" x14ac:dyDescent="0.2">
      <c r="A1508">
        <v>16</v>
      </c>
      <c r="B1508">
        <v>69</v>
      </c>
      <c r="C1508" t="s">
        <v>744</v>
      </c>
      <c r="D1508" t="s">
        <v>39</v>
      </c>
      <c r="E1508" t="s">
        <v>46</v>
      </c>
      <c r="F1508" t="s">
        <v>51</v>
      </c>
      <c r="G1508" t="s">
        <v>42</v>
      </c>
    </row>
    <row r="1509" spans="1:7" x14ac:dyDescent="0.2">
      <c r="A1509">
        <v>16</v>
      </c>
      <c r="B1509">
        <v>69</v>
      </c>
      <c r="C1509" t="s">
        <v>723</v>
      </c>
      <c r="D1509" t="s">
        <v>39</v>
      </c>
      <c r="E1509" t="s">
        <v>46</v>
      </c>
      <c r="F1509" t="s">
        <v>51</v>
      </c>
      <c r="G1509" t="s">
        <v>42</v>
      </c>
    </row>
    <row r="1510" spans="1:7" x14ac:dyDescent="0.2">
      <c r="A1510">
        <v>16</v>
      </c>
      <c r="B1510">
        <v>69</v>
      </c>
      <c r="C1510" t="s">
        <v>745</v>
      </c>
      <c r="D1510" t="s">
        <v>39</v>
      </c>
      <c r="E1510" t="s">
        <v>46</v>
      </c>
      <c r="F1510" t="s">
        <v>51</v>
      </c>
      <c r="G1510" t="s">
        <v>42</v>
      </c>
    </row>
    <row r="1511" spans="1:7" x14ac:dyDescent="0.2">
      <c r="A1511">
        <v>16</v>
      </c>
      <c r="B1511">
        <v>69</v>
      </c>
      <c r="C1511" t="s">
        <v>746</v>
      </c>
      <c r="D1511" t="s">
        <v>39</v>
      </c>
      <c r="E1511" t="s">
        <v>46</v>
      </c>
      <c r="F1511" t="s">
        <v>47</v>
      </c>
      <c r="G1511" t="s">
        <v>42</v>
      </c>
    </row>
    <row r="1512" spans="1:7" x14ac:dyDescent="0.2">
      <c r="A1512">
        <v>16</v>
      </c>
      <c r="B1512">
        <v>69</v>
      </c>
      <c r="C1512" t="s">
        <v>704</v>
      </c>
      <c r="D1512" t="s">
        <v>39</v>
      </c>
      <c r="E1512" t="s">
        <v>46</v>
      </c>
      <c r="F1512" t="s">
        <v>51</v>
      </c>
      <c r="G1512" t="s">
        <v>42</v>
      </c>
    </row>
    <row r="1513" spans="1:7" x14ac:dyDescent="0.2">
      <c r="A1513">
        <v>17</v>
      </c>
      <c r="B1513">
        <v>69</v>
      </c>
      <c r="C1513" t="s">
        <v>642</v>
      </c>
      <c r="D1513" t="s">
        <v>39</v>
      </c>
      <c r="E1513" t="s">
        <v>46</v>
      </c>
      <c r="F1513" t="s">
        <v>51</v>
      </c>
      <c r="G1513" t="s">
        <v>42</v>
      </c>
    </row>
    <row r="1514" spans="1:7" x14ac:dyDescent="0.2">
      <c r="A1514">
        <v>17</v>
      </c>
      <c r="B1514">
        <v>69</v>
      </c>
      <c r="C1514" t="s">
        <v>712</v>
      </c>
      <c r="D1514" t="s">
        <v>39</v>
      </c>
      <c r="E1514" t="s">
        <v>46</v>
      </c>
      <c r="F1514" t="s">
        <v>51</v>
      </c>
      <c r="G1514" t="s">
        <v>42</v>
      </c>
    </row>
    <row r="1515" spans="1:7" x14ac:dyDescent="0.2">
      <c r="A1515">
        <v>17</v>
      </c>
      <c r="B1515">
        <v>69</v>
      </c>
      <c r="C1515" t="s">
        <v>711</v>
      </c>
      <c r="D1515" t="s">
        <v>39</v>
      </c>
      <c r="E1515" t="s">
        <v>46</v>
      </c>
      <c r="F1515" t="s">
        <v>51</v>
      </c>
      <c r="G1515" t="s">
        <v>42</v>
      </c>
    </row>
    <row r="1516" spans="1:7" x14ac:dyDescent="0.2">
      <c r="A1516">
        <v>17</v>
      </c>
      <c r="B1516">
        <v>69</v>
      </c>
      <c r="C1516" t="s">
        <v>715</v>
      </c>
      <c r="D1516" t="s">
        <v>39</v>
      </c>
      <c r="E1516" t="s">
        <v>46</v>
      </c>
      <c r="F1516" t="s">
        <v>51</v>
      </c>
      <c r="G1516" t="s">
        <v>42</v>
      </c>
    </row>
    <row r="1517" spans="1:7" x14ac:dyDescent="0.2">
      <c r="A1517">
        <v>17</v>
      </c>
      <c r="B1517">
        <v>69</v>
      </c>
      <c r="C1517" t="s">
        <v>741</v>
      </c>
      <c r="D1517" t="s">
        <v>39</v>
      </c>
      <c r="E1517" t="s">
        <v>46</v>
      </c>
      <c r="F1517" t="s">
        <v>51</v>
      </c>
      <c r="G1517" t="s">
        <v>42</v>
      </c>
    </row>
    <row r="1518" spans="1:7" x14ac:dyDescent="0.2">
      <c r="A1518">
        <v>17</v>
      </c>
      <c r="B1518">
        <v>69</v>
      </c>
      <c r="C1518" t="s">
        <v>747</v>
      </c>
      <c r="D1518" t="s">
        <v>39</v>
      </c>
      <c r="E1518" t="s">
        <v>46</v>
      </c>
      <c r="F1518" t="s">
        <v>51</v>
      </c>
      <c r="G1518" t="s">
        <v>42</v>
      </c>
    </row>
    <row r="1519" spans="1:7" x14ac:dyDescent="0.2">
      <c r="A1519">
        <v>17</v>
      </c>
      <c r="B1519">
        <v>69</v>
      </c>
      <c r="C1519" t="s">
        <v>705</v>
      </c>
      <c r="D1519" t="s">
        <v>39</v>
      </c>
      <c r="E1519" t="s">
        <v>46</v>
      </c>
      <c r="F1519" t="s">
        <v>51</v>
      </c>
      <c r="G1519" t="s">
        <v>42</v>
      </c>
    </row>
    <row r="1520" spans="1:7" x14ac:dyDescent="0.2">
      <c r="A1520">
        <v>17</v>
      </c>
      <c r="B1520">
        <v>69</v>
      </c>
      <c r="C1520" t="s">
        <v>744</v>
      </c>
      <c r="D1520" t="s">
        <v>39</v>
      </c>
      <c r="E1520" t="s">
        <v>46</v>
      </c>
      <c r="F1520" t="s">
        <v>51</v>
      </c>
      <c r="G1520" t="s">
        <v>42</v>
      </c>
    </row>
    <row r="1521" spans="1:7" x14ac:dyDescent="0.2">
      <c r="A1521">
        <v>17</v>
      </c>
      <c r="B1521">
        <v>69</v>
      </c>
      <c r="C1521" t="s">
        <v>723</v>
      </c>
      <c r="D1521" t="s">
        <v>39</v>
      </c>
      <c r="E1521" t="s">
        <v>46</v>
      </c>
      <c r="F1521" t="s">
        <v>51</v>
      </c>
      <c r="G1521" t="s">
        <v>42</v>
      </c>
    </row>
    <row r="1522" spans="1:7" x14ac:dyDescent="0.2">
      <c r="A1522">
        <v>17</v>
      </c>
      <c r="B1522">
        <v>69</v>
      </c>
      <c r="C1522" t="s">
        <v>748</v>
      </c>
      <c r="D1522" t="s">
        <v>39</v>
      </c>
      <c r="E1522" t="s">
        <v>46</v>
      </c>
      <c r="F1522" t="s">
        <v>51</v>
      </c>
      <c r="G1522" t="s">
        <v>42</v>
      </c>
    </row>
    <row r="1523" spans="1:7" x14ac:dyDescent="0.2">
      <c r="A1523">
        <v>17</v>
      </c>
      <c r="B1523">
        <v>69</v>
      </c>
      <c r="C1523" t="s">
        <v>704</v>
      </c>
      <c r="D1523" t="s">
        <v>39</v>
      </c>
      <c r="E1523" t="s">
        <v>46</v>
      </c>
      <c r="F1523" t="s">
        <v>51</v>
      </c>
      <c r="G1523" t="s">
        <v>42</v>
      </c>
    </row>
    <row r="1524" spans="1:7" x14ac:dyDescent="0.2">
      <c r="A1524">
        <v>18</v>
      </c>
      <c r="B1524">
        <v>69</v>
      </c>
      <c r="C1524" t="s">
        <v>704</v>
      </c>
      <c r="D1524" t="s">
        <v>39</v>
      </c>
      <c r="E1524" t="s">
        <v>46</v>
      </c>
      <c r="F1524" t="s">
        <v>51</v>
      </c>
      <c r="G1524" t="s">
        <v>42</v>
      </c>
    </row>
    <row r="1525" spans="1:7" x14ac:dyDescent="0.2">
      <c r="A1525">
        <v>18</v>
      </c>
      <c r="B1525">
        <v>69</v>
      </c>
      <c r="C1525" t="s">
        <v>710</v>
      </c>
      <c r="D1525" t="s">
        <v>39</v>
      </c>
      <c r="E1525" t="s">
        <v>46</v>
      </c>
      <c r="F1525" t="s">
        <v>51</v>
      </c>
      <c r="G1525" t="s">
        <v>42</v>
      </c>
    </row>
    <row r="1526" spans="1:7" x14ac:dyDescent="0.2">
      <c r="A1526">
        <v>18</v>
      </c>
      <c r="B1526">
        <v>69</v>
      </c>
      <c r="C1526" t="s">
        <v>749</v>
      </c>
      <c r="D1526" t="s">
        <v>39</v>
      </c>
      <c r="E1526" t="s">
        <v>46</v>
      </c>
      <c r="F1526" t="s">
        <v>51</v>
      </c>
      <c r="G1526" t="s">
        <v>42</v>
      </c>
    </row>
    <row r="1527" spans="1:7" x14ac:dyDescent="0.2">
      <c r="A1527">
        <v>18</v>
      </c>
      <c r="B1527">
        <v>69</v>
      </c>
      <c r="C1527" t="s">
        <v>692</v>
      </c>
      <c r="D1527" t="s">
        <v>39</v>
      </c>
      <c r="E1527" t="s">
        <v>46</v>
      </c>
      <c r="F1527" t="s">
        <v>51</v>
      </c>
      <c r="G1527" t="s">
        <v>42</v>
      </c>
    </row>
    <row r="1528" spans="1:7" x14ac:dyDescent="0.2">
      <c r="A1528">
        <v>18</v>
      </c>
      <c r="B1528">
        <v>69</v>
      </c>
      <c r="C1528" t="s">
        <v>750</v>
      </c>
      <c r="D1528" t="s">
        <v>39</v>
      </c>
      <c r="E1528" t="s">
        <v>46</v>
      </c>
      <c r="F1528" t="s">
        <v>51</v>
      </c>
      <c r="G1528" t="s">
        <v>42</v>
      </c>
    </row>
    <row r="1529" spans="1:7" x14ac:dyDescent="0.2">
      <c r="A1529">
        <v>18</v>
      </c>
      <c r="B1529">
        <v>69</v>
      </c>
      <c r="C1529" t="s">
        <v>751</v>
      </c>
      <c r="D1529" t="s">
        <v>39</v>
      </c>
      <c r="E1529" t="s">
        <v>46</v>
      </c>
      <c r="F1529" t="s">
        <v>51</v>
      </c>
      <c r="G1529" t="s">
        <v>42</v>
      </c>
    </row>
    <row r="1530" spans="1:7" x14ac:dyDescent="0.2">
      <c r="A1530">
        <v>18</v>
      </c>
      <c r="B1530">
        <v>69</v>
      </c>
      <c r="C1530" t="s">
        <v>752</v>
      </c>
      <c r="D1530" t="s">
        <v>39</v>
      </c>
      <c r="E1530" t="s">
        <v>46</v>
      </c>
      <c r="F1530" t="s">
        <v>51</v>
      </c>
      <c r="G1530" t="s">
        <v>42</v>
      </c>
    </row>
    <row r="1531" spans="1:7" x14ac:dyDescent="0.2">
      <c r="A1531">
        <v>18</v>
      </c>
      <c r="B1531">
        <v>69</v>
      </c>
      <c r="C1531" t="s">
        <v>715</v>
      </c>
      <c r="D1531" t="s">
        <v>39</v>
      </c>
      <c r="E1531" t="s">
        <v>46</v>
      </c>
      <c r="F1531" t="s">
        <v>51</v>
      </c>
      <c r="G1531" t="s">
        <v>42</v>
      </c>
    </row>
    <row r="1532" spans="1:7" x14ac:dyDescent="0.2">
      <c r="A1532">
        <v>18</v>
      </c>
      <c r="B1532">
        <v>69</v>
      </c>
      <c r="C1532" t="s">
        <v>753</v>
      </c>
      <c r="D1532" t="s">
        <v>39</v>
      </c>
      <c r="E1532" t="s">
        <v>40</v>
      </c>
      <c r="F1532" t="s">
        <v>51</v>
      </c>
      <c r="G1532" t="s">
        <v>42</v>
      </c>
    </row>
    <row r="1533" spans="1:7" x14ac:dyDescent="0.2">
      <c r="A1533">
        <v>19</v>
      </c>
      <c r="B1533">
        <v>69</v>
      </c>
      <c r="C1533" t="s">
        <v>704</v>
      </c>
      <c r="D1533" t="s">
        <v>39</v>
      </c>
      <c r="E1533" t="s">
        <v>46</v>
      </c>
      <c r="F1533" t="s">
        <v>51</v>
      </c>
      <c r="G1533" t="s">
        <v>42</v>
      </c>
    </row>
    <row r="1534" spans="1:7" x14ac:dyDescent="0.2">
      <c r="A1534">
        <v>19</v>
      </c>
      <c r="B1534">
        <v>69</v>
      </c>
      <c r="C1534" t="s">
        <v>754</v>
      </c>
      <c r="D1534" t="s">
        <v>39</v>
      </c>
      <c r="E1534" t="s">
        <v>46</v>
      </c>
      <c r="F1534" t="s">
        <v>51</v>
      </c>
      <c r="G1534" t="s">
        <v>42</v>
      </c>
    </row>
    <row r="1535" spans="1:7" x14ac:dyDescent="0.2">
      <c r="A1535">
        <v>19</v>
      </c>
      <c r="B1535">
        <v>69</v>
      </c>
      <c r="C1535" t="s">
        <v>755</v>
      </c>
      <c r="D1535" t="s">
        <v>39</v>
      </c>
      <c r="E1535" t="s">
        <v>46</v>
      </c>
      <c r="F1535" t="s">
        <v>51</v>
      </c>
      <c r="G1535" t="s">
        <v>42</v>
      </c>
    </row>
    <row r="1536" spans="1:7" x14ac:dyDescent="0.2">
      <c r="A1536">
        <v>19</v>
      </c>
      <c r="B1536">
        <v>69</v>
      </c>
      <c r="C1536" t="s">
        <v>756</v>
      </c>
      <c r="D1536" t="s">
        <v>39</v>
      </c>
      <c r="E1536" t="s">
        <v>46</v>
      </c>
      <c r="F1536" t="s">
        <v>51</v>
      </c>
      <c r="G1536" t="s">
        <v>42</v>
      </c>
    </row>
    <row r="1537" spans="1:7" x14ac:dyDescent="0.2">
      <c r="A1537">
        <v>19</v>
      </c>
      <c r="B1537">
        <v>69</v>
      </c>
      <c r="C1537" t="s">
        <v>757</v>
      </c>
      <c r="D1537" t="s">
        <v>39</v>
      </c>
      <c r="E1537" t="s">
        <v>46</v>
      </c>
      <c r="F1537" t="s">
        <v>51</v>
      </c>
      <c r="G1537" t="s">
        <v>42</v>
      </c>
    </row>
    <row r="1538" spans="1:7" x14ac:dyDescent="0.2">
      <c r="A1538">
        <v>19</v>
      </c>
      <c r="B1538">
        <v>69</v>
      </c>
      <c r="C1538" t="s">
        <v>758</v>
      </c>
      <c r="D1538" t="s">
        <v>39</v>
      </c>
      <c r="E1538" t="s">
        <v>46</v>
      </c>
      <c r="F1538" t="s">
        <v>51</v>
      </c>
      <c r="G1538" t="s">
        <v>42</v>
      </c>
    </row>
    <row r="1539" spans="1:7" x14ac:dyDescent="0.2">
      <c r="A1539">
        <v>19</v>
      </c>
      <c r="B1539">
        <v>69</v>
      </c>
      <c r="C1539" t="s">
        <v>759</v>
      </c>
      <c r="D1539" t="s">
        <v>39</v>
      </c>
      <c r="E1539" t="s">
        <v>46</v>
      </c>
      <c r="F1539" t="s">
        <v>51</v>
      </c>
      <c r="G1539" t="s">
        <v>42</v>
      </c>
    </row>
    <row r="1540" spans="1:7" x14ac:dyDescent="0.2">
      <c r="A1540">
        <v>19</v>
      </c>
      <c r="B1540">
        <v>69</v>
      </c>
      <c r="C1540" t="s">
        <v>715</v>
      </c>
      <c r="D1540" t="s">
        <v>39</v>
      </c>
      <c r="E1540" t="s">
        <v>46</v>
      </c>
      <c r="F1540" t="s">
        <v>51</v>
      </c>
      <c r="G1540" t="s">
        <v>42</v>
      </c>
    </row>
    <row r="1541" spans="1:7" x14ac:dyDescent="0.2">
      <c r="A1541">
        <v>19</v>
      </c>
      <c r="B1541">
        <v>69</v>
      </c>
      <c r="C1541" t="s">
        <v>760</v>
      </c>
      <c r="D1541" t="s">
        <v>39</v>
      </c>
      <c r="E1541" t="s">
        <v>46</v>
      </c>
      <c r="F1541" t="s">
        <v>51</v>
      </c>
      <c r="G1541" t="s">
        <v>42</v>
      </c>
    </row>
    <row r="1542" spans="1:7" x14ac:dyDescent="0.2">
      <c r="A1542">
        <v>19</v>
      </c>
      <c r="B1542">
        <v>69</v>
      </c>
      <c r="C1542" t="s">
        <v>761</v>
      </c>
      <c r="D1542" t="s">
        <v>39</v>
      </c>
      <c r="E1542" t="s">
        <v>46</v>
      </c>
      <c r="F1542" t="s">
        <v>51</v>
      </c>
      <c r="G1542" t="s">
        <v>42</v>
      </c>
    </row>
    <row r="1543" spans="1:7" x14ac:dyDescent="0.2">
      <c r="A1543">
        <v>19</v>
      </c>
      <c r="B1543">
        <v>69</v>
      </c>
      <c r="C1543" t="s">
        <v>762</v>
      </c>
      <c r="D1543" t="s">
        <v>39</v>
      </c>
      <c r="E1543" t="s">
        <v>46</v>
      </c>
      <c r="F1543" t="s">
        <v>51</v>
      </c>
      <c r="G1543" t="s">
        <v>42</v>
      </c>
    </row>
    <row r="1544" spans="1:7" x14ac:dyDescent="0.2">
      <c r="A1544">
        <v>20</v>
      </c>
      <c r="B1544">
        <v>69</v>
      </c>
      <c r="C1544" t="s">
        <v>763</v>
      </c>
      <c r="D1544" t="s">
        <v>39</v>
      </c>
      <c r="E1544" t="s">
        <v>46</v>
      </c>
      <c r="F1544" t="s">
        <v>51</v>
      </c>
      <c r="G1544" t="s">
        <v>42</v>
      </c>
    </row>
    <row r="1545" spans="1:7" x14ac:dyDescent="0.2">
      <c r="A1545">
        <v>20</v>
      </c>
      <c r="B1545">
        <v>69</v>
      </c>
      <c r="C1545" t="s">
        <v>764</v>
      </c>
      <c r="D1545" t="s">
        <v>39</v>
      </c>
      <c r="E1545" t="s">
        <v>46</v>
      </c>
      <c r="F1545" t="s">
        <v>51</v>
      </c>
      <c r="G1545" t="s">
        <v>42</v>
      </c>
    </row>
    <row r="1546" spans="1:7" x14ac:dyDescent="0.2">
      <c r="A1546">
        <v>20</v>
      </c>
      <c r="B1546">
        <v>69</v>
      </c>
      <c r="C1546" t="s">
        <v>692</v>
      </c>
      <c r="D1546" t="s">
        <v>39</v>
      </c>
      <c r="E1546" t="s">
        <v>46</v>
      </c>
      <c r="F1546" t="s">
        <v>51</v>
      </c>
      <c r="G1546" t="s">
        <v>42</v>
      </c>
    </row>
    <row r="1547" spans="1:7" x14ac:dyDescent="0.2">
      <c r="A1547">
        <v>20</v>
      </c>
      <c r="B1547">
        <v>69</v>
      </c>
      <c r="C1547" t="s">
        <v>765</v>
      </c>
      <c r="D1547" t="s">
        <v>39</v>
      </c>
      <c r="E1547" t="s">
        <v>46</v>
      </c>
      <c r="F1547" t="s">
        <v>51</v>
      </c>
      <c r="G1547" t="s">
        <v>42</v>
      </c>
    </row>
    <row r="1548" spans="1:7" x14ac:dyDescent="0.2">
      <c r="A1548">
        <v>20</v>
      </c>
      <c r="B1548">
        <v>69</v>
      </c>
      <c r="C1548" t="s">
        <v>766</v>
      </c>
      <c r="D1548" t="s">
        <v>39</v>
      </c>
      <c r="E1548" t="s">
        <v>46</v>
      </c>
      <c r="F1548" t="s">
        <v>51</v>
      </c>
      <c r="G1548" t="s">
        <v>42</v>
      </c>
    </row>
    <row r="1549" spans="1:7" x14ac:dyDescent="0.2">
      <c r="A1549">
        <v>20</v>
      </c>
      <c r="B1549">
        <v>69</v>
      </c>
      <c r="C1549" t="s">
        <v>759</v>
      </c>
      <c r="D1549" t="s">
        <v>39</v>
      </c>
      <c r="E1549" t="s">
        <v>46</v>
      </c>
      <c r="F1549" t="s">
        <v>51</v>
      </c>
      <c r="G1549" t="s">
        <v>42</v>
      </c>
    </row>
    <row r="1550" spans="1:7" x14ac:dyDescent="0.2">
      <c r="A1550">
        <v>20</v>
      </c>
      <c r="B1550">
        <v>69</v>
      </c>
      <c r="C1550" t="s">
        <v>715</v>
      </c>
      <c r="D1550" t="s">
        <v>39</v>
      </c>
      <c r="E1550" t="s">
        <v>46</v>
      </c>
      <c r="F1550" t="s">
        <v>51</v>
      </c>
      <c r="G1550" t="s">
        <v>42</v>
      </c>
    </row>
    <row r="1551" spans="1:7" x14ac:dyDescent="0.2">
      <c r="A1551">
        <v>20</v>
      </c>
      <c r="B1551">
        <v>69</v>
      </c>
      <c r="C1551" t="s">
        <v>760</v>
      </c>
      <c r="D1551" t="s">
        <v>39</v>
      </c>
      <c r="E1551" t="s">
        <v>46</v>
      </c>
      <c r="F1551" t="s">
        <v>51</v>
      </c>
      <c r="G1551" t="s">
        <v>42</v>
      </c>
    </row>
    <row r="1552" spans="1:7" x14ac:dyDescent="0.2">
      <c r="A1552">
        <v>20</v>
      </c>
      <c r="B1552">
        <v>69</v>
      </c>
      <c r="C1552" t="s">
        <v>767</v>
      </c>
      <c r="D1552" t="s">
        <v>39</v>
      </c>
      <c r="E1552" t="s">
        <v>46</v>
      </c>
      <c r="F1552" t="s">
        <v>51</v>
      </c>
      <c r="G1552" t="s">
        <v>42</v>
      </c>
    </row>
    <row r="1553" spans="1:7" x14ac:dyDescent="0.2">
      <c r="A1553">
        <v>20</v>
      </c>
      <c r="B1553">
        <v>69</v>
      </c>
      <c r="C1553" t="s">
        <v>768</v>
      </c>
      <c r="D1553" t="s">
        <v>39</v>
      </c>
      <c r="E1553" t="s">
        <v>46</v>
      </c>
      <c r="F1553" t="s">
        <v>51</v>
      </c>
      <c r="G1553" t="s">
        <v>42</v>
      </c>
    </row>
    <row r="1554" spans="1:7" x14ac:dyDescent="0.2">
      <c r="A1554">
        <v>21</v>
      </c>
      <c r="B1554">
        <v>69</v>
      </c>
      <c r="C1554" t="s">
        <v>769</v>
      </c>
      <c r="D1554" t="s">
        <v>39</v>
      </c>
      <c r="E1554" t="s">
        <v>40</v>
      </c>
      <c r="F1554" t="s">
        <v>51</v>
      </c>
      <c r="G1554" t="s">
        <v>42</v>
      </c>
    </row>
    <row r="1555" spans="1:7" x14ac:dyDescent="0.2">
      <c r="A1555">
        <v>21</v>
      </c>
      <c r="B1555">
        <v>69</v>
      </c>
      <c r="C1555" t="s">
        <v>770</v>
      </c>
      <c r="D1555" t="s">
        <v>39</v>
      </c>
      <c r="E1555" t="s">
        <v>40</v>
      </c>
      <c r="F1555" t="s">
        <v>51</v>
      </c>
      <c r="G1555" t="s">
        <v>42</v>
      </c>
    </row>
    <row r="1556" spans="1:7" x14ac:dyDescent="0.2">
      <c r="A1556">
        <v>21</v>
      </c>
      <c r="B1556">
        <v>69</v>
      </c>
      <c r="C1556" t="s">
        <v>771</v>
      </c>
      <c r="D1556" t="s">
        <v>39</v>
      </c>
      <c r="E1556" t="s">
        <v>40</v>
      </c>
      <c r="F1556" t="s">
        <v>51</v>
      </c>
      <c r="G1556" t="s">
        <v>42</v>
      </c>
    </row>
    <row r="1557" spans="1:7" x14ac:dyDescent="0.2">
      <c r="A1557">
        <v>22</v>
      </c>
      <c r="B1557">
        <v>69</v>
      </c>
      <c r="C1557" t="s">
        <v>772</v>
      </c>
      <c r="D1557" t="s">
        <v>39</v>
      </c>
      <c r="E1557" t="s">
        <v>40</v>
      </c>
      <c r="F1557" t="s">
        <v>51</v>
      </c>
      <c r="G1557" t="s">
        <v>42</v>
      </c>
    </row>
    <row r="1558" spans="1:7" x14ac:dyDescent="0.2">
      <c r="A1558">
        <v>22</v>
      </c>
      <c r="B1558">
        <v>69</v>
      </c>
      <c r="C1558" t="s">
        <v>773</v>
      </c>
      <c r="D1558" t="s">
        <v>39</v>
      </c>
      <c r="E1558" t="s">
        <v>40</v>
      </c>
      <c r="F1558" t="s">
        <v>51</v>
      </c>
      <c r="G1558" t="s">
        <v>42</v>
      </c>
    </row>
    <row r="1559" spans="1:7" x14ac:dyDescent="0.2">
      <c r="A1559">
        <v>22</v>
      </c>
      <c r="B1559">
        <v>69</v>
      </c>
      <c r="C1559" t="s">
        <v>770</v>
      </c>
      <c r="D1559" t="s">
        <v>39</v>
      </c>
      <c r="E1559" t="s">
        <v>40</v>
      </c>
      <c r="F1559" t="s">
        <v>51</v>
      </c>
      <c r="G1559" t="s">
        <v>42</v>
      </c>
    </row>
    <row r="1560" spans="1:7" x14ac:dyDescent="0.2">
      <c r="A1560">
        <v>7</v>
      </c>
      <c r="B1560" t="s">
        <v>774</v>
      </c>
      <c r="C1560" t="s">
        <v>775</v>
      </c>
      <c r="D1560" t="s">
        <v>39</v>
      </c>
      <c r="E1560" t="s">
        <v>40</v>
      </c>
      <c r="F1560" t="s">
        <v>41</v>
      </c>
      <c r="G1560" t="s">
        <v>42</v>
      </c>
    </row>
    <row r="1561" spans="1:7" x14ac:dyDescent="0.2">
      <c r="A1561">
        <v>7</v>
      </c>
      <c r="B1561" t="s">
        <v>774</v>
      </c>
      <c r="C1561" t="s">
        <v>776</v>
      </c>
      <c r="D1561" t="s">
        <v>39</v>
      </c>
      <c r="E1561" t="s">
        <v>40</v>
      </c>
      <c r="F1561" t="s">
        <v>41</v>
      </c>
      <c r="G1561" t="s">
        <v>42</v>
      </c>
    </row>
    <row r="1562" spans="1:7" x14ac:dyDescent="0.2">
      <c r="A1562">
        <v>7</v>
      </c>
      <c r="B1562" t="s">
        <v>774</v>
      </c>
      <c r="C1562" t="s">
        <v>777</v>
      </c>
      <c r="D1562" t="s">
        <v>39</v>
      </c>
      <c r="E1562" t="s">
        <v>40</v>
      </c>
      <c r="F1562" t="s">
        <v>41</v>
      </c>
      <c r="G1562" t="s">
        <v>42</v>
      </c>
    </row>
    <row r="1563" spans="1:7" x14ac:dyDescent="0.2">
      <c r="A1563">
        <v>7</v>
      </c>
      <c r="B1563" t="s">
        <v>774</v>
      </c>
      <c r="C1563" t="s">
        <v>778</v>
      </c>
      <c r="D1563" t="s">
        <v>39</v>
      </c>
      <c r="E1563" t="s">
        <v>40</v>
      </c>
      <c r="F1563" t="s">
        <v>41</v>
      </c>
      <c r="G1563" t="s">
        <v>42</v>
      </c>
    </row>
    <row r="1564" spans="1:7" x14ac:dyDescent="0.2">
      <c r="A1564">
        <v>7</v>
      </c>
      <c r="B1564" t="s">
        <v>774</v>
      </c>
      <c r="C1564" t="s">
        <v>779</v>
      </c>
      <c r="D1564" t="s">
        <v>39</v>
      </c>
      <c r="E1564" t="s">
        <v>40</v>
      </c>
      <c r="F1564" t="s">
        <v>41</v>
      </c>
      <c r="G1564" t="s">
        <v>42</v>
      </c>
    </row>
    <row r="1565" spans="1:7" x14ac:dyDescent="0.2">
      <c r="A1565">
        <v>7</v>
      </c>
      <c r="B1565" t="s">
        <v>774</v>
      </c>
      <c r="C1565" t="s">
        <v>780</v>
      </c>
      <c r="D1565" t="s">
        <v>39</v>
      </c>
      <c r="E1565" t="s">
        <v>40</v>
      </c>
      <c r="F1565" t="s">
        <v>41</v>
      </c>
      <c r="G1565" t="s">
        <v>42</v>
      </c>
    </row>
    <row r="1566" spans="1:7" x14ac:dyDescent="0.2">
      <c r="A1566">
        <v>7</v>
      </c>
      <c r="B1566" t="s">
        <v>774</v>
      </c>
      <c r="C1566" t="s">
        <v>781</v>
      </c>
      <c r="D1566" t="s">
        <v>39</v>
      </c>
      <c r="E1566" t="s">
        <v>40</v>
      </c>
      <c r="F1566" t="s">
        <v>41</v>
      </c>
      <c r="G1566" t="s">
        <v>42</v>
      </c>
    </row>
    <row r="1567" spans="1:7" x14ac:dyDescent="0.2">
      <c r="A1567">
        <v>7</v>
      </c>
      <c r="B1567" t="s">
        <v>774</v>
      </c>
      <c r="C1567" t="s">
        <v>782</v>
      </c>
      <c r="D1567" t="s">
        <v>39</v>
      </c>
      <c r="E1567" t="s">
        <v>40</v>
      </c>
      <c r="F1567" t="s">
        <v>41</v>
      </c>
      <c r="G1567" t="s">
        <v>42</v>
      </c>
    </row>
    <row r="1568" spans="1:7" x14ac:dyDescent="0.2">
      <c r="A1568">
        <v>7</v>
      </c>
      <c r="B1568" t="s">
        <v>774</v>
      </c>
      <c r="C1568" t="s">
        <v>783</v>
      </c>
      <c r="D1568" t="s">
        <v>39</v>
      </c>
      <c r="E1568" t="s">
        <v>40</v>
      </c>
      <c r="F1568" t="s">
        <v>41</v>
      </c>
      <c r="G1568" t="s">
        <v>42</v>
      </c>
    </row>
    <row r="1569" spans="1:7" x14ac:dyDescent="0.2">
      <c r="A1569">
        <v>7</v>
      </c>
      <c r="B1569" t="s">
        <v>774</v>
      </c>
      <c r="C1569" t="s">
        <v>979</v>
      </c>
      <c r="D1569" t="s">
        <v>39</v>
      </c>
      <c r="E1569" t="s">
        <v>40</v>
      </c>
      <c r="F1569" t="s">
        <v>41</v>
      </c>
      <c r="G1569" t="s">
        <v>42</v>
      </c>
    </row>
    <row r="1570" spans="1:7" x14ac:dyDescent="0.2">
      <c r="A1570">
        <v>8</v>
      </c>
      <c r="B1570" t="s">
        <v>774</v>
      </c>
      <c r="C1570" t="s">
        <v>780</v>
      </c>
      <c r="D1570" t="s">
        <v>39</v>
      </c>
      <c r="E1570" t="s">
        <v>40</v>
      </c>
      <c r="F1570" t="s">
        <v>41</v>
      </c>
      <c r="G1570" t="s">
        <v>42</v>
      </c>
    </row>
    <row r="1571" spans="1:7" x14ac:dyDescent="0.2">
      <c r="A1571">
        <v>8</v>
      </c>
      <c r="B1571" t="s">
        <v>774</v>
      </c>
      <c r="C1571" t="s">
        <v>980</v>
      </c>
      <c r="D1571" t="s">
        <v>39</v>
      </c>
      <c r="E1571" t="s">
        <v>40</v>
      </c>
      <c r="F1571" t="s">
        <v>41</v>
      </c>
      <c r="G1571" t="s">
        <v>42</v>
      </c>
    </row>
    <row r="1572" spans="1:7" x14ac:dyDescent="0.2">
      <c r="A1572">
        <v>8</v>
      </c>
      <c r="B1572" t="s">
        <v>774</v>
      </c>
      <c r="C1572" t="s">
        <v>784</v>
      </c>
      <c r="D1572" t="s">
        <v>39</v>
      </c>
      <c r="E1572" t="s">
        <v>40</v>
      </c>
      <c r="F1572" t="s">
        <v>41</v>
      </c>
      <c r="G1572" t="s">
        <v>42</v>
      </c>
    </row>
    <row r="1573" spans="1:7" x14ac:dyDescent="0.2">
      <c r="A1573">
        <v>8</v>
      </c>
      <c r="B1573" t="s">
        <v>774</v>
      </c>
      <c r="C1573" t="s">
        <v>783</v>
      </c>
      <c r="D1573" t="s">
        <v>39</v>
      </c>
      <c r="E1573" t="s">
        <v>40</v>
      </c>
      <c r="F1573" t="s">
        <v>41</v>
      </c>
      <c r="G1573" t="s">
        <v>42</v>
      </c>
    </row>
    <row r="1574" spans="1:7" x14ac:dyDescent="0.2">
      <c r="A1574">
        <v>8</v>
      </c>
      <c r="B1574" t="s">
        <v>774</v>
      </c>
      <c r="C1574" t="s">
        <v>782</v>
      </c>
      <c r="D1574" t="s">
        <v>39</v>
      </c>
      <c r="E1574" t="s">
        <v>40</v>
      </c>
      <c r="F1574" t="s">
        <v>41</v>
      </c>
      <c r="G1574" t="s">
        <v>42</v>
      </c>
    </row>
    <row r="1575" spans="1:7" x14ac:dyDescent="0.2">
      <c r="A1575">
        <v>8</v>
      </c>
      <c r="B1575" t="s">
        <v>774</v>
      </c>
      <c r="C1575" t="s">
        <v>781</v>
      </c>
      <c r="D1575" t="s">
        <v>39</v>
      </c>
      <c r="E1575" t="s">
        <v>40</v>
      </c>
      <c r="F1575" t="s">
        <v>41</v>
      </c>
      <c r="G1575" t="s">
        <v>42</v>
      </c>
    </row>
    <row r="1576" spans="1:7" x14ac:dyDescent="0.2">
      <c r="A1576">
        <v>8</v>
      </c>
      <c r="B1576" t="s">
        <v>774</v>
      </c>
      <c r="C1576" t="s">
        <v>785</v>
      </c>
      <c r="D1576" t="s">
        <v>39</v>
      </c>
      <c r="E1576" t="s">
        <v>40</v>
      </c>
      <c r="F1576" t="s">
        <v>41</v>
      </c>
      <c r="G1576" t="s">
        <v>42</v>
      </c>
    </row>
    <row r="1577" spans="1:7" x14ac:dyDescent="0.2">
      <c r="A1577">
        <v>8</v>
      </c>
      <c r="B1577" t="s">
        <v>774</v>
      </c>
      <c r="C1577" t="s">
        <v>775</v>
      </c>
      <c r="D1577" t="s">
        <v>39</v>
      </c>
      <c r="E1577" t="s">
        <v>40</v>
      </c>
      <c r="F1577" t="s">
        <v>41</v>
      </c>
      <c r="G1577" t="s">
        <v>42</v>
      </c>
    </row>
    <row r="1578" spans="1:7" x14ac:dyDescent="0.2">
      <c r="A1578">
        <v>8</v>
      </c>
      <c r="B1578" t="s">
        <v>774</v>
      </c>
      <c r="C1578" t="s">
        <v>778</v>
      </c>
      <c r="D1578" t="s">
        <v>39</v>
      </c>
      <c r="E1578" t="s">
        <v>40</v>
      </c>
      <c r="F1578" t="s">
        <v>41</v>
      </c>
      <c r="G1578" t="s">
        <v>42</v>
      </c>
    </row>
    <row r="1579" spans="1:7" x14ac:dyDescent="0.2">
      <c r="A1579">
        <v>8</v>
      </c>
      <c r="B1579" t="s">
        <v>774</v>
      </c>
      <c r="C1579" t="s">
        <v>776</v>
      </c>
      <c r="D1579" t="s">
        <v>39</v>
      </c>
      <c r="E1579" t="s">
        <v>40</v>
      </c>
      <c r="F1579" t="s">
        <v>41</v>
      </c>
      <c r="G1579" t="s">
        <v>42</v>
      </c>
    </row>
    <row r="1580" spans="1:7" x14ac:dyDescent="0.2">
      <c r="A1580">
        <v>8</v>
      </c>
      <c r="B1580" t="s">
        <v>774</v>
      </c>
      <c r="C1580" t="s">
        <v>777</v>
      </c>
      <c r="D1580" t="s">
        <v>39</v>
      </c>
      <c r="E1580" t="s">
        <v>40</v>
      </c>
      <c r="F1580" t="s">
        <v>41</v>
      </c>
      <c r="G1580" t="s">
        <v>42</v>
      </c>
    </row>
    <row r="1581" spans="1:7" x14ac:dyDescent="0.2">
      <c r="A1581">
        <v>8</v>
      </c>
      <c r="B1581" t="s">
        <v>774</v>
      </c>
      <c r="C1581" t="s">
        <v>779</v>
      </c>
      <c r="D1581" t="s">
        <v>39</v>
      </c>
      <c r="E1581" t="s">
        <v>40</v>
      </c>
      <c r="F1581" t="s">
        <v>41</v>
      </c>
      <c r="G1581" t="s">
        <v>42</v>
      </c>
    </row>
    <row r="1582" spans="1:7" x14ac:dyDescent="0.2">
      <c r="A1582">
        <v>9</v>
      </c>
      <c r="B1582" t="s">
        <v>774</v>
      </c>
      <c r="C1582" t="s">
        <v>779</v>
      </c>
      <c r="D1582" t="s">
        <v>94</v>
      </c>
      <c r="E1582" t="s">
        <v>40</v>
      </c>
      <c r="F1582" t="s">
        <v>41</v>
      </c>
      <c r="G1582" t="s">
        <v>42</v>
      </c>
    </row>
    <row r="1583" spans="1:7" x14ac:dyDescent="0.2">
      <c r="A1583">
        <v>9</v>
      </c>
      <c r="B1583" t="s">
        <v>774</v>
      </c>
      <c r="C1583" t="s">
        <v>673</v>
      </c>
      <c r="D1583" t="s">
        <v>39</v>
      </c>
      <c r="E1583" t="s">
        <v>40</v>
      </c>
      <c r="F1583" t="s">
        <v>41</v>
      </c>
      <c r="G1583" t="s">
        <v>42</v>
      </c>
    </row>
    <row r="1584" spans="1:7" x14ac:dyDescent="0.2">
      <c r="A1584">
        <v>9</v>
      </c>
      <c r="B1584" t="s">
        <v>774</v>
      </c>
      <c r="C1584" t="s">
        <v>786</v>
      </c>
      <c r="D1584" t="s">
        <v>39</v>
      </c>
      <c r="E1584" t="s">
        <v>40</v>
      </c>
      <c r="F1584" t="s">
        <v>41</v>
      </c>
      <c r="G1584" t="s">
        <v>42</v>
      </c>
    </row>
    <row r="1585" spans="1:7" x14ac:dyDescent="0.2">
      <c r="A1585">
        <v>9</v>
      </c>
      <c r="B1585" t="s">
        <v>774</v>
      </c>
      <c r="C1585" t="s">
        <v>778</v>
      </c>
      <c r="D1585" t="s">
        <v>39</v>
      </c>
      <c r="E1585" t="s">
        <v>40</v>
      </c>
      <c r="F1585" t="s">
        <v>41</v>
      </c>
      <c r="G1585" t="s">
        <v>42</v>
      </c>
    </row>
    <row r="1586" spans="1:7" x14ac:dyDescent="0.2">
      <c r="A1586">
        <v>9</v>
      </c>
      <c r="B1586" t="s">
        <v>774</v>
      </c>
      <c r="C1586" t="s">
        <v>777</v>
      </c>
      <c r="D1586" t="s">
        <v>39</v>
      </c>
      <c r="E1586" t="s">
        <v>40</v>
      </c>
      <c r="F1586" t="s">
        <v>41</v>
      </c>
      <c r="G1586" t="s">
        <v>42</v>
      </c>
    </row>
    <row r="1587" spans="1:7" x14ac:dyDescent="0.2">
      <c r="A1587">
        <v>9</v>
      </c>
      <c r="B1587" t="s">
        <v>774</v>
      </c>
      <c r="C1587" t="s">
        <v>787</v>
      </c>
      <c r="D1587" t="s">
        <v>39</v>
      </c>
      <c r="E1587" t="s">
        <v>40</v>
      </c>
      <c r="F1587" t="s">
        <v>41</v>
      </c>
      <c r="G1587" t="s">
        <v>42</v>
      </c>
    </row>
    <row r="1588" spans="1:7" x14ac:dyDescent="0.2">
      <c r="A1588">
        <v>9</v>
      </c>
      <c r="B1588" t="s">
        <v>774</v>
      </c>
      <c r="C1588" t="s">
        <v>776</v>
      </c>
      <c r="D1588" t="s">
        <v>39</v>
      </c>
      <c r="E1588" t="s">
        <v>40</v>
      </c>
      <c r="F1588" t="s">
        <v>41</v>
      </c>
      <c r="G1588" t="s">
        <v>42</v>
      </c>
    </row>
    <row r="1589" spans="1:7" x14ac:dyDescent="0.2">
      <c r="A1589">
        <v>9</v>
      </c>
      <c r="B1589" t="s">
        <v>774</v>
      </c>
      <c r="C1589" t="s">
        <v>775</v>
      </c>
      <c r="D1589" t="s">
        <v>39</v>
      </c>
      <c r="E1589" t="s">
        <v>40</v>
      </c>
      <c r="F1589" t="s">
        <v>41</v>
      </c>
      <c r="G1589" t="s">
        <v>42</v>
      </c>
    </row>
    <row r="1590" spans="1:7" x14ac:dyDescent="0.2">
      <c r="A1590">
        <v>9</v>
      </c>
      <c r="B1590" t="s">
        <v>774</v>
      </c>
      <c r="C1590" t="s">
        <v>788</v>
      </c>
      <c r="D1590" t="s">
        <v>39</v>
      </c>
      <c r="E1590" t="s">
        <v>40</v>
      </c>
      <c r="F1590" t="s">
        <v>41</v>
      </c>
      <c r="G1590" t="s">
        <v>42</v>
      </c>
    </row>
    <row r="1591" spans="1:7" x14ac:dyDescent="0.2">
      <c r="A1591">
        <v>9</v>
      </c>
      <c r="B1591" t="s">
        <v>774</v>
      </c>
      <c r="C1591" t="s">
        <v>789</v>
      </c>
      <c r="D1591" t="s">
        <v>39</v>
      </c>
      <c r="E1591" t="s">
        <v>40</v>
      </c>
      <c r="F1591" t="s">
        <v>41</v>
      </c>
      <c r="G1591" t="s">
        <v>42</v>
      </c>
    </row>
    <row r="1592" spans="1:7" x14ac:dyDescent="0.2">
      <c r="A1592">
        <v>9</v>
      </c>
      <c r="B1592" t="s">
        <v>774</v>
      </c>
      <c r="C1592" t="s">
        <v>785</v>
      </c>
      <c r="D1592" t="s">
        <v>39</v>
      </c>
      <c r="E1592" t="s">
        <v>40</v>
      </c>
      <c r="F1592" t="s">
        <v>41</v>
      </c>
      <c r="G1592" t="s">
        <v>42</v>
      </c>
    </row>
    <row r="1593" spans="1:7" x14ac:dyDescent="0.2">
      <c r="A1593">
        <v>9</v>
      </c>
      <c r="B1593" t="s">
        <v>774</v>
      </c>
      <c r="C1593" t="s">
        <v>781</v>
      </c>
      <c r="D1593" t="s">
        <v>39</v>
      </c>
      <c r="E1593" t="s">
        <v>40</v>
      </c>
      <c r="F1593" t="s">
        <v>41</v>
      </c>
      <c r="G1593" t="s">
        <v>42</v>
      </c>
    </row>
    <row r="1594" spans="1:7" x14ac:dyDescent="0.2">
      <c r="A1594">
        <v>9</v>
      </c>
      <c r="B1594" t="s">
        <v>774</v>
      </c>
      <c r="C1594" t="s">
        <v>782</v>
      </c>
      <c r="D1594" t="s">
        <v>39</v>
      </c>
      <c r="E1594" t="s">
        <v>40</v>
      </c>
      <c r="F1594" t="s">
        <v>41</v>
      </c>
      <c r="G1594" t="s">
        <v>42</v>
      </c>
    </row>
    <row r="1595" spans="1:7" x14ac:dyDescent="0.2">
      <c r="A1595">
        <v>9</v>
      </c>
      <c r="B1595" t="s">
        <v>774</v>
      </c>
      <c r="C1595" t="s">
        <v>981</v>
      </c>
      <c r="D1595" t="s">
        <v>39</v>
      </c>
      <c r="E1595" t="s">
        <v>40</v>
      </c>
      <c r="F1595" t="s">
        <v>41</v>
      </c>
      <c r="G1595" t="s">
        <v>42</v>
      </c>
    </row>
    <row r="1596" spans="1:7" x14ac:dyDescent="0.2">
      <c r="A1596">
        <v>9</v>
      </c>
      <c r="B1596" t="s">
        <v>774</v>
      </c>
      <c r="C1596" t="s">
        <v>783</v>
      </c>
      <c r="D1596" t="s">
        <v>39</v>
      </c>
      <c r="E1596" t="s">
        <v>40</v>
      </c>
      <c r="F1596" t="s">
        <v>41</v>
      </c>
      <c r="G1596" t="s">
        <v>42</v>
      </c>
    </row>
    <row r="1597" spans="1:7" x14ac:dyDescent="0.2">
      <c r="A1597">
        <v>9</v>
      </c>
      <c r="B1597" t="s">
        <v>774</v>
      </c>
      <c r="C1597" t="s">
        <v>780</v>
      </c>
      <c r="D1597" t="s">
        <v>39</v>
      </c>
      <c r="E1597" t="s">
        <v>40</v>
      </c>
      <c r="F1597" t="s">
        <v>41</v>
      </c>
      <c r="G1597" t="s">
        <v>42</v>
      </c>
    </row>
    <row r="1598" spans="1:7" x14ac:dyDescent="0.2">
      <c r="A1598">
        <v>9</v>
      </c>
      <c r="B1598" t="s">
        <v>774</v>
      </c>
      <c r="C1598" t="s">
        <v>790</v>
      </c>
      <c r="D1598" t="s">
        <v>39</v>
      </c>
      <c r="E1598" t="s">
        <v>40</v>
      </c>
      <c r="F1598" t="s">
        <v>41</v>
      </c>
      <c r="G1598" t="s">
        <v>42</v>
      </c>
    </row>
    <row r="1599" spans="1:7" x14ac:dyDescent="0.2">
      <c r="A1599">
        <v>9</v>
      </c>
      <c r="B1599" t="s">
        <v>774</v>
      </c>
      <c r="C1599" t="s">
        <v>784</v>
      </c>
      <c r="D1599" t="s">
        <v>39</v>
      </c>
      <c r="E1599" t="s">
        <v>40</v>
      </c>
      <c r="F1599" t="s">
        <v>41</v>
      </c>
      <c r="G1599" t="s">
        <v>42</v>
      </c>
    </row>
    <row r="1600" spans="1:7" x14ac:dyDescent="0.2">
      <c r="A1600">
        <v>10</v>
      </c>
      <c r="B1600" t="s">
        <v>774</v>
      </c>
      <c r="C1600" t="s">
        <v>783</v>
      </c>
      <c r="D1600" t="s">
        <v>39</v>
      </c>
      <c r="E1600" t="s">
        <v>46</v>
      </c>
      <c r="F1600" t="s">
        <v>41</v>
      </c>
      <c r="G1600" t="s">
        <v>42</v>
      </c>
    </row>
    <row r="1601" spans="1:7" x14ac:dyDescent="0.2">
      <c r="A1601">
        <v>10</v>
      </c>
      <c r="B1601" t="s">
        <v>774</v>
      </c>
      <c r="C1601" t="s">
        <v>782</v>
      </c>
      <c r="D1601" t="s">
        <v>39</v>
      </c>
      <c r="E1601" t="s">
        <v>46</v>
      </c>
      <c r="F1601" t="s">
        <v>41</v>
      </c>
      <c r="G1601" t="s">
        <v>42</v>
      </c>
    </row>
    <row r="1602" spans="1:7" x14ac:dyDescent="0.2">
      <c r="A1602">
        <v>10</v>
      </c>
      <c r="B1602" t="s">
        <v>774</v>
      </c>
      <c r="C1602" t="s">
        <v>781</v>
      </c>
      <c r="D1602" t="s">
        <v>39</v>
      </c>
      <c r="E1602" t="s">
        <v>46</v>
      </c>
      <c r="F1602" t="s">
        <v>41</v>
      </c>
      <c r="G1602" t="s">
        <v>42</v>
      </c>
    </row>
    <row r="1603" spans="1:7" x14ac:dyDescent="0.2">
      <c r="A1603">
        <v>10</v>
      </c>
      <c r="B1603" t="s">
        <v>774</v>
      </c>
      <c r="C1603" t="s">
        <v>785</v>
      </c>
      <c r="D1603" t="s">
        <v>39</v>
      </c>
      <c r="E1603" t="s">
        <v>46</v>
      </c>
      <c r="F1603" t="s">
        <v>41</v>
      </c>
      <c r="G1603" t="s">
        <v>42</v>
      </c>
    </row>
    <row r="1604" spans="1:7" x14ac:dyDescent="0.2">
      <c r="A1604">
        <v>10</v>
      </c>
      <c r="B1604" t="s">
        <v>774</v>
      </c>
      <c r="C1604" t="s">
        <v>791</v>
      </c>
      <c r="D1604" t="s">
        <v>39</v>
      </c>
      <c r="E1604" t="s">
        <v>46</v>
      </c>
      <c r="F1604" t="s">
        <v>41</v>
      </c>
      <c r="G1604" t="s">
        <v>42</v>
      </c>
    </row>
    <row r="1605" spans="1:7" x14ac:dyDescent="0.2">
      <c r="A1605">
        <v>10</v>
      </c>
      <c r="B1605" t="s">
        <v>774</v>
      </c>
      <c r="C1605" t="s">
        <v>792</v>
      </c>
      <c r="D1605" t="s">
        <v>39</v>
      </c>
      <c r="E1605" t="s">
        <v>46</v>
      </c>
      <c r="F1605" t="s">
        <v>41</v>
      </c>
      <c r="G1605" t="s">
        <v>42</v>
      </c>
    </row>
    <row r="1606" spans="1:7" x14ac:dyDescent="0.2">
      <c r="A1606">
        <v>10</v>
      </c>
      <c r="B1606" t="s">
        <v>774</v>
      </c>
      <c r="C1606" t="s">
        <v>789</v>
      </c>
      <c r="D1606" t="s">
        <v>39</v>
      </c>
      <c r="E1606" t="s">
        <v>46</v>
      </c>
      <c r="F1606" t="s">
        <v>41</v>
      </c>
      <c r="G1606" t="s">
        <v>42</v>
      </c>
    </row>
    <row r="1607" spans="1:7" x14ac:dyDescent="0.2">
      <c r="A1607">
        <v>10</v>
      </c>
      <c r="B1607" t="s">
        <v>774</v>
      </c>
      <c r="C1607" t="s">
        <v>788</v>
      </c>
      <c r="D1607" t="s">
        <v>39</v>
      </c>
      <c r="E1607" t="s">
        <v>46</v>
      </c>
      <c r="F1607" t="s">
        <v>41</v>
      </c>
      <c r="G1607" t="s">
        <v>42</v>
      </c>
    </row>
    <row r="1608" spans="1:7" x14ac:dyDescent="0.2">
      <c r="A1608">
        <v>10</v>
      </c>
      <c r="B1608" t="s">
        <v>774</v>
      </c>
      <c r="C1608" t="s">
        <v>793</v>
      </c>
      <c r="D1608" t="s">
        <v>39</v>
      </c>
      <c r="E1608" t="s">
        <v>46</v>
      </c>
      <c r="F1608" t="s">
        <v>41</v>
      </c>
      <c r="G1608" t="s">
        <v>42</v>
      </c>
    </row>
    <row r="1609" spans="1:7" x14ac:dyDescent="0.2">
      <c r="A1609">
        <v>10</v>
      </c>
      <c r="B1609" t="s">
        <v>774</v>
      </c>
      <c r="C1609" t="s">
        <v>794</v>
      </c>
      <c r="D1609" t="s">
        <v>39</v>
      </c>
      <c r="E1609" t="s">
        <v>46</v>
      </c>
      <c r="F1609" t="s">
        <v>41</v>
      </c>
      <c r="G1609" t="s">
        <v>42</v>
      </c>
    </row>
    <row r="1610" spans="1:7" x14ac:dyDescent="0.2">
      <c r="A1610">
        <v>10</v>
      </c>
      <c r="B1610" t="s">
        <v>774</v>
      </c>
      <c r="C1610" t="s">
        <v>795</v>
      </c>
      <c r="D1610" t="s">
        <v>39</v>
      </c>
      <c r="E1610" t="s">
        <v>46</v>
      </c>
      <c r="F1610" t="s">
        <v>47</v>
      </c>
      <c r="G1610" t="s">
        <v>42</v>
      </c>
    </row>
    <row r="1611" spans="1:7" x14ac:dyDescent="0.2">
      <c r="A1611">
        <v>10</v>
      </c>
      <c r="B1611" t="s">
        <v>774</v>
      </c>
      <c r="C1611" t="s">
        <v>796</v>
      </c>
      <c r="D1611" t="s">
        <v>39</v>
      </c>
      <c r="E1611" t="s">
        <v>46</v>
      </c>
      <c r="F1611" t="s">
        <v>41</v>
      </c>
      <c r="G1611" t="s">
        <v>42</v>
      </c>
    </row>
    <row r="1612" spans="1:7" x14ac:dyDescent="0.2">
      <c r="A1612">
        <v>10</v>
      </c>
      <c r="B1612" t="s">
        <v>774</v>
      </c>
      <c r="C1612" t="s">
        <v>797</v>
      </c>
      <c r="D1612" t="s">
        <v>39</v>
      </c>
      <c r="E1612" t="s">
        <v>46</v>
      </c>
      <c r="F1612" t="s">
        <v>41</v>
      </c>
      <c r="G1612" t="s">
        <v>42</v>
      </c>
    </row>
    <row r="1613" spans="1:7" x14ac:dyDescent="0.2">
      <c r="A1613">
        <v>10</v>
      </c>
      <c r="B1613" t="s">
        <v>774</v>
      </c>
      <c r="C1613" t="s">
        <v>798</v>
      </c>
      <c r="D1613" t="s">
        <v>39</v>
      </c>
      <c r="E1613" t="s">
        <v>46</v>
      </c>
      <c r="F1613" t="s">
        <v>41</v>
      </c>
      <c r="G1613" t="s">
        <v>42</v>
      </c>
    </row>
    <row r="1614" spans="1:7" x14ac:dyDescent="0.2">
      <c r="A1614">
        <v>10</v>
      </c>
      <c r="B1614" t="s">
        <v>774</v>
      </c>
      <c r="C1614" t="s">
        <v>799</v>
      </c>
      <c r="D1614" t="s">
        <v>39</v>
      </c>
      <c r="E1614" t="s">
        <v>46</v>
      </c>
      <c r="F1614" t="s">
        <v>41</v>
      </c>
      <c r="G1614" t="s">
        <v>42</v>
      </c>
    </row>
    <row r="1615" spans="1:7" x14ac:dyDescent="0.2">
      <c r="A1615">
        <v>10</v>
      </c>
      <c r="B1615" t="s">
        <v>774</v>
      </c>
      <c r="C1615" t="s">
        <v>800</v>
      </c>
      <c r="D1615" t="s">
        <v>39</v>
      </c>
      <c r="E1615" t="s">
        <v>46</v>
      </c>
      <c r="F1615" t="s">
        <v>41</v>
      </c>
      <c r="G1615" t="s">
        <v>42</v>
      </c>
    </row>
    <row r="1616" spans="1:7" x14ac:dyDescent="0.2">
      <c r="A1616">
        <v>10</v>
      </c>
      <c r="B1616" t="s">
        <v>774</v>
      </c>
      <c r="C1616" t="s">
        <v>801</v>
      </c>
      <c r="D1616" t="s">
        <v>39</v>
      </c>
      <c r="E1616" t="s">
        <v>46</v>
      </c>
      <c r="F1616" t="s">
        <v>47</v>
      </c>
      <c r="G1616" t="s">
        <v>42</v>
      </c>
    </row>
    <row r="1617" spans="1:7" x14ac:dyDescent="0.2">
      <c r="A1617">
        <v>10</v>
      </c>
      <c r="B1617" t="s">
        <v>774</v>
      </c>
      <c r="C1617" t="s">
        <v>802</v>
      </c>
      <c r="D1617" t="s">
        <v>39</v>
      </c>
      <c r="E1617" t="s">
        <v>46</v>
      </c>
      <c r="F1617" t="s">
        <v>41</v>
      </c>
      <c r="G1617" t="s">
        <v>42</v>
      </c>
    </row>
    <row r="1618" spans="1:7" x14ac:dyDescent="0.2">
      <c r="A1618">
        <v>10</v>
      </c>
      <c r="B1618" t="s">
        <v>774</v>
      </c>
      <c r="C1618" t="s">
        <v>803</v>
      </c>
      <c r="D1618" t="s">
        <v>39</v>
      </c>
      <c r="E1618" t="s">
        <v>46</v>
      </c>
      <c r="F1618" t="s">
        <v>41</v>
      </c>
      <c r="G1618" t="s">
        <v>42</v>
      </c>
    </row>
    <row r="1619" spans="1:7" x14ac:dyDescent="0.2">
      <c r="A1619">
        <v>10</v>
      </c>
      <c r="B1619" t="s">
        <v>774</v>
      </c>
      <c r="C1619" t="s">
        <v>804</v>
      </c>
      <c r="D1619" t="s">
        <v>39</v>
      </c>
      <c r="E1619" t="s">
        <v>46</v>
      </c>
      <c r="F1619" t="s">
        <v>41</v>
      </c>
      <c r="G1619" t="s">
        <v>42</v>
      </c>
    </row>
    <row r="1620" spans="1:7" x14ac:dyDescent="0.2">
      <c r="A1620">
        <v>10</v>
      </c>
      <c r="B1620" t="s">
        <v>774</v>
      </c>
      <c r="C1620" t="s">
        <v>805</v>
      </c>
      <c r="D1620" t="s">
        <v>39</v>
      </c>
      <c r="E1620" t="s">
        <v>46</v>
      </c>
      <c r="F1620" t="s">
        <v>41</v>
      </c>
      <c r="G1620" t="s">
        <v>42</v>
      </c>
    </row>
    <row r="1621" spans="1:7" x14ac:dyDescent="0.2">
      <c r="A1621">
        <v>10</v>
      </c>
      <c r="B1621" t="s">
        <v>774</v>
      </c>
      <c r="C1621" t="s">
        <v>806</v>
      </c>
      <c r="D1621" t="s">
        <v>39</v>
      </c>
      <c r="E1621" t="s">
        <v>46</v>
      </c>
      <c r="F1621" t="s">
        <v>41</v>
      </c>
      <c r="G1621" t="s">
        <v>42</v>
      </c>
    </row>
    <row r="1622" spans="1:7" x14ac:dyDescent="0.2">
      <c r="A1622">
        <v>10</v>
      </c>
      <c r="B1622" t="s">
        <v>774</v>
      </c>
      <c r="C1622" t="s">
        <v>807</v>
      </c>
      <c r="D1622" t="s">
        <v>39</v>
      </c>
      <c r="E1622" t="s">
        <v>46</v>
      </c>
      <c r="F1622" t="s">
        <v>41</v>
      </c>
      <c r="G1622" t="s">
        <v>42</v>
      </c>
    </row>
    <row r="1623" spans="1:7" x14ac:dyDescent="0.2">
      <c r="A1623">
        <v>10</v>
      </c>
      <c r="B1623" t="s">
        <v>774</v>
      </c>
      <c r="C1623" t="s">
        <v>808</v>
      </c>
      <c r="D1623" t="s">
        <v>39</v>
      </c>
      <c r="E1623" t="s">
        <v>46</v>
      </c>
      <c r="F1623" t="s">
        <v>41</v>
      </c>
      <c r="G1623" t="s">
        <v>42</v>
      </c>
    </row>
    <row r="1624" spans="1:7" x14ac:dyDescent="0.2">
      <c r="A1624">
        <v>10</v>
      </c>
      <c r="B1624" t="s">
        <v>774</v>
      </c>
      <c r="C1624" t="s">
        <v>809</v>
      </c>
      <c r="D1624" t="s">
        <v>39</v>
      </c>
      <c r="E1624" t="s">
        <v>46</v>
      </c>
      <c r="F1624" t="s">
        <v>41</v>
      </c>
      <c r="G1624" t="s">
        <v>42</v>
      </c>
    </row>
    <row r="1625" spans="1:7" x14ac:dyDescent="0.2">
      <c r="A1625">
        <v>10</v>
      </c>
      <c r="B1625" t="s">
        <v>774</v>
      </c>
      <c r="C1625" t="s">
        <v>810</v>
      </c>
      <c r="D1625" t="s">
        <v>39</v>
      </c>
      <c r="E1625" t="s">
        <v>46</v>
      </c>
      <c r="F1625" t="s">
        <v>41</v>
      </c>
      <c r="G1625" t="s">
        <v>42</v>
      </c>
    </row>
    <row r="1626" spans="1:7" x14ac:dyDescent="0.2">
      <c r="A1626">
        <v>10</v>
      </c>
      <c r="B1626" t="s">
        <v>774</v>
      </c>
      <c r="C1626" t="s">
        <v>811</v>
      </c>
      <c r="D1626" t="s">
        <v>39</v>
      </c>
      <c r="E1626" t="s">
        <v>46</v>
      </c>
      <c r="F1626" t="s">
        <v>41</v>
      </c>
      <c r="G1626" t="s">
        <v>42</v>
      </c>
    </row>
    <row r="1627" spans="1:7" x14ac:dyDescent="0.2">
      <c r="A1627">
        <v>10</v>
      </c>
      <c r="B1627" t="s">
        <v>774</v>
      </c>
      <c r="C1627" t="s">
        <v>812</v>
      </c>
      <c r="D1627" t="s">
        <v>39</v>
      </c>
      <c r="E1627" t="s">
        <v>46</v>
      </c>
      <c r="F1627" t="s">
        <v>41</v>
      </c>
      <c r="G1627" t="s">
        <v>42</v>
      </c>
    </row>
    <row r="1628" spans="1:7" x14ac:dyDescent="0.2">
      <c r="A1628">
        <v>10</v>
      </c>
      <c r="B1628" t="s">
        <v>774</v>
      </c>
      <c r="C1628" t="s">
        <v>813</v>
      </c>
      <c r="D1628" t="s">
        <v>39</v>
      </c>
      <c r="E1628" t="s">
        <v>46</v>
      </c>
      <c r="F1628" t="s">
        <v>41</v>
      </c>
      <c r="G1628" t="s">
        <v>42</v>
      </c>
    </row>
    <row r="1629" spans="1:7" x14ac:dyDescent="0.2">
      <c r="A1629">
        <v>10</v>
      </c>
      <c r="B1629" t="s">
        <v>774</v>
      </c>
      <c r="C1629" t="s">
        <v>779</v>
      </c>
      <c r="D1629" t="s">
        <v>39</v>
      </c>
      <c r="E1629" t="s">
        <v>46</v>
      </c>
      <c r="F1629" t="s">
        <v>41</v>
      </c>
      <c r="G1629" t="s">
        <v>42</v>
      </c>
    </row>
    <row r="1630" spans="1:7" x14ac:dyDescent="0.2">
      <c r="A1630">
        <v>10</v>
      </c>
      <c r="B1630" t="s">
        <v>774</v>
      </c>
      <c r="C1630" t="s">
        <v>814</v>
      </c>
      <c r="D1630" t="s">
        <v>39</v>
      </c>
      <c r="E1630" t="s">
        <v>46</v>
      </c>
      <c r="F1630" t="s">
        <v>41</v>
      </c>
      <c r="G1630" t="s">
        <v>42</v>
      </c>
    </row>
    <row r="1631" spans="1:7" x14ac:dyDescent="0.2">
      <c r="A1631">
        <v>10</v>
      </c>
      <c r="B1631" t="s">
        <v>774</v>
      </c>
      <c r="C1631" t="s">
        <v>815</v>
      </c>
      <c r="D1631" t="s">
        <v>39</v>
      </c>
      <c r="E1631" t="s">
        <v>46</v>
      </c>
      <c r="F1631" t="s">
        <v>41</v>
      </c>
      <c r="G1631" t="s">
        <v>42</v>
      </c>
    </row>
    <row r="1632" spans="1:7" x14ac:dyDescent="0.2">
      <c r="A1632">
        <v>10</v>
      </c>
      <c r="B1632" t="s">
        <v>774</v>
      </c>
      <c r="C1632" t="s">
        <v>816</v>
      </c>
      <c r="D1632" t="s">
        <v>39</v>
      </c>
      <c r="E1632" t="s">
        <v>46</v>
      </c>
      <c r="F1632" t="s">
        <v>41</v>
      </c>
      <c r="G1632" t="s">
        <v>42</v>
      </c>
    </row>
    <row r="1633" spans="1:7" x14ac:dyDescent="0.2">
      <c r="A1633">
        <v>10</v>
      </c>
      <c r="B1633" t="s">
        <v>774</v>
      </c>
      <c r="C1633" t="s">
        <v>817</v>
      </c>
      <c r="D1633" t="s">
        <v>39</v>
      </c>
      <c r="E1633" t="s">
        <v>46</v>
      </c>
      <c r="F1633" t="s">
        <v>41</v>
      </c>
      <c r="G1633" t="s">
        <v>42</v>
      </c>
    </row>
    <row r="1634" spans="1:7" x14ac:dyDescent="0.2">
      <c r="A1634">
        <v>10</v>
      </c>
      <c r="B1634" t="s">
        <v>774</v>
      </c>
      <c r="C1634" t="s">
        <v>818</v>
      </c>
      <c r="D1634" t="s">
        <v>39</v>
      </c>
      <c r="E1634" t="s">
        <v>46</v>
      </c>
      <c r="F1634" t="s">
        <v>41</v>
      </c>
      <c r="G1634" t="s">
        <v>42</v>
      </c>
    </row>
    <row r="1635" spans="1:7" x14ac:dyDescent="0.2">
      <c r="A1635">
        <v>10</v>
      </c>
      <c r="B1635" t="s">
        <v>774</v>
      </c>
      <c r="C1635" t="s">
        <v>819</v>
      </c>
      <c r="D1635" t="s">
        <v>39</v>
      </c>
      <c r="E1635" t="s">
        <v>46</v>
      </c>
      <c r="F1635" t="s">
        <v>41</v>
      </c>
      <c r="G1635" t="s">
        <v>42</v>
      </c>
    </row>
    <row r="1636" spans="1:7" x14ac:dyDescent="0.2">
      <c r="A1636">
        <v>10</v>
      </c>
      <c r="B1636" t="s">
        <v>774</v>
      </c>
      <c r="C1636" t="s">
        <v>820</v>
      </c>
      <c r="D1636" t="s">
        <v>39</v>
      </c>
      <c r="E1636" t="s">
        <v>46</v>
      </c>
      <c r="F1636" t="s">
        <v>41</v>
      </c>
      <c r="G1636" t="s">
        <v>42</v>
      </c>
    </row>
    <row r="1637" spans="1:7" x14ac:dyDescent="0.2">
      <c r="A1637">
        <v>10</v>
      </c>
      <c r="B1637" t="s">
        <v>774</v>
      </c>
      <c r="C1637" t="s">
        <v>821</v>
      </c>
      <c r="D1637" t="s">
        <v>39</v>
      </c>
      <c r="E1637" t="s">
        <v>46</v>
      </c>
      <c r="F1637" t="s">
        <v>41</v>
      </c>
      <c r="G1637" t="s">
        <v>42</v>
      </c>
    </row>
    <row r="1638" spans="1:7" x14ac:dyDescent="0.2">
      <c r="A1638">
        <v>10</v>
      </c>
      <c r="B1638" t="s">
        <v>774</v>
      </c>
      <c r="C1638" t="s">
        <v>822</v>
      </c>
      <c r="D1638" t="s">
        <v>39</v>
      </c>
      <c r="E1638" t="s">
        <v>46</v>
      </c>
      <c r="F1638" t="s">
        <v>41</v>
      </c>
      <c r="G1638" t="s">
        <v>42</v>
      </c>
    </row>
    <row r="1639" spans="1:7" x14ac:dyDescent="0.2">
      <c r="A1639">
        <v>10</v>
      </c>
      <c r="B1639" t="s">
        <v>774</v>
      </c>
      <c r="C1639" t="s">
        <v>823</v>
      </c>
      <c r="D1639" t="s">
        <v>39</v>
      </c>
      <c r="E1639" t="s">
        <v>46</v>
      </c>
      <c r="F1639" t="s">
        <v>41</v>
      </c>
      <c r="G1639" t="s">
        <v>42</v>
      </c>
    </row>
    <row r="1640" spans="1:7" x14ac:dyDescent="0.2">
      <c r="A1640">
        <v>10</v>
      </c>
      <c r="B1640" t="s">
        <v>774</v>
      </c>
      <c r="C1640" t="s">
        <v>824</v>
      </c>
      <c r="D1640" t="s">
        <v>39</v>
      </c>
      <c r="E1640" t="s">
        <v>46</v>
      </c>
      <c r="F1640" t="s">
        <v>41</v>
      </c>
      <c r="G1640" t="s">
        <v>42</v>
      </c>
    </row>
    <row r="1641" spans="1:7" x14ac:dyDescent="0.2">
      <c r="A1641">
        <v>10</v>
      </c>
      <c r="B1641" t="s">
        <v>774</v>
      </c>
      <c r="C1641" t="s">
        <v>825</v>
      </c>
      <c r="D1641" t="s">
        <v>39</v>
      </c>
      <c r="E1641" t="s">
        <v>46</v>
      </c>
      <c r="F1641" t="s">
        <v>41</v>
      </c>
      <c r="G1641" t="s">
        <v>42</v>
      </c>
    </row>
    <row r="1642" spans="1:7" x14ac:dyDescent="0.2">
      <c r="A1642">
        <v>10</v>
      </c>
      <c r="B1642" t="s">
        <v>774</v>
      </c>
      <c r="C1642" t="s">
        <v>673</v>
      </c>
      <c r="D1642" t="s">
        <v>39</v>
      </c>
      <c r="E1642" t="s">
        <v>46</v>
      </c>
      <c r="F1642" t="s">
        <v>41</v>
      </c>
      <c r="G1642" t="s">
        <v>42</v>
      </c>
    </row>
    <row r="1643" spans="1:7" x14ac:dyDescent="0.2">
      <c r="A1643">
        <v>10</v>
      </c>
      <c r="B1643" t="s">
        <v>774</v>
      </c>
      <c r="C1643" t="s">
        <v>786</v>
      </c>
      <c r="D1643" t="s">
        <v>39</v>
      </c>
      <c r="E1643" t="s">
        <v>46</v>
      </c>
      <c r="F1643" t="s">
        <v>41</v>
      </c>
      <c r="G1643" t="s">
        <v>42</v>
      </c>
    </row>
    <row r="1644" spans="1:7" x14ac:dyDescent="0.2">
      <c r="A1644">
        <v>10</v>
      </c>
      <c r="B1644" t="s">
        <v>774</v>
      </c>
      <c r="C1644" t="s">
        <v>778</v>
      </c>
      <c r="D1644" t="s">
        <v>39</v>
      </c>
      <c r="E1644" t="s">
        <v>46</v>
      </c>
      <c r="F1644" t="s">
        <v>41</v>
      </c>
      <c r="G1644" t="s">
        <v>42</v>
      </c>
    </row>
    <row r="1645" spans="1:7" x14ac:dyDescent="0.2">
      <c r="A1645">
        <v>10</v>
      </c>
      <c r="B1645" t="s">
        <v>774</v>
      </c>
      <c r="C1645" t="s">
        <v>777</v>
      </c>
      <c r="D1645" t="s">
        <v>39</v>
      </c>
      <c r="E1645" t="s">
        <v>46</v>
      </c>
      <c r="F1645" t="s">
        <v>41</v>
      </c>
      <c r="G1645" t="s">
        <v>42</v>
      </c>
    </row>
    <row r="1646" spans="1:7" x14ac:dyDescent="0.2">
      <c r="A1646">
        <v>10</v>
      </c>
      <c r="B1646" t="s">
        <v>774</v>
      </c>
      <c r="C1646" t="s">
        <v>826</v>
      </c>
      <c r="D1646" t="s">
        <v>39</v>
      </c>
      <c r="E1646" t="s">
        <v>46</v>
      </c>
      <c r="F1646" t="s">
        <v>41</v>
      </c>
      <c r="G1646" t="s">
        <v>42</v>
      </c>
    </row>
    <row r="1647" spans="1:7" x14ac:dyDescent="0.2">
      <c r="A1647">
        <v>10</v>
      </c>
      <c r="B1647" t="s">
        <v>774</v>
      </c>
      <c r="C1647" t="s">
        <v>787</v>
      </c>
      <c r="D1647" t="s">
        <v>39</v>
      </c>
      <c r="E1647" t="s">
        <v>46</v>
      </c>
      <c r="F1647" t="s">
        <v>41</v>
      </c>
      <c r="G1647" t="s">
        <v>42</v>
      </c>
    </row>
    <row r="1648" spans="1:7" x14ac:dyDescent="0.2">
      <c r="A1648">
        <v>10</v>
      </c>
      <c r="B1648" t="s">
        <v>774</v>
      </c>
      <c r="C1648" t="s">
        <v>776</v>
      </c>
      <c r="D1648" t="s">
        <v>39</v>
      </c>
      <c r="E1648" t="s">
        <v>46</v>
      </c>
      <c r="F1648" t="s">
        <v>41</v>
      </c>
      <c r="G1648" t="s">
        <v>42</v>
      </c>
    </row>
    <row r="1649" spans="1:7" x14ac:dyDescent="0.2">
      <c r="A1649">
        <v>10</v>
      </c>
      <c r="B1649" t="s">
        <v>774</v>
      </c>
      <c r="C1649" t="s">
        <v>827</v>
      </c>
      <c r="D1649" t="s">
        <v>39</v>
      </c>
      <c r="E1649" t="s">
        <v>46</v>
      </c>
      <c r="F1649" t="s">
        <v>41</v>
      </c>
      <c r="G1649" t="s">
        <v>42</v>
      </c>
    </row>
    <row r="1650" spans="1:7" x14ac:dyDescent="0.2">
      <c r="A1650">
        <v>10</v>
      </c>
      <c r="B1650" t="s">
        <v>774</v>
      </c>
      <c r="C1650" t="s">
        <v>828</v>
      </c>
      <c r="D1650" t="s">
        <v>39</v>
      </c>
      <c r="E1650" t="s">
        <v>46</v>
      </c>
      <c r="F1650" t="s">
        <v>47</v>
      </c>
      <c r="G1650" t="s">
        <v>42</v>
      </c>
    </row>
    <row r="1651" spans="1:7" x14ac:dyDescent="0.2">
      <c r="A1651">
        <v>10</v>
      </c>
      <c r="B1651" t="s">
        <v>774</v>
      </c>
      <c r="C1651" t="s">
        <v>829</v>
      </c>
      <c r="D1651" t="s">
        <v>39</v>
      </c>
      <c r="E1651" t="s">
        <v>46</v>
      </c>
      <c r="F1651" t="s">
        <v>47</v>
      </c>
      <c r="G1651" t="s">
        <v>42</v>
      </c>
    </row>
    <row r="1652" spans="1:7" x14ac:dyDescent="0.2">
      <c r="A1652">
        <v>10</v>
      </c>
      <c r="B1652" t="s">
        <v>774</v>
      </c>
      <c r="C1652" t="s">
        <v>652</v>
      </c>
      <c r="D1652" t="s">
        <v>39</v>
      </c>
      <c r="E1652" t="s">
        <v>46</v>
      </c>
      <c r="F1652" t="s">
        <v>47</v>
      </c>
      <c r="G1652" t="s">
        <v>42</v>
      </c>
    </row>
    <row r="1653" spans="1:7" x14ac:dyDescent="0.2">
      <c r="A1653">
        <v>10</v>
      </c>
      <c r="B1653" t="s">
        <v>774</v>
      </c>
      <c r="C1653" t="s">
        <v>830</v>
      </c>
      <c r="D1653" t="s">
        <v>39</v>
      </c>
      <c r="E1653" t="s">
        <v>46</v>
      </c>
      <c r="F1653" t="s">
        <v>47</v>
      </c>
      <c r="G1653" t="s">
        <v>42</v>
      </c>
    </row>
    <row r="1654" spans="1:7" x14ac:dyDescent="0.2">
      <c r="A1654">
        <v>10</v>
      </c>
      <c r="B1654" t="s">
        <v>774</v>
      </c>
      <c r="C1654" t="s">
        <v>831</v>
      </c>
      <c r="D1654" t="s">
        <v>39</v>
      </c>
      <c r="E1654" t="s">
        <v>46</v>
      </c>
      <c r="F1654" t="s">
        <v>47</v>
      </c>
      <c r="G1654" t="s">
        <v>42</v>
      </c>
    </row>
    <row r="1655" spans="1:7" x14ac:dyDescent="0.2">
      <c r="A1655">
        <v>10</v>
      </c>
      <c r="B1655" t="s">
        <v>774</v>
      </c>
      <c r="C1655" t="s">
        <v>832</v>
      </c>
      <c r="D1655" t="s">
        <v>39</v>
      </c>
      <c r="E1655" t="s">
        <v>46</v>
      </c>
      <c r="F1655" t="s">
        <v>47</v>
      </c>
      <c r="G1655" t="s">
        <v>42</v>
      </c>
    </row>
    <row r="1656" spans="1:7" x14ac:dyDescent="0.2">
      <c r="A1656">
        <v>10</v>
      </c>
      <c r="B1656" t="s">
        <v>774</v>
      </c>
      <c r="C1656" t="s">
        <v>833</v>
      </c>
      <c r="D1656" t="s">
        <v>39</v>
      </c>
      <c r="E1656" t="s">
        <v>46</v>
      </c>
      <c r="F1656" t="s">
        <v>47</v>
      </c>
      <c r="G1656" t="s">
        <v>42</v>
      </c>
    </row>
    <row r="1657" spans="1:7" x14ac:dyDescent="0.2">
      <c r="A1657">
        <v>10</v>
      </c>
      <c r="B1657" t="s">
        <v>774</v>
      </c>
      <c r="C1657" t="s">
        <v>834</v>
      </c>
      <c r="D1657" t="s">
        <v>39</v>
      </c>
      <c r="E1657" t="s">
        <v>46</v>
      </c>
      <c r="F1657" t="s">
        <v>47</v>
      </c>
      <c r="G1657" t="s">
        <v>42</v>
      </c>
    </row>
    <row r="1658" spans="1:7" x14ac:dyDescent="0.2">
      <c r="A1658">
        <v>11</v>
      </c>
      <c r="B1658" t="s">
        <v>774</v>
      </c>
      <c r="C1658" t="s">
        <v>652</v>
      </c>
      <c r="D1658" t="s">
        <v>39</v>
      </c>
      <c r="E1658" t="s">
        <v>46</v>
      </c>
      <c r="F1658" t="s">
        <v>47</v>
      </c>
      <c r="G1658" t="s">
        <v>42</v>
      </c>
    </row>
    <row r="1659" spans="1:7" x14ac:dyDescent="0.2">
      <c r="A1659">
        <v>11</v>
      </c>
      <c r="B1659" t="s">
        <v>774</v>
      </c>
      <c r="C1659" t="s">
        <v>835</v>
      </c>
      <c r="D1659" t="s">
        <v>39</v>
      </c>
      <c r="E1659" t="s">
        <v>46</v>
      </c>
      <c r="F1659" t="s">
        <v>51</v>
      </c>
      <c r="G1659" t="s">
        <v>42</v>
      </c>
    </row>
    <row r="1660" spans="1:7" x14ac:dyDescent="0.2">
      <c r="A1660">
        <v>11</v>
      </c>
      <c r="B1660" t="s">
        <v>774</v>
      </c>
      <c r="C1660" t="s">
        <v>817</v>
      </c>
      <c r="D1660" t="s">
        <v>39</v>
      </c>
      <c r="E1660" t="s">
        <v>46</v>
      </c>
      <c r="F1660" t="s">
        <v>51</v>
      </c>
      <c r="G1660" t="s">
        <v>42</v>
      </c>
    </row>
    <row r="1661" spans="1:7" x14ac:dyDescent="0.2">
      <c r="A1661">
        <v>11</v>
      </c>
      <c r="B1661" t="s">
        <v>774</v>
      </c>
      <c r="C1661" t="s">
        <v>836</v>
      </c>
      <c r="D1661" t="s">
        <v>39</v>
      </c>
      <c r="E1661" t="s">
        <v>46</v>
      </c>
      <c r="F1661" t="s">
        <v>51</v>
      </c>
      <c r="G1661" t="s">
        <v>42</v>
      </c>
    </row>
    <row r="1662" spans="1:7" x14ac:dyDescent="0.2">
      <c r="A1662">
        <v>11</v>
      </c>
      <c r="B1662" t="s">
        <v>774</v>
      </c>
      <c r="C1662" t="s">
        <v>837</v>
      </c>
      <c r="D1662" t="s">
        <v>39</v>
      </c>
      <c r="E1662" t="s">
        <v>46</v>
      </c>
      <c r="F1662" t="s">
        <v>51</v>
      </c>
      <c r="G1662" t="s">
        <v>42</v>
      </c>
    </row>
    <row r="1663" spans="1:7" x14ac:dyDescent="0.2">
      <c r="A1663">
        <v>11</v>
      </c>
      <c r="B1663" t="s">
        <v>774</v>
      </c>
      <c r="C1663" t="s">
        <v>814</v>
      </c>
      <c r="D1663" t="s">
        <v>39</v>
      </c>
      <c r="E1663" t="s">
        <v>46</v>
      </c>
      <c r="F1663" t="s">
        <v>51</v>
      </c>
      <c r="G1663" t="s">
        <v>42</v>
      </c>
    </row>
    <row r="1664" spans="1:7" x14ac:dyDescent="0.2">
      <c r="A1664">
        <v>11</v>
      </c>
      <c r="B1664" t="s">
        <v>774</v>
      </c>
      <c r="C1664" t="s">
        <v>818</v>
      </c>
      <c r="D1664" t="s">
        <v>39</v>
      </c>
      <c r="E1664" t="s">
        <v>46</v>
      </c>
      <c r="F1664" t="s">
        <v>51</v>
      </c>
      <c r="G1664" t="s">
        <v>42</v>
      </c>
    </row>
    <row r="1665" spans="1:7" x14ac:dyDescent="0.2">
      <c r="A1665">
        <v>11</v>
      </c>
      <c r="B1665" t="s">
        <v>774</v>
      </c>
      <c r="C1665" t="s">
        <v>838</v>
      </c>
      <c r="D1665" t="s">
        <v>39</v>
      </c>
      <c r="E1665" t="s">
        <v>46</v>
      </c>
      <c r="F1665" t="s">
        <v>47</v>
      </c>
      <c r="G1665" t="s">
        <v>42</v>
      </c>
    </row>
    <row r="1666" spans="1:7" x14ac:dyDescent="0.2">
      <c r="A1666">
        <v>11</v>
      </c>
      <c r="B1666" t="s">
        <v>774</v>
      </c>
      <c r="C1666" t="s">
        <v>839</v>
      </c>
      <c r="D1666" t="s">
        <v>94</v>
      </c>
      <c r="E1666" t="s">
        <v>46</v>
      </c>
      <c r="F1666" t="s">
        <v>51</v>
      </c>
      <c r="G1666" t="s">
        <v>42</v>
      </c>
    </row>
    <row r="1667" spans="1:7" x14ac:dyDescent="0.2">
      <c r="A1667">
        <v>11</v>
      </c>
      <c r="B1667" t="s">
        <v>774</v>
      </c>
      <c r="C1667" t="s">
        <v>813</v>
      </c>
      <c r="D1667" t="s">
        <v>39</v>
      </c>
      <c r="E1667" t="s">
        <v>46</v>
      </c>
      <c r="F1667" t="s">
        <v>51</v>
      </c>
      <c r="G1667" t="s">
        <v>42</v>
      </c>
    </row>
    <row r="1668" spans="1:7" x14ac:dyDescent="0.2">
      <c r="A1668">
        <v>11</v>
      </c>
      <c r="B1668" t="s">
        <v>774</v>
      </c>
      <c r="C1668" t="s">
        <v>812</v>
      </c>
      <c r="D1668" t="s">
        <v>39</v>
      </c>
      <c r="E1668" t="s">
        <v>46</v>
      </c>
      <c r="F1668" t="s">
        <v>51</v>
      </c>
      <c r="G1668" t="s">
        <v>42</v>
      </c>
    </row>
    <row r="1669" spans="1:7" x14ac:dyDescent="0.2">
      <c r="A1669">
        <v>11</v>
      </c>
      <c r="B1669" t="s">
        <v>774</v>
      </c>
      <c r="C1669" t="s">
        <v>840</v>
      </c>
      <c r="D1669" t="s">
        <v>39</v>
      </c>
      <c r="E1669" t="s">
        <v>46</v>
      </c>
      <c r="F1669" t="s">
        <v>51</v>
      </c>
      <c r="G1669" t="s">
        <v>42</v>
      </c>
    </row>
    <row r="1670" spans="1:7" x14ac:dyDescent="0.2">
      <c r="A1670">
        <v>11</v>
      </c>
      <c r="B1670" t="s">
        <v>774</v>
      </c>
      <c r="C1670" t="s">
        <v>841</v>
      </c>
      <c r="D1670" t="s">
        <v>39</v>
      </c>
      <c r="E1670" t="s">
        <v>46</v>
      </c>
      <c r="F1670" t="s">
        <v>51</v>
      </c>
      <c r="G1670" t="s">
        <v>42</v>
      </c>
    </row>
    <row r="1671" spans="1:7" x14ac:dyDescent="0.2">
      <c r="A1671">
        <v>11</v>
      </c>
      <c r="B1671" t="s">
        <v>774</v>
      </c>
      <c r="C1671" t="s">
        <v>842</v>
      </c>
      <c r="D1671" t="s">
        <v>39</v>
      </c>
      <c r="E1671" t="s">
        <v>46</v>
      </c>
      <c r="F1671" t="s">
        <v>51</v>
      </c>
      <c r="G1671" t="s">
        <v>42</v>
      </c>
    </row>
    <row r="1672" spans="1:7" x14ac:dyDescent="0.2">
      <c r="A1672">
        <v>11</v>
      </c>
      <c r="B1672" t="s">
        <v>774</v>
      </c>
      <c r="C1672" t="s">
        <v>843</v>
      </c>
      <c r="D1672" t="s">
        <v>39</v>
      </c>
      <c r="E1672" t="s">
        <v>46</v>
      </c>
      <c r="F1672" t="s">
        <v>51</v>
      </c>
      <c r="G1672" t="s">
        <v>42</v>
      </c>
    </row>
    <row r="1673" spans="1:7" x14ac:dyDescent="0.2">
      <c r="A1673">
        <v>11</v>
      </c>
      <c r="B1673" t="s">
        <v>774</v>
      </c>
      <c r="C1673" t="s">
        <v>844</v>
      </c>
      <c r="D1673" t="s">
        <v>39</v>
      </c>
      <c r="E1673" t="s">
        <v>46</v>
      </c>
      <c r="F1673" t="s">
        <v>51</v>
      </c>
      <c r="G1673" t="s">
        <v>42</v>
      </c>
    </row>
    <row r="1674" spans="1:7" x14ac:dyDescent="0.2">
      <c r="A1674">
        <v>11</v>
      </c>
      <c r="B1674" t="s">
        <v>774</v>
      </c>
      <c r="C1674" t="s">
        <v>807</v>
      </c>
      <c r="D1674" t="s">
        <v>39</v>
      </c>
      <c r="E1674" t="s">
        <v>46</v>
      </c>
      <c r="F1674" t="s">
        <v>51</v>
      </c>
      <c r="G1674" t="s">
        <v>42</v>
      </c>
    </row>
    <row r="1675" spans="1:7" x14ac:dyDescent="0.2">
      <c r="A1675">
        <v>11</v>
      </c>
      <c r="B1675" t="s">
        <v>774</v>
      </c>
      <c r="C1675" t="s">
        <v>673</v>
      </c>
      <c r="D1675" t="s">
        <v>39</v>
      </c>
      <c r="E1675" t="s">
        <v>46</v>
      </c>
      <c r="F1675" t="s">
        <v>51</v>
      </c>
      <c r="G1675" t="s">
        <v>42</v>
      </c>
    </row>
    <row r="1676" spans="1:7" x14ac:dyDescent="0.2">
      <c r="A1676">
        <v>11</v>
      </c>
      <c r="B1676" t="s">
        <v>774</v>
      </c>
      <c r="C1676" t="s">
        <v>845</v>
      </c>
      <c r="D1676" t="s">
        <v>39</v>
      </c>
      <c r="E1676" t="s">
        <v>46</v>
      </c>
      <c r="F1676" t="s">
        <v>51</v>
      </c>
      <c r="G1676" t="s">
        <v>42</v>
      </c>
    </row>
    <row r="1677" spans="1:7" x14ac:dyDescent="0.2">
      <c r="A1677">
        <v>11</v>
      </c>
      <c r="B1677" t="s">
        <v>774</v>
      </c>
      <c r="C1677" t="s">
        <v>846</v>
      </c>
      <c r="D1677" t="s">
        <v>39</v>
      </c>
      <c r="E1677" t="s">
        <v>46</v>
      </c>
      <c r="F1677" t="s">
        <v>51</v>
      </c>
      <c r="G1677" t="s">
        <v>42</v>
      </c>
    </row>
    <row r="1678" spans="1:7" x14ac:dyDescent="0.2">
      <c r="A1678">
        <v>11</v>
      </c>
      <c r="B1678" t="s">
        <v>774</v>
      </c>
      <c r="C1678" t="s">
        <v>826</v>
      </c>
      <c r="D1678" t="s">
        <v>39</v>
      </c>
      <c r="E1678" t="s">
        <v>46</v>
      </c>
      <c r="F1678" t="s">
        <v>51</v>
      </c>
      <c r="G1678" t="s">
        <v>42</v>
      </c>
    </row>
    <row r="1679" spans="1:7" x14ac:dyDescent="0.2">
      <c r="A1679">
        <v>11</v>
      </c>
      <c r="B1679" t="s">
        <v>774</v>
      </c>
      <c r="C1679" t="s">
        <v>787</v>
      </c>
      <c r="D1679" t="s">
        <v>39</v>
      </c>
      <c r="E1679" t="s">
        <v>46</v>
      </c>
      <c r="F1679" t="s">
        <v>51</v>
      </c>
      <c r="G1679" t="s">
        <v>42</v>
      </c>
    </row>
    <row r="1680" spans="1:7" x14ac:dyDescent="0.2">
      <c r="A1680">
        <v>11</v>
      </c>
      <c r="B1680" t="s">
        <v>774</v>
      </c>
      <c r="C1680" t="s">
        <v>803</v>
      </c>
      <c r="D1680" t="s">
        <v>39</v>
      </c>
      <c r="E1680" t="s">
        <v>46</v>
      </c>
      <c r="F1680" t="s">
        <v>51</v>
      </c>
      <c r="G1680" t="s">
        <v>42</v>
      </c>
    </row>
    <row r="1681" spans="1:7" x14ac:dyDescent="0.2">
      <c r="A1681">
        <v>11</v>
      </c>
      <c r="B1681" t="s">
        <v>774</v>
      </c>
      <c r="C1681" t="s">
        <v>847</v>
      </c>
      <c r="D1681" t="s">
        <v>39</v>
      </c>
      <c r="E1681" t="s">
        <v>46</v>
      </c>
      <c r="F1681" t="s">
        <v>51</v>
      </c>
      <c r="G1681" t="s">
        <v>42</v>
      </c>
    </row>
    <row r="1682" spans="1:7" x14ac:dyDescent="0.2">
      <c r="A1682">
        <v>11</v>
      </c>
      <c r="B1682" t="s">
        <v>774</v>
      </c>
      <c r="C1682" t="s">
        <v>848</v>
      </c>
      <c r="D1682" t="s">
        <v>39</v>
      </c>
      <c r="E1682" t="s">
        <v>46</v>
      </c>
      <c r="F1682" t="s">
        <v>51</v>
      </c>
      <c r="G1682" t="s">
        <v>42</v>
      </c>
    </row>
    <row r="1683" spans="1:7" x14ac:dyDescent="0.2">
      <c r="A1683">
        <v>11</v>
      </c>
      <c r="B1683" t="s">
        <v>774</v>
      </c>
      <c r="C1683" t="s">
        <v>788</v>
      </c>
      <c r="D1683" t="s">
        <v>39</v>
      </c>
      <c r="E1683" t="s">
        <v>46</v>
      </c>
      <c r="F1683" t="s">
        <v>51</v>
      </c>
      <c r="G1683" t="s">
        <v>42</v>
      </c>
    </row>
    <row r="1684" spans="1:7" x14ac:dyDescent="0.2">
      <c r="A1684">
        <v>11</v>
      </c>
      <c r="B1684" t="s">
        <v>774</v>
      </c>
      <c r="C1684" t="s">
        <v>849</v>
      </c>
      <c r="D1684" t="s">
        <v>39</v>
      </c>
      <c r="E1684" t="s">
        <v>46</v>
      </c>
      <c r="F1684" t="s">
        <v>51</v>
      </c>
      <c r="G1684" t="s">
        <v>42</v>
      </c>
    </row>
    <row r="1685" spans="1:7" x14ac:dyDescent="0.2">
      <c r="A1685">
        <v>11</v>
      </c>
      <c r="B1685" t="s">
        <v>774</v>
      </c>
      <c r="C1685" t="s">
        <v>850</v>
      </c>
      <c r="D1685" t="s">
        <v>39</v>
      </c>
      <c r="E1685" t="s">
        <v>46</v>
      </c>
      <c r="F1685" t="s">
        <v>51</v>
      </c>
      <c r="G1685" t="s">
        <v>42</v>
      </c>
    </row>
    <row r="1686" spans="1:7" x14ac:dyDescent="0.2">
      <c r="A1686">
        <v>11</v>
      </c>
      <c r="B1686" t="s">
        <v>774</v>
      </c>
      <c r="C1686" t="s">
        <v>851</v>
      </c>
      <c r="D1686" t="s">
        <v>39</v>
      </c>
      <c r="E1686" t="s">
        <v>46</v>
      </c>
      <c r="F1686" t="s">
        <v>51</v>
      </c>
      <c r="G1686" t="s">
        <v>42</v>
      </c>
    </row>
    <row r="1687" spans="1:7" x14ac:dyDescent="0.2">
      <c r="A1687">
        <v>11</v>
      </c>
      <c r="B1687" t="s">
        <v>774</v>
      </c>
      <c r="C1687" t="s">
        <v>798</v>
      </c>
      <c r="D1687" t="s">
        <v>94</v>
      </c>
      <c r="E1687" t="s">
        <v>46</v>
      </c>
      <c r="F1687" t="s">
        <v>51</v>
      </c>
      <c r="G1687" t="s">
        <v>42</v>
      </c>
    </row>
    <row r="1688" spans="1:7" x14ac:dyDescent="0.2">
      <c r="A1688">
        <v>11</v>
      </c>
      <c r="B1688" t="s">
        <v>774</v>
      </c>
      <c r="C1688" t="s">
        <v>797</v>
      </c>
      <c r="D1688" t="s">
        <v>39</v>
      </c>
      <c r="E1688" t="s">
        <v>46</v>
      </c>
      <c r="F1688" t="s">
        <v>51</v>
      </c>
      <c r="G1688" t="s">
        <v>42</v>
      </c>
    </row>
    <row r="1689" spans="1:7" x14ac:dyDescent="0.2">
      <c r="A1689">
        <v>11</v>
      </c>
      <c r="B1689" t="s">
        <v>774</v>
      </c>
      <c r="C1689" t="s">
        <v>852</v>
      </c>
      <c r="D1689" t="s">
        <v>39</v>
      </c>
      <c r="E1689" t="s">
        <v>46</v>
      </c>
      <c r="F1689" t="s">
        <v>51</v>
      </c>
      <c r="G1689" t="s">
        <v>42</v>
      </c>
    </row>
    <row r="1690" spans="1:7" x14ac:dyDescent="0.2">
      <c r="A1690">
        <v>11</v>
      </c>
      <c r="B1690" t="s">
        <v>774</v>
      </c>
      <c r="C1690" t="s">
        <v>783</v>
      </c>
      <c r="D1690" t="s">
        <v>39</v>
      </c>
      <c r="E1690" t="s">
        <v>46</v>
      </c>
      <c r="F1690" t="s">
        <v>51</v>
      </c>
      <c r="G1690" t="s">
        <v>42</v>
      </c>
    </row>
    <row r="1691" spans="1:7" x14ac:dyDescent="0.2">
      <c r="A1691">
        <v>11</v>
      </c>
      <c r="B1691" t="s">
        <v>774</v>
      </c>
      <c r="C1691" t="s">
        <v>782</v>
      </c>
      <c r="D1691" t="s">
        <v>39</v>
      </c>
      <c r="E1691" t="s">
        <v>46</v>
      </c>
      <c r="F1691" t="s">
        <v>51</v>
      </c>
      <c r="G1691" t="s">
        <v>42</v>
      </c>
    </row>
    <row r="1692" spans="1:7" x14ac:dyDescent="0.2">
      <c r="A1692">
        <v>11</v>
      </c>
      <c r="B1692" t="s">
        <v>774</v>
      </c>
      <c r="C1692" t="s">
        <v>853</v>
      </c>
      <c r="D1692" t="s">
        <v>39</v>
      </c>
      <c r="E1692" t="s">
        <v>46</v>
      </c>
      <c r="F1692" t="s">
        <v>51</v>
      </c>
      <c r="G1692" t="s">
        <v>42</v>
      </c>
    </row>
    <row r="1693" spans="1:7" x14ac:dyDescent="0.2">
      <c r="A1693">
        <v>11</v>
      </c>
      <c r="B1693" t="s">
        <v>774</v>
      </c>
      <c r="C1693" t="s">
        <v>785</v>
      </c>
      <c r="D1693" t="s">
        <v>39</v>
      </c>
      <c r="E1693" t="s">
        <v>46</v>
      </c>
      <c r="F1693" t="s">
        <v>51</v>
      </c>
      <c r="G1693" t="s">
        <v>42</v>
      </c>
    </row>
    <row r="1694" spans="1:7" x14ac:dyDescent="0.2">
      <c r="A1694">
        <v>11</v>
      </c>
      <c r="B1694" t="s">
        <v>774</v>
      </c>
      <c r="C1694" t="s">
        <v>800</v>
      </c>
      <c r="D1694" t="s">
        <v>39</v>
      </c>
      <c r="E1694" t="s">
        <v>46</v>
      </c>
      <c r="F1694" t="s">
        <v>51</v>
      </c>
      <c r="G1694" t="s">
        <v>42</v>
      </c>
    </row>
    <row r="1695" spans="1:7" x14ac:dyDescent="0.2">
      <c r="A1695">
        <v>12</v>
      </c>
      <c r="B1695" t="s">
        <v>854</v>
      </c>
      <c r="C1695" t="s">
        <v>855</v>
      </c>
      <c r="D1695" t="s">
        <v>39</v>
      </c>
      <c r="E1695" t="s">
        <v>46</v>
      </c>
      <c r="F1695" t="s">
        <v>47</v>
      </c>
      <c r="G1695" t="s">
        <v>42</v>
      </c>
    </row>
    <row r="1696" spans="1:7" x14ac:dyDescent="0.2">
      <c r="A1696">
        <v>12</v>
      </c>
      <c r="B1696" t="s">
        <v>854</v>
      </c>
      <c r="C1696" t="s">
        <v>783</v>
      </c>
      <c r="D1696" t="s">
        <v>39</v>
      </c>
      <c r="E1696" t="s">
        <v>46</v>
      </c>
      <c r="F1696" t="s">
        <v>47</v>
      </c>
      <c r="G1696" t="s">
        <v>42</v>
      </c>
    </row>
    <row r="1697" spans="1:7" x14ac:dyDescent="0.2">
      <c r="A1697">
        <v>12</v>
      </c>
      <c r="B1697" t="s">
        <v>854</v>
      </c>
      <c r="C1697" t="s">
        <v>797</v>
      </c>
      <c r="D1697" t="s">
        <v>39</v>
      </c>
      <c r="E1697" t="s">
        <v>46</v>
      </c>
      <c r="F1697" t="s">
        <v>47</v>
      </c>
      <c r="G1697" t="s">
        <v>42</v>
      </c>
    </row>
    <row r="1698" spans="1:7" x14ac:dyDescent="0.2">
      <c r="A1698">
        <v>12</v>
      </c>
      <c r="B1698" t="s">
        <v>854</v>
      </c>
      <c r="C1698" t="s">
        <v>855</v>
      </c>
      <c r="D1698" t="s">
        <v>39</v>
      </c>
      <c r="E1698" t="s">
        <v>46</v>
      </c>
      <c r="F1698" t="s">
        <v>47</v>
      </c>
      <c r="G1698" t="s">
        <v>42</v>
      </c>
    </row>
    <row r="1699" spans="1:7" x14ac:dyDescent="0.2">
      <c r="A1699">
        <v>12</v>
      </c>
      <c r="B1699" t="s">
        <v>854</v>
      </c>
      <c r="C1699" t="s">
        <v>856</v>
      </c>
      <c r="D1699" t="s">
        <v>39</v>
      </c>
      <c r="E1699" t="s">
        <v>46</v>
      </c>
      <c r="F1699" t="s">
        <v>47</v>
      </c>
      <c r="G1699" t="s">
        <v>42</v>
      </c>
    </row>
    <row r="1700" spans="1:7" x14ac:dyDescent="0.2">
      <c r="A1700">
        <v>12</v>
      </c>
      <c r="B1700" t="s">
        <v>854</v>
      </c>
      <c r="C1700" t="s">
        <v>800</v>
      </c>
      <c r="D1700" t="s">
        <v>39</v>
      </c>
      <c r="E1700" t="s">
        <v>46</v>
      </c>
      <c r="F1700" t="s">
        <v>47</v>
      </c>
      <c r="G1700" t="s">
        <v>42</v>
      </c>
    </row>
    <row r="1701" spans="1:7" x14ac:dyDescent="0.2">
      <c r="A1701">
        <v>12</v>
      </c>
      <c r="B1701" t="s">
        <v>854</v>
      </c>
      <c r="C1701" t="s">
        <v>782</v>
      </c>
      <c r="D1701" t="s">
        <v>39</v>
      </c>
      <c r="E1701" t="s">
        <v>46</v>
      </c>
      <c r="F1701" t="s">
        <v>47</v>
      </c>
      <c r="G1701" t="s">
        <v>42</v>
      </c>
    </row>
    <row r="1702" spans="1:7" x14ac:dyDescent="0.2">
      <c r="A1702">
        <v>12</v>
      </c>
      <c r="B1702" t="s">
        <v>854</v>
      </c>
      <c r="C1702" t="s">
        <v>853</v>
      </c>
      <c r="D1702" t="s">
        <v>39</v>
      </c>
      <c r="E1702" t="s">
        <v>46</v>
      </c>
      <c r="F1702" t="s">
        <v>47</v>
      </c>
      <c r="G1702" t="s">
        <v>42</v>
      </c>
    </row>
    <row r="1703" spans="1:7" x14ac:dyDescent="0.2">
      <c r="A1703">
        <v>12</v>
      </c>
      <c r="B1703" t="s">
        <v>854</v>
      </c>
      <c r="C1703" t="s">
        <v>857</v>
      </c>
      <c r="D1703" t="s">
        <v>39</v>
      </c>
      <c r="E1703" t="s">
        <v>46</v>
      </c>
      <c r="F1703" t="s">
        <v>41</v>
      </c>
      <c r="G1703" t="s">
        <v>42</v>
      </c>
    </row>
    <row r="1704" spans="1:7" x14ac:dyDescent="0.2">
      <c r="A1704">
        <v>12</v>
      </c>
      <c r="B1704" t="s">
        <v>854</v>
      </c>
      <c r="C1704" t="s">
        <v>858</v>
      </c>
      <c r="D1704" t="s">
        <v>39</v>
      </c>
      <c r="E1704" t="s">
        <v>46</v>
      </c>
      <c r="F1704" t="s">
        <v>47</v>
      </c>
      <c r="G1704" t="s">
        <v>42</v>
      </c>
    </row>
    <row r="1705" spans="1:7" x14ac:dyDescent="0.2">
      <c r="A1705">
        <v>12</v>
      </c>
      <c r="B1705" t="s">
        <v>854</v>
      </c>
      <c r="C1705" t="s">
        <v>785</v>
      </c>
      <c r="D1705" t="s">
        <v>39</v>
      </c>
      <c r="E1705" t="s">
        <v>46</v>
      </c>
      <c r="F1705" t="s">
        <v>47</v>
      </c>
      <c r="G1705" t="s">
        <v>42</v>
      </c>
    </row>
    <row r="1706" spans="1:7" x14ac:dyDescent="0.2">
      <c r="A1706">
        <v>12</v>
      </c>
      <c r="B1706" t="s">
        <v>854</v>
      </c>
      <c r="C1706" t="s">
        <v>792</v>
      </c>
      <c r="D1706" t="s">
        <v>39</v>
      </c>
      <c r="E1706" t="s">
        <v>46</v>
      </c>
      <c r="F1706" t="s">
        <v>47</v>
      </c>
      <c r="G1706" t="s">
        <v>42</v>
      </c>
    </row>
    <row r="1707" spans="1:7" x14ac:dyDescent="0.2">
      <c r="A1707">
        <v>12</v>
      </c>
      <c r="B1707" t="s">
        <v>854</v>
      </c>
      <c r="C1707" t="s">
        <v>859</v>
      </c>
      <c r="D1707" t="s">
        <v>39</v>
      </c>
      <c r="E1707" t="s">
        <v>46</v>
      </c>
      <c r="F1707" t="s">
        <v>47</v>
      </c>
      <c r="G1707" t="s">
        <v>42</v>
      </c>
    </row>
    <row r="1708" spans="1:7" x14ac:dyDescent="0.2">
      <c r="A1708">
        <v>12</v>
      </c>
      <c r="B1708" t="s">
        <v>854</v>
      </c>
      <c r="C1708" t="s">
        <v>795</v>
      </c>
      <c r="D1708" t="s">
        <v>39</v>
      </c>
      <c r="E1708" t="s">
        <v>46</v>
      </c>
      <c r="F1708" t="s">
        <v>47</v>
      </c>
      <c r="G1708" t="s">
        <v>42</v>
      </c>
    </row>
    <row r="1709" spans="1:7" x14ac:dyDescent="0.2">
      <c r="A1709">
        <v>12</v>
      </c>
      <c r="B1709" t="s">
        <v>854</v>
      </c>
      <c r="C1709" t="s">
        <v>789</v>
      </c>
      <c r="D1709" t="s">
        <v>39</v>
      </c>
      <c r="E1709" t="s">
        <v>46</v>
      </c>
      <c r="F1709" t="s">
        <v>47</v>
      </c>
      <c r="G1709" t="s">
        <v>42</v>
      </c>
    </row>
    <row r="1710" spans="1:7" x14ac:dyDescent="0.2">
      <c r="A1710">
        <v>12</v>
      </c>
      <c r="B1710" t="s">
        <v>854</v>
      </c>
      <c r="C1710" t="s">
        <v>788</v>
      </c>
      <c r="D1710" t="s">
        <v>39</v>
      </c>
      <c r="E1710" t="s">
        <v>46</v>
      </c>
      <c r="F1710" t="s">
        <v>47</v>
      </c>
      <c r="G1710" t="s">
        <v>42</v>
      </c>
    </row>
    <row r="1711" spans="1:7" x14ac:dyDescent="0.2">
      <c r="A1711">
        <v>12</v>
      </c>
      <c r="B1711" t="s">
        <v>854</v>
      </c>
      <c r="C1711" t="s">
        <v>860</v>
      </c>
      <c r="D1711" t="s">
        <v>39</v>
      </c>
      <c r="E1711" t="s">
        <v>46</v>
      </c>
      <c r="F1711" t="s">
        <v>47</v>
      </c>
      <c r="G1711" t="s">
        <v>42</v>
      </c>
    </row>
    <row r="1712" spans="1:7" x14ac:dyDescent="0.2">
      <c r="A1712">
        <v>12</v>
      </c>
      <c r="B1712" t="s">
        <v>854</v>
      </c>
      <c r="C1712" t="s">
        <v>847</v>
      </c>
      <c r="D1712" t="s">
        <v>39</v>
      </c>
      <c r="E1712" t="s">
        <v>46</v>
      </c>
      <c r="F1712" t="s">
        <v>47</v>
      </c>
      <c r="G1712" t="s">
        <v>42</v>
      </c>
    </row>
    <row r="1713" spans="1:7" x14ac:dyDescent="0.2">
      <c r="A1713">
        <v>12</v>
      </c>
      <c r="B1713" t="s">
        <v>854</v>
      </c>
      <c r="C1713" t="s">
        <v>861</v>
      </c>
      <c r="D1713" t="s">
        <v>39</v>
      </c>
      <c r="E1713" t="s">
        <v>46</v>
      </c>
      <c r="F1713" t="s">
        <v>47</v>
      </c>
      <c r="G1713" t="s">
        <v>42</v>
      </c>
    </row>
    <row r="1714" spans="1:7" x14ac:dyDescent="0.2">
      <c r="A1714">
        <v>12</v>
      </c>
      <c r="B1714" t="s">
        <v>854</v>
      </c>
      <c r="C1714" t="s">
        <v>862</v>
      </c>
      <c r="D1714" t="s">
        <v>39</v>
      </c>
      <c r="E1714" t="s">
        <v>46</v>
      </c>
      <c r="F1714" t="s">
        <v>47</v>
      </c>
      <c r="G1714" t="s">
        <v>42</v>
      </c>
    </row>
    <row r="1715" spans="1:7" x14ac:dyDescent="0.2">
      <c r="A1715">
        <v>12</v>
      </c>
      <c r="B1715" t="s">
        <v>854</v>
      </c>
      <c r="C1715" t="s">
        <v>863</v>
      </c>
      <c r="D1715" t="s">
        <v>39</v>
      </c>
      <c r="E1715" t="s">
        <v>46</v>
      </c>
      <c r="F1715" t="s">
        <v>47</v>
      </c>
      <c r="G1715" t="s">
        <v>42</v>
      </c>
    </row>
    <row r="1716" spans="1:7" x14ac:dyDescent="0.2">
      <c r="A1716">
        <v>12</v>
      </c>
      <c r="B1716" t="s">
        <v>854</v>
      </c>
      <c r="C1716" t="s">
        <v>804</v>
      </c>
      <c r="D1716" t="s">
        <v>39</v>
      </c>
      <c r="E1716" t="s">
        <v>46</v>
      </c>
      <c r="F1716" t="s">
        <v>47</v>
      </c>
      <c r="G1716" t="s">
        <v>42</v>
      </c>
    </row>
    <row r="1717" spans="1:7" x14ac:dyDescent="0.2">
      <c r="A1717">
        <v>12</v>
      </c>
      <c r="B1717" t="s">
        <v>854</v>
      </c>
      <c r="C1717" t="s">
        <v>845</v>
      </c>
      <c r="D1717" t="s">
        <v>39</v>
      </c>
      <c r="E1717" t="s">
        <v>46</v>
      </c>
      <c r="F1717" t="s">
        <v>47</v>
      </c>
      <c r="G1717" t="s">
        <v>42</v>
      </c>
    </row>
    <row r="1718" spans="1:7" x14ac:dyDescent="0.2">
      <c r="A1718">
        <v>12</v>
      </c>
      <c r="B1718" t="s">
        <v>854</v>
      </c>
      <c r="C1718" t="s">
        <v>787</v>
      </c>
      <c r="D1718" t="s">
        <v>39</v>
      </c>
      <c r="E1718" t="s">
        <v>46</v>
      </c>
      <c r="F1718" t="s">
        <v>47</v>
      </c>
      <c r="G1718" t="s">
        <v>42</v>
      </c>
    </row>
    <row r="1719" spans="1:7" x14ac:dyDescent="0.2">
      <c r="A1719">
        <v>12</v>
      </c>
      <c r="B1719" t="s">
        <v>854</v>
      </c>
      <c r="C1719" t="s">
        <v>777</v>
      </c>
      <c r="D1719" t="s">
        <v>39</v>
      </c>
      <c r="E1719" t="s">
        <v>46</v>
      </c>
      <c r="F1719" t="s">
        <v>47</v>
      </c>
      <c r="G1719" t="s">
        <v>42</v>
      </c>
    </row>
    <row r="1720" spans="1:7" x14ac:dyDescent="0.2">
      <c r="A1720">
        <v>12</v>
      </c>
      <c r="B1720" t="s">
        <v>854</v>
      </c>
      <c r="C1720" t="s">
        <v>831</v>
      </c>
      <c r="D1720" t="s">
        <v>39</v>
      </c>
      <c r="E1720" t="s">
        <v>46</v>
      </c>
      <c r="F1720" t="s">
        <v>47</v>
      </c>
      <c r="G1720" t="s">
        <v>42</v>
      </c>
    </row>
    <row r="1721" spans="1:7" x14ac:dyDescent="0.2">
      <c r="A1721">
        <v>12</v>
      </c>
      <c r="B1721" t="s">
        <v>854</v>
      </c>
      <c r="C1721" t="s">
        <v>786</v>
      </c>
      <c r="D1721" t="s">
        <v>39</v>
      </c>
      <c r="E1721" t="s">
        <v>46</v>
      </c>
      <c r="F1721" t="s">
        <v>47</v>
      </c>
      <c r="G1721" t="s">
        <v>42</v>
      </c>
    </row>
    <row r="1722" spans="1:7" x14ac:dyDescent="0.2">
      <c r="A1722">
        <v>12</v>
      </c>
      <c r="B1722" t="s">
        <v>854</v>
      </c>
      <c r="C1722" t="s">
        <v>864</v>
      </c>
      <c r="D1722" t="s">
        <v>39</v>
      </c>
      <c r="E1722" t="s">
        <v>46</v>
      </c>
      <c r="F1722" t="s">
        <v>47</v>
      </c>
      <c r="G1722" t="s">
        <v>42</v>
      </c>
    </row>
    <row r="1723" spans="1:7" x14ac:dyDescent="0.2">
      <c r="A1723">
        <v>12</v>
      </c>
      <c r="B1723" t="s">
        <v>854</v>
      </c>
      <c r="C1723" t="s">
        <v>865</v>
      </c>
      <c r="D1723" t="s">
        <v>39</v>
      </c>
      <c r="E1723" t="s">
        <v>46</v>
      </c>
      <c r="F1723" t="s">
        <v>47</v>
      </c>
      <c r="G1723" t="s">
        <v>42</v>
      </c>
    </row>
    <row r="1724" spans="1:7" x14ac:dyDescent="0.2">
      <c r="A1724">
        <v>12</v>
      </c>
      <c r="B1724" t="s">
        <v>854</v>
      </c>
      <c r="C1724" t="s">
        <v>866</v>
      </c>
      <c r="D1724" t="s">
        <v>39</v>
      </c>
      <c r="E1724" t="s">
        <v>46</v>
      </c>
      <c r="F1724" t="s">
        <v>47</v>
      </c>
      <c r="G1724" t="s">
        <v>42</v>
      </c>
    </row>
    <row r="1725" spans="1:7" x14ac:dyDescent="0.2">
      <c r="A1725">
        <v>12</v>
      </c>
      <c r="B1725" t="s">
        <v>854</v>
      </c>
      <c r="C1725" t="s">
        <v>807</v>
      </c>
      <c r="D1725" t="s">
        <v>39</v>
      </c>
      <c r="E1725" t="s">
        <v>46</v>
      </c>
      <c r="F1725" t="s">
        <v>47</v>
      </c>
      <c r="G1725" t="s">
        <v>42</v>
      </c>
    </row>
    <row r="1726" spans="1:7" x14ac:dyDescent="0.2">
      <c r="A1726">
        <v>12</v>
      </c>
      <c r="B1726" t="s">
        <v>854</v>
      </c>
      <c r="C1726" t="s">
        <v>867</v>
      </c>
      <c r="D1726" t="s">
        <v>39</v>
      </c>
      <c r="E1726" t="s">
        <v>46</v>
      </c>
      <c r="F1726" t="s">
        <v>47</v>
      </c>
      <c r="G1726" t="s">
        <v>42</v>
      </c>
    </row>
    <row r="1727" spans="1:7" x14ac:dyDescent="0.2">
      <c r="A1727">
        <v>12</v>
      </c>
      <c r="B1727" t="s">
        <v>854</v>
      </c>
      <c r="C1727" t="s">
        <v>844</v>
      </c>
      <c r="D1727" t="s">
        <v>39</v>
      </c>
      <c r="E1727" t="s">
        <v>46</v>
      </c>
      <c r="F1727" t="s">
        <v>47</v>
      </c>
      <c r="G1727" t="s">
        <v>42</v>
      </c>
    </row>
    <row r="1728" spans="1:7" x14ac:dyDescent="0.2">
      <c r="A1728">
        <v>12</v>
      </c>
      <c r="B1728" t="s">
        <v>854</v>
      </c>
      <c r="C1728" t="s">
        <v>673</v>
      </c>
      <c r="D1728" t="s">
        <v>39</v>
      </c>
      <c r="E1728" t="s">
        <v>46</v>
      </c>
      <c r="F1728" t="s">
        <v>47</v>
      </c>
      <c r="G1728" t="s">
        <v>42</v>
      </c>
    </row>
    <row r="1729" spans="1:7" x14ac:dyDescent="0.2">
      <c r="A1729">
        <v>12</v>
      </c>
      <c r="B1729" t="s">
        <v>854</v>
      </c>
      <c r="C1729" t="s">
        <v>825</v>
      </c>
      <c r="D1729" t="s">
        <v>39</v>
      </c>
      <c r="E1729" t="s">
        <v>46</v>
      </c>
      <c r="F1729" t="s">
        <v>47</v>
      </c>
      <c r="G1729" t="s">
        <v>42</v>
      </c>
    </row>
    <row r="1730" spans="1:7" x14ac:dyDescent="0.2">
      <c r="A1730">
        <v>12</v>
      </c>
      <c r="B1730" t="s">
        <v>854</v>
      </c>
      <c r="C1730" t="s">
        <v>824</v>
      </c>
      <c r="D1730" t="s">
        <v>39</v>
      </c>
      <c r="E1730" t="s">
        <v>46</v>
      </c>
      <c r="F1730" t="s">
        <v>47</v>
      </c>
      <c r="G1730" t="s">
        <v>42</v>
      </c>
    </row>
    <row r="1731" spans="1:7" x14ac:dyDescent="0.2">
      <c r="A1731">
        <v>12</v>
      </c>
      <c r="B1731" t="s">
        <v>854</v>
      </c>
      <c r="C1731" t="s">
        <v>821</v>
      </c>
      <c r="D1731" t="s">
        <v>39</v>
      </c>
      <c r="E1731" t="s">
        <v>46</v>
      </c>
      <c r="F1731" t="s">
        <v>47</v>
      </c>
      <c r="G1731" t="s">
        <v>42</v>
      </c>
    </row>
    <row r="1732" spans="1:7" x14ac:dyDescent="0.2">
      <c r="A1732">
        <v>12</v>
      </c>
      <c r="B1732" t="s">
        <v>854</v>
      </c>
      <c r="C1732" t="s">
        <v>843</v>
      </c>
      <c r="D1732" t="s">
        <v>39</v>
      </c>
      <c r="E1732" t="s">
        <v>46</v>
      </c>
      <c r="F1732" t="s">
        <v>47</v>
      </c>
      <c r="G1732" t="s">
        <v>42</v>
      </c>
    </row>
    <row r="1733" spans="1:7" x14ac:dyDescent="0.2">
      <c r="A1733">
        <v>12</v>
      </c>
      <c r="B1733" t="s">
        <v>854</v>
      </c>
      <c r="C1733" t="s">
        <v>868</v>
      </c>
      <c r="D1733" t="s">
        <v>39</v>
      </c>
      <c r="E1733" t="s">
        <v>46</v>
      </c>
      <c r="F1733" t="s">
        <v>47</v>
      </c>
      <c r="G1733" t="s">
        <v>42</v>
      </c>
    </row>
    <row r="1734" spans="1:7" x14ac:dyDescent="0.2">
      <c r="A1734">
        <v>12</v>
      </c>
      <c r="B1734" t="s">
        <v>854</v>
      </c>
      <c r="C1734" t="s">
        <v>810</v>
      </c>
      <c r="D1734" t="s">
        <v>39</v>
      </c>
      <c r="E1734" t="s">
        <v>46</v>
      </c>
      <c r="F1734" t="s">
        <v>47</v>
      </c>
      <c r="G1734" t="s">
        <v>42</v>
      </c>
    </row>
    <row r="1735" spans="1:7" x14ac:dyDescent="0.2">
      <c r="A1735">
        <v>12</v>
      </c>
      <c r="B1735" t="s">
        <v>854</v>
      </c>
      <c r="C1735" t="s">
        <v>840</v>
      </c>
      <c r="D1735" t="s">
        <v>39</v>
      </c>
      <c r="E1735" t="s">
        <v>46</v>
      </c>
      <c r="F1735" t="s">
        <v>47</v>
      </c>
      <c r="G1735" t="s">
        <v>42</v>
      </c>
    </row>
    <row r="1736" spans="1:7" x14ac:dyDescent="0.2">
      <c r="A1736">
        <v>12</v>
      </c>
      <c r="B1736" t="s">
        <v>854</v>
      </c>
      <c r="C1736" t="s">
        <v>822</v>
      </c>
      <c r="D1736" t="s">
        <v>39</v>
      </c>
      <c r="E1736" t="s">
        <v>46</v>
      </c>
      <c r="F1736" t="s">
        <v>47</v>
      </c>
      <c r="G1736" t="s">
        <v>42</v>
      </c>
    </row>
    <row r="1737" spans="1:7" x14ac:dyDescent="0.2">
      <c r="A1737">
        <v>12</v>
      </c>
      <c r="B1737" t="s">
        <v>854</v>
      </c>
      <c r="C1737" t="s">
        <v>869</v>
      </c>
      <c r="D1737" t="s">
        <v>39</v>
      </c>
      <c r="E1737" t="s">
        <v>46</v>
      </c>
      <c r="F1737" t="s">
        <v>47</v>
      </c>
      <c r="G1737" t="s">
        <v>42</v>
      </c>
    </row>
    <row r="1738" spans="1:7" x14ac:dyDescent="0.2">
      <c r="A1738">
        <v>12</v>
      </c>
      <c r="B1738" t="s">
        <v>854</v>
      </c>
      <c r="C1738" t="s">
        <v>870</v>
      </c>
      <c r="D1738" t="s">
        <v>39</v>
      </c>
      <c r="E1738" t="s">
        <v>46</v>
      </c>
      <c r="F1738" t="s">
        <v>47</v>
      </c>
      <c r="G1738" t="s">
        <v>42</v>
      </c>
    </row>
    <row r="1739" spans="1:7" x14ac:dyDescent="0.2">
      <c r="A1739">
        <v>12</v>
      </c>
      <c r="B1739" t="s">
        <v>854</v>
      </c>
      <c r="C1739" t="s">
        <v>840</v>
      </c>
      <c r="D1739" t="s">
        <v>39</v>
      </c>
      <c r="E1739" t="s">
        <v>46</v>
      </c>
      <c r="F1739" t="s">
        <v>47</v>
      </c>
      <c r="G1739" t="s">
        <v>42</v>
      </c>
    </row>
    <row r="1740" spans="1:7" x14ac:dyDescent="0.2">
      <c r="A1740">
        <v>12</v>
      </c>
      <c r="B1740" t="s">
        <v>854</v>
      </c>
      <c r="C1740" t="s">
        <v>812</v>
      </c>
      <c r="D1740" t="s">
        <v>39</v>
      </c>
      <c r="E1740" t="s">
        <v>46</v>
      </c>
      <c r="F1740" t="s">
        <v>47</v>
      </c>
      <c r="G1740" t="s">
        <v>42</v>
      </c>
    </row>
    <row r="1741" spans="1:7" x14ac:dyDescent="0.2">
      <c r="A1741">
        <v>12</v>
      </c>
      <c r="B1741" t="s">
        <v>854</v>
      </c>
      <c r="C1741" t="s">
        <v>813</v>
      </c>
      <c r="D1741" t="s">
        <v>39</v>
      </c>
      <c r="E1741" t="s">
        <v>46</v>
      </c>
      <c r="F1741" t="s">
        <v>47</v>
      </c>
      <c r="G1741" t="s">
        <v>42</v>
      </c>
    </row>
    <row r="1742" spans="1:7" x14ac:dyDescent="0.2">
      <c r="A1742">
        <v>12</v>
      </c>
      <c r="B1742" t="s">
        <v>854</v>
      </c>
      <c r="C1742" t="s">
        <v>871</v>
      </c>
      <c r="D1742" t="s">
        <v>39</v>
      </c>
      <c r="E1742" t="s">
        <v>46</v>
      </c>
      <c r="F1742" t="s">
        <v>41</v>
      </c>
      <c r="G1742" t="s">
        <v>42</v>
      </c>
    </row>
    <row r="1743" spans="1:7" x14ac:dyDescent="0.2">
      <c r="A1743">
        <v>12</v>
      </c>
      <c r="B1743" t="s">
        <v>854</v>
      </c>
      <c r="C1743" t="s">
        <v>820</v>
      </c>
      <c r="D1743" t="s">
        <v>39</v>
      </c>
      <c r="E1743" t="s">
        <v>46</v>
      </c>
      <c r="F1743" t="s">
        <v>47</v>
      </c>
      <c r="G1743" t="s">
        <v>42</v>
      </c>
    </row>
    <row r="1744" spans="1:7" x14ac:dyDescent="0.2">
      <c r="A1744">
        <v>12</v>
      </c>
      <c r="B1744" t="s">
        <v>854</v>
      </c>
      <c r="C1744" t="s">
        <v>818</v>
      </c>
      <c r="D1744" t="s">
        <v>39</v>
      </c>
      <c r="E1744" t="s">
        <v>46</v>
      </c>
      <c r="F1744" t="s">
        <v>47</v>
      </c>
      <c r="G1744" t="s">
        <v>42</v>
      </c>
    </row>
    <row r="1745" spans="1:7" x14ac:dyDescent="0.2">
      <c r="A1745">
        <v>12</v>
      </c>
      <c r="B1745" t="s">
        <v>854</v>
      </c>
      <c r="C1745" t="s">
        <v>816</v>
      </c>
      <c r="D1745" t="s">
        <v>39</v>
      </c>
      <c r="E1745" t="s">
        <v>46</v>
      </c>
      <c r="F1745" t="s">
        <v>47</v>
      </c>
      <c r="G1745" t="s">
        <v>42</v>
      </c>
    </row>
    <row r="1746" spans="1:7" x14ac:dyDescent="0.2">
      <c r="A1746">
        <v>12</v>
      </c>
      <c r="B1746" t="s">
        <v>854</v>
      </c>
      <c r="C1746" t="s">
        <v>872</v>
      </c>
      <c r="D1746" t="s">
        <v>39</v>
      </c>
      <c r="E1746" t="s">
        <v>46</v>
      </c>
      <c r="F1746" t="s">
        <v>47</v>
      </c>
      <c r="G1746" t="s">
        <v>42</v>
      </c>
    </row>
    <row r="1747" spans="1:7" x14ac:dyDescent="0.2">
      <c r="A1747">
        <v>12</v>
      </c>
      <c r="B1747" t="s">
        <v>854</v>
      </c>
      <c r="C1747" t="s">
        <v>873</v>
      </c>
      <c r="D1747" t="s">
        <v>39</v>
      </c>
      <c r="E1747" t="s">
        <v>46</v>
      </c>
      <c r="F1747" t="s">
        <v>47</v>
      </c>
      <c r="G1747" t="s">
        <v>42</v>
      </c>
    </row>
    <row r="1748" spans="1:7" x14ac:dyDescent="0.2">
      <c r="A1748">
        <v>12</v>
      </c>
      <c r="B1748" t="s">
        <v>854</v>
      </c>
      <c r="C1748" t="s">
        <v>836</v>
      </c>
      <c r="D1748" t="s">
        <v>39</v>
      </c>
      <c r="E1748" t="s">
        <v>46</v>
      </c>
      <c r="F1748" t="s">
        <v>47</v>
      </c>
      <c r="G1748" t="s">
        <v>42</v>
      </c>
    </row>
    <row r="1749" spans="1:7" x14ac:dyDescent="0.2">
      <c r="A1749">
        <v>12</v>
      </c>
      <c r="B1749" t="s">
        <v>854</v>
      </c>
      <c r="C1749" t="s">
        <v>835</v>
      </c>
      <c r="D1749" t="s">
        <v>39</v>
      </c>
      <c r="E1749" t="s">
        <v>46</v>
      </c>
      <c r="F1749" t="s">
        <v>47</v>
      </c>
      <c r="G1749" t="s">
        <v>42</v>
      </c>
    </row>
    <row r="1750" spans="1:7" x14ac:dyDescent="0.2">
      <c r="A1750">
        <v>12</v>
      </c>
      <c r="B1750" t="s">
        <v>854</v>
      </c>
      <c r="C1750" t="s">
        <v>837</v>
      </c>
      <c r="D1750" t="s">
        <v>39</v>
      </c>
      <c r="E1750" t="s">
        <v>46</v>
      </c>
      <c r="F1750" t="s">
        <v>47</v>
      </c>
      <c r="G1750" t="s">
        <v>42</v>
      </c>
    </row>
    <row r="1751" spans="1:7" x14ac:dyDescent="0.2">
      <c r="A1751">
        <v>13</v>
      </c>
      <c r="B1751" t="s">
        <v>774</v>
      </c>
      <c r="C1751" t="s">
        <v>798</v>
      </c>
      <c r="D1751" t="s">
        <v>94</v>
      </c>
      <c r="E1751" t="s">
        <v>46</v>
      </c>
      <c r="F1751" t="s">
        <v>51</v>
      </c>
      <c r="G1751" t="s">
        <v>42</v>
      </c>
    </row>
    <row r="1752" spans="1:7" x14ac:dyDescent="0.2">
      <c r="A1752">
        <v>13</v>
      </c>
      <c r="B1752" t="s">
        <v>774</v>
      </c>
      <c r="C1752" t="s">
        <v>874</v>
      </c>
      <c r="D1752" t="s">
        <v>39</v>
      </c>
      <c r="E1752" t="s">
        <v>46</v>
      </c>
      <c r="F1752" t="s">
        <v>51</v>
      </c>
      <c r="G1752" t="s">
        <v>42</v>
      </c>
    </row>
    <row r="1753" spans="1:7" x14ac:dyDescent="0.2">
      <c r="A1753">
        <v>13</v>
      </c>
      <c r="B1753" t="s">
        <v>774</v>
      </c>
      <c r="C1753" t="s">
        <v>875</v>
      </c>
      <c r="D1753" t="s">
        <v>39</v>
      </c>
      <c r="E1753" t="s">
        <v>46</v>
      </c>
      <c r="F1753" t="s">
        <v>51</v>
      </c>
      <c r="G1753" t="s">
        <v>42</v>
      </c>
    </row>
    <row r="1754" spans="1:7" x14ac:dyDescent="0.2">
      <c r="A1754">
        <v>13</v>
      </c>
      <c r="B1754" t="s">
        <v>774</v>
      </c>
      <c r="C1754" t="s">
        <v>876</v>
      </c>
      <c r="D1754" t="s">
        <v>39</v>
      </c>
      <c r="E1754" t="s">
        <v>46</v>
      </c>
      <c r="F1754" t="s">
        <v>51</v>
      </c>
      <c r="G1754" t="s">
        <v>42</v>
      </c>
    </row>
    <row r="1755" spans="1:7" x14ac:dyDescent="0.2">
      <c r="A1755">
        <v>13</v>
      </c>
      <c r="B1755" t="s">
        <v>774</v>
      </c>
      <c r="C1755" t="s">
        <v>877</v>
      </c>
      <c r="D1755" t="s">
        <v>39</v>
      </c>
      <c r="E1755" t="s">
        <v>46</v>
      </c>
      <c r="F1755" t="s">
        <v>51</v>
      </c>
      <c r="G1755" t="s">
        <v>42</v>
      </c>
    </row>
    <row r="1756" spans="1:7" x14ac:dyDescent="0.2">
      <c r="A1756">
        <v>13</v>
      </c>
      <c r="B1756" t="s">
        <v>774</v>
      </c>
      <c r="C1756" t="s">
        <v>857</v>
      </c>
      <c r="D1756" t="s">
        <v>39</v>
      </c>
      <c r="E1756" t="s">
        <v>46</v>
      </c>
      <c r="F1756" t="s">
        <v>47</v>
      </c>
      <c r="G1756" t="s">
        <v>42</v>
      </c>
    </row>
    <row r="1757" spans="1:7" x14ac:dyDescent="0.2">
      <c r="A1757">
        <v>13</v>
      </c>
      <c r="B1757" t="s">
        <v>774</v>
      </c>
      <c r="C1757" t="s">
        <v>800</v>
      </c>
      <c r="D1757" t="s">
        <v>39</v>
      </c>
      <c r="E1757" t="s">
        <v>46</v>
      </c>
      <c r="F1757" t="s">
        <v>51</v>
      </c>
      <c r="G1757" t="s">
        <v>42</v>
      </c>
    </row>
    <row r="1758" spans="1:7" x14ac:dyDescent="0.2">
      <c r="A1758">
        <v>13</v>
      </c>
      <c r="B1758" t="s">
        <v>774</v>
      </c>
      <c r="C1758" t="s">
        <v>783</v>
      </c>
      <c r="D1758" t="s">
        <v>39</v>
      </c>
      <c r="E1758" t="s">
        <v>46</v>
      </c>
      <c r="F1758" t="s">
        <v>51</v>
      </c>
      <c r="G1758" t="s">
        <v>42</v>
      </c>
    </row>
    <row r="1759" spans="1:7" x14ac:dyDescent="0.2">
      <c r="A1759">
        <v>13</v>
      </c>
      <c r="B1759" t="s">
        <v>774</v>
      </c>
      <c r="C1759" t="s">
        <v>782</v>
      </c>
      <c r="D1759" t="s">
        <v>39</v>
      </c>
      <c r="E1759" t="s">
        <v>46</v>
      </c>
      <c r="F1759" t="s">
        <v>51</v>
      </c>
      <c r="G1759" t="s">
        <v>42</v>
      </c>
    </row>
    <row r="1760" spans="1:7" x14ac:dyDescent="0.2">
      <c r="A1760">
        <v>13</v>
      </c>
      <c r="B1760" t="s">
        <v>774</v>
      </c>
      <c r="C1760" t="s">
        <v>878</v>
      </c>
      <c r="D1760" t="s">
        <v>39</v>
      </c>
      <c r="E1760" t="s">
        <v>46</v>
      </c>
      <c r="F1760" t="s">
        <v>51</v>
      </c>
      <c r="G1760" t="s">
        <v>42</v>
      </c>
    </row>
    <row r="1761" spans="1:7" x14ac:dyDescent="0.2">
      <c r="A1761">
        <v>13</v>
      </c>
      <c r="B1761" t="s">
        <v>774</v>
      </c>
      <c r="C1761" t="s">
        <v>785</v>
      </c>
      <c r="D1761" t="s">
        <v>39</v>
      </c>
      <c r="E1761" t="s">
        <v>46</v>
      </c>
      <c r="F1761" t="s">
        <v>51</v>
      </c>
      <c r="G1761" t="s">
        <v>42</v>
      </c>
    </row>
    <row r="1762" spans="1:7" x14ac:dyDescent="0.2">
      <c r="A1762">
        <v>13</v>
      </c>
      <c r="B1762" t="s">
        <v>774</v>
      </c>
      <c r="C1762" t="s">
        <v>879</v>
      </c>
      <c r="D1762" t="s">
        <v>39</v>
      </c>
      <c r="E1762" t="s">
        <v>46</v>
      </c>
      <c r="F1762" t="s">
        <v>51</v>
      </c>
      <c r="G1762" t="s">
        <v>42</v>
      </c>
    </row>
    <row r="1763" spans="1:7" x14ac:dyDescent="0.2">
      <c r="A1763">
        <v>13</v>
      </c>
      <c r="B1763" t="s">
        <v>774</v>
      </c>
      <c r="C1763" t="s">
        <v>880</v>
      </c>
      <c r="D1763" t="s">
        <v>39</v>
      </c>
      <c r="E1763" t="s">
        <v>46</v>
      </c>
      <c r="F1763" t="s">
        <v>51</v>
      </c>
      <c r="G1763" t="s">
        <v>42</v>
      </c>
    </row>
    <row r="1764" spans="1:7" x14ac:dyDescent="0.2">
      <c r="A1764">
        <v>13</v>
      </c>
      <c r="B1764" t="s">
        <v>774</v>
      </c>
      <c r="C1764" t="s">
        <v>789</v>
      </c>
      <c r="D1764" t="s">
        <v>39</v>
      </c>
      <c r="E1764" t="s">
        <v>46</v>
      </c>
      <c r="F1764" t="s">
        <v>51</v>
      </c>
      <c r="G1764" t="s">
        <v>42</v>
      </c>
    </row>
    <row r="1765" spans="1:7" x14ac:dyDescent="0.2">
      <c r="A1765">
        <v>13</v>
      </c>
      <c r="B1765" t="s">
        <v>774</v>
      </c>
      <c r="C1765" t="s">
        <v>788</v>
      </c>
      <c r="D1765" t="s">
        <v>39</v>
      </c>
      <c r="E1765" t="s">
        <v>46</v>
      </c>
      <c r="F1765" t="s">
        <v>51</v>
      </c>
      <c r="G1765" t="s">
        <v>42</v>
      </c>
    </row>
    <row r="1766" spans="1:7" x14ac:dyDescent="0.2">
      <c r="A1766">
        <v>13</v>
      </c>
      <c r="B1766" t="s">
        <v>774</v>
      </c>
      <c r="C1766" t="s">
        <v>848</v>
      </c>
      <c r="D1766" t="s">
        <v>39</v>
      </c>
      <c r="E1766" t="s">
        <v>46</v>
      </c>
      <c r="F1766" t="s">
        <v>51</v>
      </c>
      <c r="G1766" t="s">
        <v>42</v>
      </c>
    </row>
    <row r="1767" spans="1:7" x14ac:dyDescent="0.2">
      <c r="A1767">
        <v>13</v>
      </c>
      <c r="B1767" t="s">
        <v>774</v>
      </c>
      <c r="C1767" t="s">
        <v>881</v>
      </c>
      <c r="D1767" t="s">
        <v>39</v>
      </c>
      <c r="E1767" t="s">
        <v>46</v>
      </c>
      <c r="F1767" t="s">
        <v>51</v>
      </c>
      <c r="G1767" t="s">
        <v>42</v>
      </c>
    </row>
    <row r="1768" spans="1:7" x14ac:dyDescent="0.2">
      <c r="A1768">
        <v>13</v>
      </c>
      <c r="B1768" t="s">
        <v>774</v>
      </c>
      <c r="C1768" t="s">
        <v>861</v>
      </c>
      <c r="D1768" t="s">
        <v>39</v>
      </c>
      <c r="E1768" t="s">
        <v>46</v>
      </c>
      <c r="F1768" t="s">
        <v>51</v>
      </c>
      <c r="G1768" t="s">
        <v>42</v>
      </c>
    </row>
    <row r="1769" spans="1:7" x14ac:dyDescent="0.2">
      <c r="A1769">
        <v>13</v>
      </c>
      <c r="B1769" t="s">
        <v>774</v>
      </c>
      <c r="C1769" t="s">
        <v>882</v>
      </c>
      <c r="D1769" t="s">
        <v>39</v>
      </c>
      <c r="E1769" t="s">
        <v>46</v>
      </c>
      <c r="F1769" t="s">
        <v>51</v>
      </c>
      <c r="G1769" t="s">
        <v>42</v>
      </c>
    </row>
    <row r="1770" spans="1:7" x14ac:dyDescent="0.2">
      <c r="A1770">
        <v>13</v>
      </c>
      <c r="B1770" t="s">
        <v>774</v>
      </c>
      <c r="C1770" t="s">
        <v>803</v>
      </c>
      <c r="D1770" t="s">
        <v>39</v>
      </c>
      <c r="E1770" t="s">
        <v>46</v>
      </c>
      <c r="F1770" t="s">
        <v>47</v>
      </c>
      <c r="G1770" t="s">
        <v>42</v>
      </c>
    </row>
    <row r="1771" spans="1:7" x14ac:dyDescent="0.2">
      <c r="A1771">
        <v>13</v>
      </c>
      <c r="B1771" t="s">
        <v>774</v>
      </c>
      <c r="C1771" t="s">
        <v>804</v>
      </c>
      <c r="D1771" t="s">
        <v>39</v>
      </c>
      <c r="E1771" t="s">
        <v>46</v>
      </c>
      <c r="F1771" t="s">
        <v>51</v>
      </c>
      <c r="G1771" t="s">
        <v>42</v>
      </c>
    </row>
    <row r="1772" spans="1:7" x14ac:dyDescent="0.2">
      <c r="A1772">
        <v>13</v>
      </c>
      <c r="B1772" t="s">
        <v>774</v>
      </c>
      <c r="C1772" t="s">
        <v>883</v>
      </c>
      <c r="D1772" t="s">
        <v>39</v>
      </c>
      <c r="E1772" t="s">
        <v>46</v>
      </c>
      <c r="F1772" t="s">
        <v>47</v>
      </c>
      <c r="G1772" t="s">
        <v>42</v>
      </c>
    </row>
    <row r="1773" spans="1:7" x14ac:dyDescent="0.2">
      <c r="A1773">
        <v>13</v>
      </c>
      <c r="B1773" t="s">
        <v>774</v>
      </c>
      <c r="C1773" t="s">
        <v>805</v>
      </c>
      <c r="D1773" t="s">
        <v>39</v>
      </c>
      <c r="E1773" t="s">
        <v>46</v>
      </c>
      <c r="F1773" t="s">
        <v>47</v>
      </c>
      <c r="G1773" t="s">
        <v>42</v>
      </c>
    </row>
    <row r="1774" spans="1:7" x14ac:dyDescent="0.2">
      <c r="A1774">
        <v>13</v>
      </c>
      <c r="B1774" t="s">
        <v>774</v>
      </c>
      <c r="C1774" t="s">
        <v>864</v>
      </c>
      <c r="D1774" t="s">
        <v>39</v>
      </c>
      <c r="E1774" t="s">
        <v>46</v>
      </c>
      <c r="F1774" t="s">
        <v>51</v>
      </c>
      <c r="G1774" t="s">
        <v>42</v>
      </c>
    </row>
    <row r="1775" spans="1:7" x14ac:dyDescent="0.2">
      <c r="A1775">
        <v>13</v>
      </c>
      <c r="B1775" t="s">
        <v>774</v>
      </c>
      <c r="C1775" t="s">
        <v>884</v>
      </c>
      <c r="D1775" t="s">
        <v>39</v>
      </c>
      <c r="E1775" t="s">
        <v>46</v>
      </c>
      <c r="F1775" t="s">
        <v>51</v>
      </c>
      <c r="G1775" t="s">
        <v>42</v>
      </c>
    </row>
    <row r="1776" spans="1:7" x14ac:dyDescent="0.2">
      <c r="A1776">
        <v>13</v>
      </c>
      <c r="B1776" t="s">
        <v>774</v>
      </c>
      <c r="C1776" t="s">
        <v>777</v>
      </c>
      <c r="D1776" t="s">
        <v>39</v>
      </c>
      <c r="E1776" t="s">
        <v>46</v>
      </c>
      <c r="F1776" t="s">
        <v>51</v>
      </c>
      <c r="G1776" t="s">
        <v>42</v>
      </c>
    </row>
    <row r="1777" spans="1:7" x14ac:dyDescent="0.2">
      <c r="A1777">
        <v>13</v>
      </c>
      <c r="B1777" t="s">
        <v>774</v>
      </c>
      <c r="C1777" t="s">
        <v>807</v>
      </c>
      <c r="D1777" t="s">
        <v>39</v>
      </c>
      <c r="E1777" t="s">
        <v>46</v>
      </c>
      <c r="F1777" t="s">
        <v>51</v>
      </c>
      <c r="G1777" t="s">
        <v>42</v>
      </c>
    </row>
    <row r="1778" spans="1:7" x14ac:dyDescent="0.2">
      <c r="A1778">
        <v>13</v>
      </c>
      <c r="B1778" t="s">
        <v>774</v>
      </c>
      <c r="C1778" t="s">
        <v>866</v>
      </c>
      <c r="D1778" t="s">
        <v>39</v>
      </c>
      <c r="E1778" t="s">
        <v>46</v>
      </c>
      <c r="F1778" t="s">
        <v>51</v>
      </c>
      <c r="G1778" t="s">
        <v>42</v>
      </c>
    </row>
    <row r="1779" spans="1:7" x14ac:dyDescent="0.2">
      <c r="A1779">
        <v>13</v>
      </c>
      <c r="B1779" t="s">
        <v>774</v>
      </c>
      <c r="C1779" t="s">
        <v>885</v>
      </c>
      <c r="D1779" t="s">
        <v>39</v>
      </c>
      <c r="E1779" t="s">
        <v>46</v>
      </c>
      <c r="F1779" t="s">
        <v>51</v>
      </c>
      <c r="G1779" t="s">
        <v>42</v>
      </c>
    </row>
    <row r="1780" spans="1:7" x14ac:dyDescent="0.2">
      <c r="A1780">
        <v>13</v>
      </c>
      <c r="B1780" t="s">
        <v>774</v>
      </c>
      <c r="C1780" t="s">
        <v>844</v>
      </c>
      <c r="D1780" t="s">
        <v>39</v>
      </c>
      <c r="E1780" t="s">
        <v>46</v>
      </c>
      <c r="F1780" t="s">
        <v>51</v>
      </c>
      <c r="G1780" t="s">
        <v>42</v>
      </c>
    </row>
    <row r="1781" spans="1:7" x14ac:dyDescent="0.2">
      <c r="A1781">
        <v>13</v>
      </c>
      <c r="B1781" t="s">
        <v>774</v>
      </c>
      <c r="C1781" t="s">
        <v>843</v>
      </c>
      <c r="D1781" t="s">
        <v>39</v>
      </c>
      <c r="E1781" t="s">
        <v>46</v>
      </c>
      <c r="F1781" t="s">
        <v>51</v>
      </c>
      <c r="G1781" t="s">
        <v>42</v>
      </c>
    </row>
    <row r="1782" spans="1:7" x14ac:dyDescent="0.2">
      <c r="A1782">
        <v>13</v>
      </c>
      <c r="B1782" t="s">
        <v>774</v>
      </c>
      <c r="C1782" t="s">
        <v>886</v>
      </c>
      <c r="D1782" t="s">
        <v>94</v>
      </c>
      <c r="E1782" t="s">
        <v>46</v>
      </c>
      <c r="F1782" t="s">
        <v>51</v>
      </c>
      <c r="G1782" t="s">
        <v>42</v>
      </c>
    </row>
    <row r="1783" spans="1:7" x14ac:dyDescent="0.2">
      <c r="A1783">
        <v>13</v>
      </c>
      <c r="B1783" t="s">
        <v>774</v>
      </c>
      <c r="C1783" t="s">
        <v>840</v>
      </c>
      <c r="D1783" t="s">
        <v>39</v>
      </c>
      <c r="E1783" t="s">
        <v>46</v>
      </c>
      <c r="F1783" t="s">
        <v>51</v>
      </c>
      <c r="G1783" t="s">
        <v>42</v>
      </c>
    </row>
    <row r="1784" spans="1:7" x14ac:dyDescent="0.2">
      <c r="A1784">
        <v>13</v>
      </c>
      <c r="B1784" t="s">
        <v>774</v>
      </c>
      <c r="C1784" t="s">
        <v>812</v>
      </c>
      <c r="D1784" t="s">
        <v>39</v>
      </c>
      <c r="E1784" t="s">
        <v>46</v>
      </c>
      <c r="F1784" t="s">
        <v>51</v>
      </c>
      <c r="G1784" t="s">
        <v>42</v>
      </c>
    </row>
    <row r="1785" spans="1:7" x14ac:dyDescent="0.2">
      <c r="A1785">
        <v>13</v>
      </c>
      <c r="B1785" t="s">
        <v>774</v>
      </c>
      <c r="C1785" t="s">
        <v>813</v>
      </c>
      <c r="D1785" t="s">
        <v>39</v>
      </c>
      <c r="E1785" t="s">
        <v>46</v>
      </c>
      <c r="F1785" t="s">
        <v>51</v>
      </c>
      <c r="G1785" t="s">
        <v>42</v>
      </c>
    </row>
    <row r="1786" spans="1:7" x14ac:dyDescent="0.2">
      <c r="A1786">
        <v>13</v>
      </c>
      <c r="B1786" t="s">
        <v>774</v>
      </c>
      <c r="C1786" t="s">
        <v>779</v>
      </c>
      <c r="D1786" t="s">
        <v>39</v>
      </c>
      <c r="E1786" t="s">
        <v>46</v>
      </c>
      <c r="F1786" t="s">
        <v>51</v>
      </c>
      <c r="G1786" t="s">
        <v>42</v>
      </c>
    </row>
    <row r="1787" spans="1:7" x14ac:dyDescent="0.2">
      <c r="A1787">
        <v>13</v>
      </c>
      <c r="B1787" t="s">
        <v>774</v>
      </c>
      <c r="C1787" t="s">
        <v>887</v>
      </c>
      <c r="D1787" t="s">
        <v>39</v>
      </c>
      <c r="E1787" t="s">
        <v>46</v>
      </c>
      <c r="F1787" t="s">
        <v>51</v>
      </c>
      <c r="G1787" t="s">
        <v>42</v>
      </c>
    </row>
    <row r="1788" spans="1:7" x14ac:dyDescent="0.2">
      <c r="A1788">
        <v>13</v>
      </c>
      <c r="B1788" t="s">
        <v>774</v>
      </c>
      <c r="C1788" t="s">
        <v>888</v>
      </c>
      <c r="D1788" t="s">
        <v>39</v>
      </c>
      <c r="E1788" t="s">
        <v>46</v>
      </c>
      <c r="F1788" t="s">
        <v>51</v>
      </c>
      <c r="G1788" t="s">
        <v>42</v>
      </c>
    </row>
    <row r="1789" spans="1:7" x14ac:dyDescent="0.2">
      <c r="A1789">
        <v>13</v>
      </c>
      <c r="B1789" t="s">
        <v>774</v>
      </c>
      <c r="C1789" t="s">
        <v>837</v>
      </c>
      <c r="D1789" t="s">
        <v>39</v>
      </c>
      <c r="E1789" t="s">
        <v>46</v>
      </c>
      <c r="F1789" t="s">
        <v>51</v>
      </c>
      <c r="G1789" t="s">
        <v>42</v>
      </c>
    </row>
    <row r="1790" spans="1:7" x14ac:dyDescent="0.2">
      <c r="A1790">
        <v>13</v>
      </c>
      <c r="B1790" t="s">
        <v>774</v>
      </c>
      <c r="C1790" t="s">
        <v>836</v>
      </c>
      <c r="D1790" t="s">
        <v>39</v>
      </c>
      <c r="E1790" t="s">
        <v>46</v>
      </c>
      <c r="F1790" t="s">
        <v>51</v>
      </c>
      <c r="G1790" t="s">
        <v>42</v>
      </c>
    </row>
    <row r="1791" spans="1:7" x14ac:dyDescent="0.2">
      <c r="A1791">
        <v>13</v>
      </c>
      <c r="B1791" t="s">
        <v>774</v>
      </c>
      <c r="C1791" t="s">
        <v>835</v>
      </c>
      <c r="D1791" t="s">
        <v>39</v>
      </c>
      <c r="E1791" t="s">
        <v>46</v>
      </c>
      <c r="F1791" t="s">
        <v>51</v>
      </c>
      <c r="G1791" t="s">
        <v>42</v>
      </c>
    </row>
    <row r="1792" spans="1:7" x14ac:dyDescent="0.2">
      <c r="A1792">
        <v>13</v>
      </c>
      <c r="B1792" t="s">
        <v>774</v>
      </c>
      <c r="C1792" t="s">
        <v>889</v>
      </c>
      <c r="D1792" t="s">
        <v>39</v>
      </c>
      <c r="E1792" t="s">
        <v>46</v>
      </c>
      <c r="F1792" t="s">
        <v>47</v>
      </c>
      <c r="G1792" t="s">
        <v>42</v>
      </c>
    </row>
    <row r="1793" spans="1:7" x14ac:dyDescent="0.2">
      <c r="A1793">
        <v>13</v>
      </c>
      <c r="B1793" t="s">
        <v>774</v>
      </c>
      <c r="C1793" t="s">
        <v>873</v>
      </c>
      <c r="D1793" t="s">
        <v>39</v>
      </c>
      <c r="E1793" t="s">
        <v>46</v>
      </c>
      <c r="F1793" t="s">
        <v>51</v>
      </c>
      <c r="G1793" t="s">
        <v>42</v>
      </c>
    </row>
    <row r="1794" spans="1:7" x14ac:dyDescent="0.2">
      <c r="A1794">
        <v>13</v>
      </c>
      <c r="B1794" t="s">
        <v>774</v>
      </c>
      <c r="C1794" t="s">
        <v>890</v>
      </c>
      <c r="D1794" t="s">
        <v>39</v>
      </c>
      <c r="E1794" t="s">
        <v>46</v>
      </c>
      <c r="F1794" t="s">
        <v>51</v>
      </c>
      <c r="G1794" t="s">
        <v>42</v>
      </c>
    </row>
    <row r="1795" spans="1:7" x14ac:dyDescent="0.2">
      <c r="A1795">
        <v>13</v>
      </c>
      <c r="B1795" t="s">
        <v>774</v>
      </c>
      <c r="C1795" t="s">
        <v>818</v>
      </c>
      <c r="D1795" t="s">
        <v>39</v>
      </c>
      <c r="E1795" t="s">
        <v>46</v>
      </c>
      <c r="F1795" t="s">
        <v>51</v>
      </c>
      <c r="G1795" t="s">
        <v>42</v>
      </c>
    </row>
    <row r="1796" spans="1:7" x14ac:dyDescent="0.2">
      <c r="A1796">
        <v>13</v>
      </c>
      <c r="B1796" t="s">
        <v>774</v>
      </c>
      <c r="C1796" t="s">
        <v>891</v>
      </c>
      <c r="D1796" t="s">
        <v>39</v>
      </c>
      <c r="E1796" t="s">
        <v>46</v>
      </c>
      <c r="F1796" t="s">
        <v>51</v>
      </c>
      <c r="G1796" t="s">
        <v>42</v>
      </c>
    </row>
    <row r="1797" spans="1:7" x14ac:dyDescent="0.2">
      <c r="A1797">
        <v>13</v>
      </c>
      <c r="B1797" t="s">
        <v>774</v>
      </c>
      <c r="C1797" t="s">
        <v>819</v>
      </c>
      <c r="D1797" t="s">
        <v>39</v>
      </c>
      <c r="E1797" t="s">
        <v>46</v>
      </c>
      <c r="F1797" t="s">
        <v>51</v>
      </c>
      <c r="G1797" t="s">
        <v>42</v>
      </c>
    </row>
    <row r="1798" spans="1:7" x14ac:dyDescent="0.2">
      <c r="A1798">
        <v>13</v>
      </c>
      <c r="B1798" t="s">
        <v>774</v>
      </c>
      <c r="C1798" t="s">
        <v>820</v>
      </c>
      <c r="D1798" t="s">
        <v>39</v>
      </c>
      <c r="E1798" t="s">
        <v>46</v>
      </c>
      <c r="F1798" t="s">
        <v>51</v>
      </c>
      <c r="G1798" t="s">
        <v>42</v>
      </c>
    </row>
    <row r="1799" spans="1:7" x14ac:dyDescent="0.2">
      <c r="A1799">
        <v>13</v>
      </c>
      <c r="B1799" t="s">
        <v>774</v>
      </c>
      <c r="C1799" t="s">
        <v>841</v>
      </c>
      <c r="D1799" t="s">
        <v>39</v>
      </c>
      <c r="E1799" t="s">
        <v>46</v>
      </c>
      <c r="F1799" t="s">
        <v>51</v>
      </c>
      <c r="G1799" t="s">
        <v>42</v>
      </c>
    </row>
    <row r="1800" spans="1:7" x14ac:dyDescent="0.2">
      <c r="A1800">
        <v>13</v>
      </c>
      <c r="B1800" t="s">
        <v>774</v>
      </c>
      <c r="C1800" t="s">
        <v>869</v>
      </c>
      <c r="D1800" t="s">
        <v>39</v>
      </c>
      <c r="E1800" t="s">
        <v>46</v>
      </c>
      <c r="F1800" t="s">
        <v>51</v>
      </c>
      <c r="G1800" t="s">
        <v>42</v>
      </c>
    </row>
    <row r="1801" spans="1:7" x14ac:dyDescent="0.2">
      <c r="A1801">
        <v>13</v>
      </c>
      <c r="B1801" t="s">
        <v>774</v>
      </c>
      <c r="C1801" t="s">
        <v>821</v>
      </c>
      <c r="D1801" t="s">
        <v>39</v>
      </c>
      <c r="E1801" t="s">
        <v>46</v>
      </c>
      <c r="F1801" t="s">
        <v>47</v>
      </c>
      <c r="G1801" t="s">
        <v>42</v>
      </c>
    </row>
    <row r="1802" spans="1:7" x14ac:dyDescent="0.2">
      <c r="A1802">
        <v>13</v>
      </c>
      <c r="B1802" t="s">
        <v>774</v>
      </c>
      <c r="C1802" t="s">
        <v>892</v>
      </c>
      <c r="D1802" t="s">
        <v>39</v>
      </c>
      <c r="E1802" t="s">
        <v>46</v>
      </c>
      <c r="F1802" t="s">
        <v>51</v>
      </c>
      <c r="G1802" t="s">
        <v>42</v>
      </c>
    </row>
    <row r="1803" spans="1:7" x14ac:dyDescent="0.2">
      <c r="A1803">
        <v>13</v>
      </c>
      <c r="B1803" t="s">
        <v>774</v>
      </c>
      <c r="C1803" t="s">
        <v>825</v>
      </c>
      <c r="D1803" t="s">
        <v>39</v>
      </c>
      <c r="E1803" t="s">
        <v>46</v>
      </c>
      <c r="F1803" t="s">
        <v>51</v>
      </c>
      <c r="G1803" t="s">
        <v>42</v>
      </c>
    </row>
    <row r="1804" spans="1:7" x14ac:dyDescent="0.2">
      <c r="A1804">
        <v>13</v>
      </c>
      <c r="B1804" t="s">
        <v>774</v>
      </c>
      <c r="C1804" t="s">
        <v>893</v>
      </c>
      <c r="D1804" t="s">
        <v>39</v>
      </c>
      <c r="E1804" t="s">
        <v>46</v>
      </c>
      <c r="F1804" t="s">
        <v>51</v>
      </c>
      <c r="G1804" t="s">
        <v>42</v>
      </c>
    </row>
    <row r="1805" spans="1:7" x14ac:dyDescent="0.2">
      <c r="A1805">
        <v>13</v>
      </c>
      <c r="B1805" t="s">
        <v>774</v>
      </c>
      <c r="C1805" t="s">
        <v>673</v>
      </c>
      <c r="D1805" t="s">
        <v>39</v>
      </c>
      <c r="E1805" t="s">
        <v>46</v>
      </c>
      <c r="F1805" t="s">
        <v>51</v>
      </c>
      <c r="G1805" t="s">
        <v>42</v>
      </c>
    </row>
    <row r="1806" spans="1:7" x14ac:dyDescent="0.2">
      <c r="A1806">
        <v>13</v>
      </c>
      <c r="B1806" t="s">
        <v>774</v>
      </c>
      <c r="C1806" t="s">
        <v>786</v>
      </c>
      <c r="D1806" t="s">
        <v>39</v>
      </c>
      <c r="E1806" t="s">
        <v>46</v>
      </c>
      <c r="F1806" t="s">
        <v>51</v>
      </c>
      <c r="G1806" t="s">
        <v>42</v>
      </c>
    </row>
    <row r="1807" spans="1:7" x14ac:dyDescent="0.2">
      <c r="A1807">
        <v>14</v>
      </c>
      <c r="B1807" t="s">
        <v>854</v>
      </c>
      <c r="C1807" t="s">
        <v>800</v>
      </c>
      <c r="D1807" t="s">
        <v>39</v>
      </c>
      <c r="E1807" t="s">
        <v>46</v>
      </c>
      <c r="F1807" t="s">
        <v>47</v>
      </c>
      <c r="G1807" t="s">
        <v>42</v>
      </c>
    </row>
    <row r="1808" spans="1:7" x14ac:dyDescent="0.2">
      <c r="A1808">
        <v>14</v>
      </c>
      <c r="B1808" t="s">
        <v>854</v>
      </c>
      <c r="C1808" t="s">
        <v>894</v>
      </c>
      <c r="D1808" t="s">
        <v>39</v>
      </c>
      <c r="E1808" t="s">
        <v>46</v>
      </c>
      <c r="F1808" t="s">
        <v>47</v>
      </c>
      <c r="G1808" t="s">
        <v>42</v>
      </c>
    </row>
    <row r="1809" spans="1:7" x14ac:dyDescent="0.2">
      <c r="A1809">
        <v>14</v>
      </c>
      <c r="B1809" t="s">
        <v>854</v>
      </c>
      <c r="C1809" t="s">
        <v>875</v>
      </c>
      <c r="D1809" t="s">
        <v>39</v>
      </c>
      <c r="E1809" t="s">
        <v>46</v>
      </c>
      <c r="F1809" t="s">
        <v>47</v>
      </c>
      <c r="G1809" t="s">
        <v>42</v>
      </c>
    </row>
    <row r="1810" spans="1:7" x14ac:dyDescent="0.2">
      <c r="A1810">
        <v>14</v>
      </c>
      <c r="B1810" t="s">
        <v>854</v>
      </c>
      <c r="C1810" t="s">
        <v>797</v>
      </c>
      <c r="D1810" t="s">
        <v>39</v>
      </c>
      <c r="E1810" t="s">
        <v>46</v>
      </c>
      <c r="F1810" t="s">
        <v>47</v>
      </c>
      <c r="G1810" t="s">
        <v>42</v>
      </c>
    </row>
    <row r="1811" spans="1:7" x14ac:dyDescent="0.2">
      <c r="A1811">
        <v>14</v>
      </c>
      <c r="B1811" t="s">
        <v>854</v>
      </c>
      <c r="C1811" t="s">
        <v>895</v>
      </c>
      <c r="D1811" t="s">
        <v>39</v>
      </c>
      <c r="E1811" t="s">
        <v>46</v>
      </c>
      <c r="F1811" t="s">
        <v>41</v>
      </c>
      <c r="G1811" t="s">
        <v>42</v>
      </c>
    </row>
    <row r="1812" spans="1:7" x14ac:dyDescent="0.2">
      <c r="A1812">
        <v>14</v>
      </c>
      <c r="B1812" t="s">
        <v>854</v>
      </c>
      <c r="C1812" t="s">
        <v>782</v>
      </c>
      <c r="D1812" t="s">
        <v>39</v>
      </c>
      <c r="E1812" t="s">
        <v>46</v>
      </c>
      <c r="F1812" t="s">
        <v>47</v>
      </c>
      <c r="G1812" t="s">
        <v>42</v>
      </c>
    </row>
    <row r="1813" spans="1:7" x14ac:dyDescent="0.2">
      <c r="A1813">
        <v>14</v>
      </c>
      <c r="B1813" t="s">
        <v>854</v>
      </c>
      <c r="C1813" t="s">
        <v>783</v>
      </c>
      <c r="D1813" t="s">
        <v>39</v>
      </c>
      <c r="E1813" t="s">
        <v>46</v>
      </c>
      <c r="F1813" t="s">
        <v>47</v>
      </c>
      <c r="G1813" t="s">
        <v>42</v>
      </c>
    </row>
    <row r="1814" spans="1:7" x14ac:dyDescent="0.2">
      <c r="A1814">
        <v>14</v>
      </c>
      <c r="B1814" t="s">
        <v>854</v>
      </c>
      <c r="C1814" t="s">
        <v>878</v>
      </c>
      <c r="D1814" t="s">
        <v>39</v>
      </c>
      <c r="E1814" t="s">
        <v>46</v>
      </c>
      <c r="F1814" t="s">
        <v>47</v>
      </c>
      <c r="G1814" t="s">
        <v>42</v>
      </c>
    </row>
    <row r="1815" spans="1:7" x14ac:dyDescent="0.2">
      <c r="A1815">
        <v>14</v>
      </c>
      <c r="B1815" t="s">
        <v>854</v>
      </c>
      <c r="C1815" t="s">
        <v>896</v>
      </c>
      <c r="D1815" t="s">
        <v>39</v>
      </c>
      <c r="E1815" t="s">
        <v>46</v>
      </c>
      <c r="F1815" t="s">
        <v>41</v>
      </c>
      <c r="G1815" t="s">
        <v>42</v>
      </c>
    </row>
    <row r="1816" spans="1:7" x14ac:dyDescent="0.2">
      <c r="A1816">
        <v>14</v>
      </c>
      <c r="B1816" t="s">
        <v>854</v>
      </c>
      <c r="C1816" t="s">
        <v>785</v>
      </c>
      <c r="D1816" t="s">
        <v>39</v>
      </c>
      <c r="E1816" t="s">
        <v>46</v>
      </c>
      <c r="F1816" t="s">
        <v>47</v>
      </c>
      <c r="G1816" t="s">
        <v>42</v>
      </c>
    </row>
    <row r="1817" spans="1:7" x14ac:dyDescent="0.2">
      <c r="A1817">
        <v>14</v>
      </c>
      <c r="B1817" t="s">
        <v>854</v>
      </c>
      <c r="C1817" t="s">
        <v>897</v>
      </c>
      <c r="D1817" t="s">
        <v>39</v>
      </c>
      <c r="E1817" t="s">
        <v>46</v>
      </c>
      <c r="F1817" t="s">
        <v>47</v>
      </c>
      <c r="G1817" t="s">
        <v>42</v>
      </c>
    </row>
    <row r="1818" spans="1:7" x14ac:dyDescent="0.2">
      <c r="A1818">
        <v>14</v>
      </c>
      <c r="B1818" t="s">
        <v>854</v>
      </c>
      <c r="C1818" t="s">
        <v>880</v>
      </c>
      <c r="D1818" t="s">
        <v>39</v>
      </c>
      <c r="E1818" t="s">
        <v>46</v>
      </c>
      <c r="F1818" t="s">
        <v>47</v>
      </c>
      <c r="G1818" t="s">
        <v>42</v>
      </c>
    </row>
    <row r="1819" spans="1:7" x14ac:dyDescent="0.2">
      <c r="A1819">
        <v>14</v>
      </c>
      <c r="B1819" t="s">
        <v>854</v>
      </c>
      <c r="C1819" t="s">
        <v>789</v>
      </c>
      <c r="D1819" t="s">
        <v>39</v>
      </c>
      <c r="E1819" t="s">
        <v>46</v>
      </c>
      <c r="F1819" t="s">
        <v>47</v>
      </c>
      <c r="G1819" t="s">
        <v>42</v>
      </c>
    </row>
    <row r="1820" spans="1:7" x14ac:dyDescent="0.2">
      <c r="A1820">
        <v>14</v>
      </c>
      <c r="B1820" t="s">
        <v>854</v>
      </c>
      <c r="C1820" t="s">
        <v>795</v>
      </c>
      <c r="D1820" t="s">
        <v>39</v>
      </c>
      <c r="E1820" t="s">
        <v>46</v>
      </c>
      <c r="F1820" t="s">
        <v>47</v>
      </c>
      <c r="G1820" t="s">
        <v>42</v>
      </c>
    </row>
    <row r="1821" spans="1:7" x14ac:dyDescent="0.2">
      <c r="A1821">
        <v>14</v>
      </c>
      <c r="B1821" t="s">
        <v>854</v>
      </c>
      <c r="C1821" t="s">
        <v>788</v>
      </c>
      <c r="D1821" t="s">
        <v>39</v>
      </c>
      <c r="E1821" t="s">
        <v>46</v>
      </c>
      <c r="F1821" t="s">
        <v>47</v>
      </c>
      <c r="G1821" t="s">
        <v>42</v>
      </c>
    </row>
    <row r="1822" spans="1:7" x14ac:dyDescent="0.2">
      <c r="A1822">
        <v>14</v>
      </c>
      <c r="B1822" t="s">
        <v>854</v>
      </c>
      <c r="C1822" t="s">
        <v>848</v>
      </c>
      <c r="D1822" t="s">
        <v>39</v>
      </c>
      <c r="E1822" t="s">
        <v>46</v>
      </c>
      <c r="F1822" t="s">
        <v>47</v>
      </c>
      <c r="G1822" t="s">
        <v>42</v>
      </c>
    </row>
    <row r="1823" spans="1:7" x14ac:dyDescent="0.2">
      <c r="A1823">
        <v>14</v>
      </c>
      <c r="B1823" t="s">
        <v>854</v>
      </c>
      <c r="C1823" t="s">
        <v>847</v>
      </c>
      <c r="D1823" t="s">
        <v>39</v>
      </c>
      <c r="E1823" t="s">
        <v>46</v>
      </c>
      <c r="F1823" t="s">
        <v>47</v>
      </c>
      <c r="G1823" t="s">
        <v>42</v>
      </c>
    </row>
    <row r="1824" spans="1:7" x14ac:dyDescent="0.2">
      <c r="A1824">
        <v>14</v>
      </c>
      <c r="B1824" t="s">
        <v>854</v>
      </c>
      <c r="C1824" t="s">
        <v>898</v>
      </c>
      <c r="D1824" t="s">
        <v>39</v>
      </c>
      <c r="E1824" t="s">
        <v>46</v>
      </c>
      <c r="F1824" t="s">
        <v>47</v>
      </c>
      <c r="G1824" t="s">
        <v>42</v>
      </c>
    </row>
    <row r="1825" spans="1:7" x14ac:dyDescent="0.2">
      <c r="A1825">
        <v>14</v>
      </c>
      <c r="B1825" t="s">
        <v>854</v>
      </c>
      <c r="C1825" t="s">
        <v>861</v>
      </c>
      <c r="D1825" t="s">
        <v>39</v>
      </c>
      <c r="E1825" t="s">
        <v>46</v>
      </c>
      <c r="F1825" t="s">
        <v>47</v>
      </c>
      <c r="G1825" t="s">
        <v>42</v>
      </c>
    </row>
    <row r="1826" spans="1:7" x14ac:dyDescent="0.2">
      <c r="A1826">
        <v>14</v>
      </c>
      <c r="B1826" t="s">
        <v>854</v>
      </c>
      <c r="C1826" t="s">
        <v>899</v>
      </c>
      <c r="D1826" t="s">
        <v>39</v>
      </c>
      <c r="E1826" t="s">
        <v>46</v>
      </c>
      <c r="F1826" t="s">
        <v>47</v>
      </c>
      <c r="G1826" t="s">
        <v>42</v>
      </c>
    </row>
    <row r="1827" spans="1:7" x14ac:dyDescent="0.2">
      <c r="A1827">
        <v>14</v>
      </c>
      <c r="B1827" t="s">
        <v>854</v>
      </c>
      <c r="C1827" t="s">
        <v>804</v>
      </c>
      <c r="D1827" t="s">
        <v>39</v>
      </c>
      <c r="E1827" t="s">
        <v>46</v>
      </c>
      <c r="F1827" t="s">
        <v>47</v>
      </c>
      <c r="G1827" t="s">
        <v>42</v>
      </c>
    </row>
    <row r="1828" spans="1:7" x14ac:dyDescent="0.2">
      <c r="A1828">
        <v>14</v>
      </c>
      <c r="B1828" t="s">
        <v>854</v>
      </c>
      <c r="C1828" t="s">
        <v>831</v>
      </c>
      <c r="D1828" t="s">
        <v>39</v>
      </c>
      <c r="E1828" t="s">
        <v>46</v>
      </c>
      <c r="F1828" t="s">
        <v>47</v>
      </c>
      <c r="G1828" t="s">
        <v>42</v>
      </c>
    </row>
    <row r="1829" spans="1:7" x14ac:dyDescent="0.2">
      <c r="A1829">
        <v>14</v>
      </c>
      <c r="B1829" t="s">
        <v>854</v>
      </c>
      <c r="C1829" t="s">
        <v>803</v>
      </c>
      <c r="D1829" t="s">
        <v>39</v>
      </c>
      <c r="E1829" t="s">
        <v>46</v>
      </c>
      <c r="F1829" t="s">
        <v>47</v>
      </c>
      <c r="G1829" t="s">
        <v>42</v>
      </c>
    </row>
    <row r="1830" spans="1:7" x14ac:dyDescent="0.2">
      <c r="A1830">
        <v>14</v>
      </c>
      <c r="B1830" t="s">
        <v>854</v>
      </c>
      <c r="C1830" t="s">
        <v>882</v>
      </c>
      <c r="D1830" t="s">
        <v>39</v>
      </c>
      <c r="E1830" t="s">
        <v>46</v>
      </c>
      <c r="F1830" t="s">
        <v>47</v>
      </c>
      <c r="G1830" t="s">
        <v>42</v>
      </c>
    </row>
    <row r="1831" spans="1:7" x14ac:dyDescent="0.2">
      <c r="A1831">
        <v>14</v>
      </c>
      <c r="B1831" t="s">
        <v>854</v>
      </c>
      <c r="C1831" t="s">
        <v>787</v>
      </c>
      <c r="D1831" t="s">
        <v>39</v>
      </c>
      <c r="E1831" t="s">
        <v>46</v>
      </c>
      <c r="F1831" t="s">
        <v>47</v>
      </c>
      <c r="G1831" t="s">
        <v>42</v>
      </c>
    </row>
    <row r="1832" spans="1:7" x14ac:dyDescent="0.2">
      <c r="A1832">
        <v>14</v>
      </c>
      <c r="B1832" t="s">
        <v>854</v>
      </c>
      <c r="C1832" t="s">
        <v>777</v>
      </c>
      <c r="D1832" t="s">
        <v>39</v>
      </c>
      <c r="E1832" t="s">
        <v>46</v>
      </c>
      <c r="F1832" t="s">
        <v>47</v>
      </c>
      <c r="G1832" t="s">
        <v>42</v>
      </c>
    </row>
    <row r="1833" spans="1:7" x14ac:dyDescent="0.2">
      <c r="A1833">
        <v>14</v>
      </c>
      <c r="B1833" t="s">
        <v>854</v>
      </c>
      <c r="C1833" t="s">
        <v>900</v>
      </c>
      <c r="D1833" t="s">
        <v>39</v>
      </c>
      <c r="E1833" t="s">
        <v>46</v>
      </c>
      <c r="F1833" t="s">
        <v>47</v>
      </c>
      <c r="G1833" t="s">
        <v>42</v>
      </c>
    </row>
    <row r="1834" spans="1:7" x14ac:dyDescent="0.2">
      <c r="A1834">
        <v>14</v>
      </c>
      <c r="B1834" t="s">
        <v>854</v>
      </c>
      <c r="C1834" t="s">
        <v>883</v>
      </c>
      <c r="D1834" t="s">
        <v>39</v>
      </c>
      <c r="E1834" t="s">
        <v>46</v>
      </c>
      <c r="F1834" t="s">
        <v>47</v>
      </c>
      <c r="G1834" t="s">
        <v>42</v>
      </c>
    </row>
    <row r="1835" spans="1:7" x14ac:dyDescent="0.2">
      <c r="A1835">
        <v>14</v>
      </c>
      <c r="B1835" t="s">
        <v>854</v>
      </c>
      <c r="C1835" t="s">
        <v>786</v>
      </c>
      <c r="D1835" t="s">
        <v>39</v>
      </c>
      <c r="E1835" t="s">
        <v>46</v>
      </c>
      <c r="F1835" t="s">
        <v>47</v>
      </c>
      <c r="G1835" t="s">
        <v>42</v>
      </c>
    </row>
    <row r="1836" spans="1:7" x14ac:dyDescent="0.2">
      <c r="A1836">
        <v>14</v>
      </c>
      <c r="B1836" t="s">
        <v>854</v>
      </c>
      <c r="C1836" t="s">
        <v>778</v>
      </c>
      <c r="D1836" t="s">
        <v>39</v>
      </c>
      <c r="E1836" t="s">
        <v>46</v>
      </c>
      <c r="F1836" t="s">
        <v>47</v>
      </c>
      <c r="G1836" t="s">
        <v>42</v>
      </c>
    </row>
    <row r="1837" spans="1:7" x14ac:dyDescent="0.2">
      <c r="A1837">
        <v>14</v>
      </c>
      <c r="B1837" t="s">
        <v>854</v>
      </c>
      <c r="C1837" t="s">
        <v>866</v>
      </c>
      <c r="D1837" t="s">
        <v>39</v>
      </c>
      <c r="E1837" t="s">
        <v>46</v>
      </c>
      <c r="F1837" t="s">
        <v>47</v>
      </c>
      <c r="G1837" t="s">
        <v>42</v>
      </c>
    </row>
    <row r="1838" spans="1:7" x14ac:dyDescent="0.2">
      <c r="A1838">
        <v>14</v>
      </c>
      <c r="B1838" t="s">
        <v>854</v>
      </c>
      <c r="C1838" t="s">
        <v>807</v>
      </c>
      <c r="D1838" t="s">
        <v>39</v>
      </c>
      <c r="E1838" t="s">
        <v>46</v>
      </c>
      <c r="F1838" t="s">
        <v>47</v>
      </c>
      <c r="G1838" t="s">
        <v>42</v>
      </c>
    </row>
    <row r="1839" spans="1:7" x14ac:dyDescent="0.2">
      <c r="A1839">
        <v>14</v>
      </c>
      <c r="B1839" t="s">
        <v>854</v>
      </c>
      <c r="C1839" t="s">
        <v>863</v>
      </c>
      <c r="D1839" t="s">
        <v>39</v>
      </c>
      <c r="E1839" t="s">
        <v>46</v>
      </c>
      <c r="F1839" t="s">
        <v>41</v>
      </c>
      <c r="G1839" t="s">
        <v>42</v>
      </c>
    </row>
    <row r="1840" spans="1:7" x14ac:dyDescent="0.2">
      <c r="A1840">
        <v>14</v>
      </c>
      <c r="B1840" t="s">
        <v>854</v>
      </c>
      <c r="C1840" t="s">
        <v>893</v>
      </c>
      <c r="D1840" t="s">
        <v>39</v>
      </c>
      <c r="E1840" t="s">
        <v>46</v>
      </c>
      <c r="F1840" t="s">
        <v>47</v>
      </c>
      <c r="G1840" t="s">
        <v>42</v>
      </c>
    </row>
    <row r="1841" spans="1:7" x14ac:dyDescent="0.2">
      <c r="A1841">
        <v>14</v>
      </c>
      <c r="B1841" t="s">
        <v>854</v>
      </c>
      <c r="C1841" t="s">
        <v>769</v>
      </c>
      <c r="D1841" t="s">
        <v>39</v>
      </c>
      <c r="E1841" t="s">
        <v>46</v>
      </c>
      <c r="F1841" t="s">
        <v>47</v>
      </c>
      <c r="G1841" t="s">
        <v>42</v>
      </c>
    </row>
    <row r="1842" spans="1:7" x14ac:dyDescent="0.2">
      <c r="A1842">
        <v>14</v>
      </c>
      <c r="B1842" t="s">
        <v>854</v>
      </c>
      <c r="C1842" t="s">
        <v>673</v>
      </c>
      <c r="D1842" t="s">
        <v>39</v>
      </c>
      <c r="E1842" t="s">
        <v>46</v>
      </c>
      <c r="F1842" t="s">
        <v>47</v>
      </c>
      <c r="G1842" t="s">
        <v>42</v>
      </c>
    </row>
    <row r="1843" spans="1:7" x14ac:dyDescent="0.2">
      <c r="A1843">
        <v>14</v>
      </c>
      <c r="B1843" t="s">
        <v>854</v>
      </c>
      <c r="C1843" t="s">
        <v>901</v>
      </c>
      <c r="D1843" t="s">
        <v>39</v>
      </c>
      <c r="E1843" t="s">
        <v>46</v>
      </c>
      <c r="F1843" t="s">
        <v>47</v>
      </c>
      <c r="G1843" t="s">
        <v>42</v>
      </c>
    </row>
    <row r="1844" spans="1:7" x14ac:dyDescent="0.2">
      <c r="A1844">
        <v>14</v>
      </c>
      <c r="B1844" t="s">
        <v>854</v>
      </c>
      <c r="C1844" t="s">
        <v>844</v>
      </c>
      <c r="D1844" t="s">
        <v>39</v>
      </c>
      <c r="E1844" t="s">
        <v>46</v>
      </c>
      <c r="F1844" t="s">
        <v>47</v>
      </c>
      <c r="G1844" t="s">
        <v>42</v>
      </c>
    </row>
    <row r="1845" spans="1:7" x14ac:dyDescent="0.2">
      <c r="A1845">
        <v>14</v>
      </c>
      <c r="B1845" t="s">
        <v>854</v>
      </c>
      <c r="C1845" t="s">
        <v>825</v>
      </c>
      <c r="D1845" t="s">
        <v>39</v>
      </c>
      <c r="E1845" t="s">
        <v>46</v>
      </c>
      <c r="F1845" t="s">
        <v>47</v>
      </c>
      <c r="G1845" t="s">
        <v>42</v>
      </c>
    </row>
    <row r="1846" spans="1:7" x14ac:dyDescent="0.2">
      <c r="A1846">
        <v>14</v>
      </c>
      <c r="B1846" t="s">
        <v>854</v>
      </c>
      <c r="C1846" t="s">
        <v>824</v>
      </c>
      <c r="D1846" t="s">
        <v>39</v>
      </c>
      <c r="E1846" t="s">
        <v>46</v>
      </c>
      <c r="F1846" t="s">
        <v>47</v>
      </c>
      <c r="G1846" t="s">
        <v>42</v>
      </c>
    </row>
    <row r="1847" spans="1:7" x14ac:dyDescent="0.2">
      <c r="A1847">
        <v>14</v>
      </c>
      <c r="B1847" t="s">
        <v>854</v>
      </c>
      <c r="C1847" t="s">
        <v>821</v>
      </c>
      <c r="D1847" t="s">
        <v>39</v>
      </c>
      <c r="E1847" t="s">
        <v>46</v>
      </c>
      <c r="F1847" t="s">
        <v>47</v>
      </c>
      <c r="G1847" t="s">
        <v>42</v>
      </c>
    </row>
    <row r="1848" spans="1:7" x14ac:dyDescent="0.2">
      <c r="A1848">
        <v>14</v>
      </c>
      <c r="B1848" t="s">
        <v>854</v>
      </c>
      <c r="C1848" t="s">
        <v>822</v>
      </c>
      <c r="D1848" t="s">
        <v>39</v>
      </c>
      <c r="E1848" t="s">
        <v>46</v>
      </c>
      <c r="F1848" t="s">
        <v>47</v>
      </c>
      <c r="G1848" t="s">
        <v>42</v>
      </c>
    </row>
    <row r="1849" spans="1:7" x14ac:dyDescent="0.2">
      <c r="A1849">
        <v>14</v>
      </c>
      <c r="B1849" t="s">
        <v>854</v>
      </c>
      <c r="C1849" t="s">
        <v>843</v>
      </c>
      <c r="D1849" t="s">
        <v>39</v>
      </c>
      <c r="E1849" t="s">
        <v>46</v>
      </c>
      <c r="F1849" t="s">
        <v>47</v>
      </c>
      <c r="G1849" t="s">
        <v>42</v>
      </c>
    </row>
    <row r="1850" spans="1:7" x14ac:dyDescent="0.2">
      <c r="A1850">
        <v>14</v>
      </c>
      <c r="B1850" t="s">
        <v>854</v>
      </c>
      <c r="C1850" t="s">
        <v>902</v>
      </c>
      <c r="D1850" t="s">
        <v>39</v>
      </c>
      <c r="E1850" t="s">
        <v>46</v>
      </c>
      <c r="F1850" t="s">
        <v>47</v>
      </c>
      <c r="G1850" t="s">
        <v>42</v>
      </c>
    </row>
    <row r="1851" spans="1:7" x14ac:dyDescent="0.2">
      <c r="A1851">
        <v>14</v>
      </c>
      <c r="B1851" t="s">
        <v>854</v>
      </c>
      <c r="C1851" t="s">
        <v>869</v>
      </c>
      <c r="D1851" t="s">
        <v>39</v>
      </c>
      <c r="E1851" t="s">
        <v>46</v>
      </c>
      <c r="F1851" t="s">
        <v>47</v>
      </c>
      <c r="G1851" t="s">
        <v>42</v>
      </c>
    </row>
    <row r="1852" spans="1:7" x14ac:dyDescent="0.2">
      <c r="A1852">
        <v>14</v>
      </c>
      <c r="B1852" t="s">
        <v>854</v>
      </c>
      <c r="C1852" t="s">
        <v>903</v>
      </c>
      <c r="D1852" t="s">
        <v>39</v>
      </c>
      <c r="E1852" t="s">
        <v>46</v>
      </c>
      <c r="F1852" t="s">
        <v>47</v>
      </c>
      <c r="G1852" t="s">
        <v>42</v>
      </c>
    </row>
    <row r="1853" spans="1:7" x14ac:dyDescent="0.2">
      <c r="A1853">
        <v>14</v>
      </c>
      <c r="B1853" t="s">
        <v>854</v>
      </c>
      <c r="C1853" t="s">
        <v>820</v>
      </c>
      <c r="D1853" t="s">
        <v>39</v>
      </c>
      <c r="E1853" t="s">
        <v>46</v>
      </c>
      <c r="F1853" t="s">
        <v>47</v>
      </c>
      <c r="G1853" t="s">
        <v>42</v>
      </c>
    </row>
    <row r="1854" spans="1:7" x14ac:dyDescent="0.2">
      <c r="A1854">
        <v>14</v>
      </c>
      <c r="B1854" t="s">
        <v>854</v>
      </c>
      <c r="C1854" t="s">
        <v>904</v>
      </c>
      <c r="D1854" t="s">
        <v>39</v>
      </c>
      <c r="E1854" t="s">
        <v>46</v>
      </c>
      <c r="F1854" t="s">
        <v>47</v>
      </c>
      <c r="G1854" t="s">
        <v>42</v>
      </c>
    </row>
    <row r="1855" spans="1:7" x14ac:dyDescent="0.2">
      <c r="A1855">
        <v>14</v>
      </c>
      <c r="B1855" t="s">
        <v>854</v>
      </c>
      <c r="C1855" t="s">
        <v>905</v>
      </c>
      <c r="D1855" t="s">
        <v>39</v>
      </c>
      <c r="E1855" t="s">
        <v>46</v>
      </c>
      <c r="F1855" t="s">
        <v>47</v>
      </c>
      <c r="G1855" t="s">
        <v>42</v>
      </c>
    </row>
    <row r="1856" spans="1:7" x14ac:dyDescent="0.2">
      <c r="A1856">
        <v>14</v>
      </c>
      <c r="B1856" t="s">
        <v>854</v>
      </c>
      <c r="C1856" t="s">
        <v>840</v>
      </c>
      <c r="D1856" t="s">
        <v>39</v>
      </c>
      <c r="E1856" t="s">
        <v>46</v>
      </c>
      <c r="F1856" t="s">
        <v>47</v>
      </c>
      <c r="G1856" t="s">
        <v>42</v>
      </c>
    </row>
    <row r="1857" spans="1:7" x14ac:dyDescent="0.2">
      <c r="A1857">
        <v>14</v>
      </c>
      <c r="B1857" t="s">
        <v>854</v>
      </c>
      <c r="C1857" t="s">
        <v>812</v>
      </c>
      <c r="D1857" t="s">
        <v>39</v>
      </c>
      <c r="E1857" t="s">
        <v>46</v>
      </c>
      <c r="F1857" t="s">
        <v>47</v>
      </c>
      <c r="G1857" t="s">
        <v>42</v>
      </c>
    </row>
    <row r="1858" spans="1:7" x14ac:dyDescent="0.2">
      <c r="A1858">
        <v>14</v>
      </c>
      <c r="B1858" t="s">
        <v>854</v>
      </c>
      <c r="C1858" t="s">
        <v>906</v>
      </c>
      <c r="D1858" t="s">
        <v>39</v>
      </c>
      <c r="E1858" t="s">
        <v>46</v>
      </c>
      <c r="F1858" t="s">
        <v>47</v>
      </c>
      <c r="G1858" t="s">
        <v>42</v>
      </c>
    </row>
    <row r="1859" spans="1:7" x14ac:dyDescent="0.2">
      <c r="A1859">
        <v>14</v>
      </c>
      <c r="B1859" t="s">
        <v>854</v>
      </c>
      <c r="C1859" t="s">
        <v>907</v>
      </c>
      <c r="D1859" t="s">
        <v>39</v>
      </c>
      <c r="E1859" t="s">
        <v>46</v>
      </c>
      <c r="F1859" t="s">
        <v>47</v>
      </c>
      <c r="G1859" t="s">
        <v>42</v>
      </c>
    </row>
    <row r="1860" spans="1:7" x14ac:dyDescent="0.2">
      <c r="A1860">
        <v>14</v>
      </c>
      <c r="B1860" t="s">
        <v>854</v>
      </c>
      <c r="C1860" t="s">
        <v>908</v>
      </c>
      <c r="D1860" t="s">
        <v>39</v>
      </c>
      <c r="E1860" t="s">
        <v>46</v>
      </c>
      <c r="F1860" t="s">
        <v>47</v>
      </c>
      <c r="G1860" t="s">
        <v>42</v>
      </c>
    </row>
    <row r="1861" spans="1:7" x14ac:dyDescent="0.2">
      <c r="A1861">
        <v>14</v>
      </c>
      <c r="B1861" t="s">
        <v>854</v>
      </c>
      <c r="C1861" t="s">
        <v>891</v>
      </c>
      <c r="D1861" t="s">
        <v>39</v>
      </c>
      <c r="E1861" t="s">
        <v>46</v>
      </c>
      <c r="F1861" t="s">
        <v>47</v>
      </c>
      <c r="G1861" t="s">
        <v>42</v>
      </c>
    </row>
    <row r="1862" spans="1:7" x14ac:dyDescent="0.2">
      <c r="A1862">
        <v>14</v>
      </c>
      <c r="B1862" t="s">
        <v>854</v>
      </c>
      <c r="C1862" t="s">
        <v>909</v>
      </c>
      <c r="D1862" t="s">
        <v>39</v>
      </c>
      <c r="E1862" t="s">
        <v>46</v>
      </c>
      <c r="F1862" t="s">
        <v>41</v>
      </c>
      <c r="G1862" t="s">
        <v>42</v>
      </c>
    </row>
    <row r="1863" spans="1:7" x14ac:dyDescent="0.2">
      <c r="A1863">
        <v>14</v>
      </c>
      <c r="B1863" t="s">
        <v>854</v>
      </c>
      <c r="C1863" t="s">
        <v>887</v>
      </c>
      <c r="D1863" t="s">
        <v>39</v>
      </c>
      <c r="E1863" t="s">
        <v>46</v>
      </c>
      <c r="F1863" t="s">
        <v>41</v>
      </c>
      <c r="G1863" t="s">
        <v>42</v>
      </c>
    </row>
    <row r="1864" spans="1:7" x14ac:dyDescent="0.2">
      <c r="A1864">
        <v>14</v>
      </c>
      <c r="B1864" t="s">
        <v>854</v>
      </c>
      <c r="C1864" t="s">
        <v>816</v>
      </c>
      <c r="D1864" t="s">
        <v>39</v>
      </c>
      <c r="E1864" t="s">
        <v>46</v>
      </c>
      <c r="F1864" t="s">
        <v>47</v>
      </c>
      <c r="G1864" t="s">
        <v>42</v>
      </c>
    </row>
    <row r="1865" spans="1:7" x14ac:dyDescent="0.2">
      <c r="A1865">
        <v>14</v>
      </c>
      <c r="B1865" t="s">
        <v>854</v>
      </c>
      <c r="C1865" t="s">
        <v>889</v>
      </c>
      <c r="D1865" t="s">
        <v>39</v>
      </c>
      <c r="E1865" t="s">
        <v>46</v>
      </c>
      <c r="F1865" t="s">
        <v>47</v>
      </c>
      <c r="G1865" t="s">
        <v>42</v>
      </c>
    </row>
    <row r="1866" spans="1:7" x14ac:dyDescent="0.2">
      <c r="A1866">
        <v>14</v>
      </c>
      <c r="B1866" t="s">
        <v>854</v>
      </c>
      <c r="C1866" t="s">
        <v>837</v>
      </c>
      <c r="D1866" t="s">
        <v>39</v>
      </c>
      <c r="E1866" t="s">
        <v>46</v>
      </c>
      <c r="F1866" t="s">
        <v>47</v>
      </c>
      <c r="G1866" t="s">
        <v>42</v>
      </c>
    </row>
    <row r="1867" spans="1:7" x14ac:dyDescent="0.2">
      <c r="A1867">
        <v>15</v>
      </c>
      <c r="B1867" t="s">
        <v>774</v>
      </c>
      <c r="C1867" t="s">
        <v>798</v>
      </c>
      <c r="D1867" t="s">
        <v>94</v>
      </c>
      <c r="E1867" t="s">
        <v>46</v>
      </c>
      <c r="F1867" t="s">
        <v>51</v>
      </c>
      <c r="G1867" t="s">
        <v>42</v>
      </c>
    </row>
    <row r="1868" spans="1:7" x14ac:dyDescent="0.2">
      <c r="A1868">
        <v>15</v>
      </c>
      <c r="B1868" t="s">
        <v>774</v>
      </c>
      <c r="C1868" t="s">
        <v>797</v>
      </c>
      <c r="D1868" t="s">
        <v>39</v>
      </c>
      <c r="E1868" t="s">
        <v>46</v>
      </c>
      <c r="F1868" t="s">
        <v>51</v>
      </c>
      <c r="G1868" t="s">
        <v>42</v>
      </c>
    </row>
    <row r="1869" spans="1:7" x14ac:dyDescent="0.2">
      <c r="A1869">
        <v>15</v>
      </c>
      <c r="B1869" t="s">
        <v>774</v>
      </c>
      <c r="C1869" t="s">
        <v>875</v>
      </c>
      <c r="D1869" t="s">
        <v>39</v>
      </c>
      <c r="E1869" t="s">
        <v>46</v>
      </c>
      <c r="F1869" t="s">
        <v>51</v>
      </c>
      <c r="G1869" t="s">
        <v>42</v>
      </c>
    </row>
    <row r="1870" spans="1:7" x14ac:dyDescent="0.2">
      <c r="A1870">
        <v>15</v>
      </c>
      <c r="B1870" t="s">
        <v>774</v>
      </c>
      <c r="C1870" t="s">
        <v>894</v>
      </c>
      <c r="D1870" t="s">
        <v>39</v>
      </c>
      <c r="E1870" t="s">
        <v>46</v>
      </c>
      <c r="F1870" t="s">
        <v>51</v>
      </c>
      <c r="G1870" t="s">
        <v>42</v>
      </c>
    </row>
    <row r="1871" spans="1:7" x14ac:dyDescent="0.2">
      <c r="A1871">
        <v>15</v>
      </c>
      <c r="B1871" t="s">
        <v>774</v>
      </c>
      <c r="C1871" t="s">
        <v>800</v>
      </c>
      <c r="D1871" t="s">
        <v>39</v>
      </c>
      <c r="E1871" t="s">
        <v>46</v>
      </c>
      <c r="F1871" t="s">
        <v>51</v>
      </c>
      <c r="G1871" t="s">
        <v>42</v>
      </c>
    </row>
    <row r="1872" spans="1:7" x14ac:dyDescent="0.2">
      <c r="A1872">
        <v>15</v>
      </c>
      <c r="B1872" t="s">
        <v>774</v>
      </c>
      <c r="C1872" t="s">
        <v>783</v>
      </c>
      <c r="D1872" t="s">
        <v>39</v>
      </c>
      <c r="E1872" t="s">
        <v>46</v>
      </c>
      <c r="F1872" t="s">
        <v>51</v>
      </c>
      <c r="G1872" t="s">
        <v>42</v>
      </c>
    </row>
    <row r="1873" spans="1:7" x14ac:dyDescent="0.2">
      <c r="A1873">
        <v>15</v>
      </c>
      <c r="B1873" t="s">
        <v>774</v>
      </c>
      <c r="C1873" t="s">
        <v>782</v>
      </c>
      <c r="D1873" t="s">
        <v>39</v>
      </c>
      <c r="E1873" t="s">
        <v>46</v>
      </c>
      <c r="F1873" t="s">
        <v>51</v>
      </c>
      <c r="G1873" t="s">
        <v>42</v>
      </c>
    </row>
    <row r="1874" spans="1:7" x14ac:dyDescent="0.2">
      <c r="A1874">
        <v>15</v>
      </c>
      <c r="B1874" t="s">
        <v>774</v>
      </c>
      <c r="C1874" t="s">
        <v>878</v>
      </c>
      <c r="D1874" t="s">
        <v>39</v>
      </c>
      <c r="E1874" t="s">
        <v>46</v>
      </c>
      <c r="F1874" t="s">
        <v>51</v>
      </c>
      <c r="G1874" t="s">
        <v>42</v>
      </c>
    </row>
    <row r="1875" spans="1:7" x14ac:dyDescent="0.2">
      <c r="A1875">
        <v>15</v>
      </c>
      <c r="B1875" t="s">
        <v>774</v>
      </c>
      <c r="C1875" t="s">
        <v>785</v>
      </c>
      <c r="D1875" t="s">
        <v>39</v>
      </c>
      <c r="E1875" t="s">
        <v>46</v>
      </c>
      <c r="F1875" t="s">
        <v>51</v>
      </c>
      <c r="G1875" t="s">
        <v>42</v>
      </c>
    </row>
    <row r="1876" spans="1:7" x14ac:dyDescent="0.2">
      <c r="A1876">
        <v>15</v>
      </c>
      <c r="B1876" t="s">
        <v>774</v>
      </c>
      <c r="C1876" t="s">
        <v>910</v>
      </c>
      <c r="D1876" t="s">
        <v>39</v>
      </c>
      <c r="E1876" t="s">
        <v>46</v>
      </c>
      <c r="F1876" t="s">
        <v>51</v>
      </c>
      <c r="G1876" t="s">
        <v>42</v>
      </c>
    </row>
    <row r="1877" spans="1:7" x14ac:dyDescent="0.2">
      <c r="A1877">
        <v>15</v>
      </c>
      <c r="B1877" t="s">
        <v>774</v>
      </c>
      <c r="C1877" t="s">
        <v>911</v>
      </c>
      <c r="D1877" t="s">
        <v>39</v>
      </c>
      <c r="E1877" t="s">
        <v>46</v>
      </c>
      <c r="F1877" t="s">
        <v>51</v>
      </c>
      <c r="G1877" t="s">
        <v>42</v>
      </c>
    </row>
    <row r="1878" spans="1:7" x14ac:dyDescent="0.2">
      <c r="A1878">
        <v>15</v>
      </c>
      <c r="B1878" t="s">
        <v>774</v>
      </c>
      <c r="C1878" t="s">
        <v>789</v>
      </c>
      <c r="D1878" t="s">
        <v>39</v>
      </c>
      <c r="E1878" t="s">
        <v>46</v>
      </c>
      <c r="F1878" t="s">
        <v>51</v>
      </c>
      <c r="G1878" t="s">
        <v>42</v>
      </c>
    </row>
    <row r="1879" spans="1:7" x14ac:dyDescent="0.2">
      <c r="A1879">
        <v>15</v>
      </c>
      <c r="B1879" t="s">
        <v>774</v>
      </c>
      <c r="C1879" t="s">
        <v>788</v>
      </c>
      <c r="D1879" t="s">
        <v>39</v>
      </c>
      <c r="E1879" t="s">
        <v>46</v>
      </c>
      <c r="F1879" t="s">
        <v>51</v>
      </c>
      <c r="G1879" t="s">
        <v>42</v>
      </c>
    </row>
    <row r="1880" spans="1:7" x14ac:dyDescent="0.2">
      <c r="A1880">
        <v>15</v>
      </c>
      <c r="B1880" t="s">
        <v>774</v>
      </c>
      <c r="C1880" t="s">
        <v>848</v>
      </c>
      <c r="D1880" t="s">
        <v>39</v>
      </c>
      <c r="E1880" t="s">
        <v>46</v>
      </c>
      <c r="F1880" t="s">
        <v>51</v>
      </c>
      <c r="G1880" t="s">
        <v>42</v>
      </c>
    </row>
    <row r="1881" spans="1:7" x14ac:dyDescent="0.2">
      <c r="A1881">
        <v>15</v>
      </c>
      <c r="B1881" t="s">
        <v>774</v>
      </c>
      <c r="C1881" t="s">
        <v>847</v>
      </c>
      <c r="D1881" t="s">
        <v>39</v>
      </c>
      <c r="E1881" t="s">
        <v>46</v>
      </c>
      <c r="F1881" t="s">
        <v>51</v>
      </c>
      <c r="G1881" t="s">
        <v>42</v>
      </c>
    </row>
    <row r="1882" spans="1:7" x14ac:dyDescent="0.2">
      <c r="A1882">
        <v>15</v>
      </c>
      <c r="B1882" t="s">
        <v>774</v>
      </c>
      <c r="C1882" t="s">
        <v>912</v>
      </c>
      <c r="D1882" t="s">
        <v>39</v>
      </c>
      <c r="E1882" t="s">
        <v>46</v>
      </c>
      <c r="F1882" t="s">
        <v>51</v>
      </c>
      <c r="G1882" t="s">
        <v>42</v>
      </c>
    </row>
    <row r="1883" spans="1:7" x14ac:dyDescent="0.2">
      <c r="A1883">
        <v>15</v>
      </c>
      <c r="B1883" t="s">
        <v>774</v>
      </c>
      <c r="C1883" t="s">
        <v>795</v>
      </c>
      <c r="D1883" t="s">
        <v>39</v>
      </c>
      <c r="E1883" t="s">
        <v>46</v>
      </c>
      <c r="F1883" t="s">
        <v>51</v>
      </c>
      <c r="G1883" t="s">
        <v>42</v>
      </c>
    </row>
    <row r="1884" spans="1:7" x14ac:dyDescent="0.2">
      <c r="A1884">
        <v>15</v>
      </c>
      <c r="B1884" t="s">
        <v>774</v>
      </c>
      <c r="C1884" t="s">
        <v>913</v>
      </c>
      <c r="D1884" t="s">
        <v>39</v>
      </c>
      <c r="E1884" t="s">
        <v>46</v>
      </c>
      <c r="F1884" t="s">
        <v>51</v>
      </c>
      <c r="G1884" t="s">
        <v>42</v>
      </c>
    </row>
    <row r="1885" spans="1:7" x14ac:dyDescent="0.2">
      <c r="A1885">
        <v>15</v>
      </c>
      <c r="B1885" t="s">
        <v>774</v>
      </c>
      <c r="C1885" t="s">
        <v>861</v>
      </c>
      <c r="D1885" t="s">
        <v>39</v>
      </c>
      <c r="E1885" t="s">
        <v>46</v>
      </c>
      <c r="F1885" t="s">
        <v>51</v>
      </c>
      <c r="G1885" t="s">
        <v>42</v>
      </c>
    </row>
    <row r="1886" spans="1:7" x14ac:dyDescent="0.2">
      <c r="A1886">
        <v>15</v>
      </c>
      <c r="B1886" t="s">
        <v>774</v>
      </c>
      <c r="C1886" t="s">
        <v>899</v>
      </c>
      <c r="D1886" t="s">
        <v>39</v>
      </c>
      <c r="E1886" t="s">
        <v>46</v>
      </c>
      <c r="F1886" t="s">
        <v>51</v>
      </c>
      <c r="G1886" t="s">
        <v>42</v>
      </c>
    </row>
    <row r="1887" spans="1:7" x14ac:dyDescent="0.2">
      <c r="A1887">
        <v>15</v>
      </c>
      <c r="B1887" t="s">
        <v>774</v>
      </c>
      <c r="C1887" t="s">
        <v>804</v>
      </c>
      <c r="D1887" t="s">
        <v>39</v>
      </c>
      <c r="E1887" t="s">
        <v>46</v>
      </c>
      <c r="F1887" t="s">
        <v>51</v>
      </c>
      <c r="G1887" t="s">
        <v>42</v>
      </c>
    </row>
    <row r="1888" spans="1:7" x14ac:dyDescent="0.2">
      <c r="A1888">
        <v>15</v>
      </c>
      <c r="B1888" t="s">
        <v>774</v>
      </c>
      <c r="C1888" t="s">
        <v>805</v>
      </c>
      <c r="D1888" t="s">
        <v>39</v>
      </c>
      <c r="E1888" t="s">
        <v>46</v>
      </c>
      <c r="F1888" t="s">
        <v>51</v>
      </c>
      <c r="G1888" t="s">
        <v>42</v>
      </c>
    </row>
    <row r="1889" spans="1:7" x14ac:dyDescent="0.2">
      <c r="A1889">
        <v>15</v>
      </c>
      <c r="B1889" t="s">
        <v>774</v>
      </c>
      <c r="C1889" t="s">
        <v>769</v>
      </c>
      <c r="D1889" t="s">
        <v>39</v>
      </c>
      <c r="E1889" t="s">
        <v>46</v>
      </c>
      <c r="F1889" t="s">
        <v>51</v>
      </c>
      <c r="G1889" t="s">
        <v>42</v>
      </c>
    </row>
    <row r="1890" spans="1:7" x14ac:dyDescent="0.2">
      <c r="A1890">
        <v>15</v>
      </c>
      <c r="B1890" t="s">
        <v>774</v>
      </c>
      <c r="C1890" t="s">
        <v>866</v>
      </c>
      <c r="D1890" t="s">
        <v>39</v>
      </c>
      <c r="E1890" t="s">
        <v>46</v>
      </c>
      <c r="F1890" t="s">
        <v>51</v>
      </c>
      <c r="G1890" t="s">
        <v>42</v>
      </c>
    </row>
    <row r="1891" spans="1:7" x14ac:dyDescent="0.2">
      <c r="A1891">
        <v>15</v>
      </c>
      <c r="B1891" t="s">
        <v>774</v>
      </c>
      <c r="C1891" t="s">
        <v>807</v>
      </c>
      <c r="D1891" t="s">
        <v>39</v>
      </c>
      <c r="E1891" t="s">
        <v>46</v>
      </c>
      <c r="F1891" t="s">
        <v>51</v>
      </c>
      <c r="G1891" t="s">
        <v>42</v>
      </c>
    </row>
    <row r="1892" spans="1:7" x14ac:dyDescent="0.2">
      <c r="A1892">
        <v>15</v>
      </c>
      <c r="B1892" t="s">
        <v>774</v>
      </c>
      <c r="C1892" t="s">
        <v>885</v>
      </c>
      <c r="D1892" t="s">
        <v>39</v>
      </c>
      <c r="E1892" t="s">
        <v>46</v>
      </c>
      <c r="F1892" t="s">
        <v>51</v>
      </c>
      <c r="G1892" t="s">
        <v>42</v>
      </c>
    </row>
    <row r="1893" spans="1:7" x14ac:dyDescent="0.2">
      <c r="A1893">
        <v>15</v>
      </c>
      <c r="B1893" t="s">
        <v>774</v>
      </c>
      <c r="C1893" t="s">
        <v>844</v>
      </c>
      <c r="D1893" t="s">
        <v>39</v>
      </c>
      <c r="E1893" t="s">
        <v>46</v>
      </c>
      <c r="F1893" t="s">
        <v>51</v>
      </c>
      <c r="G1893" t="s">
        <v>42</v>
      </c>
    </row>
    <row r="1894" spans="1:7" x14ac:dyDescent="0.2">
      <c r="A1894">
        <v>15</v>
      </c>
      <c r="B1894" t="s">
        <v>774</v>
      </c>
      <c r="C1894" t="s">
        <v>843</v>
      </c>
      <c r="D1894" t="s">
        <v>39</v>
      </c>
      <c r="E1894" t="s">
        <v>46</v>
      </c>
      <c r="F1894" t="s">
        <v>51</v>
      </c>
      <c r="G1894" t="s">
        <v>42</v>
      </c>
    </row>
    <row r="1895" spans="1:7" x14ac:dyDescent="0.2">
      <c r="A1895">
        <v>15</v>
      </c>
      <c r="B1895" t="s">
        <v>774</v>
      </c>
      <c r="C1895" t="s">
        <v>914</v>
      </c>
      <c r="D1895" t="s">
        <v>39</v>
      </c>
      <c r="E1895" t="s">
        <v>46</v>
      </c>
      <c r="F1895" t="s">
        <v>51</v>
      </c>
      <c r="G1895" t="s">
        <v>42</v>
      </c>
    </row>
    <row r="1896" spans="1:7" x14ac:dyDescent="0.2">
      <c r="A1896">
        <v>15</v>
      </c>
      <c r="B1896" t="s">
        <v>774</v>
      </c>
      <c r="C1896" t="s">
        <v>915</v>
      </c>
      <c r="D1896" t="s">
        <v>39</v>
      </c>
      <c r="E1896" t="s">
        <v>46</v>
      </c>
      <c r="F1896" t="s">
        <v>51</v>
      </c>
      <c r="G1896" t="s">
        <v>42</v>
      </c>
    </row>
    <row r="1897" spans="1:7" x14ac:dyDescent="0.2">
      <c r="A1897">
        <v>15</v>
      </c>
      <c r="B1897" t="s">
        <v>774</v>
      </c>
      <c r="C1897" t="s">
        <v>812</v>
      </c>
      <c r="D1897" t="s">
        <v>39</v>
      </c>
      <c r="E1897" t="s">
        <v>46</v>
      </c>
      <c r="F1897" t="s">
        <v>51</v>
      </c>
      <c r="G1897" t="s">
        <v>42</v>
      </c>
    </row>
    <row r="1898" spans="1:7" x14ac:dyDescent="0.2">
      <c r="A1898">
        <v>15</v>
      </c>
      <c r="B1898" t="s">
        <v>774</v>
      </c>
      <c r="C1898" t="s">
        <v>813</v>
      </c>
      <c r="D1898" t="s">
        <v>39</v>
      </c>
      <c r="E1898" t="s">
        <v>46</v>
      </c>
      <c r="F1898" t="s">
        <v>51</v>
      </c>
      <c r="G1898" t="s">
        <v>42</v>
      </c>
    </row>
    <row r="1899" spans="1:7" x14ac:dyDescent="0.2">
      <c r="A1899">
        <v>15</v>
      </c>
      <c r="B1899" t="s">
        <v>774</v>
      </c>
      <c r="C1899" t="s">
        <v>916</v>
      </c>
      <c r="D1899" t="s">
        <v>39</v>
      </c>
      <c r="E1899" t="s">
        <v>46</v>
      </c>
      <c r="F1899" t="s">
        <v>51</v>
      </c>
      <c r="G1899" t="s">
        <v>42</v>
      </c>
    </row>
    <row r="1900" spans="1:7" x14ac:dyDescent="0.2">
      <c r="A1900">
        <v>15</v>
      </c>
      <c r="B1900" t="s">
        <v>774</v>
      </c>
      <c r="C1900" t="s">
        <v>917</v>
      </c>
      <c r="D1900" t="s">
        <v>39</v>
      </c>
      <c r="E1900" t="s">
        <v>46</v>
      </c>
      <c r="F1900" t="s">
        <v>51</v>
      </c>
      <c r="G1900" t="s">
        <v>42</v>
      </c>
    </row>
    <row r="1901" spans="1:7" x14ac:dyDescent="0.2">
      <c r="A1901">
        <v>15</v>
      </c>
      <c r="B1901" t="s">
        <v>774</v>
      </c>
      <c r="C1901" t="s">
        <v>837</v>
      </c>
      <c r="D1901" t="s">
        <v>39</v>
      </c>
      <c r="E1901" t="s">
        <v>46</v>
      </c>
      <c r="F1901" t="s">
        <v>51</v>
      </c>
      <c r="G1901" t="s">
        <v>42</v>
      </c>
    </row>
    <row r="1902" spans="1:7" x14ac:dyDescent="0.2">
      <c r="A1902">
        <v>15</v>
      </c>
      <c r="B1902" t="s">
        <v>774</v>
      </c>
      <c r="C1902" t="s">
        <v>836</v>
      </c>
      <c r="D1902" t="s">
        <v>39</v>
      </c>
      <c r="E1902" t="s">
        <v>46</v>
      </c>
      <c r="F1902" t="s">
        <v>51</v>
      </c>
      <c r="G1902" t="s">
        <v>42</v>
      </c>
    </row>
    <row r="1903" spans="1:7" x14ac:dyDescent="0.2">
      <c r="A1903">
        <v>15</v>
      </c>
      <c r="B1903" t="s">
        <v>774</v>
      </c>
      <c r="C1903" t="s">
        <v>835</v>
      </c>
      <c r="D1903" t="s">
        <v>39</v>
      </c>
      <c r="E1903" t="s">
        <v>46</v>
      </c>
      <c r="F1903" t="s">
        <v>51</v>
      </c>
      <c r="G1903" t="s">
        <v>42</v>
      </c>
    </row>
    <row r="1904" spans="1:7" x14ac:dyDescent="0.2">
      <c r="A1904">
        <v>15</v>
      </c>
      <c r="B1904" t="s">
        <v>774</v>
      </c>
      <c r="C1904" t="s">
        <v>918</v>
      </c>
      <c r="D1904" t="s">
        <v>39</v>
      </c>
      <c r="E1904" t="s">
        <v>46</v>
      </c>
      <c r="F1904" t="s">
        <v>51</v>
      </c>
      <c r="G1904" t="s">
        <v>42</v>
      </c>
    </row>
    <row r="1905" spans="1:7" x14ac:dyDescent="0.2">
      <c r="A1905">
        <v>15</v>
      </c>
      <c r="B1905" t="s">
        <v>774</v>
      </c>
      <c r="C1905" t="s">
        <v>816</v>
      </c>
      <c r="D1905" t="s">
        <v>39</v>
      </c>
      <c r="E1905" t="s">
        <v>46</v>
      </c>
      <c r="F1905" t="s">
        <v>51</v>
      </c>
      <c r="G1905" t="s">
        <v>42</v>
      </c>
    </row>
    <row r="1906" spans="1:7" x14ac:dyDescent="0.2">
      <c r="A1906">
        <v>15</v>
      </c>
      <c r="B1906" t="s">
        <v>774</v>
      </c>
      <c r="C1906" t="s">
        <v>891</v>
      </c>
      <c r="D1906" t="s">
        <v>39</v>
      </c>
      <c r="E1906" t="s">
        <v>46</v>
      </c>
      <c r="F1906" t="s">
        <v>51</v>
      </c>
      <c r="G1906" t="s">
        <v>42</v>
      </c>
    </row>
    <row r="1907" spans="1:7" x14ac:dyDescent="0.2">
      <c r="A1907">
        <v>15</v>
      </c>
      <c r="B1907" t="s">
        <v>774</v>
      </c>
      <c r="C1907" t="s">
        <v>819</v>
      </c>
      <c r="D1907" t="s">
        <v>39</v>
      </c>
      <c r="E1907" t="s">
        <v>46</v>
      </c>
      <c r="F1907" t="s">
        <v>51</v>
      </c>
      <c r="G1907" t="s">
        <v>42</v>
      </c>
    </row>
    <row r="1908" spans="1:7" x14ac:dyDescent="0.2">
      <c r="A1908">
        <v>15</v>
      </c>
      <c r="B1908" t="s">
        <v>774</v>
      </c>
      <c r="C1908" t="s">
        <v>820</v>
      </c>
      <c r="D1908" t="s">
        <v>39</v>
      </c>
      <c r="E1908" t="s">
        <v>46</v>
      </c>
      <c r="F1908" t="s">
        <v>51</v>
      </c>
      <c r="G1908" t="s">
        <v>42</v>
      </c>
    </row>
    <row r="1909" spans="1:7" x14ac:dyDescent="0.2">
      <c r="A1909">
        <v>15</v>
      </c>
      <c r="B1909" t="s">
        <v>774</v>
      </c>
      <c r="C1909" t="s">
        <v>841</v>
      </c>
      <c r="D1909" t="s">
        <v>39</v>
      </c>
      <c r="E1909" t="s">
        <v>46</v>
      </c>
      <c r="F1909" t="s">
        <v>51</v>
      </c>
      <c r="G1909" t="s">
        <v>42</v>
      </c>
    </row>
    <row r="1910" spans="1:7" x14ac:dyDescent="0.2">
      <c r="A1910">
        <v>15</v>
      </c>
      <c r="B1910" t="s">
        <v>774</v>
      </c>
      <c r="C1910" t="s">
        <v>869</v>
      </c>
      <c r="D1910" t="s">
        <v>39</v>
      </c>
      <c r="E1910" t="s">
        <v>46</v>
      </c>
      <c r="F1910" t="s">
        <v>51</v>
      </c>
      <c r="G1910" t="s">
        <v>42</v>
      </c>
    </row>
    <row r="1911" spans="1:7" x14ac:dyDescent="0.2">
      <c r="A1911">
        <v>15</v>
      </c>
      <c r="B1911" t="s">
        <v>774</v>
      </c>
      <c r="C1911" t="s">
        <v>822</v>
      </c>
      <c r="D1911" t="s">
        <v>39</v>
      </c>
      <c r="E1911" t="s">
        <v>46</v>
      </c>
      <c r="F1911" t="s">
        <v>51</v>
      </c>
      <c r="G1911" t="s">
        <v>42</v>
      </c>
    </row>
    <row r="1912" spans="1:7" x14ac:dyDescent="0.2">
      <c r="A1912">
        <v>15</v>
      </c>
      <c r="B1912" t="s">
        <v>774</v>
      </c>
      <c r="C1912" t="s">
        <v>824</v>
      </c>
      <c r="D1912" t="s">
        <v>39</v>
      </c>
      <c r="E1912" t="s">
        <v>46</v>
      </c>
      <c r="F1912" t="s">
        <v>51</v>
      </c>
      <c r="G1912" t="s">
        <v>42</v>
      </c>
    </row>
    <row r="1913" spans="1:7" x14ac:dyDescent="0.2">
      <c r="A1913">
        <v>15</v>
      </c>
      <c r="B1913" t="s">
        <v>774</v>
      </c>
      <c r="C1913" t="s">
        <v>825</v>
      </c>
      <c r="D1913" t="s">
        <v>39</v>
      </c>
      <c r="E1913" t="s">
        <v>46</v>
      </c>
      <c r="F1913" t="s">
        <v>51</v>
      </c>
      <c r="G1913" t="s">
        <v>42</v>
      </c>
    </row>
    <row r="1914" spans="1:7" x14ac:dyDescent="0.2">
      <c r="A1914">
        <v>15</v>
      </c>
      <c r="B1914" t="s">
        <v>774</v>
      </c>
      <c r="C1914" t="s">
        <v>893</v>
      </c>
      <c r="D1914" t="s">
        <v>39</v>
      </c>
      <c r="E1914" t="s">
        <v>46</v>
      </c>
      <c r="F1914" t="s">
        <v>51</v>
      </c>
      <c r="G1914" t="s">
        <v>42</v>
      </c>
    </row>
    <row r="1915" spans="1:7" x14ac:dyDescent="0.2">
      <c r="A1915">
        <v>15</v>
      </c>
      <c r="B1915" t="s">
        <v>774</v>
      </c>
      <c r="C1915" t="s">
        <v>883</v>
      </c>
      <c r="D1915" t="s">
        <v>39</v>
      </c>
      <c r="E1915" t="s">
        <v>46</v>
      </c>
      <c r="F1915" t="s">
        <v>47</v>
      </c>
      <c r="G1915" t="s">
        <v>42</v>
      </c>
    </row>
    <row r="1916" spans="1:7" x14ac:dyDescent="0.2">
      <c r="A1916">
        <v>15</v>
      </c>
      <c r="B1916" t="s">
        <v>774</v>
      </c>
      <c r="C1916" t="s">
        <v>777</v>
      </c>
      <c r="D1916" t="s">
        <v>39</v>
      </c>
      <c r="E1916" t="s">
        <v>46</v>
      </c>
      <c r="F1916" t="s">
        <v>51</v>
      </c>
      <c r="G1916" t="s">
        <v>42</v>
      </c>
    </row>
    <row r="1917" spans="1:7" x14ac:dyDescent="0.2">
      <c r="A1917">
        <v>16</v>
      </c>
      <c r="B1917" t="s">
        <v>854</v>
      </c>
      <c r="C1917" t="s">
        <v>789</v>
      </c>
      <c r="D1917" t="s">
        <v>39</v>
      </c>
      <c r="E1917" t="s">
        <v>46</v>
      </c>
      <c r="F1917" t="s">
        <v>47</v>
      </c>
      <c r="G1917" t="s">
        <v>42</v>
      </c>
    </row>
    <row r="1918" spans="1:7" x14ac:dyDescent="0.2">
      <c r="A1918">
        <v>16</v>
      </c>
      <c r="B1918" t="s">
        <v>854</v>
      </c>
      <c r="C1918" t="s">
        <v>919</v>
      </c>
      <c r="D1918" t="s">
        <v>39</v>
      </c>
      <c r="E1918" t="s">
        <v>46</v>
      </c>
      <c r="F1918" t="s">
        <v>47</v>
      </c>
      <c r="G1918" t="s">
        <v>42</v>
      </c>
    </row>
    <row r="1919" spans="1:7" x14ac:dyDescent="0.2">
      <c r="A1919">
        <v>16</v>
      </c>
      <c r="B1919" t="s">
        <v>854</v>
      </c>
      <c r="C1919" t="s">
        <v>800</v>
      </c>
      <c r="D1919" t="s">
        <v>39</v>
      </c>
      <c r="E1919" t="s">
        <v>46</v>
      </c>
      <c r="F1919" t="s">
        <v>47</v>
      </c>
      <c r="G1919" t="s">
        <v>42</v>
      </c>
    </row>
    <row r="1920" spans="1:7" x14ac:dyDescent="0.2">
      <c r="A1920">
        <v>16</v>
      </c>
      <c r="B1920" t="s">
        <v>854</v>
      </c>
      <c r="C1920" t="s">
        <v>920</v>
      </c>
      <c r="D1920" t="s">
        <v>39</v>
      </c>
      <c r="E1920" t="s">
        <v>46</v>
      </c>
      <c r="F1920" t="s">
        <v>47</v>
      </c>
      <c r="G1920" t="s">
        <v>42</v>
      </c>
    </row>
    <row r="1921" spans="1:7" x14ac:dyDescent="0.2">
      <c r="A1921">
        <v>16</v>
      </c>
      <c r="B1921" t="s">
        <v>854</v>
      </c>
      <c r="C1921" t="s">
        <v>875</v>
      </c>
      <c r="D1921" t="s">
        <v>39</v>
      </c>
      <c r="E1921" t="s">
        <v>46</v>
      </c>
      <c r="F1921" t="s">
        <v>47</v>
      </c>
      <c r="G1921" t="s">
        <v>42</v>
      </c>
    </row>
    <row r="1922" spans="1:7" x14ac:dyDescent="0.2">
      <c r="A1922">
        <v>16</v>
      </c>
      <c r="B1922" t="s">
        <v>854</v>
      </c>
      <c r="C1922" t="s">
        <v>797</v>
      </c>
      <c r="D1922" t="s">
        <v>39</v>
      </c>
      <c r="E1922" t="s">
        <v>46</v>
      </c>
      <c r="F1922" t="s">
        <v>47</v>
      </c>
      <c r="G1922" t="s">
        <v>42</v>
      </c>
    </row>
    <row r="1923" spans="1:7" x14ac:dyDescent="0.2">
      <c r="A1923">
        <v>16</v>
      </c>
      <c r="B1923" t="s">
        <v>854</v>
      </c>
      <c r="C1923" t="s">
        <v>921</v>
      </c>
      <c r="D1923" t="s">
        <v>39</v>
      </c>
      <c r="E1923" t="s">
        <v>46</v>
      </c>
      <c r="F1923" t="s">
        <v>47</v>
      </c>
      <c r="G1923" t="s">
        <v>42</v>
      </c>
    </row>
    <row r="1924" spans="1:7" x14ac:dyDescent="0.2">
      <c r="A1924">
        <v>16</v>
      </c>
      <c r="B1924" t="s">
        <v>854</v>
      </c>
      <c r="C1924" t="s">
        <v>783</v>
      </c>
      <c r="D1924" t="s">
        <v>39</v>
      </c>
      <c r="E1924" t="s">
        <v>46</v>
      </c>
      <c r="F1924" t="s">
        <v>47</v>
      </c>
      <c r="G1924" t="s">
        <v>42</v>
      </c>
    </row>
    <row r="1925" spans="1:7" x14ac:dyDescent="0.2">
      <c r="A1925">
        <v>16</v>
      </c>
      <c r="B1925" t="s">
        <v>854</v>
      </c>
      <c r="C1925" t="s">
        <v>782</v>
      </c>
      <c r="D1925" t="s">
        <v>39</v>
      </c>
      <c r="E1925" t="s">
        <v>46</v>
      </c>
      <c r="F1925" t="s">
        <v>47</v>
      </c>
      <c r="G1925" t="s">
        <v>42</v>
      </c>
    </row>
    <row r="1926" spans="1:7" x14ac:dyDescent="0.2">
      <c r="A1926">
        <v>16</v>
      </c>
      <c r="B1926" t="s">
        <v>854</v>
      </c>
      <c r="C1926" t="s">
        <v>922</v>
      </c>
      <c r="D1926" t="s">
        <v>39</v>
      </c>
      <c r="E1926" t="s">
        <v>46</v>
      </c>
      <c r="F1926" t="s">
        <v>47</v>
      </c>
      <c r="G1926" t="s">
        <v>42</v>
      </c>
    </row>
    <row r="1927" spans="1:7" x14ac:dyDescent="0.2">
      <c r="A1927">
        <v>16</v>
      </c>
      <c r="B1927" t="s">
        <v>854</v>
      </c>
      <c r="C1927" t="s">
        <v>785</v>
      </c>
      <c r="D1927" t="s">
        <v>94</v>
      </c>
      <c r="E1927" t="s">
        <v>46</v>
      </c>
      <c r="F1927" t="s">
        <v>47</v>
      </c>
      <c r="G1927" t="s">
        <v>42</v>
      </c>
    </row>
    <row r="1928" spans="1:7" x14ac:dyDescent="0.2">
      <c r="A1928">
        <v>16</v>
      </c>
      <c r="B1928" t="s">
        <v>854</v>
      </c>
      <c r="C1928" t="s">
        <v>923</v>
      </c>
      <c r="D1928" t="s">
        <v>39</v>
      </c>
      <c r="E1928" t="s">
        <v>46</v>
      </c>
      <c r="F1928" t="s">
        <v>41</v>
      </c>
      <c r="G1928" t="s">
        <v>42</v>
      </c>
    </row>
    <row r="1929" spans="1:7" x14ac:dyDescent="0.2">
      <c r="A1929">
        <v>16</v>
      </c>
      <c r="B1929" t="s">
        <v>854</v>
      </c>
      <c r="C1929" t="s">
        <v>788</v>
      </c>
      <c r="D1929" t="s">
        <v>39</v>
      </c>
      <c r="E1929" t="s">
        <v>46</v>
      </c>
      <c r="F1929" t="s">
        <v>47</v>
      </c>
      <c r="G1929" t="s">
        <v>42</v>
      </c>
    </row>
    <row r="1930" spans="1:7" x14ac:dyDescent="0.2">
      <c r="A1930">
        <v>16</v>
      </c>
      <c r="B1930" t="s">
        <v>854</v>
      </c>
      <c r="C1930" t="s">
        <v>848</v>
      </c>
      <c r="D1930" t="s">
        <v>39</v>
      </c>
      <c r="E1930" t="s">
        <v>46</v>
      </c>
      <c r="F1930" t="s">
        <v>47</v>
      </c>
      <c r="G1930" t="s">
        <v>42</v>
      </c>
    </row>
    <row r="1931" spans="1:7" x14ac:dyDescent="0.2">
      <c r="A1931">
        <v>16</v>
      </c>
      <c r="B1931" t="s">
        <v>854</v>
      </c>
      <c r="C1931" t="s">
        <v>847</v>
      </c>
      <c r="D1931" t="s">
        <v>39</v>
      </c>
      <c r="E1931" t="s">
        <v>46</v>
      </c>
      <c r="F1931" t="s">
        <v>47</v>
      </c>
      <c r="G1931" t="s">
        <v>42</v>
      </c>
    </row>
    <row r="1932" spans="1:7" x14ac:dyDescent="0.2">
      <c r="A1932">
        <v>16</v>
      </c>
      <c r="B1932" t="s">
        <v>854</v>
      </c>
      <c r="C1932" t="s">
        <v>924</v>
      </c>
      <c r="D1932" t="s">
        <v>39</v>
      </c>
      <c r="E1932" t="s">
        <v>46</v>
      </c>
      <c r="F1932" t="s">
        <v>47</v>
      </c>
      <c r="G1932" t="s">
        <v>42</v>
      </c>
    </row>
    <row r="1933" spans="1:7" x14ac:dyDescent="0.2">
      <c r="A1933">
        <v>16</v>
      </c>
      <c r="B1933" t="s">
        <v>854</v>
      </c>
      <c r="C1933" t="s">
        <v>925</v>
      </c>
      <c r="D1933" t="s">
        <v>39</v>
      </c>
      <c r="E1933" t="s">
        <v>46</v>
      </c>
      <c r="F1933" t="s">
        <v>47</v>
      </c>
      <c r="G1933" t="s">
        <v>42</v>
      </c>
    </row>
    <row r="1934" spans="1:7" x14ac:dyDescent="0.2">
      <c r="A1934">
        <v>16</v>
      </c>
      <c r="B1934" t="s">
        <v>854</v>
      </c>
      <c r="C1934" t="s">
        <v>803</v>
      </c>
      <c r="D1934" t="s">
        <v>39</v>
      </c>
      <c r="E1934" t="s">
        <v>46</v>
      </c>
      <c r="F1934" t="s">
        <v>47</v>
      </c>
      <c r="G1934" t="s">
        <v>42</v>
      </c>
    </row>
    <row r="1935" spans="1:7" x14ac:dyDescent="0.2">
      <c r="A1935">
        <v>16</v>
      </c>
      <c r="B1935" t="s">
        <v>854</v>
      </c>
      <c r="C1935" t="s">
        <v>831</v>
      </c>
      <c r="D1935" t="s">
        <v>39</v>
      </c>
      <c r="E1935" t="s">
        <v>46</v>
      </c>
      <c r="F1935" t="s">
        <v>47</v>
      </c>
      <c r="G1935" t="s">
        <v>42</v>
      </c>
    </row>
    <row r="1936" spans="1:7" x14ac:dyDescent="0.2">
      <c r="A1936">
        <v>16</v>
      </c>
      <c r="B1936" t="s">
        <v>854</v>
      </c>
      <c r="C1936" t="s">
        <v>926</v>
      </c>
      <c r="D1936" t="s">
        <v>39</v>
      </c>
      <c r="E1936" t="s">
        <v>46</v>
      </c>
      <c r="F1936" t="s">
        <v>47</v>
      </c>
      <c r="G1936" t="s">
        <v>42</v>
      </c>
    </row>
    <row r="1937" spans="1:7" x14ac:dyDescent="0.2">
      <c r="A1937">
        <v>16</v>
      </c>
      <c r="B1937" t="s">
        <v>854</v>
      </c>
      <c r="C1937" t="s">
        <v>899</v>
      </c>
      <c r="D1937" t="s">
        <v>39</v>
      </c>
      <c r="E1937" t="s">
        <v>46</v>
      </c>
      <c r="F1937" t="s">
        <v>47</v>
      </c>
      <c r="G1937" t="s">
        <v>42</v>
      </c>
    </row>
    <row r="1938" spans="1:7" x14ac:dyDescent="0.2">
      <c r="A1938">
        <v>16</v>
      </c>
      <c r="B1938" t="s">
        <v>854</v>
      </c>
      <c r="C1938" t="s">
        <v>804</v>
      </c>
      <c r="D1938" t="s">
        <v>39</v>
      </c>
      <c r="E1938" t="s">
        <v>46</v>
      </c>
      <c r="F1938" t="s">
        <v>47</v>
      </c>
      <c r="G1938" t="s">
        <v>42</v>
      </c>
    </row>
    <row r="1939" spans="1:7" x14ac:dyDescent="0.2">
      <c r="A1939">
        <v>16</v>
      </c>
      <c r="B1939" t="s">
        <v>854</v>
      </c>
      <c r="C1939" t="s">
        <v>805</v>
      </c>
      <c r="D1939" t="s">
        <v>39</v>
      </c>
      <c r="E1939" t="s">
        <v>46</v>
      </c>
      <c r="F1939" t="s">
        <v>47</v>
      </c>
      <c r="G1939" t="s">
        <v>42</v>
      </c>
    </row>
    <row r="1940" spans="1:7" x14ac:dyDescent="0.2">
      <c r="A1940">
        <v>16</v>
      </c>
      <c r="B1940" t="s">
        <v>854</v>
      </c>
      <c r="C1940" t="s">
        <v>927</v>
      </c>
      <c r="D1940" t="s">
        <v>39</v>
      </c>
      <c r="E1940" t="s">
        <v>46</v>
      </c>
      <c r="F1940" t="s">
        <v>47</v>
      </c>
      <c r="G1940" t="s">
        <v>42</v>
      </c>
    </row>
    <row r="1941" spans="1:7" x14ac:dyDescent="0.2">
      <c r="A1941">
        <v>16</v>
      </c>
      <c r="B1941" t="s">
        <v>854</v>
      </c>
      <c r="C1941" t="s">
        <v>928</v>
      </c>
      <c r="D1941" t="s">
        <v>39</v>
      </c>
      <c r="E1941" t="s">
        <v>46</v>
      </c>
      <c r="F1941" t="s">
        <v>47</v>
      </c>
      <c r="G1941" t="s">
        <v>42</v>
      </c>
    </row>
    <row r="1942" spans="1:7" x14ac:dyDescent="0.2">
      <c r="A1942">
        <v>16</v>
      </c>
      <c r="B1942" t="s">
        <v>854</v>
      </c>
      <c r="C1942" t="s">
        <v>929</v>
      </c>
      <c r="D1942" t="s">
        <v>39</v>
      </c>
      <c r="E1942" t="s">
        <v>46</v>
      </c>
      <c r="F1942" t="s">
        <v>47</v>
      </c>
      <c r="G1942" t="s">
        <v>42</v>
      </c>
    </row>
    <row r="1943" spans="1:7" x14ac:dyDescent="0.2">
      <c r="A1943">
        <v>16</v>
      </c>
      <c r="B1943" t="s">
        <v>854</v>
      </c>
      <c r="C1943" t="s">
        <v>777</v>
      </c>
      <c r="D1943" t="s">
        <v>39</v>
      </c>
      <c r="E1943" t="s">
        <v>46</v>
      </c>
      <c r="F1943" t="s">
        <v>47</v>
      </c>
      <c r="G1943" t="s">
        <v>42</v>
      </c>
    </row>
    <row r="1944" spans="1:7" x14ac:dyDescent="0.2">
      <c r="A1944">
        <v>16</v>
      </c>
      <c r="B1944" t="s">
        <v>854</v>
      </c>
      <c r="C1944" t="s">
        <v>930</v>
      </c>
      <c r="D1944" t="s">
        <v>39</v>
      </c>
      <c r="E1944" t="s">
        <v>46</v>
      </c>
      <c r="F1944" t="s">
        <v>47</v>
      </c>
      <c r="G1944" t="s">
        <v>42</v>
      </c>
    </row>
    <row r="1945" spans="1:7" x14ac:dyDescent="0.2">
      <c r="A1945">
        <v>16</v>
      </c>
      <c r="B1945" t="s">
        <v>854</v>
      </c>
      <c r="C1945" t="s">
        <v>900</v>
      </c>
      <c r="D1945" t="s">
        <v>39</v>
      </c>
      <c r="E1945" t="s">
        <v>46</v>
      </c>
      <c r="F1945" t="s">
        <v>47</v>
      </c>
      <c r="G1945" t="s">
        <v>42</v>
      </c>
    </row>
    <row r="1946" spans="1:7" x14ac:dyDescent="0.2">
      <c r="A1946">
        <v>16</v>
      </c>
      <c r="B1946" t="s">
        <v>854</v>
      </c>
      <c r="C1946" t="s">
        <v>786</v>
      </c>
      <c r="D1946" t="s">
        <v>39</v>
      </c>
      <c r="E1946" t="s">
        <v>46</v>
      </c>
      <c r="F1946" t="s">
        <v>47</v>
      </c>
      <c r="G1946" t="s">
        <v>42</v>
      </c>
    </row>
    <row r="1947" spans="1:7" x14ac:dyDescent="0.2">
      <c r="A1947">
        <v>16</v>
      </c>
      <c r="B1947" t="s">
        <v>854</v>
      </c>
      <c r="C1947" t="s">
        <v>866</v>
      </c>
      <c r="D1947" t="s">
        <v>39</v>
      </c>
      <c r="E1947" t="s">
        <v>46</v>
      </c>
      <c r="F1947" t="s">
        <v>47</v>
      </c>
      <c r="G1947" t="s">
        <v>42</v>
      </c>
    </row>
    <row r="1948" spans="1:7" x14ac:dyDescent="0.2">
      <c r="A1948">
        <v>16</v>
      </c>
      <c r="B1948" t="s">
        <v>854</v>
      </c>
      <c r="C1948" t="s">
        <v>807</v>
      </c>
      <c r="D1948" t="s">
        <v>39</v>
      </c>
      <c r="E1948" t="s">
        <v>46</v>
      </c>
      <c r="F1948" t="s">
        <v>47</v>
      </c>
      <c r="G1948" t="s">
        <v>42</v>
      </c>
    </row>
    <row r="1949" spans="1:7" x14ac:dyDescent="0.2">
      <c r="A1949">
        <v>16</v>
      </c>
      <c r="B1949" t="s">
        <v>854</v>
      </c>
      <c r="C1949" t="s">
        <v>867</v>
      </c>
      <c r="D1949" t="s">
        <v>39</v>
      </c>
      <c r="E1949" t="s">
        <v>46</v>
      </c>
      <c r="F1949" t="s">
        <v>47</v>
      </c>
      <c r="G1949" t="s">
        <v>42</v>
      </c>
    </row>
    <row r="1950" spans="1:7" x14ac:dyDescent="0.2">
      <c r="A1950">
        <v>16</v>
      </c>
      <c r="B1950" t="s">
        <v>854</v>
      </c>
      <c r="C1950" t="s">
        <v>931</v>
      </c>
      <c r="D1950" t="s">
        <v>39</v>
      </c>
      <c r="E1950" t="s">
        <v>46</v>
      </c>
      <c r="F1950" t="s">
        <v>47</v>
      </c>
      <c r="G1950" t="s">
        <v>42</v>
      </c>
    </row>
    <row r="1951" spans="1:7" x14ac:dyDescent="0.2">
      <c r="A1951">
        <v>16</v>
      </c>
      <c r="B1951" t="s">
        <v>854</v>
      </c>
      <c r="C1951" t="s">
        <v>932</v>
      </c>
      <c r="D1951" t="s">
        <v>39</v>
      </c>
      <c r="E1951" t="s">
        <v>46</v>
      </c>
      <c r="F1951" t="s">
        <v>47</v>
      </c>
      <c r="G1951" t="s">
        <v>42</v>
      </c>
    </row>
    <row r="1952" spans="1:7" x14ac:dyDescent="0.2">
      <c r="A1952">
        <v>16</v>
      </c>
      <c r="B1952" t="s">
        <v>854</v>
      </c>
      <c r="C1952" t="s">
        <v>893</v>
      </c>
      <c r="D1952" t="s">
        <v>39</v>
      </c>
      <c r="E1952" t="s">
        <v>46</v>
      </c>
      <c r="F1952" t="s">
        <v>47</v>
      </c>
      <c r="G1952" t="s">
        <v>42</v>
      </c>
    </row>
    <row r="1953" spans="1:7" x14ac:dyDescent="0.2">
      <c r="A1953">
        <v>16</v>
      </c>
      <c r="B1953" t="s">
        <v>854</v>
      </c>
      <c r="C1953" t="s">
        <v>825</v>
      </c>
      <c r="D1953" t="s">
        <v>39</v>
      </c>
      <c r="E1953" t="s">
        <v>46</v>
      </c>
      <c r="F1953" t="s">
        <v>47</v>
      </c>
      <c r="G1953" t="s">
        <v>42</v>
      </c>
    </row>
    <row r="1954" spans="1:7" x14ac:dyDescent="0.2">
      <c r="A1954">
        <v>16</v>
      </c>
      <c r="B1954" t="s">
        <v>854</v>
      </c>
      <c r="C1954" t="s">
        <v>824</v>
      </c>
      <c r="D1954" t="s">
        <v>39</v>
      </c>
      <c r="E1954" t="s">
        <v>46</v>
      </c>
      <c r="F1954" t="s">
        <v>47</v>
      </c>
      <c r="G1954" t="s">
        <v>42</v>
      </c>
    </row>
    <row r="1955" spans="1:7" x14ac:dyDescent="0.2">
      <c r="A1955">
        <v>16</v>
      </c>
      <c r="B1955" t="s">
        <v>854</v>
      </c>
      <c r="C1955" t="s">
        <v>821</v>
      </c>
      <c r="D1955" t="s">
        <v>39</v>
      </c>
      <c r="E1955" t="s">
        <v>46</v>
      </c>
      <c r="F1955" t="s">
        <v>47</v>
      </c>
      <c r="G1955" t="s">
        <v>42</v>
      </c>
    </row>
    <row r="1956" spans="1:7" x14ac:dyDescent="0.2">
      <c r="A1956">
        <v>16</v>
      </c>
      <c r="B1956" t="s">
        <v>854</v>
      </c>
      <c r="C1956" t="s">
        <v>822</v>
      </c>
      <c r="D1956" t="s">
        <v>39</v>
      </c>
      <c r="E1956" t="s">
        <v>46</v>
      </c>
      <c r="F1956" t="s">
        <v>47</v>
      </c>
      <c r="G1956" t="s">
        <v>42</v>
      </c>
    </row>
    <row r="1957" spans="1:7" x14ac:dyDescent="0.2">
      <c r="A1957">
        <v>16</v>
      </c>
      <c r="B1957" t="s">
        <v>854</v>
      </c>
      <c r="C1957" t="s">
        <v>869</v>
      </c>
      <c r="D1957" t="s">
        <v>39</v>
      </c>
      <c r="E1957" t="s">
        <v>46</v>
      </c>
      <c r="F1957" t="s">
        <v>47</v>
      </c>
      <c r="G1957" t="s">
        <v>42</v>
      </c>
    </row>
    <row r="1958" spans="1:7" x14ac:dyDescent="0.2">
      <c r="A1958">
        <v>16</v>
      </c>
      <c r="B1958" t="s">
        <v>854</v>
      </c>
      <c r="C1958" t="s">
        <v>933</v>
      </c>
      <c r="D1958" t="s">
        <v>39</v>
      </c>
      <c r="E1958" t="s">
        <v>46</v>
      </c>
      <c r="F1958" t="s">
        <v>47</v>
      </c>
      <c r="G1958" t="s">
        <v>42</v>
      </c>
    </row>
    <row r="1959" spans="1:7" x14ac:dyDescent="0.2">
      <c r="A1959">
        <v>16</v>
      </c>
      <c r="B1959" t="s">
        <v>854</v>
      </c>
      <c r="C1959" t="s">
        <v>903</v>
      </c>
      <c r="D1959" t="s">
        <v>39</v>
      </c>
      <c r="E1959" t="s">
        <v>46</v>
      </c>
      <c r="F1959" t="s">
        <v>47</v>
      </c>
      <c r="G1959" t="s">
        <v>42</v>
      </c>
    </row>
    <row r="1960" spans="1:7" x14ac:dyDescent="0.2">
      <c r="A1960">
        <v>16</v>
      </c>
      <c r="B1960" t="s">
        <v>854</v>
      </c>
      <c r="C1960" t="s">
        <v>820</v>
      </c>
      <c r="D1960" t="s">
        <v>39</v>
      </c>
      <c r="E1960" t="s">
        <v>46</v>
      </c>
      <c r="F1960" t="s">
        <v>47</v>
      </c>
      <c r="G1960" t="s">
        <v>42</v>
      </c>
    </row>
    <row r="1961" spans="1:7" x14ac:dyDescent="0.2">
      <c r="A1961">
        <v>16</v>
      </c>
      <c r="B1961" t="s">
        <v>854</v>
      </c>
      <c r="C1961" t="s">
        <v>843</v>
      </c>
      <c r="D1961" t="s">
        <v>39</v>
      </c>
      <c r="E1961" t="s">
        <v>46</v>
      </c>
      <c r="F1961" t="s">
        <v>47</v>
      </c>
      <c r="G1961" t="s">
        <v>42</v>
      </c>
    </row>
    <row r="1962" spans="1:7" x14ac:dyDescent="0.2">
      <c r="A1962">
        <v>16</v>
      </c>
      <c r="B1962" t="s">
        <v>854</v>
      </c>
      <c r="C1962" t="s">
        <v>934</v>
      </c>
      <c r="D1962" t="s">
        <v>39</v>
      </c>
      <c r="E1962" t="s">
        <v>46</v>
      </c>
      <c r="F1962" t="s">
        <v>47</v>
      </c>
      <c r="G1962" t="s">
        <v>42</v>
      </c>
    </row>
    <row r="1963" spans="1:7" x14ac:dyDescent="0.2">
      <c r="A1963">
        <v>16</v>
      </c>
      <c r="B1963" t="s">
        <v>854</v>
      </c>
      <c r="C1963" t="s">
        <v>935</v>
      </c>
      <c r="D1963" t="s">
        <v>39</v>
      </c>
      <c r="E1963" t="s">
        <v>46</v>
      </c>
      <c r="F1963" t="s">
        <v>47</v>
      </c>
      <c r="G1963" t="s">
        <v>42</v>
      </c>
    </row>
    <row r="1964" spans="1:7" x14ac:dyDescent="0.2">
      <c r="A1964">
        <v>16</v>
      </c>
      <c r="B1964" t="s">
        <v>854</v>
      </c>
      <c r="C1964" t="s">
        <v>906</v>
      </c>
      <c r="D1964" t="s">
        <v>39</v>
      </c>
      <c r="E1964" t="s">
        <v>46</v>
      </c>
      <c r="F1964" t="s">
        <v>47</v>
      </c>
      <c r="G1964" t="s">
        <v>42</v>
      </c>
    </row>
    <row r="1965" spans="1:7" x14ac:dyDescent="0.2">
      <c r="A1965">
        <v>16</v>
      </c>
      <c r="B1965" t="s">
        <v>854</v>
      </c>
      <c r="C1965" t="s">
        <v>818</v>
      </c>
      <c r="D1965" t="s">
        <v>39</v>
      </c>
      <c r="E1965" t="s">
        <v>46</v>
      </c>
      <c r="F1965" t="s">
        <v>47</v>
      </c>
      <c r="G1965" t="s">
        <v>42</v>
      </c>
    </row>
    <row r="1966" spans="1:7" x14ac:dyDescent="0.2">
      <c r="A1966">
        <v>16</v>
      </c>
      <c r="B1966" t="s">
        <v>854</v>
      </c>
      <c r="C1966" t="s">
        <v>819</v>
      </c>
      <c r="D1966" t="s">
        <v>39</v>
      </c>
      <c r="E1966" t="s">
        <v>46</v>
      </c>
      <c r="F1966" t="s">
        <v>47</v>
      </c>
      <c r="G1966" t="s">
        <v>42</v>
      </c>
    </row>
    <row r="1967" spans="1:7" x14ac:dyDescent="0.2">
      <c r="A1967">
        <v>16</v>
      </c>
      <c r="B1967" t="s">
        <v>854</v>
      </c>
      <c r="C1967" t="s">
        <v>891</v>
      </c>
      <c r="D1967" t="s">
        <v>39</v>
      </c>
      <c r="E1967" t="s">
        <v>46</v>
      </c>
      <c r="F1967" t="s">
        <v>47</v>
      </c>
      <c r="G1967" t="s">
        <v>42</v>
      </c>
    </row>
    <row r="1968" spans="1:7" x14ac:dyDescent="0.2">
      <c r="A1968">
        <v>16</v>
      </c>
      <c r="B1968" t="s">
        <v>854</v>
      </c>
      <c r="C1968" t="s">
        <v>812</v>
      </c>
      <c r="D1968" t="s">
        <v>39</v>
      </c>
      <c r="E1968" t="s">
        <v>46</v>
      </c>
      <c r="F1968" t="s">
        <v>47</v>
      </c>
      <c r="G1968" t="s">
        <v>42</v>
      </c>
    </row>
    <row r="1969" spans="1:7" x14ac:dyDescent="0.2">
      <c r="A1969">
        <v>16</v>
      </c>
      <c r="B1969" t="s">
        <v>854</v>
      </c>
      <c r="C1969" t="s">
        <v>816</v>
      </c>
      <c r="D1969" t="s">
        <v>39</v>
      </c>
      <c r="E1969" t="s">
        <v>46</v>
      </c>
      <c r="F1969" t="s">
        <v>47</v>
      </c>
      <c r="G1969" t="s">
        <v>42</v>
      </c>
    </row>
    <row r="1970" spans="1:7" x14ac:dyDescent="0.2">
      <c r="A1970">
        <v>16</v>
      </c>
      <c r="B1970" t="s">
        <v>854</v>
      </c>
      <c r="C1970" t="s">
        <v>889</v>
      </c>
      <c r="D1970" t="s">
        <v>39</v>
      </c>
      <c r="E1970" t="s">
        <v>46</v>
      </c>
      <c r="F1970" t="s">
        <v>47</v>
      </c>
      <c r="G1970" t="s">
        <v>42</v>
      </c>
    </row>
    <row r="1971" spans="1:7" x14ac:dyDescent="0.2">
      <c r="A1971">
        <v>16</v>
      </c>
      <c r="B1971" t="s">
        <v>854</v>
      </c>
      <c r="C1971" t="s">
        <v>779</v>
      </c>
      <c r="D1971" t="s">
        <v>94</v>
      </c>
      <c r="E1971" t="s">
        <v>46</v>
      </c>
      <c r="F1971" t="s">
        <v>47</v>
      </c>
      <c r="G1971" t="s">
        <v>42</v>
      </c>
    </row>
    <row r="1972" spans="1:7" x14ac:dyDescent="0.2">
      <c r="A1972">
        <v>16</v>
      </c>
      <c r="B1972" t="s">
        <v>854</v>
      </c>
      <c r="C1972" t="s">
        <v>907</v>
      </c>
      <c r="D1972" t="s">
        <v>39</v>
      </c>
      <c r="E1972" t="s">
        <v>46</v>
      </c>
      <c r="F1972" t="s">
        <v>47</v>
      </c>
      <c r="G1972" t="s">
        <v>42</v>
      </c>
    </row>
    <row r="1973" spans="1:7" x14ac:dyDescent="0.2">
      <c r="A1973">
        <v>16</v>
      </c>
      <c r="B1973" t="s">
        <v>854</v>
      </c>
      <c r="C1973" t="s">
        <v>936</v>
      </c>
      <c r="D1973" t="s">
        <v>39</v>
      </c>
      <c r="E1973" t="s">
        <v>46</v>
      </c>
      <c r="F1973" t="s">
        <v>47</v>
      </c>
      <c r="G1973" t="s">
        <v>42</v>
      </c>
    </row>
    <row r="1974" spans="1:7" x14ac:dyDescent="0.2">
      <c r="A1974">
        <v>16</v>
      </c>
      <c r="B1974" t="s">
        <v>854</v>
      </c>
      <c r="C1974" t="s">
        <v>887</v>
      </c>
      <c r="D1974" t="s">
        <v>39</v>
      </c>
      <c r="E1974" t="s">
        <v>46</v>
      </c>
      <c r="F1974" t="s">
        <v>47</v>
      </c>
      <c r="G1974" t="s">
        <v>42</v>
      </c>
    </row>
    <row r="1975" spans="1:7" x14ac:dyDescent="0.2">
      <c r="A1975">
        <v>16</v>
      </c>
      <c r="B1975" t="s">
        <v>854</v>
      </c>
      <c r="C1975" t="s">
        <v>937</v>
      </c>
      <c r="D1975" t="s">
        <v>39</v>
      </c>
      <c r="E1975" t="s">
        <v>46</v>
      </c>
      <c r="F1975" t="s">
        <v>47</v>
      </c>
      <c r="G1975" t="s">
        <v>42</v>
      </c>
    </row>
    <row r="1976" spans="1:7" x14ac:dyDescent="0.2">
      <c r="A1976">
        <v>16</v>
      </c>
      <c r="B1976" t="s">
        <v>854</v>
      </c>
      <c r="C1976" t="s">
        <v>938</v>
      </c>
      <c r="D1976" t="s">
        <v>39</v>
      </c>
      <c r="E1976" t="s">
        <v>46</v>
      </c>
      <c r="F1976" t="s">
        <v>47</v>
      </c>
      <c r="G1976" t="s">
        <v>42</v>
      </c>
    </row>
    <row r="1977" spans="1:7" x14ac:dyDescent="0.2">
      <c r="A1977">
        <v>16</v>
      </c>
      <c r="B1977" t="s">
        <v>854</v>
      </c>
      <c r="C1977" t="s">
        <v>836</v>
      </c>
      <c r="D1977" t="s">
        <v>39</v>
      </c>
      <c r="E1977" t="s">
        <v>46</v>
      </c>
      <c r="F1977" t="s">
        <v>47</v>
      </c>
      <c r="G1977" t="s">
        <v>42</v>
      </c>
    </row>
    <row r="1978" spans="1:7" x14ac:dyDescent="0.2">
      <c r="A1978">
        <v>16</v>
      </c>
      <c r="B1978" t="s">
        <v>854</v>
      </c>
      <c r="C1978" t="s">
        <v>715</v>
      </c>
      <c r="D1978" t="s">
        <v>39</v>
      </c>
      <c r="E1978" t="s">
        <v>46</v>
      </c>
      <c r="F1978" t="s">
        <v>51</v>
      </c>
      <c r="G1978" t="s">
        <v>42</v>
      </c>
    </row>
    <row r="1979" spans="1:7" x14ac:dyDescent="0.2">
      <c r="A1979">
        <v>17</v>
      </c>
      <c r="B1979" t="s">
        <v>774</v>
      </c>
      <c r="C1979" t="s">
        <v>798</v>
      </c>
      <c r="D1979" t="s">
        <v>94</v>
      </c>
      <c r="E1979" t="s">
        <v>46</v>
      </c>
      <c r="F1979" t="s">
        <v>51</v>
      </c>
      <c r="G1979" t="s">
        <v>42</v>
      </c>
    </row>
    <row r="1980" spans="1:7" x14ac:dyDescent="0.2">
      <c r="A1980">
        <v>17</v>
      </c>
      <c r="B1980" t="s">
        <v>774</v>
      </c>
      <c r="C1980" t="s">
        <v>874</v>
      </c>
      <c r="D1980" t="s">
        <v>39</v>
      </c>
      <c r="E1980" t="s">
        <v>46</v>
      </c>
      <c r="F1980" t="s">
        <v>51</v>
      </c>
      <c r="G1980" t="s">
        <v>42</v>
      </c>
    </row>
    <row r="1981" spans="1:7" x14ac:dyDescent="0.2">
      <c r="A1981">
        <v>17</v>
      </c>
      <c r="B1981" t="s">
        <v>774</v>
      </c>
      <c r="C1981" t="s">
        <v>875</v>
      </c>
      <c r="D1981" t="s">
        <v>39</v>
      </c>
      <c r="E1981" t="s">
        <v>46</v>
      </c>
      <c r="F1981" t="s">
        <v>51</v>
      </c>
      <c r="G1981" t="s">
        <v>42</v>
      </c>
    </row>
    <row r="1982" spans="1:7" x14ac:dyDescent="0.2">
      <c r="A1982">
        <v>17</v>
      </c>
      <c r="B1982" t="s">
        <v>774</v>
      </c>
      <c r="C1982" t="s">
        <v>939</v>
      </c>
      <c r="D1982" t="s">
        <v>39</v>
      </c>
      <c r="E1982" t="s">
        <v>46</v>
      </c>
      <c r="F1982" t="s">
        <v>51</v>
      </c>
      <c r="G1982" t="s">
        <v>42</v>
      </c>
    </row>
    <row r="1983" spans="1:7" x14ac:dyDescent="0.2">
      <c r="A1983">
        <v>17</v>
      </c>
      <c r="B1983" t="s">
        <v>774</v>
      </c>
      <c r="C1983" t="s">
        <v>800</v>
      </c>
      <c r="D1983" t="s">
        <v>39</v>
      </c>
      <c r="E1983" t="s">
        <v>46</v>
      </c>
      <c r="F1983" t="s">
        <v>51</v>
      </c>
      <c r="G1983" t="s">
        <v>42</v>
      </c>
    </row>
    <row r="1984" spans="1:7" x14ac:dyDescent="0.2">
      <c r="A1984">
        <v>17</v>
      </c>
      <c r="B1984" t="s">
        <v>774</v>
      </c>
      <c r="C1984" t="s">
        <v>783</v>
      </c>
      <c r="D1984" t="s">
        <v>39</v>
      </c>
      <c r="E1984" t="s">
        <v>46</v>
      </c>
      <c r="F1984" t="s">
        <v>51</v>
      </c>
      <c r="G1984" t="s">
        <v>42</v>
      </c>
    </row>
    <row r="1985" spans="1:7" x14ac:dyDescent="0.2">
      <c r="A1985">
        <v>17</v>
      </c>
      <c r="B1985" t="s">
        <v>774</v>
      </c>
      <c r="C1985" t="s">
        <v>782</v>
      </c>
      <c r="D1985" t="s">
        <v>39</v>
      </c>
      <c r="E1985" t="s">
        <v>46</v>
      </c>
      <c r="F1985" t="s">
        <v>51</v>
      </c>
      <c r="G1985" t="s">
        <v>42</v>
      </c>
    </row>
    <row r="1986" spans="1:7" x14ac:dyDescent="0.2">
      <c r="A1986">
        <v>17</v>
      </c>
      <c r="B1986" t="s">
        <v>774</v>
      </c>
      <c r="C1986" t="s">
        <v>940</v>
      </c>
      <c r="D1986" t="s">
        <v>39</v>
      </c>
      <c r="E1986" t="s">
        <v>46</v>
      </c>
      <c r="F1986" t="s">
        <v>51</v>
      </c>
      <c r="G1986" t="s">
        <v>42</v>
      </c>
    </row>
    <row r="1987" spans="1:7" x14ac:dyDescent="0.2">
      <c r="A1987">
        <v>17</v>
      </c>
      <c r="B1987" t="s">
        <v>774</v>
      </c>
      <c r="C1987" t="s">
        <v>785</v>
      </c>
      <c r="D1987" t="s">
        <v>39</v>
      </c>
      <c r="E1987" t="s">
        <v>46</v>
      </c>
      <c r="F1987" t="s">
        <v>51</v>
      </c>
      <c r="G1987" t="s">
        <v>42</v>
      </c>
    </row>
    <row r="1988" spans="1:7" x14ac:dyDescent="0.2">
      <c r="A1988">
        <v>17</v>
      </c>
      <c r="B1988" t="s">
        <v>774</v>
      </c>
      <c r="C1988" t="s">
        <v>941</v>
      </c>
      <c r="D1988" t="s">
        <v>39</v>
      </c>
      <c r="E1988" t="s">
        <v>46</v>
      </c>
      <c r="F1988" t="s">
        <v>51</v>
      </c>
      <c r="G1988" t="s">
        <v>42</v>
      </c>
    </row>
    <row r="1989" spans="1:7" x14ac:dyDescent="0.2">
      <c r="A1989">
        <v>17</v>
      </c>
      <c r="B1989" t="s">
        <v>774</v>
      </c>
      <c r="C1989" t="s">
        <v>942</v>
      </c>
      <c r="D1989" t="s">
        <v>39</v>
      </c>
      <c r="E1989" t="s">
        <v>46</v>
      </c>
      <c r="F1989" t="s">
        <v>51</v>
      </c>
      <c r="G1989" t="s">
        <v>42</v>
      </c>
    </row>
    <row r="1990" spans="1:7" x14ac:dyDescent="0.2">
      <c r="A1990">
        <v>17</v>
      </c>
      <c r="B1990" t="s">
        <v>774</v>
      </c>
      <c r="C1990" t="s">
        <v>789</v>
      </c>
      <c r="D1990" t="s">
        <v>39</v>
      </c>
      <c r="E1990" t="s">
        <v>46</v>
      </c>
      <c r="F1990" t="s">
        <v>51</v>
      </c>
      <c r="G1990" t="s">
        <v>42</v>
      </c>
    </row>
    <row r="1991" spans="1:7" x14ac:dyDescent="0.2">
      <c r="A1991">
        <v>17</v>
      </c>
      <c r="B1991" t="s">
        <v>774</v>
      </c>
      <c r="C1991" t="s">
        <v>943</v>
      </c>
      <c r="D1991" t="s">
        <v>39</v>
      </c>
      <c r="E1991" t="s">
        <v>46</v>
      </c>
      <c r="F1991" t="s">
        <v>51</v>
      </c>
      <c r="G1991" t="s">
        <v>42</v>
      </c>
    </row>
    <row r="1992" spans="1:7" x14ac:dyDescent="0.2">
      <c r="A1992">
        <v>17</v>
      </c>
      <c r="B1992" t="s">
        <v>774</v>
      </c>
      <c r="C1992" t="s">
        <v>944</v>
      </c>
      <c r="D1992" t="s">
        <v>39</v>
      </c>
      <c r="E1992" t="s">
        <v>46</v>
      </c>
      <c r="F1992" t="s">
        <v>51</v>
      </c>
      <c r="G1992" t="s">
        <v>42</v>
      </c>
    </row>
    <row r="1993" spans="1:7" x14ac:dyDescent="0.2">
      <c r="A1993">
        <v>17</v>
      </c>
      <c r="B1993" t="s">
        <v>774</v>
      </c>
      <c r="C1993" t="s">
        <v>847</v>
      </c>
      <c r="D1993" t="s">
        <v>39</v>
      </c>
      <c r="E1993" t="s">
        <v>46</v>
      </c>
      <c r="F1993" t="s">
        <v>51</v>
      </c>
      <c r="G1993" t="s">
        <v>42</v>
      </c>
    </row>
    <row r="1994" spans="1:7" x14ac:dyDescent="0.2">
      <c r="A1994">
        <v>17</v>
      </c>
      <c r="B1994" t="s">
        <v>774</v>
      </c>
      <c r="C1994" t="s">
        <v>882</v>
      </c>
      <c r="D1994" t="s">
        <v>39</v>
      </c>
      <c r="E1994" t="s">
        <v>46</v>
      </c>
      <c r="F1994" t="s">
        <v>51</v>
      </c>
      <c r="G1994" t="s">
        <v>42</v>
      </c>
    </row>
    <row r="1995" spans="1:7" x14ac:dyDescent="0.2">
      <c r="A1995">
        <v>17</v>
      </c>
      <c r="B1995" t="s">
        <v>774</v>
      </c>
      <c r="C1995" t="s">
        <v>803</v>
      </c>
      <c r="D1995" t="s">
        <v>39</v>
      </c>
      <c r="E1995" t="s">
        <v>46</v>
      </c>
      <c r="F1995" t="s">
        <v>47</v>
      </c>
      <c r="G1995" t="s">
        <v>42</v>
      </c>
    </row>
    <row r="1996" spans="1:7" x14ac:dyDescent="0.2">
      <c r="A1996">
        <v>17</v>
      </c>
      <c r="B1996" t="s">
        <v>774</v>
      </c>
      <c r="C1996" t="s">
        <v>945</v>
      </c>
      <c r="D1996" t="s">
        <v>39</v>
      </c>
      <c r="E1996" t="s">
        <v>46</v>
      </c>
      <c r="F1996" t="s">
        <v>51</v>
      </c>
      <c r="G1996" t="s">
        <v>42</v>
      </c>
    </row>
    <row r="1997" spans="1:7" x14ac:dyDescent="0.2">
      <c r="A1997">
        <v>17</v>
      </c>
      <c r="B1997" t="s">
        <v>774</v>
      </c>
      <c r="C1997" t="s">
        <v>777</v>
      </c>
      <c r="D1997" t="s">
        <v>39</v>
      </c>
      <c r="E1997" t="s">
        <v>46</v>
      </c>
      <c r="F1997" t="s">
        <v>51</v>
      </c>
      <c r="G1997" t="s">
        <v>42</v>
      </c>
    </row>
    <row r="1998" spans="1:7" x14ac:dyDescent="0.2">
      <c r="A1998">
        <v>17</v>
      </c>
      <c r="B1998" t="s">
        <v>774</v>
      </c>
      <c r="C1998" t="s">
        <v>786</v>
      </c>
      <c r="D1998" t="s">
        <v>39</v>
      </c>
      <c r="E1998" t="s">
        <v>46</v>
      </c>
      <c r="F1998" t="s">
        <v>51</v>
      </c>
      <c r="G1998" t="s">
        <v>42</v>
      </c>
    </row>
    <row r="1999" spans="1:7" x14ac:dyDescent="0.2">
      <c r="A1999">
        <v>17</v>
      </c>
      <c r="B1999" t="s">
        <v>774</v>
      </c>
      <c r="C1999" t="s">
        <v>893</v>
      </c>
      <c r="D1999" t="s">
        <v>39</v>
      </c>
      <c r="E1999" t="s">
        <v>46</v>
      </c>
      <c r="F1999" t="s">
        <v>51</v>
      </c>
      <c r="G1999" t="s">
        <v>42</v>
      </c>
    </row>
    <row r="2000" spans="1:7" x14ac:dyDescent="0.2">
      <c r="A2000">
        <v>17</v>
      </c>
      <c r="B2000" t="s">
        <v>774</v>
      </c>
      <c r="C2000" t="s">
        <v>825</v>
      </c>
      <c r="D2000" t="s">
        <v>39</v>
      </c>
      <c r="E2000" t="s">
        <v>46</v>
      </c>
      <c r="F2000" t="s">
        <v>51</v>
      </c>
      <c r="G2000" t="s">
        <v>42</v>
      </c>
    </row>
    <row r="2001" spans="1:7" x14ac:dyDescent="0.2">
      <c r="A2001">
        <v>17</v>
      </c>
      <c r="B2001" t="s">
        <v>774</v>
      </c>
      <c r="C2001" t="s">
        <v>946</v>
      </c>
      <c r="D2001" t="s">
        <v>39</v>
      </c>
      <c r="E2001" t="s">
        <v>46</v>
      </c>
      <c r="F2001" t="s">
        <v>51</v>
      </c>
      <c r="G2001" t="s">
        <v>42</v>
      </c>
    </row>
    <row r="2002" spans="1:7" x14ac:dyDescent="0.2">
      <c r="A2002">
        <v>17</v>
      </c>
      <c r="B2002" t="s">
        <v>774</v>
      </c>
      <c r="C2002" t="s">
        <v>822</v>
      </c>
      <c r="D2002" t="s">
        <v>39</v>
      </c>
      <c r="E2002" t="s">
        <v>46</v>
      </c>
      <c r="F2002" t="s">
        <v>51</v>
      </c>
      <c r="G2002" t="s">
        <v>42</v>
      </c>
    </row>
    <row r="2003" spans="1:7" x14ac:dyDescent="0.2">
      <c r="A2003">
        <v>17</v>
      </c>
      <c r="B2003" t="s">
        <v>774</v>
      </c>
      <c r="C2003" t="s">
        <v>841</v>
      </c>
      <c r="D2003" t="s">
        <v>39</v>
      </c>
      <c r="E2003" t="s">
        <v>46</v>
      </c>
      <c r="F2003" t="s">
        <v>41</v>
      </c>
      <c r="G2003" t="s">
        <v>42</v>
      </c>
    </row>
    <row r="2004" spans="1:7" x14ac:dyDescent="0.2">
      <c r="A2004">
        <v>17</v>
      </c>
      <c r="B2004" t="s">
        <v>774</v>
      </c>
      <c r="C2004" t="s">
        <v>869</v>
      </c>
      <c r="D2004" t="s">
        <v>39</v>
      </c>
      <c r="E2004" t="s">
        <v>46</v>
      </c>
      <c r="F2004" t="s">
        <v>51</v>
      </c>
      <c r="G2004" t="s">
        <v>42</v>
      </c>
    </row>
    <row r="2005" spans="1:7" x14ac:dyDescent="0.2">
      <c r="A2005">
        <v>17</v>
      </c>
      <c r="B2005" t="s">
        <v>774</v>
      </c>
      <c r="C2005" t="s">
        <v>820</v>
      </c>
      <c r="D2005" t="s">
        <v>39</v>
      </c>
      <c r="E2005" t="s">
        <v>46</v>
      </c>
      <c r="F2005" t="s">
        <v>51</v>
      </c>
      <c r="G2005" t="s">
        <v>42</v>
      </c>
    </row>
    <row r="2006" spans="1:7" x14ac:dyDescent="0.2">
      <c r="A2006">
        <v>17</v>
      </c>
      <c r="B2006" t="s">
        <v>774</v>
      </c>
      <c r="C2006" t="s">
        <v>819</v>
      </c>
      <c r="D2006" t="s">
        <v>39</v>
      </c>
      <c r="E2006" t="s">
        <v>46</v>
      </c>
      <c r="F2006" t="s">
        <v>51</v>
      </c>
      <c r="G2006" t="s">
        <v>42</v>
      </c>
    </row>
    <row r="2007" spans="1:7" x14ac:dyDescent="0.2">
      <c r="A2007">
        <v>17</v>
      </c>
      <c r="B2007" t="s">
        <v>774</v>
      </c>
      <c r="C2007" t="s">
        <v>891</v>
      </c>
      <c r="D2007" t="s">
        <v>39</v>
      </c>
      <c r="E2007" t="s">
        <v>46</v>
      </c>
      <c r="F2007" t="s">
        <v>51</v>
      </c>
      <c r="G2007" t="s">
        <v>42</v>
      </c>
    </row>
    <row r="2008" spans="1:7" x14ac:dyDescent="0.2">
      <c r="A2008">
        <v>17</v>
      </c>
      <c r="B2008" t="s">
        <v>774</v>
      </c>
      <c r="C2008" t="s">
        <v>816</v>
      </c>
      <c r="D2008" t="s">
        <v>39</v>
      </c>
      <c r="E2008" t="s">
        <v>46</v>
      </c>
      <c r="F2008" t="s">
        <v>51</v>
      </c>
      <c r="G2008" t="s">
        <v>42</v>
      </c>
    </row>
    <row r="2009" spans="1:7" x14ac:dyDescent="0.2">
      <c r="A2009">
        <v>17</v>
      </c>
      <c r="B2009" t="s">
        <v>774</v>
      </c>
      <c r="C2009" t="s">
        <v>836</v>
      </c>
      <c r="D2009" t="s">
        <v>39</v>
      </c>
      <c r="E2009" t="s">
        <v>46</v>
      </c>
      <c r="F2009" t="s">
        <v>51</v>
      </c>
      <c r="G2009" t="s">
        <v>42</v>
      </c>
    </row>
    <row r="2010" spans="1:7" x14ac:dyDescent="0.2">
      <c r="A2010">
        <v>17</v>
      </c>
      <c r="B2010" t="s">
        <v>774</v>
      </c>
      <c r="C2010" t="s">
        <v>837</v>
      </c>
      <c r="D2010" t="s">
        <v>39</v>
      </c>
      <c r="E2010" t="s">
        <v>46</v>
      </c>
      <c r="F2010" t="s">
        <v>51</v>
      </c>
      <c r="G2010" t="s">
        <v>42</v>
      </c>
    </row>
    <row r="2011" spans="1:7" x14ac:dyDescent="0.2">
      <c r="A2011">
        <v>17</v>
      </c>
      <c r="B2011" t="s">
        <v>774</v>
      </c>
      <c r="C2011" t="s">
        <v>887</v>
      </c>
      <c r="D2011" t="s">
        <v>39</v>
      </c>
      <c r="E2011" t="s">
        <v>46</v>
      </c>
      <c r="F2011" t="s">
        <v>51</v>
      </c>
      <c r="G2011" t="s">
        <v>42</v>
      </c>
    </row>
    <row r="2012" spans="1:7" x14ac:dyDescent="0.2">
      <c r="A2012">
        <v>17</v>
      </c>
      <c r="B2012" t="s">
        <v>774</v>
      </c>
      <c r="C2012" t="s">
        <v>779</v>
      </c>
      <c r="D2012" t="s">
        <v>39</v>
      </c>
      <c r="E2012" t="s">
        <v>46</v>
      </c>
      <c r="F2012" t="s">
        <v>51</v>
      </c>
      <c r="G2012" t="s">
        <v>42</v>
      </c>
    </row>
    <row r="2013" spans="1:7" x14ac:dyDescent="0.2">
      <c r="A2013">
        <v>17</v>
      </c>
      <c r="B2013" t="s">
        <v>774</v>
      </c>
      <c r="C2013" t="s">
        <v>906</v>
      </c>
      <c r="D2013" t="s">
        <v>39</v>
      </c>
      <c r="E2013" t="s">
        <v>46</v>
      </c>
      <c r="F2013" t="s">
        <v>51</v>
      </c>
      <c r="G2013" t="s">
        <v>42</v>
      </c>
    </row>
    <row r="2014" spans="1:7" x14ac:dyDescent="0.2">
      <c r="A2014">
        <v>17</v>
      </c>
      <c r="B2014" t="s">
        <v>774</v>
      </c>
      <c r="C2014" t="s">
        <v>812</v>
      </c>
      <c r="D2014" t="s">
        <v>39</v>
      </c>
      <c r="E2014" t="s">
        <v>46</v>
      </c>
      <c r="F2014" t="s">
        <v>51</v>
      </c>
      <c r="G2014" t="s">
        <v>42</v>
      </c>
    </row>
    <row r="2015" spans="1:7" x14ac:dyDescent="0.2">
      <c r="A2015">
        <v>17</v>
      </c>
      <c r="B2015" t="s">
        <v>774</v>
      </c>
      <c r="C2015" t="s">
        <v>947</v>
      </c>
      <c r="D2015" t="s">
        <v>39</v>
      </c>
      <c r="E2015" t="s">
        <v>46</v>
      </c>
      <c r="F2015" t="s">
        <v>51</v>
      </c>
      <c r="G2015" t="s">
        <v>42</v>
      </c>
    </row>
    <row r="2016" spans="1:7" x14ac:dyDescent="0.2">
      <c r="A2016">
        <v>17</v>
      </c>
      <c r="B2016" t="s">
        <v>774</v>
      </c>
      <c r="C2016" t="s">
        <v>907</v>
      </c>
      <c r="D2016" t="s">
        <v>39</v>
      </c>
      <c r="E2016" t="s">
        <v>46</v>
      </c>
      <c r="F2016" t="s">
        <v>51</v>
      </c>
      <c r="G2016" t="s">
        <v>42</v>
      </c>
    </row>
    <row r="2017" spans="1:7" x14ac:dyDescent="0.2">
      <c r="A2017">
        <v>17</v>
      </c>
      <c r="B2017" t="s">
        <v>774</v>
      </c>
      <c r="C2017" t="s">
        <v>948</v>
      </c>
      <c r="D2017" t="s">
        <v>39</v>
      </c>
      <c r="E2017" t="s">
        <v>46</v>
      </c>
      <c r="F2017" t="s">
        <v>51</v>
      </c>
      <c r="G2017" t="s">
        <v>42</v>
      </c>
    </row>
    <row r="2018" spans="1:7" x14ac:dyDescent="0.2">
      <c r="A2018">
        <v>17</v>
      </c>
      <c r="B2018" t="s">
        <v>774</v>
      </c>
      <c r="C2018" t="s">
        <v>844</v>
      </c>
      <c r="D2018" t="s">
        <v>39</v>
      </c>
      <c r="E2018" t="s">
        <v>46</v>
      </c>
      <c r="F2018" t="s">
        <v>51</v>
      </c>
      <c r="G2018" t="s">
        <v>42</v>
      </c>
    </row>
    <row r="2019" spans="1:7" x14ac:dyDescent="0.2">
      <c r="A2019">
        <v>17</v>
      </c>
      <c r="B2019" t="s">
        <v>774</v>
      </c>
      <c r="C2019" t="s">
        <v>885</v>
      </c>
      <c r="D2019" t="s">
        <v>39</v>
      </c>
      <c r="E2019" t="s">
        <v>46</v>
      </c>
      <c r="F2019" t="s">
        <v>51</v>
      </c>
      <c r="G2019" t="s">
        <v>42</v>
      </c>
    </row>
    <row r="2020" spans="1:7" x14ac:dyDescent="0.2">
      <c r="A2020">
        <v>17</v>
      </c>
      <c r="B2020" t="s">
        <v>774</v>
      </c>
      <c r="C2020" t="s">
        <v>807</v>
      </c>
      <c r="D2020" t="s">
        <v>39</v>
      </c>
      <c r="E2020" t="s">
        <v>46</v>
      </c>
      <c r="F2020" t="s">
        <v>51</v>
      </c>
      <c r="G2020" t="s">
        <v>42</v>
      </c>
    </row>
    <row r="2021" spans="1:7" x14ac:dyDescent="0.2">
      <c r="A2021">
        <v>17</v>
      </c>
      <c r="B2021" t="s">
        <v>774</v>
      </c>
      <c r="C2021" t="s">
        <v>665</v>
      </c>
      <c r="D2021" t="s">
        <v>39</v>
      </c>
      <c r="E2021" t="s">
        <v>46</v>
      </c>
      <c r="F2021" t="s">
        <v>51</v>
      </c>
      <c r="G2021" t="s">
        <v>42</v>
      </c>
    </row>
    <row r="2022" spans="1:7" x14ac:dyDescent="0.2">
      <c r="A2022">
        <v>17</v>
      </c>
      <c r="B2022" t="s">
        <v>774</v>
      </c>
      <c r="C2022" t="s">
        <v>927</v>
      </c>
      <c r="D2022" t="s">
        <v>39</v>
      </c>
      <c r="E2022" t="s">
        <v>46</v>
      </c>
      <c r="F2022" t="s">
        <v>47</v>
      </c>
      <c r="G2022" t="s">
        <v>42</v>
      </c>
    </row>
    <row r="2023" spans="1:7" x14ac:dyDescent="0.2">
      <c r="A2023">
        <v>17</v>
      </c>
      <c r="B2023" t="s">
        <v>774</v>
      </c>
      <c r="C2023" t="s">
        <v>778</v>
      </c>
      <c r="D2023" t="s">
        <v>39</v>
      </c>
      <c r="E2023" t="s">
        <v>46</v>
      </c>
      <c r="F2023" t="s">
        <v>51</v>
      </c>
      <c r="G2023" t="s">
        <v>42</v>
      </c>
    </row>
    <row r="2024" spans="1:7" x14ac:dyDescent="0.2">
      <c r="A2024">
        <v>17</v>
      </c>
      <c r="B2024" t="s">
        <v>774</v>
      </c>
      <c r="C2024" t="s">
        <v>845</v>
      </c>
      <c r="D2024" t="s">
        <v>39</v>
      </c>
      <c r="E2024" t="s">
        <v>46</v>
      </c>
      <c r="F2024" t="s">
        <v>47</v>
      </c>
      <c r="G2024" t="s">
        <v>42</v>
      </c>
    </row>
    <row r="2025" spans="1:7" x14ac:dyDescent="0.2">
      <c r="A2025">
        <v>17</v>
      </c>
      <c r="B2025" t="s">
        <v>774</v>
      </c>
      <c r="C2025" t="s">
        <v>769</v>
      </c>
      <c r="D2025" t="s">
        <v>39</v>
      </c>
      <c r="E2025" t="s">
        <v>46</v>
      </c>
      <c r="F2025" t="s">
        <v>51</v>
      </c>
      <c r="G2025" t="s">
        <v>42</v>
      </c>
    </row>
    <row r="2026" spans="1:7" x14ac:dyDescent="0.2">
      <c r="A2026">
        <v>17</v>
      </c>
      <c r="B2026" t="s">
        <v>774</v>
      </c>
      <c r="C2026" t="s">
        <v>949</v>
      </c>
      <c r="D2026" t="s">
        <v>39</v>
      </c>
      <c r="E2026" t="s">
        <v>46</v>
      </c>
      <c r="F2026" t="s">
        <v>51</v>
      </c>
      <c r="G2026" t="s">
        <v>42</v>
      </c>
    </row>
    <row r="2027" spans="1:7" x14ac:dyDescent="0.2">
      <c r="A2027">
        <v>17</v>
      </c>
      <c r="B2027" t="s">
        <v>774</v>
      </c>
      <c r="C2027" t="s">
        <v>804</v>
      </c>
      <c r="D2027" t="s">
        <v>39</v>
      </c>
      <c r="E2027" t="s">
        <v>46</v>
      </c>
      <c r="F2027" t="s">
        <v>51</v>
      </c>
      <c r="G2027" t="s">
        <v>42</v>
      </c>
    </row>
    <row r="2028" spans="1:7" x14ac:dyDescent="0.2">
      <c r="A2028">
        <v>17</v>
      </c>
      <c r="B2028" t="s">
        <v>774</v>
      </c>
      <c r="C2028" t="s">
        <v>899</v>
      </c>
      <c r="D2028" t="s">
        <v>39</v>
      </c>
      <c r="E2028" t="s">
        <v>46</v>
      </c>
      <c r="F2028" t="s">
        <v>51</v>
      </c>
      <c r="G2028" t="s">
        <v>42</v>
      </c>
    </row>
    <row r="2029" spans="1:7" x14ac:dyDescent="0.2">
      <c r="A2029">
        <v>17</v>
      </c>
      <c r="B2029" t="s">
        <v>774</v>
      </c>
      <c r="C2029" t="s">
        <v>950</v>
      </c>
      <c r="D2029" t="s">
        <v>39</v>
      </c>
      <c r="E2029" t="s">
        <v>46</v>
      </c>
      <c r="F2029" t="s">
        <v>51</v>
      </c>
      <c r="G2029" t="s">
        <v>42</v>
      </c>
    </row>
    <row r="2030" spans="1:7" x14ac:dyDescent="0.2">
      <c r="A2030">
        <v>17</v>
      </c>
      <c r="B2030" t="s">
        <v>774</v>
      </c>
      <c r="C2030" t="s">
        <v>831</v>
      </c>
      <c r="D2030" t="s">
        <v>39</v>
      </c>
      <c r="E2030" t="s">
        <v>46</v>
      </c>
      <c r="F2030" t="s">
        <v>51</v>
      </c>
      <c r="G2030" t="s">
        <v>42</v>
      </c>
    </row>
    <row r="2031" spans="1:7" x14ac:dyDescent="0.2">
      <c r="A2031">
        <v>17</v>
      </c>
      <c r="B2031" t="s">
        <v>774</v>
      </c>
      <c r="C2031" t="s">
        <v>795</v>
      </c>
      <c r="D2031" t="s">
        <v>39</v>
      </c>
      <c r="E2031" t="s">
        <v>46</v>
      </c>
      <c r="F2031" t="s">
        <v>47</v>
      </c>
      <c r="G2031" t="s">
        <v>42</v>
      </c>
    </row>
    <row r="2032" spans="1:7" x14ac:dyDescent="0.2">
      <c r="A2032">
        <v>18</v>
      </c>
      <c r="B2032" t="s">
        <v>774</v>
      </c>
      <c r="C2032" t="s">
        <v>951</v>
      </c>
      <c r="D2032" t="s">
        <v>39</v>
      </c>
      <c r="E2032" t="s">
        <v>40</v>
      </c>
      <c r="F2032" t="s">
        <v>41</v>
      </c>
      <c r="G2032" t="s">
        <v>42</v>
      </c>
    </row>
    <row r="2033" spans="1:7" x14ac:dyDescent="0.2">
      <c r="A2033">
        <v>18</v>
      </c>
      <c r="B2033" t="s">
        <v>774</v>
      </c>
      <c r="C2033" t="s">
        <v>800</v>
      </c>
      <c r="D2033" t="s">
        <v>39</v>
      </c>
      <c r="E2033" t="s">
        <v>40</v>
      </c>
      <c r="F2033" t="s">
        <v>41</v>
      </c>
      <c r="G2033" t="s">
        <v>42</v>
      </c>
    </row>
    <row r="2034" spans="1:7" x14ac:dyDescent="0.2">
      <c r="A2034">
        <v>18</v>
      </c>
      <c r="B2034" t="s">
        <v>774</v>
      </c>
      <c r="C2034" t="s">
        <v>871</v>
      </c>
      <c r="D2034" t="s">
        <v>39</v>
      </c>
      <c r="E2034" t="s">
        <v>40</v>
      </c>
      <c r="F2034" t="s">
        <v>41</v>
      </c>
      <c r="G2034" t="s">
        <v>42</v>
      </c>
    </row>
    <row r="2035" spans="1:7" x14ac:dyDescent="0.2">
      <c r="A2035">
        <v>18</v>
      </c>
      <c r="B2035" t="s">
        <v>774</v>
      </c>
      <c r="C2035" t="s">
        <v>875</v>
      </c>
      <c r="D2035" t="s">
        <v>39</v>
      </c>
      <c r="E2035" t="s">
        <v>40</v>
      </c>
      <c r="F2035" t="s">
        <v>41</v>
      </c>
      <c r="G2035" t="s">
        <v>42</v>
      </c>
    </row>
    <row r="2036" spans="1:7" x14ac:dyDescent="0.2">
      <c r="A2036">
        <v>18</v>
      </c>
      <c r="B2036" t="s">
        <v>774</v>
      </c>
      <c r="C2036" t="s">
        <v>783</v>
      </c>
      <c r="D2036" t="s">
        <v>39</v>
      </c>
      <c r="E2036" t="s">
        <v>40</v>
      </c>
      <c r="F2036" t="s">
        <v>41</v>
      </c>
      <c r="G2036" t="s">
        <v>42</v>
      </c>
    </row>
    <row r="2037" spans="1:7" x14ac:dyDescent="0.2">
      <c r="A2037">
        <v>18</v>
      </c>
      <c r="B2037" t="s">
        <v>774</v>
      </c>
      <c r="C2037" t="s">
        <v>782</v>
      </c>
      <c r="D2037" t="s">
        <v>39</v>
      </c>
      <c r="E2037" t="s">
        <v>40</v>
      </c>
      <c r="F2037" t="s">
        <v>41</v>
      </c>
      <c r="G2037" t="s">
        <v>42</v>
      </c>
    </row>
    <row r="2038" spans="1:7" x14ac:dyDescent="0.2">
      <c r="A2038">
        <v>18</v>
      </c>
      <c r="B2038" t="s">
        <v>774</v>
      </c>
      <c r="C2038" t="s">
        <v>952</v>
      </c>
      <c r="D2038" t="s">
        <v>39</v>
      </c>
      <c r="E2038" t="s">
        <v>40</v>
      </c>
      <c r="F2038" t="s">
        <v>41</v>
      </c>
      <c r="G2038" t="s">
        <v>42</v>
      </c>
    </row>
    <row r="2039" spans="1:7" x14ac:dyDescent="0.2">
      <c r="A2039">
        <v>18</v>
      </c>
      <c r="B2039" t="s">
        <v>774</v>
      </c>
      <c r="C2039" t="s">
        <v>785</v>
      </c>
      <c r="D2039" t="s">
        <v>39</v>
      </c>
      <c r="E2039" t="s">
        <v>40</v>
      </c>
      <c r="F2039" t="s">
        <v>41</v>
      </c>
      <c r="G2039" t="s">
        <v>42</v>
      </c>
    </row>
    <row r="2040" spans="1:7" x14ac:dyDescent="0.2">
      <c r="A2040">
        <v>18</v>
      </c>
      <c r="B2040" t="s">
        <v>774</v>
      </c>
      <c r="C2040" t="s">
        <v>953</v>
      </c>
      <c r="D2040" t="s">
        <v>39</v>
      </c>
      <c r="E2040" t="s">
        <v>40</v>
      </c>
      <c r="F2040" t="s">
        <v>41</v>
      </c>
      <c r="G2040" t="s">
        <v>42</v>
      </c>
    </row>
    <row r="2041" spans="1:7" x14ac:dyDescent="0.2">
      <c r="A2041">
        <v>18</v>
      </c>
      <c r="B2041" t="s">
        <v>774</v>
      </c>
      <c r="C2041" t="s">
        <v>954</v>
      </c>
      <c r="D2041" t="s">
        <v>39</v>
      </c>
      <c r="E2041" t="s">
        <v>40</v>
      </c>
      <c r="F2041" t="s">
        <v>41</v>
      </c>
      <c r="G2041" t="s">
        <v>42</v>
      </c>
    </row>
    <row r="2042" spans="1:7" x14ac:dyDescent="0.2">
      <c r="A2042">
        <v>18</v>
      </c>
      <c r="B2042" t="s">
        <v>774</v>
      </c>
      <c r="C2042" t="s">
        <v>942</v>
      </c>
      <c r="D2042" t="s">
        <v>39</v>
      </c>
      <c r="E2042" t="s">
        <v>40</v>
      </c>
      <c r="F2042" t="s">
        <v>41</v>
      </c>
      <c r="G2042" t="s">
        <v>42</v>
      </c>
    </row>
    <row r="2043" spans="1:7" x14ac:dyDescent="0.2">
      <c r="A2043">
        <v>18</v>
      </c>
      <c r="B2043" t="s">
        <v>774</v>
      </c>
      <c r="C2043" t="s">
        <v>789</v>
      </c>
      <c r="D2043" t="s">
        <v>39</v>
      </c>
      <c r="E2043" t="s">
        <v>40</v>
      </c>
      <c r="F2043" t="s">
        <v>41</v>
      </c>
      <c r="G2043" t="s">
        <v>42</v>
      </c>
    </row>
    <row r="2044" spans="1:7" x14ac:dyDescent="0.2">
      <c r="A2044">
        <v>18</v>
      </c>
      <c r="B2044" t="s">
        <v>774</v>
      </c>
      <c r="C2044" t="s">
        <v>845</v>
      </c>
      <c r="D2044" t="s">
        <v>39</v>
      </c>
      <c r="E2044" t="s">
        <v>40</v>
      </c>
      <c r="F2044" t="s">
        <v>41</v>
      </c>
      <c r="G2044" t="s">
        <v>42</v>
      </c>
    </row>
    <row r="2045" spans="1:7" x14ac:dyDescent="0.2">
      <c r="A2045">
        <v>18</v>
      </c>
      <c r="B2045" t="s">
        <v>774</v>
      </c>
      <c r="C2045" t="s">
        <v>944</v>
      </c>
      <c r="D2045" t="s">
        <v>39</v>
      </c>
      <c r="E2045" t="s">
        <v>40</v>
      </c>
      <c r="F2045" t="s">
        <v>41</v>
      </c>
      <c r="G2045" t="s">
        <v>42</v>
      </c>
    </row>
    <row r="2046" spans="1:7" x14ac:dyDescent="0.2">
      <c r="A2046">
        <v>18</v>
      </c>
      <c r="B2046" t="s">
        <v>774</v>
      </c>
      <c r="C2046" t="s">
        <v>847</v>
      </c>
      <c r="D2046" t="s">
        <v>39</v>
      </c>
      <c r="E2046" t="s">
        <v>40</v>
      </c>
      <c r="F2046" t="s">
        <v>41</v>
      </c>
      <c r="G2046" t="s">
        <v>42</v>
      </c>
    </row>
    <row r="2047" spans="1:7" x14ac:dyDescent="0.2">
      <c r="A2047">
        <v>18</v>
      </c>
      <c r="B2047" t="s">
        <v>774</v>
      </c>
      <c r="C2047" t="s">
        <v>831</v>
      </c>
      <c r="D2047" t="s">
        <v>39</v>
      </c>
      <c r="E2047" t="s">
        <v>40</v>
      </c>
      <c r="F2047" t="s">
        <v>41</v>
      </c>
      <c r="G2047" t="s">
        <v>42</v>
      </c>
    </row>
    <row r="2048" spans="1:7" x14ac:dyDescent="0.2">
      <c r="A2048">
        <v>18</v>
      </c>
      <c r="B2048" t="s">
        <v>774</v>
      </c>
      <c r="C2048" t="s">
        <v>955</v>
      </c>
      <c r="D2048" t="s">
        <v>39</v>
      </c>
      <c r="E2048" t="s">
        <v>40</v>
      </c>
      <c r="F2048" t="s">
        <v>41</v>
      </c>
      <c r="G2048" t="s">
        <v>42</v>
      </c>
    </row>
    <row r="2049" spans="1:7" x14ac:dyDescent="0.2">
      <c r="A2049">
        <v>18</v>
      </c>
      <c r="B2049" t="s">
        <v>774</v>
      </c>
      <c r="C2049" t="s">
        <v>899</v>
      </c>
      <c r="D2049" t="s">
        <v>39</v>
      </c>
      <c r="E2049" t="s">
        <v>40</v>
      </c>
      <c r="F2049" t="s">
        <v>41</v>
      </c>
      <c r="G2049" t="s">
        <v>42</v>
      </c>
    </row>
    <row r="2050" spans="1:7" x14ac:dyDescent="0.2">
      <c r="A2050">
        <v>18</v>
      </c>
      <c r="B2050" t="s">
        <v>774</v>
      </c>
      <c r="C2050" t="s">
        <v>804</v>
      </c>
      <c r="D2050" t="s">
        <v>39</v>
      </c>
      <c r="E2050" t="s">
        <v>40</v>
      </c>
      <c r="F2050" t="s">
        <v>41</v>
      </c>
      <c r="G2050" t="s">
        <v>42</v>
      </c>
    </row>
    <row r="2051" spans="1:7" x14ac:dyDescent="0.2">
      <c r="A2051">
        <v>18</v>
      </c>
      <c r="B2051" t="s">
        <v>774</v>
      </c>
      <c r="C2051" t="s">
        <v>805</v>
      </c>
      <c r="D2051" t="s">
        <v>39</v>
      </c>
      <c r="E2051" t="s">
        <v>40</v>
      </c>
      <c r="F2051" t="s">
        <v>41</v>
      </c>
      <c r="G2051" t="s">
        <v>42</v>
      </c>
    </row>
    <row r="2052" spans="1:7" x14ac:dyDescent="0.2">
      <c r="A2052">
        <v>18</v>
      </c>
      <c r="B2052" t="s">
        <v>774</v>
      </c>
      <c r="C2052" t="s">
        <v>769</v>
      </c>
      <c r="D2052" t="s">
        <v>39</v>
      </c>
      <c r="E2052" t="s">
        <v>40</v>
      </c>
      <c r="F2052" t="s">
        <v>41</v>
      </c>
      <c r="G2052" t="s">
        <v>42</v>
      </c>
    </row>
    <row r="2053" spans="1:7" x14ac:dyDescent="0.2">
      <c r="A2053">
        <v>18</v>
      </c>
      <c r="B2053" t="s">
        <v>774</v>
      </c>
      <c r="C2053" t="s">
        <v>778</v>
      </c>
      <c r="D2053" t="s">
        <v>39</v>
      </c>
      <c r="E2053" t="s">
        <v>40</v>
      </c>
      <c r="F2053" t="s">
        <v>41</v>
      </c>
      <c r="G2053" t="s">
        <v>42</v>
      </c>
    </row>
    <row r="2054" spans="1:7" x14ac:dyDescent="0.2">
      <c r="A2054">
        <v>18</v>
      </c>
      <c r="B2054" t="s">
        <v>774</v>
      </c>
      <c r="C2054" t="s">
        <v>665</v>
      </c>
      <c r="D2054" t="s">
        <v>39</v>
      </c>
      <c r="E2054" t="s">
        <v>40</v>
      </c>
      <c r="F2054" t="s">
        <v>41</v>
      </c>
      <c r="G2054" t="s">
        <v>42</v>
      </c>
    </row>
    <row r="2055" spans="1:7" x14ac:dyDescent="0.2">
      <c r="A2055">
        <v>18</v>
      </c>
      <c r="B2055" t="s">
        <v>774</v>
      </c>
      <c r="C2055" t="s">
        <v>807</v>
      </c>
      <c r="D2055" t="s">
        <v>39</v>
      </c>
      <c r="E2055" t="s">
        <v>40</v>
      </c>
      <c r="F2055" t="s">
        <v>41</v>
      </c>
      <c r="G2055" t="s">
        <v>42</v>
      </c>
    </row>
    <row r="2056" spans="1:7" x14ac:dyDescent="0.2">
      <c r="A2056">
        <v>18</v>
      </c>
      <c r="B2056" t="s">
        <v>774</v>
      </c>
      <c r="C2056" t="s">
        <v>867</v>
      </c>
      <c r="D2056" t="s">
        <v>39</v>
      </c>
      <c r="E2056" t="s">
        <v>40</v>
      </c>
      <c r="F2056" t="s">
        <v>41</v>
      </c>
      <c r="G2056" t="s">
        <v>42</v>
      </c>
    </row>
    <row r="2057" spans="1:7" x14ac:dyDescent="0.2">
      <c r="A2057">
        <v>18</v>
      </c>
      <c r="B2057" t="s">
        <v>774</v>
      </c>
      <c r="C2057" t="s">
        <v>844</v>
      </c>
      <c r="D2057" t="s">
        <v>39</v>
      </c>
      <c r="E2057" t="s">
        <v>40</v>
      </c>
      <c r="F2057" t="s">
        <v>41</v>
      </c>
      <c r="G2057" t="s">
        <v>42</v>
      </c>
    </row>
    <row r="2058" spans="1:7" x14ac:dyDescent="0.2">
      <c r="A2058">
        <v>18</v>
      </c>
      <c r="B2058" t="s">
        <v>774</v>
      </c>
      <c r="C2058" t="s">
        <v>843</v>
      </c>
      <c r="D2058" t="s">
        <v>39</v>
      </c>
      <c r="E2058" t="s">
        <v>40</v>
      </c>
      <c r="F2058" t="s">
        <v>41</v>
      </c>
      <c r="G2058" t="s">
        <v>42</v>
      </c>
    </row>
    <row r="2059" spans="1:7" x14ac:dyDescent="0.2">
      <c r="A2059">
        <v>18</v>
      </c>
      <c r="B2059" t="s">
        <v>774</v>
      </c>
      <c r="C2059" t="s">
        <v>907</v>
      </c>
      <c r="D2059" t="s">
        <v>39</v>
      </c>
      <c r="E2059" t="s">
        <v>40</v>
      </c>
      <c r="F2059" t="s">
        <v>41</v>
      </c>
      <c r="G2059" t="s">
        <v>42</v>
      </c>
    </row>
    <row r="2060" spans="1:7" x14ac:dyDescent="0.2">
      <c r="A2060">
        <v>18</v>
      </c>
      <c r="B2060" t="s">
        <v>774</v>
      </c>
      <c r="C2060" t="s">
        <v>956</v>
      </c>
      <c r="D2060" t="s">
        <v>39</v>
      </c>
      <c r="E2060" t="s">
        <v>40</v>
      </c>
      <c r="F2060" t="s">
        <v>41</v>
      </c>
      <c r="G2060" t="s">
        <v>42</v>
      </c>
    </row>
    <row r="2061" spans="1:7" x14ac:dyDescent="0.2">
      <c r="A2061">
        <v>18</v>
      </c>
      <c r="B2061" t="s">
        <v>774</v>
      </c>
      <c r="C2061" t="s">
        <v>957</v>
      </c>
      <c r="D2061" t="s">
        <v>39</v>
      </c>
      <c r="E2061" t="s">
        <v>40</v>
      </c>
      <c r="F2061" t="s">
        <v>41</v>
      </c>
      <c r="G2061" t="s">
        <v>42</v>
      </c>
    </row>
    <row r="2062" spans="1:7" x14ac:dyDescent="0.2">
      <c r="A2062">
        <v>18</v>
      </c>
      <c r="B2062" t="s">
        <v>774</v>
      </c>
      <c r="C2062" t="s">
        <v>812</v>
      </c>
      <c r="D2062" t="s">
        <v>39</v>
      </c>
      <c r="E2062" t="s">
        <v>40</v>
      </c>
      <c r="F2062" t="s">
        <v>41</v>
      </c>
      <c r="G2062" t="s">
        <v>42</v>
      </c>
    </row>
    <row r="2063" spans="1:7" x14ac:dyDescent="0.2">
      <c r="A2063">
        <v>18</v>
      </c>
      <c r="B2063" t="s">
        <v>774</v>
      </c>
      <c r="C2063" t="s">
        <v>906</v>
      </c>
      <c r="D2063" t="s">
        <v>39</v>
      </c>
      <c r="E2063" t="s">
        <v>40</v>
      </c>
      <c r="F2063" t="s">
        <v>41</v>
      </c>
      <c r="G2063" t="s">
        <v>42</v>
      </c>
    </row>
    <row r="2064" spans="1:7" x14ac:dyDescent="0.2">
      <c r="A2064">
        <v>18</v>
      </c>
      <c r="B2064" t="s">
        <v>774</v>
      </c>
      <c r="C2064" t="s">
        <v>779</v>
      </c>
      <c r="D2064" t="s">
        <v>39</v>
      </c>
      <c r="E2064" t="s">
        <v>40</v>
      </c>
      <c r="F2064" t="s">
        <v>41</v>
      </c>
      <c r="G2064" t="s">
        <v>42</v>
      </c>
    </row>
    <row r="2065" spans="1:7" x14ac:dyDescent="0.2">
      <c r="A2065">
        <v>18</v>
      </c>
      <c r="B2065" t="s">
        <v>774</v>
      </c>
      <c r="C2065" t="s">
        <v>887</v>
      </c>
      <c r="D2065" t="s">
        <v>39</v>
      </c>
      <c r="E2065" t="s">
        <v>40</v>
      </c>
      <c r="F2065" t="s">
        <v>41</v>
      </c>
      <c r="G2065" t="s">
        <v>42</v>
      </c>
    </row>
    <row r="2066" spans="1:7" x14ac:dyDescent="0.2">
      <c r="A2066">
        <v>18</v>
      </c>
      <c r="B2066" t="s">
        <v>774</v>
      </c>
      <c r="C2066" t="s">
        <v>837</v>
      </c>
      <c r="D2066" t="s">
        <v>39</v>
      </c>
      <c r="E2066" t="s">
        <v>40</v>
      </c>
      <c r="F2066" t="s">
        <v>41</v>
      </c>
      <c r="G2066" t="s">
        <v>42</v>
      </c>
    </row>
    <row r="2067" spans="1:7" x14ac:dyDescent="0.2">
      <c r="A2067">
        <v>18</v>
      </c>
      <c r="B2067" t="s">
        <v>774</v>
      </c>
      <c r="C2067" t="s">
        <v>836</v>
      </c>
      <c r="D2067" t="s">
        <v>39</v>
      </c>
      <c r="E2067" t="s">
        <v>40</v>
      </c>
      <c r="F2067" t="s">
        <v>41</v>
      </c>
      <c r="G2067" t="s">
        <v>42</v>
      </c>
    </row>
    <row r="2068" spans="1:7" x14ac:dyDescent="0.2">
      <c r="A2068">
        <v>18</v>
      </c>
      <c r="B2068" t="s">
        <v>774</v>
      </c>
      <c r="C2068" t="s">
        <v>813</v>
      </c>
      <c r="D2068" t="s">
        <v>39</v>
      </c>
      <c r="E2068" t="s">
        <v>40</v>
      </c>
      <c r="F2068" t="s">
        <v>41</v>
      </c>
      <c r="G2068" t="s">
        <v>42</v>
      </c>
    </row>
    <row r="2069" spans="1:7" x14ac:dyDescent="0.2">
      <c r="A2069">
        <v>18</v>
      </c>
      <c r="B2069" t="s">
        <v>774</v>
      </c>
      <c r="C2069" t="s">
        <v>889</v>
      </c>
      <c r="D2069" t="s">
        <v>39</v>
      </c>
      <c r="E2069" t="s">
        <v>40</v>
      </c>
      <c r="F2069" t="s">
        <v>41</v>
      </c>
      <c r="G2069" t="s">
        <v>42</v>
      </c>
    </row>
    <row r="2070" spans="1:7" x14ac:dyDescent="0.2">
      <c r="A2070">
        <v>18</v>
      </c>
      <c r="B2070" t="s">
        <v>774</v>
      </c>
      <c r="C2070" t="s">
        <v>816</v>
      </c>
      <c r="D2070" t="s">
        <v>39</v>
      </c>
      <c r="E2070" t="s">
        <v>40</v>
      </c>
      <c r="F2070" t="s">
        <v>41</v>
      </c>
      <c r="G2070" t="s">
        <v>42</v>
      </c>
    </row>
    <row r="2071" spans="1:7" x14ac:dyDescent="0.2">
      <c r="A2071">
        <v>18</v>
      </c>
      <c r="B2071" t="s">
        <v>774</v>
      </c>
      <c r="C2071" t="s">
        <v>819</v>
      </c>
      <c r="D2071" t="s">
        <v>39</v>
      </c>
      <c r="E2071" t="s">
        <v>40</v>
      </c>
      <c r="F2071" t="s">
        <v>41</v>
      </c>
      <c r="G2071" t="s">
        <v>42</v>
      </c>
    </row>
    <row r="2072" spans="1:7" x14ac:dyDescent="0.2">
      <c r="A2072">
        <v>18</v>
      </c>
      <c r="B2072" t="s">
        <v>774</v>
      </c>
      <c r="C2072" t="s">
        <v>820</v>
      </c>
      <c r="D2072" t="s">
        <v>39</v>
      </c>
      <c r="E2072" t="s">
        <v>40</v>
      </c>
      <c r="F2072" t="s">
        <v>41</v>
      </c>
      <c r="G2072" t="s">
        <v>42</v>
      </c>
    </row>
    <row r="2073" spans="1:7" x14ac:dyDescent="0.2">
      <c r="A2073">
        <v>18</v>
      </c>
      <c r="B2073" t="s">
        <v>774</v>
      </c>
      <c r="C2073" t="s">
        <v>903</v>
      </c>
      <c r="D2073" t="s">
        <v>39</v>
      </c>
      <c r="E2073" t="s">
        <v>40</v>
      </c>
      <c r="F2073" t="s">
        <v>41</v>
      </c>
      <c r="G2073" t="s">
        <v>42</v>
      </c>
    </row>
    <row r="2074" spans="1:7" x14ac:dyDescent="0.2">
      <c r="A2074">
        <v>18</v>
      </c>
      <c r="B2074" t="s">
        <v>774</v>
      </c>
      <c r="C2074" t="s">
        <v>869</v>
      </c>
      <c r="D2074" t="s">
        <v>39</v>
      </c>
      <c r="E2074" t="s">
        <v>40</v>
      </c>
      <c r="F2074" t="s">
        <v>41</v>
      </c>
      <c r="G2074" t="s">
        <v>42</v>
      </c>
    </row>
    <row r="2075" spans="1:7" x14ac:dyDescent="0.2">
      <c r="A2075">
        <v>18</v>
      </c>
      <c r="B2075" t="s">
        <v>774</v>
      </c>
      <c r="C2075" t="s">
        <v>822</v>
      </c>
      <c r="D2075" t="s">
        <v>39</v>
      </c>
      <c r="E2075" t="s">
        <v>40</v>
      </c>
      <c r="F2075" t="s">
        <v>41</v>
      </c>
      <c r="G2075" t="s">
        <v>42</v>
      </c>
    </row>
    <row r="2076" spans="1:7" x14ac:dyDescent="0.2">
      <c r="A2076">
        <v>18</v>
      </c>
      <c r="B2076" t="s">
        <v>774</v>
      </c>
      <c r="C2076" t="s">
        <v>824</v>
      </c>
      <c r="D2076" t="s">
        <v>39</v>
      </c>
      <c r="E2076" t="s">
        <v>40</v>
      </c>
      <c r="F2076" t="s">
        <v>41</v>
      </c>
      <c r="G2076" t="s">
        <v>42</v>
      </c>
    </row>
    <row r="2077" spans="1:7" x14ac:dyDescent="0.2">
      <c r="A2077">
        <v>18</v>
      </c>
      <c r="B2077" t="s">
        <v>774</v>
      </c>
      <c r="C2077" t="s">
        <v>825</v>
      </c>
      <c r="D2077" t="s">
        <v>39</v>
      </c>
      <c r="E2077" t="s">
        <v>40</v>
      </c>
      <c r="F2077" t="s">
        <v>41</v>
      </c>
      <c r="G2077" t="s">
        <v>42</v>
      </c>
    </row>
    <row r="2078" spans="1:7" x14ac:dyDescent="0.2">
      <c r="A2078">
        <v>18</v>
      </c>
      <c r="B2078" t="s">
        <v>774</v>
      </c>
      <c r="C2078" t="s">
        <v>893</v>
      </c>
      <c r="D2078" t="s">
        <v>39</v>
      </c>
      <c r="E2078" t="s">
        <v>40</v>
      </c>
      <c r="F2078" t="s">
        <v>41</v>
      </c>
      <c r="G2078" t="s">
        <v>42</v>
      </c>
    </row>
    <row r="2079" spans="1:7" x14ac:dyDescent="0.2">
      <c r="A2079">
        <v>18</v>
      </c>
      <c r="B2079" t="s">
        <v>774</v>
      </c>
      <c r="C2079" t="s">
        <v>786</v>
      </c>
      <c r="D2079" t="s">
        <v>39</v>
      </c>
      <c r="E2079" t="s">
        <v>40</v>
      </c>
      <c r="F2079" t="s">
        <v>41</v>
      </c>
      <c r="G2079" t="s">
        <v>42</v>
      </c>
    </row>
    <row r="2080" spans="1:7" x14ac:dyDescent="0.2">
      <c r="A2080">
        <v>18</v>
      </c>
      <c r="B2080" t="s">
        <v>774</v>
      </c>
      <c r="C2080" t="s">
        <v>958</v>
      </c>
      <c r="D2080" t="s">
        <v>39</v>
      </c>
      <c r="E2080" t="s">
        <v>40</v>
      </c>
      <c r="F2080" t="s">
        <v>41</v>
      </c>
      <c r="G2080" t="s">
        <v>42</v>
      </c>
    </row>
    <row r="2081" spans="1:7" x14ac:dyDescent="0.2">
      <c r="A2081">
        <v>18</v>
      </c>
      <c r="B2081" t="s">
        <v>774</v>
      </c>
      <c r="C2081" t="s">
        <v>777</v>
      </c>
      <c r="D2081" t="s">
        <v>39</v>
      </c>
      <c r="E2081" t="s">
        <v>40</v>
      </c>
      <c r="F2081" t="s">
        <v>41</v>
      </c>
      <c r="G2081" t="s">
        <v>42</v>
      </c>
    </row>
    <row r="2082" spans="1:7" x14ac:dyDescent="0.2">
      <c r="A2082">
        <v>18</v>
      </c>
      <c r="B2082" t="s">
        <v>774</v>
      </c>
      <c r="C2082" t="s">
        <v>945</v>
      </c>
      <c r="D2082" t="s">
        <v>39</v>
      </c>
      <c r="E2082" t="s">
        <v>40</v>
      </c>
      <c r="F2082" t="s">
        <v>41</v>
      </c>
      <c r="G2082" t="s">
        <v>42</v>
      </c>
    </row>
    <row r="2083" spans="1:7" x14ac:dyDescent="0.2">
      <c r="A2083">
        <v>18</v>
      </c>
      <c r="B2083" t="s">
        <v>774</v>
      </c>
      <c r="C2083" t="s">
        <v>882</v>
      </c>
      <c r="D2083" t="s">
        <v>39</v>
      </c>
      <c r="E2083" t="s">
        <v>40</v>
      </c>
      <c r="F2083" t="s">
        <v>41</v>
      </c>
      <c r="G2083" t="s">
        <v>42</v>
      </c>
    </row>
    <row r="2084" spans="1:7" x14ac:dyDescent="0.2">
      <c r="A2084">
        <v>19</v>
      </c>
      <c r="B2084" t="s">
        <v>774</v>
      </c>
      <c r="C2084" t="s">
        <v>798</v>
      </c>
      <c r="D2084" t="s">
        <v>94</v>
      </c>
      <c r="E2084" t="s">
        <v>46</v>
      </c>
      <c r="F2084" t="s">
        <v>51</v>
      </c>
      <c r="G2084" t="s">
        <v>42</v>
      </c>
    </row>
    <row r="2085" spans="1:7" x14ac:dyDescent="0.2">
      <c r="A2085">
        <v>19</v>
      </c>
      <c r="B2085" t="s">
        <v>774</v>
      </c>
      <c r="C2085" t="s">
        <v>959</v>
      </c>
      <c r="D2085" t="s">
        <v>39</v>
      </c>
      <c r="E2085" t="s">
        <v>46</v>
      </c>
      <c r="F2085" t="s">
        <v>51</v>
      </c>
      <c r="G2085" t="s">
        <v>42</v>
      </c>
    </row>
    <row r="2086" spans="1:7" x14ac:dyDescent="0.2">
      <c r="A2086">
        <v>19</v>
      </c>
      <c r="B2086" t="s">
        <v>774</v>
      </c>
      <c r="C2086" t="s">
        <v>875</v>
      </c>
      <c r="D2086" t="s">
        <v>39</v>
      </c>
      <c r="E2086" t="s">
        <v>46</v>
      </c>
      <c r="F2086" t="s">
        <v>51</v>
      </c>
      <c r="G2086" t="s">
        <v>42</v>
      </c>
    </row>
    <row r="2087" spans="1:7" x14ac:dyDescent="0.2">
      <c r="A2087">
        <v>19</v>
      </c>
      <c r="B2087" t="s">
        <v>774</v>
      </c>
      <c r="C2087" t="s">
        <v>783</v>
      </c>
      <c r="D2087" t="s">
        <v>39</v>
      </c>
      <c r="E2087" t="s">
        <v>46</v>
      </c>
      <c r="F2087" t="s">
        <v>51</v>
      </c>
      <c r="G2087" t="s">
        <v>42</v>
      </c>
    </row>
    <row r="2088" spans="1:7" x14ac:dyDescent="0.2">
      <c r="A2088">
        <v>19</v>
      </c>
      <c r="B2088" t="s">
        <v>774</v>
      </c>
      <c r="C2088" t="s">
        <v>782</v>
      </c>
      <c r="D2088" t="s">
        <v>39</v>
      </c>
      <c r="E2088" t="s">
        <v>46</v>
      </c>
      <c r="F2088" t="s">
        <v>51</v>
      </c>
      <c r="G2088" t="s">
        <v>42</v>
      </c>
    </row>
    <row r="2089" spans="1:7" x14ac:dyDescent="0.2">
      <c r="A2089">
        <v>19</v>
      </c>
      <c r="B2089" t="s">
        <v>774</v>
      </c>
      <c r="C2089" t="s">
        <v>952</v>
      </c>
      <c r="D2089" t="s">
        <v>39</v>
      </c>
      <c r="E2089" t="s">
        <v>46</v>
      </c>
      <c r="F2089" t="s">
        <v>51</v>
      </c>
      <c r="G2089" t="s">
        <v>42</v>
      </c>
    </row>
    <row r="2090" spans="1:7" x14ac:dyDescent="0.2">
      <c r="A2090">
        <v>19</v>
      </c>
      <c r="B2090" t="s">
        <v>774</v>
      </c>
      <c r="C2090" t="s">
        <v>960</v>
      </c>
      <c r="D2090" t="s">
        <v>39</v>
      </c>
      <c r="E2090" t="s">
        <v>46</v>
      </c>
      <c r="F2090" t="s">
        <v>51</v>
      </c>
      <c r="G2090" t="s">
        <v>42</v>
      </c>
    </row>
    <row r="2091" spans="1:7" x14ac:dyDescent="0.2">
      <c r="A2091">
        <v>19</v>
      </c>
      <c r="B2091" t="s">
        <v>774</v>
      </c>
      <c r="C2091" t="s">
        <v>961</v>
      </c>
      <c r="D2091" t="s">
        <v>39</v>
      </c>
      <c r="E2091" t="s">
        <v>46</v>
      </c>
      <c r="F2091" t="s">
        <v>51</v>
      </c>
      <c r="G2091" t="s">
        <v>42</v>
      </c>
    </row>
    <row r="2092" spans="1:7" x14ac:dyDescent="0.2">
      <c r="A2092">
        <v>19</v>
      </c>
      <c r="B2092" t="s">
        <v>774</v>
      </c>
      <c r="C2092" t="s">
        <v>942</v>
      </c>
      <c r="D2092" t="s">
        <v>39</v>
      </c>
      <c r="E2092" t="s">
        <v>46</v>
      </c>
      <c r="F2092" t="s">
        <v>51</v>
      </c>
      <c r="G2092" t="s">
        <v>42</v>
      </c>
    </row>
    <row r="2093" spans="1:7" x14ac:dyDescent="0.2">
      <c r="A2093">
        <v>19</v>
      </c>
      <c r="B2093" t="s">
        <v>774</v>
      </c>
      <c r="C2093" t="s">
        <v>789</v>
      </c>
      <c r="D2093" t="s">
        <v>39</v>
      </c>
      <c r="E2093" t="s">
        <v>46</v>
      </c>
      <c r="F2093" t="s">
        <v>51</v>
      </c>
      <c r="G2093" t="s">
        <v>42</v>
      </c>
    </row>
    <row r="2094" spans="1:7" x14ac:dyDescent="0.2">
      <c r="A2094">
        <v>19</v>
      </c>
      <c r="B2094" t="s">
        <v>774</v>
      </c>
      <c r="C2094" t="s">
        <v>962</v>
      </c>
      <c r="D2094" t="s">
        <v>39</v>
      </c>
      <c r="E2094" t="s">
        <v>46</v>
      </c>
      <c r="F2094" t="s">
        <v>51</v>
      </c>
      <c r="G2094" t="s">
        <v>42</v>
      </c>
    </row>
    <row r="2095" spans="1:7" x14ac:dyDescent="0.2">
      <c r="A2095">
        <v>19</v>
      </c>
      <c r="B2095" t="s">
        <v>774</v>
      </c>
      <c r="C2095" t="s">
        <v>963</v>
      </c>
      <c r="D2095" t="s">
        <v>39</v>
      </c>
      <c r="E2095" t="s">
        <v>46</v>
      </c>
      <c r="F2095" t="s">
        <v>51</v>
      </c>
      <c r="G2095" t="s">
        <v>42</v>
      </c>
    </row>
    <row r="2096" spans="1:7" x14ac:dyDescent="0.2">
      <c r="A2096">
        <v>19</v>
      </c>
      <c r="B2096" t="s">
        <v>774</v>
      </c>
      <c r="C2096" t="s">
        <v>847</v>
      </c>
      <c r="D2096" t="s">
        <v>39</v>
      </c>
      <c r="E2096" t="s">
        <v>46</v>
      </c>
      <c r="F2096" t="s">
        <v>51</v>
      </c>
      <c r="G2096" t="s">
        <v>42</v>
      </c>
    </row>
    <row r="2097" spans="1:7" x14ac:dyDescent="0.2">
      <c r="A2097">
        <v>19</v>
      </c>
      <c r="B2097" t="s">
        <v>774</v>
      </c>
      <c r="C2097" t="s">
        <v>882</v>
      </c>
      <c r="D2097" t="s">
        <v>39</v>
      </c>
      <c r="E2097" t="s">
        <v>46</v>
      </c>
      <c r="F2097" t="s">
        <v>51</v>
      </c>
      <c r="G2097" t="s">
        <v>42</v>
      </c>
    </row>
    <row r="2098" spans="1:7" x14ac:dyDescent="0.2">
      <c r="A2098">
        <v>19</v>
      </c>
      <c r="B2098" t="s">
        <v>774</v>
      </c>
      <c r="C2098" t="s">
        <v>945</v>
      </c>
      <c r="D2098" t="s">
        <v>39</v>
      </c>
      <c r="E2098" t="s">
        <v>46</v>
      </c>
      <c r="F2098" t="s">
        <v>51</v>
      </c>
      <c r="G2098" t="s">
        <v>42</v>
      </c>
    </row>
    <row r="2099" spans="1:7" x14ac:dyDescent="0.2">
      <c r="A2099">
        <v>19</v>
      </c>
      <c r="B2099" t="s">
        <v>774</v>
      </c>
      <c r="C2099" t="s">
        <v>964</v>
      </c>
      <c r="D2099" t="s">
        <v>39</v>
      </c>
      <c r="E2099" t="s">
        <v>46</v>
      </c>
      <c r="F2099" t="s">
        <v>51</v>
      </c>
      <c r="G2099" t="s">
        <v>42</v>
      </c>
    </row>
    <row r="2100" spans="1:7" x14ac:dyDescent="0.2">
      <c r="A2100">
        <v>19</v>
      </c>
      <c r="B2100" t="s">
        <v>774</v>
      </c>
      <c r="C2100" t="s">
        <v>965</v>
      </c>
      <c r="D2100" t="s">
        <v>39</v>
      </c>
      <c r="E2100" t="s">
        <v>46</v>
      </c>
      <c r="F2100" t="s">
        <v>51</v>
      </c>
      <c r="G2100" t="s">
        <v>42</v>
      </c>
    </row>
    <row r="2101" spans="1:7" x14ac:dyDescent="0.2">
      <c r="A2101">
        <v>19</v>
      </c>
      <c r="B2101" t="s">
        <v>774</v>
      </c>
      <c r="C2101" t="s">
        <v>966</v>
      </c>
      <c r="D2101" t="s">
        <v>39</v>
      </c>
      <c r="E2101" t="s">
        <v>46</v>
      </c>
      <c r="F2101" t="s">
        <v>51</v>
      </c>
      <c r="G2101" t="s">
        <v>42</v>
      </c>
    </row>
    <row r="2102" spans="1:7" x14ac:dyDescent="0.2">
      <c r="A2102">
        <v>19</v>
      </c>
      <c r="B2102" t="s">
        <v>774</v>
      </c>
      <c r="C2102" t="s">
        <v>967</v>
      </c>
      <c r="D2102" t="s">
        <v>39</v>
      </c>
      <c r="E2102" t="s">
        <v>46</v>
      </c>
      <c r="F2102" t="s">
        <v>51</v>
      </c>
      <c r="G2102" t="s">
        <v>42</v>
      </c>
    </row>
    <row r="2103" spans="1:7" x14ac:dyDescent="0.2">
      <c r="A2103">
        <v>19</v>
      </c>
      <c r="B2103" t="s">
        <v>774</v>
      </c>
      <c r="C2103" t="s">
        <v>824</v>
      </c>
      <c r="D2103" t="s">
        <v>39</v>
      </c>
      <c r="E2103" t="s">
        <v>46</v>
      </c>
      <c r="F2103" t="s">
        <v>51</v>
      </c>
      <c r="G2103" t="s">
        <v>42</v>
      </c>
    </row>
    <row r="2104" spans="1:7" x14ac:dyDescent="0.2">
      <c r="A2104">
        <v>19</v>
      </c>
      <c r="B2104" t="s">
        <v>774</v>
      </c>
      <c r="C2104" t="s">
        <v>822</v>
      </c>
      <c r="D2104" t="s">
        <v>39</v>
      </c>
      <c r="E2104" t="s">
        <v>46</v>
      </c>
      <c r="F2104" t="s">
        <v>51</v>
      </c>
      <c r="G2104" t="s">
        <v>42</v>
      </c>
    </row>
    <row r="2105" spans="1:7" x14ac:dyDescent="0.2">
      <c r="A2105">
        <v>19</v>
      </c>
      <c r="B2105" t="s">
        <v>774</v>
      </c>
      <c r="C2105" t="s">
        <v>869</v>
      </c>
      <c r="D2105" t="s">
        <v>39</v>
      </c>
      <c r="E2105" t="s">
        <v>46</v>
      </c>
      <c r="F2105" t="s">
        <v>51</v>
      </c>
      <c r="G2105" t="s">
        <v>42</v>
      </c>
    </row>
    <row r="2106" spans="1:7" x14ac:dyDescent="0.2">
      <c r="A2106">
        <v>19</v>
      </c>
      <c r="B2106" t="s">
        <v>774</v>
      </c>
      <c r="C2106" t="s">
        <v>820</v>
      </c>
      <c r="D2106" t="s">
        <v>39</v>
      </c>
      <c r="E2106" t="s">
        <v>46</v>
      </c>
      <c r="F2106" t="s">
        <v>51</v>
      </c>
      <c r="G2106" t="s">
        <v>42</v>
      </c>
    </row>
    <row r="2107" spans="1:7" x14ac:dyDescent="0.2">
      <c r="A2107">
        <v>19</v>
      </c>
      <c r="B2107" t="s">
        <v>774</v>
      </c>
      <c r="C2107" t="s">
        <v>968</v>
      </c>
      <c r="D2107" t="s">
        <v>39</v>
      </c>
      <c r="E2107" t="s">
        <v>46</v>
      </c>
      <c r="F2107" t="s">
        <v>51</v>
      </c>
      <c r="G2107" t="s">
        <v>42</v>
      </c>
    </row>
    <row r="2108" spans="1:7" x14ac:dyDescent="0.2">
      <c r="A2108">
        <v>19</v>
      </c>
      <c r="B2108" t="s">
        <v>774</v>
      </c>
      <c r="C2108" t="s">
        <v>836</v>
      </c>
      <c r="D2108" t="s">
        <v>39</v>
      </c>
      <c r="E2108" t="s">
        <v>46</v>
      </c>
      <c r="F2108" t="s">
        <v>51</v>
      </c>
      <c r="G2108" t="s">
        <v>42</v>
      </c>
    </row>
    <row r="2109" spans="1:7" x14ac:dyDescent="0.2">
      <c r="A2109">
        <v>19</v>
      </c>
      <c r="B2109" t="s">
        <v>774</v>
      </c>
      <c r="C2109" t="s">
        <v>969</v>
      </c>
      <c r="D2109" t="s">
        <v>39</v>
      </c>
      <c r="E2109" t="s">
        <v>46</v>
      </c>
      <c r="F2109" t="s">
        <v>51</v>
      </c>
      <c r="G2109" t="s">
        <v>42</v>
      </c>
    </row>
    <row r="2110" spans="1:7" x14ac:dyDescent="0.2">
      <c r="A2110">
        <v>19</v>
      </c>
      <c r="B2110" t="s">
        <v>774</v>
      </c>
      <c r="C2110" t="s">
        <v>887</v>
      </c>
      <c r="D2110" t="s">
        <v>39</v>
      </c>
      <c r="E2110" t="s">
        <v>46</v>
      </c>
      <c r="F2110" t="s">
        <v>51</v>
      </c>
      <c r="G2110" t="s">
        <v>42</v>
      </c>
    </row>
    <row r="2111" spans="1:7" x14ac:dyDescent="0.2">
      <c r="A2111">
        <v>19</v>
      </c>
      <c r="B2111" t="s">
        <v>774</v>
      </c>
      <c r="C2111" t="s">
        <v>779</v>
      </c>
      <c r="D2111" t="s">
        <v>39</v>
      </c>
      <c r="E2111" t="s">
        <v>46</v>
      </c>
      <c r="F2111" t="s">
        <v>51</v>
      </c>
      <c r="G2111" t="s">
        <v>42</v>
      </c>
    </row>
    <row r="2112" spans="1:7" x14ac:dyDescent="0.2">
      <c r="A2112">
        <v>19</v>
      </c>
      <c r="B2112" t="s">
        <v>774</v>
      </c>
      <c r="C2112" t="s">
        <v>906</v>
      </c>
      <c r="D2112" t="s">
        <v>39</v>
      </c>
      <c r="E2112" t="s">
        <v>46</v>
      </c>
      <c r="F2112" t="s">
        <v>51</v>
      </c>
      <c r="G2112" t="s">
        <v>42</v>
      </c>
    </row>
    <row r="2113" spans="1:7" x14ac:dyDescent="0.2">
      <c r="A2113">
        <v>19</v>
      </c>
      <c r="B2113" t="s">
        <v>774</v>
      </c>
      <c r="C2113" t="s">
        <v>812</v>
      </c>
      <c r="D2113" t="s">
        <v>39</v>
      </c>
      <c r="E2113" t="s">
        <v>46</v>
      </c>
      <c r="F2113" t="s">
        <v>51</v>
      </c>
      <c r="G2113" t="s">
        <v>42</v>
      </c>
    </row>
    <row r="2114" spans="1:7" x14ac:dyDescent="0.2">
      <c r="A2114">
        <v>19</v>
      </c>
      <c r="B2114" t="s">
        <v>774</v>
      </c>
      <c r="C2114" t="s">
        <v>970</v>
      </c>
      <c r="D2114" t="s">
        <v>39</v>
      </c>
      <c r="E2114" t="s">
        <v>46</v>
      </c>
      <c r="F2114" t="s">
        <v>51</v>
      </c>
      <c r="G2114" t="s">
        <v>42</v>
      </c>
    </row>
    <row r="2115" spans="1:7" x14ac:dyDescent="0.2">
      <c r="A2115">
        <v>19</v>
      </c>
      <c r="B2115" t="s">
        <v>774</v>
      </c>
      <c r="C2115" t="s">
        <v>844</v>
      </c>
      <c r="D2115" t="s">
        <v>39</v>
      </c>
      <c r="E2115" t="s">
        <v>46</v>
      </c>
      <c r="F2115" t="s">
        <v>51</v>
      </c>
      <c r="G2115" t="s">
        <v>42</v>
      </c>
    </row>
    <row r="2116" spans="1:7" x14ac:dyDescent="0.2">
      <c r="A2116">
        <v>19</v>
      </c>
      <c r="B2116" t="s">
        <v>774</v>
      </c>
      <c r="C2116" t="s">
        <v>807</v>
      </c>
      <c r="D2116" t="s">
        <v>39</v>
      </c>
      <c r="E2116" t="s">
        <v>46</v>
      </c>
      <c r="F2116" t="s">
        <v>51</v>
      </c>
      <c r="G2116" t="s">
        <v>42</v>
      </c>
    </row>
    <row r="2117" spans="1:7" x14ac:dyDescent="0.2">
      <c r="A2117">
        <v>19</v>
      </c>
      <c r="B2117" t="s">
        <v>774</v>
      </c>
      <c r="C2117" t="s">
        <v>971</v>
      </c>
      <c r="D2117" t="s">
        <v>39</v>
      </c>
      <c r="E2117" t="s">
        <v>46</v>
      </c>
      <c r="F2117" t="s">
        <v>51</v>
      </c>
      <c r="G2117" t="s">
        <v>42</v>
      </c>
    </row>
    <row r="2118" spans="1:7" x14ac:dyDescent="0.2">
      <c r="A2118">
        <v>19</v>
      </c>
      <c r="B2118" t="s">
        <v>774</v>
      </c>
      <c r="C2118" t="s">
        <v>826</v>
      </c>
      <c r="D2118" t="s">
        <v>39</v>
      </c>
      <c r="E2118" t="s">
        <v>46</v>
      </c>
      <c r="F2118" t="s">
        <v>51</v>
      </c>
      <c r="G2118" t="s">
        <v>42</v>
      </c>
    </row>
    <row r="2119" spans="1:7" x14ac:dyDescent="0.2">
      <c r="A2119">
        <v>19</v>
      </c>
      <c r="B2119" t="s">
        <v>774</v>
      </c>
      <c r="C2119" t="s">
        <v>972</v>
      </c>
      <c r="D2119" t="s">
        <v>39</v>
      </c>
      <c r="E2119" t="s">
        <v>46</v>
      </c>
      <c r="F2119" t="s">
        <v>51</v>
      </c>
      <c r="G2119" t="s">
        <v>42</v>
      </c>
    </row>
    <row r="2120" spans="1:7" x14ac:dyDescent="0.2">
      <c r="A2120">
        <v>19</v>
      </c>
      <c r="B2120" t="s">
        <v>774</v>
      </c>
      <c r="C2120" t="s">
        <v>973</v>
      </c>
      <c r="D2120" t="s">
        <v>39</v>
      </c>
      <c r="E2120" t="s">
        <v>46</v>
      </c>
      <c r="F2120" t="s">
        <v>51</v>
      </c>
      <c r="G2120" t="s">
        <v>42</v>
      </c>
    </row>
    <row r="2121" spans="1:7" x14ac:dyDescent="0.2">
      <c r="A2121">
        <v>19</v>
      </c>
      <c r="B2121" t="s">
        <v>774</v>
      </c>
      <c r="C2121" t="s">
        <v>804</v>
      </c>
      <c r="D2121" t="s">
        <v>39</v>
      </c>
      <c r="E2121" t="s">
        <v>46</v>
      </c>
      <c r="F2121" t="s">
        <v>51</v>
      </c>
      <c r="G2121" t="s">
        <v>42</v>
      </c>
    </row>
    <row r="2122" spans="1:7" x14ac:dyDescent="0.2">
      <c r="A2122">
        <v>19</v>
      </c>
      <c r="B2122" t="s">
        <v>774</v>
      </c>
      <c r="C2122" t="s">
        <v>899</v>
      </c>
      <c r="D2122" t="s">
        <v>39</v>
      </c>
      <c r="E2122" t="s">
        <v>46</v>
      </c>
      <c r="F2122" t="s">
        <v>51</v>
      </c>
      <c r="G2122" t="s">
        <v>42</v>
      </c>
    </row>
    <row r="2123" spans="1:7" x14ac:dyDescent="0.2">
      <c r="A2123">
        <v>19</v>
      </c>
      <c r="B2123" t="s">
        <v>774</v>
      </c>
      <c r="C2123" t="s">
        <v>974</v>
      </c>
      <c r="D2123" t="s">
        <v>39</v>
      </c>
      <c r="E2123" t="s">
        <v>46</v>
      </c>
      <c r="F2123" t="s">
        <v>51</v>
      </c>
      <c r="G2123" t="s">
        <v>42</v>
      </c>
    </row>
    <row r="2124" spans="1:7" x14ac:dyDescent="0.2">
      <c r="A2124">
        <v>19</v>
      </c>
      <c r="B2124" t="s">
        <v>774</v>
      </c>
      <c r="C2124" t="s">
        <v>831</v>
      </c>
      <c r="D2124" t="s">
        <v>39</v>
      </c>
      <c r="E2124" t="s">
        <v>46</v>
      </c>
      <c r="F2124" t="s">
        <v>51</v>
      </c>
      <c r="G2124" t="s">
        <v>42</v>
      </c>
    </row>
    <row r="2125" spans="1:7" x14ac:dyDescent="0.2">
      <c r="A2125">
        <v>20</v>
      </c>
      <c r="B2125" t="s">
        <v>774</v>
      </c>
      <c r="C2125" t="s">
        <v>875</v>
      </c>
      <c r="D2125" t="s">
        <v>39</v>
      </c>
      <c r="E2125" t="s">
        <v>40</v>
      </c>
      <c r="F2125" t="s">
        <v>41</v>
      </c>
      <c r="G2125" t="s">
        <v>42</v>
      </c>
    </row>
    <row r="2126" spans="1:7" x14ac:dyDescent="0.2">
      <c r="A2126">
        <v>20</v>
      </c>
      <c r="B2126" t="s">
        <v>774</v>
      </c>
      <c r="C2126" t="s">
        <v>798</v>
      </c>
      <c r="D2126" t="s">
        <v>39</v>
      </c>
      <c r="E2126" t="s">
        <v>40</v>
      </c>
      <c r="F2126" t="s">
        <v>41</v>
      </c>
      <c r="G2126" t="s">
        <v>42</v>
      </c>
    </row>
    <row r="2127" spans="1:7" x14ac:dyDescent="0.2">
      <c r="A2127">
        <v>20</v>
      </c>
      <c r="B2127" t="s">
        <v>774</v>
      </c>
      <c r="C2127" t="s">
        <v>782</v>
      </c>
      <c r="D2127" t="s">
        <v>39</v>
      </c>
      <c r="E2127" t="s">
        <v>40</v>
      </c>
      <c r="F2127" t="s">
        <v>41</v>
      </c>
      <c r="G2127" t="s">
        <v>42</v>
      </c>
    </row>
    <row r="2128" spans="1:7" x14ac:dyDescent="0.2">
      <c r="A2128">
        <v>20</v>
      </c>
      <c r="B2128" t="s">
        <v>774</v>
      </c>
      <c r="C2128" t="s">
        <v>942</v>
      </c>
      <c r="D2128" t="s">
        <v>39</v>
      </c>
      <c r="E2128" t="s">
        <v>40</v>
      </c>
      <c r="F2128" t="s">
        <v>41</v>
      </c>
      <c r="G2128" t="s">
        <v>42</v>
      </c>
    </row>
    <row r="2129" spans="1:7" x14ac:dyDescent="0.2">
      <c r="A2129">
        <v>20</v>
      </c>
      <c r="B2129" t="s">
        <v>774</v>
      </c>
      <c r="C2129" t="s">
        <v>882</v>
      </c>
      <c r="D2129" t="s">
        <v>39</v>
      </c>
      <c r="E2129" t="s">
        <v>40</v>
      </c>
      <c r="F2129" t="s">
        <v>41</v>
      </c>
      <c r="G2129" t="s">
        <v>42</v>
      </c>
    </row>
    <row r="2130" spans="1:7" x14ac:dyDescent="0.2">
      <c r="A2130">
        <v>20</v>
      </c>
      <c r="B2130" t="s">
        <v>774</v>
      </c>
      <c r="C2130" t="s">
        <v>975</v>
      </c>
      <c r="D2130" t="s">
        <v>39</v>
      </c>
      <c r="E2130" t="s">
        <v>40</v>
      </c>
      <c r="F2130" t="s">
        <v>41</v>
      </c>
      <c r="G2130" t="s">
        <v>42</v>
      </c>
    </row>
    <row r="2131" spans="1:7" x14ac:dyDescent="0.2">
      <c r="A2131">
        <v>20</v>
      </c>
      <c r="B2131" t="s">
        <v>774</v>
      </c>
      <c r="C2131" t="s">
        <v>777</v>
      </c>
      <c r="D2131" t="s">
        <v>39</v>
      </c>
      <c r="E2131" t="s">
        <v>40</v>
      </c>
      <c r="F2131" t="s">
        <v>41</v>
      </c>
      <c r="G2131" t="s">
        <v>42</v>
      </c>
    </row>
    <row r="2132" spans="1:7" x14ac:dyDescent="0.2">
      <c r="A2132">
        <v>20</v>
      </c>
      <c r="B2132" t="s">
        <v>774</v>
      </c>
      <c r="C2132" t="s">
        <v>965</v>
      </c>
      <c r="D2132" t="s">
        <v>39</v>
      </c>
      <c r="E2132" t="s">
        <v>40</v>
      </c>
      <c r="F2132" t="s">
        <v>41</v>
      </c>
      <c r="G2132" t="s">
        <v>42</v>
      </c>
    </row>
    <row r="2133" spans="1:7" x14ac:dyDescent="0.2">
      <c r="A2133">
        <v>20</v>
      </c>
      <c r="B2133" t="s">
        <v>774</v>
      </c>
      <c r="C2133" t="s">
        <v>976</v>
      </c>
      <c r="D2133" t="s">
        <v>39</v>
      </c>
      <c r="E2133" t="s">
        <v>40</v>
      </c>
      <c r="F2133" t="s">
        <v>41</v>
      </c>
      <c r="G2133" t="s">
        <v>42</v>
      </c>
    </row>
    <row r="2134" spans="1:7" x14ac:dyDescent="0.2">
      <c r="A2134">
        <v>20</v>
      </c>
      <c r="B2134" t="s">
        <v>774</v>
      </c>
      <c r="C2134" t="s">
        <v>807</v>
      </c>
      <c r="D2134" t="s">
        <v>39</v>
      </c>
      <c r="E2134" t="s">
        <v>40</v>
      </c>
      <c r="F2134" t="s">
        <v>41</v>
      </c>
      <c r="G2134" t="s">
        <v>42</v>
      </c>
    </row>
    <row r="2135" spans="1:7" x14ac:dyDescent="0.2">
      <c r="A2135">
        <v>20</v>
      </c>
      <c r="B2135" t="s">
        <v>774</v>
      </c>
      <c r="C2135" t="s">
        <v>820</v>
      </c>
      <c r="D2135" t="s">
        <v>39</v>
      </c>
      <c r="E2135" t="s">
        <v>40</v>
      </c>
      <c r="F2135" t="s">
        <v>41</v>
      </c>
      <c r="G2135" t="s">
        <v>42</v>
      </c>
    </row>
    <row r="2136" spans="1:7" x14ac:dyDescent="0.2">
      <c r="A2136">
        <v>20</v>
      </c>
      <c r="B2136" t="s">
        <v>774</v>
      </c>
      <c r="C2136" t="s">
        <v>970</v>
      </c>
      <c r="D2136" t="s">
        <v>39</v>
      </c>
      <c r="E2136" t="s">
        <v>40</v>
      </c>
      <c r="F2136" t="s">
        <v>41</v>
      </c>
      <c r="G2136" t="s">
        <v>42</v>
      </c>
    </row>
    <row r="2137" spans="1:7" x14ac:dyDescent="0.2">
      <c r="A2137">
        <v>20</v>
      </c>
      <c r="B2137" t="s">
        <v>774</v>
      </c>
      <c r="C2137" t="s">
        <v>779</v>
      </c>
      <c r="D2137" t="s">
        <v>39</v>
      </c>
      <c r="E2137" t="s">
        <v>40</v>
      </c>
      <c r="F2137" t="s">
        <v>41</v>
      </c>
      <c r="G2137" t="s">
        <v>42</v>
      </c>
    </row>
    <row r="2138" spans="1:7" x14ac:dyDescent="0.2">
      <c r="A2138">
        <v>20</v>
      </c>
      <c r="B2138" t="s">
        <v>774</v>
      </c>
      <c r="C2138" t="s">
        <v>887</v>
      </c>
      <c r="D2138" t="s">
        <v>39</v>
      </c>
      <c r="E2138" t="s">
        <v>40</v>
      </c>
      <c r="F2138" t="s">
        <v>41</v>
      </c>
      <c r="G2138" t="s">
        <v>42</v>
      </c>
    </row>
    <row r="2139" spans="1:7" x14ac:dyDescent="0.2">
      <c r="A2139">
        <v>21</v>
      </c>
      <c r="B2139" t="s">
        <v>774</v>
      </c>
      <c r="C2139" t="s">
        <v>798</v>
      </c>
      <c r="D2139" t="s">
        <v>39</v>
      </c>
      <c r="E2139" t="s">
        <v>40</v>
      </c>
      <c r="F2139" t="s">
        <v>41</v>
      </c>
      <c r="G2139" t="s">
        <v>42</v>
      </c>
    </row>
    <row r="2140" spans="1:7" x14ac:dyDescent="0.2">
      <c r="A2140">
        <v>21</v>
      </c>
      <c r="B2140" t="s">
        <v>774</v>
      </c>
      <c r="C2140" t="s">
        <v>855</v>
      </c>
      <c r="D2140" t="s">
        <v>39</v>
      </c>
      <c r="E2140" t="s">
        <v>40</v>
      </c>
      <c r="F2140" t="s">
        <v>41</v>
      </c>
      <c r="G2140" t="s">
        <v>42</v>
      </c>
    </row>
    <row r="2141" spans="1:7" x14ac:dyDescent="0.2">
      <c r="A2141">
        <v>21</v>
      </c>
      <c r="B2141" t="s">
        <v>774</v>
      </c>
      <c r="C2141" t="s">
        <v>779</v>
      </c>
      <c r="D2141" t="s">
        <v>94</v>
      </c>
      <c r="E2141" t="s">
        <v>40</v>
      </c>
      <c r="F2141" t="s">
        <v>41</v>
      </c>
      <c r="G2141" t="s">
        <v>42</v>
      </c>
    </row>
    <row r="2142" spans="1:7" x14ac:dyDescent="0.2">
      <c r="A2142">
        <v>21</v>
      </c>
      <c r="B2142" t="s">
        <v>774</v>
      </c>
      <c r="C2142" t="s">
        <v>976</v>
      </c>
      <c r="D2142" t="s">
        <v>39</v>
      </c>
      <c r="E2142" t="s">
        <v>40</v>
      </c>
      <c r="F2142" t="s">
        <v>41</v>
      </c>
      <c r="G2142" t="s">
        <v>42</v>
      </c>
    </row>
    <row r="2143" spans="1:7" x14ac:dyDescent="0.2">
      <c r="A2143">
        <v>21</v>
      </c>
      <c r="B2143" t="s">
        <v>774</v>
      </c>
      <c r="C2143" t="s">
        <v>965</v>
      </c>
      <c r="D2143" t="s">
        <v>39</v>
      </c>
      <c r="E2143" t="s">
        <v>40</v>
      </c>
      <c r="F2143" t="s">
        <v>41</v>
      </c>
      <c r="G2143" t="s">
        <v>42</v>
      </c>
    </row>
    <row r="2144" spans="1:7" x14ac:dyDescent="0.2">
      <c r="A2144">
        <v>21</v>
      </c>
      <c r="B2144" t="s">
        <v>774</v>
      </c>
      <c r="C2144" t="s">
        <v>977</v>
      </c>
      <c r="D2144" t="s">
        <v>39</v>
      </c>
      <c r="E2144" t="s">
        <v>40</v>
      </c>
      <c r="F2144" t="s">
        <v>41</v>
      </c>
      <c r="G2144" t="s">
        <v>42</v>
      </c>
    </row>
    <row r="2145" spans="1:7" x14ac:dyDescent="0.2">
      <c r="A2145">
        <v>21</v>
      </c>
      <c r="B2145" t="s">
        <v>774</v>
      </c>
      <c r="C2145" t="s">
        <v>777</v>
      </c>
      <c r="D2145" t="s">
        <v>39</v>
      </c>
      <c r="E2145" t="s">
        <v>40</v>
      </c>
      <c r="F2145" t="s">
        <v>41</v>
      </c>
      <c r="G2145" t="s">
        <v>42</v>
      </c>
    </row>
    <row r="2146" spans="1:7" x14ac:dyDescent="0.2">
      <c r="A2146">
        <v>21</v>
      </c>
      <c r="B2146" t="s">
        <v>774</v>
      </c>
      <c r="C2146" t="s">
        <v>882</v>
      </c>
      <c r="D2146" t="s">
        <v>39</v>
      </c>
      <c r="E2146" t="s">
        <v>40</v>
      </c>
      <c r="F2146" t="s">
        <v>41</v>
      </c>
      <c r="G2146" t="s">
        <v>42</v>
      </c>
    </row>
    <row r="2147" spans="1:7" x14ac:dyDescent="0.2">
      <c r="A2147">
        <v>21</v>
      </c>
      <c r="B2147" t="s">
        <v>774</v>
      </c>
      <c r="C2147" t="s">
        <v>942</v>
      </c>
      <c r="D2147" t="s">
        <v>39</v>
      </c>
      <c r="E2147" t="s">
        <v>40</v>
      </c>
      <c r="F2147" t="s">
        <v>41</v>
      </c>
      <c r="G2147" t="s">
        <v>42</v>
      </c>
    </row>
    <row r="2148" spans="1:7" x14ac:dyDescent="0.2">
      <c r="A2148">
        <v>21</v>
      </c>
      <c r="B2148" t="s">
        <v>774</v>
      </c>
      <c r="C2148" t="s">
        <v>782</v>
      </c>
      <c r="D2148" t="s">
        <v>39</v>
      </c>
      <c r="E2148" t="s">
        <v>40</v>
      </c>
      <c r="F2148" t="s">
        <v>41</v>
      </c>
      <c r="G2148" t="s">
        <v>42</v>
      </c>
    </row>
    <row r="2149" spans="1:7" x14ac:dyDescent="0.2">
      <c r="A2149">
        <v>21</v>
      </c>
      <c r="B2149" t="s">
        <v>774</v>
      </c>
      <c r="C2149" t="s">
        <v>783</v>
      </c>
      <c r="D2149" t="s">
        <v>39</v>
      </c>
      <c r="E2149" t="s">
        <v>40</v>
      </c>
      <c r="F2149" t="s">
        <v>41</v>
      </c>
      <c r="G2149" t="s">
        <v>42</v>
      </c>
    </row>
    <row r="2150" spans="1:7" x14ac:dyDescent="0.2">
      <c r="A2150">
        <v>21</v>
      </c>
      <c r="B2150" t="s">
        <v>774</v>
      </c>
      <c r="C2150" t="s">
        <v>982</v>
      </c>
      <c r="D2150" t="s">
        <v>39</v>
      </c>
      <c r="E2150" t="s">
        <v>40</v>
      </c>
      <c r="F2150" t="s">
        <v>41</v>
      </c>
      <c r="G2150" t="s">
        <v>42</v>
      </c>
    </row>
  </sheetData>
  <autoFilter ref="A2:G2150" xr:uid="{00000000-0001-0000-0C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6"/>
  <sheetViews>
    <sheetView workbookViewId="0"/>
  </sheetViews>
  <sheetFormatPr defaultRowHeight="12.75" x14ac:dyDescent="0.2"/>
  <cols>
    <col min="1" max="1" width="50"/>
    <col min="2" max="4" width="18"/>
    <col min="6" max="7" width="16"/>
  </cols>
  <sheetData>
    <row r="1" spans="1:7" ht="18.75" x14ac:dyDescent="0.3">
      <c r="A1" s="28" t="s">
        <v>983</v>
      </c>
      <c r="F1" s="27" t="s">
        <v>7</v>
      </c>
      <c r="G1" s="27" t="s">
        <v>984</v>
      </c>
    </row>
    <row r="2" spans="1:7" x14ac:dyDescent="0.2">
      <c r="A2" t="s">
        <v>985</v>
      </c>
      <c r="F2">
        <v>60</v>
      </c>
      <c r="G2" s="30"/>
    </row>
    <row r="3" spans="1:7" x14ac:dyDescent="0.2">
      <c r="A3" t="s">
        <v>986</v>
      </c>
      <c r="F3">
        <v>61</v>
      </c>
      <c r="G3" s="30"/>
    </row>
    <row r="4" spans="1:7" x14ac:dyDescent="0.2">
      <c r="A4" t="s">
        <v>987</v>
      </c>
      <c r="F4">
        <v>62</v>
      </c>
      <c r="G4" s="30"/>
    </row>
    <row r="5" spans="1:7" x14ac:dyDescent="0.2">
      <c r="F5">
        <v>63</v>
      </c>
      <c r="G5" s="30"/>
    </row>
    <row r="6" spans="1:7" ht="18.75" x14ac:dyDescent="0.3">
      <c r="A6" s="28" t="s">
        <v>988</v>
      </c>
      <c r="F6">
        <v>64</v>
      </c>
      <c r="G6" s="30"/>
    </row>
    <row r="7" spans="1:7" x14ac:dyDescent="0.2">
      <c r="A7" t="s">
        <v>989</v>
      </c>
      <c r="C7">
        <f>COUNTA('CALC Combined'!$A$2:$A$933)</f>
        <v>932</v>
      </c>
      <c r="F7">
        <v>65</v>
      </c>
      <c r="G7" s="30"/>
    </row>
    <row r="8" spans="1:7" ht="15" x14ac:dyDescent="0.25">
      <c r="A8" s="29" t="s">
        <v>990</v>
      </c>
      <c r="F8">
        <v>66</v>
      </c>
      <c r="G8" s="30"/>
    </row>
    <row r="9" spans="1:7" x14ac:dyDescent="0.2">
      <c r="A9" t="s">
        <v>991</v>
      </c>
      <c r="C9" s="32">
        <f>AVERAGE('CALC Combined'!$T$2:$T$933)</f>
        <v>1.1888412017167382</v>
      </c>
      <c r="D9" t="s">
        <v>992</v>
      </c>
      <c r="F9">
        <v>67</v>
      </c>
      <c r="G9" s="30"/>
    </row>
    <row r="10" spans="1:7" x14ac:dyDescent="0.2">
      <c r="A10" t="s">
        <v>993</v>
      </c>
      <c r="C10" s="32">
        <f>MEDIAN('CALC Combined'!$T$2:$T$933)</f>
        <v>1</v>
      </c>
      <c r="D10" t="s">
        <v>992</v>
      </c>
      <c r="F10">
        <v>68</v>
      </c>
      <c r="G10" s="30"/>
    </row>
    <row r="11" spans="1:7" ht="15" x14ac:dyDescent="0.25">
      <c r="A11" s="29" t="s">
        <v>994</v>
      </c>
      <c r="F11">
        <v>69</v>
      </c>
      <c r="G11" s="30"/>
    </row>
    <row r="12" spans="1:7" x14ac:dyDescent="0.2">
      <c r="A12" t="s">
        <v>995</v>
      </c>
      <c r="C12">
        <f>SUM('CALC Combined'!$U$2:$U$933)</f>
        <v>0</v>
      </c>
      <c r="F12" t="s">
        <v>996</v>
      </c>
      <c r="G12" s="30"/>
    </row>
    <row r="13" spans="1:7" x14ac:dyDescent="0.2">
      <c r="A13" t="s">
        <v>984</v>
      </c>
      <c r="C13">
        <f>SUM(G2:G12)</f>
        <v>0</v>
      </c>
      <c r="D13" t="s">
        <v>997</v>
      </c>
    </row>
    <row r="14" spans="1:7" x14ac:dyDescent="0.2">
      <c r="A14" t="s">
        <v>998</v>
      </c>
      <c r="C14" s="32" t="str">
        <f>IF($C$13=0,"",C12/C13)</f>
        <v/>
      </c>
      <c r="D14" t="s">
        <v>999</v>
      </c>
    </row>
    <row r="15" spans="1:7" ht="15" x14ac:dyDescent="0.25">
      <c r="A15" s="29" t="s">
        <v>1000</v>
      </c>
    </row>
    <row r="16" spans="1:7" x14ac:dyDescent="0.2">
      <c r="A16" t="s">
        <v>1001</v>
      </c>
      <c r="C16" s="31">
        <f>COUNTIF('CALC Combined'!$T$2:$T$933,17)/C7</f>
        <v>0</v>
      </c>
    </row>
    <row r="17" spans="1:4" x14ac:dyDescent="0.2">
      <c r="A17" t="s">
        <v>1002</v>
      </c>
      <c r="C17" s="31">
        <f>COUNTIF('CALC Combined'!$T$2:$T$933,"&gt;=16")/C7</f>
        <v>0</v>
      </c>
    </row>
    <row r="18" spans="1:4" x14ac:dyDescent="0.2">
      <c r="A18" t="s">
        <v>1003</v>
      </c>
      <c r="C18" s="31">
        <f>COUNTIF('CALC Combined'!$T$2:$T$933,"&gt;=12")/C7</f>
        <v>0</v>
      </c>
    </row>
    <row r="20" spans="1:4" ht="18.75" x14ac:dyDescent="0.3">
      <c r="A20" s="28" t="s">
        <v>1004</v>
      </c>
    </row>
    <row r="21" spans="1:4" x14ac:dyDescent="0.2">
      <c r="A21" t="s">
        <v>989</v>
      </c>
      <c r="C21">
        <f>COUNTA('CALC On-Street'!$A$2:$A$727)</f>
        <v>726</v>
      </c>
    </row>
    <row r="22" spans="1:4" ht="15" x14ac:dyDescent="0.25">
      <c r="A22" s="29" t="s">
        <v>990</v>
      </c>
    </row>
    <row r="23" spans="1:4" x14ac:dyDescent="0.2">
      <c r="A23" t="s">
        <v>991</v>
      </c>
      <c r="C23" s="32">
        <f>AVERAGE('CALC On-Street'!$T$2:$T$727)</f>
        <v>1.1349862258953167</v>
      </c>
      <c r="D23" t="s">
        <v>992</v>
      </c>
    </row>
    <row r="24" spans="1:4" x14ac:dyDescent="0.2">
      <c r="A24" t="s">
        <v>993</v>
      </c>
      <c r="C24" s="32">
        <f>MEDIAN('CALC On-Street'!$T$2:$T$727)</f>
        <v>1</v>
      </c>
      <c r="D24" t="s">
        <v>992</v>
      </c>
    </row>
    <row r="25" spans="1:4" ht="15" x14ac:dyDescent="0.25">
      <c r="A25" s="29" t="s">
        <v>994</v>
      </c>
    </row>
    <row r="26" spans="1:4" x14ac:dyDescent="0.2">
      <c r="A26" t="s">
        <v>995</v>
      </c>
      <c r="C26">
        <f>SUM('CALC On-Street'!$U$2:$U$727)</f>
        <v>0</v>
      </c>
    </row>
    <row r="27" spans="1:4" x14ac:dyDescent="0.2">
      <c r="A27" t="s">
        <v>984</v>
      </c>
      <c r="C27">
        <f>SUM(G2:G11)</f>
        <v>0</v>
      </c>
      <c r="D27" t="s">
        <v>997</v>
      </c>
    </row>
    <row r="28" spans="1:4" x14ac:dyDescent="0.2">
      <c r="A28" t="s">
        <v>998</v>
      </c>
      <c r="C28" s="32" t="str">
        <f>IF($C$27=0,"",C26/C27)</f>
        <v/>
      </c>
      <c r="D28" t="s">
        <v>999</v>
      </c>
    </row>
    <row r="29" spans="1:4" ht="15" x14ac:dyDescent="0.25">
      <c r="A29" s="29" t="s">
        <v>1000</v>
      </c>
    </row>
    <row r="30" spans="1:4" x14ac:dyDescent="0.2">
      <c r="A30" t="s">
        <v>1001</v>
      </c>
      <c r="C30" s="31">
        <f>COUNTIF('CALC On-Street'!$T$2:$T$727,17)/C21</f>
        <v>0</v>
      </c>
    </row>
    <row r="31" spans="1:4" x14ac:dyDescent="0.2">
      <c r="A31" t="s">
        <v>1002</v>
      </c>
      <c r="C31" s="31">
        <f>COUNTIF('CALC On-Street'!$T$2:$T$727,"&gt;=16")/C21</f>
        <v>0</v>
      </c>
    </row>
    <row r="32" spans="1:4" x14ac:dyDescent="0.2">
      <c r="A32" t="s">
        <v>1003</v>
      </c>
      <c r="C32" s="31">
        <f>COUNTIF('CALC On-Street'!$T$2:$T$727,"&gt;=12")/C21</f>
        <v>0</v>
      </c>
    </row>
    <row r="34" spans="1:4" ht="18.75" x14ac:dyDescent="0.3">
      <c r="A34" s="28" t="s">
        <v>1005</v>
      </c>
    </row>
    <row r="35" spans="1:4" x14ac:dyDescent="0.2">
      <c r="A35" t="s">
        <v>989</v>
      </c>
      <c r="C35">
        <f>COUNTA('CALC Off-Street'!$A$2:$A$212)</f>
        <v>211</v>
      </c>
    </row>
    <row r="36" spans="1:4" ht="15" x14ac:dyDescent="0.25">
      <c r="A36" s="29" t="s">
        <v>990</v>
      </c>
    </row>
    <row r="37" spans="1:4" x14ac:dyDescent="0.2">
      <c r="A37" t="s">
        <v>991</v>
      </c>
      <c r="C37" s="32">
        <f>AVERAGE('CALC Off-Street'!$T$2:$T$212)</f>
        <v>1.3601895734597156</v>
      </c>
      <c r="D37" t="s">
        <v>992</v>
      </c>
    </row>
    <row r="38" spans="1:4" x14ac:dyDescent="0.2">
      <c r="A38" t="s">
        <v>993</v>
      </c>
      <c r="C38" s="32">
        <f>MEDIAN('CALC Off-Street'!$T$2:$T$212)</f>
        <v>1</v>
      </c>
      <c r="D38" t="s">
        <v>992</v>
      </c>
    </row>
    <row r="39" spans="1:4" ht="15" x14ac:dyDescent="0.25">
      <c r="A39" s="29" t="s">
        <v>994</v>
      </c>
    </row>
    <row r="40" spans="1:4" x14ac:dyDescent="0.2">
      <c r="A40" t="s">
        <v>995</v>
      </c>
      <c r="C40">
        <f>SUM('CALC Off-Street'!$U$2:$U$212)</f>
        <v>0</v>
      </c>
    </row>
    <row r="41" spans="1:4" x14ac:dyDescent="0.2">
      <c r="A41" t="s">
        <v>984</v>
      </c>
      <c r="C41">
        <f>G12</f>
        <v>0</v>
      </c>
      <c r="D41" t="s">
        <v>997</v>
      </c>
    </row>
    <row r="42" spans="1:4" x14ac:dyDescent="0.2">
      <c r="A42" t="s">
        <v>998</v>
      </c>
      <c r="C42" s="32" t="str">
        <f>IF($C$41=0,"",C40/C41)</f>
        <v/>
      </c>
      <c r="D42" t="s">
        <v>999</v>
      </c>
    </row>
    <row r="43" spans="1:4" ht="15" x14ac:dyDescent="0.25">
      <c r="A43" s="29" t="s">
        <v>1000</v>
      </c>
    </row>
    <row r="44" spans="1:4" x14ac:dyDescent="0.2">
      <c r="A44" t="s">
        <v>1001</v>
      </c>
      <c r="C44" s="31">
        <f>COUNTIF('CALC Off-Street'!$T$2:$T$212,17)/C35</f>
        <v>0</v>
      </c>
    </row>
    <row r="45" spans="1:4" x14ac:dyDescent="0.2">
      <c r="A45" t="s">
        <v>1002</v>
      </c>
      <c r="C45" s="31">
        <f>COUNTIF('CALC Off-Street'!$T$2:$T$212,"&gt;=16")/C35</f>
        <v>0</v>
      </c>
    </row>
    <row r="46" spans="1:4" x14ac:dyDescent="0.2">
      <c r="A46" t="s">
        <v>1003</v>
      </c>
      <c r="C46" s="31">
        <f>COUNTIF('CALC Off-Street'!$T$2:$T$212,"&gt;=12")/C35</f>
        <v>0</v>
      </c>
    </row>
    <row r="48" spans="1:4" ht="15" x14ac:dyDescent="0.25">
      <c r="A48" s="29" t="s">
        <v>1006</v>
      </c>
    </row>
    <row r="49" spans="1:4" ht="15" x14ac:dyDescent="0.25">
      <c r="A49" s="27" t="s">
        <v>1007</v>
      </c>
      <c r="B49" s="27" t="s">
        <v>1008</v>
      </c>
      <c r="C49" s="27" t="s">
        <v>1009</v>
      </c>
      <c r="D49" s="27" t="s">
        <v>1010</v>
      </c>
    </row>
    <row r="50" spans="1:4" x14ac:dyDescent="0.2">
      <c r="A50">
        <v>1</v>
      </c>
      <c r="B50">
        <f>COUNTIF('CALC Combined'!$T$2:$T$933,1)</f>
        <v>810</v>
      </c>
      <c r="C50">
        <f>COUNTIF('CALC On-Street'!$T$2:$T$727,1)</f>
        <v>655</v>
      </c>
      <c r="D50">
        <f>COUNTIF('CALC Off-Street'!$T$2:$T$212,1)</f>
        <v>162</v>
      </c>
    </row>
    <row r="51" spans="1:4" x14ac:dyDescent="0.2">
      <c r="A51">
        <v>2</v>
      </c>
      <c r="B51">
        <f>COUNTIF('CALC Combined'!$T$2:$T$933,2)</f>
        <v>80</v>
      </c>
      <c r="C51">
        <f>COUNTIF('CALC On-Street'!$T$2:$T$727,2)</f>
        <v>49</v>
      </c>
      <c r="D51">
        <f>COUNTIF('CALC Off-Street'!$T$2:$T$212,2)</f>
        <v>29</v>
      </c>
    </row>
    <row r="52" spans="1:4" x14ac:dyDescent="0.2">
      <c r="A52">
        <v>3</v>
      </c>
      <c r="B52">
        <f>COUNTIF('CALC Combined'!$T$2:$T$933,3)</f>
        <v>29</v>
      </c>
      <c r="C52">
        <f>COUNTIF('CALC On-Street'!$T$2:$T$727,3)</f>
        <v>15</v>
      </c>
      <c r="D52">
        <f>COUNTIF('CALC Off-Street'!$T$2:$T$212,3)</f>
        <v>14</v>
      </c>
    </row>
    <row r="53" spans="1:4" x14ac:dyDescent="0.2">
      <c r="A53">
        <v>4</v>
      </c>
      <c r="B53">
        <f>COUNTIF('CALC Combined'!$T$2:$T$933,4)</f>
        <v>9</v>
      </c>
      <c r="C53">
        <f>COUNTIF('CALC On-Street'!$T$2:$T$727,4)</f>
        <v>4</v>
      </c>
      <c r="D53">
        <f>COUNTIF('CALC Off-Street'!$T$2:$T$212,4)</f>
        <v>5</v>
      </c>
    </row>
    <row r="54" spans="1:4" x14ac:dyDescent="0.2">
      <c r="A54">
        <v>5</v>
      </c>
      <c r="B54">
        <f>COUNTIF('CALC Combined'!$T$2:$T$933,5)</f>
        <v>3</v>
      </c>
      <c r="C54">
        <f>COUNTIF('CALC On-Street'!$T$2:$T$727,5)</f>
        <v>2</v>
      </c>
      <c r="D54">
        <f>COUNTIF('CALC Off-Street'!$T$2:$T$212,5)</f>
        <v>1</v>
      </c>
    </row>
    <row r="55" spans="1:4" x14ac:dyDescent="0.2">
      <c r="A55">
        <v>6</v>
      </c>
      <c r="B55">
        <f>COUNTIF('CALC Combined'!$T$2:$T$933,6)</f>
        <v>0</v>
      </c>
      <c r="C55">
        <f>COUNTIF('CALC On-Street'!$T$2:$T$727,6)</f>
        <v>0</v>
      </c>
      <c r="D55">
        <f>COUNTIF('CALC Off-Street'!$T$2:$T$212,6)</f>
        <v>0</v>
      </c>
    </row>
    <row r="56" spans="1:4" x14ac:dyDescent="0.2">
      <c r="A56">
        <v>7</v>
      </c>
      <c r="B56">
        <f>COUNTIF('CALC Combined'!$T$2:$T$933,7)</f>
        <v>0</v>
      </c>
      <c r="C56">
        <f>COUNTIF('CALC On-Street'!$T$2:$T$727,7)</f>
        <v>0</v>
      </c>
      <c r="D56">
        <f>COUNTIF('CALC Off-Street'!$T$2:$T$212,7)</f>
        <v>0</v>
      </c>
    </row>
    <row r="57" spans="1:4" x14ac:dyDescent="0.2">
      <c r="A57">
        <v>8</v>
      </c>
      <c r="B57">
        <f>COUNTIF('CALC Combined'!$T$2:$T$933,8)</f>
        <v>0</v>
      </c>
      <c r="C57">
        <f>COUNTIF('CALC On-Street'!$T$2:$T$727,8)</f>
        <v>0</v>
      </c>
      <c r="D57">
        <f>COUNTIF('CALC Off-Street'!$T$2:$T$212,8)</f>
        <v>0</v>
      </c>
    </row>
    <row r="58" spans="1:4" x14ac:dyDescent="0.2">
      <c r="A58">
        <v>9</v>
      </c>
      <c r="B58">
        <f>COUNTIF('CALC Combined'!$T$2:$T$933,9)</f>
        <v>0</v>
      </c>
      <c r="C58">
        <f>COUNTIF('CALC On-Street'!$T$2:$T$727,9)</f>
        <v>0</v>
      </c>
      <c r="D58">
        <f>COUNTIF('CALC Off-Street'!$T$2:$T$212,9)</f>
        <v>0</v>
      </c>
    </row>
    <row r="59" spans="1:4" x14ac:dyDescent="0.2">
      <c r="A59">
        <v>10</v>
      </c>
      <c r="B59">
        <f>COUNTIF('CALC Combined'!$T$2:$T$933,10)</f>
        <v>0</v>
      </c>
      <c r="C59">
        <f>COUNTIF('CALC On-Street'!$T$2:$T$727,10)</f>
        <v>0</v>
      </c>
      <c r="D59">
        <f>COUNTIF('CALC Off-Street'!$T$2:$T$212,10)</f>
        <v>0</v>
      </c>
    </row>
    <row r="60" spans="1:4" x14ac:dyDescent="0.2">
      <c r="A60">
        <v>11</v>
      </c>
      <c r="B60">
        <f>COUNTIF('CALC Combined'!$T$2:$T$933,11)</f>
        <v>0</v>
      </c>
      <c r="C60">
        <f>COUNTIF('CALC On-Street'!$T$2:$T$727,11)</f>
        <v>0</v>
      </c>
      <c r="D60">
        <f>COUNTIF('CALC Off-Street'!$T$2:$T$212,11)</f>
        <v>0</v>
      </c>
    </row>
    <row r="61" spans="1:4" x14ac:dyDescent="0.2">
      <c r="A61">
        <v>12</v>
      </c>
      <c r="B61">
        <f>COUNTIF('CALC Combined'!$T$2:$T$933,12)</f>
        <v>0</v>
      </c>
      <c r="C61">
        <f>COUNTIF('CALC On-Street'!$T$2:$T$727,12)</f>
        <v>0</v>
      </c>
      <c r="D61">
        <f>COUNTIF('CALC Off-Street'!$T$2:$T$212,12)</f>
        <v>0</v>
      </c>
    </row>
    <row r="62" spans="1:4" x14ac:dyDescent="0.2">
      <c r="A62">
        <v>13</v>
      </c>
      <c r="B62">
        <f>COUNTIF('CALC Combined'!$T$2:$T$933,13)</f>
        <v>0</v>
      </c>
      <c r="C62">
        <f>COUNTIF('CALC On-Street'!$T$2:$T$727,13)</f>
        <v>0</v>
      </c>
      <c r="D62">
        <f>COUNTIF('CALC Off-Street'!$T$2:$T$212,13)</f>
        <v>0</v>
      </c>
    </row>
    <row r="63" spans="1:4" x14ac:dyDescent="0.2">
      <c r="A63">
        <v>14</v>
      </c>
      <c r="B63">
        <f>COUNTIF('CALC Combined'!$T$2:$T$933,14)</f>
        <v>0</v>
      </c>
      <c r="C63">
        <f>COUNTIF('CALC On-Street'!$T$2:$T$727,14)</f>
        <v>0</v>
      </c>
      <c r="D63">
        <f>COUNTIF('CALC Off-Street'!$T$2:$T$212,14)</f>
        <v>0</v>
      </c>
    </row>
    <row r="64" spans="1:4" x14ac:dyDescent="0.2">
      <c r="A64">
        <v>15</v>
      </c>
      <c r="B64">
        <f>COUNTIF('CALC Combined'!$T$2:$T$933,15)</f>
        <v>0</v>
      </c>
      <c r="C64">
        <f>COUNTIF('CALC On-Street'!$T$2:$T$727,15)</f>
        <v>0</v>
      </c>
      <c r="D64">
        <f>COUNTIF('CALC Off-Street'!$T$2:$T$212,15)</f>
        <v>0</v>
      </c>
    </row>
    <row r="65" spans="1:4" x14ac:dyDescent="0.2">
      <c r="A65">
        <v>16</v>
      </c>
      <c r="B65">
        <f>COUNTIF('CALC Combined'!$T$2:$T$933,16)</f>
        <v>0</v>
      </c>
      <c r="C65">
        <f>COUNTIF('CALC On-Street'!$T$2:$T$727,16)</f>
        <v>0</v>
      </c>
      <c r="D65">
        <f>COUNTIF('CALC Off-Street'!$T$2:$T$212,16)</f>
        <v>0</v>
      </c>
    </row>
    <row r="66" spans="1:4" x14ac:dyDescent="0.2">
      <c r="A66">
        <v>17</v>
      </c>
      <c r="B66">
        <f>COUNTIF('CALC Combined'!$T$2:$T$933,17)</f>
        <v>0</v>
      </c>
      <c r="C66">
        <f>COUNTIF('CALC On-Street'!$T$2:$T$727,17)</f>
        <v>0</v>
      </c>
      <c r="D66">
        <f>COUNTIF('CALC Off-Street'!$T$2:$T$212,17)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933"/>
  <sheetViews>
    <sheetView workbookViewId="0"/>
  </sheetViews>
  <sheetFormatPr defaultRowHeight="12.75" x14ac:dyDescent="0.2"/>
  <sheetData>
    <row r="1" spans="1:20" ht="15" x14ac:dyDescent="0.25">
      <c r="A1" s="27" t="s">
        <v>8</v>
      </c>
      <c r="B1" s="27">
        <v>7</v>
      </c>
      <c r="C1" s="27">
        <v>8</v>
      </c>
      <c r="D1" s="27">
        <v>9</v>
      </c>
      <c r="E1" s="27">
        <v>10</v>
      </c>
      <c r="F1" s="27">
        <v>11</v>
      </c>
      <c r="G1" s="27">
        <v>12</v>
      </c>
      <c r="H1" s="27">
        <v>13</v>
      </c>
      <c r="I1" s="27">
        <v>14</v>
      </c>
      <c r="J1" s="27">
        <v>15</v>
      </c>
      <c r="K1" s="27">
        <v>16</v>
      </c>
      <c r="L1" s="27">
        <v>17</v>
      </c>
      <c r="M1" s="27">
        <v>18</v>
      </c>
      <c r="N1" s="27">
        <v>19</v>
      </c>
      <c r="O1" s="27">
        <v>20</v>
      </c>
      <c r="P1" s="27">
        <v>21</v>
      </c>
      <c r="Q1" s="27">
        <v>22</v>
      </c>
      <c r="R1" s="27">
        <v>23</v>
      </c>
      <c r="S1" s="27" t="s">
        <v>1007</v>
      </c>
      <c r="T1" s="27" t="s">
        <v>995</v>
      </c>
    </row>
    <row r="2" spans="1:20" x14ac:dyDescent="0.2">
      <c r="A2" t="s">
        <v>38</v>
      </c>
      <c r="B2">
        <f>IF(COUNTIFS('United Data'!$A$3:$A$2150,B$1,'United Data'!$C$3:$C$2150,$A2)&gt;0,1,0)</f>
        <v>1</v>
      </c>
      <c r="C2">
        <f>IF(COUNTIFS('United Data'!$A$3:$A$2150,C$1,'United Data'!$C$3:$C$2150,$A2)&gt;0,1,0)</f>
        <v>1</v>
      </c>
      <c r="D2">
        <f>IF(COUNTIFS('United Data'!$A$3:$A$2150,D$1,'United Data'!$C$3:$C$2150,$A2)&gt;0,1,0)</f>
        <v>1</v>
      </c>
      <c r="E2">
        <f>IF(COUNTIFS('United Data'!$A$3:$A$2150,E$1,'United Data'!$C$3:$C$2150,$A2)&gt;0,1,0)</f>
        <v>1</v>
      </c>
      <c r="F2">
        <f>IF(COUNTIFS('United Data'!$A$3:$A$2150,F$1,'United Data'!$C$3:$C$2150,$A2)&gt;0,1,0)</f>
        <v>0</v>
      </c>
      <c r="G2">
        <f>IF(COUNTIFS('United Data'!$A$3:$A$2150,G$1,'United Data'!$C$3:$C$2150,$A2)&gt;0,1,0)</f>
        <v>1</v>
      </c>
      <c r="H2">
        <f>IF(COUNTIFS('United Data'!$A$3:$A$2150,H$1,'United Data'!$C$3:$C$2150,$A2)&gt;0,1,0)</f>
        <v>1</v>
      </c>
      <c r="I2">
        <f>IF(COUNTIFS('United Data'!$A$3:$A$2150,I$1,'United Data'!$C$3:$C$2150,$A2)&gt;0,1,0)</f>
        <v>1</v>
      </c>
      <c r="J2">
        <f>IF(COUNTIFS('United Data'!$A$3:$A$2150,J$1,'United Data'!$C$3:$C$2150,$A2)&gt;0,1,0)</f>
        <v>1</v>
      </c>
      <c r="K2">
        <f>IF(COUNTIFS('United Data'!$A$3:$A$2150,K$1,'United Data'!$C$3:$C$2150,$A2)&gt;0,1,0)</f>
        <v>1</v>
      </c>
      <c r="L2">
        <f>IF(COUNTIFS('United Data'!$A$3:$A$2150,L$1,'United Data'!$C$3:$C$2150,$A2)&gt;0,1,0)</f>
        <v>1</v>
      </c>
      <c r="M2">
        <f>IF(COUNTIFS('United Data'!$A$3:$A$2150,M$1,'United Data'!$C$3:$C$2150,$A2)&gt;0,1,0)</f>
        <v>1</v>
      </c>
      <c r="N2">
        <f>IF(COUNTIFS('United Data'!$A$3:$A$2150,N$1,'United Data'!$C$3:$C$2150,$A2)&gt;0,1,0)</f>
        <v>0</v>
      </c>
      <c r="O2">
        <f>IF(COUNTIFS('United Data'!$A$3:$A$2150,O$1,'United Data'!$C$3:$C$2150,$A2)&gt;0,1,0)</f>
        <v>0</v>
      </c>
      <c r="P2">
        <f>IF(COUNTIFS('United Data'!$A$3:$A$2150,P$1,'United Data'!$C$3:$C$2150,$A2)&gt;0,1,0)</f>
        <v>0</v>
      </c>
      <c r="Q2">
        <f>IF(COUNTIFS('United Data'!$A$3:$A$2150,Q$1,'United Data'!$C$3:$C$2150,$A2)&gt;0,1,0)</f>
        <v>0</v>
      </c>
      <c r="R2">
        <f>IF(COUNTIFS('United Data'!$A$3:$A$2150,R$1,'United Data'!$C$3:$C$2150,$A2)&gt;0,1,0)</f>
        <v>0</v>
      </c>
      <c r="S2">
        <f t="shared" ref="S2:S65" si="0">SUM(B2:R2)</f>
        <v>11</v>
      </c>
      <c r="T2">
        <f t="shared" ref="T2:T65" si="1">B2+SUMPRODUCT(--(C2:R2&gt;B2:Q2))</f>
        <v>2</v>
      </c>
    </row>
    <row r="3" spans="1:20" x14ac:dyDescent="0.2">
      <c r="A3" t="s">
        <v>43</v>
      </c>
      <c r="B3">
        <f>IF(COUNTIFS('United Data'!$A$3:$A$2150,B$1,'United Data'!$C$3:$C$2150,$A3)&gt;0,1,0)</f>
        <v>1</v>
      </c>
      <c r="C3">
        <f>IF(COUNTIFS('United Data'!$A$3:$A$2150,C$1,'United Data'!$C$3:$C$2150,$A3)&gt;0,1,0)</f>
        <v>1</v>
      </c>
      <c r="D3">
        <f>IF(COUNTIFS('United Data'!$A$3:$A$2150,D$1,'United Data'!$C$3:$C$2150,$A3)&gt;0,1,0)</f>
        <v>1</v>
      </c>
      <c r="E3">
        <f>IF(COUNTIFS('United Data'!$A$3:$A$2150,E$1,'United Data'!$C$3:$C$2150,$A3)&gt;0,1,0)</f>
        <v>0</v>
      </c>
      <c r="F3">
        <f>IF(COUNTIFS('United Data'!$A$3:$A$2150,F$1,'United Data'!$C$3:$C$2150,$A3)&gt;0,1,0)</f>
        <v>0</v>
      </c>
      <c r="G3">
        <f>IF(COUNTIFS('United Data'!$A$3:$A$2150,G$1,'United Data'!$C$3:$C$2150,$A3)&gt;0,1,0)</f>
        <v>0</v>
      </c>
      <c r="H3">
        <f>IF(COUNTIFS('United Data'!$A$3:$A$2150,H$1,'United Data'!$C$3:$C$2150,$A3)&gt;0,1,0)</f>
        <v>0</v>
      </c>
      <c r="I3">
        <f>IF(COUNTIFS('United Data'!$A$3:$A$2150,I$1,'United Data'!$C$3:$C$2150,$A3)&gt;0,1,0)</f>
        <v>0</v>
      </c>
      <c r="J3">
        <f>IF(COUNTIFS('United Data'!$A$3:$A$2150,J$1,'United Data'!$C$3:$C$2150,$A3)&gt;0,1,0)</f>
        <v>0</v>
      </c>
      <c r="K3">
        <f>IF(COUNTIFS('United Data'!$A$3:$A$2150,K$1,'United Data'!$C$3:$C$2150,$A3)&gt;0,1,0)</f>
        <v>0</v>
      </c>
      <c r="L3">
        <f>IF(COUNTIFS('United Data'!$A$3:$A$2150,L$1,'United Data'!$C$3:$C$2150,$A3)&gt;0,1,0)</f>
        <v>0</v>
      </c>
      <c r="M3">
        <f>IF(COUNTIFS('United Data'!$A$3:$A$2150,M$1,'United Data'!$C$3:$C$2150,$A3)&gt;0,1,0)</f>
        <v>0</v>
      </c>
      <c r="N3">
        <f>IF(COUNTIFS('United Data'!$A$3:$A$2150,N$1,'United Data'!$C$3:$C$2150,$A3)&gt;0,1,0)</f>
        <v>0</v>
      </c>
      <c r="O3">
        <f>IF(COUNTIFS('United Data'!$A$3:$A$2150,O$1,'United Data'!$C$3:$C$2150,$A3)&gt;0,1,0)</f>
        <v>0</v>
      </c>
      <c r="P3">
        <f>IF(COUNTIFS('United Data'!$A$3:$A$2150,P$1,'United Data'!$C$3:$C$2150,$A3)&gt;0,1,0)</f>
        <v>0</v>
      </c>
      <c r="Q3">
        <f>IF(COUNTIFS('United Data'!$A$3:$A$2150,Q$1,'United Data'!$C$3:$C$2150,$A3)&gt;0,1,0)</f>
        <v>0</v>
      </c>
      <c r="R3">
        <f>IF(COUNTIFS('United Data'!$A$3:$A$2150,R$1,'United Data'!$C$3:$C$2150,$A3)&gt;0,1,0)</f>
        <v>0</v>
      </c>
      <c r="S3">
        <f t="shared" si="0"/>
        <v>3</v>
      </c>
      <c r="T3">
        <f t="shared" si="1"/>
        <v>1</v>
      </c>
    </row>
    <row r="4" spans="1:20" x14ac:dyDescent="0.2">
      <c r="A4" t="s">
        <v>44</v>
      </c>
      <c r="B4">
        <f>IF(COUNTIFS('United Data'!$A$3:$A$2150,B$1,'United Data'!$C$3:$C$2150,$A4)&gt;0,1,0)</f>
        <v>1</v>
      </c>
      <c r="C4">
        <f>IF(COUNTIFS('United Data'!$A$3:$A$2150,C$1,'United Data'!$C$3:$C$2150,$A4)&gt;0,1,0)</f>
        <v>1</v>
      </c>
      <c r="D4">
        <f>IF(COUNTIFS('United Data'!$A$3:$A$2150,D$1,'United Data'!$C$3:$C$2150,$A4)&gt;0,1,0)</f>
        <v>1</v>
      </c>
      <c r="E4">
        <f>IF(COUNTIFS('United Data'!$A$3:$A$2150,E$1,'United Data'!$C$3:$C$2150,$A4)&gt;0,1,0)</f>
        <v>1</v>
      </c>
      <c r="F4">
        <f>IF(COUNTIFS('United Data'!$A$3:$A$2150,F$1,'United Data'!$C$3:$C$2150,$A4)&gt;0,1,0)</f>
        <v>0</v>
      </c>
      <c r="G4">
        <f>IF(COUNTIFS('United Data'!$A$3:$A$2150,G$1,'United Data'!$C$3:$C$2150,$A4)&gt;0,1,0)</f>
        <v>0</v>
      </c>
      <c r="H4">
        <f>IF(COUNTIFS('United Data'!$A$3:$A$2150,H$1,'United Data'!$C$3:$C$2150,$A4)&gt;0,1,0)</f>
        <v>0</v>
      </c>
      <c r="I4">
        <f>IF(COUNTIFS('United Data'!$A$3:$A$2150,I$1,'United Data'!$C$3:$C$2150,$A4)&gt;0,1,0)</f>
        <v>0</v>
      </c>
      <c r="J4">
        <f>IF(COUNTIFS('United Data'!$A$3:$A$2150,J$1,'United Data'!$C$3:$C$2150,$A4)&gt;0,1,0)</f>
        <v>0</v>
      </c>
      <c r="K4">
        <f>IF(COUNTIFS('United Data'!$A$3:$A$2150,K$1,'United Data'!$C$3:$C$2150,$A4)&gt;0,1,0)</f>
        <v>0</v>
      </c>
      <c r="L4">
        <f>IF(COUNTIFS('United Data'!$A$3:$A$2150,L$1,'United Data'!$C$3:$C$2150,$A4)&gt;0,1,0)</f>
        <v>0</v>
      </c>
      <c r="M4">
        <f>IF(COUNTIFS('United Data'!$A$3:$A$2150,M$1,'United Data'!$C$3:$C$2150,$A4)&gt;0,1,0)</f>
        <v>0</v>
      </c>
      <c r="N4">
        <f>IF(COUNTIFS('United Data'!$A$3:$A$2150,N$1,'United Data'!$C$3:$C$2150,$A4)&gt;0,1,0)</f>
        <v>0</v>
      </c>
      <c r="O4">
        <f>IF(COUNTIFS('United Data'!$A$3:$A$2150,O$1,'United Data'!$C$3:$C$2150,$A4)&gt;0,1,0)</f>
        <v>0</v>
      </c>
      <c r="P4">
        <f>IF(COUNTIFS('United Data'!$A$3:$A$2150,P$1,'United Data'!$C$3:$C$2150,$A4)&gt;0,1,0)</f>
        <v>0</v>
      </c>
      <c r="Q4">
        <f>IF(COUNTIFS('United Data'!$A$3:$A$2150,Q$1,'United Data'!$C$3:$C$2150,$A4)&gt;0,1,0)</f>
        <v>0</v>
      </c>
      <c r="R4">
        <f>IF(COUNTIFS('United Data'!$A$3:$A$2150,R$1,'United Data'!$C$3:$C$2150,$A4)&gt;0,1,0)</f>
        <v>0</v>
      </c>
      <c r="S4">
        <f t="shared" si="0"/>
        <v>4</v>
      </c>
      <c r="T4">
        <f t="shared" si="1"/>
        <v>1</v>
      </c>
    </row>
    <row r="5" spans="1:20" x14ac:dyDescent="0.2">
      <c r="A5" t="s">
        <v>45</v>
      </c>
      <c r="B5">
        <f>IF(COUNTIFS('United Data'!$A$3:$A$2150,B$1,'United Data'!$C$3:$C$2150,$A5)&gt;0,1,0)</f>
        <v>0</v>
      </c>
      <c r="C5">
        <f>IF(COUNTIFS('United Data'!$A$3:$A$2150,C$1,'United Data'!$C$3:$C$2150,$A5)&gt;0,1,0)</f>
        <v>0</v>
      </c>
      <c r="D5">
        <f>IF(COUNTIFS('United Data'!$A$3:$A$2150,D$1,'United Data'!$C$3:$C$2150,$A5)&gt;0,1,0)</f>
        <v>1</v>
      </c>
      <c r="E5">
        <f>IF(COUNTIFS('United Data'!$A$3:$A$2150,E$1,'United Data'!$C$3:$C$2150,$A5)&gt;0,1,0)</f>
        <v>0</v>
      </c>
      <c r="F5">
        <f>IF(COUNTIFS('United Data'!$A$3:$A$2150,F$1,'United Data'!$C$3:$C$2150,$A5)&gt;0,1,0)</f>
        <v>0</v>
      </c>
      <c r="G5">
        <f>IF(COUNTIFS('United Data'!$A$3:$A$2150,G$1,'United Data'!$C$3:$C$2150,$A5)&gt;0,1,0)</f>
        <v>0</v>
      </c>
      <c r="H5">
        <f>IF(COUNTIFS('United Data'!$A$3:$A$2150,H$1,'United Data'!$C$3:$C$2150,$A5)&gt;0,1,0)</f>
        <v>0</v>
      </c>
      <c r="I5">
        <f>IF(COUNTIFS('United Data'!$A$3:$A$2150,I$1,'United Data'!$C$3:$C$2150,$A5)&gt;0,1,0)</f>
        <v>0</v>
      </c>
      <c r="J5">
        <f>IF(COUNTIFS('United Data'!$A$3:$A$2150,J$1,'United Data'!$C$3:$C$2150,$A5)&gt;0,1,0)</f>
        <v>0</v>
      </c>
      <c r="K5">
        <f>IF(COUNTIFS('United Data'!$A$3:$A$2150,K$1,'United Data'!$C$3:$C$2150,$A5)&gt;0,1,0)</f>
        <v>0</v>
      </c>
      <c r="L5">
        <f>IF(COUNTIFS('United Data'!$A$3:$A$2150,L$1,'United Data'!$C$3:$C$2150,$A5)&gt;0,1,0)</f>
        <v>0</v>
      </c>
      <c r="M5">
        <f>IF(COUNTIFS('United Data'!$A$3:$A$2150,M$1,'United Data'!$C$3:$C$2150,$A5)&gt;0,1,0)</f>
        <v>0</v>
      </c>
      <c r="N5">
        <f>IF(COUNTIFS('United Data'!$A$3:$A$2150,N$1,'United Data'!$C$3:$C$2150,$A5)&gt;0,1,0)</f>
        <v>0</v>
      </c>
      <c r="O5">
        <f>IF(COUNTIFS('United Data'!$A$3:$A$2150,O$1,'United Data'!$C$3:$C$2150,$A5)&gt;0,1,0)</f>
        <v>0</v>
      </c>
      <c r="P5">
        <f>IF(COUNTIFS('United Data'!$A$3:$A$2150,P$1,'United Data'!$C$3:$C$2150,$A5)&gt;0,1,0)</f>
        <v>0</v>
      </c>
      <c r="Q5">
        <f>IF(COUNTIFS('United Data'!$A$3:$A$2150,Q$1,'United Data'!$C$3:$C$2150,$A5)&gt;0,1,0)</f>
        <v>0</v>
      </c>
      <c r="R5">
        <f>IF(COUNTIFS('United Data'!$A$3:$A$2150,R$1,'United Data'!$C$3:$C$2150,$A5)&gt;0,1,0)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48</v>
      </c>
      <c r="B6">
        <f>IF(COUNTIFS('United Data'!$A$3:$A$2150,B$1,'United Data'!$C$3:$C$2150,$A6)&gt;0,1,0)</f>
        <v>0</v>
      </c>
      <c r="C6">
        <f>IF(COUNTIFS('United Data'!$A$3:$A$2150,C$1,'United Data'!$C$3:$C$2150,$A6)&gt;0,1,0)</f>
        <v>0</v>
      </c>
      <c r="D6">
        <f>IF(COUNTIFS('United Data'!$A$3:$A$2150,D$1,'United Data'!$C$3:$C$2150,$A6)&gt;0,1,0)</f>
        <v>0</v>
      </c>
      <c r="E6">
        <f>IF(COUNTIFS('United Data'!$A$3:$A$2150,E$1,'United Data'!$C$3:$C$2150,$A6)&gt;0,1,0)</f>
        <v>1</v>
      </c>
      <c r="F6">
        <f>IF(COUNTIFS('United Data'!$A$3:$A$2150,F$1,'United Data'!$C$3:$C$2150,$A6)&gt;0,1,0)</f>
        <v>1</v>
      </c>
      <c r="G6">
        <f>IF(COUNTIFS('United Data'!$A$3:$A$2150,G$1,'United Data'!$C$3:$C$2150,$A6)&gt;0,1,0)</f>
        <v>0</v>
      </c>
      <c r="H6">
        <f>IF(COUNTIFS('United Data'!$A$3:$A$2150,H$1,'United Data'!$C$3:$C$2150,$A6)&gt;0,1,0)</f>
        <v>1</v>
      </c>
      <c r="I6">
        <f>IF(COUNTIFS('United Data'!$A$3:$A$2150,I$1,'United Data'!$C$3:$C$2150,$A6)&gt;0,1,0)</f>
        <v>1</v>
      </c>
      <c r="J6">
        <f>IF(COUNTIFS('United Data'!$A$3:$A$2150,J$1,'United Data'!$C$3:$C$2150,$A6)&gt;0,1,0)</f>
        <v>0</v>
      </c>
      <c r="K6">
        <f>IF(COUNTIFS('United Data'!$A$3:$A$2150,K$1,'United Data'!$C$3:$C$2150,$A6)&gt;0,1,0)</f>
        <v>1</v>
      </c>
      <c r="L6">
        <f>IF(COUNTIFS('United Data'!$A$3:$A$2150,L$1,'United Data'!$C$3:$C$2150,$A6)&gt;0,1,0)</f>
        <v>0</v>
      </c>
      <c r="M6">
        <f>IF(COUNTIFS('United Data'!$A$3:$A$2150,M$1,'United Data'!$C$3:$C$2150,$A6)&gt;0,1,0)</f>
        <v>1</v>
      </c>
      <c r="N6">
        <f>IF(COUNTIFS('United Data'!$A$3:$A$2150,N$1,'United Data'!$C$3:$C$2150,$A6)&gt;0,1,0)</f>
        <v>1</v>
      </c>
      <c r="O6">
        <f>IF(COUNTIFS('United Data'!$A$3:$A$2150,O$1,'United Data'!$C$3:$C$2150,$A6)&gt;0,1,0)</f>
        <v>1</v>
      </c>
      <c r="P6">
        <f>IF(COUNTIFS('United Data'!$A$3:$A$2150,P$1,'United Data'!$C$3:$C$2150,$A6)&gt;0,1,0)</f>
        <v>0</v>
      </c>
      <c r="Q6">
        <f>IF(COUNTIFS('United Data'!$A$3:$A$2150,Q$1,'United Data'!$C$3:$C$2150,$A6)&gt;0,1,0)</f>
        <v>0</v>
      </c>
      <c r="R6">
        <f>IF(COUNTIFS('United Data'!$A$3:$A$2150,R$1,'United Data'!$C$3:$C$2150,$A6)&gt;0,1,0)</f>
        <v>0</v>
      </c>
      <c r="S6">
        <f t="shared" si="0"/>
        <v>8</v>
      </c>
      <c r="T6">
        <f t="shared" si="1"/>
        <v>4</v>
      </c>
    </row>
    <row r="7" spans="1:20" x14ac:dyDescent="0.2">
      <c r="A7" t="s">
        <v>49</v>
      </c>
      <c r="B7">
        <f>IF(COUNTIFS('United Data'!$A$3:$A$2150,B$1,'United Data'!$C$3:$C$2150,$A7)&gt;0,1,0)</f>
        <v>0</v>
      </c>
      <c r="C7">
        <f>IF(COUNTIFS('United Data'!$A$3:$A$2150,C$1,'United Data'!$C$3:$C$2150,$A7)&gt;0,1,0)</f>
        <v>0</v>
      </c>
      <c r="D7">
        <f>IF(COUNTIFS('United Data'!$A$3:$A$2150,D$1,'United Data'!$C$3:$C$2150,$A7)&gt;0,1,0)</f>
        <v>0</v>
      </c>
      <c r="E7">
        <f>IF(COUNTIFS('United Data'!$A$3:$A$2150,E$1,'United Data'!$C$3:$C$2150,$A7)&gt;0,1,0)</f>
        <v>0</v>
      </c>
      <c r="F7">
        <f>IF(COUNTIFS('United Data'!$A$3:$A$2150,F$1,'United Data'!$C$3:$C$2150,$A7)&gt;0,1,0)</f>
        <v>1</v>
      </c>
      <c r="G7">
        <f>IF(COUNTIFS('United Data'!$A$3:$A$2150,G$1,'United Data'!$C$3:$C$2150,$A7)&gt;0,1,0)</f>
        <v>0</v>
      </c>
      <c r="H7">
        <f>IF(COUNTIFS('United Data'!$A$3:$A$2150,H$1,'United Data'!$C$3:$C$2150,$A7)&gt;0,1,0)</f>
        <v>0</v>
      </c>
      <c r="I7">
        <f>IF(COUNTIFS('United Data'!$A$3:$A$2150,I$1,'United Data'!$C$3:$C$2150,$A7)&gt;0,1,0)</f>
        <v>0</v>
      </c>
      <c r="J7">
        <f>IF(COUNTIFS('United Data'!$A$3:$A$2150,J$1,'United Data'!$C$3:$C$2150,$A7)&gt;0,1,0)</f>
        <v>0</v>
      </c>
      <c r="K7">
        <f>IF(COUNTIFS('United Data'!$A$3:$A$2150,K$1,'United Data'!$C$3:$C$2150,$A7)&gt;0,1,0)</f>
        <v>0</v>
      </c>
      <c r="L7">
        <f>IF(COUNTIFS('United Data'!$A$3:$A$2150,L$1,'United Data'!$C$3:$C$2150,$A7)&gt;0,1,0)</f>
        <v>0</v>
      </c>
      <c r="M7">
        <f>IF(COUNTIFS('United Data'!$A$3:$A$2150,M$1,'United Data'!$C$3:$C$2150,$A7)&gt;0,1,0)</f>
        <v>0</v>
      </c>
      <c r="N7">
        <f>IF(COUNTIFS('United Data'!$A$3:$A$2150,N$1,'United Data'!$C$3:$C$2150,$A7)&gt;0,1,0)</f>
        <v>0</v>
      </c>
      <c r="O7">
        <f>IF(COUNTIFS('United Data'!$A$3:$A$2150,O$1,'United Data'!$C$3:$C$2150,$A7)&gt;0,1,0)</f>
        <v>0</v>
      </c>
      <c r="P7">
        <f>IF(COUNTIFS('United Data'!$A$3:$A$2150,P$1,'United Data'!$C$3:$C$2150,$A7)&gt;0,1,0)</f>
        <v>0</v>
      </c>
      <c r="Q7">
        <f>IF(COUNTIFS('United Data'!$A$3:$A$2150,Q$1,'United Data'!$C$3:$C$2150,$A7)&gt;0,1,0)</f>
        <v>0</v>
      </c>
      <c r="R7">
        <f>IF(COUNTIFS('United Data'!$A$3:$A$2150,R$1,'United Data'!$C$3:$C$2150,$A7)&gt;0,1,0)</f>
        <v>0</v>
      </c>
      <c r="S7">
        <f t="shared" si="0"/>
        <v>1</v>
      </c>
      <c r="T7">
        <f t="shared" si="1"/>
        <v>1</v>
      </c>
    </row>
    <row r="8" spans="1:20" x14ac:dyDescent="0.2">
      <c r="A8" t="s">
        <v>50</v>
      </c>
      <c r="B8">
        <f>IF(COUNTIFS('United Data'!$A$3:$A$2150,B$1,'United Data'!$C$3:$C$2150,$A8)&gt;0,1,0)</f>
        <v>0</v>
      </c>
      <c r="C8">
        <f>IF(COUNTIFS('United Data'!$A$3:$A$2150,C$1,'United Data'!$C$3:$C$2150,$A8)&gt;0,1,0)</f>
        <v>0</v>
      </c>
      <c r="D8">
        <f>IF(COUNTIFS('United Data'!$A$3:$A$2150,D$1,'United Data'!$C$3:$C$2150,$A8)&gt;0,1,0)</f>
        <v>0</v>
      </c>
      <c r="E8">
        <f>IF(COUNTIFS('United Data'!$A$3:$A$2150,E$1,'United Data'!$C$3:$C$2150,$A8)&gt;0,1,0)</f>
        <v>0</v>
      </c>
      <c r="F8">
        <f>IF(COUNTIFS('United Data'!$A$3:$A$2150,F$1,'United Data'!$C$3:$C$2150,$A8)&gt;0,1,0)</f>
        <v>1</v>
      </c>
      <c r="G8">
        <f>IF(COUNTIFS('United Data'!$A$3:$A$2150,G$1,'United Data'!$C$3:$C$2150,$A8)&gt;0,1,0)</f>
        <v>0</v>
      </c>
      <c r="H8">
        <f>IF(COUNTIFS('United Data'!$A$3:$A$2150,H$1,'United Data'!$C$3:$C$2150,$A8)&gt;0,1,0)</f>
        <v>0</v>
      </c>
      <c r="I8">
        <f>IF(COUNTIFS('United Data'!$A$3:$A$2150,I$1,'United Data'!$C$3:$C$2150,$A8)&gt;0,1,0)</f>
        <v>0</v>
      </c>
      <c r="J8">
        <f>IF(COUNTIFS('United Data'!$A$3:$A$2150,J$1,'United Data'!$C$3:$C$2150,$A8)&gt;0,1,0)</f>
        <v>0</v>
      </c>
      <c r="K8">
        <f>IF(COUNTIFS('United Data'!$A$3:$A$2150,K$1,'United Data'!$C$3:$C$2150,$A8)&gt;0,1,0)</f>
        <v>0</v>
      </c>
      <c r="L8">
        <f>IF(COUNTIFS('United Data'!$A$3:$A$2150,L$1,'United Data'!$C$3:$C$2150,$A8)&gt;0,1,0)</f>
        <v>0</v>
      </c>
      <c r="M8">
        <f>IF(COUNTIFS('United Data'!$A$3:$A$2150,M$1,'United Data'!$C$3:$C$2150,$A8)&gt;0,1,0)</f>
        <v>0</v>
      </c>
      <c r="N8">
        <f>IF(COUNTIFS('United Data'!$A$3:$A$2150,N$1,'United Data'!$C$3:$C$2150,$A8)&gt;0,1,0)</f>
        <v>0</v>
      </c>
      <c r="O8">
        <f>IF(COUNTIFS('United Data'!$A$3:$A$2150,O$1,'United Data'!$C$3:$C$2150,$A8)&gt;0,1,0)</f>
        <v>0</v>
      </c>
      <c r="P8">
        <f>IF(COUNTIFS('United Data'!$A$3:$A$2150,P$1,'United Data'!$C$3:$C$2150,$A8)&gt;0,1,0)</f>
        <v>0</v>
      </c>
      <c r="Q8">
        <f>IF(COUNTIFS('United Data'!$A$3:$A$2150,Q$1,'United Data'!$C$3:$C$2150,$A8)&gt;0,1,0)</f>
        <v>0</v>
      </c>
      <c r="R8">
        <f>IF(COUNTIFS('United Data'!$A$3:$A$2150,R$1,'United Data'!$C$3:$C$2150,$A8)&gt;0,1,0)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52</v>
      </c>
      <c r="B9">
        <f>IF(COUNTIFS('United Data'!$A$3:$A$2150,B$1,'United Data'!$C$3:$C$2150,$A9)&gt;0,1,0)</f>
        <v>0</v>
      </c>
      <c r="C9">
        <f>IF(COUNTIFS('United Data'!$A$3:$A$2150,C$1,'United Data'!$C$3:$C$2150,$A9)&gt;0,1,0)</f>
        <v>0</v>
      </c>
      <c r="D9">
        <f>IF(COUNTIFS('United Data'!$A$3:$A$2150,D$1,'United Data'!$C$3:$C$2150,$A9)&gt;0,1,0)</f>
        <v>0</v>
      </c>
      <c r="E9">
        <f>IF(COUNTIFS('United Data'!$A$3:$A$2150,E$1,'United Data'!$C$3:$C$2150,$A9)&gt;0,1,0)</f>
        <v>0</v>
      </c>
      <c r="F9">
        <f>IF(COUNTIFS('United Data'!$A$3:$A$2150,F$1,'United Data'!$C$3:$C$2150,$A9)&gt;0,1,0)</f>
        <v>0</v>
      </c>
      <c r="G9">
        <f>IF(COUNTIFS('United Data'!$A$3:$A$2150,G$1,'United Data'!$C$3:$C$2150,$A9)&gt;0,1,0)</f>
        <v>1</v>
      </c>
      <c r="H9">
        <f>IF(COUNTIFS('United Data'!$A$3:$A$2150,H$1,'United Data'!$C$3:$C$2150,$A9)&gt;0,1,0)</f>
        <v>0</v>
      </c>
      <c r="I9">
        <f>IF(COUNTIFS('United Data'!$A$3:$A$2150,I$1,'United Data'!$C$3:$C$2150,$A9)&gt;0,1,0)</f>
        <v>0</v>
      </c>
      <c r="J9">
        <f>IF(COUNTIFS('United Data'!$A$3:$A$2150,J$1,'United Data'!$C$3:$C$2150,$A9)&gt;0,1,0)</f>
        <v>0</v>
      </c>
      <c r="K9">
        <f>IF(COUNTIFS('United Data'!$A$3:$A$2150,K$1,'United Data'!$C$3:$C$2150,$A9)&gt;0,1,0)</f>
        <v>0</v>
      </c>
      <c r="L9">
        <f>IF(COUNTIFS('United Data'!$A$3:$A$2150,L$1,'United Data'!$C$3:$C$2150,$A9)&gt;0,1,0)</f>
        <v>0</v>
      </c>
      <c r="M9">
        <f>IF(COUNTIFS('United Data'!$A$3:$A$2150,M$1,'United Data'!$C$3:$C$2150,$A9)&gt;0,1,0)</f>
        <v>0</v>
      </c>
      <c r="N9">
        <f>IF(COUNTIFS('United Data'!$A$3:$A$2150,N$1,'United Data'!$C$3:$C$2150,$A9)&gt;0,1,0)</f>
        <v>0</v>
      </c>
      <c r="O9">
        <f>IF(COUNTIFS('United Data'!$A$3:$A$2150,O$1,'United Data'!$C$3:$C$2150,$A9)&gt;0,1,0)</f>
        <v>0</v>
      </c>
      <c r="P9">
        <f>IF(COUNTIFS('United Data'!$A$3:$A$2150,P$1,'United Data'!$C$3:$C$2150,$A9)&gt;0,1,0)</f>
        <v>0</v>
      </c>
      <c r="Q9">
        <f>IF(COUNTIFS('United Data'!$A$3:$A$2150,Q$1,'United Data'!$C$3:$C$2150,$A9)&gt;0,1,0)</f>
        <v>0</v>
      </c>
      <c r="R9">
        <f>IF(COUNTIFS('United Data'!$A$3:$A$2150,R$1,'United Data'!$C$3:$C$2150,$A9)&gt;0,1,0)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53</v>
      </c>
      <c r="B10">
        <f>IF(COUNTIFS('United Data'!$A$3:$A$2150,B$1,'United Data'!$C$3:$C$2150,$A10)&gt;0,1,0)</f>
        <v>0</v>
      </c>
      <c r="C10">
        <f>IF(COUNTIFS('United Data'!$A$3:$A$2150,C$1,'United Data'!$C$3:$C$2150,$A10)&gt;0,1,0)</f>
        <v>0</v>
      </c>
      <c r="D10">
        <f>IF(COUNTIFS('United Data'!$A$3:$A$2150,D$1,'United Data'!$C$3:$C$2150,$A10)&gt;0,1,0)</f>
        <v>0</v>
      </c>
      <c r="E10">
        <f>IF(COUNTIFS('United Data'!$A$3:$A$2150,E$1,'United Data'!$C$3:$C$2150,$A10)&gt;0,1,0)</f>
        <v>0</v>
      </c>
      <c r="F10">
        <f>IF(COUNTIFS('United Data'!$A$3:$A$2150,F$1,'United Data'!$C$3:$C$2150,$A10)&gt;0,1,0)</f>
        <v>0</v>
      </c>
      <c r="G10">
        <f>IF(COUNTIFS('United Data'!$A$3:$A$2150,G$1,'United Data'!$C$3:$C$2150,$A10)&gt;0,1,0)</f>
        <v>1</v>
      </c>
      <c r="H10">
        <f>IF(COUNTIFS('United Data'!$A$3:$A$2150,H$1,'United Data'!$C$3:$C$2150,$A10)&gt;0,1,0)</f>
        <v>0</v>
      </c>
      <c r="I10">
        <f>IF(COUNTIFS('United Data'!$A$3:$A$2150,I$1,'United Data'!$C$3:$C$2150,$A10)&gt;0,1,0)</f>
        <v>0</v>
      </c>
      <c r="J10">
        <f>IF(COUNTIFS('United Data'!$A$3:$A$2150,J$1,'United Data'!$C$3:$C$2150,$A10)&gt;0,1,0)</f>
        <v>0</v>
      </c>
      <c r="K10">
        <f>IF(COUNTIFS('United Data'!$A$3:$A$2150,K$1,'United Data'!$C$3:$C$2150,$A10)&gt;0,1,0)</f>
        <v>0</v>
      </c>
      <c r="L10">
        <f>IF(COUNTIFS('United Data'!$A$3:$A$2150,L$1,'United Data'!$C$3:$C$2150,$A10)&gt;0,1,0)</f>
        <v>0</v>
      </c>
      <c r="M10">
        <f>IF(COUNTIFS('United Data'!$A$3:$A$2150,M$1,'United Data'!$C$3:$C$2150,$A10)&gt;0,1,0)</f>
        <v>0</v>
      </c>
      <c r="N10">
        <f>IF(COUNTIFS('United Data'!$A$3:$A$2150,N$1,'United Data'!$C$3:$C$2150,$A10)&gt;0,1,0)</f>
        <v>0</v>
      </c>
      <c r="O10">
        <f>IF(COUNTIFS('United Data'!$A$3:$A$2150,O$1,'United Data'!$C$3:$C$2150,$A10)&gt;0,1,0)</f>
        <v>0</v>
      </c>
      <c r="P10">
        <f>IF(COUNTIFS('United Data'!$A$3:$A$2150,P$1,'United Data'!$C$3:$C$2150,$A10)&gt;0,1,0)</f>
        <v>0</v>
      </c>
      <c r="Q10">
        <f>IF(COUNTIFS('United Data'!$A$3:$A$2150,Q$1,'United Data'!$C$3:$C$2150,$A10)&gt;0,1,0)</f>
        <v>0</v>
      </c>
      <c r="R10">
        <f>IF(COUNTIFS('United Data'!$A$3:$A$2150,R$1,'United Data'!$C$3:$C$2150,$A10)&gt;0,1,0)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55</v>
      </c>
      <c r="B11">
        <f>IF(COUNTIFS('United Data'!$A$3:$A$2150,B$1,'United Data'!$C$3:$C$2150,$A11)&gt;0,1,0)</f>
        <v>0</v>
      </c>
      <c r="C11">
        <f>IF(COUNTIFS('United Data'!$A$3:$A$2150,C$1,'United Data'!$C$3:$C$2150,$A11)&gt;0,1,0)</f>
        <v>0</v>
      </c>
      <c r="D11">
        <f>IF(COUNTIFS('United Data'!$A$3:$A$2150,D$1,'United Data'!$C$3:$C$2150,$A11)&gt;0,1,0)</f>
        <v>0</v>
      </c>
      <c r="E11">
        <f>IF(COUNTIFS('United Data'!$A$3:$A$2150,E$1,'United Data'!$C$3:$C$2150,$A11)&gt;0,1,0)</f>
        <v>0</v>
      </c>
      <c r="F11">
        <f>IF(COUNTIFS('United Data'!$A$3:$A$2150,F$1,'United Data'!$C$3:$C$2150,$A11)&gt;0,1,0)</f>
        <v>0</v>
      </c>
      <c r="G11">
        <f>IF(COUNTIFS('United Data'!$A$3:$A$2150,G$1,'United Data'!$C$3:$C$2150,$A11)&gt;0,1,0)</f>
        <v>0</v>
      </c>
      <c r="H11">
        <f>IF(COUNTIFS('United Data'!$A$3:$A$2150,H$1,'United Data'!$C$3:$C$2150,$A11)&gt;0,1,0)</f>
        <v>0</v>
      </c>
      <c r="I11">
        <f>IF(COUNTIFS('United Data'!$A$3:$A$2150,I$1,'United Data'!$C$3:$C$2150,$A11)&gt;0,1,0)</f>
        <v>0</v>
      </c>
      <c r="J11">
        <f>IF(COUNTIFS('United Data'!$A$3:$A$2150,J$1,'United Data'!$C$3:$C$2150,$A11)&gt;0,1,0)</f>
        <v>1</v>
      </c>
      <c r="K11">
        <f>IF(COUNTIFS('United Data'!$A$3:$A$2150,K$1,'United Data'!$C$3:$C$2150,$A11)&gt;0,1,0)</f>
        <v>0</v>
      </c>
      <c r="L11">
        <f>IF(COUNTIFS('United Data'!$A$3:$A$2150,L$1,'United Data'!$C$3:$C$2150,$A11)&gt;0,1,0)</f>
        <v>0</v>
      </c>
      <c r="M11">
        <f>IF(COUNTIFS('United Data'!$A$3:$A$2150,M$1,'United Data'!$C$3:$C$2150,$A11)&gt;0,1,0)</f>
        <v>0</v>
      </c>
      <c r="N11">
        <f>IF(COUNTIFS('United Data'!$A$3:$A$2150,N$1,'United Data'!$C$3:$C$2150,$A11)&gt;0,1,0)</f>
        <v>0</v>
      </c>
      <c r="O11">
        <f>IF(COUNTIFS('United Data'!$A$3:$A$2150,O$1,'United Data'!$C$3:$C$2150,$A11)&gt;0,1,0)</f>
        <v>0</v>
      </c>
      <c r="P11">
        <f>IF(COUNTIFS('United Data'!$A$3:$A$2150,P$1,'United Data'!$C$3:$C$2150,$A11)&gt;0,1,0)</f>
        <v>0</v>
      </c>
      <c r="Q11">
        <f>IF(COUNTIFS('United Data'!$A$3:$A$2150,Q$1,'United Data'!$C$3:$C$2150,$A11)&gt;0,1,0)</f>
        <v>0</v>
      </c>
      <c r="R11">
        <f>IF(COUNTIFS('United Data'!$A$3:$A$2150,R$1,'United Data'!$C$3:$C$2150,$A11)&gt;0,1,0)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56</v>
      </c>
      <c r="B12">
        <f>IF(COUNTIFS('United Data'!$A$3:$A$2150,B$1,'United Data'!$C$3:$C$2150,$A12)&gt;0,1,0)</f>
        <v>0</v>
      </c>
      <c r="C12">
        <f>IF(COUNTIFS('United Data'!$A$3:$A$2150,C$1,'United Data'!$C$3:$C$2150,$A12)&gt;0,1,0)</f>
        <v>0</v>
      </c>
      <c r="D12">
        <f>IF(COUNTIFS('United Data'!$A$3:$A$2150,D$1,'United Data'!$C$3:$C$2150,$A12)&gt;0,1,0)</f>
        <v>0</v>
      </c>
      <c r="E12">
        <f>IF(COUNTIFS('United Data'!$A$3:$A$2150,E$1,'United Data'!$C$3:$C$2150,$A12)&gt;0,1,0)</f>
        <v>0</v>
      </c>
      <c r="F12">
        <f>IF(COUNTIFS('United Data'!$A$3:$A$2150,F$1,'United Data'!$C$3:$C$2150,$A12)&gt;0,1,0)</f>
        <v>0</v>
      </c>
      <c r="G12">
        <f>IF(COUNTIFS('United Data'!$A$3:$A$2150,G$1,'United Data'!$C$3:$C$2150,$A12)&gt;0,1,0)</f>
        <v>0</v>
      </c>
      <c r="H12">
        <f>IF(COUNTIFS('United Data'!$A$3:$A$2150,H$1,'United Data'!$C$3:$C$2150,$A12)&gt;0,1,0)</f>
        <v>0</v>
      </c>
      <c r="I12">
        <f>IF(COUNTIFS('United Data'!$A$3:$A$2150,I$1,'United Data'!$C$3:$C$2150,$A12)&gt;0,1,0)</f>
        <v>0</v>
      </c>
      <c r="J12">
        <f>IF(COUNTIFS('United Data'!$A$3:$A$2150,J$1,'United Data'!$C$3:$C$2150,$A12)&gt;0,1,0)</f>
        <v>0</v>
      </c>
      <c r="K12">
        <f>IF(COUNTIFS('United Data'!$A$3:$A$2150,K$1,'United Data'!$C$3:$C$2150,$A12)&gt;0,1,0)</f>
        <v>1</v>
      </c>
      <c r="L12">
        <f>IF(COUNTIFS('United Data'!$A$3:$A$2150,L$1,'United Data'!$C$3:$C$2150,$A12)&gt;0,1,0)</f>
        <v>0</v>
      </c>
      <c r="M12">
        <f>IF(COUNTIFS('United Data'!$A$3:$A$2150,M$1,'United Data'!$C$3:$C$2150,$A12)&gt;0,1,0)</f>
        <v>0</v>
      </c>
      <c r="N12">
        <f>IF(COUNTIFS('United Data'!$A$3:$A$2150,N$1,'United Data'!$C$3:$C$2150,$A12)&gt;0,1,0)</f>
        <v>0</v>
      </c>
      <c r="O12">
        <f>IF(COUNTIFS('United Data'!$A$3:$A$2150,O$1,'United Data'!$C$3:$C$2150,$A12)&gt;0,1,0)</f>
        <v>0</v>
      </c>
      <c r="P12">
        <f>IF(COUNTIFS('United Data'!$A$3:$A$2150,P$1,'United Data'!$C$3:$C$2150,$A12)&gt;0,1,0)</f>
        <v>0</v>
      </c>
      <c r="Q12">
        <f>IF(COUNTIFS('United Data'!$A$3:$A$2150,Q$1,'United Data'!$C$3:$C$2150,$A12)&gt;0,1,0)</f>
        <v>0</v>
      </c>
      <c r="R12">
        <f>IF(COUNTIFS('United Data'!$A$3:$A$2150,R$1,'United Data'!$C$3:$C$2150,$A12)&gt;0,1,0)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57</v>
      </c>
      <c r="B13">
        <f>IF(COUNTIFS('United Data'!$A$3:$A$2150,B$1,'United Data'!$C$3:$C$2150,$A13)&gt;0,1,0)</f>
        <v>0</v>
      </c>
      <c r="C13">
        <f>IF(COUNTIFS('United Data'!$A$3:$A$2150,C$1,'United Data'!$C$3:$C$2150,$A13)&gt;0,1,0)</f>
        <v>0</v>
      </c>
      <c r="D13">
        <f>IF(COUNTIFS('United Data'!$A$3:$A$2150,D$1,'United Data'!$C$3:$C$2150,$A13)&gt;0,1,0)</f>
        <v>0</v>
      </c>
      <c r="E13">
        <f>IF(COUNTIFS('United Data'!$A$3:$A$2150,E$1,'United Data'!$C$3:$C$2150,$A13)&gt;0,1,0)</f>
        <v>0</v>
      </c>
      <c r="F13">
        <f>IF(COUNTIFS('United Data'!$A$3:$A$2150,F$1,'United Data'!$C$3:$C$2150,$A13)&gt;0,1,0)</f>
        <v>0</v>
      </c>
      <c r="G13">
        <f>IF(COUNTIFS('United Data'!$A$3:$A$2150,G$1,'United Data'!$C$3:$C$2150,$A13)&gt;0,1,0)</f>
        <v>0</v>
      </c>
      <c r="H13">
        <f>IF(COUNTIFS('United Data'!$A$3:$A$2150,H$1,'United Data'!$C$3:$C$2150,$A13)&gt;0,1,0)</f>
        <v>0</v>
      </c>
      <c r="I13">
        <f>IF(COUNTIFS('United Data'!$A$3:$A$2150,I$1,'United Data'!$C$3:$C$2150,$A13)&gt;0,1,0)</f>
        <v>0</v>
      </c>
      <c r="J13">
        <f>IF(COUNTIFS('United Data'!$A$3:$A$2150,J$1,'United Data'!$C$3:$C$2150,$A13)&gt;0,1,0)</f>
        <v>0</v>
      </c>
      <c r="K13">
        <f>IF(COUNTIFS('United Data'!$A$3:$A$2150,K$1,'United Data'!$C$3:$C$2150,$A13)&gt;0,1,0)</f>
        <v>0</v>
      </c>
      <c r="L13">
        <f>IF(COUNTIFS('United Data'!$A$3:$A$2150,L$1,'United Data'!$C$3:$C$2150,$A13)&gt;0,1,0)</f>
        <v>1</v>
      </c>
      <c r="M13">
        <f>IF(COUNTIFS('United Data'!$A$3:$A$2150,M$1,'United Data'!$C$3:$C$2150,$A13)&gt;0,1,0)</f>
        <v>0</v>
      </c>
      <c r="N13">
        <f>IF(COUNTIFS('United Data'!$A$3:$A$2150,N$1,'United Data'!$C$3:$C$2150,$A13)&gt;0,1,0)</f>
        <v>0</v>
      </c>
      <c r="O13">
        <f>IF(COUNTIFS('United Data'!$A$3:$A$2150,O$1,'United Data'!$C$3:$C$2150,$A13)&gt;0,1,0)</f>
        <v>0</v>
      </c>
      <c r="P13">
        <f>IF(COUNTIFS('United Data'!$A$3:$A$2150,P$1,'United Data'!$C$3:$C$2150,$A13)&gt;0,1,0)</f>
        <v>1</v>
      </c>
      <c r="Q13">
        <f>IF(COUNTIFS('United Data'!$A$3:$A$2150,Q$1,'United Data'!$C$3:$C$2150,$A13)&gt;0,1,0)</f>
        <v>0</v>
      </c>
      <c r="R13">
        <f>IF(COUNTIFS('United Data'!$A$3:$A$2150,R$1,'United Data'!$C$3:$C$2150,$A13)&gt;0,1,0)</f>
        <v>0</v>
      </c>
      <c r="S13">
        <f t="shared" si="0"/>
        <v>2</v>
      </c>
      <c r="T13">
        <f t="shared" si="1"/>
        <v>2</v>
      </c>
    </row>
    <row r="14" spans="1:20" x14ac:dyDescent="0.2">
      <c r="A14" t="s">
        <v>58</v>
      </c>
      <c r="B14">
        <f>IF(COUNTIFS('United Data'!$A$3:$A$2150,B$1,'United Data'!$C$3:$C$2150,$A14)&gt;0,1,0)</f>
        <v>0</v>
      </c>
      <c r="C14">
        <f>IF(COUNTIFS('United Data'!$A$3:$A$2150,C$1,'United Data'!$C$3:$C$2150,$A14)&gt;0,1,0)</f>
        <v>0</v>
      </c>
      <c r="D14">
        <f>IF(COUNTIFS('United Data'!$A$3:$A$2150,D$1,'United Data'!$C$3:$C$2150,$A14)&gt;0,1,0)</f>
        <v>0</v>
      </c>
      <c r="E14">
        <f>IF(COUNTIFS('United Data'!$A$3:$A$2150,E$1,'United Data'!$C$3:$C$2150,$A14)&gt;0,1,0)</f>
        <v>0</v>
      </c>
      <c r="F14">
        <f>IF(COUNTIFS('United Data'!$A$3:$A$2150,F$1,'United Data'!$C$3:$C$2150,$A14)&gt;0,1,0)</f>
        <v>0</v>
      </c>
      <c r="G14">
        <f>IF(COUNTIFS('United Data'!$A$3:$A$2150,G$1,'United Data'!$C$3:$C$2150,$A14)&gt;0,1,0)</f>
        <v>0</v>
      </c>
      <c r="H14">
        <f>IF(COUNTIFS('United Data'!$A$3:$A$2150,H$1,'United Data'!$C$3:$C$2150,$A14)&gt;0,1,0)</f>
        <v>0</v>
      </c>
      <c r="I14">
        <f>IF(COUNTIFS('United Data'!$A$3:$A$2150,I$1,'United Data'!$C$3:$C$2150,$A14)&gt;0,1,0)</f>
        <v>0</v>
      </c>
      <c r="J14">
        <f>IF(COUNTIFS('United Data'!$A$3:$A$2150,J$1,'United Data'!$C$3:$C$2150,$A14)&gt;0,1,0)</f>
        <v>0</v>
      </c>
      <c r="K14">
        <f>IF(COUNTIFS('United Data'!$A$3:$A$2150,K$1,'United Data'!$C$3:$C$2150,$A14)&gt;0,1,0)</f>
        <v>0</v>
      </c>
      <c r="L14">
        <f>IF(COUNTIFS('United Data'!$A$3:$A$2150,L$1,'United Data'!$C$3:$C$2150,$A14)&gt;0,1,0)</f>
        <v>1</v>
      </c>
      <c r="M14">
        <f>IF(COUNTIFS('United Data'!$A$3:$A$2150,M$1,'United Data'!$C$3:$C$2150,$A14)&gt;0,1,0)</f>
        <v>0</v>
      </c>
      <c r="N14">
        <f>IF(COUNTIFS('United Data'!$A$3:$A$2150,N$1,'United Data'!$C$3:$C$2150,$A14)&gt;0,1,0)</f>
        <v>0</v>
      </c>
      <c r="O14">
        <f>IF(COUNTIFS('United Data'!$A$3:$A$2150,O$1,'United Data'!$C$3:$C$2150,$A14)&gt;0,1,0)</f>
        <v>0</v>
      </c>
      <c r="P14">
        <f>IF(COUNTIFS('United Data'!$A$3:$A$2150,P$1,'United Data'!$C$3:$C$2150,$A14)&gt;0,1,0)</f>
        <v>0</v>
      </c>
      <c r="Q14">
        <f>IF(COUNTIFS('United Data'!$A$3:$A$2150,Q$1,'United Data'!$C$3:$C$2150,$A14)&gt;0,1,0)</f>
        <v>0</v>
      </c>
      <c r="R14">
        <f>IF(COUNTIFS('United Data'!$A$3:$A$2150,R$1,'United Data'!$C$3:$C$2150,$A14)&gt;0,1,0)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59</v>
      </c>
      <c r="B15">
        <f>IF(COUNTIFS('United Data'!$A$3:$A$2150,B$1,'United Data'!$C$3:$C$2150,$A15)&gt;0,1,0)</f>
        <v>0</v>
      </c>
      <c r="C15">
        <f>IF(COUNTIFS('United Data'!$A$3:$A$2150,C$1,'United Data'!$C$3:$C$2150,$A15)&gt;0,1,0)</f>
        <v>0</v>
      </c>
      <c r="D15">
        <f>IF(COUNTIFS('United Data'!$A$3:$A$2150,D$1,'United Data'!$C$3:$C$2150,$A15)&gt;0,1,0)</f>
        <v>0</v>
      </c>
      <c r="E15">
        <f>IF(COUNTIFS('United Data'!$A$3:$A$2150,E$1,'United Data'!$C$3:$C$2150,$A15)&gt;0,1,0)</f>
        <v>0</v>
      </c>
      <c r="F15">
        <f>IF(COUNTIFS('United Data'!$A$3:$A$2150,F$1,'United Data'!$C$3:$C$2150,$A15)&gt;0,1,0)</f>
        <v>0</v>
      </c>
      <c r="G15">
        <f>IF(COUNTIFS('United Data'!$A$3:$A$2150,G$1,'United Data'!$C$3:$C$2150,$A15)&gt;0,1,0)</f>
        <v>0</v>
      </c>
      <c r="H15">
        <f>IF(COUNTIFS('United Data'!$A$3:$A$2150,H$1,'United Data'!$C$3:$C$2150,$A15)&gt;0,1,0)</f>
        <v>0</v>
      </c>
      <c r="I15">
        <f>IF(COUNTIFS('United Data'!$A$3:$A$2150,I$1,'United Data'!$C$3:$C$2150,$A15)&gt;0,1,0)</f>
        <v>0</v>
      </c>
      <c r="J15">
        <f>IF(COUNTIFS('United Data'!$A$3:$A$2150,J$1,'United Data'!$C$3:$C$2150,$A15)&gt;0,1,0)</f>
        <v>0</v>
      </c>
      <c r="K15">
        <f>IF(COUNTIFS('United Data'!$A$3:$A$2150,K$1,'United Data'!$C$3:$C$2150,$A15)&gt;0,1,0)</f>
        <v>0</v>
      </c>
      <c r="L15">
        <f>IF(COUNTIFS('United Data'!$A$3:$A$2150,L$1,'United Data'!$C$3:$C$2150,$A15)&gt;0,1,0)</f>
        <v>0</v>
      </c>
      <c r="M15">
        <f>IF(COUNTIFS('United Data'!$A$3:$A$2150,M$1,'United Data'!$C$3:$C$2150,$A15)&gt;0,1,0)</f>
        <v>0</v>
      </c>
      <c r="N15">
        <f>IF(COUNTIFS('United Data'!$A$3:$A$2150,N$1,'United Data'!$C$3:$C$2150,$A15)&gt;0,1,0)</f>
        <v>0</v>
      </c>
      <c r="O15">
        <f>IF(COUNTIFS('United Data'!$A$3:$A$2150,O$1,'United Data'!$C$3:$C$2150,$A15)&gt;0,1,0)</f>
        <v>0</v>
      </c>
      <c r="P15">
        <f>IF(COUNTIFS('United Data'!$A$3:$A$2150,P$1,'United Data'!$C$3:$C$2150,$A15)&gt;0,1,0)</f>
        <v>0</v>
      </c>
      <c r="Q15">
        <f>IF(COUNTIFS('United Data'!$A$3:$A$2150,Q$1,'United Data'!$C$3:$C$2150,$A15)&gt;0,1,0)</f>
        <v>1</v>
      </c>
      <c r="R15">
        <f>IF(COUNTIFS('United Data'!$A$3:$A$2150,R$1,'United Data'!$C$3:$C$2150,$A15)&gt;0,1,0)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60</v>
      </c>
      <c r="B16">
        <f>IF(COUNTIFS('United Data'!$A$3:$A$2150,B$1,'United Data'!$C$3:$C$2150,$A16)&gt;0,1,0)</f>
        <v>0</v>
      </c>
      <c r="C16">
        <f>IF(COUNTIFS('United Data'!$A$3:$A$2150,C$1,'United Data'!$C$3:$C$2150,$A16)&gt;0,1,0)</f>
        <v>0</v>
      </c>
      <c r="D16">
        <f>IF(COUNTIFS('United Data'!$A$3:$A$2150,D$1,'United Data'!$C$3:$C$2150,$A16)&gt;0,1,0)</f>
        <v>0</v>
      </c>
      <c r="E16">
        <f>IF(COUNTIFS('United Data'!$A$3:$A$2150,E$1,'United Data'!$C$3:$C$2150,$A16)&gt;0,1,0)</f>
        <v>0</v>
      </c>
      <c r="F16">
        <f>IF(COUNTIFS('United Data'!$A$3:$A$2150,F$1,'United Data'!$C$3:$C$2150,$A16)&gt;0,1,0)</f>
        <v>0</v>
      </c>
      <c r="G16">
        <f>IF(COUNTIFS('United Data'!$A$3:$A$2150,G$1,'United Data'!$C$3:$C$2150,$A16)&gt;0,1,0)</f>
        <v>0</v>
      </c>
      <c r="H16">
        <f>IF(COUNTIFS('United Data'!$A$3:$A$2150,H$1,'United Data'!$C$3:$C$2150,$A16)&gt;0,1,0)</f>
        <v>0</v>
      </c>
      <c r="I16">
        <f>IF(COUNTIFS('United Data'!$A$3:$A$2150,I$1,'United Data'!$C$3:$C$2150,$A16)&gt;0,1,0)</f>
        <v>0</v>
      </c>
      <c r="J16">
        <f>IF(COUNTIFS('United Data'!$A$3:$A$2150,J$1,'United Data'!$C$3:$C$2150,$A16)&gt;0,1,0)</f>
        <v>0</v>
      </c>
      <c r="K16">
        <f>IF(COUNTIFS('United Data'!$A$3:$A$2150,K$1,'United Data'!$C$3:$C$2150,$A16)&gt;0,1,0)</f>
        <v>0</v>
      </c>
      <c r="L16">
        <f>IF(COUNTIFS('United Data'!$A$3:$A$2150,L$1,'United Data'!$C$3:$C$2150,$A16)&gt;0,1,0)</f>
        <v>0</v>
      </c>
      <c r="M16">
        <f>IF(COUNTIFS('United Data'!$A$3:$A$2150,M$1,'United Data'!$C$3:$C$2150,$A16)&gt;0,1,0)</f>
        <v>0</v>
      </c>
      <c r="N16">
        <f>IF(COUNTIFS('United Data'!$A$3:$A$2150,N$1,'United Data'!$C$3:$C$2150,$A16)&gt;0,1,0)</f>
        <v>0</v>
      </c>
      <c r="O16">
        <f>IF(COUNTIFS('United Data'!$A$3:$A$2150,O$1,'United Data'!$C$3:$C$2150,$A16)&gt;0,1,0)</f>
        <v>0</v>
      </c>
      <c r="P16">
        <f>IF(COUNTIFS('United Data'!$A$3:$A$2150,P$1,'United Data'!$C$3:$C$2150,$A16)&gt;0,1,0)</f>
        <v>0</v>
      </c>
      <c r="Q16">
        <f>IF(COUNTIFS('United Data'!$A$3:$A$2150,Q$1,'United Data'!$C$3:$C$2150,$A16)&gt;0,1,0)</f>
        <v>1</v>
      </c>
      <c r="R16">
        <f>IF(COUNTIFS('United Data'!$A$3:$A$2150,R$1,'United Data'!$C$3:$C$2150,$A16)&gt;0,1,0)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61</v>
      </c>
      <c r="B17">
        <f>IF(COUNTIFS('United Data'!$A$3:$A$2150,B$1,'United Data'!$C$3:$C$2150,$A17)&gt;0,1,0)</f>
        <v>1</v>
      </c>
      <c r="C17">
        <f>IF(COUNTIFS('United Data'!$A$3:$A$2150,C$1,'United Data'!$C$3:$C$2150,$A17)&gt;0,1,0)</f>
        <v>1</v>
      </c>
      <c r="D17">
        <f>IF(COUNTIFS('United Data'!$A$3:$A$2150,D$1,'United Data'!$C$3:$C$2150,$A17)&gt;0,1,0)</f>
        <v>1</v>
      </c>
      <c r="E17">
        <f>IF(COUNTIFS('United Data'!$A$3:$A$2150,E$1,'United Data'!$C$3:$C$2150,$A17)&gt;0,1,0)</f>
        <v>0</v>
      </c>
      <c r="F17">
        <f>IF(COUNTIFS('United Data'!$A$3:$A$2150,F$1,'United Data'!$C$3:$C$2150,$A17)&gt;0,1,0)</f>
        <v>0</v>
      </c>
      <c r="G17">
        <f>IF(COUNTIFS('United Data'!$A$3:$A$2150,G$1,'United Data'!$C$3:$C$2150,$A17)&gt;0,1,0)</f>
        <v>0</v>
      </c>
      <c r="H17">
        <f>IF(COUNTIFS('United Data'!$A$3:$A$2150,H$1,'United Data'!$C$3:$C$2150,$A17)&gt;0,1,0)</f>
        <v>0</v>
      </c>
      <c r="I17">
        <f>IF(COUNTIFS('United Data'!$A$3:$A$2150,I$1,'United Data'!$C$3:$C$2150,$A17)&gt;0,1,0)</f>
        <v>0</v>
      </c>
      <c r="J17">
        <f>IF(COUNTIFS('United Data'!$A$3:$A$2150,J$1,'United Data'!$C$3:$C$2150,$A17)&gt;0,1,0)</f>
        <v>0</v>
      </c>
      <c r="K17">
        <f>IF(COUNTIFS('United Data'!$A$3:$A$2150,K$1,'United Data'!$C$3:$C$2150,$A17)&gt;0,1,0)</f>
        <v>0</v>
      </c>
      <c r="L17">
        <f>IF(COUNTIFS('United Data'!$A$3:$A$2150,L$1,'United Data'!$C$3:$C$2150,$A17)&gt;0,1,0)</f>
        <v>0</v>
      </c>
      <c r="M17">
        <f>IF(COUNTIFS('United Data'!$A$3:$A$2150,M$1,'United Data'!$C$3:$C$2150,$A17)&gt;0,1,0)</f>
        <v>0</v>
      </c>
      <c r="N17">
        <f>IF(COUNTIFS('United Data'!$A$3:$A$2150,N$1,'United Data'!$C$3:$C$2150,$A17)&gt;0,1,0)</f>
        <v>0</v>
      </c>
      <c r="O17">
        <f>IF(COUNTIFS('United Data'!$A$3:$A$2150,O$1,'United Data'!$C$3:$C$2150,$A17)&gt;0,1,0)</f>
        <v>0</v>
      </c>
      <c r="P17">
        <f>IF(COUNTIFS('United Data'!$A$3:$A$2150,P$1,'United Data'!$C$3:$C$2150,$A17)&gt;0,1,0)</f>
        <v>0</v>
      </c>
      <c r="Q17">
        <f>IF(COUNTIFS('United Data'!$A$3:$A$2150,Q$1,'United Data'!$C$3:$C$2150,$A17)&gt;0,1,0)</f>
        <v>0</v>
      </c>
      <c r="R17">
        <f>IF(COUNTIFS('United Data'!$A$3:$A$2150,R$1,'United Data'!$C$3:$C$2150,$A17)&gt;0,1,0)</f>
        <v>0</v>
      </c>
      <c r="S17">
        <f t="shared" si="0"/>
        <v>3</v>
      </c>
      <c r="T17">
        <f t="shared" si="1"/>
        <v>1</v>
      </c>
    </row>
    <row r="18" spans="1:20" x14ac:dyDescent="0.2">
      <c r="A18" t="s">
        <v>62</v>
      </c>
      <c r="B18">
        <f>IF(COUNTIFS('United Data'!$A$3:$A$2150,B$1,'United Data'!$C$3:$C$2150,$A18)&gt;0,1,0)</f>
        <v>0</v>
      </c>
      <c r="C18">
        <f>IF(COUNTIFS('United Data'!$A$3:$A$2150,C$1,'United Data'!$C$3:$C$2150,$A18)&gt;0,1,0)</f>
        <v>1</v>
      </c>
      <c r="D18">
        <f>IF(COUNTIFS('United Data'!$A$3:$A$2150,D$1,'United Data'!$C$3:$C$2150,$A18)&gt;0,1,0)</f>
        <v>1</v>
      </c>
      <c r="E18">
        <f>IF(COUNTIFS('United Data'!$A$3:$A$2150,E$1,'United Data'!$C$3:$C$2150,$A18)&gt;0,1,0)</f>
        <v>1</v>
      </c>
      <c r="F18">
        <f>IF(COUNTIFS('United Data'!$A$3:$A$2150,F$1,'United Data'!$C$3:$C$2150,$A18)&gt;0,1,0)</f>
        <v>0</v>
      </c>
      <c r="G18">
        <f>IF(COUNTIFS('United Data'!$A$3:$A$2150,G$1,'United Data'!$C$3:$C$2150,$A18)&gt;0,1,0)</f>
        <v>1</v>
      </c>
      <c r="H18">
        <f>IF(COUNTIFS('United Data'!$A$3:$A$2150,H$1,'United Data'!$C$3:$C$2150,$A18)&gt;0,1,0)</f>
        <v>1</v>
      </c>
      <c r="I18">
        <f>IF(COUNTIFS('United Data'!$A$3:$A$2150,I$1,'United Data'!$C$3:$C$2150,$A18)&gt;0,1,0)</f>
        <v>1</v>
      </c>
      <c r="J18">
        <f>IF(COUNTIFS('United Data'!$A$3:$A$2150,J$1,'United Data'!$C$3:$C$2150,$A18)&gt;0,1,0)</f>
        <v>1</v>
      </c>
      <c r="K18">
        <f>IF(COUNTIFS('United Data'!$A$3:$A$2150,K$1,'United Data'!$C$3:$C$2150,$A18)&gt;0,1,0)</f>
        <v>0</v>
      </c>
      <c r="L18">
        <f>IF(COUNTIFS('United Data'!$A$3:$A$2150,L$1,'United Data'!$C$3:$C$2150,$A18)&gt;0,1,0)</f>
        <v>1</v>
      </c>
      <c r="M18">
        <f>IF(COUNTIFS('United Data'!$A$3:$A$2150,M$1,'United Data'!$C$3:$C$2150,$A18)&gt;0,1,0)</f>
        <v>1</v>
      </c>
      <c r="N18">
        <f>IF(COUNTIFS('United Data'!$A$3:$A$2150,N$1,'United Data'!$C$3:$C$2150,$A18)&gt;0,1,0)</f>
        <v>1</v>
      </c>
      <c r="O18">
        <f>IF(COUNTIFS('United Data'!$A$3:$A$2150,O$1,'United Data'!$C$3:$C$2150,$A18)&gt;0,1,0)</f>
        <v>1</v>
      </c>
      <c r="P18">
        <f>IF(COUNTIFS('United Data'!$A$3:$A$2150,P$1,'United Data'!$C$3:$C$2150,$A18)&gt;0,1,0)</f>
        <v>1</v>
      </c>
      <c r="Q18">
        <f>IF(COUNTIFS('United Data'!$A$3:$A$2150,Q$1,'United Data'!$C$3:$C$2150,$A18)&gt;0,1,0)</f>
        <v>0</v>
      </c>
      <c r="R18">
        <f>IF(COUNTIFS('United Data'!$A$3:$A$2150,R$1,'United Data'!$C$3:$C$2150,$A18)&gt;0,1,0)</f>
        <v>0</v>
      </c>
      <c r="S18">
        <f t="shared" si="0"/>
        <v>12</v>
      </c>
      <c r="T18">
        <f t="shared" si="1"/>
        <v>3</v>
      </c>
    </row>
    <row r="19" spans="1:20" x14ac:dyDescent="0.2">
      <c r="A19" t="s">
        <v>63</v>
      </c>
      <c r="B19">
        <f>IF(COUNTIFS('United Data'!$A$3:$A$2150,B$1,'United Data'!$C$3:$C$2150,$A19)&gt;0,1,0)</f>
        <v>0</v>
      </c>
      <c r="C19">
        <f>IF(COUNTIFS('United Data'!$A$3:$A$2150,C$1,'United Data'!$C$3:$C$2150,$A19)&gt;0,1,0)</f>
        <v>0</v>
      </c>
      <c r="D19">
        <f>IF(COUNTIFS('United Data'!$A$3:$A$2150,D$1,'United Data'!$C$3:$C$2150,$A19)&gt;0,1,0)</f>
        <v>1</v>
      </c>
      <c r="E19">
        <f>IF(COUNTIFS('United Data'!$A$3:$A$2150,E$1,'United Data'!$C$3:$C$2150,$A19)&gt;0,1,0)</f>
        <v>0</v>
      </c>
      <c r="F19">
        <f>IF(COUNTIFS('United Data'!$A$3:$A$2150,F$1,'United Data'!$C$3:$C$2150,$A19)&gt;0,1,0)</f>
        <v>0</v>
      </c>
      <c r="G19">
        <f>IF(COUNTIFS('United Data'!$A$3:$A$2150,G$1,'United Data'!$C$3:$C$2150,$A19)&gt;0,1,0)</f>
        <v>0</v>
      </c>
      <c r="H19">
        <f>IF(COUNTIFS('United Data'!$A$3:$A$2150,H$1,'United Data'!$C$3:$C$2150,$A19)&gt;0,1,0)</f>
        <v>0</v>
      </c>
      <c r="I19">
        <f>IF(COUNTIFS('United Data'!$A$3:$A$2150,I$1,'United Data'!$C$3:$C$2150,$A19)&gt;0,1,0)</f>
        <v>0</v>
      </c>
      <c r="J19">
        <f>IF(COUNTIFS('United Data'!$A$3:$A$2150,J$1,'United Data'!$C$3:$C$2150,$A19)&gt;0,1,0)</f>
        <v>0</v>
      </c>
      <c r="K19">
        <f>IF(COUNTIFS('United Data'!$A$3:$A$2150,K$1,'United Data'!$C$3:$C$2150,$A19)&gt;0,1,0)</f>
        <v>0</v>
      </c>
      <c r="L19">
        <f>IF(COUNTIFS('United Data'!$A$3:$A$2150,L$1,'United Data'!$C$3:$C$2150,$A19)&gt;0,1,0)</f>
        <v>0</v>
      </c>
      <c r="M19">
        <f>IF(COUNTIFS('United Data'!$A$3:$A$2150,M$1,'United Data'!$C$3:$C$2150,$A19)&gt;0,1,0)</f>
        <v>0</v>
      </c>
      <c r="N19">
        <f>IF(COUNTIFS('United Data'!$A$3:$A$2150,N$1,'United Data'!$C$3:$C$2150,$A19)&gt;0,1,0)</f>
        <v>0</v>
      </c>
      <c r="O19">
        <f>IF(COUNTIFS('United Data'!$A$3:$A$2150,O$1,'United Data'!$C$3:$C$2150,$A19)&gt;0,1,0)</f>
        <v>0</v>
      </c>
      <c r="P19">
        <f>IF(COUNTIFS('United Data'!$A$3:$A$2150,P$1,'United Data'!$C$3:$C$2150,$A19)&gt;0,1,0)</f>
        <v>0</v>
      </c>
      <c r="Q19">
        <f>IF(COUNTIFS('United Data'!$A$3:$A$2150,Q$1,'United Data'!$C$3:$C$2150,$A19)&gt;0,1,0)</f>
        <v>0</v>
      </c>
      <c r="R19">
        <f>IF(COUNTIFS('United Data'!$A$3:$A$2150,R$1,'United Data'!$C$3:$C$2150,$A19)&gt;0,1,0)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64</v>
      </c>
      <c r="B20">
        <f>IF(COUNTIFS('United Data'!$A$3:$A$2150,B$1,'United Data'!$C$3:$C$2150,$A20)&gt;0,1,0)</f>
        <v>0</v>
      </c>
      <c r="C20">
        <f>IF(COUNTIFS('United Data'!$A$3:$A$2150,C$1,'United Data'!$C$3:$C$2150,$A20)&gt;0,1,0)</f>
        <v>0</v>
      </c>
      <c r="D20">
        <f>IF(COUNTIFS('United Data'!$A$3:$A$2150,D$1,'United Data'!$C$3:$C$2150,$A20)&gt;0,1,0)</f>
        <v>1</v>
      </c>
      <c r="E20">
        <f>IF(COUNTIFS('United Data'!$A$3:$A$2150,E$1,'United Data'!$C$3:$C$2150,$A20)&gt;0,1,0)</f>
        <v>1</v>
      </c>
      <c r="F20">
        <f>IF(COUNTIFS('United Data'!$A$3:$A$2150,F$1,'United Data'!$C$3:$C$2150,$A20)&gt;0,1,0)</f>
        <v>0</v>
      </c>
      <c r="G20">
        <f>IF(COUNTIFS('United Data'!$A$3:$A$2150,G$1,'United Data'!$C$3:$C$2150,$A20)&gt;0,1,0)</f>
        <v>1</v>
      </c>
      <c r="H20">
        <f>IF(COUNTIFS('United Data'!$A$3:$A$2150,H$1,'United Data'!$C$3:$C$2150,$A20)&gt;0,1,0)</f>
        <v>0</v>
      </c>
      <c r="I20">
        <f>IF(COUNTIFS('United Data'!$A$3:$A$2150,I$1,'United Data'!$C$3:$C$2150,$A20)&gt;0,1,0)</f>
        <v>0</v>
      </c>
      <c r="J20">
        <f>IF(COUNTIFS('United Data'!$A$3:$A$2150,J$1,'United Data'!$C$3:$C$2150,$A20)&gt;0,1,0)</f>
        <v>1</v>
      </c>
      <c r="K20">
        <f>IF(COUNTIFS('United Data'!$A$3:$A$2150,K$1,'United Data'!$C$3:$C$2150,$A20)&gt;0,1,0)</f>
        <v>1</v>
      </c>
      <c r="L20">
        <f>IF(COUNTIFS('United Data'!$A$3:$A$2150,L$1,'United Data'!$C$3:$C$2150,$A20)&gt;0,1,0)</f>
        <v>1</v>
      </c>
      <c r="M20">
        <f>IF(COUNTIFS('United Data'!$A$3:$A$2150,M$1,'United Data'!$C$3:$C$2150,$A20)&gt;0,1,0)</f>
        <v>0</v>
      </c>
      <c r="N20">
        <f>IF(COUNTIFS('United Data'!$A$3:$A$2150,N$1,'United Data'!$C$3:$C$2150,$A20)&gt;0,1,0)</f>
        <v>0</v>
      </c>
      <c r="O20">
        <f>IF(COUNTIFS('United Data'!$A$3:$A$2150,O$1,'United Data'!$C$3:$C$2150,$A20)&gt;0,1,0)</f>
        <v>0</v>
      </c>
      <c r="P20">
        <f>IF(COUNTIFS('United Data'!$A$3:$A$2150,P$1,'United Data'!$C$3:$C$2150,$A20)&gt;0,1,0)</f>
        <v>0</v>
      </c>
      <c r="Q20">
        <f>IF(COUNTIFS('United Data'!$A$3:$A$2150,Q$1,'United Data'!$C$3:$C$2150,$A20)&gt;0,1,0)</f>
        <v>0</v>
      </c>
      <c r="R20">
        <f>IF(COUNTIFS('United Data'!$A$3:$A$2150,R$1,'United Data'!$C$3:$C$2150,$A20)&gt;0,1,0)</f>
        <v>0</v>
      </c>
      <c r="S20">
        <f t="shared" si="0"/>
        <v>6</v>
      </c>
      <c r="T20">
        <f t="shared" si="1"/>
        <v>3</v>
      </c>
    </row>
    <row r="21" spans="1:20" x14ac:dyDescent="0.2">
      <c r="A21" t="s">
        <v>65</v>
      </c>
      <c r="B21">
        <f>IF(COUNTIFS('United Data'!$A$3:$A$2150,B$1,'United Data'!$C$3:$C$2150,$A21)&gt;0,1,0)</f>
        <v>0</v>
      </c>
      <c r="C21">
        <f>IF(COUNTIFS('United Data'!$A$3:$A$2150,C$1,'United Data'!$C$3:$C$2150,$A21)&gt;0,1,0)</f>
        <v>0</v>
      </c>
      <c r="D21">
        <f>IF(COUNTIFS('United Data'!$A$3:$A$2150,D$1,'United Data'!$C$3:$C$2150,$A21)&gt;0,1,0)</f>
        <v>1</v>
      </c>
      <c r="E21">
        <f>IF(COUNTIFS('United Data'!$A$3:$A$2150,E$1,'United Data'!$C$3:$C$2150,$A21)&gt;0,1,0)</f>
        <v>1</v>
      </c>
      <c r="F21">
        <f>IF(COUNTIFS('United Data'!$A$3:$A$2150,F$1,'United Data'!$C$3:$C$2150,$A21)&gt;0,1,0)</f>
        <v>0</v>
      </c>
      <c r="G21">
        <f>IF(COUNTIFS('United Data'!$A$3:$A$2150,G$1,'United Data'!$C$3:$C$2150,$A21)&gt;0,1,0)</f>
        <v>1</v>
      </c>
      <c r="H21">
        <f>IF(COUNTIFS('United Data'!$A$3:$A$2150,H$1,'United Data'!$C$3:$C$2150,$A21)&gt;0,1,0)</f>
        <v>1</v>
      </c>
      <c r="I21">
        <f>IF(COUNTIFS('United Data'!$A$3:$A$2150,I$1,'United Data'!$C$3:$C$2150,$A21)&gt;0,1,0)</f>
        <v>0</v>
      </c>
      <c r="J21">
        <f>IF(COUNTIFS('United Data'!$A$3:$A$2150,J$1,'United Data'!$C$3:$C$2150,$A21)&gt;0,1,0)</f>
        <v>1</v>
      </c>
      <c r="K21">
        <f>IF(COUNTIFS('United Data'!$A$3:$A$2150,K$1,'United Data'!$C$3:$C$2150,$A21)&gt;0,1,0)</f>
        <v>1</v>
      </c>
      <c r="L21">
        <f>IF(COUNTIFS('United Data'!$A$3:$A$2150,L$1,'United Data'!$C$3:$C$2150,$A21)&gt;0,1,0)</f>
        <v>1</v>
      </c>
      <c r="M21">
        <f>IF(COUNTIFS('United Data'!$A$3:$A$2150,M$1,'United Data'!$C$3:$C$2150,$A21)&gt;0,1,0)</f>
        <v>1</v>
      </c>
      <c r="N21">
        <f>IF(COUNTIFS('United Data'!$A$3:$A$2150,N$1,'United Data'!$C$3:$C$2150,$A21)&gt;0,1,0)</f>
        <v>0</v>
      </c>
      <c r="O21">
        <f>IF(COUNTIFS('United Data'!$A$3:$A$2150,O$1,'United Data'!$C$3:$C$2150,$A21)&gt;0,1,0)</f>
        <v>0</v>
      </c>
      <c r="P21">
        <f>IF(COUNTIFS('United Data'!$A$3:$A$2150,P$1,'United Data'!$C$3:$C$2150,$A21)&gt;0,1,0)</f>
        <v>0</v>
      </c>
      <c r="Q21">
        <f>IF(COUNTIFS('United Data'!$A$3:$A$2150,Q$1,'United Data'!$C$3:$C$2150,$A21)&gt;0,1,0)</f>
        <v>0</v>
      </c>
      <c r="R21">
        <f>IF(COUNTIFS('United Data'!$A$3:$A$2150,R$1,'United Data'!$C$3:$C$2150,$A21)&gt;0,1,0)</f>
        <v>0</v>
      </c>
      <c r="S21">
        <f t="shared" si="0"/>
        <v>8</v>
      </c>
      <c r="T21">
        <f t="shared" si="1"/>
        <v>3</v>
      </c>
    </row>
    <row r="22" spans="1:20" x14ac:dyDescent="0.2">
      <c r="A22" t="s">
        <v>66</v>
      </c>
      <c r="B22">
        <f>IF(COUNTIFS('United Data'!$A$3:$A$2150,B$1,'United Data'!$C$3:$C$2150,$A22)&gt;0,1,0)</f>
        <v>0</v>
      </c>
      <c r="C22">
        <f>IF(COUNTIFS('United Data'!$A$3:$A$2150,C$1,'United Data'!$C$3:$C$2150,$A22)&gt;0,1,0)</f>
        <v>0</v>
      </c>
      <c r="D22">
        <f>IF(COUNTIFS('United Data'!$A$3:$A$2150,D$1,'United Data'!$C$3:$C$2150,$A22)&gt;0,1,0)</f>
        <v>1</v>
      </c>
      <c r="E22">
        <f>IF(COUNTIFS('United Data'!$A$3:$A$2150,E$1,'United Data'!$C$3:$C$2150,$A22)&gt;0,1,0)</f>
        <v>0</v>
      </c>
      <c r="F22">
        <f>IF(COUNTIFS('United Data'!$A$3:$A$2150,F$1,'United Data'!$C$3:$C$2150,$A22)&gt;0,1,0)</f>
        <v>1</v>
      </c>
      <c r="G22">
        <f>IF(COUNTIFS('United Data'!$A$3:$A$2150,G$1,'United Data'!$C$3:$C$2150,$A22)&gt;0,1,0)</f>
        <v>1</v>
      </c>
      <c r="H22">
        <f>IF(COUNTIFS('United Data'!$A$3:$A$2150,H$1,'United Data'!$C$3:$C$2150,$A22)&gt;0,1,0)</f>
        <v>1</v>
      </c>
      <c r="I22">
        <f>IF(COUNTIFS('United Data'!$A$3:$A$2150,I$1,'United Data'!$C$3:$C$2150,$A22)&gt;0,1,0)</f>
        <v>1</v>
      </c>
      <c r="J22">
        <f>IF(COUNTIFS('United Data'!$A$3:$A$2150,J$1,'United Data'!$C$3:$C$2150,$A22)&gt;0,1,0)</f>
        <v>1</v>
      </c>
      <c r="K22">
        <f>IF(COUNTIFS('United Data'!$A$3:$A$2150,K$1,'United Data'!$C$3:$C$2150,$A22)&gt;0,1,0)</f>
        <v>1</v>
      </c>
      <c r="L22">
        <f>IF(COUNTIFS('United Data'!$A$3:$A$2150,L$1,'United Data'!$C$3:$C$2150,$A22)&gt;0,1,0)</f>
        <v>1</v>
      </c>
      <c r="M22">
        <f>IF(COUNTIFS('United Data'!$A$3:$A$2150,M$1,'United Data'!$C$3:$C$2150,$A22)&gt;0,1,0)</f>
        <v>0</v>
      </c>
      <c r="N22">
        <f>IF(COUNTIFS('United Data'!$A$3:$A$2150,N$1,'United Data'!$C$3:$C$2150,$A22)&gt;0,1,0)</f>
        <v>0</v>
      </c>
      <c r="O22">
        <f>IF(COUNTIFS('United Data'!$A$3:$A$2150,O$1,'United Data'!$C$3:$C$2150,$A22)&gt;0,1,0)</f>
        <v>0</v>
      </c>
      <c r="P22">
        <f>IF(COUNTIFS('United Data'!$A$3:$A$2150,P$1,'United Data'!$C$3:$C$2150,$A22)&gt;0,1,0)</f>
        <v>0</v>
      </c>
      <c r="Q22">
        <f>IF(COUNTIFS('United Data'!$A$3:$A$2150,Q$1,'United Data'!$C$3:$C$2150,$A22)&gt;0,1,0)</f>
        <v>0</v>
      </c>
      <c r="R22">
        <f>IF(COUNTIFS('United Data'!$A$3:$A$2150,R$1,'United Data'!$C$3:$C$2150,$A22)&gt;0,1,0)</f>
        <v>0</v>
      </c>
      <c r="S22">
        <f t="shared" si="0"/>
        <v>8</v>
      </c>
      <c r="T22">
        <f t="shared" si="1"/>
        <v>2</v>
      </c>
    </row>
    <row r="23" spans="1:20" x14ac:dyDescent="0.2">
      <c r="A23" t="s">
        <v>67</v>
      </c>
      <c r="B23">
        <f>IF(COUNTIFS('United Data'!$A$3:$A$2150,B$1,'United Data'!$C$3:$C$2150,$A23)&gt;0,1,0)</f>
        <v>0</v>
      </c>
      <c r="C23">
        <f>IF(COUNTIFS('United Data'!$A$3:$A$2150,C$1,'United Data'!$C$3:$C$2150,$A23)&gt;0,1,0)</f>
        <v>0</v>
      </c>
      <c r="D23">
        <f>IF(COUNTIFS('United Data'!$A$3:$A$2150,D$1,'United Data'!$C$3:$C$2150,$A23)&gt;0,1,0)</f>
        <v>1</v>
      </c>
      <c r="E23">
        <f>IF(COUNTIFS('United Data'!$A$3:$A$2150,E$1,'United Data'!$C$3:$C$2150,$A23)&gt;0,1,0)</f>
        <v>1</v>
      </c>
      <c r="F23">
        <f>IF(COUNTIFS('United Data'!$A$3:$A$2150,F$1,'United Data'!$C$3:$C$2150,$A23)&gt;0,1,0)</f>
        <v>1</v>
      </c>
      <c r="G23">
        <f>IF(COUNTIFS('United Data'!$A$3:$A$2150,G$1,'United Data'!$C$3:$C$2150,$A23)&gt;0,1,0)</f>
        <v>1</v>
      </c>
      <c r="H23">
        <f>IF(COUNTIFS('United Data'!$A$3:$A$2150,H$1,'United Data'!$C$3:$C$2150,$A23)&gt;0,1,0)</f>
        <v>1</v>
      </c>
      <c r="I23">
        <f>IF(COUNTIFS('United Data'!$A$3:$A$2150,I$1,'United Data'!$C$3:$C$2150,$A23)&gt;0,1,0)</f>
        <v>1</v>
      </c>
      <c r="J23">
        <f>IF(COUNTIFS('United Data'!$A$3:$A$2150,J$1,'United Data'!$C$3:$C$2150,$A23)&gt;0,1,0)</f>
        <v>1</v>
      </c>
      <c r="K23">
        <f>IF(COUNTIFS('United Data'!$A$3:$A$2150,K$1,'United Data'!$C$3:$C$2150,$A23)&gt;0,1,0)</f>
        <v>1</v>
      </c>
      <c r="L23">
        <f>IF(COUNTIFS('United Data'!$A$3:$A$2150,L$1,'United Data'!$C$3:$C$2150,$A23)&gt;0,1,0)</f>
        <v>1</v>
      </c>
      <c r="M23">
        <f>IF(COUNTIFS('United Data'!$A$3:$A$2150,M$1,'United Data'!$C$3:$C$2150,$A23)&gt;0,1,0)</f>
        <v>1</v>
      </c>
      <c r="N23">
        <f>IF(COUNTIFS('United Data'!$A$3:$A$2150,N$1,'United Data'!$C$3:$C$2150,$A23)&gt;0,1,0)</f>
        <v>0</v>
      </c>
      <c r="O23">
        <f>IF(COUNTIFS('United Data'!$A$3:$A$2150,O$1,'United Data'!$C$3:$C$2150,$A23)&gt;0,1,0)</f>
        <v>0</v>
      </c>
      <c r="P23">
        <f>IF(COUNTIFS('United Data'!$A$3:$A$2150,P$1,'United Data'!$C$3:$C$2150,$A23)&gt;0,1,0)</f>
        <v>0</v>
      </c>
      <c r="Q23">
        <f>IF(COUNTIFS('United Data'!$A$3:$A$2150,Q$1,'United Data'!$C$3:$C$2150,$A23)&gt;0,1,0)</f>
        <v>0</v>
      </c>
      <c r="R23">
        <f>IF(COUNTIFS('United Data'!$A$3:$A$2150,R$1,'United Data'!$C$3:$C$2150,$A23)&gt;0,1,0)</f>
        <v>0</v>
      </c>
      <c r="S23">
        <f t="shared" si="0"/>
        <v>10</v>
      </c>
      <c r="T23">
        <f t="shared" si="1"/>
        <v>1</v>
      </c>
    </row>
    <row r="24" spans="1:20" x14ac:dyDescent="0.2">
      <c r="A24" t="s">
        <v>68</v>
      </c>
      <c r="B24">
        <f>IF(COUNTIFS('United Data'!$A$3:$A$2150,B$1,'United Data'!$C$3:$C$2150,$A24)&gt;0,1,0)</f>
        <v>0</v>
      </c>
      <c r="C24">
        <f>IF(COUNTIFS('United Data'!$A$3:$A$2150,C$1,'United Data'!$C$3:$C$2150,$A24)&gt;0,1,0)</f>
        <v>0</v>
      </c>
      <c r="D24">
        <f>IF(COUNTIFS('United Data'!$A$3:$A$2150,D$1,'United Data'!$C$3:$C$2150,$A24)&gt;0,1,0)</f>
        <v>1</v>
      </c>
      <c r="E24">
        <f>IF(COUNTIFS('United Data'!$A$3:$A$2150,E$1,'United Data'!$C$3:$C$2150,$A24)&gt;0,1,0)</f>
        <v>0</v>
      </c>
      <c r="F24">
        <f>IF(COUNTIFS('United Data'!$A$3:$A$2150,F$1,'United Data'!$C$3:$C$2150,$A24)&gt;0,1,0)</f>
        <v>0</v>
      </c>
      <c r="G24">
        <f>IF(COUNTIFS('United Data'!$A$3:$A$2150,G$1,'United Data'!$C$3:$C$2150,$A24)&gt;0,1,0)</f>
        <v>0</v>
      </c>
      <c r="H24">
        <f>IF(COUNTIFS('United Data'!$A$3:$A$2150,H$1,'United Data'!$C$3:$C$2150,$A24)&gt;0,1,0)</f>
        <v>0</v>
      </c>
      <c r="I24">
        <f>IF(COUNTIFS('United Data'!$A$3:$A$2150,I$1,'United Data'!$C$3:$C$2150,$A24)&gt;0,1,0)</f>
        <v>0</v>
      </c>
      <c r="J24">
        <f>IF(COUNTIFS('United Data'!$A$3:$A$2150,J$1,'United Data'!$C$3:$C$2150,$A24)&gt;0,1,0)</f>
        <v>0</v>
      </c>
      <c r="K24">
        <f>IF(COUNTIFS('United Data'!$A$3:$A$2150,K$1,'United Data'!$C$3:$C$2150,$A24)&gt;0,1,0)</f>
        <v>0</v>
      </c>
      <c r="L24">
        <f>IF(COUNTIFS('United Data'!$A$3:$A$2150,L$1,'United Data'!$C$3:$C$2150,$A24)&gt;0,1,0)</f>
        <v>0</v>
      </c>
      <c r="M24">
        <f>IF(COUNTIFS('United Data'!$A$3:$A$2150,M$1,'United Data'!$C$3:$C$2150,$A24)&gt;0,1,0)</f>
        <v>0</v>
      </c>
      <c r="N24">
        <f>IF(COUNTIFS('United Data'!$A$3:$A$2150,N$1,'United Data'!$C$3:$C$2150,$A24)&gt;0,1,0)</f>
        <v>0</v>
      </c>
      <c r="O24">
        <f>IF(COUNTIFS('United Data'!$A$3:$A$2150,O$1,'United Data'!$C$3:$C$2150,$A24)&gt;0,1,0)</f>
        <v>0</v>
      </c>
      <c r="P24">
        <f>IF(COUNTIFS('United Data'!$A$3:$A$2150,P$1,'United Data'!$C$3:$C$2150,$A24)&gt;0,1,0)</f>
        <v>0</v>
      </c>
      <c r="Q24">
        <f>IF(COUNTIFS('United Data'!$A$3:$A$2150,Q$1,'United Data'!$C$3:$C$2150,$A24)&gt;0,1,0)</f>
        <v>0</v>
      </c>
      <c r="R24">
        <f>IF(COUNTIFS('United Data'!$A$3:$A$2150,R$1,'United Data'!$C$3:$C$2150,$A24)&gt;0,1,0)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69</v>
      </c>
      <c r="B25">
        <f>IF(COUNTIFS('United Data'!$A$3:$A$2150,B$1,'United Data'!$C$3:$C$2150,$A25)&gt;0,1,0)</f>
        <v>0</v>
      </c>
      <c r="C25">
        <f>IF(COUNTIFS('United Data'!$A$3:$A$2150,C$1,'United Data'!$C$3:$C$2150,$A25)&gt;0,1,0)</f>
        <v>0</v>
      </c>
      <c r="D25">
        <f>IF(COUNTIFS('United Data'!$A$3:$A$2150,D$1,'United Data'!$C$3:$C$2150,$A25)&gt;0,1,0)</f>
        <v>1</v>
      </c>
      <c r="E25">
        <f>IF(COUNTIFS('United Data'!$A$3:$A$2150,E$1,'United Data'!$C$3:$C$2150,$A25)&gt;0,1,0)</f>
        <v>0</v>
      </c>
      <c r="F25">
        <f>IF(COUNTIFS('United Data'!$A$3:$A$2150,F$1,'United Data'!$C$3:$C$2150,$A25)&gt;0,1,0)</f>
        <v>0</v>
      </c>
      <c r="G25">
        <f>IF(COUNTIFS('United Data'!$A$3:$A$2150,G$1,'United Data'!$C$3:$C$2150,$A25)&gt;0,1,0)</f>
        <v>0</v>
      </c>
      <c r="H25">
        <f>IF(COUNTIFS('United Data'!$A$3:$A$2150,H$1,'United Data'!$C$3:$C$2150,$A25)&gt;0,1,0)</f>
        <v>0</v>
      </c>
      <c r="I25">
        <f>IF(COUNTIFS('United Data'!$A$3:$A$2150,I$1,'United Data'!$C$3:$C$2150,$A25)&gt;0,1,0)</f>
        <v>0</v>
      </c>
      <c r="J25">
        <f>IF(COUNTIFS('United Data'!$A$3:$A$2150,J$1,'United Data'!$C$3:$C$2150,$A25)&gt;0,1,0)</f>
        <v>0</v>
      </c>
      <c r="K25">
        <f>IF(COUNTIFS('United Data'!$A$3:$A$2150,K$1,'United Data'!$C$3:$C$2150,$A25)&gt;0,1,0)</f>
        <v>0</v>
      </c>
      <c r="L25">
        <f>IF(COUNTIFS('United Data'!$A$3:$A$2150,L$1,'United Data'!$C$3:$C$2150,$A25)&gt;0,1,0)</f>
        <v>0</v>
      </c>
      <c r="M25">
        <f>IF(COUNTIFS('United Data'!$A$3:$A$2150,M$1,'United Data'!$C$3:$C$2150,$A25)&gt;0,1,0)</f>
        <v>0</v>
      </c>
      <c r="N25">
        <f>IF(COUNTIFS('United Data'!$A$3:$A$2150,N$1,'United Data'!$C$3:$C$2150,$A25)&gt;0,1,0)</f>
        <v>0</v>
      </c>
      <c r="O25">
        <f>IF(COUNTIFS('United Data'!$A$3:$A$2150,O$1,'United Data'!$C$3:$C$2150,$A25)&gt;0,1,0)</f>
        <v>0</v>
      </c>
      <c r="P25">
        <f>IF(COUNTIFS('United Data'!$A$3:$A$2150,P$1,'United Data'!$C$3:$C$2150,$A25)&gt;0,1,0)</f>
        <v>0</v>
      </c>
      <c r="Q25">
        <f>IF(COUNTIFS('United Data'!$A$3:$A$2150,Q$1,'United Data'!$C$3:$C$2150,$A25)&gt;0,1,0)</f>
        <v>0</v>
      </c>
      <c r="R25">
        <f>IF(COUNTIFS('United Data'!$A$3:$A$2150,R$1,'United Data'!$C$3:$C$2150,$A25)&gt;0,1,0)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70</v>
      </c>
      <c r="B26">
        <f>IF(COUNTIFS('United Data'!$A$3:$A$2150,B$1,'United Data'!$C$3:$C$2150,$A26)&gt;0,1,0)</f>
        <v>0</v>
      </c>
      <c r="C26">
        <f>IF(COUNTIFS('United Data'!$A$3:$A$2150,C$1,'United Data'!$C$3:$C$2150,$A26)&gt;0,1,0)</f>
        <v>0</v>
      </c>
      <c r="D26">
        <f>IF(COUNTIFS('United Data'!$A$3:$A$2150,D$1,'United Data'!$C$3:$C$2150,$A26)&gt;0,1,0)</f>
        <v>1</v>
      </c>
      <c r="E26">
        <f>IF(COUNTIFS('United Data'!$A$3:$A$2150,E$1,'United Data'!$C$3:$C$2150,$A26)&gt;0,1,0)</f>
        <v>1</v>
      </c>
      <c r="F26">
        <f>IF(COUNTIFS('United Data'!$A$3:$A$2150,F$1,'United Data'!$C$3:$C$2150,$A26)&gt;0,1,0)</f>
        <v>0</v>
      </c>
      <c r="G26">
        <f>IF(COUNTIFS('United Data'!$A$3:$A$2150,G$1,'United Data'!$C$3:$C$2150,$A26)&gt;0,1,0)</f>
        <v>1</v>
      </c>
      <c r="H26">
        <f>IF(COUNTIFS('United Data'!$A$3:$A$2150,H$1,'United Data'!$C$3:$C$2150,$A26)&gt;0,1,0)</f>
        <v>1</v>
      </c>
      <c r="I26">
        <f>IF(COUNTIFS('United Data'!$A$3:$A$2150,I$1,'United Data'!$C$3:$C$2150,$A26)&gt;0,1,0)</f>
        <v>1</v>
      </c>
      <c r="J26">
        <f>IF(COUNTIFS('United Data'!$A$3:$A$2150,J$1,'United Data'!$C$3:$C$2150,$A26)&gt;0,1,0)</f>
        <v>1</v>
      </c>
      <c r="K26">
        <f>IF(COUNTIFS('United Data'!$A$3:$A$2150,K$1,'United Data'!$C$3:$C$2150,$A26)&gt;0,1,0)</f>
        <v>1</v>
      </c>
      <c r="L26">
        <f>IF(COUNTIFS('United Data'!$A$3:$A$2150,L$1,'United Data'!$C$3:$C$2150,$A26)&gt;0,1,0)</f>
        <v>0</v>
      </c>
      <c r="M26">
        <f>IF(COUNTIFS('United Data'!$A$3:$A$2150,M$1,'United Data'!$C$3:$C$2150,$A26)&gt;0,1,0)</f>
        <v>0</v>
      </c>
      <c r="N26">
        <f>IF(COUNTIFS('United Data'!$A$3:$A$2150,N$1,'United Data'!$C$3:$C$2150,$A26)&gt;0,1,0)</f>
        <v>0</v>
      </c>
      <c r="O26">
        <f>IF(COUNTIFS('United Data'!$A$3:$A$2150,O$1,'United Data'!$C$3:$C$2150,$A26)&gt;0,1,0)</f>
        <v>0</v>
      </c>
      <c r="P26">
        <f>IF(COUNTIFS('United Data'!$A$3:$A$2150,P$1,'United Data'!$C$3:$C$2150,$A26)&gt;0,1,0)</f>
        <v>0</v>
      </c>
      <c r="Q26">
        <f>IF(COUNTIFS('United Data'!$A$3:$A$2150,Q$1,'United Data'!$C$3:$C$2150,$A26)&gt;0,1,0)</f>
        <v>0</v>
      </c>
      <c r="R26">
        <f>IF(COUNTIFS('United Data'!$A$3:$A$2150,R$1,'United Data'!$C$3:$C$2150,$A26)&gt;0,1,0)</f>
        <v>0</v>
      </c>
      <c r="S26">
        <f t="shared" si="0"/>
        <v>7</v>
      </c>
      <c r="T26">
        <f t="shared" si="1"/>
        <v>2</v>
      </c>
    </row>
    <row r="27" spans="1:20" x14ac:dyDescent="0.2">
      <c r="A27" t="s">
        <v>71</v>
      </c>
      <c r="B27">
        <f>IF(COUNTIFS('United Data'!$A$3:$A$2150,B$1,'United Data'!$C$3:$C$2150,$A27)&gt;0,1,0)</f>
        <v>0</v>
      </c>
      <c r="C27">
        <f>IF(COUNTIFS('United Data'!$A$3:$A$2150,C$1,'United Data'!$C$3:$C$2150,$A27)&gt;0,1,0)</f>
        <v>0</v>
      </c>
      <c r="D27">
        <f>IF(COUNTIFS('United Data'!$A$3:$A$2150,D$1,'United Data'!$C$3:$C$2150,$A27)&gt;0,1,0)</f>
        <v>0</v>
      </c>
      <c r="E27">
        <f>IF(COUNTIFS('United Data'!$A$3:$A$2150,E$1,'United Data'!$C$3:$C$2150,$A27)&gt;0,1,0)</f>
        <v>1</v>
      </c>
      <c r="F27">
        <f>IF(COUNTIFS('United Data'!$A$3:$A$2150,F$1,'United Data'!$C$3:$C$2150,$A27)&gt;0,1,0)</f>
        <v>0</v>
      </c>
      <c r="G27">
        <f>IF(COUNTIFS('United Data'!$A$3:$A$2150,G$1,'United Data'!$C$3:$C$2150,$A27)&gt;0,1,0)</f>
        <v>0</v>
      </c>
      <c r="H27">
        <f>IF(COUNTIFS('United Data'!$A$3:$A$2150,H$1,'United Data'!$C$3:$C$2150,$A27)&gt;0,1,0)</f>
        <v>0</v>
      </c>
      <c r="I27">
        <f>IF(COUNTIFS('United Data'!$A$3:$A$2150,I$1,'United Data'!$C$3:$C$2150,$A27)&gt;0,1,0)</f>
        <v>0</v>
      </c>
      <c r="J27">
        <f>IF(COUNTIFS('United Data'!$A$3:$A$2150,J$1,'United Data'!$C$3:$C$2150,$A27)&gt;0,1,0)</f>
        <v>0</v>
      </c>
      <c r="K27">
        <f>IF(COUNTIFS('United Data'!$A$3:$A$2150,K$1,'United Data'!$C$3:$C$2150,$A27)&gt;0,1,0)</f>
        <v>0</v>
      </c>
      <c r="L27">
        <f>IF(COUNTIFS('United Data'!$A$3:$A$2150,L$1,'United Data'!$C$3:$C$2150,$A27)&gt;0,1,0)</f>
        <v>0</v>
      </c>
      <c r="M27">
        <f>IF(COUNTIFS('United Data'!$A$3:$A$2150,M$1,'United Data'!$C$3:$C$2150,$A27)&gt;0,1,0)</f>
        <v>0</v>
      </c>
      <c r="N27">
        <f>IF(COUNTIFS('United Data'!$A$3:$A$2150,N$1,'United Data'!$C$3:$C$2150,$A27)&gt;0,1,0)</f>
        <v>0</v>
      </c>
      <c r="O27">
        <f>IF(COUNTIFS('United Data'!$A$3:$A$2150,O$1,'United Data'!$C$3:$C$2150,$A27)&gt;0,1,0)</f>
        <v>0</v>
      </c>
      <c r="P27">
        <f>IF(COUNTIFS('United Data'!$A$3:$A$2150,P$1,'United Data'!$C$3:$C$2150,$A27)&gt;0,1,0)</f>
        <v>0</v>
      </c>
      <c r="Q27">
        <f>IF(COUNTIFS('United Data'!$A$3:$A$2150,Q$1,'United Data'!$C$3:$C$2150,$A27)&gt;0,1,0)</f>
        <v>0</v>
      </c>
      <c r="R27">
        <f>IF(COUNTIFS('United Data'!$A$3:$A$2150,R$1,'United Data'!$C$3:$C$2150,$A27)&gt;0,1,0)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72</v>
      </c>
      <c r="B28">
        <f>IF(COUNTIFS('United Data'!$A$3:$A$2150,B$1,'United Data'!$C$3:$C$2150,$A28)&gt;0,1,0)</f>
        <v>0</v>
      </c>
      <c r="C28">
        <f>IF(COUNTIFS('United Data'!$A$3:$A$2150,C$1,'United Data'!$C$3:$C$2150,$A28)&gt;0,1,0)</f>
        <v>0</v>
      </c>
      <c r="D28">
        <f>IF(COUNTIFS('United Data'!$A$3:$A$2150,D$1,'United Data'!$C$3:$C$2150,$A28)&gt;0,1,0)</f>
        <v>0</v>
      </c>
      <c r="E28">
        <f>IF(COUNTIFS('United Data'!$A$3:$A$2150,E$1,'United Data'!$C$3:$C$2150,$A28)&gt;0,1,0)</f>
        <v>1</v>
      </c>
      <c r="F28">
        <f>IF(COUNTIFS('United Data'!$A$3:$A$2150,F$1,'United Data'!$C$3:$C$2150,$A28)&gt;0,1,0)</f>
        <v>0</v>
      </c>
      <c r="G28">
        <f>IF(COUNTIFS('United Data'!$A$3:$A$2150,G$1,'United Data'!$C$3:$C$2150,$A28)&gt;0,1,0)</f>
        <v>0</v>
      </c>
      <c r="H28">
        <f>IF(COUNTIFS('United Data'!$A$3:$A$2150,H$1,'United Data'!$C$3:$C$2150,$A28)&gt;0,1,0)</f>
        <v>0</v>
      </c>
      <c r="I28">
        <f>IF(COUNTIFS('United Data'!$A$3:$A$2150,I$1,'United Data'!$C$3:$C$2150,$A28)&gt;0,1,0)</f>
        <v>0</v>
      </c>
      <c r="J28">
        <f>IF(COUNTIFS('United Data'!$A$3:$A$2150,J$1,'United Data'!$C$3:$C$2150,$A28)&gt;0,1,0)</f>
        <v>0</v>
      </c>
      <c r="K28">
        <f>IF(COUNTIFS('United Data'!$A$3:$A$2150,K$1,'United Data'!$C$3:$C$2150,$A28)&gt;0,1,0)</f>
        <v>0</v>
      </c>
      <c r="L28">
        <f>IF(COUNTIFS('United Data'!$A$3:$A$2150,L$1,'United Data'!$C$3:$C$2150,$A28)&gt;0,1,0)</f>
        <v>0</v>
      </c>
      <c r="M28">
        <f>IF(COUNTIFS('United Data'!$A$3:$A$2150,M$1,'United Data'!$C$3:$C$2150,$A28)&gt;0,1,0)</f>
        <v>0</v>
      </c>
      <c r="N28">
        <f>IF(COUNTIFS('United Data'!$A$3:$A$2150,N$1,'United Data'!$C$3:$C$2150,$A28)&gt;0,1,0)</f>
        <v>0</v>
      </c>
      <c r="O28">
        <f>IF(COUNTIFS('United Data'!$A$3:$A$2150,O$1,'United Data'!$C$3:$C$2150,$A28)&gt;0,1,0)</f>
        <v>0</v>
      </c>
      <c r="P28">
        <f>IF(COUNTIFS('United Data'!$A$3:$A$2150,P$1,'United Data'!$C$3:$C$2150,$A28)&gt;0,1,0)</f>
        <v>0</v>
      </c>
      <c r="Q28">
        <f>IF(COUNTIFS('United Data'!$A$3:$A$2150,Q$1,'United Data'!$C$3:$C$2150,$A28)&gt;0,1,0)</f>
        <v>0</v>
      </c>
      <c r="R28">
        <f>IF(COUNTIFS('United Data'!$A$3:$A$2150,R$1,'United Data'!$C$3:$C$2150,$A28)&gt;0,1,0)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73</v>
      </c>
      <c r="B29">
        <f>IF(COUNTIFS('United Data'!$A$3:$A$2150,B$1,'United Data'!$C$3:$C$2150,$A29)&gt;0,1,0)</f>
        <v>0</v>
      </c>
      <c r="C29">
        <f>IF(COUNTIFS('United Data'!$A$3:$A$2150,C$1,'United Data'!$C$3:$C$2150,$A29)&gt;0,1,0)</f>
        <v>0</v>
      </c>
      <c r="D29">
        <f>IF(COUNTIFS('United Data'!$A$3:$A$2150,D$1,'United Data'!$C$3:$C$2150,$A29)&gt;0,1,0)</f>
        <v>0</v>
      </c>
      <c r="E29">
        <f>IF(COUNTIFS('United Data'!$A$3:$A$2150,E$1,'United Data'!$C$3:$C$2150,$A29)&gt;0,1,0)</f>
        <v>1</v>
      </c>
      <c r="F29">
        <f>IF(COUNTIFS('United Data'!$A$3:$A$2150,F$1,'United Data'!$C$3:$C$2150,$A29)&gt;0,1,0)</f>
        <v>0</v>
      </c>
      <c r="G29">
        <f>IF(COUNTIFS('United Data'!$A$3:$A$2150,G$1,'United Data'!$C$3:$C$2150,$A29)&gt;0,1,0)</f>
        <v>1</v>
      </c>
      <c r="H29">
        <f>IF(COUNTIFS('United Data'!$A$3:$A$2150,H$1,'United Data'!$C$3:$C$2150,$A29)&gt;0,1,0)</f>
        <v>1</v>
      </c>
      <c r="I29">
        <f>IF(COUNTIFS('United Data'!$A$3:$A$2150,I$1,'United Data'!$C$3:$C$2150,$A29)&gt;0,1,0)</f>
        <v>1</v>
      </c>
      <c r="J29">
        <f>IF(COUNTIFS('United Data'!$A$3:$A$2150,J$1,'United Data'!$C$3:$C$2150,$A29)&gt;0,1,0)</f>
        <v>1</v>
      </c>
      <c r="K29">
        <f>IF(COUNTIFS('United Data'!$A$3:$A$2150,K$1,'United Data'!$C$3:$C$2150,$A29)&gt;0,1,0)</f>
        <v>1</v>
      </c>
      <c r="L29">
        <f>IF(COUNTIFS('United Data'!$A$3:$A$2150,L$1,'United Data'!$C$3:$C$2150,$A29)&gt;0,1,0)</f>
        <v>1</v>
      </c>
      <c r="M29">
        <f>IF(COUNTIFS('United Data'!$A$3:$A$2150,M$1,'United Data'!$C$3:$C$2150,$A29)&gt;0,1,0)</f>
        <v>1</v>
      </c>
      <c r="N29">
        <f>IF(COUNTIFS('United Data'!$A$3:$A$2150,N$1,'United Data'!$C$3:$C$2150,$A29)&gt;0,1,0)</f>
        <v>1</v>
      </c>
      <c r="O29">
        <f>IF(COUNTIFS('United Data'!$A$3:$A$2150,O$1,'United Data'!$C$3:$C$2150,$A29)&gt;0,1,0)</f>
        <v>1</v>
      </c>
      <c r="P29">
        <f>IF(COUNTIFS('United Data'!$A$3:$A$2150,P$1,'United Data'!$C$3:$C$2150,$A29)&gt;0,1,0)</f>
        <v>1</v>
      </c>
      <c r="Q29">
        <f>IF(COUNTIFS('United Data'!$A$3:$A$2150,Q$1,'United Data'!$C$3:$C$2150,$A29)&gt;0,1,0)</f>
        <v>1</v>
      </c>
      <c r="R29">
        <f>IF(COUNTIFS('United Data'!$A$3:$A$2150,R$1,'United Data'!$C$3:$C$2150,$A29)&gt;0,1,0)</f>
        <v>0</v>
      </c>
      <c r="S29">
        <f t="shared" si="0"/>
        <v>12</v>
      </c>
      <c r="T29">
        <f t="shared" si="1"/>
        <v>2</v>
      </c>
    </row>
    <row r="30" spans="1:20" x14ac:dyDescent="0.2">
      <c r="A30" t="s">
        <v>74</v>
      </c>
      <c r="B30">
        <f>IF(COUNTIFS('United Data'!$A$3:$A$2150,B$1,'United Data'!$C$3:$C$2150,$A30)&gt;0,1,0)</f>
        <v>0</v>
      </c>
      <c r="C30">
        <f>IF(COUNTIFS('United Data'!$A$3:$A$2150,C$1,'United Data'!$C$3:$C$2150,$A30)&gt;0,1,0)</f>
        <v>0</v>
      </c>
      <c r="D30">
        <f>IF(COUNTIFS('United Data'!$A$3:$A$2150,D$1,'United Data'!$C$3:$C$2150,$A30)&gt;0,1,0)</f>
        <v>0</v>
      </c>
      <c r="E30">
        <f>IF(COUNTIFS('United Data'!$A$3:$A$2150,E$1,'United Data'!$C$3:$C$2150,$A30)&gt;0,1,0)</f>
        <v>1</v>
      </c>
      <c r="F30">
        <f>IF(COUNTIFS('United Data'!$A$3:$A$2150,F$1,'United Data'!$C$3:$C$2150,$A30)&gt;0,1,0)</f>
        <v>0</v>
      </c>
      <c r="G30">
        <f>IF(COUNTIFS('United Data'!$A$3:$A$2150,G$1,'United Data'!$C$3:$C$2150,$A30)&gt;0,1,0)</f>
        <v>1</v>
      </c>
      <c r="H30">
        <f>IF(COUNTIFS('United Data'!$A$3:$A$2150,H$1,'United Data'!$C$3:$C$2150,$A30)&gt;0,1,0)</f>
        <v>0</v>
      </c>
      <c r="I30">
        <f>IF(COUNTIFS('United Data'!$A$3:$A$2150,I$1,'United Data'!$C$3:$C$2150,$A30)&gt;0,1,0)</f>
        <v>0</v>
      </c>
      <c r="J30">
        <f>IF(COUNTIFS('United Data'!$A$3:$A$2150,J$1,'United Data'!$C$3:$C$2150,$A30)&gt;0,1,0)</f>
        <v>0</v>
      </c>
      <c r="K30">
        <f>IF(COUNTIFS('United Data'!$A$3:$A$2150,K$1,'United Data'!$C$3:$C$2150,$A30)&gt;0,1,0)</f>
        <v>0</v>
      </c>
      <c r="L30">
        <f>IF(COUNTIFS('United Data'!$A$3:$A$2150,L$1,'United Data'!$C$3:$C$2150,$A30)&gt;0,1,0)</f>
        <v>0</v>
      </c>
      <c r="M30">
        <f>IF(COUNTIFS('United Data'!$A$3:$A$2150,M$1,'United Data'!$C$3:$C$2150,$A30)&gt;0,1,0)</f>
        <v>0</v>
      </c>
      <c r="N30">
        <f>IF(COUNTIFS('United Data'!$A$3:$A$2150,N$1,'United Data'!$C$3:$C$2150,$A30)&gt;0,1,0)</f>
        <v>0</v>
      </c>
      <c r="O30">
        <f>IF(COUNTIFS('United Data'!$A$3:$A$2150,O$1,'United Data'!$C$3:$C$2150,$A30)&gt;0,1,0)</f>
        <v>0</v>
      </c>
      <c r="P30">
        <f>IF(COUNTIFS('United Data'!$A$3:$A$2150,P$1,'United Data'!$C$3:$C$2150,$A30)&gt;0,1,0)</f>
        <v>0</v>
      </c>
      <c r="Q30">
        <f>IF(COUNTIFS('United Data'!$A$3:$A$2150,Q$1,'United Data'!$C$3:$C$2150,$A30)&gt;0,1,0)</f>
        <v>0</v>
      </c>
      <c r="R30">
        <f>IF(COUNTIFS('United Data'!$A$3:$A$2150,R$1,'United Data'!$C$3:$C$2150,$A30)&gt;0,1,0)</f>
        <v>0</v>
      </c>
      <c r="S30">
        <f t="shared" si="0"/>
        <v>2</v>
      </c>
      <c r="T30">
        <f t="shared" si="1"/>
        <v>2</v>
      </c>
    </row>
    <row r="31" spans="1:20" x14ac:dyDescent="0.2">
      <c r="A31" t="s">
        <v>75</v>
      </c>
      <c r="B31">
        <f>IF(COUNTIFS('United Data'!$A$3:$A$2150,B$1,'United Data'!$C$3:$C$2150,$A31)&gt;0,1,0)</f>
        <v>0</v>
      </c>
      <c r="C31">
        <f>IF(COUNTIFS('United Data'!$A$3:$A$2150,C$1,'United Data'!$C$3:$C$2150,$A31)&gt;0,1,0)</f>
        <v>0</v>
      </c>
      <c r="D31">
        <f>IF(COUNTIFS('United Data'!$A$3:$A$2150,D$1,'United Data'!$C$3:$C$2150,$A31)&gt;0,1,0)</f>
        <v>0</v>
      </c>
      <c r="E31">
        <f>IF(COUNTIFS('United Data'!$A$3:$A$2150,E$1,'United Data'!$C$3:$C$2150,$A31)&gt;0,1,0)</f>
        <v>1</v>
      </c>
      <c r="F31">
        <f>IF(COUNTIFS('United Data'!$A$3:$A$2150,F$1,'United Data'!$C$3:$C$2150,$A31)&gt;0,1,0)</f>
        <v>1</v>
      </c>
      <c r="G31">
        <f>IF(COUNTIFS('United Data'!$A$3:$A$2150,G$1,'United Data'!$C$3:$C$2150,$A31)&gt;0,1,0)</f>
        <v>1</v>
      </c>
      <c r="H31">
        <f>IF(COUNTIFS('United Data'!$A$3:$A$2150,H$1,'United Data'!$C$3:$C$2150,$A31)&gt;0,1,0)</f>
        <v>1</v>
      </c>
      <c r="I31">
        <f>IF(COUNTIFS('United Data'!$A$3:$A$2150,I$1,'United Data'!$C$3:$C$2150,$A31)&gt;0,1,0)</f>
        <v>0</v>
      </c>
      <c r="J31">
        <f>IF(COUNTIFS('United Data'!$A$3:$A$2150,J$1,'United Data'!$C$3:$C$2150,$A31)&gt;0,1,0)</f>
        <v>0</v>
      </c>
      <c r="K31">
        <f>IF(COUNTIFS('United Data'!$A$3:$A$2150,K$1,'United Data'!$C$3:$C$2150,$A31)&gt;0,1,0)</f>
        <v>0</v>
      </c>
      <c r="L31">
        <f>IF(COUNTIFS('United Data'!$A$3:$A$2150,L$1,'United Data'!$C$3:$C$2150,$A31)&gt;0,1,0)</f>
        <v>0</v>
      </c>
      <c r="M31">
        <f>IF(COUNTIFS('United Data'!$A$3:$A$2150,M$1,'United Data'!$C$3:$C$2150,$A31)&gt;0,1,0)</f>
        <v>0</v>
      </c>
      <c r="N31">
        <f>IF(COUNTIFS('United Data'!$A$3:$A$2150,N$1,'United Data'!$C$3:$C$2150,$A31)&gt;0,1,0)</f>
        <v>0</v>
      </c>
      <c r="O31">
        <f>IF(COUNTIFS('United Data'!$A$3:$A$2150,O$1,'United Data'!$C$3:$C$2150,$A31)&gt;0,1,0)</f>
        <v>0</v>
      </c>
      <c r="P31">
        <f>IF(COUNTIFS('United Data'!$A$3:$A$2150,P$1,'United Data'!$C$3:$C$2150,$A31)&gt;0,1,0)</f>
        <v>0</v>
      </c>
      <c r="Q31">
        <f>IF(COUNTIFS('United Data'!$A$3:$A$2150,Q$1,'United Data'!$C$3:$C$2150,$A31)&gt;0,1,0)</f>
        <v>0</v>
      </c>
      <c r="R31">
        <f>IF(COUNTIFS('United Data'!$A$3:$A$2150,R$1,'United Data'!$C$3:$C$2150,$A31)&gt;0,1,0)</f>
        <v>0</v>
      </c>
      <c r="S31">
        <f t="shared" si="0"/>
        <v>4</v>
      </c>
      <c r="T31">
        <f t="shared" si="1"/>
        <v>1</v>
      </c>
    </row>
    <row r="32" spans="1:20" x14ac:dyDescent="0.2">
      <c r="A32" t="s">
        <v>76</v>
      </c>
      <c r="B32">
        <f>IF(COUNTIFS('United Data'!$A$3:$A$2150,B$1,'United Data'!$C$3:$C$2150,$A32)&gt;0,1,0)</f>
        <v>0</v>
      </c>
      <c r="C32">
        <f>IF(COUNTIFS('United Data'!$A$3:$A$2150,C$1,'United Data'!$C$3:$C$2150,$A32)&gt;0,1,0)</f>
        <v>0</v>
      </c>
      <c r="D32">
        <f>IF(COUNTIFS('United Data'!$A$3:$A$2150,D$1,'United Data'!$C$3:$C$2150,$A32)&gt;0,1,0)</f>
        <v>0</v>
      </c>
      <c r="E32">
        <f>IF(COUNTIFS('United Data'!$A$3:$A$2150,E$1,'United Data'!$C$3:$C$2150,$A32)&gt;0,1,0)</f>
        <v>1</v>
      </c>
      <c r="F32">
        <f>IF(COUNTIFS('United Data'!$A$3:$A$2150,F$1,'United Data'!$C$3:$C$2150,$A32)&gt;0,1,0)</f>
        <v>0</v>
      </c>
      <c r="G32">
        <f>IF(COUNTIFS('United Data'!$A$3:$A$2150,G$1,'United Data'!$C$3:$C$2150,$A32)&gt;0,1,0)</f>
        <v>0</v>
      </c>
      <c r="H32">
        <f>IF(COUNTIFS('United Data'!$A$3:$A$2150,H$1,'United Data'!$C$3:$C$2150,$A32)&gt;0,1,0)</f>
        <v>0</v>
      </c>
      <c r="I32">
        <f>IF(COUNTIFS('United Data'!$A$3:$A$2150,I$1,'United Data'!$C$3:$C$2150,$A32)&gt;0,1,0)</f>
        <v>0</v>
      </c>
      <c r="J32">
        <f>IF(COUNTIFS('United Data'!$A$3:$A$2150,J$1,'United Data'!$C$3:$C$2150,$A32)&gt;0,1,0)</f>
        <v>0</v>
      </c>
      <c r="K32">
        <f>IF(COUNTIFS('United Data'!$A$3:$A$2150,K$1,'United Data'!$C$3:$C$2150,$A32)&gt;0,1,0)</f>
        <v>0</v>
      </c>
      <c r="L32">
        <f>IF(COUNTIFS('United Data'!$A$3:$A$2150,L$1,'United Data'!$C$3:$C$2150,$A32)&gt;0,1,0)</f>
        <v>0</v>
      </c>
      <c r="M32">
        <f>IF(COUNTIFS('United Data'!$A$3:$A$2150,M$1,'United Data'!$C$3:$C$2150,$A32)&gt;0,1,0)</f>
        <v>0</v>
      </c>
      <c r="N32">
        <f>IF(COUNTIFS('United Data'!$A$3:$A$2150,N$1,'United Data'!$C$3:$C$2150,$A32)&gt;0,1,0)</f>
        <v>0</v>
      </c>
      <c r="O32">
        <f>IF(COUNTIFS('United Data'!$A$3:$A$2150,O$1,'United Data'!$C$3:$C$2150,$A32)&gt;0,1,0)</f>
        <v>0</v>
      </c>
      <c r="P32">
        <f>IF(COUNTIFS('United Data'!$A$3:$A$2150,P$1,'United Data'!$C$3:$C$2150,$A32)&gt;0,1,0)</f>
        <v>0</v>
      </c>
      <c r="Q32">
        <f>IF(COUNTIFS('United Data'!$A$3:$A$2150,Q$1,'United Data'!$C$3:$C$2150,$A32)&gt;0,1,0)</f>
        <v>0</v>
      </c>
      <c r="R32">
        <f>IF(COUNTIFS('United Data'!$A$3:$A$2150,R$1,'United Data'!$C$3:$C$2150,$A32)&gt;0,1,0)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77</v>
      </c>
      <c r="B33">
        <f>IF(COUNTIFS('United Data'!$A$3:$A$2150,B$1,'United Data'!$C$3:$C$2150,$A33)&gt;0,1,0)</f>
        <v>0</v>
      </c>
      <c r="C33">
        <f>IF(COUNTIFS('United Data'!$A$3:$A$2150,C$1,'United Data'!$C$3:$C$2150,$A33)&gt;0,1,0)</f>
        <v>0</v>
      </c>
      <c r="D33">
        <f>IF(COUNTIFS('United Data'!$A$3:$A$2150,D$1,'United Data'!$C$3:$C$2150,$A33)&gt;0,1,0)</f>
        <v>0</v>
      </c>
      <c r="E33">
        <f>IF(COUNTIFS('United Data'!$A$3:$A$2150,E$1,'United Data'!$C$3:$C$2150,$A33)&gt;0,1,0)</f>
        <v>1</v>
      </c>
      <c r="F33">
        <f>IF(COUNTIFS('United Data'!$A$3:$A$2150,F$1,'United Data'!$C$3:$C$2150,$A33)&gt;0,1,0)</f>
        <v>0</v>
      </c>
      <c r="G33">
        <f>IF(COUNTIFS('United Data'!$A$3:$A$2150,G$1,'United Data'!$C$3:$C$2150,$A33)&gt;0,1,0)</f>
        <v>0</v>
      </c>
      <c r="H33">
        <f>IF(COUNTIFS('United Data'!$A$3:$A$2150,H$1,'United Data'!$C$3:$C$2150,$A33)&gt;0,1,0)</f>
        <v>0</v>
      </c>
      <c r="I33">
        <f>IF(COUNTIFS('United Data'!$A$3:$A$2150,I$1,'United Data'!$C$3:$C$2150,$A33)&gt;0,1,0)</f>
        <v>0</v>
      </c>
      <c r="J33">
        <f>IF(COUNTIFS('United Data'!$A$3:$A$2150,J$1,'United Data'!$C$3:$C$2150,$A33)&gt;0,1,0)</f>
        <v>0</v>
      </c>
      <c r="K33">
        <f>IF(COUNTIFS('United Data'!$A$3:$A$2150,K$1,'United Data'!$C$3:$C$2150,$A33)&gt;0,1,0)</f>
        <v>0</v>
      </c>
      <c r="L33">
        <f>IF(COUNTIFS('United Data'!$A$3:$A$2150,L$1,'United Data'!$C$3:$C$2150,$A33)&gt;0,1,0)</f>
        <v>0</v>
      </c>
      <c r="M33">
        <f>IF(COUNTIFS('United Data'!$A$3:$A$2150,M$1,'United Data'!$C$3:$C$2150,$A33)&gt;0,1,0)</f>
        <v>0</v>
      </c>
      <c r="N33">
        <f>IF(COUNTIFS('United Data'!$A$3:$A$2150,N$1,'United Data'!$C$3:$C$2150,$A33)&gt;0,1,0)</f>
        <v>0</v>
      </c>
      <c r="O33">
        <f>IF(COUNTIFS('United Data'!$A$3:$A$2150,O$1,'United Data'!$C$3:$C$2150,$A33)&gt;0,1,0)</f>
        <v>0</v>
      </c>
      <c r="P33">
        <f>IF(COUNTIFS('United Data'!$A$3:$A$2150,P$1,'United Data'!$C$3:$C$2150,$A33)&gt;0,1,0)</f>
        <v>0</v>
      </c>
      <c r="Q33">
        <f>IF(COUNTIFS('United Data'!$A$3:$A$2150,Q$1,'United Data'!$C$3:$C$2150,$A33)&gt;0,1,0)</f>
        <v>0</v>
      </c>
      <c r="R33">
        <f>IF(COUNTIFS('United Data'!$A$3:$A$2150,R$1,'United Data'!$C$3:$C$2150,$A33)&gt;0,1,0)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78</v>
      </c>
      <c r="B34">
        <f>IF(COUNTIFS('United Data'!$A$3:$A$2150,B$1,'United Data'!$C$3:$C$2150,$A34)&gt;0,1,0)</f>
        <v>0</v>
      </c>
      <c r="C34">
        <f>IF(COUNTIFS('United Data'!$A$3:$A$2150,C$1,'United Data'!$C$3:$C$2150,$A34)&gt;0,1,0)</f>
        <v>0</v>
      </c>
      <c r="D34">
        <f>IF(COUNTIFS('United Data'!$A$3:$A$2150,D$1,'United Data'!$C$3:$C$2150,$A34)&gt;0,1,0)</f>
        <v>0</v>
      </c>
      <c r="E34">
        <f>IF(COUNTIFS('United Data'!$A$3:$A$2150,E$1,'United Data'!$C$3:$C$2150,$A34)&gt;0,1,0)</f>
        <v>1</v>
      </c>
      <c r="F34">
        <f>IF(COUNTIFS('United Data'!$A$3:$A$2150,F$1,'United Data'!$C$3:$C$2150,$A34)&gt;0,1,0)</f>
        <v>0</v>
      </c>
      <c r="G34">
        <f>IF(COUNTIFS('United Data'!$A$3:$A$2150,G$1,'United Data'!$C$3:$C$2150,$A34)&gt;0,1,0)</f>
        <v>0</v>
      </c>
      <c r="H34">
        <f>IF(COUNTIFS('United Data'!$A$3:$A$2150,H$1,'United Data'!$C$3:$C$2150,$A34)&gt;0,1,0)</f>
        <v>0</v>
      </c>
      <c r="I34">
        <f>IF(COUNTIFS('United Data'!$A$3:$A$2150,I$1,'United Data'!$C$3:$C$2150,$A34)&gt;0,1,0)</f>
        <v>0</v>
      </c>
      <c r="J34">
        <f>IF(COUNTIFS('United Data'!$A$3:$A$2150,J$1,'United Data'!$C$3:$C$2150,$A34)&gt;0,1,0)</f>
        <v>0</v>
      </c>
      <c r="K34">
        <f>IF(COUNTIFS('United Data'!$A$3:$A$2150,K$1,'United Data'!$C$3:$C$2150,$A34)&gt;0,1,0)</f>
        <v>0</v>
      </c>
      <c r="L34">
        <f>IF(COUNTIFS('United Data'!$A$3:$A$2150,L$1,'United Data'!$C$3:$C$2150,$A34)&gt;0,1,0)</f>
        <v>0</v>
      </c>
      <c r="M34">
        <f>IF(COUNTIFS('United Data'!$A$3:$A$2150,M$1,'United Data'!$C$3:$C$2150,$A34)&gt;0,1,0)</f>
        <v>0</v>
      </c>
      <c r="N34">
        <f>IF(COUNTIFS('United Data'!$A$3:$A$2150,N$1,'United Data'!$C$3:$C$2150,$A34)&gt;0,1,0)</f>
        <v>0</v>
      </c>
      <c r="O34">
        <f>IF(COUNTIFS('United Data'!$A$3:$A$2150,O$1,'United Data'!$C$3:$C$2150,$A34)&gt;0,1,0)</f>
        <v>0</v>
      </c>
      <c r="P34">
        <f>IF(COUNTIFS('United Data'!$A$3:$A$2150,P$1,'United Data'!$C$3:$C$2150,$A34)&gt;0,1,0)</f>
        <v>0</v>
      </c>
      <c r="Q34">
        <f>IF(COUNTIFS('United Data'!$A$3:$A$2150,Q$1,'United Data'!$C$3:$C$2150,$A34)&gt;0,1,0)</f>
        <v>0</v>
      </c>
      <c r="R34">
        <f>IF(COUNTIFS('United Data'!$A$3:$A$2150,R$1,'United Data'!$C$3:$C$2150,$A34)&gt;0,1,0)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79</v>
      </c>
      <c r="B35">
        <f>IF(COUNTIFS('United Data'!$A$3:$A$2150,B$1,'United Data'!$C$3:$C$2150,$A35)&gt;0,1,0)</f>
        <v>0</v>
      </c>
      <c r="C35">
        <f>IF(COUNTIFS('United Data'!$A$3:$A$2150,C$1,'United Data'!$C$3:$C$2150,$A35)&gt;0,1,0)</f>
        <v>0</v>
      </c>
      <c r="D35">
        <f>IF(COUNTIFS('United Data'!$A$3:$A$2150,D$1,'United Data'!$C$3:$C$2150,$A35)&gt;0,1,0)</f>
        <v>0</v>
      </c>
      <c r="E35">
        <f>IF(COUNTIFS('United Data'!$A$3:$A$2150,E$1,'United Data'!$C$3:$C$2150,$A35)&gt;0,1,0)</f>
        <v>1</v>
      </c>
      <c r="F35">
        <f>IF(COUNTIFS('United Data'!$A$3:$A$2150,F$1,'United Data'!$C$3:$C$2150,$A35)&gt;0,1,0)</f>
        <v>0</v>
      </c>
      <c r="G35">
        <f>IF(COUNTIFS('United Data'!$A$3:$A$2150,G$1,'United Data'!$C$3:$C$2150,$A35)&gt;0,1,0)</f>
        <v>0</v>
      </c>
      <c r="H35">
        <f>IF(COUNTIFS('United Data'!$A$3:$A$2150,H$1,'United Data'!$C$3:$C$2150,$A35)&gt;0,1,0)</f>
        <v>0</v>
      </c>
      <c r="I35">
        <f>IF(COUNTIFS('United Data'!$A$3:$A$2150,I$1,'United Data'!$C$3:$C$2150,$A35)&gt;0,1,0)</f>
        <v>0</v>
      </c>
      <c r="J35">
        <f>IF(COUNTIFS('United Data'!$A$3:$A$2150,J$1,'United Data'!$C$3:$C$2150,$A35)&gt;0,1,0)</f>
        <v>0</v>
      </c>
      <c r="K35">
        <f>IF(COUNTIFS('United Data'!$A$3:$A$2150,K$1,'United Data'!$C$3:$C$2150,$A35)&gt;0,1,0)</f>
        <v>0</v>
      </c>
      <c r="L35">
        <f>IF(COUNTIFS('United Data'!$A$3:$A$2150,L$1,'United Data'!$C$3:$C$2150,$A35)&gt;0,1,0)</f>
        <v>0</v>
      </c>
      <c r="M35">
        <f>IF(COUNTIFS('United Data'!$A$3:$A$2150,M$1,'United Data'!$C$3:$C$2150,$A35)&gt;0,1,0)</f>
        <v>0</v>
      </c>
      <c r="N35">
        <f>IF(COUNTIFS('United Data'!$A$3:$A$2150,N$1,'United Data'!$C$3:$C$2150,$A35)&gt;0,1,0)</f>
        <v>0</v>
      </c>
      <c r="O35">
        <f>IF(COUNTIFS('United Data'!$A$3:$A$2150,O$1,'United Data'!$C$3:$C$2150,$A35)&gt;0,1,0)</f>
        <v>0</v>
      </c>
      <c r="P35">
        <f>IF(COUNTIFS('United Data'!$A$3:$A$2150,P$1,'United Data'!$C$3:$C$2150,$A35)&gt;0,1,0)</f>
        <v>0</v>
      </c>
      <c r="Q35">
        <f>IF(COUNTIFS('United Data'!$A$3:$A$2150,Q$1,'United Data'!$C$3:$C$2150,$A35)&gt;0,1,0)</f>
        <v>0</v>
      </c>
      <c r="R35">
        <f>IF(COUNTIFS('United Data'!$A$3:$A$2150,R$1,'United Data'!$C$3:$C$2150,$A35)&gt;0,1,0)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80</v>
      </c>
      <c r="B36">
        <f>IF(COUNTIFS('United Data'!$A$3:$A$2150,B$1,'United Data'!$C$3:$C$2150,$A36)&gt;0,1,0)</f>
        <v>0</v>
      </c>
      <c r="C36">
        <f>IF(COUNTIFS('United Data'!$A$3:$A$2150,C$1,'United Data'!$C$3:$C$2150,$A36)&gt;0,1,0)</f>
        <v>0</v>
      </c>
      <c r="D36">
        <f>IF(COUNTIFS('United Data'!$A$3:$A$2150,D$1,'United Data'!$C$3:$C$2150,$A36)&gt;0,1,0)</f>
        <v>0</v>
      </c>
      <c r="E36">
        <f>IF(COUNTIFS('United Data'!$A$3:$A$2150,E$1,'United Data'!$C$3:$C$2150,$A36)&gt;0,1,0)</f>
        <v>1</v>
      </c>
      <c r="F36">
        <f>IF(COUNTIFS('United Data'!$A$3:$A$2150,F$1,'United Data'!$C$3:$C$2150,$A36)&gt;0,1,0)</f>
        <v>1</v>
      </c>
      <c r="G36">
        <f>IF(COUNTIFS('United Data'!$A$3:$A$2150,G$1,'United Data'!$C$3:$C$2150,$A36)&gt;0,1,0)</f>
        <v>1</v>
      </c>
      <c r="H36">
        <f>IF(COUNTIFS('United Data'!$A$3:$A$2150,H$1,'United Data'!$C$3:$C$2150,$A36)&gt;0,1,0)</f>
        <v>1</v>
      </c>
      <c r="I36">
        <f>IF(COUNTIFS('United Data'!$A$3:$A$2150,I$1,'United Data'!$C$3:$C$2150,$A36)&gt;0,1,0)</f>
        <v>1</v>
      </c>
      <c r="J36">
        <f>IF(COUNTIFS('United Data'!$A$3:$A$2150,J$1,'United Data'!$C$3:$C$2150,$A36)&gt;0,1,0)</f>
        <v>0</v>
      </c>
      <c r="K36">
        <f>IF(COUNTIFS('United Data'!$A$3:$A$2150,K$1,'United Data'!$C$3:$C$2150,$A36)&gt;0,1,0)</f>
        <v>0</v>
      </c>
      <c r="L36">
        <f>IF(COUNTIFS('United Data'!$A$3:$A$2150,L$1,'United Data'!$C$3:$C$2150,$A36)&gt;0,1,0)</f>
        <v>0</v>
      </c>
      <c r="M36">
        <f>IF(COUNTIFS('United Data'!$A$3:$A$2150,M$1,'United Data'!$C$3:$C$2150,$A36)&gt;0,1,0)</f>
        <v>0</v>
      </c>
      <c r="N36">
        <f>IF(COUNTIFS('United Data'!$A$3:$A$2150,N$1,'United Data'!$C$3:$C$2150,$A36)&gt;0,1,0)</f>
        <v>0</v>
      </c>
      <c r="O36">
        <f>IF(COUNTIFS('United Data'!$A$3:$A$2150,O$1,'United Data'!$C$3:$C$2150,$A36)&gt;0,1,0)</f>
        <v>0</v>
      </c>
      <c r="P36">
        <f>IF(COUNTIFS('United Data'!$A$3:$A$2150,P$1,'United Data'!$C$3:$C$2150,$A36)&gt;0,1,0)</f>
        <v>0</v>
      </c>
      <c r="Q36">
        <f>IF(COUNTIFS('United Data'!$A$3:$A$2150,Q$1,'United Data'!$C$3:$C$2150,$A36)&gt;0,1,0)</f>
        <v>0</v>
      </c>
      <c r="R36">
        <f>IF(COUNTIFS('United Data'!$A$3:$A$2150,R$1,'United Data'!$C$3:$C$2150,$A36)&gt;0,1,0)</f>
        <v>0</v>
      </c>
      <c r="S36">
        <f t="shared" si="0"/>
        <v>5</v>
      </c>
      <c r="T36">
        <f t="shared" si="1"/>
        <v>1</v>
      </c>
    </row>
    <row r="37" spans="1:20" x14ac:dyDescent="0.2">
      <c r="A37" t="s">
        <v>81</v>
      </c>
      <c r="B37">
        <f>IF(COUNTIFS('United Data'!$A$3:$A$2150,B$1,'United Data'!$C$3:$C$2150,$A37)&gt;0,1,0)</f>
        <v>0</v>
      </c>
      <c r="C37">
        <f>IF(COUNTIFS('United Data'!$A$3:$A$2150,C$1,'United Data'!$C$3:$C$2150,$A37)&gt;0,1,0)</f>
        <v>0</v>
      </c>
      <c r="D37">
        <f>IF(COUNTIFS('United Data'!$A$3:$A$2150,D$1,'United Data'!$C$3:$C$2150,$A37)&gt;0,1,0)</f>
        <v>0</v>
      </c>
      <c r="E37">
        <f>IF(COUNTIFS('United Data'!$A$3:$A$2150,E$1,'United Data'!$C$3:$C$2150,$A37)&gt;0,1,0)</f>
        <v>1</v>
      </c>
      <c r="F37">
        <f>IF(COUNTIFS('United Data'!$A$3:$A$2150,F$1,'United Data'!$C$3:$C$2150,$A37)&gt;0,1,0)</f>
        <v>0</v>
      </c>
      <c r="G37">
        <f>IF(COUNTIFS('United Data'!$A$3:$A$2150,G$1,'United Data'!$C$3:$C$2150,$A37)&gt;0,1,0)</f>
        <v>0</v>
      </c>
      <c r="H37">
        <f>IF(COUNTIFS('United Data'!$A$3:$A$2150,H$1,'United Data'!$C$3:$C$2150,$A37)&gt;0,1,0)</f>
        <v>0</v>
      </c>
      <c r="I37">
        <f>IF(COUNTIFS('United Data'!$A$3:$A$2150,I$1,'United Data'!$C$3:$C$2150,$A37)&gt;0,1,0)</f>
        <v>0</v>
      </c>
      <c r="J37">
        <f>IF(COUNTIFS('United Data'!$A$3:$A$2150,J$1,'United Data'!$C$3:$C$2150,$A37)&gt;0,1,0)</f>
        <v>0</v>
      </c>
      <c r="K37">
        <f>IF(COUNTIFS('United Data'!$A$3:$A$2150,K$1,'United Data'!$C$3:$C$2150,$A37)&gt;0,1,0)</f>
        <v>0</v>
      </c>
      <c r="L37">
        <f>IF(COUNTIFS('United Data'!$A$3:$A$2150,L$1,'United Data'!$C$3:$C$2150,$A37)&gt;0,1,0)</f>
        <v>0</v>
      </c>
      <c r="M37">
        <f>IF(COUNTIFS('United Data'!$A$3:$A$2150,M$1,'United Data'!$C$3:$C$2150,$A37)&gt;0,1,0)</f>
        <v>0</v>
      </c>
      <c r="N37">
        <f>IF(COUNTIFS('United Data'!$A$3:$A$2150,N$1,'United Data'!$C$3:$C$2150,$A37)&gt;0,1,0)</f>
        <v>0</v>
      </c>
      <c r="O37">
        <f>IF(COUNTIFS('United Data'!$A$3:$A$2150,O$1,'United Data'!$C$3:$C$2150,$A37)&gt;0,1,0)</f>
        <v>0</v>
      </c>
      <c r="P37">
        <f>IF(COUNTIFS('United Data'!$A$3:$A$2150,P$1,'United Data'!$C$3:$C$2150,$A37)&gt;0,1,0)</f>
        <v>0</v>
      </c>
      <c r="Q37">
        <f>IF(COUNTIFS('United Data'!$A$3:$A$2150,Q$1,'United Data'!$C$3:$C$2150,$A37)&gt;0,1,0)</f>
        <v>0</v>
      </c>
      <c r="R37">
        <f>IF(COUNTIFS('United Data'!$A$3:$A$2150,R$1,'United Data'!$C$3:$C$2150,$A37)&gt;0,1,0)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82</v>
      </c>
      <c r="B38">
        <f>IF(COUNTIFS('United Data'!$A$3:$A$2150,B$1,'United Data'!$C$3:$C$2150,$A38)&gt;0,1,0)</f>
        <v>0</v>
      </c>
      <c r="C38">
        <f>IF(COUNTIFS('United Data'!$A$3:$A$2150,C$1,'United Data'!$C$3:$C$2150,$A38)&gt;0,1,0)</f>
        <v>0</v>
      </c>
      <c r="D38">
        <f>IF(COUNTIFS('United Data'!$A$3:$A$2150,D$1,'United Data'!$C$3:$C$2150,$A38)&gt;0,1,0)</f>
        <v>0</v>
      </c>
      <c r="E38">
        <f>IF(COUNTIFS('United Data'!$A$3:$A$2150,E$1,'United Data'!$C$3:$C$2150,$A38)&gt;0,1,0)</f>
        <v>1</v>
      </c>
      <c r="F38">
        <f>IF(COUNTIFS('United Data'!$A$3:$A$2150,F$1,'United Data'!$C$3:$C$2150,$A38)&gt;0,1,0)</f>
        <v>0</v>
      </c>
      <c r="G38">
        <f>IF(COUNTIFS('United Data'!$A$3:$A$2150,G$1,'United Data'!$C$3:$C$2150,$A38)&gt;0,1,0)</f>
        <v>0</v>
      </c>
      <c r="H38">
        <f>IF(COUNTIFS('United Data'!$A$3:$A$2150,H$1,'United Data'!$C$3:$C$2150,$A38)&gt;0,1,0)</f>
        <v>0</v>
      </c>
      <c r="I38">
        <f>IF(COUNTIFS('United Data'!$A$3:$A$2150,I$1,'United Data'!$C$3:$C$2150,$A38)&gt;0,1,0)</f>
        <v>0</v>
      </c>
      <c r="J38">
        <f>IF(COUNTIFS('United Data'!$A$3:$A$2150,J$1,'United Data'!$C$3:$C$2150,$A38)&gt;0,1,0)</f>
        <v>0</v>
      </c>
      <c r="K38">
        <f>IF(COUNTIFS('United Data'!$A$3:$A$2150,K$1,'United Data'!$C$3:$C$2150,$A38)&gt;0,1,0)</f>
        <v>0</v>
      </c>
      <c r="L38">
        <f>IF(COUNTIFS('United Data'!$A$3:$A$2150,L$1,'United Data'!$C$3:$C$2150,$A38)&gt;0,1,0)</f>
        <v>0</v>
      </c>
      <c r="M38">
        <f>IF(COUNTIFS('United Data'!$A$3:$A$2150,M$1,'United Data'!$C$3:$C$2150,$A38)&gt;0,1,0)</f>
        <v>0</v>
      </c>
      <c r="N38">
        <f>IF(COUNTIFS('United Data'!$A$3:$A$2150,N$1,'United Data'!$C$3:$C$2150,$A38)&gt;0,1,0)</f>
        <v>0</v>
      </c>
      <c r="O38">
        <f>IF(COUNTIFS('United Data'!$A$3:$A$2150,O$1,'United Data'!$C$3:$C$2150,$A38)&gt;0,1,0)</f>
        <v>0</v>
      </c>
      <c r="P38">
        <f>IF(COUNTIFS('United Data'!$A$3:$A$2150,P$1,'United Data'!$C$3:$C$2150,$A38)&gt;0,1,0)</f>
        <v>0</v>
      </c>
      <c r="Q38">
        <f>IF(COUNTIFS('United Data'!$A$3:$A$2150,Q$1,'United Data'!$C$3:$C$2150,$A38)&gt;0,1,0)</f>
        <v>0</v>
      </c>
      <c r="R38">
        <f>IF(COUNTIFS('United Data'!$A$3:$A$2150,R$1,'United Data'!$C$3:$C$2150,$A38)&gt;0,1,0)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83</v>
      </c>
      <c r="B39">
        <f>IF(COUNTIFS('United Data'!$A$3:$A$2150,B$1,'United Data'!$C$3:$C$2150,$A39)&gt;0,1,0)</f>
        <v>0</v>
      </c>
      <c r="C39">
        <f>IF(COUNTIFS('United Data'!$A$3:$A$2150,C$1,'United Data'!$C$3:$C$2150,$A39)&gt;0,1,0)</f>
        <v>0</v>
      </c>
      <c r="D39">
        <f>IF(COUNTIFS('United Data'!$A$3:$A$2150,D$1,'United Data'!$C$3:$C$2150,$A39)&gt;0,1,0)</f>
        <v>0</v>
      </c>
      <c r="E39">
        <f>IF(COUNTIFS('United Data'!$A$3:$A$2150,E$1,'United Data'!$C$3:$C$2150,$A39)&gt;0,1,0)</f>
        <v>1</v>
      </c>
      <c r="F39">
        <f>IF(COUNTIFS('United Data'!$A$3:$A$2150,F$1,'United Data'!$C$3:$C$2150,$A39)&gt;0,1,0)</f>
        <v>1</v>
      </c>
      <c r="G39">
        <f>IF(COUNTIFS('United Data'!$A$3:$A$2150,G$1,'United Data'!$C$3:$C$2150,$A39)&gt;0,1,0)</f>
        <v>1</v>
      </c>
      <c r="H39">
        <f>IF(COUNTIFS('United Data'!$A$3:$A$2150,H$1,'United Data'!$C$3:$C$2150,$A39)&gt;0,1,0)</f>
        <v>1</v>
      </c>
      <c r="I39">
        <f>IF(COUNTIFS('United Data'!$A$3:$A$2150,I$1,'United Data'!$C$3:$C$2150,$A39)&gt;0,1,0)</f>
        <v>0</v>
      </c>
      <c r="J39">
        <f>IF(COUNTIFS('United Data'!$A$3:$A$2150,J$1,'United Data'!$C$3:$C$2150,$A39)&gt;0,1,0)</f>
        <v>0</v>
      </c>
      <c r="K39">
        <f>IF(COUNTIFS('United Data'!$A$3:$A$2150,K$1,'United Data'!$C$3:$C$2150,$A39)&gt;0,1,0)</f>
        <v>0</v>
      </c>
      <c r="L39">
        <f>IF(COUNTIFS('United Data'!$A$3:$A$2150,L$1,'United Data'!$C$3:$C$2150,$A39)&gt;0,1,0)</f>
        <v>0</v>
      </c>
      <c r="M39">
        <f>IF(COUNTIFS('United Data'!$A$3:$A$2150,M$1,'United Data'!$C$3:$C$2150,$A39)&gt;0,1,0)</f>
        <v>0</v>
      </c>
      <c r="N39">
        <f>IF(COUNTIFS('United Data'!$A$3:$A$2150,N$1,'United Data'!$C$3:$C$2150,$A39)&gt;0,1,0)</f>
        <v>0</v>
      </c>
      <c r="O39">
        <f>IF(COUNTIFS('United Data'!$A$3:$A$2150,O$1,'United Data'!$C$3:$C$2150,$A39)&gt;0,1,0)</f>
        <v>0</v>
      </c>
      <c r="P39">
        <f>IF(COUNTIFS('United Data'!$A$3:$A$2150,P$1,'United Data'!$C$3:$C$2150,$A39)&gt;0,1,0)</f>
        <v>0</v>
      </c>
      <c r="Q39">
        <f>IF(COUNTIFS('United Data'!$A$3:$A$2150,Q$1,'United Data'!$C$3:$C$2150,$A39)&gt;0,1,0)</f>
        <v>0</v>
      </c>
      <c r="R39">
        <f>IF(COUNTIFS('United Data'!$A$3:$A$2150,R$1,'United Data'!$C$3:$C$2150,$A39)&gt;0,1,0)</f>
        <v>0</v>
      </c>
      <c r="S39">
        <f t="shared" si="0"/>
        <v>4</v>
      </c>
      <c r="T39">
        <f t="shared" si="1"/>
        <v>1</v>
      </c>
    </row>
    <row r="40" spans="1:20" x14ac:dyDescent="0.2">
      <c r="A40" t="s">
        <v>84</v>
      </c>
      <c r="B40">
        <f>IF(COUNTIFS('United Data'!$A$3:$A$2150,B$1,'United Data'!$C$3:$C$2150,$A40)&gt;0,1,0)</f>
        <v>0</v>
      </c>
      <c r="C40">
        <f>IF(COUNTIFS('United Data'!$A$3:$A$2150,C$1,'United Data'!$C$3:$C$2150,$A40)&gt;0,1,0)</f>
        <v>0</v>
      </c>
      <c r="D40">
        <f>IF(COUNTIFS('United Data'!$A$3:$A$2150,D$1,'United Data'!$C$3:$C$2150,$A40)&gt;0,1,0)</f>
        <v>0</v>
      </c>
      <c r="E40">
        <f>IF(COUNTIFS('United Data'!$A$3:$A$2150,E$1,'United Data'!$C$3:$C$2150,$A40)&gt;0,1,0)</f>
        <v>1</v>
      </c>
      <c r="F40">
        <f>IF(COUNTIFS('United Data'!$A$3:$A$2150,F$1,'United Data'!$C$3:$C$2150,$A40)&gt;0,1,0)</f>
        <v>0</v>
      </c>
      <c r="G40">
        <f>IF(COUNTIFS('United Data'!$A$3:$A$2150,G$1,'United Data'!$C$3:$C$2150,$A40)&gt;0,1,0)</f>
        <v>0</v>
      </c>
      <c r="H40">
        <f>IF(COUNTIFS('United Data'!$A$3:$A$2150,H$1,'United Data'!$C$3:$C$2150,$A40)&gt;0,1,0)</f>
        <v>0</v>
      </c>
      <c r="I40">
        <f>IF(COUNTIFS('United Data'!$A$3:$A$2150,I$1,'United Data'!$C$3:$C$2150,$A40)&gt;0,1,0)</f>
        <v>0</v>
      </c>
      <c r="J40">
        <f>IF(COUNTIFS('United Data'!$A$3:$A$2150,J$1,'United Data'!$C$3:$C$2150,$A40)&gt;0,1,0)</f>
        <v>0</v>
      </c>
      <c r="K40">
        <f>IF(COUNTIFS('United Data'!$A$3:$A$2150,K$1,'United Data'!$C$3:$C$2150,$A40)&gt;0,1,0)</f>
        <v>0</v>
      </c>
      <c r="L40">
        <f>IF(COUNTIFS('United Data'!$A$3:$A$2150,L$1,'United Data'!$C$3:$C$2150,$A40)&gt;0,1,0)</f>
        <v>0</v>
      </c>
      <c r="M40">
        <f>IF(COUNTIFS('United Data'!$A$3:$A$2150,M$1,'United Data'!$C$3:$C$2150,$A40)&gt;0,1,0)</f>
        <v>0</v>
      </c>
      <c r="N40">
        <f>IF(COUNTIFS('United Data'!$A$3:$A$2150,N$1,'United Data'!$C$3:$C$2150,$A40)&gt;0,1,0)</f>
        <v>0</v>
      </c>
      <c r="O40">
        <f>IF(COUNTIFS('United Data'!$A$3:$A$2150,O$1,'United Data'!$C$3:$C$2150,$A40)&gt;0,1,0)</f>
        <v>0</v>
      </c>
      <c r="P40">
        <f>IF(COUNTIFS('United Data'!$A$3:$A$2150,P$1,'United Data'!$C$3:$C$2150,$A40)&gt;0,1,0)</f>
        <v>0</v>
      </c>
      <c r="Q40">
        <f>IF(COUNTIFS('United Data'!$A$3:$A$2150,Q$1,'United Data'!$C$3:$C$2150,$A40)&gt;0,1,0)</f>
        <v>0</v>
      </c>
      <c r="R40">
        <f>IF(COUNTIFS('United Data'!$A$3:$A$2150,R$1,'United Data'!$C$3:$C$2150,$A40)&gt;0,1,0)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85</v>
      </c>
      <c r="B41">
        <f>IF(COUNTIFS('United Data'!$A$3:$A$2150,B$1,'United Data'!$C$3:$C$2150,$A41)&gt;0,1,0)</f>
        <v>0</v>
      </c>
      <c r="C41">
        <f>IF(COUNTIFS('United Data'!$A$3:$A$2150,C$1,'United Data'!$C$3:$C$2150,$A41)&gt;0,1,0)</f>
        <v>0</v>
      </c>
      <c r="D41">
        <f>IF(COUNTIFS('United Data'!$A$3:$A$2150,D$1,'United Data'!$C$3:$C$2150,$A41)&gt;0,1,0)</f>
        <v>0</v>
      </c>
      <c r="E41">
        <f>IF(COUNTIFS('United Data'!$A$3:$A$2150,E$1,'United Data'!$C$3:$C$2150,$A41)&gt;0,1,0)</f>
        <v>1</v>
      </c>
      <c r="F41">
        <f>IF(COUNTIFS('United Data'!$A$3:$A$2150,F$1,'United Data'!$C$3:$C$2150,$A41)&gt;0,1,0)</f>
        <v>1</v>
      </c>
      <c r="G41">
        <f>IF(COUNTIFS('United Data'!$A$3:$A$2150,G$1,'United Data'!$C$3:$C$2150,$A41)&gt;0,1,0)</f>
        <v>1</v>
      </c>
      <c r="H41">
        <f>IF(COUNTIFS('United Data'!$A$3:$A$2150,H$1,'United Data'!$C$3:$C$2150,$A41)&gt;0,1,0)</f>
        <v>1</v>
      </c>
      <c r="I41">
        <f>IF(COUNTIFS('United Data'!$A$3:$A$2150,I$1,'United Data'!$C$3:$C$2150,$A41)&gt;0,1,0)</f>
        <v>1</v>
      </c>
      <c r="J41">
        <f>IF(COUNTIFS('United Data'!$A$3:$A$2150,J$1,'United Data'!$C$3:$C$2150,$A41)&gt;0,1,0)</f>
        <v>1</v>
      </c>
      <c r="K41">
        <f>IF(COUNTIFS('United Data'!$A$3:$A$2150,K$1,'United Data'!$C$3:$C$2150,$A41)&gt;0,1,0)</f>
        <v>1</v>
      </c>
      <c r="L41">
        <f>IF(COUNTIFS('United Data'!$A$3:$A$2150,L$1,'United Data'!$C$3:$C$2150,$A41)&gt;0,1,0)</f>
        <v>0</v>
      </c>
      <c r="M41">
        <f>IF(COUNTIFS('United Data'!$A$3:$A$2150,M$1,'United Data'!$C$3:$C$2150,$A41)&gt;0,1,0)</f>
        <v>0</v>
      </c>
      <c r="N41">
        <f>IF(COUNTIFS('United Data'!$A$3:$A$2150,N$1,'United Data'!$C$3:$C$2150,$A41)&gt;0,1,0)</f>
        <v>0</v>
      </c>
      <c r="O41">
        <f>IF(COUNTIFS('United Data'!$A$3:$A$2150,O$1,'United Data'!$C$3:$C$2150,$A41)&gt;0,1,0)</f>
        <v>0</v>
      </c>
      <c r="P41">
        <f>IF(COUNTIFS('United Data'!$A$3:$A$2150,P$1,'United Data'!$C$3:$C$2150,$A41)&gt;0,1,0)</f>
        <v>0</v>
      </c>
      <c r="Q41">
        <f>IF(COUNTIFS('United Data'!$A$3:$A$2150,Q$1,'United Data'!$C$3:$C$2150,$A41)&gt;0,1,0)</f>
        <v>0</v>
      </c>
      <c r="R41">
        <f>IF(COUNTIFS('United Data'!$A$3:$A$2150,R$1,'United Data'!$C$3:$C$2150,$A41)&gt;0,1,0)</f>
        <v>0</v>
      </c>
      <c r="S41">
        <f t="shared" si="0"/>
        <v>7</v>
      </c>
      <c r="T41">
        <f t="shared" si="1"/>
        <v>1</v>
      </c>
    </row>
    <row r="42" spans="1:20" x14ac:dyDescent="0.2">
      <c r="A42" t="s">
        <v>86</v>
      </c>
      <c r="B42">
        <f>IF(COUNTIFS('United Data'!$A$3:$A$2150,B$1,'United Data'!$C$3:$C$2150,$A42)&gt;0,1,0)</f>
        <v>0</v>
      </c>
      <c r="C42">
        <f>IF(COUNTIFS('United Data'!$A$3:$A$2150,C$1,'United Data'!$C$3:$C$2150,$A42)&gt;0,1,0)</f>
        <v>0</v>
      </c>
      <c r="D42">
        <f>IF(COUNTIFS('United Data'!$A$3:$A$2150,D$1,'United Data'!$C$3:$C$2150,$A42)&gt;0,1,0)</f>
        <v>0</v>
      </c>
      <c r="E42">
        <f>IF(COUNTIFS('United Data'!$A$3:$A$2150,E$1,'United Data'!$C$3:$C$2150,$A42)&gt;0,1,0)</f>
        <v>1</v>
      </c>
      <c r="F42">
        <f>IF(COUNTIFS('United Data'!$A$3:$A$2150,F$1,'United Data'!$C$3:$C$2150,$A42)&gt;0,1,0)</f>
        <v>0</v>
      </c>
      <c r="G42">
        <f>IF(COUNTIFS('United Data'!$A$3:$A$2150,G$1,'United Data'!$C$3:$C$2150,$A42)&gt;0,1,0)</f>
        <v>0</v>
      </c>
      <c r="H42">
        <f>IF(COUNTIFS('United Data'!$A$3:$A$2150,H$1,'United Data'!$C$3:$C$2150,$A42)&gt;0,1,0)</f>
        <v>0</v>
      </c>
      <c r="I42">
        <f>IF(COUNTIFS('United Data'!$A$3:$A$2150,I$1,'United Data'!$C$3:$C$2150,$A42)&gt;0,1,0)</f>
        <v>0</v>
      </c>
      <c r="J42">
        <f>IF(COUNTIFS('United Data'!$A$3:$A$2150,J$1,'United Data'!$C$3:$C$2150,$A42)&gt;0,1,0)</f>
        <v>0</v>
      </c>
      <c r="K42">
        <f>IF(COUNTIFS('United Data'!$A$3:$A$2150,K$1,'United Data'!$C$3:$C$2150,$A42)&gt;0,1,0)</f>
        <v>0</v>
      </c>
      <c r="L42">
        <f>IF(COUNTIFS('United Data'!$A$3:$A$2150,L$1,'United Data'!$C$3:$C$2150,$A42)&gt;0,1,0)</f>
        <v>0</v>
      </c>
      <c r="M42">
        <f>IF(COUNTIFS('United Data'!$A$3:$A$2150,M$1,'United Data'!$C$3:$C$2150,$A42)&gt;0,1,0)</f>
        <v>0</v>
      </c>
      <c r="N42">
        <f>IF(COUNTIFS('United Data'!$A$3:$A$2150,N$1,'United Data'!$C$3:$C$2150,$A42)&gt;0,1,0)</f>
        <v>0</v>
      </c>
      <c r="O42">
        <f>IF(COUNTIFS('United Data'!$A$3:$A$2150,O$1,'United Data'!$C$3:$C$2150,$A42)&gt;0,1,0)</f>
        <v>0</v>
      </c>
      <c r="P42">
        <f>IF(COUNTIFS('United Data'!$A$3:$A$2150,P$1,'United Data'!$C$3:$C$2150,$A42)&gt;0,1,0)</f>
        <v>0</v>
      </c>
      <c r="Q42">
        <f>IF(COUNTIFS('United Data'!$A$3:$A$2150,Q$1,'United Data'!$C$3:$C$2150,$A42)&gt;0,1,0)</f>
        <v>0</v>
      </c>
      <c r="R42">
        <f>IF(COUNTIFS('United Data'!$A$3:$A$2150,R$1,'United Data'!$C$3:$C$2150,$A42)&gt;0,1,0)</f>
        <v>0</v>
      </c>
      <c r="S42">
        <f t="shared" si="0"/>
        <v>1</v>
      </c>
      <c r="T42">
        <f t="shared" si="1"/>
        <v>1</v>
      </c>
    </row>
    <row r="43" spans="1:20" x14ac:dyDescent="0.2">
      <c r="A43" t="s">
        <v>87</v>
      </c>
      <c r="B43">
        <f>IF(COUNTIFS('United Data'!$A$3:$A$2150,B$1,'United Data'!$C$3:$C$2150,$A43)&gt;0,1,0)</f>
        <v>0</v>
      </c>
      <c r="C43">
        <f>IF(COUNTIFS('United Data'!$A$3:$A$2150,C$1,'United Data'!$C$3:$C$2150,$A43)&gt;0,1,0)</f>
        <v>0</v>
      </c>
      <c r="D43">
        <f>IF(COUNTIFS('United Data'!$A$3:$A$2150,D$1,'United Data'!$C$3:$C$2150,$A43)&gt;0,1,0)</f>
        <v>0</v>
      </c>
      <c r="E43">
        <f>IF(COUNTIFS('United Data'!$A$3:$A$2150,E$1,'United Data'!$C$3:$C$2150,$A43)&gt;0,1,0)</f>
        <v>1</v>
      </c>
      <c r="F43">
        <f>IF(COUNTIFS('United Data'!$A$3:$A$2150,F$1,'United Data'!$C$3:$C$2150,$A43)&gt;0,1,0)</f>
        <v>1</v>
      </c>
      <c r="G43">
        <f>IF(COUNTIFS('United Data'!$A$3:$A$2150,G$1,'United Data'!$C$3:$C$2150,$A43)&gt;0,1,0)</f>
        <v>1</v>
      </c>
      <c r="H43">
        <f>IF(COUNTIFS('United Data'!$A$3:$A$2150,H$1,'United Data'!$C$3:$C$2150,$A43)&gt;0,1,0)</f>
        <v>1</v>
      </c>
      <c r="I43">
        <f>IF(COUNTIFS('United Data'!$A$3:$A$2150,I$1,'United Data'!$C$3:$C$2150,$A43)&gt;0,1,0)</f>
        <v>1</v>
      </c>
      <c r="J43">
        <f>IF(COUNTIFS('United Data'!$A$3:$A$2150,J$1,'United Data'!$C$3:$C$2150,$A43)&gt;0,1,0)</f>
        <v>1</v>
      </c>
      <c r="K43">
        <f>IF(COUNTIFS('United Data'!$A$3:$A$2150,K$1,'United Data'!$C$3:$C$2150,$A43)&gt;0,1,0)</f>
        <v>1</v>
      </c>
      <c r="L43">
        <f>IF(COUNTIFS('United Data'!$A$3:$A$2150,L$1,'United Data'!$C$3:$C$2150,$A43)&gt;0,1,0)</f>
        <v>1</v>
      </c>
      <c r="M43">
        <f>IF(COUNTIFS('United Data'!$A$3:$A$2150,M$1,'United Data'!$C$3:$C$2150,$A43)&gt;0,1,0)</f>
        <v>1</v>
      </c>
      <c r="N43">
        <f>IF(COUNTIFS('United Data'!$A$3:$A$2150,N$1,'United Data'!$C$3:$C$2150,$A43)&gt;0,1,0)</f>
        <v>1</v>
      </c>
      <c r="O43">
        <f>IF(COUNTIFS('United Data'!$A$3:$A$2150,O$1,'United Data'!$C$3:$C$2150,$A43)&gt;0,1,0)</f>
        <v>0</v>
      </c>
      <c r="P43">
        <f>IF(COUNTIFS('United Data'!$A$3:$A$2150,P$1,'United Data'!$C$3:$C$2150,$A43)&gt;0,1,0)</f>
        <v>0</v>
      </c>
      <c r="Q43">
        <f>IF(COUNTIFS('United Data'!$A$3:$A$2150,Q$1,'United Data'!$C$3:$C$2150,$A43)&gt;0,1,0)</f>
        <v>0</v>
      </c>
      <c r="R43">
        <f>IF(COUNTIFS('United Data'!$A$3:$A$2150,R$1,'United Data'!$C$3:$C$2150,$A43)&gt;0,1,0)</f>
        <v>0</v>
      </c>
      <c r="S43">
        <f t="shared" si="0"/>
        <v>10</v>
      </c>
      <c r="T43">
        <f t="shared" si="1"/>
        <v>1</v>
      </c>
    </row>
    <row r="44" spans="1:20" x14ac:dyDescent="0.2">
      <c r="A44" t="s">
        <v>88</v>
      </c>
      <c r="B44">
        <f>IF(COUNTIFS('United Data'!$A$3:$A$2150,B$1,'United Data'!$C$3:$C$2150,$A44)&gt;0,1,0)</f>
        <v>0</v>
      </c>
      <c r="C44">
        <f>IF(COUNTIFS('United Data'!$A$3:$A$2150,C$1,'United Data'!$C$3:$C$2150,$A44)&gt;0,1,0)</f>
        <v>0</v>
      </c>
      <c r="D44">
        <f>IF(COUNTIFS('United Data'!$A$3:$A$2150,D$1,'United Data'!$C$3:$C$2150,$A44)&gt;0,1,0)</f>
        <v>0</v>
      </c>
      <c r="E44">
        <f>IF(COUNTIFS('United Data'!$A$3:$A$2150,E$1,'United Data'!$C$3:$C$2150,$A44)&gt;0,1,0)</f>
        <v>1</v>
      </c>
      <c r="F44">
        <f>IF(COUNTIFS('United Data'!$A$3:$A$2150,F$1,'United Data'!$C$3:$C$2150,$A44)&gt;0,1,0)</f>
        <v>0</v>
      </c>
      <c r="G44">
        <f>IF(COUNTIFS('United Data'!$A$3:$A$2150,G$1,'United Data'!$C$3:$C$2150,$A44)&gt;0,1,0)</f>
        <v>0</v>
      </c>
      <c r="H44">
        <f>IF(COUNTIFS('United Data'!$A$3:$A$2150,H$1,'United Data'!$C$3:$C$2150,$A44)&gt;0,1,0)</f>
        <v>0</v>
      </c>
      <c r="I44">
        <f>IF(COUNTIFS('United Data'!$A$3:$A$2150,I$1,'United Data'!$C$3:$C$2150,$A44)&gt;0,1,0)</f>
        <v>0</v>
      </c>
      <c r="J44">
        <f>IF(COUNTIFS('United Data'!$A$3:$A$2150,J$1,'United Data'!$C$3:$C$2150,$A44)&gt;0,1,0)</f>
        <v>0</v>
      </c>
      <c r="K44">
        <f>IF(COUNTIFS('United Data'!$A$3:$A$2150,K$1,'United Data'!$C$3:$C$2150,$A44)&gt;0,1,0)</f>
        <v>0</v>
      </c>
      <c r="L44">
        <f>IF(COUNTIFS('United Data'!$A$3:$A$2150,L$1,'United Data'!$C$3:$C$2150,$A44)&gt;0,1,0)</f>
        <v>0</v>
      </c>
      <c r="M44">
        <f>IF(COUNTIFS('United Data'!$A$3:$A$2150,M$1,'United Data'!$C$3:$C$2150,$A44)&gt;0,1,0)</f>
        <v>0</v>
      </c>
      <c r="N44">
        <f>IF(COUNTIFS('United Data'!$A$3:$A$2150,N$1,'United Data'!$C$3:$C$2150,$A44)&gt;0,1,0)</f>
        <v>0</v>
      </c>
      <c r="O44">
        <f>IF(COUNTIFS('United Data'!$A$3:$A$2150,O$1,'United Data'!$C$3:$C$2150,$A44)&gt;0,1,0)</f>
        <v>0</v>
      </c>
      <c r="P44">
        <f>IF(COUNTIFS('United Data'!$A$3:$A$2150,P$1,'United Data'!$C$3:$C$2150,$A44)&gt;0,1,0)</f>
        <v>0</v>
      </c>
      <c r="Q44">
        <f>IF(COUNTIFS('United Data'!$A$3:$A$2150,Q$1,'United Data'!$C$3:$C$2150,$A44)&gt;0,1,0)</f>
        <v>0</v>
      </c>
      <c r="R44">
        <f>IF(COUNTIFS('United Data'!$A$3:$A$2150,R$1,'United Data'!$C$3:$C$2150,$A44)&gt;0,1,0)</f>
        <v>0</v>
      </c>
      <c r="S44">
        <f t="shared" si="0"/>
        <v>1</v>
      </c>
      <c r="T44">
        <f t="shared" si="1"/>
        <v>1</v>
      </c>
    </row>
    <row r="45" spans="1:20" x14ac:dyDescent="0.2">
      <c r="A45" t="s">
        <v>89</v>
      </c>
      <c r="B45">
        <f>IF(COUNTIFS('United Data'!$A$3:$A$2150,B$1,'United Data'!$C$3:$C$2150,$A45)&gt;0,1,0)</f>
        <v>0</v>
      </c>
      <c r="C45">
        <f>IF(COUNTIFS('United Data'!$A$3:$A$2150,C$1,'United Data'!$C$3:$C$2150,$A45)&gt;0,1,0)</f>
        <v>0</v>
      </c>
      <c r="D45">
        <f>IF(COUNTIFS('United Data'!$A$3:$A$2150,D$1,'United Data'!$C$3:$C$2150,$A45)&gt;0,1,0)</f>
        <v>0</v>
      </c>
      <c r="E45">
        <f>IF(COUNTIFS('United Data'!$A$3:$A$2150,E$1,'United Data'!$C$3:$C$2150,$A45)&gt;0,1,0)</f>
        <v>1</v>
      </c>
      <c r="F45">
        <f>IF(COUNTIFS('United Data'!$A$3:$A$2150,F$1,'United Data'!$C$3:$C$2150,$A45)&gt;0,1,0)</f>
        <v>0</v>
      </c>
      <c r="G45">
        <f>IF(COUNTIFS('United Data'!$A$3:$A$2150,G$1,'United Data'!$C$3:$C$2150,$A45)&gt;0,1,0)</f>
        <v>0</v>
      </c>
      <c r="H45">
        <f>IF(COUNTIFS('United Data'!$A$3:$A$2150,H$1,'United Data'!$C$3:$C$2150,$A45)&gt;0,1,0)</f>
        <v>0</v>
      </c>
      <c r="I45">
        <f>IF(COUNTIFS('United Data'!$A$3:$A$2150,I$1,'United Data'!$C$3:$C$2150,$A45)&gt;0,1,0)</f>
        <v>0</v>
      </c>
      <c r="J45">
        <f>IF(COUNTIFS('United Data'!$A$3:$A$2150,J$1,'United Data'!$C$3:$C$2150,$A45)&gt;0,1,0)</f>
        <v>0</v>
      </c>
      <c r="K45">
        <f>IF(COUNTIFS('United Data'!$A$3:$A$2150,K$1,'United Data'!$C$3:$C$2150,$A45)&gt;0,1,0)</f>
        <v>0</v>
      </c>
      <c r="L45">
        <f>IF(COUNTIFS('United Data'!$A$3:$A$2150,L$1,'United Data'!$C$3:$C$2150,$A45)&gt;0,1,0)</f>
        <v>0</v>
      </c>
      <c r="M45">
        <f>IF(COUNTIFS('United Data'!$A$3:$A$2150,M$1,'United Data'!$C$3:$C$2150,$A45)&gt;0,1,0)</f>
        <v>0</v>
      </c>
      <c r="N45">
        <f>IF(COUNTIFS('United Data'!$A$3:$A$2150,N$1,'United Data'!$C$3:$C$2150,$A45)&gt;0,1,0)</f>
        <v>0</v>
      </c>
      <c r="O45">
        <f>IF(COUNTIFS('United Data'!$A$3:$A$2150,O$1,'United Data'!$C$3:$C$2150,$A45)&gt;0,1,0)</f>
        <v>0</v>
      </c>
      <c r="P45">
        <f>IF(COUNTIFS('United Data'!$A$3:$A$2150,P$1,'United Data'!$C$3:$C$2150,$A45)&gt;0,1,0)</f>
        <v>0</v>
      </c>
      <c r="Q45">
        <f>IF(COUNTIFS('United Data'!$A$3:$A$2150,Q$1,'United Data'!$C$3:$C$2150,$A45)&gt;0,1,0)</f>
        <v>0</v>
      </c>
      <c r="R45">
        <f>IF(COUNTIFS('United Data'!$A$3:$A$2150,R$1,'United Data'!$C$3:$C$2150,$A45)&gt;0,1,0)</f>
        <v>0</v>
      </c>
      <c r="S45">
        <f t="shared" si="0"/>
        <v>1</v>
      </c>
      <c r="T45">
        <f t="shared" si="1"/>
        <v>1</v>
      </c>
    </row>
    <row r="46" spans="1:20" x14ac:dyDescent="0.2">
      <c r="A46" t="s">
        <v>90</v>
      </c>
      <c r="B46">
        <f>IF(COUNTIFS('United Data'!$A$3:$A$2150,B$1,'United Data'!$C$3:$C$2150,$A46)&gt;0,1,0)</f>
        <v>0</v>
      </c>
      <c r="C46">
        <f>IF(COUNTIFS('United Data'!$A$3:$A$2150,C$1,'United Data'!$C$3:$C$2150,$A46)&gt;0,1,0)</f>
        <v>0</v>
      </c>
      <c r="D46">
        <f>IF(COUNTIFS('United Data'!$A$3:$A$2150,D$1,'United Data'!$C$3:$C$2150,$A46)&gt;0,1,0)</f>
        <v>0</v>
      </c>
      <c r="E46">
        <f>IF(COUNTIFS('United Data'!$A$3:$A$2150,E$1,'United Data'!$C$3:$C$2150,$A46)&gt;0,1,0)</f>
        <v>0</v>
      </c>
      <c r="F46">
        <f>IF(COUNTIFS('United Data'!$A$3:$A$2150,F$1,'United Data'!$C$3:$C$2150,$A46)&gt;0,1,0)</f>
        <v>1</v>
      </c>
      <c r="G46">
        <f>IF(COUNTIFS('United Data'!$A$3:$A$2150,G$1,'United Data'!$C$3:$C$2150,$A46)&gt;0,1,0)</f>
        <v>0</v>
      </c>
      <c r="H46">
        <f>IF(COUNTIFS('United Data'!$A$3:$A$2150,H$1,'United Data'!$C$3:$C$2150,$A46)&gt;0,1,0)</f>
        <v>0</v>
      </c>
      <c r="I46">
        <f>IF(COUNTIFS('United Data'!$A$3:$A$2150,I$1,'United Data'!$C$3:$C$2150,$A46)&gt;0,1,0)</f>
        <v>0</v>
      </c>
      <c r="J46">
        <f>IF(COUNTIFS('United Data'!$A$3:$A$2150,J$1,'United Data'!$C$3:$C$2150,$A46)&gt;0,1,0)</f>
        <v>0</v>
      </c>
      <c r="K46">
        <f>IF(COUNTIFS('United Data'!$A$3:$A$2150,K$1,'United Data'!$C$3:$C$2150,$A46)&gt;0,1,0)</f>
        <v>0</v>
      </c>
      <c r="L46">
        <f>IF(COUNTIFS('United Data'!$A$3:$A$2150,L$1,'United Data'!$C$3:$C$2150,$A46)&gt;0,1,0)</f>
        <v>0</v>
      </c>
      <c r="M46">
        <f>IF(COUNTIFS('United Data'!$A$3:$A$2150,M$1,'United Data'!$C$3:$C$2150,$A46)&gt;0,1,0)</f>
        <v>0</v>
      </c>
      <c r="N46">
        <f>IF(COUNTIFS('United Data'!$A$3:$A$2150,N$1,'United Data'!$C$3:$C$2150,$A46)&gt;0,1,0)</f>
        <v>0</v>
      </c>
      <c r="O46">
        <f>IF(COUNTIFS('United Data'!$A$3:$A$2150,O$1,'United Data'!$C$3:$C$2150,$A46)&gt;0,1,0)</f>
        <v>0</v>
      </c>
      <c r="P46">
        <f>IF(COUNTIFS('United Data'!$A$3:$A$2150,P$1,'United Data'!$C$3:$C$2150,$A46)&gt;0,1,0)</f>
        <v>0</v>
      </c>
      <c r="Q46">
        <f>IF(COUNTIFS('United Data'!$A$3:$A$2150,Q$1,'United Data'!$C$3:$C$2150,$A46)&gt;0,1,0)</f>
        <v>0</v>
      </c>
      <c r="R46">
        <f>IF(COUNTIFS('United Data'!$A$3:$A$2150,R$1,'United Data'!$C$3:$C$2150,$A46)&gt;0,1,0)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91</v>
      </c>
      <c r="B47">
        <f>IF(COUNTIFS('United Data'!$A$3:$A$2150,B$1,'United Data'!$C$3:$C$2150,$A47)&gt;0,1,0)</f>
        <v>0</v>
      </c>
      <c r="C47">
        <f>IF(COUNTIFS('United Data'!$A$3:$A$2150,C$1,'United Data'!$C$3:$C$2150,$A47)&gt;0,1,0)</f>
        <v>0</v>
      </c>
      <c r="D47">
        <f>IF(COUNTIFS('United Data'!$A$3:$A$2150,D$1,'United Data'!$C$3:$C$2150,$A47)&gt;0,1,0)</f>
        <v>0</v>
      </c>
      <c r="E47">
        <f>IF(COUNTIFS('United Data'!$A$3:$A$2150,E$1,'United Data'!$C$3:$C$2150,$A47)&gt;0,1,0)</f>
        <v>0</v>
      </c>
      <c r="F47">
        <f>IF(COUNTIFS('United Data'!$A$3:$A$2150,F$1,'United Data'!$C$3:$C$2150,$A47)&gt;0,1,0)</f>
        <v>1</v>
      </c>
      <c r="G47">
        <f>IF(COUNTIFS('United Data'!$A$3:$A$2150,G$1,'United Data'!$C$3:$C$2150,$A47)&gt;0,1,0)</f>
        <v>0</v>
      </c>
      <c r="H47">
        <f>IF(COUNTIFS('United Data'!$A$3:$A$2150,H$1,'United Data'!$C$3:$C$2150,$A47)&gt;0,1,0)</f>
        <v>1</v>
      </c>
      <c r="I47">
        <f>IF(COUNTIFS('United Data'!$A$3:$A$2150,I$1,'United Data'!$C$3:$C$2150,$A47)&gt;0,1,0)</f>
        <v>0</v>
      </c>
      <c r="J47">
        <f>IF(COUNTIFS('United Data'!$A$3:$A$2150,J$1,'United Data'!$C$3:$C$2150,$A47)&gt;0,1,0)</f>
        <v>0</v>
      </c>
      <c r="K47">
        <f>IF(COUNTIFS('United Data'!$A$3:$A$2150,K$1,'United Data'!$C$3:$C$2150,$A47)&gt;0,1,0)</f>
        <v>0</v>
      </c>
      <c r="L47">
        <f>IF(COUNTIFS('United Data'!$A$3:$A$2150,L$1,'United Data'!$C$3:$C$2150,$A47)&gt;0,1,0)</f>
        <v>0</v>
      </c>
      <c r="M47">
        <f>IF(COUNTIFS('United Data'!$A$3:$A$2150,M$1,'United Data'!$C$3:$C$2150,$A47)&gt;0,1,0)</f>
        <v>0</v>
      </c>
      <c r="N47">
        <f>IF(COUNTIFS('United Data'!$A$3:$A$2150,N$1,'United Data'!$C$3:$C$2150,$A47)&gt;0,1,0)</f>
        <v>0</v>
      </c>
      <c r="O47">
        <f>IF(COUNTIFS('United Data'!$A$3:$A$2150,O$1,'United Data'!$C$3:$C$2150,$A47)&gt;0,1,0)</f>
        <v>0</v>
      </c>
      <c r="P47">
        <f>IF(COUNTIFS('United Data'!$A$3:$A$2150,P$1,'United Data'!$C$3:$C$2150,$A47)&gt;0,1,0)</f>
        <v>0</v>
      </c>
      <c r="Q47">
        <f>IF(COUNTIFS('United Data'!$A$3:$A$2150,Q$1,'United Data'!$C$3:$C$2150,$A47)&gt;0,1,0)</f>
        <v>0</v>
      </c>
      <c r="R47">
        <f>IF(COUNTIFS('United Data'!$A$3:$A$2150,R$1,'United Data'!$C$3:$C$2150,$A47)&gt;0,1,0)</f>
        <v>0</v>
      </c>
      <c r="S47">
        <f t="shared" si="0"/>
        <v>2</v>
      </c>
      <c r="T47">
        <f t="shared" si="1"/>
        <v>2</v>
      </c>
    </row>
    <row r="48" spans="1:20" x14ac:dyDescent="0.2">
      <c r="A48" t="s">
        <v>92</v>
      </c>
      <c r="B48">
        <f>IF(COUNTIFS('United Data'!$A$3:$A$2150,B$1,'United Data'!$C$3:$C$2150,$A48)&gt;0,1,0)</f>
        <v>0</v>
      </c>
      <c r="C48">
        <f>IF(COUNTIFS('United Data'!$A$3:$A$2150,C$1,'United Data'!$C$3:$C$2150,$A48)&gt;0,1,0)</f>
        <v>0</v>
      </c>
      <c r="D48">
        <f>IF(COUNTIFS('United Data'!$A$3:$A$2150,D$1,'United Data'!$C$3:$C$2150,$A48)&gt;0,1,0)</f>
        <v>0</v>
      </c>
      <c r="E48">
        <f>IF(COUNTIFS('United Data'!$A$3:$A$2150,E$1,'United Data'!$C$3:$C$2150,$A48)&gt;0,1,0)</f>
        <v>0</v>
      </c>
      <c r="F48">
        <f>IF(COUNTIFS('United Data'!$A$3:$A$2150,F$1,'United Data'!$C$3:$C$2150,$A48)&gt;0,1,0)</f>
        <v>1</v>
      </c>
      <c r="G48">
        <f>IF(COUNTIFS('United Data'!$A$3:$A$2150,G$1,'United Data'!$C$3:$C$2150,$A48)&gt;0,1,0)</f>
        <v>0</v>
      </c>
      <c r="H48">
        <f>IF(COUNTIFS('United Data'!$A$3:$A$2150,H$1,'United Data'!$C$3:$C$2150,$A48)&gt;0,1,0)</f>
        <v>0</v>
      </c>
      <c r="I48">
        <f>IF(COUNTIFS('United Data'!$A$3:$A$2150,I$1,'United Data'!$C$3:$C$2150,$A48)&gt;0,1,0)</f>
        <v>0</v>
      </c>
      <c r="J48">
        <f>IF(COUNTIFS('United Data'!$A$3:$A$2150,J$1,'United Data'!$C$3:$C$2150,$A48)&gt;0,1,0)</f>
        <v>0</v>
      </c>
      <c r="K48">
        <f>IF(COUNTIFS('United Data'!$A$3:$A$2150,K$1,'United Data'!$C$3:$C$2150,$A48)&gt;0,1,0)</f>
        <v>0</v>
      </c>
      <c r="L48">
        <f>IF(COUNTIFS('United Data'!$A$3:$A$2150,L$1,'United Data'!$C$3:$C$2150,$A48)&gt;0,1,0)</f>
        <v>0</v>
      </c>
      <c r="M48">
        <f>IF(COUNTIFS('United Data'!$A$3:$A$2150,M$1,'United Data'!$C$3:$C$2150,$A48)&gt;0,1,0)</f>
        <v>0</v>
      </c>
      <c r="N48">
        <f>IF(COUNTIFS('United Data'!$A$3:$A$2150,N$1,'United Data'!$C$3:$C$2150,$A48)&gt;0,1,0)</f>
        <v>0</v>
      </c>
      <c r="O48">
        <f>IF(COUNTIFS('United Data'!$A$3:$A$2150,O$1,'United Data'!$C$3:$C$2150,$A48)&gt;0,1,0)</f>
        <v>0</v>
      </c>
      <c r="P48">
        <f>IF(COUNTIFS('United Data'!$A$3:$A$2150,P$1,'United Data'!$C$3:$C$2150,$A48)&gt;0,1,0)</f>
        <v>1</v>
      </c>
      <c r="Q48">
        <f>IF(COUNTIFS('United Data'!$A$3:$A$2150,Q$1,'United Data'!$C$3:$C$2150,$A48)&gt;0,1,0)</f>
        <v>0</v>
      </c>
      <c r="R48">
        <f>IF(COUNTIFS('United Data'!$A$3:$A$2150,R$1,'United Data'!$C$3:$C$2150,$A48)&gt;0,1,0)</f>
        <v>0</v>
      </c>
      <c r="S48">
        <f t="shared" si="0"/>
        <v>2</v>
      </c>
      <c r="T48">
        <f t="shared" si="1"/>
        <v>2</v>
      </c>
    </row>
    <row r="49" spans="1:20" x14ac:dyDescent="0.2">
      <c r="A49" t="s">
        <v>93</v>
      </c>
      <c r="B49">
        <f>IF(COUNTIFS('United Data'!$A$3:$A$2150,B$1,'United Data'!$C$3:$C$2150,$A49)&gt;0,1,0)</f>
        <v>0</v>
      </c>
      <c r="C49">
        <f>IF(COUNTIFS('United Data'!$A$3:$A$2150,C$1,'United Data'!$C$3:$C$2150,$A49)&gt;0,1,0)</f>
        <v>0</v>
      </c>
      <c r="D49">
        <f>IF(COUNTIFS('United Data'!$A$3:$A$2150,D$1,'United Data'!$C$3:$C$2150,$A49)&gt;0,1,0)</f>
        <v>0</v>
      </c>
      <c r="E49">
        <f>IF(COUNTIFS('United Data'!$A$3:$A$2150,E$1,'United Data'!$C$3:$C$2150,$A49)&gt;0,1,0)</f>
        <v>0</v>
      </c>
      <c r="F49">
        <f>IF(COUNTIFS('United Data'!$A$3:$A$2150,F$1,'United Data'!$C$3:$C$2150,$A49)&gt;0,1,0)</f>
        <v>1</v>
      </c>
      <c r="G49">
        <f>IF(COUNTIFS('United Data'!$A$3:$A$2150,G$1,'United Data'!$C$3:$C$2150,$A49)&gt;0,1,0)</f>
        <v>0</v>
      </c>
      <c r="H49">
        <f>IF(COUNTIFS('United Data'!$A$3:$A$2150,H$1,'United Data'!$C$3:$C$2150,$A49)&gt;0,1,0)</f>
        <v>0</v>
      </c>
      <c r="I49">
        <f>IF(COUNTIFS('United Data'!$A$3:$A$2150,I$1,'United Data'!$C$3:$C$2150,$A49)&gt;0,1,0)</f>
        <v>0</v>
      </c>
      <c r="J49">
        <f>IF(COUNTIFS('United Data'!$A$3:$A$2150,J$1,'United Data'!$C$3:$C$2150,$A49)&gt;0,1,0)</f>
        <v>1</v>
      </c>
      <c r="K49">
        <f>IF(COUNTIFS('United Data'!$A$3:$A$2150,K$1,'United Data'!$C$3:$C$2150,$A49)&gt;0,1,0)</f>
        <v>1</v>
      </c>
      <c r="L49">
        <f>IF(COUNTIFS('United Data'!$A$3:$A$2150,L$1,'United Data'!$C$3:$C$2150,$A49)&gt;0,1,0)</f>
        <v>1</v>
      </c>
      <c r="M49">
        <f>IF(COUNTIFS('United Data'!$A$3:$A$2150,M$1,'United Data'!$C$3:$C$2150,$A49)&gt;0,1,0)</f>
        <v>0</v>
      </c>
      <c r="N49">
        <f>IF(COUNTIFS('United Data'!$A$3:$A$2150,N$1,'United Data'!$C$3:$C$2150,$A49)&gt;0,1,0)</f>
        <v>0</v>
      </c>
      <c r="O49">
        <f>IF(COUNTIFS('United Data'!$A$3:$A$2150,O$1,'United Data'!$C$3:$C$2150,$A49)&gt;0,1,0)</f>
        <v>0</v>
      </c>
      <c r="P49">
        <f>IF(COUNTIFS('United Data'!$A$3:$A$2150,P$1,'United Data'!$C$3:$C$2150,$A49)&gt;0,1,0)</f>
        <v>0</v>
      </c>
      <c r="Q49">
        <f>IF(COUNTIFS('United Data'!$A$3:$A$2150,Q$1,'United Data'!$C$3:$C$2150,$A49)&gt;0,1,0)</f>
        <v>0</v>
      </c>
      <c r="R49">
        <f>IF(COUNTIFS('United Data'!$A$3:$A$2150,R$1,'United Data'!$C$3:$C$2150,$A49)&gt;0,1,0)</f>
        <v>0</v>
      </c>
      <c r="S49">
        <f t="shared" si="0"/>
        <v>4</v>
      </c>
      <c r="T49">
        <f t="shared" si="1"/>
        <v>2</v>
      </c>
    </row>
    <row r="50" spans="1:20" x14ac:dyDescent="0.2">
      <c r="A50" t="s">
        <v>95</v>
      </c>
      <c r="B50">
        <f>IF(COUNTIFS('United Data'!$A$3:$A$2150,B$1,'United Data'!$C$3:$C$2150,$A50)&gt;0,1,0)</f>
        <v>0</v>
      </c>
      <c r="C50">
        <f>IF(COUNTIFS('United Data'!$A$3:$A$2150,C$1,'United Data'!$C$3:$C$2150,$A50)&gt;0,1,0)</f>
        <v>0</v>
      </c>
      <c r="D50">
        <f>IF(COUNTIFS('United Data'!$A$3:$A$2150,D$1,'United Data'!$C$3:$C$2150,$A50)&gt;0,1,0)</f>
        <v>0</v>
      </c>
      <c r="E50">
        <f>IF(COUNTIFS('United Data'!$A$3:$A$2150,E$1,'United Data'!$C$3:$C$2150,$A50)&gt;0,1,0)</f>
        <v>0</v>
      </c>
      <c r="F50">
        <f>IF(COUNTIFS('United Data'!$A$3:$A$2150,F$1,'United Data'!$C$3:$C$2150,$A50)&gt;0,1,0)</f>
        <v>1</v>
      </c>
      <c r="G50">
        <f>IF(COUNTIFS('United Data'!$A$3:$A$2150,G$1,'United Data'!$C$3:$C$2150,$A50)&gt;0,1,0)</f>
        <v>1</v>
      </c>
      <c r="H50">
        <f>IF(COUNTIFS('United Data'!$A$3:$A$2150,H$1,'United Data'!$C$3:$C$2150,$A50)&gt;0,1,0)</f>
        <v>1</v>
      </c>
      <c r="I50">
        <f>IF(COUNTIFS('United Data'!$A$3:$A$2150,I$1,'United Data'!$C$3:$C$2150,$A50)&gt;0,1,0)</f>
        <v>1</v>
      </c>
      <c r="J50">
        <f>IF(COUNTIFS('United Data'!$A$3:$A$2150,J$1,'United Data'!$C$3:$C$2150,$A50)&gt;0,1,0)</f>
        <v>1</v>
      </c>
      <c r="K50">
        <f>IF(COUNTIFS('United Data'!$A$3:$A$2150,K$1,'United Data'!$C$3:$C$2150,$A50)&gt;0,1,0)</f>
        <v>1</v>
      </c>
      <c r="L50">
        <f>IF(COUNTIFS('United Data'!$A$3:$A$2150,L$1,'United Data'!$C$3:$C$2150,$A50)&gt;0,1,0)</f>
        <v>1</v>
      </c>
      <c r="M50">
        <f>IF(COUNTIFS('United Data'!$A$3:$A$2150,M$1,'United Data'!$C$3:$C$2150,$A50)&gt;0,1,0)</f>
        <v>1</v>
      </c>
      <c r="N50">
        <f>IF(COUNTIFS('United Data'!$A$3:$A$2150,N$1,'United Data'!$C$3:$C$2150,$A50)&gt;0,1,0)</f>
        <v>0</v>
      </c>
      <c r="O50">
        <f>IF(COUNTIFS('United Data'!$A$3:$A$2150,O$1,'United Data'!$C$3:$C$2150,$A50)&gt;0,1,0)</f>
        <v>0</v>
      </c>
      <c r="P50">
        <f>IF(COUNTIFS('United Data'!$A$3:$A$2150,P$1,'United Data'!$C$3:$C$2150,$A50)&gt;0,1,0)</f>
        <v>0</v>
      </c>
      <c r="Q50">
        <f>IF(COUNTIFS('United Data'!$A$3:$A$2150,Q$1,'United Data'!$C$3:$C$2150,$A50)&gt;0,1,0)</f>
        <v>0</v>
      </c>
      <c r="R50">
        <f>IF(COUNTIFS('United Data'!$A$3:$A$2150,R$1,'United Data'!$C$3:$C$2150,$A50)&gt;0,1,0)</f>
        <v>0</v>
      </c>
      <c r="S50">
        <f t="shared" si="0"/>
        <v>8</v>
      </c>
      <c r="T50">
        <f t="shared" si="1"/>
        <v>1</v>
      </c>
    </row>
    <row r="51" spans="1:20" x14ac:dyDescent="0.2">
      <c r="A51" t="s">
        <v>96</v>
      </c>
      <c r="B51">
        <f>IF(COUNTIFS('United Data'!$A$3:$A$2150,B$1,'United Data'!$C$3:$C$2150,$A51)&gt;0,1,0)</f>
        <v>0</v>
      </c>
      <c r="C51">
        <f>IF(COUNTIFS('United Data'!$A$3:$A$2150,C$1,'United Data'!$C$3:$C$2150,$A51)&gt;0,1,0)</f>
        <v>0</v>
      </c>
      <c r="D51">
        <f>IF(COUNTIFS('United Data'!$A$3:$A$2150,D$1,'United Data'!$C$3:$C$2150,$A51)&gt;0,1,0)</f>
        <v>0</v>
      </c>
      <c r="E51">
        <f>IF(COUNTIFS('United Data'!$A$3:$A$2150,E$1,'United Data'!$C$3:$C$2150,$A51)&gt;0,1,0)</f>
        <v>0</v>
      </c>
      <c r="F51">
        <f>IF(COUNTIFS('United Data'!$A$3:$A$2150,F$1,'United Data'!$C$3:$C$2150,$A51)&gt;0,1,0)</f>
        <v>1</v>
      </c>
      <c r="G51">
        <f>IF(COUNTIFS('United Data'!$A$3:$A$2150,G$1,'United Data'!$C$3:$C$2150,$A51)&gt;0,1,0)</f>
        <v>0</v>
      </c>
      <c r="H51">
        <f>IF(COUNTIFS('United Data'!$A$3:$A$2150,H$1,'United Data'!$C$3:$C$2150,$A51)&gt;0,1,0)</f>
        <v>0</v>
      </c>
      <c r="I51">
        <f>IF(COUNTIFS('United Data'!$A$3:$A$2150,I$1,'United Data'!$C$3:$C$2150,$A51)&gt;0,1,0)</f>
        <v>0</v>
      </c>
      <c r="J51">
        <f>IF(COUNTIFS('United Data'!$A$3:$A$2150,J$1,'United Data'!$C$3:$C$2150,$A51)&gt;0,1,0)</f>
        <v>0</v>
      </c>
      <c r="K51">
        <f>IF(COUNTIFS('United Data'!$A$3:$A$2150,K$1,'United Data'!$C$3:$C$2150,$A51)&gt;0,1,0)</f>
        <v>0</v>
      </c>
      <c r="L51">
        <f>IF(COUNTIFS('United Data'!$A$3:$A$2150,L$1,'United Data'!$C$3:$C$2150,$A51)&gt;0,1,0)</f>
        <v>0</v>
      </c>
      <c r="M51">
        <f>IF(COUNTIFS('United Data'!$A$3:$A$2150,M$1,'United Data'!$C$3:$C$2150,$A51)&gt;0,1,0)</f>
        <v>0</v>
      </c>
      <c r="N51">
        <f>IF(COUNTIFS('United Data'!$A$3:$A$2150,N$1,'United Data'!$C$3:$C$2150,$A51)&gt;0,1,0)</f>
        <v>0</v>
      </c>
      <c r="O51">
        <f>IF(COUNTIFS('United Data'!$A$3:$A$2150,O$1,'United Data'!$C$3:$C$2150,$A51)&gt;0,1,0)</f>
        <v>0</v>
      </c>
      <c r="P51">
        <f>IF(COUNTIFS('United Data'!$A$3:$A$2150,P$1,'United Data'!$C$3:$C$2150,$A51)&gt;0,1,0)</f>
        <v>0</v>
      </c>
      <c r="Q51">
        <f>IF(COUNTIFS('United Data'!$A$3:$A$2150,Q$1,'United Data'!$C$3:$C$2150,$A51)&gt;0,1,0)</f>
        <v>0</v>
      </c>
      <c r="R51">
        <f>IF(COUNTIFS('United Data'!$A$3:$A$2150,R$1,'United Data'!$C$3:$C$2150,$A51)&gt;0,1,0)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97</v>
      </c>
      <c r="B52">
        <f>IF(COUNTIFS('United Data'!$A$3:$A$2150,B$1,'United Data'!$C$3:$C$2150,$A52)&gt;0,1,0)</f>
        <v>0</v>
      </c>
      <c r="C52">
        <f>IF(COUNTIFS('United Data'!$A$3:$A$2150,C$1,'United Data'!$C$3:$C$2150,$A52)&gt;0,1,0)</f>
        <v>0</v>
      </c>
      <c r="D52">
        <f>IF(COUNTIFS('United Data'!$A$3:$A$2150,D$1,'United Data'!$C$3:$C$2150,$A52)&gt;0,1,0)</f>
        <v>0</v>
      </c>
      <c r="E52">
        <f>IF(COUNTIFS('United Data'!$A$3:$A$2150,E$1,'United Data'!$C$3:$C$2150,$A52)&gt;0,1,0)</f>
        <v>0</v>
      </c>
      <c r="F52">
        <f>IF(COUNTIFS('United Data'!$A$3:$A$2150,F$1,'United Data'!$C$3:$C$2150,$A52)&gt;0,1,0)</f>
        <v>1</v>
      </c>
      <c r="G52">
        <f>IF(COUNTIFS('United Data'!$A$3:$A$2150,G$1,'United Data'!$C$3:$C$2150,$A52)&gt;0,1,0)</f>
        <v>1</v>
      </c>
      <c r="H52">
        <f>IF(COUNTIFS('United Data'!$A$3:$A$2150,H$1,'United Data'!$C$3:$C$2150,$A52)&gt;0,1,0)</f>
        <v>1</v>
      </c>
      <c r="I52">
        <f>IF(COUNTIFS('United Data'!$A$3:$A$2150,I$1,'United Data'!$C$3:$C$2150,$A52)&gt;0,1,0)</f>
        <v>1</v>
      </c>
      <c r="J52">
        <f>IF(COUNTIFS('United Data'!$A$3:$A$2150,J$1,'United Data'!$C$3:$C$2150,$A52)&gt;0,1,0)</f>
        <v>0</v>
      </c>
      <c r="K52">
        <f>IF(COUNTIFS('United Data'!$A$3:$A$2150,K$1,'United Data'!$C$3:$C$2150,$A52)&gt;0,1,0)</f>
        <v>0</v>
      </c>
      <c r="L52">
        <f>IF(COUNTIFS('United Data'!$A$3:$A$2150,L$1,'United Data'!$C$3:$C$2150,$A52)&gt;0,1,0)</f>
        <v>0</v>
      </c>
      <c r="M52">
        <f>IF(COUNTIFS('United Data'!$A$3:$A$2150,M$1,'United Data'!$C$3:$C$2150,$A52)&gt;0,1,0)</f>
        <v>0</v>
      </c>
      <c r="N52">
        <f>IF(COUNTIFS('United Data'!$A$3:$A$2150,N$1,'United Data'!$C$3:$C$2150,$A52)&gt;0,1,0)</f>
        <v>0</v>
      </c>
      <c r="O52">
        <f>IF(COUNTIFS('United Data'!$A$3:$A$2150,O$1,'United Data'!$C$3:$C$2150,$A52)&gt;0,1,0)</f>
        <v>0</v>
      </c>
      <c r="P52">
        <f>IF(COUNTIFS('United Data'!$A$3:$A$2150,P$1,'United Data'!$C$3:$C$2150,$A52)&gt;0,1,0)</f>
        <v>0</v>
      </c>
      <c r="Q52">
        <f>IF(COUNTIFS('United Data'!$A$3:$A$2150,Q$1,'United Data'!$C$3:$C$2150,$A52)&gt;0,1,0)</f>
        <v>0</v>
      </c>
      <c r="R52">
        <f>IF(COUNTIFS('United Data'!$A$3:$A$2150,R$1,'United Data'!$C$3:$C$2150,$A52)&gt;0,1,0)</f>
        <v>0</v>
      </c>
      <c r="S52">
        <f t="shared" si="0"/>
        <v>4</v>
      </c>
      <c r="T52">
        <f t="shared" si="1"/>
        <v>1</v>
      </c>
    </row>
    <row r="53" spans="1:20" x14ac:dyDescent="0.2">
      <c r="A53" t="s">
        <v>98</v>
      </c>
      <c r="B53">
        <f>IF(COUNTIFS('United Data'!$A$3:$A$2150,B$1,'United Data'!$C$3:$C$2150,$A53)&gt;0,1,0)</f>
        <v>0</v>
      </c>
      <c r="C53">
        <f>IF(COUNTIFS('United Data'!$A$3:$A$2150,C$1,'United Data'!$C$3:$C$2150,$A53)&gt;0,1,0)</f>
        <v>0</v>
      </c>
      <c r="D53">
        <f>IF(COUNTIFS('United Data'!$A$3:$A$2150,D$1,'United Data'!$C$3:$C$2150,$A53)&gt;0,1,0)</f>
        <v>0</v>
      </c>
      <c r="E53">
        <f>IF(COUNTIFS('United Data'!$A$3:$A$2150,E$1,'United Data'!$C$3:$C$2150,$A53)&gt;0,1,0)</f>
        <v>0</v>
      </c>
      <c r="F53">
        <f>IF(COUNTIFS('United Data'!$A$3:$A$2150,F$1,'United Data'!$C$3:$C$2150,$A53)&gt;0,1,0)</f>
        <v>1</v>
      </c>
      <c r="G53">
        <f>IF(COUNTIFS('United Data'!$A$3:$A$2150,G$1,'United Data'!$C$3:$C$2150,$A53)&gt;0,1,0)</f>
        <v>1</v>
      </c>
      <c r="H53">
        <f>IF(COUNTIFS('United Data'!$A$3:$A$2150,H$1,'United Data'!$C$3:$C$2150,$A53)&gt;0,1,0)</f>
        <v>1</v>
      </c>
      <c r="I53">
        <f>IF(COUNTIFS('United Data'!$A$3:$A$2150,I$1,'United Data'!$C$3:$C$2150,$A53)&gt;0,1,0)</f>
        <v>1</v>
      </c>
      <c r="J53">
        <f>IF(COUNTIFS('United Data'!$A$3:$A$2150,J$1,'United Data'!$C$3:$C$2150,$A53)&gt;0,1,0)</f>
        <v>0</v>
      </c>
      <c r="K53">
        <f>IF(COUNTIFS('United Data'!$A$3:$A$2150,K$1,'United Data'!$C$3:$C$2150,$A53)&gt;0,1,0)</f>
        <v>0</v>
      </c>
      <c r="L53">
        <f>IF(COUNTIFS('United Data'!$A$3:$A$2150,L$1,'United Data'!$C$3:$C$2150,$A53)&gt;0,1,0)</f>
        <v>0</v>
      </c>
      <c r="M53">
        <f>IF(COUNTIFS('United Data'!$A$3:$A$2150,M$1,'United Data'!$C$3:$C$2150,$A53)&gt;0,1,0)</f>
        <v>0</v>
      </c>
      <c r="N53">
        <f>IF(COUNTIFS('United Data'!$A$3:$A$2150,N$1,'United Data'!$C$3:$C$2150,$A53)&gt;0,1,0)</f>
        <v>0</v>
      </c>
      <c r="O53">
        <f>IF(COUNTIFS('United Data'!$A$3:$A$2150,O$1,'United Data'!$C$3:$C$2150,$A53)&gt;0,1,0)</f>
        <v>0</v>
      </c>
      <c r="P53">
        <f>IF(COUNTIFS('United Data'!$A$3:$A$2150,P$1,'United Data'!$C$3:$C$2150,$A53)&gt;0,1,0)</f>
        <v>0</v>
      </c>
      <c r="Q53">
        <f>IF(COUNTIFS('United Data'!$A$3:$A$2150,Q$1,'United Data'!$C$3:$C$2150,$A53)&gt;0,1,0)</f>
        <v>0</v>
      </c>
      <c r="R53">
        <f>IF(COUNTIFS('United Data'!$A$3:$A$2150,R$1,'United Data'!$C$3:$C$2150,$A53)&gt;0,1,0)</f>
        <v>0</v>
      </c>
      <c r="S53">
        <f t="shared" si="0"/>
        <v>4</v>
      </c>
      <c r="T53">
        <f t="shared" si="1"/>
        <v>1</v>
      </c>
    </row>
    <row r="54" spans="1:20" x14ac:dyDescent="0.2">
      <c r="A54" t="s">
        <v>99</v>
      </c>
      <c r="B54">
        <f>IF(COUNTIFS('United Data'!$A$3:$A$2150,B$1,'United Data'!$C$3:$C$2150,$A54)&gt;0,1,0)</f>
        <v>0</v>
      </c>
      <c r="C54">
        <f>IF(COUNTIFS('United Data'!$A$3:$A$2150,C$1,'United Data'!$C$3:$C$2150,$A54)&gt;0,1,0)</f>
        <v>0</v>
      </c>
      <c r="D54">
        <f>IF(COUNTIFS('United Data'!$A$3:$A$2150,D$1,'United Data'!$C$3:$C$2150,$A54)&gt;0,1,0)</f>
        <v>0</v>
      </c>
      <c r="E54">
        <f>IF(COUNTIFS('United Data'!$A$3:$A$2150,E$1,'United Data'!$C$3:$C$2150,$A54)&gt;0,1,0)</f>
        <v>0</v>
      </c>
      <c r="F54">
        <f>IF(COUNTIFS('United Data'!$A$3:$A$2150,F$1,'United Data'!$C$3:$C$2150,$A54)&gt;0,1,0)</f>
        <v>1</v>
      </c>
      <c r="G54">
        <f>IF(COUNTIFS('United Data'!$A$3:$A$2150,G$1,'United Data'!$C$3:$C$2150,$A54)&gt;0,1,0)</f>
        <v>0</v>
      </c>
      <c r="H54">
        <f>IF(COUNTIFS('United Data'!$A$3:$A$2150,H$1,'United Data'!$C$3:$C$2150,$A54)&gt;0,1,0)</f>
        <v>0</v>
      </c>
      <c r="I54">
        <f>IF(COUNTIFS('United Data'!$A$3:$A$2150,I$1,'United Data'!$C$3:$C$2150,$A54)&gt;0,1,0)</f>
        <v>0</v>
      </c>
      <c r="J54">
        <f>IF(COUNTIFS('United Data'!$A$3:$A$2150,J$1,'United Data'!$C$3:$C$2150,$A54)&gt;0,1,0)</f>
        <v>0</v>
      </c>
      <c r="K54">
        <f>IF(COUNTIFS('United Data'!$A$3:$A$2150,K$1,'United Data'!$C$3:$C$2150,$A54)&gt;0,1,0)</f>
        <v>0</v>
      </c>
      <c r="L54">
        <f>IF(COUNTIFS('United Data'!$A$3:$A$2150,L$1,'United Data'!$C$3:$C$2150,$A54)&gt;0,1,0)</f>
        <v>0</v>
      </c>
      <c r="M54">
        <f>IF(COUNTIFS('United Data'!$A$3:$A$2150,M$1,'United Data'!$C$3:$C$2150,$A54)&gt;0,1,0)</f>
        <v>0</v>
      </c>
      <c r="N54">
        <f>IF(COUNTIFS('United Data'!$A$3:$A$2150,N$1,'United Data'!$C$3:$C$2150,$A54)&gt;0,1,0)</f>
        <v>0</v>
      </c>
      <c r="O54">
        <f>IF(COUNTIFS('United Data'!$A$3:$A$2150,O$1,'United Data'!$C$3:$C$2150,$A54)&gt;0,1,0)</f>
        <v>0</v>
      </c>
      <c r="P54">
        <f>IF(COUNTIFS('United Data'!$A$3:$A$2150,P$1,'United Data'!$C$3:$C$2150,$A54)&gt;0,1,0)</f>
        <v>0</v>
      </c>
      <c r="Q54">
        <f>IF(COUNTIFS('United Data'!$A$3:$A$2150,Q$1,'United Data'!$C$3:$C$2150,$A54)&gt;0,1,0)</f>
        <v>0</v>
      </c>
      <c r="R54">
        <f>IF(COUNTIFS('United Data'!$A$3:$A$2150,R$1,'United Data'!$C$3:$C$2150,$A54)&gt;0,1,0)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100</v>
      </c>
      <c r="B55">
        <f>IF(COUNTIFS('United Data'!$A$3:$A$2150,B$1,'United Data'!$C$3:$C$2150,$A55)&gt;0,1,0)</f>
        <v>0</v>
      </c>
      <c r="C55">
        <f>IF(COUNTIFS('United Data'!$A$3:$A$2150,C$1,'United Data'!$C$3:$C$2150,$A55)&gt;0,1,0)</f>
        <v>0</v>
      </c>
      <c r="D55">
        <f>IF(COUNTIFS('United Data'!$A$3:$A$2150,D$1,'United Data'!$C$3:$C$2150,$A55)&gt;0,1,0)</f>
        <v>0</v>
      </c>
      <c r="E55">
        <f>IF(COUNTIFS('United Data'!$A$3:$A$2150,E$1,'United Data'!$C$3:$C$2150,$A55)&gt;0,1,0)</f>
        <v>0</v>
      </c>
      <c r="F55">
        <f>IF(COUNTIFS('United Data'!$A$3:$A$2150,F$1,'United Data'!$C$3:$C$2150,$A55)&gt;0,1,0)</f>
        <v>1</v>
      </c>
      <c r="G55">
        <f>IF(COUNTIFS('United Data'!$A$3:$A$2150,G$1,'United Data'!$C$3:$C$2150,$A55)&gt;0,1,0)</f>
        <v>1</v>
      </c>
      <c r="H55">
        <f>IF(COUNTIFS('United Data'!$A$3:$A$2150,H$1,'United Data'!$C$3:$C$2150,$A55)&gt;0,1,0)</f>
        <v>1</v>
      </c>
      <c r="I55">
        <f>IF(COUNTIFS('United Data'!$A$3:$A$2150,I$1,'United Data'!$C$3:$C$2150,$A55)&gt;0,1,0)</f>
        <v>1</v>
      </c>
      <c r="J55">
        <f>IF(COUNTIFS('United Data'!$A$3:$A$2150,J$1,'United Data'!$C$3:$C$2150,$A55)&gt;0,1,0)</f>
        <v>0</v>
      </c>
      <c r="K55">
        <f>IF(COUNTIFS('United Data'!$A$3:$A$2150,K$1,'United Data'!$C$3:$C$2150,$A55)&gt;0,1,0)</f>
        <v>0</v>
      </c>
      <c r="L55">
        <f>IF(COUNTIFS('United Data'!$A$3:$A$2150,L$1,'United Data'!$C$3:$C$2150,$A55)&gt;0,1,0)</f>
        <v>0</v>
      </c>
      <c r="M55">
        <f>IF(COUNTIFS('United Data'!$A$3:$A$2150,M$1,'United Data'!$C$3:$C$2150,$A55)&gt;0,1,0)</f>
        <v>0</v>
      </c>
      <c r="N55">
        <f>IF(COUNTIFS('United Data'!$A$3:$A$2150,N$1,'United Data'!$C$3:$C$2150,$A55)&gt;0,1,0)</f>
        <v>0</v>
      </c>
      <c r="O55">
        <f>IF(COUNTIFS('United Data'!$A$3:$A$2150,O$1,'United Data'!$C$3:$C$2150,$A55)&gt;0,1,0)</f>
        <v>0</v>
      </c>
      <c r="P55">
        <f>IF(COUNTIFS('United Data'!$A$3:$A$2150,P$1,'United Data'!$C$3:$C$2150,$A55)&gt;0,1,0)</f>
        <v>0</v>
      </c>
      <c r="Q55">
        <f>IF(COUNTIFS('United Data'!$A$3:$A$2150,Q$1,'United Data'!$C$3:$C$2150,$A55)&gt;0,1,0)</f>
        <v>0</v>
      </c>
      <c r="R55">
        <f>IF(COUNTIFS('United Data'!$A$3:$A$2150,R$1,'United Data'!$C$3:$C$2150,$A55)&gt;0,1,0)</f>
        <v>0</v>
      </c>
      <c r="S55">
        <f t="shared" si="0"/>
        <v>4</v>
      </c>
      <c r="T55">
        <f t="shared" si="1"/>
        <v>1</v>
      </c>
    </row>
    <row r="56" spans="1:20" x14ac:dyDescent="0.2">
      <c r="A56" t="s">
        <v>101</v>
      </c>
      <c r="B56">
        <f>IF(COUNTIFS('United Data'!$A$3:$A$2150,B$1,'United Data'!$C$3:$C$2150,$A56)&gt;0,1,0)</f>
        <v>0</v>
      </c>
      <c r="C56">
        <f>IF(COUNTIFS('United Data'!$A$3:$A$2150,C$1,'United Data'!$C$3:$C$2150,$A56)&gt;0,1,0)</f>
        <v>0</v>
      </c>
      <c r="D56">
        <f>IF(COUNTIFS('United Data'!$A$3:$A$2150,D$1,'United Data'!$C$3:$C$2150,$A56)&gt;0,1,0)</f>
        <v>0</v>
      </c>
      <c r="E56">
        <f>IF(COUNTIFS('United Data'!$A$3:$A$2150,E$1,'United Data'!$C$3:$C$2150,$A56)&gt;0,1,0)</f>
        <v>0</v>
      </c>
      <c r="F56">
        <f>IF(COUNTIFS('United Data'!$A$3:$A$2150,F$1,'United Data'!$C$3:$C$2150,$A56)&gt;0,1,0)</f>
        <v>1</v>
      </c>
      <c r="G56">
        <f>IF(COUNTIFS('United Data'!$A$3:$A$2150,G$1,'United Data'!$C$3:$C$2150,$A56)&gt;0,1,0)</f>
        <v>1</v>
      </c>
      <c r="H56">
        <f>IF(COUNTIFS('United Data'!$A$3:$A$2150,H$1,'United Data'!$C$3:$C$2150,$A56)&gt;0,1,0)</f>
        <v>1</v>
      </c>
      <c r="I56">
        <f>IF(COUNTIFS('United Data'!$A$3:$A$2150,I$1,'United Data'!$C$3:$C$2150,$A56)&gt;0,1,0)</f>
        <v>1</v>
      </c>
      <c r="J56">
        <f>IF(COUNTIFS('United Data'!$A$3:$A$2150,J$1,'United Data'!$C$3:$C$2150,$A56)&gt;0,1,0)</f>
        <v>1</v>
      </c>
      <c r="K56">
        <f>IF(COUNTIFS('United Data'!$A$3:$A$2150,K$1,'United Data'!$C$3:$C$2150,$A56)&gt;0,1,0)</f>
        <v>1</v>
      </c>
      <c r="L56">
        <f>IF(COUNTIFS('United Data'!$A$3:$A$2150,L$1,'United Data'!$C$3:$C$2150,$A56)&gt;0,1,0)</f>
        <v>1</v>
      </c>
      <c r="M56">
        <f>IF(COUNTIFS('United Data'!$A$3:$A$2150,M$1,'United Data'!$C$3:$C$2150,$A56)&gt;0,1,0)</f>
        <v>1</v>
      </c>
      <c r="N56">
        <f>IF(COUNTIFS('United Data'!$A$3:$A$2150,N$1,'United Data'!$C$3:$C$2150,$A56)&gt;0,1,0)</f>
        <v>1</v>
      </c>
      <c r="O56">
        <f>IF(COUNTIFS('United Data'!$A$3:$A$2150,O$1,'United Data'!$C$3:$C$2150,$A56)&gt;0,1,0)</f>
        <v>0</v>
      </c>
      <c r="P56">
        <f>IF(COUNTIFS('United Data'!$A$3:$A$2150,P$1,'United Data'!$C$3:$C$2150,$A56)&gt;0,1,0)</f>
        <v>0</v>
      </c>
      <c r="Q56">
        <f>IF(COUNTIFS('United Data'!$A$3:$A$2150,Q$1,'United Data'!$C$3:$C$2150,$A56)&gt;0,1,0)</f>
        <v>0</v>
      </c>
      <c r="R56">
        <f>IF(COUNTIFS('United Data'!$A$3:$A$2150,R$1,'United Data'!$C$3:$C$2150,$A56)&gt;0,1,0)</f>
        <v>0</v>
      </c>
      <c r="S56">
        <f t="shared" si="0"/>
        <v>9</v>
      </c>
      <c r="T56">
        <f t="shared" si="1"/>
        <v>1</v>
      </c>
    </row>
    <row r="57" spans="1:20" x14ac:dyDescent="0.2">
      <c r="A57" t="s">
        <v>102</v>
      </c>
      <c r="B57">
        <f>IF(COUNTIFS('United Data'!$A$3:$A$2150,B$1,'United Data'!$C$3:$C$2150,$A57)&gt;0,1,0)</f>
        <v>0</v>
      </c>
      <c r="C57">
        <f>IF(COUNTIFS('United Data'!$A$3:$A$2150,C$1,'United Data'!$C$3:$C$2150,$A57)&gt;0,1,0)</f>
        <v>0</v>
      </c>
      <c r="D57">
        <f>IF(COUNTIFS('United Data'!$A$3:$A$2150,D$1,'United Data'!$C$3:$C$2150,$A57)&gt;0,1,0)</f>
        <v>0</v>
      </c>
      <c r="E57">
        <f>IF(COUNTIFS('United Data'!$A$3:$A$2150,E$1,'United Data'!$C$3:$C$2150,$A57)&gt;0,1,0)</f>
        <v>0</v>
      </c>
      <c r="F57">
        <f>IF(COUNTIFS('United Data'!$A$3:$A$2150,F$1,'United Data'!$C$3:$C$2150,$A57)&gt;0,1,0)</f>
        <v>1</v>
      </c>
      <c r="G57">
        <f>IF(COUNTIFS('United Data'!$A$3:$A$2150,G$1,'United Data'!$C$3:$C$2150,$A57)&gt;0,1,0)</f>
        <v>1</v>
      </c>
      <c r="H57">
        <f>IF(COUNTIFS('United Data'!$A$3:$A$2150,H$1,'United Data'!$C$3:$C$2150,$A57)&gt;0,1,0)</f>
        <v>1</v>
      </c>
      <c r="I57">
        <f>IF(COUNTIFS('United Data'!$A$3:$A$2150,I$1,'United Data'!$C$3:$C$2150,$A57)&gt;0,1,0)</f>
        <v>1</v>
      </c>
      <c r="J57">
        <f>IF(COUNTIFS('United Data'!$A$3:$A$2150,J$1,'United Data'!$C$3:$C$2150,$A57)&gt;0,1,0)</f>
        <v>0</v>
      </c>
      <c r="K57">
        <f>IF(COUNTIFS('United Data'!$A$3:$A$2150,K$1,'United Data'!$C$3:$C$2150,$A57)&gt;0,1,0)</f>
        <v>0</v>
      </c>
      <c r="L57">
        <f>IF(COUNTIFS('United Data'!$A$3:$A$2150,L$1,'United Data'!$C$3:$C$2150,$A57)&gt;0,1,0)</f>
        <v>0</v>
      </c>
      <c r="M57">
        <f>IF(COUNTIFS('United Data'!$A$3:$A$2150,M$1,'United Data'!$C$3:$C$2150,$A57)&gt;0,1,0)</f>
        <v>0</v>
      </c>
      <c r="N57">
        <f>IF(COUNTIFS('United Data'!$A$3:$A$2150,N$1,'United Data'!$C$3:$C$2150,$A57)&gt;0,1,0)</f>
        <v>0</v>
      </c>
      <c r="O57">
        <f>IF(COUNTIFS('United Data'!$A$3:$A$2150,O$1,'United Data'!$C$3:$C$2150,$A57)&gt;0,1,0)</f>
        <v>0</v>
      </c>
      <c r="P57">
        <f>IF(COUNTIFS('United Data'!$A$3:$A$2150,P$1,'United Data'!$C$3:$C$2150,$A57)&gt;0,1,0)</f>
        <v>0</v>
      </c>
      <c r="Q57">
        <f>IF(COUNTIFS('United Data'!$A$3:$A$2150,Q$1,'United Data'!$C$3:$C$2150,$A57)&gt;0,1,0)</f>
        <v>0</v>
      </c>
      <c r="R57">
        <f>IF(COUNTIFS('United Data'!$A$3:$A$2150,R$1,'United Data'!$C$3:$C$2150,$A57)&gt;0,1,0)</f>
        <v>0</v>
      </c>
      <c r="S57">
        <f t="shared" si="0"/>
        <v>4</v>
      </c>
      <c r="T57">
        <f t="shared" si="1"/>
        <v>1</v>
      </c>
    </row>
    <row r="58" spans="1:20" x14ac:dyDescent="0.2">
      <c r="A58" t="s">
        <v>103</v>
      </c>
      <c r="B58">
        <f>IF(COUNTIFS('United Data'!$A$3:$A$2150,B$1,'United Data'!$C$3:$C$2150,$A58)&gt;0,1,0)</f>
        <v>0</v>
      </c>
      <c r="C58">
        <f>IF(COUNTIFS('United Data'!$A$3:$A$2150,C$1,'United Data'!$C$3:$C$2150,$A58)&gt;0,1,0)</f>
        <v>0</v>
      </c>
      <c r="D58">
        <f>IF(COUNTIFS('United Data'!$A$3:$A$2150,D$1,'United Data'!$C$3:$C$2150,$A58)&gt;0,1,0)</f>
        <v>0</v>
      </c>
      <c r="E58">
        <f>IF(COUNTIFS('United Data'!$A$3:$A$2150,E$1,'United Data'!$C$3:$C$2150,$A58)&gt;0,1,0)</f>
        <v>0</v>
      </c>
      <c r="F58">
        <f>IF(COUNTIFS('United Data'!$A$3:$A$2150,F$1,'United Data'!$C$3:$C$2150,$A58)&gt;0,1,0)</f>
        <v>1</v>
      </c>
      <c r="G58">
        <f>IF(COUNTIFS('United Data'!$A$3:$A$2150,G$1,'United Data'!$C$3:$C$2150,$A58)&gt;0,1,0)</f>
        <v>1</v>
      </c>
      <c r="H58">
        <f>IF(COUNTIFS('United Data'!$A$3:$A$2150,H$1,'United Data'!$C$3:$C$2150,$A58)&gt;0,1,0)</f>
        <v>0</v>
      </c>
      <c r="I58">
        <f>IF(COUNTIFS('United Data'!$A$3:$A$2150,I$1,'United Data'!$C$3:$C$2150,$A58)&gt;0,1,0)</f>
        <v>0</v>
      </c>
      <c r="J58">
        <f>IF(COUNTIFS('United Data'!$A$3:$A$2150,J$1,'United Data'!$C$3:$C$2150,$A58)&gt;0,1,0)</f>
        <v>0</v>
      </c>
      <c r="K58">
        <f>IF(COUNTIFS('United Data'!$A$3:$A$2150,K$1,'United Data'!$C$3:$C$2150,$A58)&gt;0,1,0)</f>
        <v>0</v>
      </c>
      <c r="L58">
        <f>IF(COUNTIFS('United Data'!$A$3:$A$2150,L$1,'United Data'!$C$3:$C$2150,$A58)&gt;0,1,0)</f>
        <v>0</v>
      </c>
      <c r="M58">
        <f>IF(COUNTIFS('United Data'!$A$3:$A$2150,M$1,'United Data'!$C$3:$C$2150,$A58)&gt;0,1,0)</f>
        <v>0</v>
      </c>
      <c r="N58">
        <f>IF(COUNTIFS('United Data'!$A$3:$A$2150,N$1,'United Data'!$C$3:$C$2150,$A58)&gt;0,1,0)</f>
        <v>0</v>
      </c>
      <c r="O58">
        <f>IF(COUNTIFS('United Data'!$A$3:$A$2150,O$1,'United Data'!$C$3:$C$2150,$A58)&gt;0,1,0)</f>
        <v>0</v>
      </c>
      <c r="P58">
        <f>IF(COUNTIFS('United Data'!$A$3:$A$2150,P$1,'United Data'!$C$3:$C$2150,$A58)&gt;0,1,0)</f>
        <v>0</v>
      </c>
      <c r="Q58">
        <f>IF(COUNTIFS('United Data'!$A$3:$A$2150,Q$1,'United Data'!$C$3:$C$2150,$A58)&gt;0,1,0)</f>
        <v>0</v>
      </c>
      <c r="R58">
        <f>IF(COUNTIFS('United Data'!$A$3:$A$2150,R$1,'United Data'!$C$3:$C$2150,$A58)&gt;0,1,0)</f>
        <v>0</v>
      </c>
      <c r="S58">
        <f t="shared" si="0"/>
        <v>2</v>
      </c>
      <c r="T58">
        <f t="shared" si="1"/>
        <v>1</v>
      </c>
    </row>
    <row r="59" spans="1:20" x14ac:dyDescent="0.2">
      <c r="A59" t="s">
        <v>104</v>
      </c>
      <c r="B59">
        <f>IF(COUNTIFS('United Data'!$A$3:$A$2150,B$1,'United Data'!$C$3:$C$2150,$A59)&gt;0,1,0)</f>
        <v>0</v>
      </c>
      <c r="C59">
        <f>IF(COUNTIFS('United Data'!$A$3:$A$2150,C$1,'United Data'!$C$3:$C$2150,$A59)&gt;0,1,0)</f>
        <v>0</v>
      </c>
      <c r="D59">
        <f>IF(COUNTIFS('United Data'!$A$3:$A$2150,D$1,'United Data'!$C$3:$C$2150,$A59)&gt;0,1,0)</f>
        <v>0</v>
      </c>
      <c r="E59">
        <f>IF(COUNTIFS('United Data'!$A$3:$A$2150,E$1,'United Data'!$C$3:$C$2150,$A59)&gt;0,1,0)</f>
        <v>0</v>
      </c>
      <c r="F59">
        <f>IF(COUNTIFS('United Data'!$A$3:$A$2150,F$1,'United Data'!$C$3:$C$2150,$A59)&gt;0,1,0)</f>
        <v>0</v>
      </c>
      <c r="G59">
        <f>IF(COUNTIFS('United Data'!$A$3:$A$2150,G$1,'United Data'!$C$3:$C$2150,$A59)&gt;0,1,0)</f>
        <v>1</v>
      </c>
      <c r="H59">
        <f>IF(COUNTIFS('United Data'!$A$3:$A$2150,H$1,'United Data'!$C$3:$C$2150,$A59)&gt;0,1,0)</f>
        <v>0</v>
      </c>
      <c r="I59">
        <f>IF(COUNTIFS('United Data'!$A$3:$A$2150,I$1,'United Data'!$C$3:$C$2150,$A59)&gt;0,1,0)</f>
        <v>0</v>
      </c>
      <c r="J59">
        <f>IF(COUNTIFS('United Data'!$A$3:$A$2150,J$1,'United Data'!$C$3:$C$2150,$A59)&gt;0,1,0)</f>
        <v>0</v>
      </c>
      <c r="K59">
        <f>IF(COUNTIFS('United Data'!$A$3:$A$2150,K$1,'United Data'!$C$3:$C$2150,$A59)&gt;0,1,0)</f>
        <v>0</v>
      </c>
      <c r="L59">
        <f>IF(COUNTIFS('United Data'!$A$3:$A$2150,L$1,'United Data'!$C$3:$C$2150,$A59)&gt;0,1,0)</f>
        <v>0</v>
      </c>
      <c r="M59">
        <f>IF(COUNTIFS('United Data'!$A$3:$A$2150,M$1,'United Data'!$C$3:$C$2150,$A59)&gt;0,1,0)</f>
        <v>0</v>
      </c>
      <c r="N59">
        <f>IF(COUNTIFS('United Data'!$A$3:$A$2150,N$1,'United Data'!$C$3:$C$2150,$A59)&gt;0,1,0)</f>
        <v>0</v>
      </c>
      <c r="O59">
        <f>IF(COUNTIFS('United Data'!$A$3:$A$2150,O$1,'United Data'!$C$3:$C$2150,$A59)&gt;0,1,0)</f>
        <v>0</v>
      </c>
      <c r="P59">
        <f>IF(COUNTIFS('United Data'!$A$3:$A$2150,P$1,'United Data'!$C$3:$C$2150,$A59)&gt;0,1,0)</f>
        <v>0</v>
      </c>
      <c r="Q59">
        <f>IF(COUNTIFS('United Data'!$A$3:$A$2150,Q$1,'United Data'!$C$3:$C$2150,$A59)&gt;0,1,0)</f>
        <v>0</v>
      </c>
      <c r="R59">
        <f>IF(COUNTIFS('United Data'!$A$3:$A$2150,R$1,'United Data'!$C$3:$C$2150,$A59)&gt;0,1,0)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105</v>
      </c>
      <c r="B60">
        <f>IF(COUNTIFS('United Data'!$A$3:$A$2150,B$1,'United Data'!$C$3:$C$2150,$A60)&gt;0,1,0)</f>
        <v>0</v>
      </c>
      <c r="C60">
        <f>IF(COUNTIFS('United Data'!$A$3:$A$2150,C$1,'United Data'!$C$3:$C$2150,$A60)&gt;0,1,0)</f>
        <v>0</v>
      </c>
      <c r="D60">
        <f>IF(COUNTIFS('United Data'!$A$3:$A$2150,D$1,'United Data'!$C$3:$C$2150,$A60)&gt;0,1,0)</f>
        <v>0</v>
      </c>
      <c r="E60">
        <f>IF(COUNTIFS('United Data'!$A$3:$A$2150,E$1,'United Data'!$C$3:$C$2150,$A60)&gt;0,1,0)</f>
        <v>0</v>
      </c>
      <c r="F60">
        <f>IF(COUNTIFS('United Data'!$A$3:$A$2150,F$1,'United Data'!$C$3:$C$2150,$A60)&gt;0,1,0)</f>
        <v>0</v>
      </c>
      <c r="G60">
        <f>IF(COUNTIFS('United Data'!$A$3:$A$2150,G$1,'United Data'!$C$3:$C$2150,$A60)&gt;0,1,0)</f>
        <v>1</v>
      </c>
      <c r="H60">
        <f>IF(COUNTIFS('United Data'!$A$3:$A$2150,H$1,'United Data'!$C$3:$C$2150,$A60)&gt;0,1,0)</f>
        <v>1</v>
      </c>
      <c r="I60">
        <f>IF(COUNTIFS('United Data'!$A$3:$A$2150,I$1,'United Data'!$C$3:$C$2150,$A60)&gt;0,1,0)</f>
        <v>0</v>
      </c>
      <c r="J60">
        <f>IF(COUNTIFS('United Data'!$A$3:$A$2150,J$1,'United Data'!$C$3:$C$2150,$A60)&gt;0,1,0)</f>
        <v>0</v>
      </c>
      <c r="K60">
        <f>IF(COUNTIFS('United Data'!$A$3:$A$2150,K$1,'United Data'!$C$3:$C$2150,$A60)&gt;0,1,0)</f>
        <v>0</v>
      </c>
      <c r="L60">
        <f>IF(COUNTIFS('United Data'!$A$3:$A$2150,L$1,'United Data'!$C$3:$C$2150,$A60)&gt;0,1,0)</f>
        <v>0</v>
      </c>
      <c r="M60">
        <f>IF(COUNTIFS('United Data'!$A$3:$A$2150,M$1,'United Data'!$C$3:$C$2150,$A60)&gt;0,1,0)</f>
        <v>0</v>
      </c>
      <c r="N60">
        <f>IF(COUNTIFS('United Data'!$A$3:$A$2150,N$1,'United Data'!$C$3:$C$2150,$A60)&gt;0,1,0)</f>
        <v>0</v>
      </c>
      <c r="O60">
        <f>IF(COUNTIFS('United Data'!$A$3:$A$2150,O$1,'United Data'!$C$3:$C$2150,$A60)&gt;0,1,0)</f>
        <v>0</v>
      </c>
      <c r="P60">
        <f>IF(COUNTIFS('United Data'!$A$3:$A$2150,P$1,'United Data'!$C$3:$C$2150,$A60)&gt;0,1,0)</f>
        <v>0</v>
      </c>
      <c r="Q60">
        <f>IF(COUNTIFS('United Data'!$A$3:$A$2150,Q$1,'United Data'!$C$3:$C$2150,$A60)&gt;0,1,0)</f>
        <v>0</v>
      </c>
      <c r="R60">
        <f>IF(COUNTIFS('United Data'!$A$3:$A$2150,R$1,'United Data'!$C$3:$C$2150,$A60)&gt;0,1,0)</f>
        <v>0</v>
      </c>
      <c r="S60">
        <f t="shared" si="0"/>
        <v>2</v>
      </c>
      <c r="T60">
        <f t="shared" si="1"/>
        <v>1</v>
      </c>
    </row>
    <row r="61" spans="1:20" x14ac:dyDescent="0.2">
      <c r="A61" t="s">
        <v>106</v>
      </c>
      <c r="B61">
        <f>IF(COUNTIFS('United Data'!$A$3:$A$2150,B$1,'United Data'!$C$3:$C$2150,$A61)&gt;0,1,0)</f>
        <v>0</v>
      </c>
      <c r="C61">
        <f>IF(COUNTIFS('United Data'!$A$3:$A$2150,C$1,'United Data'!$C$3:$C$2150,$A61)&gt;0,1,0)</f>
        <v>0</v>
      </c>
      <c r="D61">
        <f>IF(COUNTIFS('United Data'!$A$3:$A$2150,D$1,'United Data'!$C$3:$C$2150,$A61)&gt;0,1,0)</f>
        <v>0</v>
      </c>
      <c r="E61">
        <f>IF(COUNTIFS('United Data'!$A$3:$A$2150,E$1,'United Data'!$C$3:$C$2150,$A61)&gt;0,1,0)</f>
        <v>0</v>
      </c>
      <c r="F61">
        <f>IF(COUNTIFS('United Data'!$A$3:$A$2150,F$1,'United Data'!$C$3:$C$2150,$A61)&gt;0,1,0)</f>
        <v>0</v>
      </c>
      <c r="G61">
        <f>IF(COUNTIFS('United Data'!$A$3:$A$2150,G$1,'United Data'!$C$3:$C$2150,$A61)&gt;0,1,0)</f>
        <v>1</v>
      </c>
      <c r="H61">
        <f>IF(COUNTIFS('United Data'!$A$3:$A$2150,H$1,'United Data'!$C$3:$C$2150,$A61)&gt;0,1,0)</f>
        <v>0</v>
      </c>
      <c r="I61">
        <f>IF(COUNTIFS('United Data'!$A$3:$A$2150,I$1,'United Data'!$C$3:$C$2150,$A61)&gt;0,1,0)</f>
        <v>0</v>
      </c>
      <c r="J61">
        <f>IF(COUNTIFS('United Data'!$A$3:$A$2150,J$1,'United Data'!$C$3:$C$2150,$A61)&gt;0,1,0)</f>
        <v>0</v>
      </c>
      <c r="K61">
        <f>IF(COUNTIFS('United Data'!$A$3:$A$2150,K$1,'United Data'!$C$3:$C$2150,$A61)&gt;0,1,0)</f>
        <v>1</v>
      </c>
      <c r="L61">
        <f>IF(COUNTIFS('United Data'!$A$3:$A$2150,L$1,'United Data'!$C$3:$C$2150,$A61)&gt;0,1,0)</f>
        <v>0</v>
      </c>
      <c r="M61">
        <f>IF(COUNTIFS('United Data'!$A$3:$A$2150,M$1,'United Data'!$C$3:$C$2150,$A61)&gt;0,1,0)</f>
        <v>0</v>
      </c>
      <c r="N61">
        <f>IF(COUNTIFS('United Data'!$A$3:$A$2150,N$1,'United Data'!$C$3:$C$2150,$A61)&gt;0,1,0)</f>
        <v>0</v>
      </c>
      <c r="O61">
        <f>IF(COUNTIFS('United Data'!$A$3:$A$2150,O$1,'United Data'!$C$3:$C$2150,$A61)&gt;0,1,0)</f>
        <v>0</v>
      </c>
      <c r="P61">
        <f>IF(COUNTIFS('United Data'!$A$3:$A$2150,P$1,'United Data'!$C$3:$C$2150,$A61)&gt;0,1,0)</f>
        <v>0</v>
      </c>
      <c r="Q61">
        <f>IF(COUNTIFS('United Data'!$A$3:$A$2150,Q$1,'United Data'!$C$3:$C$2150,$A61)&gt;0,1,0)</f>
        <v>0</v>
      </c>
      <c r="R61">
        <f>IF(COUNTIFS('United Data'!$A$3:$A$2150,R$1,'United Data'!$C$3:$C$2150,$A61)&gt;0,1,0)</f>
        <v>0</v>
      </c>
      <c r="S61">
        <f t="shared" si="0"/>
        <v>2</v>
      </c>
      <c r="T61">
        <f t="shared" si="1"/>
        <v>2</v>
      </c>
    </row>
    <row r="62" spans="1:20" x14ac:dyDescent="0.2">
      <c r="A62" t="s">
        <v>107</v>
      </c>
      <c r="B62">
        <f>IF(COUNTIFS('United Data'!$A$3:$A$2150,B$1,'United Data'!$C$3:$C$2150,$A62)&gt;0,1,0)</f>
        <v>0</v>
      </c>
      <c r="C62">
        <f>IF(COUNTIFS('United Data'!$A$3:$A$2150,C$1,'United Data'!$C$3:$C$2150,$A62)&gt;0,1,0)</f>
        <v>0</v>
      </c>
      <c r="D62">
        <f>IF(COUNTIFS('United Data'!$A$3:$A$2150,D$1,'United Data'!$C$3:$C$2150,$A62)&gt;0,1,0)</f>
        <v>0</v>
      </c>
      <c r="E62">
        <f>IF(COUNTIFS('United Data'!$A$3:$A$2150,E$1,'United Data'!$C$3:$C$2150,$A62)&gt;0,1,0)</f>
        <v>0</v>
      </c>
      <c r="F62">
        <f>IF(COUNTIFS('United Data'!$A$3:$A$2150,F$1,'United Data'!$C$3:$C$2150,$A62)&gt;0,1,0)</f>
        <v>0</v>
      </c>
      <c r="G62">
        <f>IF(COUNTIFS('United Data'!$A$3:$A$2150,G$1,'United Data'!$C$3:$C$2150,$A62)&gt;0,1,0)</f>
        <v>1</v>
      </c>
      <c r="H62">
        <f>IF(COUNTIFS('United Data'!$A$3:$A$2150,H$1,'United Data'!$C$3:$C$2150,$A62)&gt;0,1,0)</f>
        <v>1</v>
      </c>
      <c r="I62">
        <f>IF(COUNTIFS('United Data'!$A$3:$A$2150,I$1,'United Data'!$C$3:$C$2150,$A62)&gt;0,1,0)</f>
        <v>1</v>
      </c>
      <c r="J62">
        <f>IF(COUNTIFS('United Data'!$A$3:$A$2150,J$1,'United Data'!$C$3:$C$2150,$A62)&gt;0,1,0)</f>
        <v>0</v>
      </c>
      <c r="K62">
        <f>IF(COUNTIFS('United Data'!$A$3:$A$2150,K$1,'United Data'!$C$3:$C$2150,$A62)&gt;0,1,0)</f>
        <v>1</v>
      </c>
      <c r="L62">
        <f>IF(COUNTIFS('United Data'!$A$3:$A$2150,L$1,'United Data'!$C$3:$C$2150,$A62)&gt;0,1,0)</f>
        <v>0</v>
      </c>
      <c r="M62">
        <f>IF(COUNTIFS('United Data'!$A$3:$A$2150,M$1,'United Data'!$C$3:$C$2150,$A62)&gt;0,1,0)</f>
        <v>0</v>
      </c>
      <c r="N62">
        <f>IF(COUNTIFS('United Data'!$A$3:$A$2150,N$1,'United Data'!$C$3:$C$2150,$A62)&gt;0,1,0)</f>
        <v>1</v>
      </c>
      <c r="O62">
        <f>IF(COUNTIFS('United Data'!$A$3:$A$2150,O$1,'United Data'!$C$3:$C$2150,$A62)&gt;0,1,0)</f>
        <v>0</v>
      </c>
      <c r="P62">
        <f>IF(COUNTIFS('United Data'!$A$3:$A$2150,P$1,'United Data'!$C$3:$C$2150,$A62)&gt;0,1,0)</f>
        <v>0</v>
      </c>
      <c r="Q62">
        <f>IF(COUNTIFS('United Data'!$A$3:$A$2150,Q$1,'United Data'!$C$3:$C$2150,$A62)&gt;0,1,0)</f>
        <v>0</v>
      </c>
      <c r="R62">
        <f>IF(COUNTIFS('United Data'!$A$3:$A$2150,R$1,'United Data'!$C$3:$C$2150,$A62)&gt;0,1,0)</f>
        <v>0</v>
      </c>
      <c r="S62">
        <f t="shared" si="0"/>
        <v>5</v>
      </c>
      <c r="T62">
        <f t="shared" si="1"/>
        <v>3</v>
      </c>
    </row>
    <row r="63" spans="1:20" x14ac:dyDescent="0.2">
      <c r="A63" t="s">
        <v>108</v>
      </c>
      <c r="B63">
        <f>IF(COUNTIFS('United Data'!$A$3:$A$2150,B$1,'United Data'!$C$3:$C$2150,$A63)&gt;0,1,0)</f>
        <v>0</v>
      </c>
      <c r="C63">
        <f>IF(COUNTIFS('United Data'!$A$3:$A$2150,C$1,'United Data'!$C$3:$C$2150,$A63)&gt;0,1,0)</f>
        <v>0</v>
      </c>
      <c r="D63">
        <f>IF(COUNTIFS('United Data'!$A$3:$A$2150,D$1,'United Data'!$C$3:$C$2150,$A63)&gt;0,1,0)</f>
        <v>0</v>
      </c>
      <c r="E63">
        <f>IF(COUNTIFS('United Data'!$A$3:$A$2150,E$1,'United Data'!$C$3:$C$2150,$A63)&gt;0,1,0)</f>
        <v>0</v>
      </c>
      <c r="F63">
        <f>IF(COUNTIFS('United Data'!$A$3:$A$2150,F$1,'United Data'!$C$3:$C$2150,$A63)&gt;0,1,0)</f>
        <v>0</v>
      </c>
      <c r="G63">
        <f>IF(COUNTIFS('United Data'!$A$3:$A$2150,G$1,'United Data'!$C$3:$C$2150,$A63)&gt;0,1,0)</f>
        <v>1</v>
      </c>
      <c r="H63">
        <f>IF(COUNTIFS('United Data'!$A$3:$A$2150,H$1,'United Data'!$C$3:$C$2150,$A63)&gt;0,1,0)</f>
        <v>0</v>
      </c>
      <c r="I63">
        <f>IF(COUNTIFS('United Data'!$A$3:$A$2150,I$1,'United Data'!$C$3:$C$2150,$A63)&gt;0,1,0)</f>
        <v>1</v>
      </c>
      <c r="J63">
        <f>IF(COUNTIFS('United Data'!$A$3:$A$2150,J$1,'United Data'!$C$3:$C$2150,$A63)&gt;0,1,0)</f>
        <v>0</v>
      </c>
      <c r="K63">
        <f>IF(COUNTIFS('United Data'!$A$3:$A$2150,K$1,'United Data'!$C$3:$C$2150,$A63)&gt;0,1,0)</f>
        <v>1</v>
      </c>
      <c r="L63">
        <f>IF(COUNTIFS('United Data'!$A$3:$A$2150,L$1,'United Data'!$C$3:$C$2150,$A63)&gt;0,1,0)</f>
        <v>0</v>
      </c>
      <c r="M63">
        <f>IF(COUNTIFS('United Data'!$A$3:$A$2150,M$1,'United Data'!$C$3:$C$2150,$A63)&gt;0,1,0)</f>
        <v>0</v>
      </c>
      <c r="N63">
        <f>IF(COUNTIFS('United Data'!$A$3:$A$2150,N$1,'United Data'!$C$3:$C$2150,$A63)&gt;0,1,0)</f>
        <v>0</v>
      </c>
      <c r="O63">
        <f>IF(COUNTIFS('United Data'!$A$3:$A$2150,O$1,'United Data'!$C$3:$C$2150,$A63)&gt;0,1,0)</f>
        <v>0</v>
      </c>
      <c r="P63">
        <f>IF(COUNTIFS('United Data'!$A$3:$A$2150,P$1,'United Data'!$C$3:$C$2150,$A63)&gt;0,1,0)</f>
        <v>0</v>
      </c>
      <c r="Q63">
        <f>IF(COUNTIFS('United Data'!$A$3:$A$2150,Q$1,'United Data'!$C$3:$C$2150,$A63)&gt;0,1,0)</f>
        <v>0</v>
      </c>
      <c r="R63">
        <f>IF(COUNTIFS('United Data'!$A$3:$A$2150,R$1,'United Data'!$C$3:$C$2150,$A63)&gt;0,1,0)</f>
        <v>0</v>
      </c>
      <c r="S63">
        <f t="shared" si="0"/>
        <v>3</v>
      </c>
      <c r="T63">
        <f t="shared" si="1"/>
        <v>3</v>
      </c>
    </row>
    <row r="64" spans="1:20" x14ac:dyDescent="0.2">
      <c r="A64" t="s">
        <v>109</v>
      </c>
      <c r="B64">
        <f>IF(COUNTIFS('United Data'!$A$3:$A$2150,B$1,'United Data'!$C$3:$C$2150,$A64)&gt;0,1,0)</f>
        <v>0</v>
      </c>
      <c r="C64">
        <f>IF(COUNTIFS('United Data'!$A$3:$A$2150,C$1,'United Data'!$C$3:$C$2150,$A64)&gt;0,1,0)</f>
        <v>0</v>
      </c>
      <c r="D64">
        <f>IF(COUNTIFS('United Data'!$A$3:$A$2150,D$1,'United Data'!$C$3:$C$2150,$A64)&gt;0,1,0)</f>
        <v>0</v>
      </c>
      <c r="E64">
        <f>IF(COUNTIFS('United Data'!$A$3:$A$2150,E$1,'United Data'!$C$3:$C$2150,$A64)&gt;0,1,0)</f>
        <v>0</v>
      </c>
      <c r="F64">
        <f>IF(COUNTIFS('United Data'!$A$3:$A$2150,F$1,'United Data'!$C$3:$C$2150,$A64)&gt;0,1,0)</f>
        <v>0</v>
      </c>
      <c r="G64">
        <f>IF(COUNTIFS('United Data'!$A$3:$A$2150,G$1,'United Data'!$C$3:$C$2150,$A64)&gt;0,1,0)</f>
        <v>1</v>
      </c>
      <c r="H64">
        <f>IF(COUNTIFS('United Data'!$A$3:$A$2150,H$1,'United Data'!$C$3:$C$2150,$A64)&gt;0,1,0)</f>
        <v>0</v>
      </c>
      <c r="I64">
        <f>IF(COUNTIFS('United Data'!$A$3:$A$2150,I$1,'United Data'!$C$3:$C$2150,$A64)&gt;0,1,0)</f>
        <v>0</v>
      </c>
      <c r="J64">
        <f>IF(COUNTIFS('United Data'!$A$3:$A$2150,J$1,'United Data'!$C$3:$C$2150,$A64)&gt;0,1,0)</f>
        <v>0</v>
      </c>
      <c r="K64">
        <f>IF(COUNTIFS('United Data'!$A$3:$A$2150,K$1,'United Data'!$C$3:$C$2150,$A64)&gt;0,1,0)</f>
        <v>1</v>
      </c>
      <c r="L64">
        <f>IF(COUNTIFS('United Data'!$A$3:$A$2150,L$1,'United Data'!$C$3:$C$2150,$A64)&gt;0,1,0)</f>
        <v>0</v>
      </c>
      <c r="M64">
        <f>IF(COUNTIFS('United Data'!$A$3:$A$2150,M$1,'United Data'!$C$3:$C$2150,$A64)&gt;0,1,0)</f>
        <v>0</v>
      </c>
      <c r="N64">
        <f>IF(COUNTIFS('United Data'!$A$3:$A$2150,N$1,'United Data'!$C$3:$C$2150,$A64)&gt;0,1,0)</f>
        <v>0</v>
      </c>
      <c r="O64">
        <f>IF(COUNTIFS('United Data'!$A$3:$A$2150,O$1,'United Data'!$C$3:$C$2150,$A64)&gt;0,1,0)</f>
        <v>0</v>
      </c>
      <c r="P64">
        <f>IF(COUNTIFS('United Data'!$A$3:$A$2150,P$1,'United Data'!$C$3:$C$2150,$A64)&gt;0,1,0)</f>
        <v>0</v>
      </c>
      <c r="Q64">
        <f>IF(COUNTIFS('United Data'!$A$3:$A$2150,Q$1,'United Data'!$C$3:$C$2150,$A64)&gt;0,1,0)</f>
        <v>0</v>
      </c>
      <c r="R64">
        <f>IF(COUNTIFS('United Data'!$A$3:$A$2150,R$1,'United Data'!$C$3:$C$2150,$A64)&gt;0,1,0)</f>
        <v>0</v>
      </c>
      <c r="S64">
        <f t="shared" si="0"/>
        <v>2</v>
      </c>
      <c r="T64">
        <f t="shared" si="1"/>
        <v>2</v>
      </c>
    </row>
    <row r="65" spans="1:20" x14ac:dyDescent="0.2">
      <c r="A65" t="s">
        <v>110</v>
      </c>
      <c r="B65">
        <f>IF(COUNTIFS('United Data'!$A$3:$A$2150,B$1,'United Data'!$C$3:$C$2150,$A65)&gt;0,1,0)</f>
        <v>0</v>
      </c>
      <c r="C65">
        <f>IF(COUNTIFS('United Data'!$A$3:$A$2150,C$1,'United Data'!$C$3:$C$2150,$A65)&gt;0,1,0)</f>
        <v>0</v>
      </c>
      <c r="D65">
        <f>IF(COUNTIFS('United Data'!$A$3:$A$2150,D$1,'United Data'!$C$3:$C$2150,$A65)&gt;0,1,0)</f>
        <v>0</v>
      </c>
      <c r="E65">
        <f>IF(COUNTIFS('United Data'!$A$3:$A$2150,E$1,'United Data'!$C$3:$C$2150,$A65)&gt;0,1,0)</f>
        <v>0</v>
      </c>
      <c r="F65">
        <f>IF(COUNTIFS('United Data'!$A$3:$A$2150,F$1,'United Data'!$C$3:$C$2150,$A65)&gt;0,1,0)</f>
        <v>0</v>
      </c>
      <c r="G65">
        <f>IF(COUNTIFS('United Data'!$A$3:$A$2150,G$1,'United Data'!$C$3:$C$2150,$A65)&gt;0,1,0)</f>
        <v>1</v>
      </c>
      <c r="H65">
        <f>IF(COUNTIFS('United Data'!$A$3:$A$2150,H$1,'United Data'!$C$3:$C$2150,$A65)&gt;0,1,0)</f>
        <v>1</v>
      </c>
      <c r="I65">
        <f>IF(COUNTIFS('United Data'!$A$3:$A$2150,I$1,'United Data'!$C$3:$C$2150,$A65)&gt;0,1,0)</f>
        <v>1</v>
      </c>
      <c r="J65">
        <f>IF(COUNTIFS('United Data'!$A$3:$A$2150,J$1,'United Data'!$C$3:$C$2150,$A65)&gt;0,1,0)</f>
        <v>1</v>
      </c>
      <c r="K65">
        <f>IF(COUNTIFS('United Data'!$A$3:$A$2150,K$1,'United Data'!$C$3:$C$2150,$A65)&gt;0,1,0)</f>
        <v>1</v>
      </c>
      <c r="L65">
        <f>IF(COUNTIFS('United Data'!$A$3:$A$2150,L$1,'United Data'!$C$3:$C$2150,$A65)&gt;0,1,0)</f>
        <v>1</v>
      </c>
      <c r="M65">
        <f>IF(COUNTIFS('United Data'!$A$3:$A$2150,M$1,'United Data'!$C$3:$C$2150,$A65)&gt;0,1,0)</f>
        <v>1</v>
      </c>
      <c r="N65">
        <f>IF(COUNTIFS('United Data'!$A$3:$A$2150,N$1,'United Data'!$C$3:$C$2150,$A65)&gt;0,1,0)</f>
        <v>0</v>
      </c>
      <c r="O65">
        <f>IF(COUNTIFS('United Data'!$A$3:$A$2150,O$1,'United Data'!$C$3:$C$2150,$A65)&gt;0,1,0)</f>
        <v>0</v>
      </c>
      <c r="P65">
        <f>IF(COUNTIFS('United Data'!$A$3:$A$2150,P$1,'United Data'!$C$3:$C$2150,$A65)&gt;0,1,0)</f>
        <v>0</v>
      </c>
      <c r="Q65">
        <f>IF(COUNTIFS('United Data'!$A$3:$A$2150,Q$1,'United Data'!$C$3:$C$2150,$A65)&gt;0,1,0)</f>
        <v>0</v>
      </c>
      <c r="R65">
        <f>IF(COUNTIFS('United Data'!$A$3:$A$2150,R$1,'United Data'!$C$3:$C$2150,$A65)&gt;0,1,0)</f>
        <v>0</v>
      </c>
      <c r="S65">
        <f t="shared" si="0"/>
        <v>7</v>
      </c>
      <c r="T65">
        <f t="shared" si="1"/>
        <v>1</v>
      </c>
    </row>
    <row r="66" spans="1:20" x14ac:dyDescent="0.2">
      <c r="A66" t="s">
        <v>111</v>
      </c>
      <c r="B66">
        <f>IF(COUNTIFS('United Data'!$A$3:$A$2150,B$1,'United Data'!$C$3:$C$2150,$A66)&gt;0,1,0)</f>
        <v>0</v>
      </c>
      <c r="C66">
        <f>IF(COUNTIFS('United Data'!$A$3:$A$2150,C$1,'United Data'!$C$3:$C$2150,$A66)&gt;0,1,0)</f>
        <v>0</v>
      </c>
      <c r="D66">
        <f>IF(COUNTIFS('United Data'!$A$3:$A$2150,D$1,'United Data'!$C$3:$C$2150,$A66)&gt;0,1,0)</f>
        <v>0</v>
      </c>
      <c r="E66">
        <f>IF(COUNTIFS('United Data'!$A$3:$A$2150,E$1,'United Data'!$C$3:$C$2150,$A66)&gt;0,1,0)</f>
        <v>0</v>
      </c>
      <c r="F66">
        <f>IF(COUNTIFS('United Data'!$A$3:$A$2150,F$1,'United Data'!$C$3:$C$2150,$A66)&gt;0,1,0)</f>
        <v>0</v>
      </c>
      <c r="G66">
        <f>IF(COUNTIFS('United Data'!$A$3:$A$2150,G$1,'United Data'!$C$3:$C$2150,$A66)&gt;0,1,0)</f>
        <v>1</v>
      </c>
      <c r="H66">
        <f>IF(COUNTIFS('United Data'!$A$3:$A$2150,H$1,'United Data'!$C$3:$C$2150,$A66)&gt;0,1,0)</f>
        <v>1</v>
      </c>
      <c r="I66">
        <f>IF(COUNTIFS('United Data'!$A$3:$A$2150,I$1,'United Data'!$C$3:$C$2150,$A66)&gt;0,1,0)</f>
        <v>0</v>
      </c>
      <c r="J66">
        <f>IF(COUNTIFS('United Data'!$A$3:$A$2150,J$1,'United Data'!$C$3:$C$2150,$A66)&gt;0,1,0)</f>
        <v>1</v>
      </c>
      <c r="K66">
        <f>IF(COUNTIFS('United Data'!$A$3:$A$2150,K$1,'United Data'!$C$3:$C$2150,$A66)&gt;0,1,0)</f>
        <v>0</v>
      </c>
      <c r="L66">
        <f>IF(COUNTIFS('United Data'!$A$3:$A$2150,L$1,'United Data'!$C$3:$C$2150,$A66)&gt;0,1,0)</f>
        <v>1</v>
      </c>
      <c r="M66">
        <f>IF(COUNTIFS('United Data'!$A$3:$A$2150,M$1,'United Data'!$C$3:$C$2150,$A66)&gt;0,1,0)</f>
        <v>0</v>
      </c>
      <c r="N66">
        <f>IF(COUNTIFS('United Data'!$A$3:$A$2150,N$1,'United Data'!$C$3:$C$2150,$A66)&gt;0,1,0)</f>
        <v>0</v>
      </c>
      <c r="O66">
        <f>IF(COUNTIFS('United Data'!$A$3:$A$2150,O$1,'United Data'!$C$3:$C$2150,$A66)&gt;0,1,0)</f>
        <v>0</v>
      </c>
      <c r="P66">
        <f>IF(COUNTIFS('United Data'!$A$3:$A$2150,P$1,'United Data'!$C$3:$C$2150,$A66)&gt;0,1,0)</f>
        <v>0</v>
      </c>
      <c r="Q66">
        <f>IF(COUNTIFS('United Data'!$A$3:$A$2150,Q$1,'United Data'!$C$3:$C$2150,$A66)&gt;0,1,0)</f>
        <v>0</v>
      </c>
      <c r="R66">
        <f>IF(COUNTIFS('United Data'!$A$3:$A$2150,R$1,'United Data'!$C$3:$C$2150,$A66)&gt;0,1,0)</f>
        <v>0</v>
      </c>
      <c r="S66">
        <f t="shared" ref="S66:S129" si="2">SUM(B66:R66)</f>
        <v>4</v>
      </c>
      <c r="T66">
        <f t="shared" ref="T66:T129" si="3">B66+SUMPRODUCT(--(C66:R66&gt;B66:Q66))</f>
        <v>3</v>
      </c>
    </row>
    <row r="67" spans="1:20" x14ac:dyDescent="0.2">
      <c r="A67" t="s">
        <v>112</v>
      </c>
      <c r="B67">
        <f>IF(COUNTIFS('United Data'!$A$3:$A$2150,B$1,'United Data'!$C$3:$C$2150,$A67)&gt;0,1,0)</f>
        <v>0</v>
      </c>
      <c r="C67">
        <f>IF(COUNTIFS('United Data'!$A$3:$A$2150,C$1,'United Data'!$C$3:$C$2150,$A67)&gt;0,1,0)</f>
        <v>0</v>
      </c>
      <c r="D67">
        <f>IF(COUNTIFS('United Data'!$A$3:$A$2150,D$1,'United Data'!$C$3:$C$2150,$A67)&gt;0,1,0)</f>
        <v>0</v>
      </c>
      <c r="E67">
        <f>IF(COUNTIFS('United Data'!$A$3:$A$2150,E$1,'United Data'!$C$3:$C$2150,$A67)&gt;0,1,0)</f>
        <v>0</v>
      </c>
      <c r="F67">
        <f>IF(COUNTIFS('United Data'!$A$3:$A$2150,F$1,'United Data'!$C$3:$C$2150,$A67)&gt;0,1,0)</f>
        <v>0</v>
      </c>
      <c r="G67">
        <f>IF(COUNTIFS('United Data'!$A$3:$A$2150,G$1,'United Data'!$C$3:$C$2150,$A67)&gt;0,1,0)</f>
        <v>1</v>
      </c>
      <c r="H67">
        <f>IF(COUNTIFS('United Data'!$A$3:$A$2150,H$1,'United Data'!$C$3:$C$2150,$A67)&gt;0,1,0)</f>
        <v>0</v>
      </c>
      <c r="I67">
        <f>IF(COUNTIFS('United Data'!$A$3:$A$2150,I$1,'United Data'!$C$3:$C$2150,$A67)&gt;0,1,0)</f>
        <v>0</v>
      </c>
      <c r="J67">
        <f>IF(COUNTIFS('United Data'!$A$3:$A$2150,J$1,'United Data'!$C$3:$C$2150,$A67)&gt;0,1,0)</f>
        <v>0</v>
      </c>
      <c r="K67">
        <f>IF(COUNTIFS('United Data'!$A$3:$A$2150,K$1,'United Data'!$C$3:$C$2150,$A67)&gt;0,1,0)</f>
        <v>0</v>
      </c>
      <c r="L67">
        <f>IF(COUNTIFS('United Data'!$A$3:$A$2150,L$1,'United Data'!$C$3:$C$2150,$A67)&gt;0,1,0)</f>
        <v>0</v>
      </c>
      <c r="M67">
        <f>IF(COUNTIFS('United Data'!$A$3:$A$2150,M$1,'United Data'!$C$3:$C$2150,$A67)&gt;0,1,0)</f>
        <v>0</v>
      </c>
      <c r="N67">
        <f>IF(COUNTIFS('United Data'!$A$3:$A$2150,N$1,'United Data'!$C$3:$C$2150,$A67)&gt;0,1,0)</f>
        <v>0</v>
      </c>
      <c r="O67">
        <f>IF(COUNTIFS('United Data'!$A$3:$A$2150,O$1,'United Data'!$C$3:$C$2150,$A67)&gt;0,1,0)</f>
        <v>0</v>
      </c>
      <c r="P67">
        <f>IF(COUNTIFS('United Data'!$A$3:$A$2150,P$1,'United Data'!$C$3:$C$2150,$A67)&gt;0,1,0)</f>
        <v>0</v>
      </c>
      <c r="Q67">
        <f>IF(COUNTIFS('United Data'!$A$3:$A$2150,Q$1,'United Data'!$C$3:$C$2150,$A67)&gt;0,1,0)</f>
        <v>0</v>
      </c>
      <c r="R67">
        <f>IF(COUNTIFS('United Data'!$A$3:$A$2150,R$1,'United Data'!$C$3:$C$2150,$A67)&gt;0,1,0)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113</v>
      </c>
      <c r="B68">
        <f>IF(COUNTIFS('United Data'!$A$3:$A$2150,B$1,'United Data'!$C$3:$C$2150,$A68)&gt;0,1,0)</f>
        <v>0</v>
      </c>
      <c r="C68">
        <f>IF(COUNTIFS('United Data'!$A$3:$A$2150,C$1,'United Data'!$C$3:$C$2150,$A68)&gt;0,1,0)</f>
        <v>0</v>
      </c>
      <c r="D68">
        <f>IF(COUNTIFS('United Data'!$A$3:$A$2150,D$1,'United Data'!$C$3:$C$2150,$A68)&gt;0,1,0)</f>
        <v>0</v>
      </c>
      <c r="E68">
        <f>IF(COUNTIFS('United Data'!$A$3:$A$2150,E$1,'United Data'!$C$3:$C$2150,$A68)&gt;0,1,0)</f>
        <v>0</v>
      </c>
      <c r="F68">
        <f>IF(COUNTIFS('United Data'!$A$3:$A$2150,F$1,'United Data'!$C$3:$C$2150,$A68)&gt;0,1,0)</f>
        <v>0</v>
      </c>
      <c r="G68">
        <f>IF(COUNTIFS('United Data'!$A$3:$A$2150,G$1,'United Data'!$C$3:$C$2150,$A68)&gt;0,1,0)</f>
        <v>1</v>
      </c>
      <c r="H68">
        <f>IF(COUNTIFS('United Data'!$A$3:$A$2150,H$1,'United Data'!$C$3:$C$2150,$A68)&gt;0,1,0)</f>
        <v>1</v>
      </c>
      <c r="I68">
        <f>IF(COUNTIFS('United Data'!$A$3:$A$2150,I$1,'United Data'!$C$3:$C$2150,$A68)&gt;0,1,0)</f>
        <v>1</v>
      </c>
      <c r="J68">
        <f>IF(COUNTIFS('United Data'!$A$3:$A$2150,J$1,'United Data'!$C$3:$C$2150,$A68)&gt;0,1,0)</f>
        <v>0</v>
      </c>
      <c r="K68">
        <f>IF(COUNTIFS('United Data'!$A$3:$A$2150,K$1,'United Data'!$C$3:$C$2150,$A68)&gt;0,1,0)</f>
        <v>0</v>
      </c>
      <c r="L68">
        <f>IF(COUNTIFS('United Data'!$A$3:$A$2150,L$1,'United Data'!$C$3:$C$2150,$A68)&gt;0,1,0)</f>
        <v>0</v>
      </c>
      <c r="M68">
        <f>IF(COUNTIFS('United Data'!$A$3:$A$2150,M$1,'United Data'!$C$3:$C$2150,$A68)&gt;0,1,0)</f>
        <v>0</v>
      </c>
      <c r="N68">
        <f>IF(COUNTIFS('United Data'!$A$3:$A$2150,N$1,'United Data'!$C$3:$C$2150,$A68)&gt;0,1,0)</f>
        <v>0</v>
      </c>
      <c r="O68">
        <f>IF(COUNTIFS('United Data'!$A$3:$A$2150,O$1,'United Data'!$C$3:$C$2150,$A68)&gt;0,1,0)</f>
        <v>0</v>
      </c>
      <c r="P68">
        <f>IF(COUNTIFS('United Data'!$A$3:$A$2150,P$1,'United Data'!$C$3:$C$2150,$A68)&gt;0,1,0)</f>
        <v>0</v>
      </c>
      <c r="Q68">
        <f>IF(COUNTIFS('United Data'!$A$3:$A$2150,Q$1,'United Data'!$C$3:$C$2150,$A68)&gt;0,1,0)</f>
        <v>0</v>
      </c>
      <c r="R68">
        <f>IF(COUNTIFS('United Data'!$A$3:$A$2150,R$1,'United Data'!$C$3:$C$2150,$A68)&gt;0,1,0)</f>
        <v>0</v>
      </c>
      <c r="S68">
        <f t="shared" si="2"/>
        <v>3</v>
      </c>
      <c r="T68">
        <f t="shared" si="3"/>
        <v>1</v>
      </c>
    </row>
    <row r="69" spans="1:20" x14ac:dyDescent="0.2">
      <c r="A69" t="s">
        <v>114</v>
      </c>
      <c r="B69">
        <f>IF(COUNTIFS('United Data'!$A$3:$A$2150,B$1,'United Data'!$C$3:$C$2150,$A69)&gt;0,1,0)</f>
        <v>0</v>
      </c>
      <c r="C69">
        <f>IF(COUNTIFS('United Data'!$A$3:$A$2150,C$1,'United Data'!$C$3:$C$2150,$A69)&gt;0,1,0)</f>
        <v>0</v>
      </c>
      <c r="D69">
        <f>IF(COUNTIFS('United Data'!$A$3:$A$2150,D$1,'United Data'!$C$3:$C$2150,$A69)&gt;0,1,0)</f>
        <v>0</v>
      </c>
      <c r="E69">
        <f>IF(COUNTIFS('United Data'!$A$3:$A$2150,E$1,'United Data'!$C$3:$C$2150,$A69)&gt;0,1,0)</f>
        <v>0</v>
      </c>
      <c r="F69">
        <f>IF(COUNTIFS('United Data'!$A$3:$A$2150,F$1,'United Data'!$C$3:$C$2150,$A69)&gt;0,1,0)</f>
        <v>0</v>
      </c>
      <c r="G69">
        <f>IF(COUNTIFS('United Data'!$A$3:$A$2150,G$1,'United Data'!$C$3:$C$2150,$A69)&gt;0,1,0)</f>
        <v>1</v>
      </c>
      <c r="H69">
        <f>IF(COUNTIFS('United Data'!$A$3:$A$2150,H$1,'United Data'!$C$3:$C$2150,$A69)&gt;0,1,0)</f>
        <v>0</v>
      </c>
      <c r="I69">
        <f>IF(COUNTIFS('United Data'!$A$3:$A$2150,I$1,'United Data'!$C$3:$C$2150,$A69)&gt;0,1,0)</f>
        <v>0</v>
      </c>
      <c r="J69">
        <f>IF(COUNTIFS('United Data'!$A$3:$A$2150,J$1,'United Data'!$C$3:$C$2150,$A69)&gt;0,1,0)</f>
        <v>0</v>
      </c>
      <c r="K69">
        <f>IF(COUNTIFS('United Data'!$A$3:$A$2150,K$1,'United Data'!$C$3:$C$2150,$A69)&gt;0,1,0)</f>
        <v>0</v>
      </c>
      <c r="L69">
        <f>IF(COUNTIFS('United Data'!$A$3:$A$2150,L$1,'United Data'!$C$3:$C$2150,$A69)&gt;0,1,0)</f>
        <v>0</v>
      </c>
      <c r="M69">
        <f>IF(COUNTIFS('United Data'!$A$3:$A$2150,M$1,'United Data'!$C$3:$C$2150,$A69)&gt;0,1,0)</f>
        <v>0</v>
      </c>
      <c r="N69">
        <f>IF(COUNTIFS('United Data'!$A$3:$A$2150,N$1,'United Data'!$C$3:$C$2150,$A69)&gt;0,1,0)</f>
        <v>0</v>
      </c>
      <c r="O69">
        <f>IF(COUNTIFS('United Data'!$A$3:$A$2150,O$1,'United Data'!$C$3:$C$2150,$A69)&gt;0,1,0)</f>
        <v>0</v>
      </c>
      <c r="P69">
        <f>IF(COUNTIFS('United Data'!$A$3:$A$2150,P$1,'United Data'!$C$3:$C$2150,$A69)&gt;0,1,0)</f>
        <v>0</v>
      </c>
      <c r="Q69">
        <f>IF(COUNTIFS('United Data'!$A$3:$A$2150,Q$1,'United Data'!$C$3:$C$2150,$A69)&gt;0,1,0)</f>
        <v>0</v>
      </c>
      <c r="R69">
        <f>IF(COUNTIFS('United Data'!$A$3:$A$2150,R$1,'United Data'!$C$3:$C$2150,$A69)&gt;0,1,0)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115</v>
      </c>
      <c r="B70">
        <f>IF(COUNTIFS('United Data'!$A$3:$A$2150,B$1,'United Data'!$C$3:$C$2150,$A70)&gt;0,1,0)</f>
        <v>0</v>
      </c>
      <c r="C70">
        <f>IF(COUNTIFS('United Data'!$A$3:$A$2150,C$1,'United Data'!$C$3:$C$2150,$A70)&gt;0,1,0)</f>
        <v>0</v>
      </c>
      <c r="D70">
        <f>IF(COUNTIFS('United Data'!$A$3:$A$2150,D$1,'United Data'!$C$3:$C$2150,$A70)&gt;0,1,0)</f>
        <v>0</v>
      </c>
      <c r="E70">
        <f>IF(COUNTIFS('United Data'!$A$3:$A$2150,E$1,'United Data'!$C$3:$C$2150,$A70)&gt;0,1,0)</f>
        <v>0</v>
      </c>
      <c r="F70">
        <f>IF(COUNTIFS('United Data'!$A$3:$A$2150,F$1,'United Data'!$C$3:$C$2150,$A70)&gt;0,1,0)</f>
        <v>0</v>
      </c>
      <c r="G70">
        <f>IF(COUNTIFS('United Data'!$A$3:$A$2150,G$1,'United Data'!$C$3:$C$2150,$A70)&gt;0,1,0)</f>
        <v>1</v>
      </c>
      <c r="H70">
        <f>IF(COUNTIFS('United Data'!$A$3:$A$2150,H$1,'United Data'!$C$3:$C$2150,$A70)&gt;0,1,0)</f>
        <v>1</v>
      </c>
      <c r="I70">
        <f>IF(COUNTIFS('United Data'!$A$3:$A$2150,I$1,'United Data'!$C$3:$C$2150,$A70)&gt;0,1,0)</f>
        <v>0</v>
      </c>
      <c r="J70">
        <f>IF(COUNTIFS('United Data'!$A$3:$A$2150,J$1,'United Data'!$C$3:$C$2150,$A70)&gt;0,1,0)</f>
        <v>0</v>
      </c>
      <c r="K70">
        <f>IF(COUNTIFS('United Data'!$A$3:$A$2150,K$1,'United Data'!$C$3:$C$2150,$A70)&gt;0,1,0)</f>
        <v>0</v>
      </c>
      <c r="L70">
        <f>IF(COUNTIFS('United Data'!$A$3:$A$2150,L$1,'United Data'!$C$3:$C$2150,$A70)&gt;0,1,0)</f>
        <v>0</v>
      </c>
      <c r="M70">
        <f>IF(COUNTIFS('United Data'!$A$3:$A$2150,M$1,'United Data'!$C$3:$C$2150,$A70)&gt;0,1,0)</f>
        <v>0</v>
      </c>
      <c r="N70">
        <f>IF(COUNTIFS('United Data'!$A$3:$A$2150,N$1,'United Data'!$C$3:$C$2150,$A70)&gt;0,1,0)</f>
        <v>0</v>
      </c>
      <c r="O70">
        <f>IF(COUNTIFS('United Data'!$A$3:$A$2150,O$1,'United Data'!$C$3:$C$2150,$A70)&gt;0,1,0)</f>
        <v>0</v>
      </c>
      <c r="P70">
        <f>IF(COUNTIFS('United Data'!$A$3:$A$2150,P$1,'United Data'!$C$3:$C$2150,$A70)&gt;0,1,0)</f>
        <v>0</v>
      </c>
      <c r="Q70">
        <f>IF(COUNTIFS('United Data'!$A$3:$A$2150,Q$1,'United Data'!$C$3:$C$2150,$A70)&gt;0,1,0)</f>
        <v>0</v>
      </c>
      <c r="R70">
        <f>IF(COUNTIFS('United Data'!$A$3:$A$2150,R$1,'United Data'!$C$3:$C$2150,$A70)&gt;0,1,0)</f>
        <v>0</v>
      </c>
      <c r="S70">
        <f t="shared" si="2"/>
        <v>2</v>
      </c>
      <c r="T70">
        <f t="shared" si="3"/>
        <v>1</v>
      </c>
    </row>
    <row r="71" spans="1:20" x14ac:dyDescent="0.2">
      <c r="A71" t="s">
        <v>116</v>
      </c>
      <c r="B71">
        <f>IF(COUNTIFS('United Data'!$A$3:$A$2150,B$1,'United Data'!$C$3:$C$2150,$A71)&gt;0,1,0)</f>
        <v>0</v>
      </c>
      <c r="C71">
        <f>IF(COUNTIFS('United Data'!$A$3:$A$2150,C$1,'United Data'!$C$3:$C$2150,$A71)&gt;0,1,0)</f>
        <v>0</v>
      </c>
      <c r="D71">
        <f>IF(COUNTIFS('United Data'!$A$3:$A$2150,D$1,'United Data'!$C$3:$C$2150,$A71)&gt;0,1,0)</f>
        <v>0</v>
      </c>
      <c r="E71">
        <f>IF(COUNTIFS('United Data'!$A$3:$A$2150,E$1,'United Data'!$C$3:$C$2150,$A71)&gt;0,1,0)</f>
        <v>0</v>
      </c>
      <c r="F71">
        <f>IF(COUNTIFS('United Data'!$A$3:$A$2150,F$1,'United Data'!$C$3:$C$2150,$A71)&gt;0,1,0)</f>
        <v>0</v>
      </c>
      <c r="G71">
        <f>IF(COUNTIFS('United Data'!$A$3:$A$2150,G$1,'United Data'!$C$3:$C$2150,$A71)&gt;0,1,0)</f>
        <v>1</v>
      </c>
      <c r="H71">
        <f>IF(COUNTIFS('United Data'!$A$3:$A$2150,H$1,'United Data'!$C$3:$C$2150,$A71)&gt;0,1,0)</f>
        <v>0</v>
      </c>
      <c r="I71">
        <f>IF(COUNTIFS('United Data'!$A$3:$A$2150,I$1,'United Data'!$C$3:$C$2150,$A71)&gt;0,1,0)</f>
        <v>0</v>
      </c>
      <c r="J71">
        <f>IF(COUNTIFS('United Data'!$A$3:$A$2150,J$1,'United Data'!$C$3:$C$2150,$A71)&gt;0,1,0)</f>
        <v>0</v>
      </c>
      <c r="K71">
        <f>IF(COUNTIFS('United Data'!$A$3:$A$2150,K$1,'United Data'!$C$3:$C$2150,$A71)&gt;0,1,0)</f>
        <v>0</v>
      </c>
      <c r="L71">
        <f>IF(COUNTIFS('United Data'!$A$3:$A$2150,L$1,'United Data'!$C$3:$C$2150,$A71)&gt;0,1,0)</f>
        <v>0</v>
      </c>
      <c r="M71">
        <f>IF(COUNTIFS('United Data'!$A$3:$A$2150,M$1,'United Data'!$C$3:$C$2150,$A71)&gt;0,1,0)</f>
        <v>0</v>
      </c>
      <c r="N71">
        <f>IF(COUNTIFS('United Data'!$A$3:$A$2150,N$1,'United Data'!$C$3:$C$2150,$A71)&gt;0,1,0)</f>
        <v>0</v>
      </c>
      <c r="O71">
        <f>IF(COUNTIFS('United Data'!$A$3:$A$2150,O$1,'United Data'!$C$3:$C$2150,$A71)&gt;0,1,0)</f>
        <v>0</v>
      </c>
      <c r="P71">
        <f>IF(COUNTIFS('United Data'!$A$3:$A$2150,P$1,'United Data'!$C$3:$C$2150,$A71)&gt;0,1,0)</f>
        <v>0</v>
      </c>
      <c r="Q71">
        <f>IF(COUNTIFS('United Data'!$A$3:$A$2150,Q$1,'United Data'!$C$3:$C$2150,$A71)&gt;0,1,0)</f>
        <v>0</v>
      </c>
      <c r="R71">
        <f>IF(COUNTIFS('United Data'!$A$3:$A$2150,R$1,'United Data'!$C$3:$C$2150,$A71)&gt;0,1,0)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117</v>
      </c>
      <c r="B72">
        <f>IF(COUNTIFS('United Data'!$A$3:$A$2150,B$1,'United Data'!$C$3:$C$2150,$A72)&gt;0,1,0)</f>
        <v>0</v>
      </c>
      <c r="C72">
        <f>IF(COUNTIFS('United Data'!$A$3:$A$2150,C$1,'United Data'!$C$3:$C$2150,$A72)&gt;0,1,0)</f>
        <v>0</v>
      </c>
      <c r="D72">
        <f>IF(COUNTIFS('United Data'!$A$3:$A$2150,D$1,'United Data'!$C$3:$C$2150,$A72)&gt;0,1,0)</f>
        <v>0</v>
      </c>
      <c r="E72">
        <f>IF(COUNTIFS('United Data'!$A$3:$A$2150,E$1,'United Data'!$C$3:$C$2150,$A72)&gt;0,1,0)</f>
        <v>0</v>
      </c>
      <c r="F72">
        <f>IF(COUNTIFS('United Data'!$A$3:$A$2150,F$1,'United Data'!$C$3:$C$2150,$A72)&gt;0,1,0)</f>
        <v>0</v>
      </c>
      <c r="G72">
        <f>IF(COUNTIFS('United Data'!$A$3:$A$2150,G$1,'United Data'!$C$3:$C$2150,$A72)&gt;0,1,0)</f>
        <v>0</v>
      </c>
      <c r="H72">
        <f>IF(COUNTIFS('United Data'!$A$3:$A$2150,H$1,'United Data'!$C$3:$C$2150,$A72)&gt;0,1,0)</f>
        <v>1</v>
      </c>
      <c r="I72">
        <f>IF(COUNTIFS('United Data'!$A$3:$A$2150,I$1,'United Data'!$C$3:$C$2150,$A72)&gt;0,1,0)</f>
        <v>0</v>
      </c>
      <c r="J72">
        <f>IF(COUNTIFS('United Data'!$A$3:$A$2150,J$1,'United Data'!$C$3:$C$2150,$A72)&gt;0,1,0)</f>
        <v>0</v>
      </c>
      <c r="K72">
        <f>IF(COUNTIFS('United Data'!$A$3:$A$2150,K$1,'United Data'!$C$3:$C$2150,$A72)&gt;0,1,0)</f>
        <v>0</v>
      </c>
      <c r="L72">
        <f>IF(COUNTIFS('United Data'!$A$3:$A$2150,L$1,'United Data'!$C$3:$C$2150,$A72)&gt;0,1,0)</f>
        <v>0</v>
      </c>
      <c r="M72">
        <f>IF(COUNTIFS('United Data'!$A$3:$A$2150,M$1,'United Data'!$C$3:$C$2150,$A72)&gt;0,1,0)</f>
        <v>0</v>
      </c>
      <c r="N72">
        <f>IF(COUNTIFS('United Data'!$A$3:$A$2150,N$1,'United Data'!$C$3:$C$2150,$A72)&gt;0,1,0)</f>
        <v>0</v>
      </c>
      <c r="O72">
        <f>IF(COUNTIFS('United Data'!$A$3:$A$2150,O$1,'United Data'!$C$3:$C$2150,$A72)&gt;0,1,0)</f>
        <v>0</v>
      </c>
      <c r="P72">
        <f>IF(COUNTIFS('United Data'!$A$3:$A$2150,P$1,'United Data'!$C$3:$C$2150,$A72)&gt;0,1,0)</f>
        <v>0</v>
      </c>
      <c r="Q72">
        <f>IF(COUNTIFS('United Data'!$A$3:$A$2150,Q$1,'United Data'!$C$3:$C$2150,$A72)&gt;0,1,0)</f>
        <v>0</v>
      </c>
      <c r="R72">
        <f>IF(COUNTIFS('United Data'!$A$3:$A$2150,R$1,'United Data'!$C$3:$C$2150,$A72)&gt;0,1,0)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118</v>
      </c>
      <c r="B73">
        <f>IF(COUNTIFS('United Data'!$A$3:$A$2150,B$1,'United Data'!$C$3:$C$2150,$A73)&gt;0,1,0)</f>
        <v>0</v>
      </c>
      <c r="C73">
        <f>IF(COUNTIFS('United Data'!$A$3:$A$2150,C$1,'United Data'!$C$3:$C$2150,$A73)&gt;0,1,0)</f>
        <v>0</v>
      </c>
      <c r="D73">
        <f>IF(COUNTIFS('United Data'!$A$3:$A$2150,D$1,'United Data'!$C$3:$C$2150,$A73)&gt;0,1,0)</f>
        <v>0</v>
      </c>
      <c r="E73">
        <f>IF(COUNTIFS('United Data'!$A$3:$A$2150,E$1,'United Data'!$C$3:$C$2150,$A73)&gt;0,1,0)</f>
        <v>0</v>
      </c>
      <c r="F73">
        <f>IF(COUNTIFS('United Data'!$A$3:$A$2150,F$1,'United Data'!$C$3:$C$2150,$A73)&gt;0,1,0)</f>
        <v>0</v>
      </c>
      <c r="G73">
        <f>IF(COUNTIFS('United Data'!$A$3:$A$2150,G$1,'United Data'!$C$3:$C$2150,$A73)&gt;0,1,0)</f>
        <v>0</v>
      </c>
      <c r="H73">
        <f>IF(COUNTIFS('United Data'!$A$3:$A$2150,H$1,'United Data'!$C$3:$C$2150,$A73)&gt;0,1,0)</f>
        <v>1</v>
      </c>
      <c r="I73">
        <f>IF(COUNTIFS('United Data'!$A$3:$A$2150,I$1,'United Data'!$C$3:$C$2150,$A73)&gt;0,1,0)</f>
        <v>1</v>
      </c>
      <c r="J73">
        <f>IF(COUNTIFS('United Data'!$A$3:$A$2150,J$1,'United Data'!$C$3:$C$2150,$A73)&gt;0,1,0)</f>
        <v>1</v>
      </c>
      <c r="K73">
        <f>IF(COUNTIFS('United Data'!$A$3:$A$2150,K$1,'United Data'!$C$3:$C$2150,$A73)&gt;0,1,0)</f>
        <v>0</v>
      </c>
      <c r="L73">
        <f>IF(COUNTIFS('United Data'!$A$3:$A$2150,L$1,'United Data'!$C$3:$C$2150,$A73)&gt;0,1,0)</f>
        <v>1</v>
      </c>
      <c r="M73">
        <f>IF(COUNTIFS('United Data'!$A$3:$A$2150,M$1,'United Data'!$C$3:$C$2150,$A73)&gt;0,1,0)</f>
        <v>1</v>
      </c>
      <c r="N73">
        <f>IF(COUNTIFS('United Data'!$A$3:$A$2150,N$1,'United Data'!$C$3:$C$2150,$A73)&gt;0,1,0)</f>
        <v>1</v>
      </c>
      <c r="O73">
        <f>IF(COUNTIFS('United Data'!$A$3:$A$2150,O$1,'United Data'!$C$3:$C$2150,$A73)&gt;0,1,0)</f>
        <v>1</v>
      </c>
      <c r="P73">
        <f>IF(COUNTIFS('United Data'!$A$3:$A$2150,P$1,'United Data'!$C$3:$C$2150,$A73)&gt;0,1,0)</f>
        <v>1</v>
      </c>
      <c r="Q73">
        <f>IF(COUNTIFS('United Data'!$A$3:$A$2150,Q$1,'United Data'!$C$3:$C$2150,$A73)&gt;0,1,0)</f>
        <v>0</v>
      </c>
      <c r="R73">
        <f>IF(COUNTIFS('United Data'!$A$3:$A$2150,R$1,'United Data'!$C$3:$C$2150,$A73)&gt;0,1,0)</f>
        <v>0</v>
      </c>
      <c r="S73">
        <f t="shared" si="2"/>
        <v>8</v>
      </c>
      <c r="T73">
        <f t="shared" si="3"/>
        <v>2</v>
      </c>
    </row>
    <row r="74" spans="1:20" x14ac:dyDescent="0.2">
      <c r="A74" t="s">
        <v>119</v>
      </c>
      <c r="B74">
        <f>IF(COUNTIFS('United Data'!$A$3:$A$2150,B$1,'United Data'!$C$3:$C$2150,$A74)&gt;0,1,0)</f>
        <v>0</v>
      </c>
      <c r="C74">
        <f>IF(COUNTIFS('United Data'!$A$3:$A$2150,C$1,'United Data'!$C$3:$C$2150,$A74)&gt;0,1,0)</f>
        <v>0</v>
      </c>
      <c r="D74">
        <f>IF(COUNTIFS('United Data'!$A$3:$A$2150,D$1,'United Data'!$C$3:$C$2150,$A74)&gt;0,1,0)</f>
        <v>0</v>
      </c>
      <c r="E74">
        <f>IF(COUNTIFS('United Data'!$A$3:$A$2150,E$1,'United Data'!$C$3:$C$2150,$A74)&gt;0,1,0)</f>
        <v>0</v>
      </c>
      <c r="F74">
        <f>IF(COUNTIFS('United Data'!$A$3:$A$2150,F$1,'United Data'!$C$3:$C$2150,$A74)&gt;0,1,0)</f>
        <v>0</v>
      </c>
      <c r="G74">
        <f>IF(COUNTIFS('United Data'!$A$3:$A$2150,G$1,'United Data'!$C$3:$C$2150,$A74)&gt;0,1,0)</f>
        <v>0</v>
      </c>
      <c r="H74">
        <f>IF(COUNTIFS('United Data'!$A$3:$A$2150,H$1,'United Data'!$C$3:$C$2150,$A74)&gt;0,1,0)</f>
        <v>1</v>
      </c>
      <c r="I74">
        <f>IF(COUNTIFS('United Data'!$A$3:$A$2150,I$1,'United Data'!$C$3:$C$2150,$A74)&gt;0,1,0)</f>
        <v>0</v>
      </c>
      <c r="J74">
        <f>IF(COUNTIFS('United Data'!$A$3:$A$2150,J$1,'United Data'!$C$3:$C$2150,$A74)&gt;0,1,0)</f>
        <v>0</v>
      </c>
      <c r="K74">
        <f>IF(COUNTIFS('United Data'!$A$3:$A$2150,K$1,'United Data'!$C$3:$C$2150,$A74)&gt;0,1,0)</f>
        <v>0</v>
      </c>
      <c r="L74">
        <f>IF(COUNTIFS('United Data'!$A$3:$A$2150,L$1,'United Data'!$C$3:$C$2150,$A74)&gt;0,1,0)</f>
        <v>0</v>
      </c>
      <c r="M74">
        <f>IF(COUNTIFS('United Data'!$A$3:$A$2150,M$1,'United Data'!$C$3:$C$2150,$A74)&gt;0,1,0)</f>
        <v>0</v>
      </c>
      <c r="N74">
        <f>IF(COUNTIFS('United Data'!$A$3:$A$2150,N$1,'United Data'!$C$3:$C$2150,$A74)&gt;0,1,0)</f>
        <v>0</v>
      </c>
      <c r="O74">
        <f>IF(COUNTIFS('United Data'!$A$3:$A$2150,O$1,'United Data'!$C$3:$C$2150,$A74)&gt;0,1,0)</f>
        <v>0</v>
      </c>
      <c r="P74">
        <f>IF(COUNTIFS('United Data'!$A$3:$A$2150,P$1,'United Data'!$C$3:$C$2150,$A74)&gt;0,1,0)</f>
        <v>0</v>
      </c>
      <c r="Q74">
        <f>IF(COUNTIFS('United Data'!$A$3:$A$2150,Q$1,'United Data'!$C$3:$C$2150,$A74)&gt;0,1,0)</f>
        <v>0</v>
      </c>
      <c r="R74">
        <f>IF(COUNTIFS('United Data'!$A$3:$A$2150,R$1,'United Data'!$C$3:$C$2150,$A74)&gt;0,1,0)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120</v>
      </c>
      <c r="B75">
        <f>IF(COUNTIFS('United Data'!$A$3:$A$2150,B$1,'United Data'!$C$3:$C$2150,$A75)&gt;0,1,0)</f>
        <v>0</v>
      </c>
      <c r="C75">
        <f>IF(COUNTIFS('United Data'!$A$3:$A$2150,C$1,'United Data'!$C$3:$C$2150,$A75)&gt;0,1,0)</f>
        <v>0</v>
      </c>
      <c r="D75">
        <f>IF(COUNTIFS('United Data'!$A$3:$A$2150,D$1,'United Data'!$C$3:$C$2150,$A75)&gt;0,1,0)</f>
        <v>0</v>
      </c>
      <c r="E75">
        <f>IF(COUNTIFS('United Data'!$A$3:$A$2150,E$1,'United Data'!$C$3:$C$2150,$A75)&gt;0,1,0)</f>
        <v>0</v>
      </c>
      <c r="F75">
        <f>IF(COUNTIFS('United Data'!$A$3:$A$2150,F$1,'United Data'!$C$3:$C$2150,$A75)&gt;0,1,0)</f>
        <v>0</v>
      </c>
      <c r="G75">
        <f>IF(COUNTIFS('United Data'!$A$3:$A$2150,G$1,'United Data'!$C$3:$C$2150,$A75)&gt;0,1,0)</f>
        <v>0</v>
      </c>
      <c r="H75">
        <f>IF(COUNTIFS('United Data'!$A$3:$A$2150,H$1,'United Data'!$C$3:$C$2150,$A75)&gt;0,1,0)</f>
        <v>1</v>
      </c>
      <c r="I75">
        <f>IF(COUNTIFS('United Data'!$A$3:$A$2150,I$1,'United Data'!$C$3:$C$2150,$A75)&gt;0,1,0)</f>
        <v>0</v>
      </c>
      <c r="J75">
        <f>IF(COUNTIFS('United Data'!$A$3:$A$2150,J$1,'United Data'!$C$3:$C$2150,$A75)&gt;0,1,0)</f>
        <v>0</v>
      </c>
      <c r="K75">
        <f>IF(COUNTIFS('United Data'!$A$3:$A$2150,K$1,'United Data'!$C$3:$C$2150,$A75)&gt;0,1,0)</f>
        <v>0</v>
      </c>
      <c r="L75">
        <f>IF(COUNTIFS('United Data'!$A$3:$A$2150,L$1,'United Data'!$C$3:$C$2150,$A75)&gt;0,1,0)</f>
        <v>0</v>
      </c>
      <c r="M75">
        <f>IF(COUNTIFS('United Data'!$A$3:$A$2150,M$1,'United Data'!$C$3:$C$2150,$A75)&gt;0,1,0)</f>
        <v>0</v>
      </c>
      <c r="N75">
        <f>IF(COUNTIFS('United Data'!$A$3:$A$2150,N$1,'United Data'!$C$3:$C$2150,$A75)&gt;0,1,0)</f>
        <v>0</v>
      </c>
      <c r="O75">
        <f>IF(COUNTIFS('United Data'!$A$3:$A$2150,O$1,'United Data'!$C$3:$C$2150,$A75)&gt;0,1,0)</f>
        <v>0</v>
      </c>
      <c r="P75">
        <f>IF(COUNTIFS('United Data'!$A$3:$A$2150,P$1,'United Data'!$C$3:$C$2150,$A75)&gt;0,1,0)</f>
        <v>0</v>
      </c>
      <c r="Q75">
        <f>IF(COUNTIFS('United Data'!$A$3:$A$2150,Q$1,'United Data'!$C$3:$C$2150,$A75)&gt;0,1,0)</f>
        <v>0</v>
      </c>
      <c r="R75">
        <f>IF(COUNTIFS('United Data'!$A$3:$A$2150,R$1,'United Data'!$C$3:$C$2150,$A75)&gt;0,1,0)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121</v>
      </c>
      <c r="B76">
        <f>IF(COUNTIFS('United Data'!$A$3:$A$2150,B$1,'United Data'!$C$3:$C$2150,$A76)&gt;0,1,0)</f>
        <v>0</v>
      </c>
      <c r="C76">
        <f>IF(COUNTIFS('United Data'!$A$3:$A$2150,C$1,'United Data'!$C$3:$C$2150,$A76)&gt;0,1,0)</f>
        <v>0</v>
      </c>
      <c r="D76">
        <f>IF(COUNTIFS('United Data'!$A$3:$A$2150,D$1,'United Data'!$C$3:$C$2150,$A76)&gt;0,1,0)</f>
        <v>0</v>
      </c>
      <c r="E76">
        <f>IF(COUNTIFS('United Data'!$A$3:$A$2150,E$1,'United Data'!$C$3:$C$2150,$A76)&gt;0,1,0)</f>
        <v>0</v>
      </c>
      <c r="F76">
        <f>IF(COUNTIFS('United Data'!$A$3:$A$2150,F$1,'United Data'!$C$3:$C$2150,$A76)&gt;0,1,0)</f>
        <v>0</v>
      </c>
      <c r="G76">
        <f>IF(COUNTIFS('United Data'!$A$3:$A$2150,G$1,'United Data'!$C$3:$C$2150,$A76)&gt;0,1,0)</f>
        <v>0</v>
      </c>
      <c r="H76">
        <f>IF(COUNTIFS('United Data'!$A$3:$A$2150,H$1,'United Data'!$C$3:$C$2150,$A76)&gt;0,1,0)</f>
        <v>1</v>
      </c>
      <c r="I76">
        <f>IF(COUNTIFS('United Data'!$A$3:$A$2150,I$1,'United Data'!$C$3:$C$2150,$A76)&gt;0,1,0)</f>
        <v>0</v>
      </c>
      <c r="J76">
        <f>IF(COUNTIFS('United Data'!$A$3:$A$2150,J$1,'United Data'!$C$3:$C$2150,$A76)&gt;0,1,0)</f>
        <v>0</v>
      </c>
      <c r="K76">
        <f>IF(COUNTIFS('United Data'!$A$3:$A$2150,K$1,'United Data'!$C$3:$C$2150,$A76)&gt;0,1,0)</f>
        <v>0</v>
      </c>
      <c r="L76">
        <f>IF(COUNTIFS('United Data'!$A$3:$A$2150,L$1,'United Data'!$C$3:$C$2150,$A76)&gt;0,1,0)</f>
        <v>0</v>
      </c>
      <c r="M76">
        <f>IF(COUNTIFS('United Data'!$A$3:$A$2150,M$1,'United Data'!$C$3:$C$2150,$A76)&gt;0,1,0)</f>
        <v>0</v>
      </c>
      <c r="N76">
        <f>IF(COUNTIFS('United Data'!$A$3:$A$2150,N$1,'United Data'!$C$3:$C$2150,$A76)&gt;0,1,0)</f>
        <v>0</v>
      </c>
      <c r="O76">
        <f>IF(COUNTIFS('United Data'!$A$3:$A$2150,O$1,'United Data'!$C$3:$C$2150,$A76)&gt;0,1,0)</f>
        <v>0</v>
      </c>
      <c r="P76">
        <f>IF(COUNTIFS('United Data'!$A$3:$A$2150,P$1,'United Data'!$C$3:$C$2150,$A76)&gt;0,1,0)</f>
        <v>0</v>
      </c>
      <c r="Q76">
        <f>IF(COUNTIFS('United Data'!$A$3:$A$2150,Q$1,'United Data'!$C$3:$C$2150,$A76)&gt;0,1,0)</f>
        <v>0</v>
      </c>
      <c r="R76">
        <f>IF(COUNTIFS('United Data'!$A$3:$A$2150,R$1,'United Data'!$C$3:$C$2150,$A76)&gt;0,1,0)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122</v>
      </c>
      <c r="B77">
        <f>IF(COUNTIFS('United Data'!$A$3:$A$2150,B$1,'United Data'!$C$3:$C$2150,$A77)&gt;0,1,0)</f>
        <v>0</v>
      </c>
      <c r="C77">
        <f>IF(COUNTIFS('United Data'!$A$3:$A$2150,C$1,'United Data'!$C$3:$C$2150,$A77)&gt;0,1,0)</f>
        <v>0</v>
      </c>
      <c r="D77">
        <f>IF(COUNTIFS('United Data'!$A$3:$A$2150,D$1,'United Data'!$C$3:$C$2150,$A77)&gt;0,1,0)</f>
        <v>0</v>
      </c>
      <c r="E77">
        <f>IF(COUNTIFS('United Data'!$A$3:$A$2150,E$1,'United Data'!$C$3:$C$2150,$A77)&gt;0,1,0)</f>
        <v>0</v>
      </c>
      <c r="F77">
        <f>IF(COUNTIFS('United Data'!$A$3:$A$2150,F$1,'United Data'!$C$3:$C$2150,$A77)&gt;0,1,0)</f>
        <v>0</v>
      </c>
      <c r="G77">
        <f>IF(COUNTIFS('United Data'!$A$3:$A$2150,G$1,'United Data'!$C$3:$C$2150,$A77)&gt;0,1,0)</f>
        <v>0</v>
      </c>
      <c r="H77">
        <f>IF(COUNTIFS('United Data'!$A$3:$A$2150,H$1,'United Data'!$C$3:$C$2150,$A77)&gt;0,1,0)</f>
        <v>1</v>
      </c>
      <c r="I77">
        <f>IF(COUNTIFS('United Data'!$A$3:$A$2150,I$1,'United Data'!$C$3:$C$2150,$A77)&gt;0,1,0)</f>
        <v>0</v>
      </c>
      <c r="J77">
        <f>IF(COUNTIFS('United Data'!$A$3:$A$2150,J$1,'United Data'!$C$3:$C$2150,$A77)&gt;0,1,0)</f>
        <v>0</v>
      </c>
      <c r="K77">
        <f>IF(COUNTIFS('United Data'!$A$3:$A$2150,K$1,'United Data'!$C$3:$C$2150,$A77)&gt;0,1,0)</f>
        <v>0</v>
      </c>
      <c r="L77">
        <f>IF(COUNTIFS('United Data'!$A$3:$A$2150,L$1,'United Data'!$C$3:$C$2150,$A77)&gt;0,1,0)</f>
        <v>0</v>
      </c>
      <c r="M77">
        <f>IF(COUNTIFS('United Data'!$A$3:$A$2150,M$1,'United Data'!$C$3:$C$2150,$A77)&gt;0,1,0)</f>
        <v>0</v>
      </c>
      <c r="N77">
        <f>IF(COUNTIFS('United Data'!$A$3:$A$2150,N$1,'United Data'!$C$3:$C$2150,$A77)&gt;0,1,0)</f>
        <v>0</v>
      </c>
      <c r="O77">
        <f>IF(COUNTIFS('United Data'!$A$3:$A$2150,O$1,'United Data'!$C$3:$C$2150,$A77)&gt;0,1,0)</f>
        <v>0</v>
      </c>
      <c r="P77">
        <f>IF(COUNTIFS('United Data'!$A$3:$A$2150,P$1,'United Data'!$C$3:$C$2150,$A77)&gt;0,1,0)</f>
        <v>0</v>
      </c>
      <c r="Q77">
        <f>IF(COUNTIFS('United Data'!$A$3:$A$2150,Q$1,'United Data'!$C$3:$C$2150,$A77)&gt;0,1,0)</f>
        <v>0</v>
      </c>
      <c r="R77">
        <f>IF(COUNTIFS('United Data'!$A$3:$A$2150,R$1,'United Data'!$C$3:$C$2150,$A77)&gt;0,1,0)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123</v>
      </c>
      <c r="B78">
        <f>IF(COUNTIFS('United Data'!$A$3:$A$2150,B$1,'United Data'!$C$3:$C$2150,$A78)&gt;0,1,0)</f>
        <v>0</v>
      </c>
      <c r="C78">
        <f>IF(COUNTIFS('United Data'!$A$3:$A$2150,C$1,'United Data'!$C$3:$C$2150,$A78)&gt;0,1,0)</f>
        <v>0</v>
      </c>
      <c r="D78">
        <f>IF(COUNTIFS('United Data'!$A$3:$A$2150,D$1,'United Data'!$C$3:$C$2150,$A78)&gt;0,1,0)</f>
        <v>0</v>
      </c>
      <c r="E78">
        <f>IF(COUNTIFS('United Data'!$A$3:$A$2150,E$1,'United Data'!$C$3:$C$2150,$A78)&gt;0,1,0)</f>
        <v>0</v>
      </c>
      <c r="F78">
        <f>IF(COUNTIFS('United Data'!$A$3:$A$2150,F$1,'United Data'!$C$3:$C$2150,$A78)&gt;0,1,0)</f>
        <v>0</v>
      </c>
      <c r="G78">
        <f>IF(COUNTIFS('United Data'!$A$3:$A$2150,G$1,'United Data'!$C$3:$C$2150,$A78)&gt;0,1,0)</f>
        <v>0</v>
      </c>
      <c r="H78">
        <f>IF(COUNTIFS('United Data'!$A$3:$A$2150,H$1,'United Data'!$C$3:$C$2150,$A78)&gt;0,1,0)</f>
        <v>1</v>
      </c>
      <c r="I78">
        <f>IF(COUNTIFS('United Data'!$A$3:$A$2150,I$1,'United Data'!$C$3:$C$2150,$A78)&gt;0,1,0)</f>
        <v>1</v>
      </c>
      <c r="J78">
        <f>IF(COUNTIFS('United Data'!$A$3:$A$2150,J$1,'United Data'!$C$3:$C$2150,$A78)&gt;0,1,0)</f>
        <v>0</v>
      </c>
      <c r="K78">
        <f>IF(COUNTIFS('United Data'!$A$3:$A$2150,K$1,'United Data'!$C$3:$C$2150,$A78)&gt;0,1,0)</f>
        <v>0</v>
      </c>
      <c r="L78">
        <f>IF(COUNTIFS('United Data'!$A$3:$A$2150,L$1,'United Data'!$C$3:$C$2150,$A78)&gt;0,1,0)</f>
        <v>0</v>
      </c>
      <c r="M78">
        <f>IF(COUNTIFS('United Data'!$A$3:$A$2150,M$1,'United Data'!$C$3:$C$2150,$A78)&gt;0,1,0)</f>
        <v>0</v>
      </c>
      <c r="N78">
        <f>IF(COUNTIFS('United Data'!$A$3:$A$2150,N$1,'United Data'!$C$3:$C$2150,$A78)&gt;0,1,0)</f>
        <v>0</v>
      </c>
      <c r="O78">
        <f>IF(COUNTIFS('United Data'!$A$3:$A$2150,O$1,'United Data'!$C$3:$C$2150,$A78)&gt;0,1,0)</f>
        <v>0</v>
      </c>
      <c r="P78">
        <f>IF(COUNTIFS('United Data'!$A$3:$A$2150,P$1,'United Data'!$C$3:$C$2150,$A78)&gt;0,1,0)</f>
        <v>0</v>
      </c>
      <c r="Q78">
        <f>IF(COUNTIFS('United Data'!$A$3:$A$2150,Q$1,'United Data'!$C$3:$C$2150,$A78)&gt;0,1,0)</f>
        <v>0</v>
      </c>
      <c r="R78">
        <f>IF(COUNTIFS('United Data'!$A$3:$A$2150,R$1,'United Data'!$C$3:$C$2150,$A78)&gt;0,1,0)</f>
        <v>0</v>
      </c>
      <c r="S78">
        <f t="shared" si="2"/>
        <v>2</v>
      </c>
      <c r="T78">
        <f t="shared" si="3"/>
        <v>1</v>
      </c>
    </row>
    <row r="79" spans="1:20" x14ac:dyDescent="0.2">
      <c r="A79" t="s">
        <v>124</v>
      </c>
      <c r="B79">
        <f>IF(COUNTIFS('United Data'!$A$3:$A$2150,B$1,'United Data'!$C$3:$C$2150,$A79)&gt;0,1,0)</f>
        <v>0</v>
      </c>
      <c r="C79">
        <f>IF(COUNTIFS('United Data'!$A$3:$A$2150,C$1,'United Data'!$C$3:$C$2150,$A79)&gt;0,1,0)</f>
        <v>0</v>
      </c>
      <c r="D79">
        <f>IF(COUNTIFS('United Data'!$A$3:$A$2150,D$1,'United Data'!$C$3:$C$2150,$A79)&gt;0,1,0)</f>
        <v>0</v>
      </c>
      <c r="E79">
        <f>IF(COUNTIFS('United Data'!$A$3:$A$2150,E$1,'United Data'!$C$3:$C$2150,$A79)&gt;0,1,0)</f>
        <v>0</v>
      </c>
      <c r="F79">
        <f>IF(COUNTIFS('United Data'!$A$3:$A$2150,F$1,'United Data'!$C$3:$C$2150,$A79)&gt;0,1,0)</f>
        <v>0</v>
      </c>
      <c r="G79">
        <f>IF(COUNTIFS('United Data'!$A$3:$A$2150,G$1,'United Data'!$C$3:$C$2150,$A79)&gt;0,1,0)</f>
        <v>0</v>
      </c>
      <c r="H79">
        <f>IF(COUNTIFS('United Data'!$A$3:$A$2150,H$1,'United Data'!$C$3:$C$2150,$A79)&gt;0,1,0)</f>
        <v>1</v>
      </c>
      <c r="I79">
        <f>IF(COUNTIFS('United Data'!$A$3:$A$2150,I$1,'United Data'!$C$3:$C$2150,$A79)&gt;0,1,0)</f>
        <v>1</v>
      </c>
      <c r="J79">
        <f>IF(COUNTIFS('United Data'!$A$3:$A$2150,J$1,'United Data'!$C$3:$C$2150,$A79)&gt;0,1,0)</f>
        <v>0</v>
      </c>
      <c r="K79">
        <f>IF(COUNTIFS('United Data'!$A$3:$A$2150,K$1,'United Data'!$C$3:$C$2150,$A79)&gt;0,1,0)</f>
        <v>0</v>
      </c>
      <c r="L79">
        <f>IF(COUNTIFS('United Data'!$A$3:$A$2150,L$1,'United Data'!$C$3:$C$2150,$A79)&gt;0,1,0)</f>
        <v>0</v>
      </c>
      <c r="M79">
        <f>IF(COUNTIFS('United Data'!$A$3:$A$2150,M$1,'United Data'!$C$3:$C$2150,$A79)&gt;0,1,0)</f>
        <v>0</v>
      </c>
      <c r="N79">
        <f>IF(COUNTIFS('United Data'!$A$3:$A$2150,N$1,'United Data'!$C$3:$C$2150,$A79)&gt;0,1,0)</f>
        <v>0</v>
      </c>
      <c r="O79">
        <f>IF(COUNTIFS('United Data'!$A$3:$A$2150,O$1,'United Data'!$C$3:$C$2150,$A79)&gt;0,1,0)</f>
        <v>0</v>
      </c>
      <c r="P79">
        <f>IF(COUNTIFS('United Data'!$A$3:$A$2150,P$1,'United Data'!$C$3:$C$2150,$A79)&gt;0,1,0)</f>
        <v>0</v>
      </c>
      <c r="Q79">
        <f>IF(COUNTIFS('United Data'!$A$3:$A$2150,Q$1,'United Data'!$C$3:$C$2150,$A79)&gt;0,1,0)</f>
        <v>0</v>
      </c>
      <c r="R79">
        <f>IF(COUNTIFS('United Data'!$A$3:$A$2150,R$1,'United Data'!$C$3:$C$2150,$A79)&gt;0,1,0)</f>
        <v>0</v>
      </c>
      <c r="S79">
        <f t="shared" si="2"/>
        <v>2</v>
      </c>
      <c r="T79">
        <f t="shared" si="3"/>
        <v>1</v>
      </c>
    </row>
    <row r="80" spans="1:20" x14ac:dyDescent="0.2">
      <c r="A80" t="s">
        <v>125</v>
      </c>
      <c r="B80">
        <f>IF(COUNTIFS('United Data'!$A$3:$A$2150,B$1,'United Data'!$C$3:$C$2150,$A80)&gt;0,1,0)</f>
        <v>0</v>
      </c>
      <c r="C80">
        <f>IF(COUNTIFS('United Data'!$A$3:$A$2150,C$1,'United Data'!$C$3:$C$2150,$A80)&gt;0,1,0)</f>
        <v>0</v>
      </c>
      <c r="D80">
        <f>IF(COUNTIFS('United Data'!$A$3:$A$2150,D$1,'United Data'!$C$3:$C$2150,$A80)&gt;0,1,0)</f>
        <v>0</v>
      </c>
      <c r="E80">
        <f>IF(COUNTIFS('United Data'!$A$3:$A$2150,E$1,'United Data'!$C$3:$C$2150,$A80)&gt;0,1,0)</f>
        <v>0</v>
      </c>
      <c r="F80">
        <f>IF(COUNTIFS('United Data'!$A$3:$A$2150,F$1,'United Data'!$C$3:$C$2150,$A80)&gt;0,1,0)</f>
        <v>0</v>
      </c>
      <c r="G80">
        <f>IF(COUNTIFS('United Data'!$A$3:$A$2150,G$1,'United Data'!$C$3:$C$2150,$A80)&gt;0,1,0)</f>
        <v>0</v>
      </c>
      <c r="H80">
        <f>IF(COUNTIFS('United Data'!$A$3:$A$2150,H$1,'United Data'!$C$3:$C$2150,$A80)&gt;0,1,0)</f>
        <v>0</v>
      </c>
      <c r="I80">
        <f>IF(COUNTIFS('United Data'!$A$3:$A$2150,I$1,'United Data'!$C$3:$C$2150,$A80)&gt;0,1,0)</f>
        <v>1</v>
      </c>
      <c r="J80">
        <f>IF(COUNTIFS('United Data'!$A$3:$A$2150,J$1,'United Data'!$C$3:$C$2150,$A80)&gt;0,1,0)</f>
        <v>0</v>
      </c>
      <c r="K80">
        <f>IF(COUNTIFS('United Data'!$A$3:$A$2150,K$1,'United Data'!$C$3:$C$2150,$A80)&gt;0,1,0)</f>
        <v>0</v>
      </c>
      <c r="L80">
        <f>IF(COUNTIFS('United Data'!$A$3:$A$2150,L$1,'United Data'!$C$3:$C$2150,$A80)&gt;0,1,0)</f>
        <v>0</v>
      </c>
      <c r="M80">
        <f>IF(COUNTIFS('United Data'!$A$3:$A$2150,M$1,'United Data'!$C$3:$C$2150,$A80)&gt;0,1,0)</f>
        <v>0</v>
      </c>
      <c r="N80">
        <f>IF(COUNTIFS('United Data'!$A$3:$A$2150,N$1,'United Data'!$C$3:$C$2150,$A80)&gt;0,1,0)</f>
        <v>0</v>
      </c>
      <c r="O80">
        <f>IF(COUNTIFS('United Data'!$A$3:$A$2150,O$1,'United Data'!$C$3:$C$2150,$A80)&gt;0,1,0)</f>
        <v>0</v>
      </c>
      <c r="P80">
        <f>IF(COUNTIFS('United Data'!$A$3:$A$2150,P$1,'United Data'!$C$3:$C$2150,$A80)&gt;0,1,0)</f>
        <v>0</v>
      </c>
      <c r="Q80">
        <f>IF(COUNTIFS('United Data'!$A$3:$A$2150,Q$1,'United Data'!$C$3:$C$2150,$A80)&gt;0,1,0)</f>
        <v>0</v>
      </c>
      <c r="R80">
        <f>IF(COUNTIFS('United Data'!$A$3:$A$2150,R$1,'United Data'!$C$3:$C$2150,$A80)&gt;0,1,0)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126</v>
      </c>
      <c r="B81">
        <f>IF(COUNTIFS('United Data'!$A$3:$A$2150,B$1,'United Data'!$C$3:$C$2150,$A81)&gt;0,1,0)</f>
        <v>0</v>
      </c>
      <c r="C81">
        <f>IF(COUNTIFS('United Data'!$A$3:$A$2150,C$1,'United Data'!$C$3:$C$2150,$A81)&gt;0,1,0)</f>
        <v>0</v>
      </c>
      <c r="D81">
        <f>IF(COUNTIFS('United Data'!$A$3:$A$2150,D$1,'United Data'!$C$3:$C$2150,$A81)&gt;0,1,0)</f>
        <v>0</v>
      </c>
      <c r="E81">
        <f>IF(COUNTIFS('United Data'!$A$3:$A$2150,E$1,'United Data'!$C$3:$C$2150,$A81)&gt;0,1,0)</f>
        <v>0</v>
      </c>
      <c r="F81">
        <f>IF(COUNTIFS('United Data'!$A$3:$A$2150,F$1,'United Data'!$C$3:$C$2150,$A81)&gt;0,1,0)</f>
        <v>0</v>
      </c>
      <c r="G81">
        <f>IF(COUNTIFS('United Data'!$A$3:$A$2150,G$1,'United Data'!$C$3:$C$2150,$A81)&gt;0,1,0)</f>
        <v>0</v>
      </c>
      <c r="H81">
        <f>IF(COUNTIFS('United Data'!$A$3:$A$2150,H$1,'United Data'!$C$3:$C$2150,$A81)&gt;0,1,0)</f>
        <v>0</v>
      </c>
      <c r="I81">
        <f>IF(COUNTIFS('United Data'!$A$3:$A$2150,I$1,'United Data'!$C$3:$C$2150,$A81)&gt;0,1,0)</f>
        <v>1</v>
      </c>
      <c r="J81">
        <f>IF(COUNTIFS('United Data'!$A$3:$A$2150,J$1,'United Data'!$C$3:$C$2150,$A81)&gt;0,1,0)</f>
        <v>0</v>
      </c>
      <c r="K81">
        <f>IF(COUNTIFS('United Data'!$A$3:$A$2150,K$1,'United Data'!$C$3:$C$2150,$A81)&gt;0,1,0)</f>
        <v>0</v>
      </c>
      <c r="L81">
        <f>IF(COUNTIFS('United Data'!$A$3:$A$2150,L$1,'United Data'!$C$3:$C$2150,$A81)&gt;0,1,0)</f>
        <v>0</v>
      </c>
      <c r="M81">
        <f>IF(COUNTIFS('United Data'!$A$3:$A$2150,M$1,'United Data'!$C$3:$C$2150,$A81)&gt;0,1,0)</f>
        <v>0</v>
      </c>
      <c r="N81">
        <f>IF(COUNTIFS('United Data'!$A$3:$A$2150,N$1,'United Data'!$C$3:$C$2150,$A81)&gt;0,1,0)</f>
        <v>0</v>
      </c>
      <c r="O81">
        <f>IF(COUNTIFS('United Data'!$A$3:$A$2150,O$1,'United Data'!$C$3:$C$2150,$A81)&gt;0,1,0)</f>
        <v>0</v>
      </c>
      <c r="P81">
        <f>IF(COUNTIFS('United Data'!$A$3:$A$2150,P$1,'United Data'!$C$3:$C$2150,$A81)&gt;0,1,0)</f>
        <v>0</v>
      </c>
      <c r="Q81">
        <f>IF(COUNTIFS('United Data'!$A$3:$A$2150,Q$1,'United Data'!$C$3:$C$2150,$A81)&gt;0,1,0)</f>
        <v>0</v>
      </c>
      <c r="R81">
        <f>IF(COUNTIFS('United Data'!$A$3:$A$2150,R$1,'United Data'!$C$3:$C$2150,$A81)&gt;0,1,0)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127</v>
      </c>
      <c r="B82">
        <f>IF(COUNTIFS('United Data'!$A$3:$A$2150,B$1,'United Data'!$C$3:$C$2150,$A82)&gt;0,1,0)</f>
        <v>0</v>
      </c>
      <c r="C82">
        <f>IF(COUNTIFS('United Data'!$A$3:$A$2150,C$1,'United Data'!$C$3:$C$2150,$A82)&gt;0,1,0)</f>
        <v>0</v>
      </c>
      <c r="D82">
        <f>IF(COUNTIFS('United Data'!$A$3:$A$2150,D$1,'United Data'!$C$3:$C$2150,$A82)&gt;0,1,0)</f>
        <v>0</v>
      </c>
      <c r="E82">
        <f>IF(COUNTIFS('United Data'!$A$3:$A$2150,E$1,'United Data'!$C$3:$C$2150,$A82)&gt;0,1,0)</f>
        <v>0</v>
      </c>
      <c r="F82">
        <f>IF(COUNTIFS('United Data'!$A$3:$A$2150,F$1,'United Data'!$C$3:$C$2150,$A82)&gt;0,1,0)</f>
        <v>0</v>
      </c>
      <c r="G82">
        <f>IF(COUNTIFS('United Data'!$A$3:$A$2150,G$1,'United Data'!$C$3:$C$2150,$A82)&gt;0,1,0)</f>
        <v>0</v>
      </c>
      <c r="H82">
        <f>IF(COUNTIFS('United Data'!$A$3:$A$2150,H$1,'United Data'!$C$3:$C$2150,$A82)&gt;0,1,0)</f>
        <v>0</v>
      </c>
      <c r="I82">
        <f>IF(COUNTIFS('United Data'!$A$3:$A$2150,I$1,'United Data'!$C$3:$C$2150,$A82)&gt;0,1,0)</f>
        <v>1</v>
      </c>
      <c r="J82">
        <f>IF(COUNTIFS('United Data'!$A$3:$A$2150,J$1,'United Data'!$C$3:$C$2150,$A82)&gt;0,1,0)</f>
        <v>0</v>
      </c>
      <c r="K82">
        <f>IF(COUNTIFS('United Data'!$A$3:$A$2150,K$1,'United Data'!$C$3:$C$2150,$A82)&gt;0,1,0)</f>
        <v>0</v>
      </c>
      <c r="L82">
        <f>IF(COUNTIFS('United Data'!$A$3:$A$2150,L$1,'United Data'!$C$3:$C$2150,$A82)&gt;0,1,0)</f>
        <v>0</v>
      </c>
      <c r="M82">
        <f>IF(COUNTIFS('United Data'!$A$3:$A$2150,M$1,'United Data'!$C$3:$C$2150,$A82)&gt;0,1,0)</f>
        <v>0</v>
      </c>
      <c r="N82">
        <f>IF(COUNTIFS('United Data'!$A$3:$A$2150,N$1,'United Data'!$C$3:$C$2150,$A82)&gt;0,1,0)</f>
        <v>0</v>
      </c>
      <c r="O82">
        <f>IF(COUNTIFS('United Data'!$A$3:$A$2150,O$1,'United Data'!$C$3:$C$2150,$A82)&gt;0,1,0)</f>
        <v>0</v>
      </c>
      <c r="P82">
        <f>IF(COUNTIFS('United Data'!$A$3:$A$2150,P$1,'United Data'!$C$3:$C$2150,$A82)&gt;0,1,0)</f>
        <v>0</v>
      </c>
      <c r="Q82">
        <f>IF(COUNTIFS('United Data'!$A$3:$A$2150,Q$1,'United Data'!$C$3:$C$2150,$A82)&gt;0,1,0)</f>
        <v>0</v>
      </c>
      <c r="R82">
        <f>IF(COUNTIFS('United Data'!$A$3:$A$2150,R$1,'United Data'!$C$3:$C$2150,$A82)&gt;0,1,0)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128</v>
      </c>
      <c r="B83">
        <f>IF(COUNTIFS('United Data'!$A$3:$A$2150,B$1,'United Data'!$C$3:$C$2150,$A83)&gt;0,1,0)</f>
        <v>0</v>
      </c>
      <c r="C83">
        <f>IF(COUNTIFS('United Data'!$A$3:$A$2150,C$1,'United Data'!$C$3:$C$2150,$A83)&gt;0,1,0)</f>
        <v>0</v>
      </c>
      <c r="D83">
        <f>IF(COUNTIFS('United Data'!$A$3:$A$2150,D$1,'United Data'!$C$3:$C$2150,$A83)&gt;0,1,0)</f>
        <v>0</v>
      </c>
      <c r="E83">
        <f>IF(COUNTIFS('United Data'!$A$3:$A$2150,E$1,'United Data'!$C$3:$C$2150,$A83)&gt;0,1,0)</f>
        <v>0</v>
      </c>
      <c r="F83">
        <f>IF(COUNTIFS('United Data'!$A$3:$A$2150,F$1,'United Data'!$C$3:$C$2150,$A83)&gt;0,1,0)</f>
        <v>0</v>
      </c>
      <c r="G83">
        <f>IF(COUNTIFS('United Data'!$A$3:$A$2150,G$1,'United Data'!$C$3:$C$2150,$A83)&gt;0,1,0)</f>
        <v>0</v>
      </c>
      <c r="H83">
        <f>IF(COUNTIFS('United Data'!$A$3:$A$2150,H$1,'United Data'!$C$3:$C$2150,$A83)&gt;0,1,0)</f>
        <v>0</v>
      </c>
      <c r="I83">
        <f>IF(COUNTIFS('United Data'!$A$3:$A$2150,I$1,'United Data'!$C$3:$C$2150,$A83)&gt;0,1,0)</f>
        <v>1</v>
      </c>
      <c r="J83">
        <f>IF(COUNTIFS('United Data'!$A$3:$A$2150,J$1,'United Data'!$C$3:$C$2150,$A83)&gt;0,1,0)</f>
        <v>0</v>
      </c>
      <c r="K83">
        <f>IF(COUNTIFS('United Data'!$A$3:$A$2150,K$1,'United Data'!$C$3:$C$2150,$A83)&gt;0,1,0)</f>
        <v>0</v>
      </c>
      <c r="L83">
        <f>IF(COUNTIFS('United Data'!$A$3:$A$2150,L$1,'United Data'!$C$3:$C$2150,$A83)&gt;0,1,0)</f>
        <v>0</v>
      </c>
      <c r="M83">
        <f>IF(COUNTIFS('United Data'!$A$3:$A$2150,M$1,'United Data'!$C$3:$C$2150,$A83)&gt;0,1,0)</f>
        <v>0</v>
      </c>
      <c r="N83">
        <f>IF(COUNTIFS('United Data'!$A$3:$A$2150,N$1,'United Data'!$C$3:$C$2150,$A83)&gt;0,1,0)</f>
        <v>0</v>
      </c>
      <c r="O83">
        <f>IF(COUNTIFS('United Data'!$A$3:$A$2150,O$1,'United Data'!$C$3:$C$2150,$A83)&gt;0,1,0)</f>
        <v>0</v>
      </c>
      <c r="P83">
        <f>IF(COUNTIFS('United Data'!$A$3:$A$2150,P$1,'United Data'!$C$3:$C$2150,$A83)&gt;0,1,0)</f>
        <v>0</v>
      </c>
      <c r="Q83">
        <f>IF(COUNTIFS('United Data'!$A$3:$A$2150,Q$1,'United Data'!$C$3:$C$2150,$A83)&gt;0,1,0)</f>
        <v>0</v>
      </c>
      <c r="R83">
        <f>IF(COUNTIFS('United Data'!$A$3:$A$2150,R$1,'United Data'!$C$3:$C$2150,$A83)&gt;0,1,0)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129</v>
      </c>
      <c r="B84">
        <f>IF(COUNTIFS('United Data'!$A$3:$A$2150,B$1,'United Data'!$C$3:$C$2150,$A84)&gt;0,1,0)</f>
        <v>0</v>
      </c>
      <c r="C84">
        <f>IF(COUNTIFS('United Data'!$A$3:$A$2150,C$1,'United Data'!$C$3:$C$2150,$A84)&gt;0,1,0)</f>
        <v>0</v>
      </c>
      <c r="D84">
        <f>IF(COUNTIFS('United Data'!$A$3:$A$2150,D$1,'United Data'!$C$3:$C$2150,$A84)&gt;0,1,0)</f>
        <v>0</v>
      </c>
      <c r="E84">
        <f>IF(COUNTIFS('United Data'!$A$3:$A$2150,E$1,'United Data'!$C$3:$C$2150,$A84)&gt;0,1,0)</f>
        <v>0</v>
      </c>
      <c r="F84">
        <f>IF(COUNTIFS('United Data'!$A$3:$A$2150,F$1,'United Data'!$C$3:$C$2150,$A84)&gt;0,1,0)</f>
        <v>0</v>
      </c>
      <c r="G84">
        <f>IF(COUNTIFS('United Data'!$A$3:$A$2150,G$1,'United Data'!$C$3:$C$2150,$A84)&gt;0,1,0)</f>
        <v>0</v>
      </c>
      <c r="H84">
        <f>IF(COUNTIFS('United Data'!$A$3:$A$2150,H$1,'United Data'!$C$3:$C$2150,$A84)&gt;0,1,0)</f>
        <v>0</v>
      </c>
      <c r="I84">
        <f>IF(COUNTIFS('United Data'!$A$3:$A$2150,I$1,'United Data'!$C$3:$C$2150,$A84)&gt;0,1,0)</f>
        <v>1</v>
      </c>
      <c r="J84">
        <f>IF(COUNTIFS('United Data'!$A$3:$A$2150,J$1,'United Data'!$C$3:$C$2150,$A84)&gt;0,1,0)</f>
        <v>0</v>
      </c>
      <c r="K84">
        <f>IF(COUNTIFS('United Data'!$A$3:$A$2150,K$1,'United Data'!$C$3:$C$2150,$A84)&gt;0,1,0)</f>
        <v>0</v>
      </c>
      <c r="L84">
        <f>IF(COUNTIFS('United Data'!$A$3:$A$2150,L$1,'United Data'!$C$3:$C$2150,$A84)&gt;0,1,0)</f>
        <v>0</v>
      </c>
      <c r="M84">
        <f>IF(COUNTIFS('United Data'!$A$3:$A$2150,M$1,'United Data'!$C$3:$C$2150,$A84)&gt;0,1,0)</f>
        <v>0</v>
      </c>
      <c r="N84">
        <f>IF(COUNTIFS('United Data'!$A$3:$A$2150,N$1,'United Data'!$C$3:$C$2150,$A84)&gt;0,1,0)</f>
        <v>0</v>
      </c>
      <c r="O84">
        <f>IF(COUNTIFS('United Data'!$A$3:$A$2150,O$1,'United Data'!$C$3:$C$2150,$A84)&gt;0,1,0)</f>
        <v>0</v>
      </c>
      <c r="P84">
        <f>IF(COUNTIFS('United Data'!$A$3:$A$2150,P$1,'United Data'!$C$3:$C$2150,$A84)&gt;0,1,0)</f>
        <v>0</v>
      </c>
      <c r="Q84">
        <f>IF(COUNTIFS('United Data'!$A$3:$A$2150,Q$1,'United Data'!$C$3:$C$2150,$A84)&gt;0,1,0)</f>
        <v>0</v>
      </c>
      <c r="R84">
        <f>IF(COUNTIFS('United Data'!$A$3:$A$2150,R$1,'United Data'!$C$3:$C$2150,$A84)&gt;0,1,0)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130</v>
      </c>
      <c r="B85">
        <f>IF(COUNTIFS('United Data'!$A$3:$A$2150,B$1,'United Data'!$C$3:$C$2150,$A85)&gt;0,1,0)</f>
        <v>0</v>
      </c>
      <c r="C85">
        <f>IF(COUNTIFS('United Data'!$A$3:$A$2150,C$1,'United Data'!$C$3:$C$2150,$A85)&gt;0,1,0)</f>
        <v>0</v>
      </c>
      <c r="D85">
        <f>IF(COUNTIFS('United Data'!$A$3:$A$2150,D$1,'United Data'!$C$3:$C$2150,$A85)&gt;0,1,0)</f>
        <v>0</v>
      </c>
      <c r="E85">
        <f>IF(COUNTIFS('United Data'!$A$3:$A$2150,E$1,'United Data'!$C$3:$C$2150,$A85)&gt;0,1,0)</f>
        <v>0</v>
      </c>
      <c r="F85">
        <f>IF(COUNTIFS('United Data'!$A$3:$A$2150,F$1,'United Data'!$C$3:$C$2150,$A85)&gt;0,1,0)</f>
        <v>0</v>
      </c>
      <c r="G85">
        <f>IF(COUNTIFS('United Data'!$A$3:$A$2150,G$1,'United Data'!$C$3:$C$2150,$A85)&gt;0,1,0)</f>
        <v>0</v>
      </c>
      <c r="H85">
        <f>IF(COUNTIFS('United Data'!$A$3:$A$2150,H$1,'United Data'!$C$3:$C$2150,$A85)&gt;0,1,0)</f>
        <v>0</v>
      </c>
      <c r="I85">
        <f>IF(COUNTIFS('United Data'!$A$3:$A$2150,I$1,'United Data'!$C$3:$C$2150,$A85)&gt;0,1,0)</f>
        <v>1</v>
      </c>
      <c r="J85">
        <f>IF(COUNTIFS('United Data'!$A$3:$A$2150,J$1,'United Data'!$C$3:$C$2150,$A85)&gt;0,1,0)</f>
        <v>0</v>
      </c>
      <c r="K85">
        <f>IF(COUNTIFS('United Data'!$A$3:$A$2150,K$1,'United Data'!$C$3:$C$2150,$A85)&gt;0,1,0)</f>
        <v>0</v>
      </c>
      <c r="L85">
        <f>IF(COUNTIFS('United Data'!$A$3:$A$2150,L$1,'United Data'!$C$3:$C$2150,$A85)&gt;0,1,0)</f>
        <v>0</v>
      </c>
      <c r="M85">
        <f>IF(COUNTIFS('United Data'!$A$3:$A$2150,M$1,'United Data'!$C$3:$C$2150,$A85)&gt;0,1,0)</f>
        <v>0</v>
      </c>
      <c r="N85">
        <f>IF(COUNTIFS('United Data'!$A$3:$A$2150,N$1,'United Data'!$C$3:$C$2150,$A85)&gt;0,1,0)</f>
        <v>0</v>
      </c>
      <c r="O85">
        <f>IF(COUNTIFS('United Data'!$A$3:$A$2150,O$1,'United Data'!$C$3:$C$2150,$A85)&gt;0,1,0)</f>
        <v>0</v>
      </c>
      <c r="P85">
        <f>IF(COUNTIFS('United Data'!$A$3:$A$2150,P$1,'United Data'!$C$3:$C$2150,$A85)&gt;0,1,0)</f>
        <v>0</v>
      </c>
      <c r="Q85">
        <f>IF(COUNTIFS('United Data'!$A$3:$A$2150,Q$1,'United Data'!$C$3:$C$2150,$A85)&gt;0,1,0)</f>
        <v>0</v>
      </c>
      <c r="R85">
        <f>IF(COUNTIFS('United Data'!$A$3:$A$2150,R$1,'United Data'!$C$3:$C$2150,$A85)&gt;0,1,0)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131</v>
      </c>
      <c r="B86">
        <f>IF(COUNTIFS('United Data'!$A$3:$A$2150,B$1,'United Data'!$C$3:$C$2150,$A86)&gt;0,1,0)</f>
        <v>0</v>
      </c>
      <c r="C86">
        <f>IF(COUNTIFS('United Data'!$A$3:$A$2150,C$1,'United Data'!$C$3:$C$2150,$A86)&gt;0,1,0)</f>
        <v>0</v>
      </c>
      <c r="D86">
        <f>IF(COUNTIFS('United Data'!$A$3:$A$2150,D$1,'United Data'!$C$3:$C$2150,$A86)&gt;0,1,0)</f>
        <v>0</v>
      </c>
      <c r="E86">
        <f>IF(COUNTIFS('United Data'!$A$3:$A$2150,E$1,'United Data'!$C$3:$C$2150,$A86)&gt;0,1,0)</f>
        <v>0</v>
      </c>
      <c r="F86">
        <f>IF(COUNTIFS('United Data'!$A$3:$A$2150,F$1,'United Data'!$C$3:$C$2150,$A86)&gt;0,1,0)</f>
        <v>0</v>
      </c>
      <c r="G86">
        <f>IF(COUNTIFS('United Data'!$A$3:$A$2150,G$1,'United Data'!$C$3:$C$2150,$A86)&gt;0,1,0)</f>
        <v>0</v>
      </c>
      <c r="H86">
        <f>IF(COUNTIFS('United Data'!$A$3:$A$2150,H$1,'United Data'!$C$3:$C$2150,$A86)&gt;0,1,0)</f>
        <v>0</v>
      </c>
      <c r="I86">
        <f>IF(COUNTIFS('United Data'!$A$3:$A$2150,I$1,'United Data'!$C$3:$C$2150,$A86)&gt;0,1,0)</f>
        <v>1</v>
      </c>
      <c r="J86">
        <f>IF(COUNTIFS('United Data'!$A$3:$A$2150,J$1,'United Data'!$C$3:$C$2150,$A86)&gt;0,1,0)</f>
        <v>0</v>
      </c>
      <c r="K86">
        <f>IF(COUNTIFS('United Data'!$A$3:$A$2150,K$1,'United Data'!$C$3:$C$2150,$A86)&gt;0,1,0)</f>
        <v>0</v>
      </c>
      <c r="L86">
        <f>IF(COUNTIFS('United Data'!$A$3:$A$2150,L$1,'United Data'!$C$3:$C$2150,$A86)&gt;0,1,0)</f>
        <v>0</v>
      </c>
      <c r="M86">
        <f>IF(COUNTIFS('United Data'!$A$3:$A$2150,M$1,'United Data'!$C$3:$C$2150,$A86)&gt;0,1,0)</f>
        <v>0</v>
      </c>
      <c r="N86">
        <f>IF(COUNTIFS('United Data'!$A$3:$A$2150,N$1,'United Data'!$C$3:$C$2150,$A86)&gt;0,1,0)</f>
        <v>0</v>
      </c>
      <c r="O86">
        <f>IF(COUNTIFS('United Data'!$A$3:$A$2150,O$1,'United Data'!$C$3:$C$2150,$A86)&gt;0,1,0)</f>
        <v>0</v>
      </c>
      <c r="P86">
        <f>IF(COUNTIFS('United Data'!$A$3:$A$2150,P$1,'United Data'!$C$3:$C$2150,$A86)&gt;0,1,0)</f>
        <v>0</v>
      </c>
      <c r="Q86">
        <f>IF(COUNTIFS('United Data'!$A$3:$A$2150,Q$1,'United Data'!$C$3:$C$2150,$A86)&gt;0,1,0)</f>
        <v>0</v>
      </c>
      <c r="R86">
        <f>IF(COUNTIFS('United Data'!$A$3:$A$2150,R$1,'United Data'!$C$3:$C$2150,$A86)&gt;0,1,0)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132</v>
      </c>
      <c r="B87">
        <f>IF(COUNTIFS('United Data'!$A$3:$A$2150,B$1,'United Data'!$C$3:$C$2150,$A87)&gt;0,1,0)</f>
        <v>0</v>
      </c>
      <c r="C87">
        <f>IF(COUNTIFS('United Data'!$A$3:$A$2150,C$1,'United Data'!$C$3:$C$2150,$A87)&gt;0,1,0)</f>
        <v>0</v>
      </c>
      <c r="D87">
        <f>IF(COUNTIFS('United Data'!$A$3:$A$2150,D$1,'United Data'!$C$3:$C$2150,$A87)&gt;0,1,0)</f>
        <v>0</v>
      </c>
      <c r="E87">
        <f>IF(COUNTIFS('United Data'!$A$3:$A$2150,E$1,'United Data'!$C$3:$C$2150,$A87)&gt;0,1,0)</f>
        <v>0</v>
      </c>
      <c r="F87">
        <f>IF(COUNTIFS('United Data'!$A$3:$A$2150,F$1,'United Data'!$C$3:$C$2150,$A87)&gt;0,1,0)</f>
        <v>0</v>
      </c>
      <c r="G87">
        <f>IF(COUNTIFS('United Data'!$A$3:$A$2150,G$1,'United Data'!$C$3:$C$2150,$A87)&gt;0,1,0)</f>
        <v>0</v>
      </c>
      <c r="H87">
        <f>IF(COUNTIFS('United Data'!$A$3:$A$2150,H$1,'United Data'!$C$3:$C$2150,$A87)&gt;0,1,0)</f>
        <v>0</v>
      </c>
      <c r="I87">
        <f>IF(COUNTIFS('United Data'!$A$3:$A$2150,I$1,'United Data'!$C$3:$C$2150,$A87)&gt;0,1,0)</f>
        <v>1</v>
      </c>
      <c r="J87">
        <f>IF(COUNTIFS('United Data'!$A$3:$A$2150,J$1,'United Data'!$C$3:$C$2150,$A87)&gt;0,1,0)</f>
        <v>0</v>
      </c>
      <c r="K87">
        <f>IF(COUNTIFS('United Data'!$A$3:$A$2150,K$1,'United Data'!$C$3:$C$2150,$A87)&gt;0,1,0)</f>
        <v>0</v>
      </c>
      <c r="L87">
        <f>IF(COUNTIFS('United Data'!$A$3:$A$2150,L$1,'United Data'!$C$3:$C$2150,$A87)&gt;0,1,0)</f>
        <v>0</v>
      </c>
      <c r="M87">
        <f>IF(COUNTIFS('United Data'!$A$3:$A$2150,M$1,'United Data'!$C$3:$C$2150,$A87)&gt;0,1,0)</f>
        <v>0</v>
      </c>
      <c r="N87">
        <f>IF(COUNTIFS('United Data'!$A$3:$A$2150,N$1,'United Data'!$C$3:$C$2150,$A87)&gt;0,1,0)</f>
        <v>0</v>
      </c>
      <c r="O87">
        <f>IF(COUNTIFS('United Data'!$A$3:$A$2150,O$1,'United Data'!$C$3:$C$2150,$A87)&gt;0,1,0)</f>
        <v>0</v>
      </c>
      <c r="P87">
        <f>IF(COUNTIFS('United Data'!$A$3:$A$2150,P$1,'United Data'!$C$3:$C$2150,$A87)&gt;0,1,0)</f>
        <v>0</v>
      </c>
      <c r="Q87">
        <f>IF(COUNTIFS('United Data'!$A$3:$A$2150,Q$1,'United Data'!$C$3:$C$2150,$A87)&gt;0,1,0)</f>
        <v>0</v>
      </c>
      <c r="R87">
        <f>IF(COUNTIFS('United Data'!$A$3:$A$2150,R$1,'United Data'!$C$3:$C$2150,$A87)&gt;0,1,0)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133</v>
      </c>
      <c r="B88">
        <f>IF(COUNTIFS('United Data'!$A$3:$A$2150,B$1,'United Data'!$C$3:$C$2150,$A88)&gt;0,1,0)</f>
        <v>0</v>
      </c>
      <c r="C88">
        <f>IF(COUNTIFS('United Data'!$A$3:$A$2150,C$1,'United Data'!$C$3:$C$2150,$A88)&gt;0,1,0)</f>
        <v>0</v>
      </c>
      <c r="D88">
        <f>IF(COUNTIFS('United Data'!$A$3:$A$2150,D$1,'United Data'!$C$3:$C$2150,$A88)&gt;0,1,0)</f>
        <v>0</v>
      </c>
      <c r="E88">
        <f>IF(COUNTIFS('United Data'!$A$3:$A$2150,E$1,'United Data'!$C$3:$C$2150,$A88)&gt;0,1,0)</f>
        <v>0</v>
      </c>
      <c r="F88">
        <f>IF(COUNTIFS('United Data'!$A$3:$A$2150,F$1,'United Data'!$C$3:$C$2150,$A88)&gt;0,1,0)</f>
        <v>0</v>
      </c>
      <c r="G88">
        <f>IF(COUNTIFS('United Data'!$A$3:$A$2150,G$1,'United Data'!$C$3:$C$2150,$A88)&gt;0,1,0)</f>
        <v>0</v>
      </c>
      <c r="H88">
        <f>IF(COUNTIFS('United Data'!$A$3:$A$2150,H$1,'United Data'!$C$3:$C$2150,$A88)&gt;0,1,0)</f>
        <v>0</v>
      </c>
      <c r="I88">
        <f>IF(COUNTIFS('United Data'!$A$3:$A$2150,I$1,'United Data'!$C$3:$C$2150,$A88)&gt;0,1,0)</f>
        <v>0</v>
      </c>
      <c r="J88">
        <f>IF(COUNTIFS('United Data'!$A$3:$A$2150,J$1,'United Data'!$C$3:$C$2150,$A88)&gt;0,1,0)</f>
        <v>1</v>
      </c>
      <c r="K88">
        <f>IF(COUNTIFS('United Data'!$A$3:$A$2150,K$1,'United Data'!$C$3:$C$2150,$A88)&gt;0,1,0)</f>
        <v>0</v>
      </c>
      <c r="L88">
        <f>IF(COUNTIFS('United Data'!$A$3:$A$2150,L$1,'United Data'!$C$3:$C$2150,$A88)&gt;0,1,0)</f>
        <v>0</v>
      </c>
      <c r="M88">
        <f>IF(COUNTIFS('United Data'!$A$3:$A$2150,M$1,'United Data'!$C$3:$C$2150,$A88)&gt;0,1,0)</f>
        <v>0</v>
      </c>
      <c r="N88">
        <f>IF(COUNTIFS('United Data'!$A$3:$A$2150,N$1,'United Data'!$C$3:$C$2150,$A88)&gt;0,1,0)</f>
        <v>0</v>
      </c>
      <c r="O88">
        <f>IF(COUNTIFS('United Data'!$A$3:$A$2150,O$1,'United Data'!$C$3:$C$2150,$A88)&gt;0,1,0)</f>
        <v>0</v>
      </c>
      <c r="P88">
        <f>IF(COUNTIFS('United Data'!$A$3:$A$2150,P$1,'United Data'!$C$3:$C$2150,$A88)&gt;0,1,0)</f>
        <v>0</v>
      </c>
      <c r="Q88">
        <f>IF(COUNTIFS('United Data'!$A$3:$A$2150,Q$1,'United Data'!$C$3:$C$2150,$A88)&gt;0,1,0)</f>
        <v>0</v>
      </c>
      <c r="R88">
        <f>IF(COUNTIFS('United Data'!$A$3:$A$2150,R$1,'United Data'!$C$3:$C$2150,$A88)&gt;0,1,0)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134</v>
      </c>
      <c r="B89">
        <f>IF(COUNTIFS('United Data'!$A$3:$A$2150,B$1,'United Data'!$C$3:$C$2150,$A89)&gt;0,1,0)</f>
        <v>0</v>
      </c>
      <c r="C89">
        <f>IF(COUNTIFS('United Data'!$A$3:$A$2150,C$1,'United Data'!$C$3:$C$2150,$A89)&gt;0,1,0)</f>
        <v>0</v>
      </c>
      <c r="D89">
        <f>IF(COUNTIFS('United Data'!$A$3:$A$2150,D$1,'United Data'!$C$3:$C$2150,$A89)&gt;0,1,0)</f>
        <v>0</v>
      </c>
      <c r="E89">
        <f>IF(COUNTIFS('United Data'!$A$3:$A$2150,E$1,'United Data'!$C$3:$C$2150,$A89)&gt;0,1,0)</f>
        <v>0</v>
      </c>
      <c r="F89">
        <f>IF(COUNTIFS('United Data'!$A$3:$A$2150,F$1,'United Data'!$C$3:$C$2150,$A89)&gt;0,1,0)</f>
        <v>0</v>
      </c>
      <c r="G89">
        <f>IF(COUNTIFS('United Data'!$A$3:$A$2150,G$1,'United Data'!$C$3:$C$2150,$A89)&gt;0,1,0)</f>
        <v>0</v>
      </c>
      <c r="H89">
        <f>IF(COUNTIFS('United Data'!$A$3:$A$2150,H$1,'United Data'!$C$3:$C$2150,$A89)&gt;0,1,0)</f>
        <v>0</v>
      </c>
      <c r="I89">
        <f>IF(COUNTIFS('United Data'!$A$3:$A$2150,I$1,'United Data'!$C$3:$C$2150,$A89)&gt;0,1,0)</f>
        <v>0</v>
      </c>
      <c r="J89">
        <f>IF(COUNTIFS('United Data'!$A$3:$A$2150,J$1,'United Data'!$C$3:$C$2150,$A89)&gt;0,1,0)</f>
        <v>1</v>
      </c>
      <c r="K89">
        <f>IF(COUNTIFS('United Data'!$A$3:$A$2150,K$1,'United Data'!$C$3:$C$2150,$A89)&gt;0,1,0)</f>
        <v>0</v>
      </c>
      <c r="L89">
        <f>IF(COUNTIFS('United Data'!$A$3:$A$2150,L$1,'United Data'!$C$3:$C$2150,$A89)&gt;0,1,0)</f>
        <v>0</v>
      </c>
      <c r="M89">
        <f>IF(COUNTIFS('United Data'!$A$3:$A$2150,M$1,'United Data'!$C$3:$C$2150,$A89)&gt;0,1,0)</f>
        <v>0</v>
      </c>
      <c r="N89">
        <f>IF(COUNTIFS('United Data'!$A$3:$A$2150,N$1,'United Data'!$C$3:$C$2150,$A89)&gt;0,1,0)</f>
        <v>0</v>
      </c>
      <c r="O89">
        <f>IF(COUNTIFS('United Data'!$A$3:$A$2150,O$1,'United Data'!$C$3:$C$2150,$A89)&gt;0,1,0)</f>
        <v>0</v>
      </c>
      <c r="P89">
        <f>IF(COUNTIFS('United Data'!$A$3:$A$2150,P$1,'United Data'!$C$3:$C$2150,$A89)&gt;0,1,0)</f>
        <v>0</v>
      </c>
      <c r="Q89">
        <f>IF(COUNTIFS('United Data'!$A$3:$A$2150,Q$1,'United Data'!$C$3:$C$2150,$A89)&gt;0,1,0)</f>
        <v>0</v>
      </c>
      <c r="R89">
        <f>IF(COUNTIFS('United Data'!$A$3:$A$2150,R$1,'United Data'!$C$3:$C$2150,$A89)&gt;0,1,0)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135</v>
      </c>
      <c r="B90">
        <f>IF(COUNTIFS('United Data'!$A$3:$A$2150,B$1,'United Data'!$C$3:$C$2150,$A90)&gt;0,1,0)</f>
        <v>0</v>
      </c>
      <c r="C90">
        <f>IF(COUNTIFS('United Data'!$A$3:$A$2150,C$1,'United Data'!$C$3:$C$2150,$A90)&gt;0,1,0)</f>
        <v>0</v>
      </c>
      <c r="D90">
        <f>IF(COUNTIFS('United Data'!$A$3:$A$2150,D$1,'United Data'!$C$3:$C$2150,$A90)&gt;0,1,0)</f>
        <v>0</v>
      </c>
      <c r="E90">
        <f>IF(COUNTIFS('United Data'!$A$3:$A$2150,E$1,'United Data'!$C$3:$C$2150,$A90)&gt;0,1,0)</f>
        <v>0</v>
      </c>
      <c r="F90">
        <f>IF(COUNTIFS('United Data'!$A$3:$A$2150,F$1,'United Data'!$C$3:$C$2150,$A90)&gt;0,1,0)</f>
        <v>0</v>
      </c>
      <c r="G90">
        <f>IF(COUNTIFS('United Data'!$A$3:$A$2150,G$1,'United Data'!$C$3:$C$2150,$A90)&gt;0,1,0)</f>
        <v>0</v>
      </c>
      <c r="H90">
        <f>IF(COUNTIFS('United Data'!$A$3:$A$2150,H$1,'United Data'!$C$3:$C$2150,$A90)&gt;0,1,0)</f>
        <v>0</v>
      </c>
      <c r="I90">
        <f>IF(COUNTIFS('United Data'!$A$3:$A$2150,I$1,'United Data'!$C$3:$C$2150,$A90)&gt;0,1,0)</f>
        <v>0</v>
      </c>
      <c r="J90">
        <f>IF(COUNTIFS('United Data'!$A$3:$A$2150,J$1,'United Data'!$C$3:$C$2150,$A90)&gt;0,1,0)</f>
        <v>1</v>
      </c>
      <c r="K90">
        <f>IF(COUNTIFS('United Data'!$A$3:$A$2150,K$1,'United Data'!$C$3:$C$2150,$A90)&gt;0,1,0)</f>
        <v>1</v>
      </c>
      <c r="L90">
        <f>IF(COUNTIFS('United Data'!$A$3:$A$2150,L$1,'United Data'!$C$3:$C$2150,$A90)&gt;0,1,0)</f>
        <v>1</v>
      </c>
      <c r="M90">
        <f>IF(COUNTIFS('United Data'!$A$3:$A$2150,M$1,'United Data'!$C$3:$C$2150,$A90)&gt;0,1,0)</f>
        <v>0</v>
      </c>
      <c r="N90">
        <f>IF(COUNTIFS('United Data'!$A$3:$A$2150,N$1,'United Data'!$C$3:$C$2150,$A90)&gt;0,1,0)</f>
        <v>0</v>
      </c>
      <c r="O90">
        <f>IF(COUNTIFS('United Data'!$A$3:$A$2150,O$1,'United Data'!$C$3:$C$2150,$A90)&gt;0,1,0)</f>
        <v>0</v>
      </c>
      <c r="P90">
        <f>IF(COUNTIFS('United Data'!$A$3:$A$2150,P$1,'United Data'!$C$3:$C$2150,$A90)&gt;0,1,0)</f>
        <v>0</v>
      </c>
      <c r="Q90">
        <f>IF(COUNTIFS('United Data'!$A$3:$A$2150,Q$1,'United Data'!$C$3:$C$2150,$A90)&gt;0,1,0)</f>
        <v>0</v>
      </c>
      <c r="R90">
        <f>IF(COUNTIFS('United Data'!$A$3:$A$2150,R$1,'United Data'!$C$3:$C$2150,$A90)&gt;0,1,0)</f>
        <v>0</v>
      </c>
      <c r="S90">
        <f t="shared" si="2"/>
        <v>3</v>
      </c>
      <c r="T90">
        <f t="shared" si="3"/>
        <v>1</v>
      </c>
    </row>
    <row r="91" spans="1:20" x14ac:dyDescent="0.2">
      <c r="A91" t="s">
        <v>136</v>
      </c>
      <c r="B91">
        <f>IF(COUNTIFS('United Data'!$A$3:$A$2150,B$1,'United Data'!$C$3:$C$2150,$A91)&gt;0,1,0)</f>
        <v>0</v>
      </c>
      <c r="C91">
        <f>IF(COUNTIFS('United Data'!$A$3:$A$2150,C$1,'United Data'!$C$3:$C$2150,$A91)&gt;0,1,0)</f>
        <v>0</v>
      </c>
      <c r="D91">
        <f>IF(COUNTIFS('United Data'!$A$3:$A$2150,D$1,'United Data'!$C$3:$C$2150,$A91)&gt;0,1,0)</f>
        <v>0</v>
      </c>
      <c r="E91">
        <f>IF(COUNTIFS('United Data'!$A$3:$A$2150,E$1,'United Data'!$C$3:$C$2150,$A91)&gt;0,1,0)</f>
        <v>0</v>
      </c>
      <c r="F91">
        <f>IF(COUNTIFS('United Data'!$A$3:$A$2150,F$1,'United Data'!$C$3:$C$2150,$A91)&gt;0,1,0)</f>
        <v>0</v>
      </c>
      <c r="G91">
        <f>IF(COUNTIFS('United Data'!$A$3:$A$2150,G$1,'United Data'!$C$3:$C$2150,$A91)&gt;0,1,0)</f>
        <v>0</v>
      </c>
      <c r="H91">
        <f>IF(COUNTIFS('United Data'!$A$3:$A$2150,H$1,'United Data'!$C$3:$C$2150,$A91)&gt;0,1,0)</f>
        <v>0</v>
      </c>
      <c r="I91">
        <f>IF(COUNTIFS('United Data'!$A$3:$A$2150,I$1,'United Data'!$C$3:$C$2150,$A91)&gt;0,1,0)</f>
        <v>0</v>
      </c>
      <c r="J91">
        <f>IF(COUNTIFS('United Data'!$A$3:$A$2150,J$1,'United Data'!$C$3:$C$2150,$A91)&gt;0,1,0)</f>
        <v>1</v>
      </c>
      <c r="K91">
        <f>IF(COUNTIFS('United Data'!$A$3:$A$2150,K$1,'United Data'!$C$3:$C$2150,$A91)&gt;0,1,0)</f>
        <v>0</v>
      </c>
      <c r="L91">
        <f>IF(COUNTIFS('United Data'!$A$3:$A$2150,L$1,'United Data'!$C$3:$C$2150,$A91)&gt;0,1,0)</f>
        <v>0</v>
      </c>
      <c r="M91">
        <f>IF(COUNTIFS('United Data'!$A$3:$A$2150,M$1,'United Data'!$C$3:$C$2150,$A91)&gt;0,1,0)</f>
        <v>0</v>
      </c>
      <c r="N91">
        <f>IF(COUNTIFS('United Data'!$A$3:$A$2150,N$1,'United Data'!$C$3:$C$2150,$A91)&gt;0,1,0)</f>
        <v>0</v>
      </c>
      <c r="O91">
        <f>IF(COUNTIFS('United Data'!$A$3:$A$2150,O$1,'United Data'!$C$3:$C$2150,$A91)&gt;0,1,0)</f>
        <v>0</v>
      </c>
      <c r="P91">
        <f>IF(COUNTIFS('United Data'!$A$3:$A$2150,P$1,'United Data'!$C$3:$C$2150,$A91)&gt;0,1,0)</f>
        <v>0</v>
      </c>
      <c r="Q91">
        <f>IF(COUNTIFS('United Data'!$A$3:$A$2150,Q$1,'United Data'!$C$3:$C$2150,$A91)&gt;0,1,0)</f>
        <v>0</v>
      </c>
      <c r="R91">
        <f>IF(COUNTIFS('United Data'!$A$3:$A$2150,R$1,'United Data'!$C$3:$C$2150,$A91)&gt;0,1,0)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137</v>
      </c>
      <c r="B92">
        <f>IF(COUNTIFS('United Data'!$A$3:$A$2150,B$1,'United Data'!$C$3:$C$2150,$A92)&gt;0,1,0)</f>
        <v>0</v>
      </c>
      <c r="C92">
        <f>IF(COUNTIFS('United Data'!$A$3:$A$2150,C$1,'United Data'!$C$3:$C$2150,$A92)&gt;0,1,0)</f>
        <v>0</v>
      </c>
      <c r="D92">
        <f>IF(COUNTIFS('United Data'!$A$3:$A$2150,D$1,'United Data'!$C$3:$C$2150,$A92)&gt;0,1,0)</f>
        <v>0</v>
      </c>
      <c r="E92">
        <f>IF(COUNTIFS('United Data'!$A$3:$A$2150,E$1,'United Data'!$C$3:$C$2150,$A92)&gt;0,1,0)</f>
        <v>0</v>
      </c>
      <c r="F92">
        <f>IF(COUNTIFS('United Data'!$A$3:$A$2150,F$1,'United Data'!$C$3:$C$2150,$A92)&gt;0,1,0)</f>
        <v>0</v>
      </c>
      <c r="G92">
        <f>IF(COUNTIFS('United Data'!$A$3:$A$2150,G$1,'United Data'!$C$3:$C$2150,$A92)&gt;0,1,0)</f>
        <v>0</v>
      </c>
      <c r="H92">
        <f>IF(COUNTIFS('United Data'!$A$3:$A$2150,H$1,'United Data'!$C$3:$C$2150,$A92)&gt;0,1,0)</f>
        <v>0</v>
      </c>
      <c r="I92">
        <f>IF(COUNTIFS('United Data'!$A$3:$A$2150,I$1,'United Data'!$C$3:$C$2150,$A92)&gt;0,1,0)</f>
        <v>0</v>
      </c>
      <c r="J92">
        <f>IF(COUNTIFS('United Data'!$A$3:$A$2150,J$1,'United Data'!$C$3:$C$2150,$A92)&gt;0,1,0)</f>
        <v>1</v>
      </c>
      <c r="K92">
        <f>IF(COUNTIFS('United Data'!$A$3:$A$2150,K$1,'United Data'!$C$3:$C$2150,$A92)&gt;0,1,0)</f>
        <v>0</v>
      </c>
      <c r="L92">
        <f>IF(COUNTIFS('United Data'!$A$3:$A$2150,L$1,'United Data'!$C$3:$C$2150,$A92)&gt;0,1,0)</f>
        <v>0</v>
      </c>
      <c r="M92">
        <f>IF(COUNTIFS('United Data'!$A$3:$A$2150,M$1,'United Data'!$C$3:$C$2150,$A92)&gt;0,1,0)</f>
        <v>0</v>
      </c>
      <c r="N92">
        <f>IF(COUNTIFS('United Data'!$A$3:$A$2150,N$1,'United Data'!$C$3:$C$2150,$A92)&gt;0,1,0)</f>
        <v>0</v>
      </c>
      <c r="O92">
        <f>IF(COUNTIFS('United Data'!$A$3:$A$2150,O$1,'United Data'!$C$3:$C$2150,$A92)&gt;0,1,0)</f>
        <v>0</v>
      </c>
      <c r="P92">
        <f>IF(COUNTIFS('United Data'!$A$3:$A$2150,P$1,'United Data'!$C$3:$C$2150,$A92)&gt;0,1,0)</f>
        <v>0</v>
      </c>
      <c r="Q92">
        <f>IF(COUNTIFS('United Data'!$A$3:$A$2150,Q$1,'United Data'!$C$3:$C$2150,$A92)&gt;0,1,0)</f>
        <v>0</v>
      </c>
      <c r="R92">
        <f>IF(COUNTIFS('United Data'!$A$3:$A$2150,R$1,'United Data'!$C$3:$C$2150,$A92)&gt;0,1,0)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138</v>
      </c>
      <c r="B93">
        <f>IF(COUNTIFS('United Data'!$A$3:$A$2150,B$1,'United Data'!$C$3:$C$2150,$A93)&gt;0,1,0)</f>
        <v>0</v>
      </c>
      <c r="C93">
        <f>IF(COUNTIFS('United Data'!$A$3:$A$2150,C$1,'United Data'!$C$3:$C$2150,$A93)&gt;0,1,0)</f>
        <v>0</v>
      </c>
      <c r="D93">
        <f>IF(COUNTIFS('United Data'!$A$3:$A$2150,D$1,'United Data'!$C$3:$C$2150,$A93)&gt;0,1,0)</f>
        <v>0</v>
      </c>
      <c r="E93">
        <f>IF(COUNTIFS('United Data'!$A$3:$A$2150,E$1,'United Data'!$C$3:$C$2150,$A93)&gt;0,1,0)</f>
        <v>0</v>
      </c>
      <c r="F93">
        <f>IF(COUNTIFS('United Data'!$A$3:$A$2150,F$1,'United Data'!$C$3:$C$2150,$A93)&gt;0,1,0)</f>
        <v>0</v>
      </c>
      <c r="G93">
        <f>IF(COUNTIFS('United Data'!$A$3:$A$2150,G$1,'United Data'!$C$3:$C$2150,$A93)&gt;0,1,0)</f>
        <v>0</v>
      </c>
      <c r="H93">
        <f>IF(COUNTIFS('United Data'!$A$3:$A$2150,H$1,'United Data'!$C$3:$C$2150,$A93)&gt;0,1,0)</f>
        <v>0</v>
      </c>
      <c r="I93">
        <f>IF(COUNTIFS('United Data'!$A$3:$A$2150,I$1,'United Data'!$C$3:$C$2150,$A93)&gt;0,1,0)</f>
        <v>0</v>
      </c>
      <c r="J93">
        <f>IF(COUNTIFS('United Data'!$A$3:$A$2150,J$1,'United Data'!$C$3:$C$2150,$A93)&gt;0,1,0)</f>
        <v>1</v>
      </c>
      <c r="K93">
        <f>IF(COUNTIFS('United Data'!$A$3:$A$2150,K$1,'United Data'!$C$3:$C$2150,$A93)&gt;0,1,0)</f>
        <v>0</v>
      </c>
      <c r="L93">
        <f>IF(COUNTIFS('United Data'!$A$3:$A$2150,L$1,'United Data'!$C$3:$C$2150,$A93)&gt;0,1,0)</f>
        <v>0</v>
      </c>
      <c r="M93">
        <f>IF(COUNTIFS('United Data'!$A$3:$A$2150,M$1,'United Data'!$C$3:$C$2150,$A93)&gt;0,1,0)</f>
        <v>0</v>
      </c>
      <c r="N93">
        <f>IF(COUNTIFS('United Data'!$A$3:$A$2150,N$1,'United Data'!$C$3:$C$2150,$A93)&gt;0,1,0)</f>
        <v>0</v>
      </c>
      <c r="O93">
        <f>IF(COUNTIFS('United Data'!$A$3:$A$2150,O$1,'United Data'!$C$3:$C$2150,$A93)&gt;0,1,0)</f>
        <v>0</v>
      </c>
      <c r="P93">
        <f>IF(COUNTIFS('United Data'!$A$3:$A$2150,P$1,'United Data'!$C$3:$C$2150,$A93)&gt;0,1,0)</f>
        <v>0</v>
      </c>
      <c r="Q93">
        <f>IF(COUNTIFS('United Data'!$A$3:$A$2150,Q$1,'United Data'!$C$3:$C$2150,$A93)&gt;0,1,0)</f>
        <v>0</v>
      </c>
      <c r="R93">
        <f>IF(COUNTIFS('United Data'!$A$3:$A$2150,R$1,'United Data'!$C$3:$C$2150,$A93)&gt;0,1,0)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139</v>
      </c>
      <c r="B94">
        <f>IF(COUNTIFS('United Data'!$A$3:$A$2150,B$1,'United Data'!$C$3:$C$2150,$A94)&gt;0,1,0)</f>
        <v>0</v>
      </c>
      <c r="C94">
        <f>IF(COUNTIFS('United Data'!$A$3:$A$2150,C$1,'United Data'!$C$3:$C$2150,$A94)&gt;0,1,0)</f>
        <v>0</v>
      </c>
      <c r="D94">
        <f>IF(COUNTIFS('United Data'!$A$3:$A$2150,D$1,'United Data'!$C$3:$C$2150,$A94)&gt;0,1,0)</f>
        <v>0</v>
      </c>
      <c r="E94">
        <f>IF(COUNTIFS('United Data'!$A$3:$A$2150,E$1,'United Data'!$C$3:$C$2150,$A94)&gt;0,1,0)</f>
        <v>0</v>
      </c>
      <c r="F94">
        <f>IF(COUNTIFS('United Data'!$A$3:$A$2150,F$1,'United Data'!$C$3:$C$2150,$A94)&gt;0,1,0)</f>
        <v>0</v>
      </c>
      <c r="G94">
        <f>IF(COUNTIFS('United Data'!$A$3:$A$2150,G$1,'United Data'!$C$3:$C$2150,$A94)&gt;0,1,0)</f>
        <v>0</v>
      </c>
      <c r="H94">
        <f>IF(COUNTIFS('United Data'!$A$3:$A$2150,H$1,'United Data'!$C$3:$C$2150,$A94)&gt;0,1,0)</f>
        <v>0</v>
      </c>
      <c r="I94">
        <f>IF(COUNTIFS('United Data'!$A$3:$A$2150,I$1,'United Data'!$C$3:$C$2150,$A94)&gt;0,1,0)</f>
        <v>0</v>
      </c>
      <c r="J94">
        <f>IF(COUNTIFS('United Data'!$A$3:$A$2150,J$1,'United Data'!$C$3:$C$2150,$A94)&gt;0,1,0)</f>
        <v>1</v>
      </c>
      <c r="K94">
        <f>IF(COUNTIFS('United Data'!$A$3:$A$2150,K$1,'United Data'!$C$3:$C$2150,$A94)&gt;0,1,0)</f>
        <v>0</v>
      </c>
      <c r="L94">
        <f>IF(COUNTIFS('United Data'!$A$3:$A$2150,L$1,'United Data'!$C$3:$C$2150,$A94)&gt;0,1,0)</f>
        <v>0</v>
      </c>
      <c r="M94">
        <f>IF(COUNTIFS('United Data'!$A$3:$A$2150,M$1,'United Data'!$C$3:$C$2150,$A94)&gt;0,1,0)</f>
        <v>0</v>
      </c>
      <c r="N94">
        <f>IF(COUNTIFS('United Data'!$A$3:$A$2150,N$1,'United Data'!$C$3:$C$2150,$A94)&gt;0,1,0)</f>
        <v>0</v>
      </c>
      <c r="O94">
        <f>IF(COUNTIFS('United Data'!$A$3:$A$2150,O$1,'United Data'!$C$3:$C$2150,$A94)&gt;0,1,0)</f>
        <v>0</v>
      </c>
      <c r="P94">
        <f>IF(COUNTIFS('United Data'!$A$3:$A$2150,P$1,'United Data'!$C$3:$C$2150,$A94)&gt;0,1,0)</f>
        <v>0</v>
      </c>
      <c r="Q94">
        <f>IF(COUNTIFS('United Data'!$A$3:$A$2150,Q$1,'United Data'!$C$3:$C$2150,$A94)&gt;0,1,0)</f>
        <v>0</v>
      </c>
      <c r="R94">
        <f>IF(COUNTIFS('United Data'!$A$3:$A$2150,R$1,'United Data'!$C$3:$C$2150,$A94)&gt;0,1,0)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140</v>
      </c>
      <c r="B95">
        <f>IF(COUNTIFS('United Data'!$A$3:$A$2150,B$1,'United Data'!$C$3:$C$2150,$A95)&gt;0,1,0)</f>
        <v>0</v>
      </c>
      <c r="C95">
        <f>IF(COUNTIFS('United Data'!$A$3:$A$2150,C$1,'United Data'!$C$3:$C$2150,$A95)&gt;0,1,0)</f>
        <v>0</v>
      </c>
      <c r="D95">
        <f>IF(COUNTIFS('United Data'!$A$3:$A$2150,D$1,'United Data'!$C$3:$C$2150,$A95)&gt;0,1,0)</f>
        <v>0</v>
      </c>
      <c r="E95">
        <f>IF(COUNTIFS('United Data'!$A$3:$A$2150,E$1,'United Data'!$C$3:$C$2150,$A95)&gt;0,1,0)</f>
        <v>0</v>
      </c>
      <c r="F95">
        <f>IF(COUNTIFS('United Data'!$A$3:$A$2150,F$1,'United Data'!$C$3:$C$2150,$A95)&gt;0,1,0)</f>
        <v>0</v>
      </c>
      <c r="G95">
        <f>IF(COUNTIFS('United Data'!$A$3:$A$2150,G$1,'United Data'!$C$3:$C$2150,$A95)&gt;0,1,0)</f>
        <v>0</v>
      </c>
      <c r="H95">
        <f>IF(COUNTIFS('United Data'!$A$3:$A$2150,H$1,'United Data'!$C$3:$C$2150,$A95)&gt;0,1,0)</f>
        <v>0</v>
      </c>
      <c r="I95">
        <f>IF(COUNTIFS('United Data'!$A$3:$A$2150,I$1,'United Data'!$C$3:$C$2150,$A95)&gt;0,1,0)</f>
        <v>0</v>
      </c>
      <c r="J95">
        <f>IF(COUNTIFS('United Data'!$A$3:$A$2150,J$1,'United Data'!$C$3:$C$2150,$A95)&gt;0,1,0)</f>
        <v>1</v>
      </c>
      <c r="K95">
        <f>IF(COUNTIFS('United Data'!$A$3:$A$2150,K$1,'United Data'!$C$3:$C$2150,$A95)&gt;0,1,0)</f>
        <v>0</v>
      </c>
      <c r="L95">
        <f>IF(COUNTIFS('United Data'!$A$3:$A$2150,L$1,'United Data'!$C$3:$C$2150,$A95)&gt;0,1,0)</f>
        <v>0</v>
      </c>
      <c r="M95">
        <f>IF(COUNTIFS('United Data'!$A$3:$A$2150,M$1,'United Data'!$C$3:$C$2150,$A95)&gt;0,1,0)</f>
        <v>0</v>
      </c>
      <c r="N95">
        <f>IF(COUNTIFS('United Data'!$A$3:$A$2150,N$1,'United Data'!$C$3:$C$2150,$A95)&gt;0,1,0)</f>
        <v>0</v>
      </c>
      <c r="O95">
        <f>IF(COUNTIFS('United Data'!$A$3:$A$2150,O$1,'United Data'!$C$3:$C$2150,$A95)&gt;0,1,0)</f>
        <v>0</v>
      </c>
      <c r="P95">
        <f>IF(COUNTIFS('United Data'!$A$3:$A$2150,P$1,'United Data'!$C$3:$C$2150,$A95)&gt;0,1,0)</f>
        <v>0</v>
      </c>
      <c r="Q95">
        <f>IF(COUNTIFS('United Data'!$A$3:$A$2150,Q$1,'United Data'!$C$3:$C$2150,$A95)&gt;0,1,0)</f>
        <v>0</v>
      </c>
      <c r="R95">
        <f>IF(COUNTIFS('United Data'!$A$3:$A$2150,R$1,'United Data'!$C$3:$C$2150,$A95)&gt;0,1,0)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141</v>
      </c>
      <c r="B96">
        <f>IF(COUNTIFS('United Data'!$A$3:$A$2150,B$1,'United Data'!$C$3:$C$2150,$A96)&gt;0,1,0)</f>
        <v>0</v>
      </c>
      <c r="C96">
        <f>IF(COUNTIFS('United Data'!$A$3:$A$2150,C$1,'United Data'!$C$3:$C$2150,$A96)&gt;0,1,0)</f>
        <v>0</v>
      </c>
      <c r="D96">
        <f>IF(COUNTIFS('United Data'!$A$3:$A$2150,D$1,'United Data'!$C$3:$C$2150,$A96)&gt;0,1,0)</f>
        <v>0</v>
      </c>
      <c r="E96">
        <f>IF(COUNTIFS('United Data'!$A$3:$A$2150,E$1,'United Data'!$C$3:$C$2150,$A96)&gt;0,1,0)</f>
        <v>0</v>
      </c>
      <c r="F96">
        <f>IF(COUNTIFS('United Data'!$A$3:$A$2150,F$1,'United Data'!$C$3:$C$2150,$A96)&gt;0,1,0)</f>
        <v>0</v>
      </c>
      <c r="G96">
        <f>IF(COUNTIFS('United Data'!$A$3:$A$2150,G$1,'United Data'!$C$3:$C$2150,$A96)&gt;0,1,0)</f>
        <v>0</v>
      </c>
      <c r="H96">
        <f>IF(COUNTIFS('United Data'!$A$3:$A$2150,H$1,'United Data'!$C$3:$C$2150,$A96)&gt;0,1,0)</f>
        <v>0</v>
      </c>
      <c r="I96">
        <f>IF(COUNTIFS('United Data'!$A$3:$A$2150,I$1,'United Data'!$C$3:$C$2150,$A96)&gt;0,1,0)</f>
        <v>0</v>
      </c>
      <c r="J96">
        <f>IF(COUNTIFS('United Data'!$A$3:$A$2150,J$1,'United Data'!$C$3:$C$2150,$A96)&gt;0,1,0)</f>
        <v>1</v>
      </c>
      <c r="K96">
        <f>IF(COUNTIFS('United Data'!$A$3:$A$2150,K$1,'United Data'!$C$3:$C$2150,$A96)&gt;0,1,0)</f>
        <v>0</v>
      </c>
      <c r="L96">
        <f>IF(COUNTIFS('United Data'!$A$3:$A$2150,L$1,'United Data'!$C$3:$C$2150,$A96)&gt;0,1,0)</f>
        <v>0</v>
      </c>
      <c r="M96">
        <f>IF(COUNTIFS('United Data'!$A$3:$A$2150,M$1,'United Data'!$C$3:$C$2150,$A96)&gt;0,1,0)</f>
        <v>0</v>
      </c>
      <c r="N96">
        <f>IF(COUNTIFS('United Data'!$A$3:$A$2150,N$1,'United Data'!$C$3:$C$2150,$A96)&gt;0,1,0)</f>
        <v>0</v>
      </c>
      <c r="O96">
        <f>IF(COUNTIFS('United Data'!$A$3:$A$2150,O$1,'United Data'!$C$3:$C$2150,$A96)&gt;0,1,0)</f>
        <v>0</v>
      </c>
      <c r="P96">
        <f>IF(COUNTIFS('United Data'!$A$3:$A$2150,P$1,'United Data'!$C$3:$C$2150,$A96)&gt;0,1,0)</f>
        <v>0</v>
      </c>
      <c r="Q96">
        <f>IF(COUNTIFS('United Data'!$A$3:$A$2150,Q$1,'United Data'!$C$3:$C$2150,$A96)&gt;0,1,0)</f>
        <v>0</v>
      </c>
      <c r="R96">
        <f>IF(COUNTIFS('United Data'!$A$3:$A$2150,R$1,'United Data'!$C$3:$C$2150,$A96)&gt;0,1,0)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142</v>
      </c>
      <c r="B97">
        <f>IF(COUNTIFS('United Data'!$A$3:$A$2150,B$1,'United Data'!$C$3:$C$2150,$A97)&gt;0,1,0)</f>
        <v>0</v>
      </c>
      <c r="C97">
        <f>IF(COUNTIFS('United Data'!$A$3:$A$2150,C$1,'United Data'!$C$3:$C$2150,$A97)&gt;0,1,0)</f>
        <v>0</v>
      </c>
      <c r="D97">
        <f>IF(COUNTIFS('United Data'!$A$3:$A$2150,D$1,'United Data'!$C$3:$C$2150,$A97)&gt;0,1,0)</f>
        <v>0</v>
      </c>
      <c r="E97">
        <f>IF(COUNTIFS('United Data'!$A$3:$A$2150,E$1,'United Data'!$C$3:$C$2150,$A97)&gt;0,1,0)</f>
        <v>0</v>
      </c>
      <c r="F97">
        <f>IF(COUNTIFS('United Data'!$A$3:$A$2150,F$1,'United Data'!$C$3:$C$2150,$A97)&gt;0,1,0)</f>
        <v>0</v>
      </c>
      <c r="G97">
        <f>IF(COUNTIFS('United Data'!$A$3:$A$2150,G$1,'United Data'!$C$3:$C$2150,$A97)&gt;0,1,0)</f>
        <v>0</v>
      </c>
      <c r="H97">
        <f>IF(COUNTIFS('United Data'!$A$3:$A$2150,H$1,'United Data'!$C$3:$C$2150,$A97)&gt;0,1,0)</f>
        <v>0</v>
      </c>
      <c r="I97">
        <f>IF(COUNTIFS('United Data'!$A$3:$A$2150,I$1,'United Data'!$C$3:$C$2150,$A97)&gt;0,1,0)</f>
        <v>0</v>
      </c>
      <c r="J97">
        <f>IF(COUNTIFS('United Data'!$A$3:$A$2150,J$1,'United Data'!$C$3:$C$2150,$A97)&gt;0,1,0)</f>
        <v>1</v>
      </c>
      <c r="K97">
        <f>IF(COUNTIFS('United Data'!$A$3:$A$2150,K$1,'United Data'!$C$3:$C$2150,$A97)&gt;0,1,0)</f>
        <v>1</v>
      </c>
      <c r="L97">
        <f>IF(COUNTIFS('United Data'!$A$3:$A$2150,L$1,'United Data'!$C$3:$C$2150,$A97)&gt;0,1,0)</f>
        <v>1</v>
      </c>
      <c r="M97">
        <f>IF(COUNTIFS('United Data'!$A$3:$A$2150,M$1,'United Data'!$C$3:$C$2150,$A97)&gt;0,1,0)</f>
        <v>1</v>
      </c>
      <c r="N97">
        <f>IF(COUNTIFS('United Data'!$A$3:$A$2150,N$1,'United Data'!$C$3:$C$2150,$A97)&gt;0,1,0)</f>
        <v>1</v>
      </c>
      <c r="O97">
        <f>IF(COUNTIFS('United Data'!$A$3:$A$2150,O$1,'United Data'!$C$3:$C$2150,$A97)&gt;0,1,0)</f>
        <v>1</v>
      </c>
      <c r="P97">
        <f>IF(COUNTIFS('United Data'!$A$3:$A$2150,P$1,'United Data'!$C$3:$C$2150,$A97)&gt;0,1,0)</f>
        <v>1</v>
      </c>
      <c r="Q97">
        <f>IF(COUNTIFS('United Data'!$A$3:$A$2150,Q$1,'United Data'!$C$3:$C$2150,$A97)&gt;0,1,0)</f>
        <v>0</v>
      </c>
      <c r="R97">
        <f>IF(COUNTIFS('United Data'!$A$3:$A$2150,R$1,'United Data'!$C$3:$C$2150,$A97)&gt;0,1,0)</f>
        <v>0</v>
      </c>
      <c r="S97">
        <f t="shared" si="2"/>
        <v>7</v>
      </c>
      <c r="T97">
        <f t="shared" si="3"/>
        <v>1</v>
      </c>
    </row>
    <row r="98" spans="1:20" x14ac:dyDescent="0.2">
      <c r="A98" t="s">
        <v>143</v>
      </c>
      <c r="B98">
        <f>IF(COUNTIFS('United Data'!$A$3:$A$2150,B$1,'United Data'!$C$3:$C$2150,$A98)&gt;0,1,0)</f>
        <v>0</v>
      </c>
      <c r="C98">
        <f>IF(COUNTIFS('United Data'!$A$3:$A$2150,C$1,'United Data'!$C$3:$C$2150,$A98)&gt;0,1,0)</f>
        <v>0</v>
      </c>
      <c r="D98">
        <f>IF(COUNTIFS('United Data'!$A$3:$A$2150,D$1,'United Data'!$C$3:$C$2150,$A98)&gt;0,1,0)</f>
        <v>0</v>
      </c>
      <c r="E98">
        <f>IF(COUNTIFS('United Data'!$A$3:$A$2150,E$1,'United Data'!$C$3:$C$2150,$A98)&gt;0,1,0)</f>
        <v>0</v>
      </c>
      <c r="F98">
        <f>IF(COUNTIFS('United Data'!$A$3:$A$2150,F$1,'United Data'!$C$3:$C$2150,$A98)&gt;0,1,0)</f>
        <v>0</v>
      </c>
      <c r="G98">
        <f>IF(COUNTIFS('United Data'!$A$3:$A$2150,G$1,'United Data'!$C$3:$C$2150,$A98)&gt;0,1,0)</f>
        <v>0</v>
      </c>
      <c r="H98">
        <f>IF(COUNTIFS('United Data'!$A$3:$A$2150,H$1,'United Data'!$C$3:$C$2150,$A98)&gt;0,1,0)</f>
        <v>0</v>
      </c>
      <c r="I98">
        <f>IF(COUNTIFS('United Data'!$A$3:$A$2150,I$1,'United Data'!$C$3:$C$2150,$A98)&gt;0,1,0)</f>
        <v>0</v>
      </c>
      <c r="J98">
        <f>IF(COUNTIFS('United Data'!$A$3:$A$2150,J$1,'United Data'!$C$3:$C$2150,$A98)&gt;0,1,0)</f>
        <v>1</v>
      </c>
      <c r="K98">
        <f>IF(COUNTIFS('United Data'!$A$3:$A$2150,K$1,'United Data'!$C$3:$C$2150,$A98)&gt;0,1,0)</f>
        <v>0</v>
      </c>
      <c r="L98">
        <f>IF(COUNTIFS('United Data'!$A$3:$A$2150,L$1,'United Data'!$C$3:$C$2150,$A98)&gt;0,1,0)</f>
        <v>0</v>
      </c>
      <c r="M98">
        <f>IF(COUNTIFS('United Data'!$A$3:$A$2150,M$1,'United Data'!$C$3:$C$2150,$A98)&gt;0,1,0)</f>
        <v>0</v>
      </c>
      <c r="N98">
        <f>IF(COUNTIFS('United Data'!$A$3:$A$2150,N$1,'United Data'!$C$3:$C$2150,$A98)&gt;0,1,0)</f>
        <v>0</v>
      </c>
      <c r="O98">
        <f>IF(COUNTIFS('United Data'!$A$3:$A$2150,O$1,'United Data'!$C$3:$C$2150,$A98)&gt;0,1,0)</f>
        <v>0</v>
      </c>
      <c r="P98">
        <f>IF(COUNTIFS('United Data'!$A$3:$A$2150,P$1,'United Data'!$C$3:$C$2150,$A98)&gt;0,1,0)</f>
        <v>0</v>
      </c>
      <c r="Q98">
        <f>IF(COUNTIFS('United Data'!$A$3:$A$2150,Q$1,'United Data'!$C$3:$C$2150,$A98)&gt;0,1,0)</f>
        <v>0</v>
      </c>
      <c r="R98">
        <f>IF(COUNTIFS('United Data'!$A$3:$A$2150,R$1,'United Data'!$C$3:$C$2150,$A98)&gt;0,1,0)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144</v>
      </c>
      <c r="B99">
        <f>IF(COUNTIFS('United Data'!$A$3:$A$2150,B$1,'United Data'!$C$3:$C$2150,$A99)&gt;0,1,0)</f>
        <v>0</v>
      </c>
      <c r="C99">
        <f>IF(COUNTIFS('United Data'!$A$3:$A$2150,C$1,'United Data'!$C$3:$C$2150,$A99)&gt;0,1,0)</f>
        <v>0</v>
      </c>
      <c r="D99">
        <f>IF(COUNTIFS('United Data'!$A$3:$A$2150,D$1,'United Data'!$C$3:$C$2150,$A99)&gt;0,1,0)</f>
        <v>0</v>
      </c>
      <c r="E99">
        <f>IF(COUNTIFS('United Data'!$A$3:$A$2150,E$1,'United Data'!$C$3:$C$2150,$A99)&gt;0,1,0)</f>
        <v>0</v>
      </c>
      <c r="F99">
        <f>IF(COUNTIFS('United Data'!$A$3:$A$2150,F$1,'United Data'!$C$3:$C$2150,$A99)&gt;0,1,0)</f>
        <v>0</v>
      </c>
      <c r="G99">
        <f>IF(COUNTIFS('United Data'!$A$3:$A$2150,G$1,'United Data'!$C$3:$C$2150,$A99)&gt;0,1,0)</f>
        <v>0</v>
      </c>
      <c r="H99">
        <f>IF(COUNTIFS('United Data'!$A$3:$A$2150,H$1,'United Data'!$C$3:$C$2150,$A99)&gt;0,1,0)</f>
        <v>0</v>
      </c>
      <c r="I99">
        <f>IF(COUNTIFS('United Data'!$A$3:$A$2150,I$1,'United Data'!$C$3:$C$2150,$A99)&gt;0,1,0)</f>
        <v>0</v>
      </c>
      <c r="J99">
        <f>IF(COUNTIFS('United Data'!$A$3:$A$2150,J$1,'United Data'!$C$3:$C$2150,$A99)&gt;0,1,0)</f>
        <v>1</v>
      </c>
      <c r="K99">
        <f>IF(COUNTIFS('United Data'!$A$3:$A$2150,K$1,'United Data'!$C$3:$C$2150,$A99)&gt;0,1,0)</f>
        <v>0</v>
      </c>
      <c r="L99">
        <f>IF(COUNTIFS('United Data'!$A$3:$A$2150,L$1,'United Data'!$C$3:$C$2150,$A99)&gt;0,1,0)</f>
        <v>0</v>
      </c>
      <c r="M99">
        <f>IF(COUNTIFS('United Data'!$A$3:$A$2150,M$1,'United Data'!$C$3:$C$2150,$A99)&gt;0,1,0)</f>
        <v>0</v>
      </c>
      <c r="N99">
        <f>IF(COUNTIFS('United Data'!$A$3:$A$2150,N$1,'United Data'!$C$3:$C$2150,$A99)&gt;0,1,0)</f>
        <v>0</v>
      </c>
      <c r="O99">
        <f>IF(COUNTIFS('United Data'!$A$3:$A$2150,O$1,'United Data'!$C$3:$C$2150,$A99)&gt;0,1,0)</f>
        <v>0</v>
      </c>
      <c r="P99">
        <f>IF(COUNTIFS('United Data'!$A$3:$A$2150,P$1,'United Data'!$C$3:$C$2150,$A99)&gt;0,1,0)</f>
        <v>0</v>
      </c>
      <c r="Q99">
        <f>IF(COUNTIFS('United Data'!$A$3:$A$2150,Q$1,'United Data'!$C$3:$C$2150,$A99)&gt;0,1,0)</f>
        <v>0</v>
      </c>
      <c r="R99">
        <f>IF(COUNTIFS('United Data'!$A$3:$A$2150,R$1,'United Data'!$C$3:$C$2150,$A99)&gt;0,1,0)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145</v>
      </c>
      <c r="B100">
        <f>IF(COUNTIFS('United Data'!$A$3:$A$2150,B$1,'United Data'!$C$3:$C$2150,$A100)&gt;0,1,0)</f>
        <v>0</v>
      </c>
      <c r="C100">
        <f>IF(COUNTIFS('United Data'!$A$3:$A$2150,C$1,'United Data'!$C$3:$C$2150,$A100)&gt;0,1,0)</f>
        <v>0</v>
      </c>
      <c r="D100">
        <f>IF(COUNTIFS('United Data'!$A$3:$A$2150,D$1,'United Data'!$C$3:$C$2150,$A100)&gt;0,1,0)</f>
        <v>0</v>
      </c>
      <c r="E100">
        <f>IF(COUNTIFS('United Data'!$A$3:$A$2150,E$1,'United Data'!$C$3:$C$2150,$A100)&gt;0,1,0)</f>
        <v>0</v>
      </c>
      <c r="F100">
        <f>IF(COUNTIFS('United Data'!$A$3:$A$2150,F$1,'United Data'!$C$3:$C$2150,$A100)&gt;0,1,0)</f>
        <v>0</v>
      </c>
      <c r="G100">
        <f>IF(COUNTIFS('United Data'!$A$3:$A$2150,G$1,'United Data'!$C$3:$C$2150,$A100)&gt;0,1,0)</f>
        <v>0</v>
      </c>
      <c r="H100">
        <f>IF(COUNTIFS('United Data'!$A$3:$A$2150,H$1,'United Data'!$C$3:$C$2150,$A100)&gt;0,1,0)</f>
        <v>0</v>
      </c>
      <c r="I100">
        <f>IF(COUNTIFS('United Data'!$A$3:$A$2150,I$1,'United Data'!$C$3:$C$2150,$A100)&gt;0,1,0)</f>
        <v>0</v>
      </c>
      <c r="J100">
        <f>IF(COUNTIFS('United Data'!$A$3:$A$2150,J$1,'United Data'!$C$3:$C$2150,$A100)&gt;0,1,0)</f>
        <v>1</v>
      </c>
      <c r="K100">
        <f>IF(COUNTIFS('United Data'!$A$3:$A$2150,K$1,'United Data'!$C$3:$C$2150,$A100)&gt;0,1,0)</f>
        <v>0</v>
      </c>
      <c r="L100">
        <f>IF(COUNTIFS('United Data'!$A$3:$A$2150,L$1,'United Data'!$C$3:$C$2150,$A100)&gt;0,1,0)</f>
        <v>0</v>
      </c>
      <c r="M100">
        <f>IF(COUNTIFS('United Data'!$A$3:$A$2150,M$1,'United Data'!$C$3:$C$2150,$A100)&gt;0,1,0)</f>
        <v>0</v>
      </c>
      <c r="N100">
        <f>IF(COUNTIFS('United Data'!$A$3:$A$2150,N$1,'United Data'!$C$3:$C$2150,$A100)&gt;0,1,0)</f>
        <v>0</v>
      </c>
      <c r="O100">
        <f>IF(COUNTIFS('United Data'!$A$3:$A$2150,O$1,'United Data'!$C$3:$C$2150,$A100)&gt;0,1,0)</f>
        <v>0</v>
      </c>
      <c r="P100">
        <f>IF(COUNTIFS('United Data'!$A$3:$A$2150,P$1,'United Data'!$C$3:$C$2150,$A100)&gt;0,1,0)</f>
        <v>0</v>
      </c>
      <c r="Q100">
        <f>IF(COUNTIFS('United Data'!$A$3:$A$2150,Q$1,'United Data'!$C$3:$C$2150,$A100)&gt;0,1,0)</f>
        <v>0</v>
      </c>
      <c r="R100">
        <f>IF(COUNTIFS('United Data'!$A$3:$A$2150,R$1,'United Data'!$C$3:$C$2150,$A100)&gt;0,1,0)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146</v>
      </c>
      <c r="B101">
        <f>IF(COUNTIFS('United Data'!$A$3:$A$2150,B$1,'United Data'!$C$3:$C$2150,$A101)&gt;0,1,0)</f>
        <v>0</v>
      </c>
      <c r="C101">
        <f>IF(COUNTIFS('United Data'!$A$3:$A$2150,C$1,'United Data'!$C$3:$C$2150,$A101)&gt;0,1,0)</f>
        <v>0</v>
      </c>
      <c r="D101">
        <f>IF(COUNTIFS('United Data'!$A$3:$A$2150,D$1,'United Data'!$C$3:$C$2150,$A101)&gt;0,1,0)</f>
        <v>0</v>
      </c>
      <c r="E101">
        <f>IF(COUNTIFS('United Data'!$A$3:$A$2150,E$1,'United Data'!$C$3:$C$2150,$A101)&gt;0,1,0)</f>
        <v>0</v>
      </c>
      <c r="F101">
        <f>IF(COUNTIFS('United Data'!$A$3:$A$2150,F$1,'United Data'!$C$3:$C$2150,$A101)&gt;0,1,0)</f>
        <v>0</v>
      </c>
      <c r="G101">
        <f>IF(COUNTIFS('United Data'!$A$3:$A$2150,G$1,'United Data'!$C$3:$C$2150,$A101)&gt;0,1,0)</f>
        <v>0</v>
      </c>
      <c r="H101">
        <f>IF(COUNTIFS('United Data'!$A$3:$A$2150,H$1,'United Data'!$C$3:$C$2150,$A101)&gt;0,1,0)</f>
        <v>0</v>
      </c>
      <c r="I101">
        <f>IF(COUNTIFS('United Data'!$A$3:$A$2150,I$1,'United Data'!$C$3:$C$2150,$A101)&gt;0,1,0)</f>
        <v>0</v>
      </c>
      <c r="J101">
        <f>IF(COUNTIFS('United Data'!$A$3:$A$2150,J$1,'United Data'!$C$3:$C$2150,$A101)&gt;0,1,0)</f>
        <v>1</v>
      </c>
      <c r="K101">
        <f>IF(COUNTIFS('United Data'!$A$3:$A$2150,K$1,'United Data'!$C$3:$C$2150,$A101)&gt;0,1,0)</f>
        <v>0</v>
      </c>
      <c r="L101">
        <f>IF(COUNTIFS('United Data'!$A$3:$A$2150,L$1,'United Data'!$C$3:$C$2150,$A101)&gt;0,1,0)</f>
        <v>0</v>
      </c>
      <c r="M101">
        <f>IF(COUNTIFS('United Data'!$A$3:$A$2150,M$1,'United Data'!$C$3:$C$2150,$A101)&gt;0,1,0)</f>
        <v>0</v>
      </c>
      <c r="N101">
        <f>IF(COUNTIFS('United Data'!$A$3:$A$2150,N$1,'United Data'!$C$3:$C$2150,$A101)&gt;0,1,0)</f>
        <v>0</v>
      </c>
      <c r="O101">
        <f>IF(COUNTIFS('United Data'!$A$3:$A$2150,O$1,'United Data'!$C$3:$C$2150,$A101)&gt;0,1,0)</f>
        <v>0</v>
      </c>
      <c r="P101">
        <f>IF(COUNTIFS('United Data'!$A$3:$A$2150,P$1,'United Data'!$C$3:$C$2150,$A101)&gt;0,1,0)</f>
        <v>0</v>
      </c>
      <c r="Q101">
        <f>IF(COUNTIFS('United Data'!$A$3:$A$2150,Q$1,'United Data'!$C$3:$C$2150,$A101)&gt;0,1,0)</f>
        <v>0</v>
      </c>
      <c r="R101">
        <f>IF(COUNTIFS('United Data'!$A$3:$A$2150,R$1,'United Data'!$C$3:$C$2150,$A101)&gt;0,1,0)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147</v>
      </c>
      <c r="B102">
        <f>IF(COUNTIFS('United Data'!$A$3:$A$2150,B$1,'United Data'!$C$3:$C$2150,$A102)&gt;0,1,0)</f>
        <v>0</v>
      </c>
      <c r="C102">
        <f>IF(COUNTIFS('United Data'!$A$3:$A$2150,C$1,'United Data'!$C$3:$C$2150,$A102)&gt;0,1,0)</f>
        <v>0</v>
      </c>
      <c r="D102">
        <f>IF(COUNTIFS('United Data'!$A$3:$A$2150,D$1,'United Data'!$C$3:$C$2150,$A102)&gt;0,1,0)</f>
        <v>0</v>
      </c>
      <c r="E102">
        <f>IF(COUNTIFS('United Data'!$A$3:$A$2150,E$1,'United Data'!$C$3:$C$2150,$A102)&gt;0,1,0)</f>
        <v>0</v>
      </c>
      <c r="F102">
        <f>IF(COUNTIFS('United Data'!$A$3:$A$2150,F$1,'United Data'!$C$3:$C$2150,$A102)&gt;0,1,0)</f>
        <v>0</v>
      </c>
      <c r="G102">
        <f>IF(COUNTIFS('United Data'!$A$3:$A$2150,G$1,'United Data'!$C$3:$C$2150,$A102)&gt;0,1,0)</f>
        <v>0</v>
      </c>
      <c r="H102">
        <f>IF(COUNTIFS('United Data'!$A$3:$A$2150,H$1,'United Data'!$C$3:$C$2150,$A102)&gt;0,1,0)</f>
        <v>0</v>
      </c>
      <c r="I102">
        <f>IF(COUNTIFS('United Data'!$A$3:$A$2150,I$1,'United Data'!$C$3:$C$2150,$A102)&gt;0,1,0)</f>
        <v>0</v>
      </c>
      <c r="J102">
        <f>IF(COUNTIFS('United Data'!$A$3:$A$2150,J$1,'United Data'!$C$3:$C$2150,$A102)&gt;0,1,0)</f>
        <v>0</v>
      </c>
      <c r="K102">
        <f>IF(COUNTIFS('United Data'!$A$3:$A$2150,K$1,'United Data'!$C$3:$C$2150,$A102)&gt;0,1,0)</f>
        <v>1</v>
      </c>
      <c r="L102">
        <f>IF(COUNTIFS('United Data'!$A$3:$A$2150,L$1,'United Data'!$C$3:$C$2150,$A102)&gt;0,1,0)</f>
        <v>0</v>
      </c>
      <c r="M102">
        <f>IF(COUNTIFS('United Data'!$A$3:$A$2150,M$1,'United Data'!$C$3:$C$2150,$A102)&gt;0,1,0)</f>
        <v>0</v>
      </c>
      <c r="N102">
        <f>IF(COUNTIFS('United Data'!$A$3:$A$2150,N$1,'United Data'!$C$3:$C$2150,$A102)&gt;0,1,0)</f>
        <v>0</v>
      </c>
      <c r="O102">
        <f>IF(COUNTIFS('United Data'!$A$3:$A$2150,O$1,'United Data'!$C$3:$C$2150,$A102)&gt;0,1,0)</f>
        <v>0</v>
      </c>
      <c r="P102">
        <f>IF(COUNTIFS('United Data'!$A$3:$A$2150,P$1,'United Data'!$C$3:$C$2150,$A102)&gt;0,1,0)</f>
        <v>0</v>
      </c>
      <c r="Q102">
        <f>IF(COUNTIFS('United Data'!$A$3:$A$2150,Q$1,'United Data'!$C$3:$C$2150,$A102)&gt;0,1,0)</f>
        <v>0</v>
      </c>
      <c r="R102">
        <f>IF(COUNTIFS('United Data'!$A$3:$A$2150,R$1,'United Data'!$C$3:$C$2150,$A102)&gt;0,1,0)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148</v>
      </c>
      <c r="B103">
        <f>IF(COUNTIFS('United Data'!$A$3:$A$2150,B$1,'United Data'!$C$3:$C$2150,$A103)&gt;0,1,0)</f>
        <v>0</v>
      </c>
      <c r="C103">
        <f>IF(COUNTIFS('United Data'!$A$3:$A$2150,C$1,'United Data'!$C$3:$C$2150,$A103)&gt;0,1,0)</f>
        <v>0</v>
      </c>
      <c r="D103">
        <f>IF(COUNTIFS('United Data'!$A$3:$A$2150,D$1,'United Data'!$C$3:$C$2150,$A103)&gt;0,1,0)</f>
        <v>0</v>
      </c>
      <c r="E103">
        <f>IF(COUNTIFS('United Data'!$A$3:$A$2150,E$1,'United Data'!$C$3:$C$2150,$A103)&gt;0,1,0)</f>
        <v>0</v>
      </c>
      <c r="F103">
        <f>IF(COUNTIFS('United Data'!$A$3:$A$2150,F$1,'United Data'!$C$3:$C$2150,$A103)&gt;0,1,0)</f>
        <v>0</v>
      </c>
      <c r="G103">
        <f>IF(COUNTIFS('United Data'!$A$3:$A$2150,G$1,'United Data'!$C$3:$C$2150,$A103)&gt;0,1,0)</f>
        <v>0</v>
      </c>
      <c r="H103">
        <f>IF(COUNTIFS('United Data'!$A$3:$A$2150,H$1,'United Data'!$C$3:$C$2150,$A103)&gt;0,1,0)</f>
        <v>0</v>
      </c>
      <c r="I103">
        <f>IF(COUNTIFS('United Data'!$A$3:$A$2150,I$1,'United Data'!$C$3:$C$2150,$A103)&gt;0,1,0)</f>
        <v>0</v>
      </c>
      <c r="J103">
        <f>IF(COUNTIFS('United Data'!$A$3:$A$2150,J$1,'United Data'!$C$3:$C$2150,$A103)&gt;0,1,0)</f>
        <v>0</v>
      </c>
      <c r="K103">
        <f>IF(COUNTIFS('United Data'!$A$3:$A$2150,K$1,'United Data'!$C$3:$C$2150,$A103)&gt;0,1,0)</f>
        <v>1</v>
      </c>
      <c r="L103">
        <f>IF(COUNTIFS('United Data'!$A$3:$A$2150,L$1,'United Data'!$C$3:$C$2150,$A103)&gt;0,1,0)</f>
        <v>0</v>
      </c>
      <c r="M103">
        <f>IF(COUNTIFS('United Data'!$A$3:$A$2150,M$1,'United Data'!$C$3:$C$2150,$A103)&gt;0,1,0)</f>
        <v>0</v>
      </c>
      <c r="N103">
        <f>IF(COUNTIFS('United Data'!$A$3:$A$2150,N$1,'United Data'!$C$3:$C$2150,$A103)&gt;0,1,0)</f>
        <v>0</v>
      </c>
      <c r="O103">
        <f>IF(COUNTIFS('United Data'!$A$3:$A$2150,O$1,'United Data'!$C$3:$C$2150,$A103)&gt;0,1,0)</f>
        <v>0</v>
      </c>
      <c r="P103">
        <f>IF(COUNTIFS('United Data'!$A$3:$A$2150,P$1,'United Data'!$C$3:$C$2150,$A103)&gt;0,1,0)</f>
        <v>0</v>
      </c>
      <c r="Q103">
        <f>IF(COUNTIFS('United Data'!$A$3:$A$2150,Q$1,'United Data'!$C$3:$C$2150,$A103)&gt;0,1,0)</f>
        <v>0</v>
      </c>
      <c r="R103">
        <f>IF(COUNTIFS('United Data'!$A$3:$A$2150,R$1,'United Data'!$C$3:$C$2150,$A103)&gt;0,1,0)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149</v>
      </c>
      <c r="B104">
        <f>IF(COUNTIFS('United Data'!$A$3:$A$2150,B$1,'United Data'!$C$3:$C$2150,$A104)&gt;0,1,0)</f>
        <v>0</v>
      </c>
      <c r="C104">
        <f>IF(COUNTIFS('United Data'!$A$3:$A$2150,C$1,'United Data'!$C$3:$C$2150,$A104)&gt;0,1,0)</f>
        <v>0</v>
      </c>
      <c r="D104">
        <f>IF(COUNTIFS('United Data'!$A$3:$A$2150,D$1,'United Data'!$C$3:$C$2150,$A104)&gt;0,1,0)</f>
        <v>0</v>
      </c>
      <c r="E104">
        <f>IF(COUNTIFS('United Data'!$A$3:$A$2150,E$1,'United Data'!$C$3:$C$2150,$A104)&gt;0,1,0)</f>
        <v>0</v>
      </c>
      <c r="F104">
        <f>IF(COUNTIFS('United Data'!$A$3:$A$2150,F$1,'United Data'!$C$3:$C$2150,$A104)&gt;0,1,0)</f>
        <v>0</v>
      </c>
      <c r="G104">
        <f>IF(COUNTIFS('United Data'!$A$3:$A$2150,G$1,'United Data'!$C$3:$C$2150,$A104)&gt;0,1,0)</f>
        <v>0</v>
      </c>
      <c r="H104">
        <f>IF(COUNTIFS('United Data'!$A$3:$A$2150,H$1,'United Data'!$C$3:$C$2150,$A104)&gt;0,1,0)</f>
        <v>0</v>
      </c>
      <c r="I104">
        <f>IF(COUNTIFS('United Data'!$A$3:$A$2150,I$1,'United Data'!$C$3:$C$2150,$A104)&gt;0,1,0)</f>
        <v>0</v>
      </c>
      <c r="J104">
        <f>IF(COUNTIFS('United Data'!$A$3:$A$2150,J$1,'United Data'!$C$3:$C$2150,$A104)&gt;0,1,0)</f>
        <v>0</v>
      </c>
      <c r="K104">
        <f>IF(COUNTIFS('United Data'!$A$3:$A$2150,K$1,'United Data'!$C$3:$C$2150,$A104)&gt;0,1,0)</f>
        <v>1</v>
      </c>
      <c r="L104">
        <f>IF(COUNTIFS('United Data'!$A$3:$A$2150,L$1,'United Data'!$C$3:$C$2150,$A104)&gt;0,1,0)</f>
        <v>1</v>
      </c>
      <c r="M104">
        <f>IF(COUNTIFS('United Data'!$A$3:$A$2150,M$1,'United Data'!$C$3:$C$2150,$A104)&gt;0,1,0)</f>
        <v>0</v>
      </c>
      <c r="N104">
        <f>IF(COUNTIFS('United Data'!$A$3:$A$2150,N$1,'United Data'!$C$3:$C$2150,$A104)&gt;0,1,0)</f>
        <v>0</v>
      </c>
      <c r="O104">
        <f>IF(COUNTIFS('United Data'!$A$3:$A$2150,O$1,'United Data'!$C$3:$C$2150,$A104)&gt;0,1,0)</f>
        <v>0</v>
      </c>
      <c r="P104">
        <f>IF(COUNTIFS('United Data'!$A$3:$A$2150,P$1,'United Data'!$C$3:$C$2150,$A104)&gt;0,1,0)</f>
        <v>0</v>
      </c>
      <c r="Q104">
        <f>IF(COUNTIFS('United Data'!$A$3:$A$2150,Q$1,'United Data'!$C$3:$C$2150,$A104)&gt;0,1,0)</f>
        <v>0</v>
      </c>
      <c r="R104">
        <f>IF(COUNTIFS('United Data'!$A$3:$A$2150,R$1,'United Data'!$C$3:$C$2150,$A104)&gt;0,1,0)</f>
        <v>0</v>
      </c>
      <c r="S104">
        <f t="shared" si="2"/>
        <v>2</v>
      </c>
      <c r="T104">
        <f t="shared" si="3"/>
        <v>1</v>
      </c>
    </row>
    <row r="105" spans="1:20" x14ac:dyDescent="0.2">
      <c r="A105" t="s">
        <v>150</v>
      </c>
      <c r="B105">
        <f>IF(COUNTIFS('United Data'!$A$3:$A$2150,B$1,'United Data'!$C$3:$C$2150,$A105)&gt;0,1,0)</f>
        <v>0</v>
      </c>
      <c r="C105">
        <f>IF(COUNTIFS('United Data'!$A$3:$A$2150,C$1,'United Data'!$C$3:$C$2150,$A105)&gt;0,1,0)</f>
        <v>0</v>
      </c>
      <c r="D105">
        <f>IF(COUNTIFS('United Data'!$A$3:$A$2150,D$1,'United Data'!$C$3:$C$2150,$A105)&gt;0,1,0)</f>
        <v>0</v>
      </c>
      <c r="E105">
        <f>IF(COUNTIFS('United Data'!$A$3:$A$2150,E$1,'United Data'!$C$3:$C$2150,$A105)&gt;0,1,0)</f>
        <v>0</v>
      </c>
      <c r="F105">
        <f>IF(COUNTIFS('United Data'!$A$3:$A$2150,F$1,'United Data'!$C$3:$C$2150,$A105)&gt;0,1,0)</f>
        <v>0</v>
      </c>
      <c r="G105">
        <f>IF(COUNTIFS('United Data'!$A$3:$A$2150,G$1,'United Data'!$C$3:$C$2150,$A105)&gt;0,1,0)</f>
        <v>0</v>
      </c>
      <c r="H105">
        <f>IF(COUNTIFS('United Data'!$A$3:$A$2150,H$1,'United Data'!$C$3:$C$2150,$A105)&gt;0,1,0)</f>
        <v>0</v>
      </c>
      <c r="I105">
        <f>IF(COUNTIFS('United Data'!$A$3:$A$2150,I$1,'United Data'!$C$3:$C$2150,$A105)&gt;0,1,0)</f>
        <v>0</v>
      </c>
      <c r="J105">
        <f>IF(COUNTIFS('United Data'!$A$3:$A$2150,J$1,'United Data'!$C$3:$C$2150,$A105)&gt;0,1,0)</f>
        <v>0</v>
      </c>
      <c r="K105">
        <f>IF(COUNTIFS('United Data'!$A$3:$A$2150,K$1,'United Data'!$C$3:$C$2150,$A105)&gt;0,1,0)</f>
        <v>1</v>
      </c>
      <c r="L105">
        <f>IF(COUNTIFS('United Data'!$A$3:$A$2150,L$1,'United Data'!$C$3:$C$2150,$A105)&gt;0,1,0)</f>
        <v>1</v>
      </c>
      <c r="M105">
        <f>IF(COUNTIFS('United Data'!$A$3:$A$2150,M$1,'United Data'!$C$3:$C$2150,$A105)&gt;0,1,0)</f>
        <v>0</v>
      </c>
      <c r="N105">
        <f>IF(COUNTIFS('United Data'!$A$3:$A$2150,N$1,'United Data'!$C$3:$C$2150,$A105)&gt;0,1,0)</f>
        <v>0</v>
      </c>
      <c r="O105">
        <f>IF(COUNTIFS('United Data'!$A$3:$A$2150,O$1,'United Data'!$C$3:$C$2150,$A105)&gt;0,1,0)</f>
        <v>0</v>
      </c>
      <c r="P105">
        <f>IF(COUNTIFS('United Data'!$A$3:$A$2150,P$1,'United Data'!$C$3:$C$2150,$A105)&gt;0,1,0)</f>
        <v>0</v>
      </c>
      <c r="Q105">
        <f>IF(COUNTIFS('United Data'!$A$3:$A$2150,Q$1,'United Data'!$C$3:$C$2150,$A105)&gt;0,1,0)</f>
        <v>0</v>
      </c>
      <c r="R105">
        <f>IF(COUNTIFS('United Data'!$A$3:$A$2150,R$1,'United Data'!$C$3:$C$2150,$A105)&gt;0,1,0)</f>
        <v>0</v>
      </c>
      <c r="S105">
        <f t="shared" si="2"/>
        <v>2</v>
      </c>
      <c r="T105">
        <f t="shared" si="3"/>
        <v>1</v>
      </c>
    </row>
    <row r="106" spans="1:20" x14ac:dyDescent="0.2">
      <c r="A106" t="s">
        <v>151</v>
      </c>
      <c r="B106">
        <f>IF(COUNTIFS('United Data'!$A$3:$A$2150,B$1,'United Data'!$C$3:$C$2150,$A106)&gt;0,1,0)</f>
        <v>0</v>
      </c>
      <c r="C106">
        <f>IF(COUNTIFS('United Data'!$A$3:$A$2150,C$1,'United Data'!$C$3:$C$2150,$A106)&gt;0,1,0)</f>
        <v>0</v>
      </c>
      <c r="D106">
        <f>IF(COUNTIFS('United Data'!$A$3:$A$2150,D$1,'United Data'!$C$3:$C$2150,$A106)&gt;0,1,0)</f>
        <v>0</v>
      </c>
      <c r="E106">
        <f>IF(COUNTIFS('United Data'!$A$3:$A$2150,E$1,'United Data'!$C$3:$C$2150,$A106)&gt;0,1,0)</f>
        <v>0</v>
      </c>
      <c r="F106">
        <f>IF(COUNTIFS('United Data'!$A$3:$A$2150,F$1,'United Data'!$C$3:$C$2150,$A106)&gt;0,1,0)</f>
        <v>0</v>
      </c>
      <c r="G106">
        <f>IF(COUNTIFS('United Data'!$A$3:$A$2150,G$1,'United Data'!$C$3:$C$2150,$A106)&gt;0,1,0)</f>
        <v>0</v>
      </c>
      <c r="H106">
        <f>IF(COUNTIFS('United Data'!$A$3:$A$2150,H$1,'United Data'!$C$3:$C$2150,$A106)&gt;0,1,0)</f>
        <v>0</v>
      </c>
      <c r="I106">
        <f>IF(COUNTIFS('United Data'!$A$3:$A$2150,I$1,'United Data'!$C$3:$C$2150,$A106)&gt;0,1,0)</f>
        <v>0</v>
      </c>
      <c r="J106">
        <f>IF(COUNTIFS('United Data'!$A$3:$A$2150,J$1,'United Data'!$C$3:$C$2150,$A106)&gt;0,1,0)</f>
        <v>0</v>
      </c>
      <c r="K106">
        <f>IF(COUNTIFS('United Data'!$A$3:$A$2150,K$1,'United Data'!$C$3:$C$2150,$A106)&gt;0,1,0)</f>
        <v>1</v>
      </c>
      <c r="L106">
        <f>IF(COUNTIFS('United Data'!$A$3:$A$2150,L$1,'United Data'!$C$3:$C$2150,$A106)&gt;0,1,0)</f>
        <v>0</v>
      </c>
      <c r="M106">
        <f>IF(COUNTIFS('United Data'!$A$3:$A$2150,M$1,'United Data'!$C$3:$C$2150,$A106)&gt;0,1,0)</f>
        <v>0</v>
      </c>
      <c r="N106">
        <f>IF(COUNTIFS('United Data'!$A$3:$A$2150,N$1,'United Data'!$C$3:$C$2150,$A106)&gt;0,1,0)</f>
        <v>0</v>
      </c>
      <c r="O106">
        <f>IF(COUNTIFS('United Data'!$A$3:$A$2150,O$1,'United Data'!$C$3:$C$2150,$A106)&gt;0,1,0)</f>
        <v>0</v>
      </c>
      <c r="P106">
        <f>IF(COUNTIFS('United Data'!$A$3:$A$2150,P$1,'United Data'!$C$3:$C$2150,$A106)&gt;0,1,0)</f>
        <v>0</v>
      </c>
      <c r="Q106">
        <f>IF(COUNTIFS('United Data'!$A$3:$A$2150,Q$1,'United Data'!$C$3:$C$2150,$A106)&gt;0,1,0)</f>
        <v>0</v>
      </c>
      <c r="R106">
        <f>IF(COUNTIFS('United Data'!$A$3:$A$2150,R$1,'United Data'!$C$3:$C$2150,$A106)&gt;0,1,0)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152</v>
      </c>
      <c r="B107">
        <f>IF(COUNTIFS('United Data'!$A$3:$A$2150,B$1,'United Data'!$C$3:$C$2150,$A107)&gt;0,1,0)</f>
        <v>0</v>
      </c>
      <c r="C107">
        <f>IF(COUNTIFS('United Data'!$A$3:$A$2150,C$1,'United Data'!$C$3:$C$2150,$A107)&gt;0,1,0)</f>
        <v>0</v>
      </c>
      <c r="D107">
        <f>IF(COUNTIFS('United Data'!$A$3:$A$2150,D$1,'United Data'!$C$3:$C$2150,$A107)&gt;0,1,0)</f>
        <v>0</v>
      </c>
      <c r="E107">
        <f>IF(COUNTIFS('United Data'!$A$3:$A$2150,E$1,'United Data'!$C$3:$C$2150,$A107)&gt;0,1,0)</f>
        <v>0</v>
      </c>
      <c r="F107">
        <f>IF(COUNTIFS('United Data'!$A$3:$A$2150,F$1,'United Data'!$C$3:$C$2150,$A107)&gt;0,1,0)</f>
        <v>0</v>
      </c>
      <c r="G107">
        <f>IF(COUNTIFS('United Data'!$A$3:$A$2150,G$1,'United Data'!$C$3:$C$2150,$A107)&gt;0,1,0)</f>
        <v>0</v>
      </c>
      <c r="H107">
        <f>IF(COUNTIFS('United Data'!$A$3:$A$2150,H$1,'United Data'!$C$3:$C$2150,$A107)&gt;0,1,0)</f>
        <v>0</v>
      </c>
      <c r="I107">
        <f>IF(COUNTIFS('United Data'!$A$3:$A$2150,I$1,'United Data'!$C$3:$C$2150,$A107)&gt;0,1,0)</f>
        <v>0</v>
      </c>
      <c r="J107">
        <f>IF(COUNTIFS('United Data'!$A$3:$A$2150,J$1,'United Data'!$C$3:$C$2150,$A107)&gt;0,1,0)</f>
        <v>0</v>
      </c>
      <c r="K107">
        <f>IF(COUNTIFS('United Data'!$A$3:$A$2150,K$1,'United Data'!$C$3:$C$2150,$A107)&gt;0,1,0)</f>
        <v>1</v>
      </c>
      <c r="L107">
        <f>IF(COUNTIFS('United Data'!$A$3:$A$2150,L$1,'United Data'!$C$3:$C$2150,$A107)&gt;0,1,0)</f>
        <v>0</v>
      </c>
      <c r="M107">
        <f>IF(COUNTIFS('United Data'!$A$3:$A$2150,M$1,'United Data'!$C$3:$C$2150,$A107)&gt;0,1,0)</f>
        <v>0</v>
      </c>
      <c r="N107">
        <f>IF(COUNTIFS('United Data'!$A$3:$A$2150,N$1,'United Data'!$C$3:$C$2150,$A107)&gt;0,1,0)</f>
        <v>0</v>
      </c>
      <c r="O107">
        <f>IF(COUNTIFS('United Data'!$A$3:$A$2150,O$1,'United Data'!$C$3:$C$2150,$A107)&gt;0,1,0)</f>
        <v>0</v>
      </c>
      <c r="P107">
        <f>IF(COUNTIFS('United Data'!$A$3:$A$2150,P$1,'United Data'!$C$3:$C$2150,$A107)&gt;0,1,0)</f>
        <v>0</v>
      </c>
      <c r="Q107">
        <f>IF(COUNTIFS('United Data'!$A$3:$A$2150,Q$1,'United Data'!$C$3:$C$2150,$A107)&gt;0,1,0)</f>
        <v>0</v>
      </c>
      <c r="R107">
        <f>IF(COUNTIFS('United Data'!$A$3:$A$2150,R$1,'United Data'!$C$3:$C$2150,$A107)&gt;0,1,0)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153</v>
      </c>
      <c r="B108">
        <f>IF(COUNTIFS('United Data'!$A$3:$A$2150,B$1,'United Data'!$C$3:$C$2150,$A108)&gt;0,1,0)</f>
        <v>0</v>
      </c>
      <c r="C108">
        <f>IF(COUNTIFS('United Data'!$A$3:$A$2150,C$1,'United Data'!$C$3:$C$2150,$A108)&gt;0,1,0)</f>
        <v>0</v>
      </c>
      <c r="D108">
        <f>IF(COUNTIFS('United Data'!$A$3:$A$2150,D$1,'United Data'!$C$3:$C$2150,$A108)&gt;0,1,0)</f>
        <v>0</v>
      </c>
      <c r="E108">
        <f>IF(COUNTIFS('United Data'!$A$3:$A$2150,E$1,'United Data'!$C$3:$C$2150,$A108)&gt;0,1,0)</f>
        <v>0</v>
      </c>
      <c r="F108">
        <f>IF(COUNTIFS('United Data'!$A$3:$A$2150,F$1,'United Data'!$C$3:$C$2150,$A108)&gt;0,1,0)</f>
        <v>0</v>
      </c>
      <c r="G108">
        <f>IF(COUNTIFS('United Data'!$A$3:$A$2150,G$1,'United Data'!$C$3:$C$2150,$A108)&gt;0,1,0)</f>
        <v>0</v>
      </c>
      <c r="H108">
        <f>IF(COUNTIFS('United Data'!$A$3:$A$2150,H$1,'United Data'!$C$3:$C$2150,$A108)&gt;0,1,0)</f>
        <v>0</v>
      </c>
      <c r="I108">
        <f>IF(COUNTIFS('United Data'!$A$3:$A$2150,I$1,'United Data'!$C$3:$C$2150,$A108)&gt;0,1,0)</f>
        <v>0</v>
      </c>
      <c r="J108">
        <f>IF(COUNTIFS('United Data'!$A$3:$A$2150,J$1,'United Data'!$C$3:$C$2150,$A108)&gt;0,1,0)</f>
        <v>0</v>
      </c>
      <c r="K108">
        <f>IF(COUNTIFS('United Data'!$A$3:$A$2150,K$1,'United Data'!$C$3:$C$2150,$A108)&gt;0,1,0)</f>
        <v>1</v>
      </c>
      <c r="L108">
        <f>IF(COUNTIFS('United Data'!$A$3:$A$2150,L$1,'United Data'!$C$3:$C$2150,$A108)&gt;0,1,0)</f>
        <v>0</v>
      </c>
      <c r="M108">
        <f>IF(COUNTIFS('United Data'!$A$3:$A$2150,M$1,'United Data'!$C$3:$C$2150,$A108)&gt;0,1,0)</f>
        <v>0</v>
      </c>
      <c r="N108">
        <f>IF(COUNTIFS('United Data'!$A$3:$A$2150,N$1,'United Data'!$C$3:$C$2150,$A108)&gt;0,1,0)</f>
        <v>0</v>
      </c>
      <c r="O108">
        <f>IF(COUNTIFS('United Data'!$A$3:$A$2150,O$1,'United Data'!$C$3:$C$2150,$A108)&gt;0,1,0)</f>
        <v>0</v>
      </c>
      <c r="P108">
        <f>IF(COUNTIFS('United Data'!$A$3:$A$2150,P$1,'United Data'!$C$3:$C$2150,$A108)&gt;0,1,0)</f>
        <v>0</v>
      </c>
      <c r="Q108">
        <f>IF(COUNTIFS('United Data'!$A$3:$A$2150,Q$1,'United Data'!$C$3:$C$2150,$A108)&gt;0,1,0)</f>
        <v>0</v>
      </c>
      <c r="R108">
        <f>IF(COUNTIFS('United Data'!$A$3:$A$2150,R$1,'United Data'!$C$3:$C$2150,$A108)&gt;0,1,0)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154</v>
      </c>
      <c r="B109">
        <f>IF(COUNTIFS('United Data'!$A$3:$A$2150,B$1,'United Data'!$C$3:$C$2150,$A109)&gt;0,1,0)</f>
        <v>0</v>
      </c>
      <c r="C109">
        <f>IF(COUNTIFS('United Data'!$A$3:$A$2150,C$1,'United Data'!$C$3:$C$2150,$A109)&gt;0,1,0)</f>
        <v>0</v>
      </c>
      <c r="D109">
        <f>IF(COUNTIFS('United Data'!$A$3:$A$2150,D$1,'United Data'!$C$3:$C$2150,$A109)&gt;0,1,0)</f>
        <v>0</v>
      </c>
      <c r="E109">
        <f>IF(COUNTIFS('United Data'!$A$3:$A$2150,E$1,'United Data'!$C$3:$C$2150,$A109)&gt;0,1,0)</f>
        <v>0</v>
      </c>
      <c r="F109">
        <f>IF(COUNTIFS('United Data'!$A$3:$A$2150,F$1,'United Data'!$C$3:$C$2150,$A109)&gt;0,1,0)</f>
        <v>0</v>
      </c>
      <c r="G109">
        <f>IF(COUNTIFS('United Data'!$A$3:$A$2150,G$1,'United Data'!$C$3:$C$2150,$A109)&gt;0,1,0)</f>
        <v>0</v>
      </c>
      <c r="H109">
        <f>IF(COUNTIFS('United Data'!$A$3:$A$2150,H$1,'United Data'!$C$3:$C$2150,$A109)&gt;0,1,0)</f>
        <v>0</v>
      </c>
      <c r="I109">
        <f>IF(COUNTIFS('United Data'!$A$3:$A$2150,I$1,'United Data'!$C$3:$C$2150,$A109)&gt;0,1,0)</f>
        <v>0</v>
      </c>
      <c r="J109">
        <f>IF(COUNTIFS('United Data'!$A$3:$A$2150,J$1,'United Data'!$C$3:$C$2150,$A109)&gt;0,1,0)</f>
        <v>0</v>
      </c>
      <c r="K109">
        <f>IF(COUNTIFS('United Data'!$A$3:$A$2150,K$1,'United Data'!$C$3:$C$2150,$A109)&gt;0,1,0)</f>
        <v>1</v>
      </c>
      <c r="L109">
        <f>IF(COUNTIFS('United Data'!$A$3:$A$2150,L$1,'United Data'!$C$3:$C$2150,$A109)&gt;0,1,0)</f>
        <v>0</v>
      </c>
      <c r="M109">
        <f>IF(COUNTIFS('United Data'!$A$3:$A$2150,M$1,'United Data'!$C$3:$C$2150,$A109)&gt;0,1,0)</f>
        <v>0</v>
      </c>
      <c r="N109">
        <f>IF(COUNTIFS('United Data'!$A$3:$A$2150,N$1,'United Data'!$C$3:$C$2150,$A109)&gt;0,1,0)</f>
        <v>0</v>
      </c>
      <c r="O109">
        <f>IF(COUNTIFS('United Data'!$A$3:$A$2150,O$1,'United Data'!$C$3:$C$2150,$A109)&gt;0,1,0)</f>
        <v>0</v>
      </c>
      <c r="P109">
        <f>IF(COUNTIFS('United Data'!$A$3:$A$2150,P$1,'United Data'!$C$3:$C$2150,$A109)&gt;0,1,0)</f>
        <v>0</v>
      </c>
      <c r="Q109">
        <f>IF(COUNTIFS('United Data'!$A$3:$A$2150,Q$1,'United Data'!$C$3:$C$2150,$A109)&gt;0,1,0)</f>
        <v>0</v>
      </c>
      <c r="R109">
        <f>IF(COUNTIFS('United Data'!$A$3:$A$2150,R$1,'United Data'!$C$3:$C$2150,$A109)&gt;0,1,0)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155</v>
      </c>
      <c r="B110">
        <f>IF(COUNTIFS('United Data'!$A$3:$A$2150,B$1,'United Data'!$C$3:$C$2150,$A110)&gt;0,1,0)</f>
        <v>0</v>
      </c>
      <c r="C110">
        <f>IF(COUNTIFS('United Data'!$A$3:$A$2150,C$1,'United Data'!$C$3:$C$2150,$A110)&gt;0,1,0)</f>
        <v>0</v>
      </c>
      <c r="D110">
        <f>IF(COUNTIFS('United Data'!$A$3:$A$2150,D$1,'United Data'!$C$3:$C$2150,$A110)&gt;0,1,0)</f>
        <v>0</v>
      </c>
      <c r="E110">
        <f>IF(COUNTIFS('United Data'!$A$3:$A$2150,E$1,'United Data'!$C$3:$C$2150,$A110)&gt;0,1,0)</f>
        <v>0</v>
      </c>
      <c r="F110">
        <f>IF(COUNTIFS('United Data'!$A$3:$A$2150,F$1,'United Data'!$C$3:$C$2150,$A110)&gt;0,1,0)</f>
        <v>0</v>
      </c>
      <c r="G110">
        <f>IF(COUNTIFS('United Data'!$A$3:$A$2150,G$1,'United Data'!$C$3:$C$2150,$A110)&gt;0,1,0)</f>
        <v>0</v>
      </c>
      <c r="H110">
        <f>IF(COUNTIFS('United Data'!$A$3:$A$2150,H$1,'United Data'!$C$3:$C$2150,$A110)&gt;0,1,0)</f>
        <v>0</v>
      </c>
      <c r="I110">
        <f>IF(COUNTIFS('United Data'!$A$3:$A$2150,I$1,'United Data'!$C$3:$C$2150,$A110)&gt;0,1,0)</f>
        <v>0</v>
      </c>
      <c r="J110">
        <f>IF(COUNTIFS('United Data'!$A$3:$A$2150,J$1,'United Data'!$C$3:$C$2150,$A110)&gt;0,1,0)</f>
        <v>0</v>
      </c>
      <c r="K110">
        <f>IF(COUNTIFS('United Data'!$A$3:$A$2150,K$1,'United Data'!$C$3:$C$2150,$A110)&gt;0,1,0)</f>
        <v>0</v>
      </c>
      <c r="L110">
        <f>IF(COUNTIFS('United Data'!$A$3:$A$2150,L$1,'United Data'!$C$3:$C$2150,$A110)&gt;0,1,0)</f>
        <v>1</v>
      </c>
      <c r="M110">
        <f>IF(COUNTIFS('United Data'!$A$3:$A$2150,M$1,'United Data'!$C$3:$C$2150,$A110)&gt;0,1,0)</f>
        <v>0</v>
      </c>
      <c r="N110">
        <f>IF(COUNTIFS('United Data'!$A$3:$A$2150,N$1,'United Data'!$C$3:$C$2150,$A110)&gt;0,1,0)</f>
        <v>0</v>
      </c>
      <c r="O110">
        <f>IF(COUNTIFS('United Data'!$A$3:$A$2150,O$1,'United Data'!$C$3:$C$2150,$A110)&gt;0,1,0)</f>
        <v>0</v>
      </c>
      <c r="P110">
        <f>IF(COUNTIFS('United Data'!$A$3:$A$2150,P$1,'United Data'!$C$3:$C$2150,$A110)&gt;0,1,0)</f>
        <v>0</v>
      </c>
      <c r="Q110">
        <f>IF(COUNTIFS('United Data'!$A$3:$A$2150,Q$1,'United Data'!$C$3:$C$2150,$A110)&gt;0,1,0)</f>
        <v>0</v>
      </c>
      <c r="R110">
        <f>IF(COUNTIFS('United Data'!$A$3:$A$2150,R$1,'United Data'!$C$3:$C$2150,$A110)&gt;0,1,0)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156</v>
      </c>
      <c r="B111">
        <f>IF(COUNTIFS('United Data'!$A$3:$A$2150,B$1,'United Data'!$C$3:$C$2150,$A111)&gt;0,1,0)</f>
        <v>0</v>
      </c>
      <c r="C111">
        <f>IF(COUNTIFS('United Data'!$A$3:$A$2150,C$1,'United Data'!$C$3:$C$2150,$A111)&gt;0,1,0)</f>
        <v>0</v>
      </c>
      <c r="D111">
        <f>IF(COUNTIFS('United Data'!$A$3:$A$2150,D$1,'United Data'!$C$3:$C$2150,$A111)&gt;0,1,0)</f>
        <v>0</v>
      </c>
      <c r="E111">
        <f>IF(COUNTIFS('United Data'!$A$3:$A$2150,E$1,'United Data'!$C$3:$C$2150,$A111)&gt;0,1,0)</f>
        <v>0</v>
      </c>
      <c r="F111">
        <f>IF(COUNTIFS('United Data'!$A$3:$A$2150,F$1,'United Data'!$C$3:$C$2150,$A111)&gt;0,1,0)</f>
        <v>0</v>
      </c>
      <c r="G111">
        <f>IF(COUNTIFS('United Data'!$A$3:$A$2150,G$1,'United Data'!$C$3:$C$2150,$A111)&gt;0,1,0)</f>
        <v>0</v>
      </c>
      <c r="H111">
        <f>IF(COUNTIFS('United Data'!$A$3:$A$2150,H$1,'United Data'!$C$3:$C$2150,$A111)&gt;0,1,0)</f>
        <v>0</v>
      </c>
      <c r="I111">
        <f>IF(COUNTIFS('United Data'!$A$3:$A$2150,I$1,'United Data'!$C$3:$C$2150,$A111)&gt;0,1,0)</f>
        <v>0</v>
      </c>
      <c r="J111">
        <f>IF(COUNTIFS('United Data'!$A$3:$A$2150,J$1,'United Data'!$C$3:$C$2150,$A111)&gt;0,1,0)</f>
        <v>0</v>
      </c>
      <c r="K111">
        <f>IF(COUNTIFS('United Data'!$A$3:$A$2150,K$1,'United Data'!$C$3:$C$2150,$A111)&gt;0,1,0)</f>
        <v>0</v>
      </c>
      <c r="L111">
        <f>IF(COUNTIFS('United Data'!$A$3:$A$2150,L$1,'United Data'!$C$3:$C$2150,$A111)&gt;0,1,0)</f>
        <v>1</v>
      </c>
      <c r="M111">
        <f>IF(COUNTIFS('United Data'!$A$3:$A$2150,M$1,'United Data'!$C$3:$C$2150,$A111)&gt;0,1,0)</f>
        <v>0</v>
      </c>
      <c r="N111">
        <f>IF(COUNTIFS('United Data'!$A$3:$A$2150,N$1,'United Data'!$C$3:$C$2150,$A111)&gt;0,1,0)</f>
        <v>0</v>
      </c>
      <c r="O111">
        <f>IF(COUNTIFS('United Data'!$A$3:$A$2150,O$1,'United Data'!$C$3:$C$2150,$A111)&gt;0,1,0)</f>
        <v>0</v>
      </c>
      <c r="P111">
        <f>IF(COUNTIFS('United Data'!$A$3:$A$2150,P$1,'United Data'!$C$3:$C$2150,$A111)&gt;0,1,0)</f>
        <v>0</v>
      </c>
      <c r="Q111">
        <f>IF(COUNTIFS('United Data'!$A$3:$A$2150,Q$1,'United Data'!$C$3:$C$2150,$A111)&gt;0,1,0)</f>
        <v>0</v>
      </c>
      <c r="R111">
        <f>IF(COUNTIFS('United Data'!$A$3:$A$2150,R$1,'United Data'!$C$3:$C$2150,$A111)&gt;0,1,0)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157</v>
      </c>
      <c r="B112">
        <f>IF(COUNTIFS('United Data'!$A$3:$A$2150,B$1,'United Data'!$C$3:$C$2150,$A112)&gt;0,1,0)</f>
        <v>0</v>
      </c>
      <c r="C112">
        <f>IF(COUNTIFS('United Data'!$A$3:$A$2150,C$1,'United Data'!$C$3:$C$2150,$A112)&gt;0,1,0)</f>
        <v>0</v>
      </c>
      <c r="D112">
        <f>IF(COUNTIFS('United Data'!$A$3:$A$2150,D$1,'United Data'!$C$3:$C$2150,$A112)&gt;0,1,0)</f>
        <v>0</v>
      </c>
      <c r="E112">
        <f>IF(COUNTIFS('United Data'!$A$3:$A$2150,E$1,'United Data'!$C$3:$C$2150,$A112)&gt;0,1,0)</f>
        <v>0</v>
      </c>
      <c r="F112">
        <f>IF(COUNTIFS('United Data'!$A$3:$A$2150,F$1,'United Data'!$C$3:$C$2150,$A112)&gt;0,1,0)</f>
        <v>0</v>
      </c>
      <c r="G112">
        <f>IF(COUNTIFS('United Data'!$A$3:$A$2150,G$1,'United Data'!$C$3:$C$2150,$A112)&gt;0,1,0)</f>
        <v>0</v>
      </c>
      <c r="H112">
        <f>IF(COUNTIFS('United Data'!$A$3:$A$2150,H$1,'United Data'!$C$3:$C$2150,$A112)&gt;0,1,0)</f>
        <v>0</v>
      </c>
      <c r="I112">
        <f>IF(COUNTIFS('United Data'!$A$3:$A$2150,I$1,'United Data'!$C$3:$C$2150,$A112)&gt;0,1,0)</f>
        <v>0</v>
      </c>
      <c r="J112">
        <f>IF(COUNTIFS('United Data'!$A$3:$A$2150,J$1,'United Data'!$C$3:$C$2150,$A112)&gt;0,1,0)</f>
        <v>0</v>
      </c>
      <c r="K112">
        <f>IF(COUNTIFS('United Data'!$A$3:$A$2150,K$1,'United Data'!$C$3:$C$2150,$A112)&gt;0,1,0)</f>
        <v>0</v>
      </c>
      <c r="L112">
        <f>IF(COUNTIFS('United Data'!$A$3:$A$2150,L$1,'United Data'!$C$3:$C$2150,$A112)&gt;0,1,0)</f>
        <v>1</v>
      </c>
      <c r="M112">
        <f>IF(COUNTIFS('United Data'!$A$3:$A$2150,M$1,'United Data'!$C$3:$C$2150,$A112)&gt;0,1,0)</f>
        <v>0</v>
      </c>
      <c r="N112">
        <f>IF(COUNTIFS('United Data'!$A$3:$A$2150,N$1,'United Data'!$C$3:$C$2150,$A112)&gt;0,1,0)</f>
        <v>0</v>
      </c>
      <c r="O112">
        <f>IF(COUNTIFS('United Data'!$A$3:$A$2150,O$1,'United Data'!$C$3:$C$2150,$A112)&gt;0,1,0)</f>
        <v>0</v>
      </c>
      <c r="P112">
        <f>IF(COUNTIFS('United Data'!$A$3:$A$2150,P$1,'United Data'!$C$3:$C$2150,$A112)&gt;0,1,0)</f>
        <v>0</v>
      </c>
      <c r="Q112">
        <f>IF(COUNTIFS('United Data'!$A$3:$A$2150,Q$1,'United Data'!$C$3:$C$2150,$A112)&gt;0,1,0)</f>
        <v>0</v>
      </c>
      <c r="R112">
        <f>IF(COUNTIFS('United Data'!$A$3:$A$2150,R$1,'United Data'!$C$3:$C$2150,$A112)&gt;0,1,0)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158</v>
      </c>
      <c r="B113">
        <f>IF(COUNTIFS('United Data'!$A$3:$A$2150,B$1,'United Data'!$C$3:$C$2150,$A113)&gt;0,1,0)</f>
        <v>0</v>
      </c>
      <c r="C113">
        <f>IF(COUNTIFS('United Data'!$A$3:$A$2150,C$1,'United Data'!$C$3:$C$2150,$A113)&gt;0,1,0)</f>
        <v>0</v>
      </c>
      <c r="D113">
        <f>IF(COUNTIFS('United Data'!$A$3:$A$2150,D$1,'United Data'!$C$3:$C$2150,$A113)&gt;0,1,0)</f>
        <v>0</v>
      </c>
      <c r="E113">
        <f>IF(COUNTIFS('United Data'!$A$3:$A$2150,E$1,'United Data'!$C$3:$C$2150,$A113)&gt;0,1,0)</f>
        <v>0</v>
      </c>
      <c r="F113">
        <f>IF(COUNTIFS('United Data'!$A$3:$A$2150,F$1,'United Data'!$C$3:$C$2150,$A113)&gt;0,1,0)</f>
        <v>0</v>
      </c>
      <c r="G113">
        <f>IF(COUNTIFS('United Data'!$A$3:$A$2150,G$1,'United Data'!$C$3:$C$2150,$A113)&gt;0,1,0)</f>
        <v>0</v>
      </c>
      <c r="H113">
        <f>IF(COUNTIFS('United Data'!$A$3:$A$2150,H$1,'United Data'!$C$3:$C$2150,$A113)&gt;0,1,0)</f>
        <v>0</v>
      </c>
      <c r="I113">
        <f>IF(COUNTIFS('United Data'!$A$3:$A$2150,I$1,'United Data'!$C$3:$C$2150,$A113)&gt;0,1,0)</f>
        <v>0</v>
      </c>
      <c r="J113">
        <f>IF(COUNTIFS('United Data'!$A$3:$A$2150,J$1,'United Data'!$C$3:$C$2150,$A113)&gt;0,1,0)</f>
        <v>0</v>
      </c>
      <c r="K113">
        <f>IF(COUNTIFS('United Data'!$A$3:$A$2150,K$1,'United Data'!$C$3:$C$2150,$A113)&gt;0,1,0)</f>
        <v>0</v>
      </c>
      <c r="L113">
        <f>IF(COUNTIFS('United Data'!$A$3:$A$2150,L$1,'United Data'!$C$3:$C$2150,$A113)&gt;0,1,0)</f>
        <v>1</v>
      </c>
      <c r="M113">
        <f>IF(COUNTIFS('United Data'!$A$3:$A$2150,M$1,'United Data'!$C$3:$C$2150,$A113)&gt;0,1,0)</f>
        <v>1</v>
      </c>
      <c r="N113">
        <f>IF(COUNTIFS('United Data'!$A$3:$A$2150,N$1,'United Data'!$C$3:$C$2150,$A113)&gt;0,1,0)</f>
        <v>0</v>
      </c>
      <c r="O113">
        <f>IF(COUNTIFS('United Data'!$A$3:$A$2150,O$1,'United Data'!$C$3:$C$2150,$A113)&gt;0,1,0)</f>
        <v>0</v>
      </c>
      <c r="P113">
        <f>IF(COUNTIFS('United Data'!$A$3:$A$2150,P$1,'United Data'!$C$3:$C$2150,$A113)&gt;0,1,0)</f>
        <v>0</v>
      </c>
      <c r="Q113">
        <f>IF(COUNTIFS('United Data'!$A$3:$A$2150,Q$1,'United Data'!$C$3:$C$2150,$A113)&gt;0,1,0)</f>
        <v>0</v>
      </c>
      <c r="R113">
        <f>IF(COUNTIFS('United Data'!$A$3:$A$2150,R$1,'United Data'!$C$3:$C$2150,$A113)&gt;0,1,0)</f>
        <v>0</v>
      </c>
      <c r="S113">
        <f t="shared" si="2"/>
        <v>2</v>
      </c>
      <c r="T113">
        <f t="shared" si="3"/>
        <v>1</v>
      </c>
    </row>
    <row r="114" spans="1:20" x14ac:dyDescent="0.2">
      <c r="A114" t="s">
        <v>159</v>
      </c>
      <c r="B114">
        <f>IF(COUNTIFS('United Data'!$A$3:$A$2150,B$1,'United Data'!$C$3:$C$2150,$A114)&gt;0,1,0)</f>
        <v>0</v>
      </c>
      <c r="C114">
        <f>IF(COUNTIFS('United Data'!$A$3:$A$2150,C$1,'United Data'!$C$3:$C$2150,$A114)&gt;0,1,0)</f>
        <v>0</v>
      </c>
      <c r="D114">
        <f>IF(COUNTIFS('United Data'!$A$3:$A$2150,D$1,'United Data'!$C$3:$C$2150,$A114)&gt;0,1,0)</f>
        <v>0</v>
      </c>
      <c r="E114">
        <f>IF(COUNTIFS('United Data'!$A$3:$A$2150,E$1,'United Data'!$C$3:$C$2150,$A114)&gt;0,1,0)</f>
        <v>0</v>
      </c>
      <c r="F114">
        <f>IF(COUNTIFS('United Data'!$A$3:$A$2150,F$1,'United Data'!$C$3:$C$2150,$A114)&gt;0,1,0)</f>
        <v>0</v>
      </c>
      <c r="G114">
        <f>IF(COUNTIFS('United Data'!$A$3:$A$2150,G$1,'United Data'!$C$3:$C$2150,$A114)&gt;0,1,0)</f>
        <v>0</v>
      </c>
      <c r="H114">
        <f>IF(COUNTIFS('United Data'!$A$3:$A$2150,H$1,'United Data'!$C$3:$C$2150,$A114)&gt;0,1,0)</f>
        <v>0</v>
      </c>
      <c r="I114">
        <f>IF(COUNTIFS('United Data'!$A$3:$A$2150,I$1,'United Data'!$C$3:$C$2150,$A114)&gt;0,1,0)</f>
        <v>0</v>
      </c>
      <c r="J114">
        <f>IF(COUNTIFS('United Data'!$A$3:$A$2150,J$1,'United Data'!$C$3:$C$2150,$A114)&gt;0,1,0)</f>
        <v>0</v>
      </c>
      <c r="K114">
        <f>IF(COUNTIFS('United Data'!$A$3:$A$2150,K$1,'United Data'!$C$3:$C$2150,$A114)&gt;0,1,0)</f>
        <v>0</v>
      </c>
      <c r="L114">
        <f>IF(COUNTIFS('United Data'!$A$3:$A$2150,L$1,'United Data'!$C$3:$C$2150,$A114)&gt;0,1,0)</f>
        <v>1</v>
      </c>
      <c r="M114">
        <f>IF(COUNTIFS('United Data'!$A$3:$A$2150,M$1,'United Data'!$C$3:$C$2150,$A114)&gt;0,1,0)</f>
        <v>0</v>
      </c>
      <c r="N114">
        <f>IF(COUNTIFS('United Data'!$A$3:$A$2150,N$1,'United Data'!$C$3:$C$2150,$A114)&gt;0,1,0)</f>
        <v>0</v>
      </c>
      <c r="O114">
        <f>IF(COUNTIFS('United Data'!$A$3:$A$2150,O$1,'United Data'!$C$3:$C$2150,$A114)&gt;0,1,0)</f>
        <v>0</v>
      </c>
      <c r="P114">
        <f>IF(COUNTIFS('United Data'!$A$3:$A$2150,P$1,'United Data'!$C$3:$C$2150,$A114)&gt;0,1,0)</f>
        <v>0</v>
      </c>
      <c r="Q114">
        <f>IF(COUNTIFS('United Data'!$A$3:$A$2150,Q$1,'United Data'!$C$3:$C$2150,$A114)&gt;0,1,0)</f>
        <v>0</v>
      </c>
      <c r="R114">
        <f>IF(COUNTIFS('United Data'!$A$3:$A$2150,R$1,'United Data'!$C$3:$C$2150,$A114)&gt;0,1,0)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160</v>
      </c>
      <c r="B115">
        <f>IF(COUNTIFS('United Data'!$A$3:$A$2150,B$1,'United Data'!$C$3:$C$2150,$A115)&gt;0,1,0)</f>
        <v>0</v>
      </c>
      <c r="C115">
        <f>IF(COUNTIFS('United Data'!$A$3:$A$2150,C$1,'United Data'!$C$3:$C$2150,$A115)&gt;0,1,0)</f>
        <v>0</v>
      </c>
      <c r="D115">
        <f>IF(COUNTIFS('United Data'!$A$3:$A$2150,D$1,'United Data'!$C$3:$C$2150,$A115)&gt;0,1,0)</f>
        <v>0</v>
      </c>
      <c r="E115">
        <f>IF(COUNTIFS('United Data'!$A$3:$A$2150,E$1,'United Data'!$C$3:$C$2150,$A115)&gt;0,1,0)</f>
        <v>0</v>
      </c>
      <c r="F115">
        <f>IF(COUNTIFS('United Data'!$A$3:$A$2150,F$1,'United Data'!$C$3:$C$2150,$A115)&gt;0,1,0)</f>
        <v>0</v>
      </c>
      <c r="G115">
        <f>IF(COUNTIFS('United Data'!$A$3:$A$2150,G$1,'United Data'!$C$3:$C$2150,$A115)&gt;0,1,0)</f>
        <v>0</v>
      </c>
      <c r="H115">
        <f>IF(COUNTIFS('United Data'!$A$3:$A$2150,H$1,'United Data'!$C$3:$C$2150,$A115)&gt;0,1,0)</f>
        <v>0</v>
      </c>
      <c r="I115">
        <f>IF(COUNTIFS('United Data'!$A$3:$A$2150,I$1,'United Data'!$C$3:$C$2150,$A115)&gt;0,1,0)</f>
        <v>0</v>
      </c>
      <c r="J115">
        <f>IF(COUNTIFS('United Data'!$A$3:$A$2150,J$1,'United Data'!$C$3:$C$2150,$A115)&gt;0,1,0)</f>
        <v>0</v>
      </c>
      <c r="K115">
        <f>IF(COUNTIFS('United Data'!$A$3:$A$2150,K$1,'United Data'!$C$3:$C$2150,$A115)&gt;0,1,0)</f>
        <v>0</v>
      </c>
      <c r="L115">
        <f>IF(COUNTIFS('United Data'!$A$3:$A$2150,L$1,'United Data'!$C$3:$C$2150,$A115)&gt;0,1,0)</f>
        <v>1</v>
      </c>
      <c r="M115">
        <f>IF(COUNTIFS('United Data'!$A$3:$A$2150,M$1,'United Data'!$C$3:$C$2150,$A115)&gt;0,1,0)</f>
        <v>0</v>
      </c>
      <c r="N115">
        <f>IF(COUNTIFS('United Data'!$A$3:$A$2150,N$1,'United Data'!$C$3:$C$2150,$A115)&gt;0,1,0)</f>
        <v>0</v>
      </c>
      <c r="O115">
        <f>IF(COUNTIFS('United Data'!$A$3:$A$2150,O$1,'United Data'!$C$3:$C$2150,$A115)&gt;0,1,0)</f>
        <v>0</v>
      </c>
      <c r="P115">
        <f>IF(COUNTIFS('United Data'!$A$3:$A$2150,P$1,'United Data'!$C$3:$C$2150,$A115)&gt;0,1,0)</f>
        <v>0</v>
      </c>
      <c r="Q115">
        <f>IF(COUNTIFS('United Data'!$A$3:$A$2150,Q$1,'United Data'!$C$3:$C$2150,$A115)&gt;0,1,0)</f>
        <v>0</v>
      </c>
      <c r="R115">
        <f>IF(COUNTIFS('United Data'!$A$3:$A$2150,R$1,'United Data'!$C$3:$C$2150,$A115)&gt;0,1,0)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161</v>
      </c>
      <c r="B116">
        <f>IF(COUNTIFS('United Data'!$A$3:$A$2150,B$1,'United Data'!$C$3:$C$2150,$A116)&gt;0,1,0)</f>
        <v>0</v>
      </c>
      <c r="C116">
        <f>IF(COUNTIFS('United Data'!$A$3:$A$2150,C$1,'United Data'!$C$3:$C$2150,$A116)&gt;0,1,0)</f>
        <v>0</v>
      </c>
      <c r="D116">
        <f>IF(COUNTIFS('United Data'!$A$3:$A$2150,D$1,'United Data'!$C$3:$C$2150,$A116)&gt;0,1,0)</f>
        <v>0</v>
      </c>
      <c r="E116">
        <f>IF(COUNTIFS('United Data'!$A$3:$A$2150,E$1,'United Data'!$C$3:$C$2150,$A116)&gt;0,1,0)</f>
        <v>0</v>
      </c>
      <c r="F116">
        <f>IF(COUNTIFS('United Data'!$A$3:$A$2150,F$1,'United Data'!$C$3:$C$2150,$A116)&gt;0,1,0)</f>
        <v>0</v>
      </c>
      <c r="G116">
        <f>IF(COUNTIFS('United Data'!$A$3:$A$2150,G$1,'United Data'!$C$3:$C$2150,$A116)&gt;0,1,0)</f>
        <v>0</v>
      </c>
      <c r="H116">
        <f>IF(COUNTIFS('United Data'!$A$3:$A$2150,H$1,'United Data'!$C$3:$C$2150,$A116)&gt;0,1,0)</f>
        <v>0</v>
      </c>
      <c r="I116">
        <f>IF(COUNTIFS('United Data'!$A$3:$A$2150,I$1,'United Data'!$C$3:$C$2150,$A116)&gt;0,1,0)</f>
        <v>0</v>
      </c>
      <c r="J116">
        <f>IF(COUNTIFS('United Data'!$A$3:$A$2150,J$1,'United Data'!$C$3:$C$2150,$A116)&gt;0,1,0)</f>
        <v>0</v>
      </c>
      <c r="K116">
        <f>IF(COUNTIFS('United Data'!$A$3:$A$2150,K$1,'United Data'!$C$3:$C$2150,$A116)&gt;0,1,0)</f>
        <v>0</v>
      </c>
      <c r="L116">
        <f>IF(COUNTIFS('United Data'!$A$3:$A$2150,L$1,'United Data'!$C$3:$C$2150,$A116)&gt;0,1,0)</f>
        <v>1</v>
      </c>
      <c r="M116">
        <f>IF(COUNTIFS('United Data'!$A$3:$A$2150,M$1,'United Data'!$C$3:$C$2150,$A116)&gt;0,1,0)</f>
        <v>0</v>
      </c>
      <c r="N116">
        <f>IF(COUNTIFS('United Data'!$A$3:$A$2150,N$1,'United Data'!$C$3:$C$2150,$A116)&gt;0,1,0)</f>
        <v>0</v>
      </c>
      <c r="O116">
        <f>IF(COUNTIFS('United Data'!$A$3:$A$2150,O$1,'United Data'!$C$3:$C$2150,$A116)&gt;0,1,0)</f>
        <v>0</v>
      </c>
      <c r="P116">
        <f>IF(COUNTIFS('United Data'!$A$3:$A$2150,P$1,'United Data'!$C$3:$C$2150,$A116)&gt;0,1,0)</f>
        <v>0</v>
      </c>
      <c r="Q116">
        <f>IF(COUNTIFS('United Data'!$A$3:$A$2150,Q$1,'United Data'!$C$3:$C$2150,$A116)&gt;0,1,0)</f>
        <v>0</v>
      </c>
      <c r="R116">
        <f>IF(COUNTIFS('United Data'!$A$3:$A$2150,R$1,'United Data'!$C$3:$C$2150,$A116)&gt;0,1,0)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162</v>
      </c>
      <c r="B117">
        <f>IF(COUNTIFS('United Data'!$A$3:$A$2150,B$1,'United Data'!$C$3:$C$2150,$A117)&gt;0,1,0)</f>
        <v>0</v>
      </c>
      <c r="C117">
        <f>IF(COUNTIFS('United Data'!$A$3:$A$2150,C$1,'United Data'!$C$3:$C$2150,$A117)&gt;0,1,0)</f>
        <v>0</v>
      </c>
      <c r="D117">
        <f>IF(COUNTIFS('United Data'!$A$3:$A$2150,D$1,'United Data'!$C$3:$C$2150,$A117)&gt;0,1,0)</f>
        <v>0</v>
      </c>
      <c r="E117">
        <f>IF(COUNTIFS('United Data'!$A$3:$A$2150,E$1,'United Data'!$C$3:$C$2150,$A117)&gt;0,1,0)</f>
        <v>0</v>
      </c>
      <c r="F117">
        <f>IF(COUNTIFS('United Data'!$A$3:$A$2150,F$1,'United Data'!$C$3:$C$2150,$A117)&gt;0,1,0)</f>
        <v>0</v>
      </c>
      <c r="G117">
        <f>IF(COUNTIFS('United Data'!$A$3:$A$2150,G$1,'United Data'!$C$3:$C$2150,$A117)&gt;0,1,0)</f>
        <v>0</v>
      </c>
      <c r="H117">
        <f>IF(COUNTIFS('United Data'!$A$3:$A$2150,H$1,'United Data'!$C$3:$C$2150,$A117)&gt;0,1,0)</f>
        <v>0</v>
      </c>
      <c r="I117">
        <f>IF(COUNTIFS('United Data'!$A$3:$A$2150,I$1,'United Data'!$C$3:$C$2150,$A117)&gt;0,1,0)</f>
        <v>0</v>
      </c>
      <c r="J117">
        <f>IF(COUNTIFS('United Data'!$A$3:$A$2150,J$1,'United Data'!$C$3:$C$2150,$A117)&gt;0,1,0)</f>
        <v>0</v>
      </c>
      <c r="K117">
        <f>IF(COUNTIFS('United Data'!$A$3:$A$2150,K$1,'United Data'!$C$3:$C$2150,$A117)&gt;0,1,0)</f>
        <v>0</v>
      </c>
      <c r="L117">
        <f>IF(COUNTIFS('United Data'!$A$3:$A$2150,L$1,'United Data'!$C$3:$C$2150,$A117)&gt;0,1,0)</f>
        <v>0</v>
      </c>
      <c r="M117">
        <f>IF(COUNTIFS('United Data'!$A$3:$A$2150,M$1,'United Data'!$C$3:$C$2150,$A117)&gt;0,1,0)</f>
        <v>1</v>
      </c>
      <c r="N117">
        <f>IF(COUNTIFS('United Data'!$A$3:$A$2150,N$1,'United Data'!$C$3:$C$2150,$A117)&gt;0,1,0)</f>
        <v>0</v>
      </c>
      <c r="O117">
        <f>IF(COUNTIFS('United Data'!$A$3:$A$2150,O$1,'United Data'!$C$3:$C$2150,$A117)&gt;0,1,0)</f>
        <v>0</v>
      </c>
      <c r="P117">
        <f>IF(COUNTIFS('United Data'!$A$3:$A$2150,P$1,'United Data'!$C$3:$C$2150,$A117)&gt;0,1,0)</f>
        <v>0</v>
      </c>
      <c r="Q117">
        <f>IF(COUNTIFS('United Data'!$A$3:$A$2150,Q$1,'United Data'!$C$3:$C$2150,$A117)&gt;0,1,0)</f>
        <v>0</v>
      </c>
      <c r="R117">
        <f>IF(COUNTIFS('United Data'!$A$3:$A$2150,R$1,'United Data'!$C$3:$C$2150,$A117)&gt;0,1,0)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163</v>
      </c>
      <c r="B118">
        <f>IF(COUNTIFS('United Data'!$A$3:$A$2150,B$1,'United Data'!$C$3:$C$2150,$A118)&gt;0,1,0)</f>
        <v>0</v>
      </c>
      <c r="C118">
        <f>IF(COUNTIFS('United Data'!$A$3:$A$2150,C$1,'United Data'!$C$3:$C$2150,$A118)&gt;0,1,0)</f>
        <v>0</v>
      </c>
      <c r="D118">
        <f>IF(COUNTIFS('United Data'!$A$3:$A$2150,D$1,'United Data'!$C$3:$C$2150,$A118)&gt;0,1,0)</f>
        <v>0</v>
      </c>
      <c r="E118">
        <f>IF(COUNTIFS('United Data'!$A$3:$A$2150,E$1,'United Data'!$C$3:$C$2150,$A118)&gt;0,1,0)</f>
        <v>0</v>
      </c>
      <c r="F118">
        <f>IF(COUNTIFS('United Data'!$A$3:$A$2150,F$1,'United Data'!$C$3:$C$2150,$A118)&gt;0,1,0)</f>
        <v>0</v>
      </c>
      <c r="G118">
        <f>IF(COUNTIFS('United Data'!$A$3:$A$2150,G$1,'United Data'!$C$3:$C$2150,$A118)&gt;0,1,0)</f>
        <v>0</v>
      </c>
      <c r="H118">
        <f>IF(COUNTIFS('United Data'!$A$3:$A$2150,H$1,'United Data'!$C$3:$C$2150,$A118)&gt;0,1,0)</f>
        <v>0</v>
      </c>
      <c r="I118">
        <f>IF(COUNTIFS('United Data'!$A$3:$A$2150,I$1,'United Data'!$C$3:$C$2150,$A118)&gt;0,1,0)</f>
        <v>0</v>
      </c>
      <c r="J118">
        <f>IF(COUNTIFS('United Data'!$A$3:$A$2150,J$1,'United Data'!$C$3:$C$2150,$A118)&gt;0,1,0)</f>
        <v>1</v>
      </c>
      <c r="K118">
        <f>IF(COUNTIFS('United Data'!$A$3:$A$2150,K$1,'United Data'!$C$3:$C$2150,$A118)&gt;0,1,0)</f>
        <v>0</v>
      </c>
      <c r="L118">
        <f>IF(COUNTIFS('United Data'!$A$3:$A$2150,L$1,'United Data'!$C$3:$C$2150,$A118)&gt;0,1,0)</f>
        <v>0</v>
      </c>
      <c r="M118">
        <f>IF(COUNTIFS('United Data'!$A$3:$A$2150,M$1,'United Data'!$C$3:$C$2150,$A118)&gt;0,1,0)</f>
        <v>1</v>
      </c>
      <c r="N118">
        <f>IF(COUNTIFS('United Data'!$A$3:$A$2150,N$1,'United Data'!$C$3:$C$2150,$A118)&gt;0,1,0)</f>
        <v>1</v>
      </c>
      <c r="O118">
        <f>IF(COUNTIFS('United Data'!$A$3:$A$2150,O$1,'United Data'!$C$3:$C$2150,$A118)&gt;0,1,0)</f>
        <v>0</v>
      </c>
      <c r="P118">
        <f>IF(COUNTIFS('United Data'!$A$3:$A$2150,P$1,'United Data'!$C$3:$C$2150,$A118)&gt;0,1,0)</f>
        <v>0</v>
      </c>
      <c r="Q118">
        <f>IF(COUNTIFS('United Data'!$A$3:$A$2150,Q$1,'United Data'!$C$3:$C$2150,$A118)&gt;0,1,0)</f>
        <v>0</v>
      </c>
      <c r="R118">
        <f>IF(COUNTIFS('United Data'!$A$3:$A$2150,R$1,'United Data'!$C$3:$C$2150,$A118)&gt;0,1,0)</f>
        <v>0</v>
      </c>
      <c r="S118">
        <f t="shared" si="2"/>
        <v>3</v>
      </c>
      <c r="T118">
        <f t="shared" si="3"/>
        <v>2</v>
      </c>
    </row>
    <row r="119" spans="1:20" x14ac:dyDescent="0.2">
      <c r="A119" t="s">
        <v>164</v>
      </c>
      <c r="B119">
        <f>IF(COUNTIFS('United Data'!$A$3:$A$2150,B$1,'United Data'!$C$3:$C$2150,$A119)&gt;0,1,0)</f>
        <v>0</v>
      </c>
      <c r="C119">
        <f>IF(COUNTIFS('United Data'!$A$3:$A$2150,C$1,'United Data'!$C$3:$C$2150,$A119)&gt;0,1,0)</f>
        <v>0</v>
      </c>
      <c r="D119">
        <f>IF(COUNTIFS('United Data'!$A$3:$A$2150,D$1,'United Data'!$C$3:$C$2150,$A119)&gt;0,1,0)</f>
        <v>0</v>
      </c>
      <c r="E119">
        <f>IF(COUNTIFS('United Data'!$A$3:$A$2150,E$1,'United Data'!$C$3:$C$2150,$A119)&gt;0,1,0)</f>
        <v>0</v>
      </c>
      <c r="F119">
        <f>IF(COUNTIFS('United Data'!$A$3:$A$2150,F$1,'United Data'!$C$3:$C$2150,$A119)&gt;0,1,0)</f>
        <v>0</v>
      </c>
      <c r="G119">
        <f>IF(COUNTIFS('United Data'!$A$3:$A$2150,G$1,'United Data'!$C$3:$C$2150,$A119)&gt;0,1,0)</f>
        <v>0</v>
      </c>
      <c r="H119">
        <f>IF(COUNTIFS('United Data'!$A$3:$A$2150,H$1,'United Data'!$C$3:$C$2150,$A119)&gt;0,1,0)</f>
        <v>0</v>
      </c>
      <c r="I119">
        <f>IF(COUNTIFS('United Data'!$A$3:$A$2150,I$1,'United Data'!$C$3:$C$2150,$A119)&gt;0,1,0)</f>
        <v>0</v>
      </c>
      <c r="J119">
        <f>IF(COUNTIFS('United Data'!$A$3:$A$2150,J$1,'United Data'!$C$3:$C$2150,$A119)&gt;0,1,0)</f>
        <v>0</v>
      </c>
      <c r="K119">
        <f>IF(COUNTIFS('United Data'!$A$3:$A$2150,K$1,'United Data'!$C$3:$C$2150,$A119)&gt;0,1,0)</f>
        <v>0</v>
      </c>
      <c r="L119">
        <f>IF(COUNTIFS('United Data'!$A$3:$A$2150,L$1,'United Data'!$C$3:$C$2150,$A119)&gt;0,1,0)</f>
        <v>0</v>
      </c>
      <c r="M119">
        <f>IF(COUNTIFS('United Data'!$A$3:$A$2150,M$1,'United Data'!$C$3:$C$2150,$A119)&gt;0,1,0)</f>
        <v>1</v>
      </c>
      <c r="N119">
        <f>IF(COUNTIFS('United Data'!$A$3:$A$2150,N$1,'United Data'!$C$3:$C$2150,$A119)&gt;0,1,0)</f>
        <v>0</v>
      </c>
      <c r="O119">
        <f>IF(COUNTIFS('United Data'!$A$3:$A$2150,O$1,'United Data'!$C$3:$C$2150,$A119)&gt;0,1,0)</f>
        <v>0</v>
      </c>
      <c r="P119">
        <f>IF(COUNTIFS('United Data'!$A$3:$A$2150,P$1,'United Data'!$C$3:$C$2150,$A119)&gt;0,1,0)</f>
        <v>0</v>
      </c>
      <c r="Q119">
        <f>IF(COUNTIFS('United Data'!$A$3:$A$2150,Q$1,'United Data'!$C$3:$C$2150,$A119)&gt;0,1,0)</f>
        <v>0</v>
      </c>
      <c r="R119">
        <f>IF(COUNTIFS('United Data'!$A$3:$A$2150,R$1,'United Data'!$C$3:$C$2150,$A119)&gt;0,1,0)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165</v>
      </c>
      <c r="B120">
        <f>IF(COUNTIFS('United Data'!$A$3:$A$2150,B$1,'United Data'!$C$3:$C$2150,$A120)&gt;0,1,0)</f>
        <v>0</v>
      </c>
      <c r="C120">
        <f>IF(COUNTIFS('United Data'!$A$3:$A$2150,C$1,'United Data'!$C$3:$C$2150,$A120)&gt;0,1,0)</f>
        <v>0</v>
      </c>
      <c r="D120">
        <f>IF(COUNTIFS('United Data'!$A$3:$A$2150,D$1,'United Data'!$C$3:$C$2150,$A120)&gt;0,1,0)</f>
        <v>0</v>
      </c>
      <c r="E120">
        <f>IF(COUNTIFS('United Data'!$A$3:$A$2150,E$1,'United Data'!$C$3:$C$2150,$A120)&gt;0,1,0)</f>
        <v>0</v>
      </c>
      <c r="F120">
        <f>IF(COUNTIFS('United Data'!$A$3:$A$2150,F$1,'United Data'!$C$3:$C$2150,$A120)&gt;0,1,0)</f>
        <v>0</v>
      </c>
      <c r="G120">
        <f>IF(COUNTIFS('United Data'!$A$3:$A$2150,G$1,'United Data'!$C$3:$C$2150,$A120)&gt;0,1,0)</f>
        <v>0</v>
      </c>
      <c r="H120">
        <f>IF(COUNTIFS('United Data'!$A$3:$A$2150,H$1,'United Data'!$C$3:$C$2150,$A120)&gt;0,1,0)</f>
        <v>0</v>
      </c>
      <c r="I120">
        <f>IF(COUNTIFS('United Data'!$A$3:$A$2150,I$1,'United Data'!$C$3:$C$2150,$A120)&gt;0,1,0)</f>
        <v>0</v>
      </c>
      <c r="J120">
        <f>IF(COUNTIFS('United Data'!$A$3:$A$2150,J$1,'United Data'!$C$3:$C$2150,$A120)&gt;0,1,0)</f>
        <v>0</v>
      </c>
      <c r="K120">
        <f>IF(COUNTIFS('United Data'!$A$3:$A$2150,K$1,'United Data'!$C$3:$C$2150,$A120)&gt;0,1,0)</f>
        <v>0</v>
      </c>
      <c r="L120">
        <f>IF(COUNTIFS('United Data'!$A$3:$A$2150,L$1,'United Data'!$C$3:$C$2150,$A120)&gt;0,1,0)</f>
        <v>0</v>
      </c>
      <c r="M120">
        <f>IF(COUNTIFS('United Data'!$A$3:$A$2150,M$1,'United Data'!$C$3:$C$2150,$A120)&gt;0,1,0)</f>
        <v>1</v>
      </c>
      <c r="N120">
        <f>IF(COUNTIFS('United Data'!$A$3:$A$2150,N$1,'United Data'!$C$3:$C$2150,$A120)&gt;0,1,0)</f>
        <v>0</v>
      </c>
      <c r="O120">
        <f>IF(COUNTIFS('United Data'!$A$3:$A$2150,O$1,'United Data'!$C$3:$C$2150,$A120)&gt;0,1,0)</f>
        <v>0</v>
      </c>
      <c r="P120">
        <f>IF(COUNTIFS('United Data'!$A$3:$A$2150,P$1,'United Data'!$C$3:$C$2150,$A120)&gt;0,1,0)</f>
        <v>0</v>
      </c>
      <c r="Q120">
        <f>IF(COUNTIFS('United Data'!$A$3:$A$2150,Q$1,'United Data'!$C$3:$C$2150,$A120)&gt;0,1,0)</f>
        <v>0</v>
      </c>
      <c r="R120">
        <f>IF(COUNTIFS('United Data'!$A$3:$A$2150,R$1,'United Data'!$C$3:$C$2150,$A120)&gt;0,1,0)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166</v>
      </c>
      <c r="B121">
        <f>IF(COUNTIFS('United Data'!$A$3:$A$2150,B$1,'United Data'!$C$3:$C$2150,$A121)&gt;0,1,0)</f>
        <v>0</v>
      </c>
      <c r="C121">
        <f>IF(COUNTIFS('United Data'!$A$3:$A$2150,C$1,'United Data'!$C$3:$C$2150,$A121)&gt;0,1,0)</f>
        <v>0</v>
      </c>
      <c r="D121">
        <f>IF(COUNTIFS('United Data'!$A$3:$A$2150,D$1,'United Data'!$C$3:$C$2150,$A121)&gt;0,1,0)</f>
        <v>0</v>
      </c>
      <c r="E121">
        <f>IF(COUNTIFS('United Data'!$A$3:$A$2150,E$1,'United Data'!$C$3:$C$2150,$A121)&gt;0,1,0)</f>
        <v>0</v>
      </c>
      <c r="F121">
        <f>IF(COUNTIFS('United Data'!$A$3:$A$2150,F$1,'United Data'!$C$3:$C$2150,$A121)&gt;0,1,0)</f>
        <v>0</v>
      </c>
      <c r="G121">
        <f>IF(COUNTIFS('United Data'!$A$3:$A$2150,G$1,'United Data'!$C$3:$C$2150,$A121)&gt;0,1,0)</f>
        <v>0</v>
      </c>
      <c r="H121">
        <f>IF(COUNTIFS('United Data'!$A$3:$A$2150,H$1,'United Data'!$C$3:$C$2150,$A121)&gt;0,1,0)</f>
        <v>0</v>
      </c>
      <c r="I121">
        <f>IF(COUNTIFS('United Data'!$A$3:$A$2150,I$1,'United Data'!$C$3:$C$2150,$A121)&gt;0,1,0)</f>
        <v>0</v>
      </c>
      <c r="J121">
        <f>IF(COUNTIFS('United Data'!$A$3:$A$2150,J$1,'United Data'!$C$3:$C$2150,$A121)&gt;0,1,0)</f>
        <v>0</v>
      </c>
      <c r="K121">
        <f>IF(COUNTIFS('United Data'!$A$3:$A$2150,K$1,'United Data'!$C$3:$C$2150,$A121)&gt;0,1,0)</f>
        <v>0</v>
      </c>
      <c r="L121">
        <f>IF(COUNTIFS('United Data'!$A$3:$A$2150,L$1,'United Data'!$C$3:$C$2150,$A121)&gt;0,1,0)</f>
        <v>0</v>
      </c>
      <c r="M121">
        <f>IF(COUNTIFS('United Data'!$A$3:$A$2150,M$1,'United Data'!$C$3:$C$2150,$A121)&gt;0,1,0)</f>
        <v>1</v>
      </c>
      <c r="N121">
        <f>IF(COUNTIFS('United Data'!$A$3:$A$2150,N$1,'United Data'!$C$3:$C$2150,$A121)&gt;0,1,0)</f>
        <v>0</v>
      </c>
      <c r="O121">
        <f>IF(COUNTIFS('United Data'!$A$3:$A$2150,O$1,'United Data'!$C$3:$C$2150,$A121)&gt;0,1,0)</f>
        <v>0</v>
      </c>
      <c r="P121">
        <f>IF(COUNTIFS('United Data'!$A$3:$A$2150,P$1,'United Data'!$C$3:$C$2150,$A121)&gt;0,1,0)</f>
        <v>0</v>
      </c>
      <c r="Q121">
        <f>IF(COUNTIFS('United Data'!$A$3:$A$2150,Q$1,'United Data'!$C$3:$C$2150,$A121)&gt;0,1,0)</f>
        <v>0</v>
      </c>
      <c r="R121">
        <f>IF(COUNTIFS('United Data'!$A$3:$A$2150,R$1,'United Data'!$C$3:$C$2150,$A121)&gt;0,1,0)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167</v>
      </c>
      <c r="B122">
        <f>IF(COUNTIFS('United Data'!$A$3:$A$2150,B$1,'United Data'!$C$3:$C$2150,$A122)&gt;0,1,0)</f>
        <v>0</v>
      </c>
      <c r="C122">
        <f>IF(COUNTIFS('United Data'!$A$3:$A$2150,C$1,'United Data'!$C$3:$C$2150,$A122)&gt;0,1,0)</f>
        <v>0</v>
      </c>
      <c r="D122">
        <f>IF(COUNTIFS('United Data'!$A$3:$A$2150,D$1,'United Data'!$C$3:$C$2150,$A122)&gt;0,1,0)</f>
        <v>0</v>
      </c>
      <c r="E122">
        <f>IF(COUNTIFS('United Data'!$A$3:$A$2150,E$1,'United Data'!$C$3:$C$2150,$A122)&gt;0,1,0)</f>
        <v>0</v>
      </c>
      <c r="F122">
        <f>IF(COUNTIFS('United Data'!$A$3:$A$2150,F$1,'United Data'!$C$3:$C$2150,$A122)&gt;0,1,0)</f>
        <v>0</v>
      </c>
      <c r="G122">
        <f>IF(COUNTIFS('United Data'!$A$3:$A$2150,G$1,'United Data'!$C$3:$C$2150,$A122)&gt;0,1,0)</f>
        <v>0</v>
      </c>
      <c r="H122">
        <f>IF(COUNTIFS('United Data'!$A$3:$A$2150,H$1,'United Data'!$C$3:$C$2150,$A122)&gt;0,1,0)</f>
        <v>0</v>
      </c>
      <c r="I122">
        <f>IF(COUNTIFS('United Data'!$A$3:$A$2150,I$1,'United Data'!$C$3:$C$2150,$A122)&gt;0,1,0)</f>
        <v>0</v>
      </c>
      <c r="J122">
        <f>IF(COUNTIFS('United Data'!$A$3:$A$2150,J$1,'United Data'!$C$3:$C$2150,$A122)&gt;0,1,0)</f>
        <v>0</v>
      </c>
      <c r="K122">
        <f>IF(COUNTIFS('United Data'!$A$3:$A$2150,K$1,'United Data'!$C$3:$C$2150,$A122)&gt;0,1,0)</f>
        <v>0</v>
      </c>
      <c r="L122">
        <f>IF(COUNTIFS('United Data'!$A$3:$A$2150,L$1,'United Data'!$C$3:$C$2150,$A122)&gt;0,1,0)</f>
        <v>0</v>
      </c>
      <c r="M122">
        <f>IF(COUNTIFS('United Data'!$A$3:$A$2150,M$1,'United Data'!$C$3:$C$2150,$A122)&gt;0,1,0)</f>
        <v>1</v>
      </c>
      <c r="N122">
        <f>IF(COUNTIFS('United Data'!$A$3:$A$2150,N$1,'United Data'!$C$3:$C$2150,$A122)&gt;0,1,0)</f>
        <v>0</v>
      </c>
      <c r="O122">
        <f>IF(COUNTIFS('United Data'!$A$3:$A$2150,O$1,'United Data'!$C$3:$C$2150,$A122)&gt;0,1,0)</f>
        <v>0</v>
      </c>
      <c r="P122">
        <f>IF(COUNTIFS('United Data'!$A$3:$A$2150,P$1,'United Data'!$C$3:$C$2150,$A122)&gt;0,1,0)</f>
        <v>0</v>
      </c>
      <c r="Q122">
        <f>IF(COUNTIFS('United Data'!$A$3:$A$2150,Q$1,'United Data'!$C$3:$C$2150,$A122)&gt;0,1,0)</f>
        <v>0</v>
      </c>
      <c r="R122">
        <f>IF(COUNTIFS('United Data'!$A$3:$A$2150,R$1,'United Data'!$C$3:$C$2150,$A122)&gt;0,1,0)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168</v>
      </c>
      <c r="B123">
        <f>IF(COUNTIFS('United Data'!$A$3:$A$2150,B$1,'United Data'!$C$3:$C$2150,$A123)&gt;0,1,0)</f>
        <v>0</v>
      </c>
      <c r="C123">
        <f>IF(COUNTIFS('United Data'!$A$3:$A$2150,C$1,'United Data'!$C$3:$C$2150,$A123)&gt;0,1,0)</f>
        <v>0</v>
      </c>
      <c r="D123">
        <f>IF(COUNTIFS('United Data'!$A$3:$A$2150,D$1,'United Data'!$C$3:$C$2150,$A123)&gt;0,1,0)</f>
        <v>0</v>
      </c>
      <c r="E123">
        <f>IF(COUNTIFS('United Data'!$A$3:$A$2150,E$1,'United Data'!$C$3:$C$2150,$A123)&gt;0,1,0)</f>
        <v>0</v>
      </c>
      <c r="F123">
        <f>IF(COUNTIFS('United Data'!$A$3:$A$2150,F$1,'United Data'!$C$3:$C$2150,$A123)&gt;0,1,0)</f>
        <v>0</v>
      </c>
      <c r="G123">
        <f>IF(COUNTIFS('United Data'!$A$3:$A$2150,G$1,'United Data'!$C$3:$C$2150,$A123)&gt;0,1,0)</f>
        <v>0</v>
      </c>
      <c r="H123">
        <f>IF(COUNTIFS('United Data'!$A$3:$A$2150,H$1,'United Data'!$C$3:$C$2150,$A123)&gt;0,1,0)</f>
        <v>0</v>
      </c>
      <c r="I123">
        <f>IF(COUNTIFS('United Data'!$A$3:$A$2150,I$1,'United Data'!$C$3:$C$2150,$A123)&gt;0,1,0)</f>
        <v>0</v>
      </c>
      <c r="J123">
        <f>IF(COUNTIFS('United Data'!$A$3:$A$2150,J$1,'United Data'!$C$3:$C$2150,$A123)&gt;0,1,0)</f>
        <v>0</v>
      </c>
      <c r="K123">
        <f>IF(COUNTIFS('United Data'!$A$3:$A$2150,K$1,'United Data'!$C$3:$C$2150,$A123)&gt;0,1,0)</f>
        <v>0</v>
      </c>
      <c r="L123">
        <f>IF(COUNTIFS('United Data'!$A$3:$A$2150,L$1,'United Data'!$C$3:$C$2150,$A123)&gt;0,1,0)</f>
        <v>0</v>
      </c>
      <c r="M123">
        <f>IF(COUNTIFS('United Data'!$A$3:$A$2150,M$1,'United Data'!$C$3:$C$2150,$A123)&gt;0,1,0)</f>
        <v>1</v>
      </c>
      <c r="N123">
        <f>IF(COUNTIFS('United Data'!$A$3:$A$2150,N$1,'United Data'!$C$3:$C$2150,$A123)&gt;0,1,0)</f>
        <v>0</v>
      </c>
      <c r="O123">
        <f>IF(COUNTIFS('United Data'!$A$3:$A$2150,O$1,'United Data'!$C$3:$C$2150,$A123)&gt;0,1,0)</f>
        <v>0</v>
      </c>
      <c r="P123">
        <f>IF(COUNTIFS('United Data'!$A$3:$A$2150,P$1,'United Data'!$C$3:$C$2150,$A123)&gt;0,1,0)</f>
        <v>0</v>
      </c>
      <c r="Q123">
        <f>IF(COUNTIFS('United Data'!$A$3:$A$2150,Q$1,'United Data'!$C$3:$C$2150,$A123)&gt;0,1,0)</f>
        <v>0</v>
      </c>
      <c r="R123">
        <f>IF(COUNTIFS('United Data'!$A$3:$A$2150,R$1,'United Data'!$C$3:$C$2150,$A123)&gt;0,1,0)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169</v>
      </c>
      <c r="B124">
        <f>IF(COUNTIFS('United Data'!$A$3:$A$2150,B$1,'United Data'!$C$3:$C$2150,$A124)&gt;0,1,0)</f>
        <v>0</v>
      </c>
      <c r="C124">
        <f>IF(COUNTIFS('United Data'!$A$3:$A$2150,C$1,'United Data'!$C$3:$C$2150,$A124)&gt;0,1,0)</f>
        <v>0</v>
      </c>
      <c r="D124">
        <f>IF(COUNTIFS('United Data'!$A$3:$A$2150,D$1,'United Data'!$C$3:$C$2150,$A124)&gt;0,1,0)</f>
        <v>0</v>
      </c>
      <c r="E124">
        <f>IF(COUNTIFS('United Data'!$A$3:$A$2150,E$1,'United Data'!$C$3:$C$2150,$A124)&gt;0,1,0)</f>
        <v>0</v>
      </c>
      <c r="F124">
        <f>IF(COUNTIFS('United Data'!$A$3:$A$2150,F$1,'United Data'!$C$3:$C$2150,$A124)&gt;0,1,0)</f>
        <v>0</v>
      </c>
      <c r="G124">
        <f>IF(COUNTIFS('United Data'!$A$3:$A$2150,G$1,'United Data'!$C$3:$C$2150,$A124)&gt;0,1,0)</f>
        <v>0</v>
      </c>
      <c r="H124">
        <f>IF(COUNTIFS('United Data'!$A$3:$A$2150,H$1,'United Data'!$C$3:$C$2150,$A124)&gt;0,1,0)</f>
        <v>0</v>
      </c>
      <c r="I124">
        <f>IF(COUNTIFS('United Data'!$A$3:$A$2150,I$1,'United Data'!$C$3:$C$2150,$A124)&gt;0,1,0)</f>
        <v>0</v>
      </c>
      <c r="J124">
        <f>IF(COUNTIFS('United Data'!$A$3:$A$2150,J$1,'United Data'!$C$3:$C$2150,$A124)&gt;0,1,0)</f>
        <v>0</v>
      </c>
      <c r="K124">
        <f>IF(COUNTIFS('United Data'!$A$3:$A$2150,K$1,'United Data'!$C$3:$C$2150,$A124)&gt;0,1,0)</f>
        <v>0</v>
      </c>
      <c r="L124">
        <f>IF(COUNTIFS('United Data'!$A$3:$A$2150,L$1,'United Data'!$C$3:$C$2150,$A124)&gt;0,1,0)</f>
        <v>0</v>
      </c>
      <c r="M124">
        <f>IF(COUNTIFS('United Data'!$A$3:$A$2150,M$1,'United Data'!$C$3:$C$2150,$A124)&gt;0,1,0)</f>
        <v>1</v>
      </c>
      <c r="N124">
        <f>IF(COUNTIFS('United Data'!$A$3:$A$2150,N$1,'United Data'!$C$3:$C$2150,$A124)&gt;0,1,0)</f>
        <v>0</v>
      </c>
      <c r="O124">
        <f>IF(COUNTIFS('United Data'!$A$3:$A$2150,O$1,'United Data'!$C$3:$C$2150,$A124)&gt;0,1,0)</f>
        <v>0</v>
      </c>
      <c r="P124">
        <f>IF(COUNTIFS('United Data'!$A$3:$A$2150,P$1,'United Data'!$C$3:$C$2150,$A124)&gt;0,1,0)</f>
        <v>0</v>
      </c>
      <c r="Q124">
        <f>IF(COUNTIFS('United Data'!$A$3:$A$2150,Q$1,'United Data'!$C$3:$C$2150,$A124)&gt;0,1,0)</f>
        <v>0</v>
      </c>
      <c r="R124">
        <f>IF(COUNTIFS('United Data'!$A$3:$A$2150,R$1,'United Data'!$C$3:$C$2150,$A124)&gt;0,1,0)</f>
        <v>0</v>
      </c>
      <c r="S124">
        <f t="shared" si="2"/>
        <v>1</v>
      </c>
      <c r="T124">
        <f t="shared" si="3"/>
        <v>1</v>
      </c>
    </row>
    <row r="125" spans="1:20" x14ac:dyDescent="0.2">
      <c r="A125" t="s">
        <v>170</v>
      </c>
      <c r="B125">
        <f>IF(COUNTIFS('United Data'!$A$3:$A$2150,B$1,'United Data'!$C$3:$C$2150,$A125)&gt;0,1,0)</f>
        <v>0</v>
      </c>
      <c r="C125">
        <f>IF(COUNTIFS('United Data'!$A$3:$A$2150,C$1,'United Data'!$C$3:$C$2150,$A125)&gt;0,1,0)</f>
        <v>1</v>
      </c>
      <c r="D125">
        <f>IF(COUNTIFS('United Data'!$A$3:$A$2150,D$1,'United Data'!$C$3:$C$2150,$A125)&gt;0,1,0)</f>
        <v>0</v>
      </c>
      <c r="E125">
        <f>IF(COUNTIFS('United Data'!$A$3:$A$2150,E$1,'United Data'!$C$3:$C$2150,$A125)&gt;0,1,0)</f>
        <v>0</v>
      </c>
      <c r="F125">
        <f>IF(COUNTIFS('United Data'!$A$3:$A$2150,F$1,'United Data'!$C$3:$C$2150,$A125)&gt;0,1,0)</f>
        <v>0</v>
      </c>
      <c r="G125">
        <f>IF(COUNTIFS('United Data'!$A$3:$A$2150,G$1,'United Data'!$C$3:$C$2150,$A125)&gt;0,1,0)</f>
        <v>0</v>
      </c>
      <c r="H125">
        <f>IF(COUNTIFS('United Data'!$A$3:$A$2150,H$1,'United Data'!$C$3:$C$2150,$A125)&gt;0,1,0)</f>
        <v>0</v>
      </c>
      <c r="I125">
        <f>IF(COUNTIFS('United Data'!$A$3:$A$2150,I$1,'United Data'!$C$3:$C$2150,$A125)&gt;0,1,0)</f>
        <v>0</v>
      </c>
      <c r="J125">
        <f>IF(COUNTIFS('United Data'!$A$3:$A$2150,J$1,'United Data'!$C$3:$C$2150,$A125)&gt;0,1,0)</f>
        <v>0</v>
      </c>
      <c r="K125">
        <f>IF(COUNTIFS('United Data'!$A$3:$A$2150,K$1,'United Data'!$C$3:$C$2150,$A125)&gt;0,1,0)</f>
        <v>0</v>
      </c>
      <c r="L125">
        <f>IF(COUNTIFS('United Data'!$A$3:$A$2150,L$1,'United Data'!$C$3:$C$2150,$A125)&gt;0,1,0)</f>
        <v>0</v>
      </c>
      <c r="M125">
        <f>IF(COUNTIFS('United Data'!$A$3:$A$2150,M$1,'United Data'!$C$3:$C$2150,$A125)&gt;0,1,0)</f>
        <v>1</v>
      </c>
      <c r="N125">
        <f>IF(COUNTIFS('United Data'!$A$3:$A$2150,N$1,'United Data'!$C$3:$C$2150,$A125)&gt;0,1,0)</f>
        <v>0</v>
      </c>
      <c r="O125">
        <f>IF(COUNTIFS('United Data'!$A$3:$A$2150,O$1,'United Data'!$C$3:$C$2150,$A125)&gt;0,1,0)</f>
        <v>0</v>
      </c>
      <c r="P125">
        <f>IF(COUNTIFS('United Data'!$A$3:$A$2150,P$1,'United Data'!$C$3:$C$2150,$A125)&gt;0,1,0)</f>
        <v>0</v>
      </c>
      <c r="Q125">
        <f>IF(COUNTIFS('United Data'!$A$3:$A$2150,Q$1,'United Data'!$C$3:$C$2150,$A125)&gt;0,1,0)</f>
        <v>0</v>
      </c>
      <c r="R125">
        <f>IF(COUNTIFS('United Data'!$A$3:$A$2150,R$1,'United Data'!$C$3:$C$2150,$A125)&gt;0,1,0)</f>
        <v>0</v>
      </c>
      <c r="S125">
        <f t="shared" si="2"/>
        <v>2</v>
      </c>
      <c r="T125">
        <f t="shared" si="3"/>
        <v>2</v>
      </c>
    </row>
    <row r="126" spans="1:20" x14ac:dyDescent="0.2">
      <c r="A126" t="s">
        <v>171</v>
      </c>
      <c r="B126">
        <f>IF(COUNTIFS('United Data'!$A$3:$A$2150,B$1,'United Data'!$C$3:$C$2150,$A126)&gt;0,1,0)</f>
        <v>0</v>
      </c>
      <c r="C126">
        <f>IF(COUNTIFS('United Data'!$A$3:$A$2150,C$1,'United Data'!$C$3:$C$2150,$A126)&gt;0,1,0)</f>
        <v>0</v>
      </c>
      <c r="D126">
        <f>IF(COUNTIFS('United Data'!$A$3:$A$2150,D$1,'United Data'!$C$3:$C$2150,$A126)&gt;0,1,0)</f>
        <v>0</v>
      </c>
      <c r="E126">
        <f>IF(COUNTIFS('United Data'!$A$3:$A$2150,E$1,'United Data'!$C$3:$C$2150,$A126)&gt;0,1,0)</f>
        <v>0</v>
      </c>
      <c r="F126">
        <f>IF(COUNTIFS('United Data'!$A$3:$A$2150,F$1,'United Data'!$C$3:$C$2150,$A126)&gt;0,1,0)</f>
        <v>0</v>
      </c>
      <c r="G126">
        <f>IF(COUNTIFS('United Data'!$A$3:$A$2150,G$1,'United Data'!$C$3:$C$2150,$A126)&gt;0,1,0)</f>
        <v>0</v>
      </c>
      <c r="H126">
        <f>IF(COUNTIFS('United Data'!$A$3:$A$2150,H$1,'United Data'!$C$3:$C$2150,$A126)&gt;0,1,0)</f>
        <v>0</v>
      </c>
      <c r="I126">
        <f>IF(COUNTIFS('United Data'!$A$3:$A$2150,I$1,'United Data'!$C$3:$C$2150,$A126)&gt;0,1,0)</f>
        <v>0</v>
      </c>
      <c r="J126">
        <f>IF(COUNTIFS('United Data'!$A$3:$A$2150,J$1,'United Data'!$C$3:$C$2150,$A126)&gt;0,1,0)</f>
        <v>0</v>
      </c>
      <c r="K126">
        <f>IF(COUNTIFS('United Data'!$A$3:$A$2150,K$1,'United Data'!$C$3:$C$2150,$A126)&gt;0,1,0)</f>
        <v>0</v>
      </c>
      <c r="L126">
        <f>IF(COUNTIFS('United Data'!$A$3:$A$2150,L$1,'United Data'!$C$3:$C$2150,$A126)&gt;0,1,0)</f>
        <v>0</v>
      </c>
      <c r="M126">
        <f>IF(COUNTIFS('United Data'!$A$3:$A$2150,M$1,'United Data'!$C$3:$C$2150,$A126)&gt;0,1,0)</f>
        <v>1</v>
      </c>
      <c r="N126">
        <f>IF(COUNTIFS('United Data'!$A$3:$A$2150,N$1,'United Data'!$C$3:$C$2150,$A126)&gt;0,1,0)</f>
        <v>1</v>
      </c>
      <c r="O126">
        <f>IF(COUNTIFS('United Data'!$A$3:$A$2150,O$1,'United Data'!$C$3:$C$2150,$A126)&gt;0,1,0)</f>
        <v>0</v>
      </c>
      <c r="P126">
        <f>IF(COUNTIFS('United Data'!$A$3:$A$2150,P$1,'United Data'!$C$3:$C$2150,$A126)&gt;0,1,0)</f>
        <v>0</v>
      </c>
      <c r="Q126">
        <f>IF(COUNTIFS('United Data'!$A$3:$A$2150,Q$1,'United Data'!$C$3:$C$2150,$A126)&gt;0,1,0)</f>
        <v>0</v>
      </c>
      <c r="R126">
        <f>IF(COUNTIFS('United Data'!$A$3:$A$2150,R$1,'United Data'!$C$3:$C$2150,$A126)&gt;0,1,0)</f>
        <v>0</v>
      </c>
      <c r="S126">
        <f t="shared" si="2"/>
        <v>2</v>
      </c>
      <c r="T126">
        <f t="shared" si="3"/>
        <v>1</v>
      </c>
    </row>
    <row r="127" spans="1:20" x14ac:dyDescent="0.2">
      <c r="A127" t="s">
        <v>172</v>
      </c>
      <c r="B127">
        <f>IF(COUNTIFS('United Data'!$A$3:$A$2150,B$1,'United Data'!$C$3:$C$2150,$A127)&gt;0,1,0)</f>
        <v>0</v>
      </c>
      <c r="C127">
        <f>IF(COUNTIFS('United Data'!$A$3:$A$2150,C$1,'United Data'!$C$3:$C$2150,$A127)&gt;0,1,0)</f>
        <v>0</v>
      </c>
      <c r="D127">
        <f>IF(COUNTIFS('United Data'!$A$3:$A$2150,D$1,'United Data'!$C$3:$C$2150,$A127)&gt;0,1,0)</f>
        <v>0</v>
      </c>
      <c r="E127">
        <f>IF(COUNTIFS('United Data'!$A$3:$A$2150,E$1,'United Data'!$C$3:$C$2150,$A127)&gt;0,1,0)</f>
        <v>0</v>
      </c>
      <c r="F127">
        <f>IF(COUNTIFS('United Data'!$A$3:$A$2150,F$1,'United Data'!$C$3:$C$2150,$A127)&gt;0,1,0)</f>
        <v>0</v>
      </c>
      <c r="G127">
        <f>IF(COUNTIFS('United Data'!$A$3:$A$2150,G$1,'United Data'!$C$3:$C$2150,$A127)&gt;0,1,0)</f>
        <v>0</v>
      </c>
      <c r="H127">
        <f>IF(COUNTIFS('United Data'!$A$3:$A$2150,H$1,'United Data'!$C$3:$C$2150,$A127)&gt;0,1,0)</f>
        <v>0</v>
      </c>
      <c r="I127">
        <f>IF(COUNTIFS('United Data'!$A$3:$A$2150,I$1,'United Data'!$C$3:$C$2150,$A127)&gt;0,1,0)</f>
        <v>0</v>
      </c>
      <c r="J127">
        <f>IF(COUNTIFS('United Data'!$A$3:$A$2150,J$1,'United Data'!$C$3:$C$2150,$A127)&gt;0,1,0)</f>
        <v>0</v>
      </c>
      <c r="K127">
        <f>IF(COUNTIFS('United Data'!$A$3:$A$2150,K$1,'United Data'!$C$3:$C$2150,$A127)&gt;0,1,0)</f>
        <v>0</v>
      </c>
      <c r="L127">
        <f>IF(COUNTIFS('United Data'!$A$3:$A$2150,L$1,'United Data'!$C$3:$C$2150,$A127)&gt;0,1,0)</f>
        <v>0</v>
      </c>
      <c r="M127">
        <f>IF(COUNTIFS('United Data'!$A$3:$A$2150,M$1,'United Data'!$C$3:$C$2150,$A127)&gt;0,1,0)</f>
        <v>1</v>
      </c>
      <c r="N127">
        <f>IF(COUNTIFS('United Data'!$A$3:$A$2150,N$1,'United Data'!$C$3:$C$2150,$A127)&gt;0,1,0)</f>
        <v>0</v>
      </c>
      <c r="O127">
        <f>IF(COUNTIFS('United Data'!$A$3:$A$2150,O$1,'United Data'!$C$3:$C$2150,$A127)&gt;0,1,0)</f>
        <v>0</v>
      </c>
      <c r="P127">
        <f>IF(COUNTIFS('United Data'!$A$3:$A$2150,P$1,'United Data'!$C$3:$C$2150,$A127)&gt;0,1,0)</f>
        <v>0</v>
      </c>
      <c r="Q127">
        <f>IF(COUNTIFS('United Data'!$A$3:$A$2150,Q$1,'United Data'!$C$3:$C$2150,$A127)&gt;0,1,0)</f>
        <v>0</v>
      </c>
      <c r="R127">
        <f>IF(COUNTIFS('United Data'!$A$3:$A$2150,R$1,'United Data'!$C$3:$C$2150,$A127)&gt;0,1,0)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173</v>
      </c>
      <c r="B128">
        <f>IF(COUNTIFS('United Data'!$A$3:$A$2150,B$1,'United Data'!$C$3:$C$2150,$A128)&gt;0,1,0)</f>
        <v>0</v>
      </c>
      <c r="C128">
        <f>IF(COUNTIFS('United Data'!$A$3:$A$2150,C$1,'United Data'!$C$3:$C$2150,$A128)&gt;0,1,0)</f>
        <v>0</v>
      </c>
      <c r="D128">
        <f>IF(COUNTIFS('United Data'!$A$3:$A$2150,D$1,'United Data'!$C$3:$C$2150,$A128)&gt;0,1,0)</f>
        <v>0</v>
      </c>
      <c r="E128">
        <f>IF(COUNTIFS('United Data'!$A$3:$A$2150,E$1,'United Data'!$C$3:$C$2150,$A128)&gt;0,1,0)</f>
        <v>0</v>
      </c>
      <c r="F128">
        <f>IF(COUNTIFS('United Data'!$A$3:$A$2150,F$1,'United Data'!$C$3:$C$2150,$A128)&gt;0,1,0)</f>
        <v>0</v>
      </c>
      <c r="G128">
        <f>IF(COUNTIFS('United Data'!$A$3:$A$2150,G$1,'United Data'!$C$3:$C$2150,$A128)&gt;0,1,0)</f>
        <v>0</v>
      </c>
      <c r="H128">
        <f>IF(COUNTIFS('United Data'!$A$3:$A$2150,H$1,'United Data'!$C$3:$C$2150,$A128)&gt;0,1,0)</f>
        <v>0</v>
      </c>
      <c r="I128">
        <f>IF(COUNTIFS('United Data'!$A$3:$A$2150,I$1,'United Data'!$C$3:$C$2150,$A128)&gt;0,1,0)</f>
        <v>0</v>
      </c>
      <c r="J128">
        <f>IF(COUNTIFS('United Data'!$A$3:$A$2150,J$1,'United Data'!$C$3:$C$2150,$A128)&gt;0,1,0)</f>
        <v>0</v>
      </c>
      <c r="K128">
        <f>IF(COUNTIFS('United Data'!$A$3:$A$2150,K$1,'United Data'!$C$3:$C$2150,$A128)&gt;0,1,0)</f>
        <v>0</v>
      </c>
      <c r="L128">
        <f>IF(COUNTIFS('United Data'!$A$3:$A$2150,L$1,'United Data'!$C$3:$C$2150,$A128)&gt;0,1,0)</f>
        <v>0</v>
      </c>
      <c r="M128">
        <f>IF(COUNTIFS('United Data'!$A$3:$A$2150,M$1,'United Data'!$C$3:$C$2150,$A128)&gt;0,1,0)</f>
        <v>1</v>
      </c>
      <c r="N128">
        <f>IF(COUNTIFS('United Data'!$A$3:$A$2150,N$1,'United Data'!$C$3:$C$2150,$A128)&gt;0,1,0)</f>
        <v>0</v>
      </c>
      <c r="O128">
        <f>IF(COUNTIFS('United Data'!$A$3:$A$2150,O$1,'United Data'!$C$3:$C$2150,$A128)&gt;0,1,0)</f>
        <v>0</v>
      </c>
      <c r="P128">
        <f>IF(COUNTIFS('United Data'!$A$3:$A$2150,P$1,'United Data'!$C$3:$C$2150,$A128)&gt;0,1,0)</f>
        <v>0</v>
      </c>
      <c r="Q128">
        <f>IF(COUNTIFS('United Data'!$A$3:$A$2150,Q$1,'United Data'!$C$3:$C$2150,$A128)&gt;0,1,0)</f>
        <v>0</v>
      </c>
      <c r="R128">
        <f>IF(COUNTIFS('United Data'!$A$3:$A$2150,R$1,'United Data'!$C$3:$C$2150,$A128)&gt;0,1,0)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174</v>
      </c>
      <c r="B129">
        <f>IF(COUNTIFS('United Data'!$A$3:$A$2150,B$1,'United Data'!$C$3:$C$2150,$A129)&gt;0,1,0)</f>
        <v>0</v>
      </c>
      <c r="C129">
        <f>IF(COUNTIFS('United Data'!$A$3:$A$2150,C$1,'United Data'!$C$3:$C$2150,$A129)&gt;0,1,0)</f>
        <v>0</v>
      </c>
      <c r="D129">
        <f>IF(COUNTIFS('United Data'!$A$3:$A$2150,D$1,'United Data'!$C$3:$C$2150,$A129)&gt;0,1,0)</f>
        <v>0</v>
      </c>
      <c r="E129">
        <f>IF(COUNTIFS('United Data'!$A$3:$A$2150,E$1,'United Data'!$C$3:$C$2150,$A129)&gt;0,1,0)</f>
        <v>0</v>
      </c>
      <c r="F129">
        <f>IF(COUNTIFS('United Data'!$A$3:$A$2150,F$1,'United Data'!$C$3:$C$2150,$A129)&gt;0,1,0)</f>
        <v>1</v>
      </c>
      <c r="G129">
        <f>IF(COUNTIFS('United Data'!$A$3:$A$2150,G$1,'United Data'!$C$3:$C$2150,$A129)&gt;0,1,0)</f>
        <v>0</v>
      </c>
      <c r="H129">
        <f>IF(COUNTIFS('United Data'!$A$3:$A$2150,H$1,'United Data'!$C$3:$C$2150,$A129)&gt;0,1,0)</f>
        <v>1</v>
      </c>
      <c r="I129">
        <f>IF(COUNTIFS('United Data'!$A$3:$A$2150,I$1,'United Data'!$C$3:$C$2150,$A129)&gt;0,1,0)</f>
        <v>1</v>
      </c>
      <c r="J129">
        <f>IF(COUNTIFS('United Data'!$A$3:$A$2150,J$1,'United Data'!$C$3:$C$2150,$A129)&gt;0,1,0)</f>
        <v>1</v>
      </c>
      <c r="K129">
        <f>IF(COUNTIFS('United Data'!$A$3:$A$2150,K$1,'United Data'!$C$3:$C$2150,$A129)&gt;0,1,0)</f>
        <v>0</v>
      </c>
      <c r="L129">
        <f>IF(COUNTIFS('United Data'!$A$3:$A$2150,L$1,'United Data'!$C$3:$C$2150,$A129)&gt;0,1,0)</f>
        <v>1</v>
      </c>
      <c r="M129">
        <f>IF(COUNTIFS('United Data'!$A$3:$A$2150,M$1,'United Data'!$C$3:$C$2150,$A129)&gt;0,1,0)</f>
        <v>1</v>
      </c>
      <c r="N129">
        <f>IF(COUNTIFS('United Data'!$A$3:$A$2150,N$1,'United Data'!$C$3:$C$2150,$A129)&gt;0,1,0)</f>
        <v>1</v>
      </c>
      <c r="O129">
        <f>IF(COUNTIFS('United Data'!$A$3:$A$2150,O$1,'United Data'!$C$3:$C$2150,$A129)&gt;0,1,0)</f>
        <v>0</v>
      </c>
      <c r="P129">
        <f>IF(COUNTIFS('United Data'!$A$3:$A$2150,P$1,'United Data'!$C$3:$C$2150,$A129)&gt;0,1,0)</f>
        <v>0</v>
      </c>
      <c r="Q129">
        <f>IF(COUNTIFS('United Data'!$A$3:$A$2150,Q$1,'United Data'!$C$3:$C$2150,$A129)&gt;0,1,0)</f>
        <v>0</v>
      </c>
      <c r="R129">
        <f>IF(COUNTIFS('United Data'!$A$3:$A$2150,R$1,'United Data'!$C$3:$C$2150,$A129)&gt;0,1,0)</f>
        <v>0</v>
      </c>
      <c r="S129">
        <f t="shared" si="2"/>
        <v>7</v>
      </c>
      <c r="T129">
        <f t="shared" si="3"/>
        <v>3</v>
      </c>
    </row>
    <row r="130" spans="1:20" x14ac:dyDescent="0.2">
      <c r="A130" t="s">
        <v>175</v>
      </c>
      <c r="B130">
        <f>IF(COUNTIFS('United Data'!$A$3:$A$2150,B$1,'United Data'!$C$3:$C$2150,$A130)&gt;0,1,0)</f>
        <v>0</v>
      </c>
      <c r="C130">
        <f>IF(COUNTIFS('United Data'!$A$3:$A$2150,C$1,'United Data'!$C$3:$C$2150,$A130)&gt;0,1,0)</f>
        <v>0</v>
      </c>
      <c r="D130">
        <f>IF(COUNTIFS('United Data'!$A$3:$A$2150,D$1,'United Data'!$C$3:$C$2150,$A130)&gt;0,1,0)</f>
        <v>0</v>
      </c>
      <c r="E130">
        <f>IF(COUNTIFS('United Data'!$A$3:$A$2150,E$1,'United Data'!$C$3:$C$2150,$A130)&gt;0,1,0)</f>
        <v>0</v>
      </c>
      <c r="F130">
        <f>IF(COUNTIFS('United Data'!$A$3:$A$2150,F$1,'United Data'!$C$3:$C$2150,$A130)&gt;0,1,0)</f>
        <v>0</v>
      </c>
      <c r="G130">
        <f>IF(COUNTIFS('United Data'!$A$3:$A$2150,G$1,'United Data'!$C$3:$C$2150,$A130)&gt;0,1,0)</f>
        <v>0</v>
      </c>
      <c r="H130">
        <f>IF(COUNTIFS('United Data'!$A$3:$A$2150,H$1,'United Data'!$C$3:$C$2150,$A130)&gt;0,1,0)</f>
        <v>0</v>
      </c>
      <c r="I130">
        <f>IF(COUNTIFS('United Data'!$A$3:$A$2150,I$1,'United Data'!$C$3:$C$2150,$A130)&gt;0,1,0)</f>
        <v>0</v>
      </c>
      <c r="J130">
        <f>IF(COUNTIFS('United Data'!$A$3:$A$2150,J$1,'United Data'!$C$3:$C$2150,$A130)&gt;0,1,0)</f>
        <v>0</v>
      </c>
      <c r="K130">
        <f>IF(COUNTIFS('United Data'!$A$3:$A$2150,K$1,'United Data'!$C$3:$C$2150,$A130)&gt;0,1,0)</f>
        <v>0</v>
      </c>
      <c r="L130">
        <f>IF(COUNTIFS('United Data'!$A$3:$A$2150,L$1,'United Data'!$C$3:$C$2150,$A130)&gt;0,1,0)</f>
        <v>0</v>
      </c>
      <c r="M130">
        <f>IF(COUNTIFS('United Data'!$A$3:$A$2150,M$1,'United Data'!$C$3:$C$2150,$A130)&gt;0,1,0)</f>
        <v>0</v>
      </c>
      <c r="N130">
        <f>IF(COUNTIFS('United Data'!$A$3:$A$2150,N$1,'United Data'!$C$3:$C$2150,$A130)&gt;0,1,0)</f>
        <v>1</v>
      </c>
      <c r="O130">
        <f>IF(COUNTIFS('United Data'!$A$3:$A$2150,O$1,'United Data'!$C$3:$C$2150,$A130)&gt;0,1,0)</f>
        <v>0</v>
      </c>
      <c r="P130">
        <f>IF(COUNTIFS('United Data'!$A$3:$A$2150,P$1,'United Data'!$C$3:$C$2150,$A130)&gt;0,1,0)</f>
        <v>0</v>
      </c>
      <c r="Q130">
        <f>IF(COUNTIFS('United Data'!$A$3:$A$2150,Q$1,'United Data'!$C$3:$C$2150,$A130)&gt;0,1,0)</f>
        <v>0</v>
      </c>
      <c r="R130">
        <f>IF(COUNTIFS('United Data'!$A$3:$A$2150,R$1,'United Data'!$C$3:$C$2150,$A130)&gt;0,1,0)</f>
        <v>0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176</v>
      </c>
      <c r="B131">
        <f>IF(COUNTIFS('United Data'!$A$3:$A$2150,B$1,'United Data'!$C$3:$C$2150,$A131)&gt;0,1,0)</f>
        <v>0</v>
      </c>
      <c r="C131">
        <f>IF(COUNTIFS('United Data'!$A$3:$A$2150,C$1,'United Data'!$C$3:$C$2150,$A131)&gt;0,1,0)</f>
        <v>0</v>
      </c>
      <c r="D131">
        <f>IF(COUNTIFS('United Data'!$A$3:$A$2150,D$1,'United Data'!$C$3:$C$2150,$A131)&gt;0,1,0)</f>
        <v>0</v>
      </c>
      <c r="E131">
        <f>IF(COUNTIFS('United Data'!$A$3:$A$2150,E$1,'United Data'!$C$3:$C$2150,$A131)&gt;0,1,0)</f>
        <v>0</v>
      </c>
      <c r="F131">
        <f>IF(COUNTIFS('United Data'!$A$3:$A$2150,F$1,'United Data'!$C$3:$C$2150,$A131)&gt;0,1,0)</f>
        <v>0</v>
      </c>
      <c r="G131">
        <f>IF(COUNTIFS('United Data'!$A$3:$A$2150,G$1,'United Data'!$C$3:$C$2150,$A131)&gt;0,1,0)</f>
        <v>0</v>
      </c>
      <c r="H131">
        <f>IF(COUNTIFS('United Data'!$A$3:$A$2150,H$1,'United Data'!$C$3:$C$2150,$A131)&gt;0,1,0)</f>
        <v>0</v>
      </c>
      <c r="I131">
        <f>IF(COUNTIFS('United Data'!$A$3:$A$2150,I$1,'United Data'!$C$3:$C$2150,$A131)&gt;0,1,0)</f>
        <v>0</v>
      </c>
      <c r="J131">
        <f>IF(COUNTIFS('United Data'!$A$3:$A$2150,J$1,'United Data'!$C$3:$C$2150,$A131)&gt;0,1,0)</f>
        <v>0</v>
      </c>
      <c r="K131">
        <f>IF(COUNTIFS('United Data'!$A$3:$A$2150,K$1,'United Data'!$C$3:$C$2150,$A131)&gt;0,1,0)</f>
        <v>0</v>
      </c>
      <c r="L131">
        <f>IF(COUNTIFS('United Data'!$A$3:$A$2150,L$1,'United Data'!$C$3:$C$2150,$A131)&gt;0,1,0)</f>
        <v>0</v>
      </c>
      <c r="M131">
        <f>IF(COUNTIFS('United Data'!$A$3:$A$2150,M$1,'United Data'!$C$3:$C$2150,$A131)&gt;0,1,0)</f>
        <v>0</v>
      </c>
      <c r="N131">
        <f>IF(COUNTIFS('United Data'!$A$3:$A$2150,N$1,'United Data'!$C$3:$C$2150,$A131)&gt;0,1,0)</f>
        <v>1</v>
      </c>
      <c r="O131">
        <f>IF(COUNTIFS('United Data'!$A$3:$A$2150,O$1,'United Data'!$C$3:$C$2150,$A131)&gt;0,1,0)</f>
        <v>0</v>
      </c>
      <c r="P131">
        <f>IF(COUNTIFS('United Data'!$A$3:$A$2150,P$1,'United Data'!$C$3:$C$2150,$A131)&gt;0,1,0)</f>
        <v>0</v>
      </c>
      <c r="Q131">
        <f>IF(COUNTIFS('United Data'!$A$3:$A$2150,Q$1,'United Data'!$C$3:$C$2150,$A131)&gt;0,1,0)</f>
        <v>0</v>
      </c>
      <c r="R131">
        <f>IF(COUNTIFS('United Data'!$A$3:$A$2150,R$1,'United Data'!$C$3:$C$2150,$A131)&gt;0,1,0)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177</v>
      </c>
      <c r="B132">
        <f>IF(COUNTIFS('United Data'!$A$3:$A$2150,B$1,'United Data'!$C$3:$C$2150,$A132)&gt;0,1,0)</f>
        <v>0</v>
      </c>
      <c r="C132">
        <f>IF(COUNTIFS('United Data'!$A$3:$A$2150,C$1,'United Data'!$C$3:$C$2150,$A132)&gt;0,1,0)</f>
        <v>0</v>
      </c>
      <c r="D132">
        <f>IF(COUNTIFS('United Data'!$A$3:$A$2150,D$1,'United Data'!$C$3:$C$2150,$A132)&gt;0,1,0)</f>
        <v>0</v>
      </c>
      <c r="E132">
        <f>IF(COUNTIFS('United Data'!$A$3:$A$2150,E$1,'United Data'!$C$3:$C$2150,$A132)&gt;0,1,0)</f>
        <v>0</v>
      </c>
      <c r="F132">
        <f>IF(COUNTIFS('United Data'!$A$3:$A$2150,F$1,'United Data'!$C$3:$C$2150,$A132)&gt;0,1,0)</f>
        <v>0</v>
      </c>
      <c r="G132">
        <f>IF(COUNTIFS('United Data'!$A$3:$A$2150,G$1,'United Data'!$C$3:$C$2150,$A132)&gt;0,1,0)</f>
        <v>0</v>
      </c>
      <c r="H132">
        <f>IF(COUNTIFS('United Data'!$A$3:$A$2150,H$1,'United Data'!$C$3:$C$2150,$A132)&gt;0,1,0)</f>
        <v>0</v>
      </c>
      <c r="I132">
        <f>IF(COUNTIFS('United Data'!$A$3:$A$2150,I$1,'United Data'!$C$3:$C$2150,$A132)&gt;0,1,0)</f>
        <v>0</v>
      </c>
      <c r="J132">
        <f>IF(COUNTIFS('United Data'!$A$3:$A$2150,J$1,'United Data'!$C$3:$C$2150,$A132)&gt;0,1,0)</f>
        <v>0</v>
      </c>
      <c r="K132">
        <f>IF(COUNTIFS('United Data'!$A$3:$A$2150,K$1,'United Data'!$C$3:$C$2150,$A132)&gt;0,1,0)</f>
        <v>0</v>
      </c>
      <c r="L132">
        <f>IF(COUNTIFS('United Data'!$A$3:$A$2150,L$1,'United Data'!$C$3:$C$2150,$A132)&gt;0,1,0)</f>
        <v>0</v>
      </c>
      <c r="M132">
        <f>IF(COUNTIFS('United Data'!$A$3:$A$2150,M$1,'United Data'!$C$3:$C$2150,$A132)&gt;0,1,0)</f>
        <v>0</v>
      </c>
      <c r="N132">
        <f>IF(COUNTIFS('United Data'!$A$3:$A$2150,N$1,'United Data'!$C$3:$C$2150,$A132)&gt;0,1,0)</f>
        <v>1</v>
      </c>
      <c r="O132">
        <f>IF(COUNTIFS('United Data'!$A$3:$A$2150,O$1,'United Data'!$C$3:$C$2150,$A132)&gt;0,1,0)</f>
        <v>1</v>
      </c>
      <c r="P132">
        <f>IF(COUNTIFS('United Data'!$A$3:$A$2150,P$1,'United Data'!$C$3:$C$2150,$A132)&gt;0,1,0)</f>
        <v>1</v>
      </c>
      <c r="Q132">
        <f>IF(COUNTIFS('United Data'!$A$3:$A$2150,Q$1,'United Data'!$C$3:$C$2150,$A132)&gt;0,1,0)</f>
        <v>0</v>
      </c>
      <c r="R132">
        <f>IF(COUNTIFS('United Data'!$A$3:$A$2150,R$1,'United Data'!$C$3:$C$2150,$A132)&gt;0,1,0)</f>
        <v>0</v>
      </c>
      <c r="S132">
        <f t="shared" si="4"/>
        <v>3</v>
      </c>
      <c r="T132">
        <f t="shared" si="5"/>
        <v>1</v>
      </c>
    </row>
    <row r="133" spans="1:20" x14ac:dyDescent="0.2">
      <c r="A133" t="s">
        <v>178</v>
      </c>
      <c r="B133">
        <f>IF(COUNTIFS('United Data'!$A$3:$A$2150,B$1,'United Data'!$C$3:$C$2150,$A133)&gt;0,1,0)</f>
        <v>0</v>
      </c>
      <c r="C133">
        <f>IF(COUNTIFS('United Data'!$A$3:$A$2150,C$1,'United Data'!$C$3:$C$2150,$A133)&gt;0,1,0)</f>
        <v>0</v>
      </c>
      <c r="D133">
        <f>IF(COUNTIFS('United Data'!$A$3:$A$2150,D$1,'United Data'!$C$3:$C$2150,$A133)&gt;0,1,0)</f>
        <v>0</v>
      </c>
      <c r="E133">
        <f>IF(COUNTIFS('United Data'!$A$3:$A$2150,E$1,'United Data'!$C$3:$C$2150,$A133)&gt;0,1,0)</f>
        <v>0</v>
      </c>
      <c r="F133">
        <f>IF(COUNTIFS('United Data'!$A$3:$A$2150,F$1,'United Data'!$C$3:$C$2150,$A133)&gt;0,1,0)</f>
        <v>0</v>
      </c>
      <c r="G133">
        <f>IF(COUNTIFS('United Data'!$A$3:$A$2150,G$1,'United Data'!$C$3:$C$2150,$A133)&gt;0,1,0)</f>
        <v>0</v>
      </c>
      <c r="H133">
        <f>IF(COUNTIFS('United Data'!$A$3:$A$2150,H$1,'United Data'!$C$3:$C$2150,$A133)&gt;0,1,0)</f>
        <v>0</v>
      </c>
      <c r="I133">
        <f>IF(COUNTIFS('United Data'!$A$3:$A$2150,I$1,'United Data'!$C$3:$C$2150,$A133)&gt;0,1,0)</f>
        <v>0</v>
      </c>
      <c r="J133">
        <f>IF(COUNTIFS('United Data'!$A$3:$A$2150,J$1,'United Data'!$C$3:$C$2150,$A133)&gt;0,1,0)</f>
        <v>0</v>
      </c>
      <c r="K133">
        <f>IF(COUNTIFS('United Data'!$A$3:$A$2150,K$1,'United Data'!$C$3:$C$2150,$A133)&gt;0,1,0)</f>
        <v>0</v>
      </c>
      <c r="L133">
        <f>IF(COUNTIFS('United Data'!$A$3:$A$2150,L$1,'United Data'!$C$3:$C$2150,$A133)&gt;0,1,0)</f>
        <v>0</v>
      </c>
      <c r="M133">
        <f>IF(COUNTIFS('United Data'!$A$3:$A$2150,M$1,'United Data'!$C$3:$C$2150,$A133)&gt;0,1,0)</f>
        <v>0</v>
      </c>
      <c r="N133">
        <f>IF(COUNTIFS('United Data'!$A$3:$A$2150,N$1,'United Data'!$C$3:$C$2150,$A133)&gt;0,1,0)</f>
        <v>1</v>
      </c>
      <c r="O133">
        <f>IF(COUNTIFS('United Data'!$A$3:$A$2150,O$1,'United Data'!$C$3:$C$2150,$A133)&gt;0,1,0)</f>
        <v>0</v>
      </c>
      <c r="P133">
        <f>IF(COUNTIFS('United Data'!$A$3:$A$2150,P$1,'United Data'!$C$3:$C$2150,$A133)&gt;0,1,0)</f>
        <v>0</v>
      </c>
      <c r="Q133">
        <f>IF(COUNTIFS('United Data'!$A$3:$A$2150,Q$1,'United Data'!$C$3:$C$2150,$A133)&gt;0,1,0)</f>
        <v>0</v>
      </c>
      <c r="R133">
        <f>IF(COUNTIFS('United Data'!$A$3:$A$2150,R$1,'United Data'!$C$3:$C$2150,$A133)&gt;0,1,0)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179</v>
      </c>
      <c r="B134">
        <f>IF(COUNTIFS('United Data'!$A$3:$A$2150,B$1,'United Data'!$C$3:$C$2150,$A134)&gt;0,1,0)</f>
        <v>0</v>
      </c>
      <c r="C134">
        <f>IF(COUNTIFS('United Data'!$A$3:$A$2150,C$1,'United Data'!$C$3:$C$2150,$A134)&gt;0,1,0)</f>
        <v>0</v>
      </c>
      <c r="D134">
        <f>IF(COUNTIFS('United Data'!$A$3:$A$2150,D$1,'United Data'!$C$3:$C$2150,$A134)&gt;0,1,0)</f>
        <v>0</v>
      </c>
      <c r="E134">
        <f>IF(COUNTIFS('United Data'!$A$3:$A$2150,E$1,'United Data'!$C$3:$C$2150,$A134)&gt;0,1,0)</f>
        <v>0</v>
      </c>
      <c r="F134">
        <f>IF(COUNTIFS('United Data'!$A$3:$A$2150,F$1,'United Data'!$C$3:$C$2150,$A134)&gt;0,1,0)</f>
        <v>0</v>
      </c>
      <c r="G134">
        <f>IF(COUNTIFS('United Data'!$A$3:$A$2150,G$1,'United Data'!$C$3:$C$2150,$A134)&gt;0,1,0)</f>
        <v>0</v>
      </c>
      <c r="H134">
        <f>IF(COUNTIFS('United Data'!$A$3:$A$2150,H$1,'United Data'!$C$3:$C$2150,$A134)&gt;0,1,0)</f>
        <v>0</v>
      </c>
      <c r="I134">
        <f>IF(COUNTIFS('United Data'!$A$3:$A$2150,I$1,'United Data'!$C$3:$C$2150,$A134)&gt;0,1,0)</f>
        <v>0</v>
      </c>
      <c r="J134">
        <f>IF(COUNTIFS('United Data'!$A$3:$A$2150,J$1,'United Data'!$C$3:$C$2150,$A134)&gt;0,1,0)</f>
        <v>0</v>
      </c>
      <c r="K134">
        <f>IF(COUNTIFS('United Data'!$A$3:$A$2150,K$1,'United Data'!$C$3:$C$2150,$A134)&gt;0,1,0)</f>
        <v>0</v>
      </c>
      <c r="L134">
        <f>IF(COUNTIFS('United Data'!$A$3:$A$2150,L$1,'United Data'!$C$3:$C$2150,$A134)&gt;0,1,0)</f>
        <v>0</v>
      </c>
      <c r="M134">
        <f>IF(COUNTIFS('United Data'!$A$3:$A$2150,M$1,'United Data'!$C$3:$C$2150,$A134)&gt;0,1,0)</f>
        <v>0</v>
      </c>
      <c r="N134">
        <f>IF(COUNTIFS('United Data'!$A$3:$A$2150,N$1,'United Data'!$C$3:$C$2150,$A134)&gt;0,1,0)</f>
        <v>1</v>
      </c>
      <c r="O134">
        <f>IF(COUNTIFS('United Data'!$A$3:$A$2150,O$1,'United Data'!$C$3:$C$2150,$A134)&gt;0,1,0)</f>
        <v>0</v>
      </c>
      <c r="P134">
        <f>IF(COUNTIFS('United Data'!$A$3:$A$2150,P$1,'United Data'!$C$3:$C$2150,$A134)&gt;0,1,0)</f>
        <v>0</v>
      </c>
      <c r="Q134">
        <f>IF(COUNTIFS('United Data'!$A$3:$A$2150,Q$1,'United Data'!$C$3:$C$2150,$A134)&gt;0,1,0)</f>
        <v>0</v>
      </c>
      <c r="R134">
        <f>IF(COUNTIFS('United Data'!$A$3:$A$2150,R$1,'United Data'!$C$3:$C$2150,$A134)&gt;0,1,0)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180</v>
      </c>
      <c r="B135">
        <f>IF(COUNTIFS('United Data'!$A$3:$A$2150,B$1,'United Data'!$C$3:$C$2150,$A135)&gt;0,1,0)</f>
        <v>0</v>
      </c>
      <c r="C135">
        <f>IF(COUNTIFS('United Data'!$A$3:$A$2150,C$1,'United Data'!$C$3:$C$2150,$A135)&gt;0,1,0)</f>
        <v>0</v>
      </c>
      <c r="D135">
        <f>IF(COUNTIFS('United Data'!$A$3:$A$2150,D$1,'United Data'!$C$3:$C$2150,$A135)&gt;0,1,0)</f>
        <v>0</v>
      </c>
      <c r="E135">
        <f>IF(COUNTIFS('United Data'!$A$3:$A$2150,E$1,'United Data'!$C$3:$C$2150,$A135)&gt;0,1,0)</f>
        <v>0</v>
      </c>
      <c r="F135">
        <f>IF(COUNTIFS('United Data'!$A$3:$A$2150,F$1,'United Data'!$C$3:$C$2150,$A135)&gt;0,1,0)</f>
        <v>0</v>
      </c>
      <c r="G135">
        <f>IF(COUNTIFS('United Data'!$A$3:$A$2150,G$1,'United Data'!$C$3:$C$2150,$A135)&gt;0,1,0)</f>
        <v>0</v>
      </c>
      <c r="H135">
        <f>IF(COUNTIFS('United Data'!$A$3:$A$2150,H$1,'United Data'!$C$3:$C$2150,$A135)&gt;0,1,0)</f>
        <v>0</v>
      </c>
      <c r="I135">
        <f>IF(COUNTIFS('United Data'!$A$3:$A$2150,I$1,'United Data'!$C$3:$C$2150,$A135)&gt;0,1,0)</f>
        <v>0</v>
      </c>
      <c r="J135">
        <f>IF(COUNTIFS('United Data'!$A$3:$A$2150,J$1,'United Data'!$C$3:$C$2150,$A135)&gt;0,1,0)</f>
        <v>0</v>
      </c>
      <c r="K135">
        <f>IF(COUNTIFS('United Data'!$A$3:$A$2150,K$1,'United Data'!$C$3:$C$2150,$A135)&gt;0,1,0)</f>
        <v>0</v>
      </c>
      <c r="L135">
        <f>IF(COUNTIFS('United Data'!$A$3:$A$2150,L$1,'United Data'!$C$3:$C$2150,$A135)&gt;0,1,0)</f>
        <v>0</v>
      </c>
      <c r="M135">
        <f>IF(COUNTIFS('United Data'!$A$3:$A$2150,M$1,'United Data'!$C$3:$C$2150,$A135)&gt;0,1,0)</f>
        <v>0</v>
      </c>
      <c r="N135">
        <f>IF(COUNTIFS('United Data'!$A$3:$A$2150,N$1,'United Data'!$C$3:$C$2150,$A135)&gt;0,1,0)</f>
        <v>1</v>
      </c>
      <c r="O135">
        <f>IF(COUNTIFS('United Data'!$A$3:$A$2150,O$1,'United Data'!$C$3:$C$2150,$A135)&gt;0,1,0)</f>
        <v>1</v>
      </c>
      <c r="P135">
        <f>IF(COUNTIFS('United Data'!$A$3:$A$2150,P$1,'United Data'!$C$3:$C$2150,$A135)&gt;0,1,0)</f>
        <v>0</v>
      </c>
      <c r="Q135">
        <f>IF(COUNTIFS('United Data'!$A$3:$A$2150,Q$1,'United Data'!$C$3:$C$2150,$A135)&gt;0,1,0)</f>
        <v>0</v>
      </c>
      <c r="R135">
        <f>IF(COUNTIFS('United Data'!$A$3:$A$2150,R$1,'United Data'!$C$3:$C$2150,$A135)&gt;0,1,0)</f>
        <v>0</v>
      </c>
      <c r="S135">
        <f t="shared" si="4"/>
        <v>2</v>
      </c>
      <c r="T135">
        <f t="shared" si="5"/>
        <v>1</v>
      </c>
    </row>
    <row r="136" spans="1:20" x14ac:dyDescent="0.2">
      <c r="A136" t="s">
        <v>181</v>
      </c>
      <c r="B136">
        <f>IF(COUNTIFS('United Data'!$A$3:$A$2150,B$1,'United Data'!$C$3:$C$2150,$A136)&gt;0,1,0)</f>
        <v>0</v>
      </c>
      <c r="C136">
        <f>IF(COUNTIFS('United Data'!$A$3:$A$2150,C$1,'United Data'!$C$3:$C$2150,$A136)&gt;0,1,0)</f>
        <v>0</v>
      </c>
      <c r="D136">
        <f>IF(COUNTIFS('United Data'!$A$3:$A$2150,D$1,'United Data'!$C$3:$C$2150,$A136)&gt;0,1,0)</f>
        <v>0</v>
      </c>
      <c r="E136">
        <f>IF(COUNTIFS('United Data'!$A$3:$A$2150,E$1,'United Data'!$C$3:$C$2150,$A136)&gt;0,1,0)</f>
        <v>0</v>
      </c>
      <c r="F136">
        <f>IF(COUNTIFS('United Data'!$A$3:$A$2150,F$1,'United Data'!$C$3:$C$2150,$A136)&gt;0,1,0)</f>
        <v>0</v>
      </c>
      <c r="G136">
        <f>IF(COUNTIFS('United Data'!$A$3:$A$2150,G$1,'United Data'!$C$3:$C$2150,$A136)&gt;0,1,0)</f>
        <v>0</v>
      </c>
      <c r="H136">
        <f>IF(COUNTIFS('United Data'!$A$3:$A$2150,H$1,'United Data'!$C$3:$C$2150,$A136)&gt;0,1,0)</f>
        <v>0</v>
      </c>
      <c r="I136">
        <f>IF(COUNTIFS('United Data'!$A$3:$A$2150,I$1,'United Data'!$C$3:$C$2150,$A136)&gt;0,1,0)</f>
        <v>0</v>
      </c>
      <c r="J136">
        <f>IF(COUNTIFS('United Data'!$A$3:$A$2150,J$1,'United Data'!$C$3:$C$2150,$A136)&gt;0,1,0)</f>
        <v>0</v>
      </c>
      <c r="K136">
        <f>IF(COUNTIFS('United Data'!$A$3:$A$2150,K$1,'United Data'!$C$3:$C$2150,$A136)&gt;0,1,0)</f>
        <v>0</v>
      </c>
      <c r="L136">
        <f>IF(COUNTIFS('United Data'!$A$3:$A$2150,L$1,'United Data'!$C$3:$C$2150,$A136)&gt;0,1,0)</f>
        <v>0</v>
      </c>
      <c r="M136">
        <f>IF(COUNTIFS('United Data'!$A$3:$A$2150,M$1,'United Data'!$C$3:$C$2150,$A136)&gt;0,1,0)</f>
        <v>0</v>
      </c>
      <c r="N136">
        <f>IF(COUNTIFS('United Data'!$A$3:$A$2150,N$1,'United Data'!$C$3:$C$2150,$A136)&gt;0,1,0)</f>
        <v>1</v>
      </c>
      <c r="O136">
        <f>IF(COUNTIFS('United Data'!$A$3:$A$2150,O$1,'United Data'!$C$3:$C$2150,$A136)&gt;0,1,0)</f>
        <v>0</v>
      </c>
      <c r="P136">
        <f>IF(COUNTIFS('United Data'!$A$3:$A$2150,P$1,'United Data'!$C$3:$C$2150,$A136)&gt;0,1,0)</f>
        <v>0</v>
      </c>
      <c r="Q136">
        <f>IF(COUNTIFS('United Data'!$A$3:$A$2150,Q$1,'United Data'!$C$3:$C$2150,$A136)&gt;0,1,0)</f>
        <v>0</v>
      </c>
      <c r="R136">
        <f>IF(COUNTIFS('United Data'!$A$3:$A$2150,R$1,'United Data'!$C$3:$C$2150,$A136)&gt;0,1,0)</f>
        <v>0</v>
      </c>
      <c r="S136">
        <f t="shared" si="4"/>
        <v>1</v>
      </c>
      <c r="T136">
        <f t="shared" si="5"/>
        <v>1</v>
      </c>
    </row>
    <row r="137" spans="1:20" x14ac:dyDescent="0.2">
      <c r="A137" t="s">
        <v>182</v>
      </c>
      <c r="B137">
        <f>IF(COUNTIFS('United Data'!$A$3:$A$2150,B$1,'United Data'!$C$3:$C$2150,$A137)&gt;0,1,0)</f>
        <v>0</v>
      </c>
      <c r="C137">
        <f>IF(COUNTIFS('United Data'!$A$3:$A$2150,C$1,'United Data'!$C$3:$C$2150,$A137)&gt;0,1,0)</f>
        <v>0</v>
      </c>
      <c r="D137">
        <f>IF(COUNTIFS('United Data'!$A$3:$A$2150,D$1,'United Data'!$C$3:$C$2150,$A137)&gt;0,1,0)</f>
        <v>0</v>
      </c>
      <c r="E137">
        <f>IF(COUNTIFS('United Data'!$A$3:$A$2150,E$1,'United Data'!$C$3:$C$2150,$A137)&gt;0,1,0)</f>
        <v>0</v>
      </c>
      <c r="F137">
        <f>IF(COUNTIFS('United Data'!$A$3:$A$2150,F$1,'United Data'!$C$3:$C$2150,$A137)&gt;0,1,0)</f>
        <v>0</v>
      </c>
      <c r="G137">
        <f>IF(COUNTIFS('United Data'!$A$3:$A$2150,G$1,'United Data'!$C$3:$C$2150,$A137)&gt;0,1,0)</f>
        <v>0</v>
      </c>
      <c r="H137">
        <f>IF(COUNTIFS('United Data'!$A$3:$A$2150,H$1,'United Data'!$C$3:$C$2150,$A137)&gt;0,1,0)</f>
        <v>0</v>
      </c>
      <c r="I137">
        <f>IF(COUNTIFS('United Data'!$A$3:$A$2150,I$1,'United Data'!$C$3:$C$2150,$A137)&gt;0,1,0)</f>
        <v>0</v>
      </c>
      <c r="J137">
        <f>IF(COUNTIFS('United Data'!$A$3:$A$2150,J$1,'United Data'!$C$3:$C$2150,$A137)&gt;0,1,0)</f>
        <v>0</v>
      </c>
      <c r="K137">
        <f>IF(COUNTIFS('United Data'!$A$3:$A$2150,K$1,'United Data'!$C$3:$C$2150,$A137)&gt;0,1,0)</f>
        <v>0</v>
      </c>
      <c r="L137">
        <f>IF(COUNTIFS('United Data'!$A$3:$A$2150,L$1,'United Data'!$C$3:$C$2150,$A137)&gt;0,1,0)</f>
        <v>0</v>
      </c>
      <c r="M137">
        <f>IF(COUNTIFS('United Data'!$A$3:$A$2150,M$1,'United Data'!$C$3:$C$2150,$A137)&gt;0,1,0)</f>
        <v>0</v>
      </c>
      <c r="N137">
        <f>IF(COUNTIFS('United Data'!$A$3:$A$2150,N$1,'United Data'!$C$3:$C$2150,$A137)&gt;0,1,0)</f>
        <v>1</v>
      </c>
      <c r="O137">
        <f>IF(COUNTIFS('United Data'!$A$3:$A$2150,O$1,'United Data'!$C$3:$C$2150,$A137)&gt;0,1,0)</f>
        <v>0</v>
      </c>
      <c r="P137">
        <f>IF(COUNTIFS('United Data'!$A$3:$A$2150,P$1,'United Data'!$C$3:$C$2150,$A137)&gt;0,1,0)</f>
        <v>0</v>
      </c>
      <c r="Q137">
        <f>IF(COUNTIFS('United Data'!$A$3:$A$2150,Q$1,'United Data'!$C$3:$C$2150,$A137)&gt;0,1,0)</f>
        <v>0</v>
      </c>
      <c r="R137">
        <f>IF(COUNTIFS('United Data'!$A$3:$A$2150,R$1,'United Data'!$C$3:$C$2150,$A137)&gt;0,1,0)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183</v>
      </c>
      <c r="B138">
        <f>IF(COUNTIFS('United Data'!$A$3:$A$2150,B$1,'United Data'!$C$3:$C$2150,$A138)&gt;0,1,0)</f>
        <v>0</v>
      </c>
      <c r="C138">
        <f>IF(COUNTIFS('United Data'!$A$3:$A$2150,C$1,'United Data'!$C$3:$C$2150,$A138)&gt;0,1,0)</f>
        <v>0</v>
      </c>
      <c r="D138">
        <f>IF(COUNTIFS('United Data'!$A$3:$A$2150,D$1,'United Data'!$C$3:$C$2150,$A138)&gt;0,1,0)</f>
        <v>0</v>
      </c>
      <c r="E138">
        <f>IF(COUNTIFS('United Data'!$A$3:$A$2150,E$1,'United Data'!$C$3:$C$2150,$A138)&gt;0,1,0)</f>
        <v>0</v>
      </c>
      <c r="F138">
        <f>IF(COUNTIFS('United Data'!$A$3:$A$2150,F$1,'United Data'!$C$3:$C$2150,$A138)&gt;0,1,0)</f>
        <v>0</v>
      </c>
      <c r="G138">
        <f>IF(COUNTIFS('United Data'!$A$3:$A$2150,G$1,'United Data'!$C$3:$C$2150,$A138)&gt;0,1,0)</f>
        <v>0</v>
      </c>
      <c r="H138">
        <f>IF(COUNTIFS('United Data'!$A$3:$A$2150,H$1,'United Data'!$C$3:$C$2150,$A138)&gt;0,1,0)</f>
        <v>0</v>
      </c>
      <c r="I138">
        <f>IF(COUNTIFS('United Data'!$A$3:$A$2150,I$1,'United Data'!$C$3:$C$2150,$A138)&gt;0,1,0)</f>
        <v>0</v>
      </c>
      <c r="J138">
        <f>IF(COUNTIFS('United Data'!$A$3:$A$2150,J$1,'United Data'!$C$3:$C$2150,$A138)&gt;0,1,0)</f>
        <v>0</v>
      </c>
      <c r="K138">
        <f>IF(COUNTIFS('United Data'!$A$3:$A$2150,K$1,'United Data'!$C$3:$C$2150,$A138)&gt;0,1,0)</f>
        <v>0</v>
      </c>
      <c r="L138">
        <f>IF(COUNTIFS('United Data'!$A$3:$A$2150,L$1,'United Data'!$C$3:$C$2150,$A138)&gt;0,1,0)</f>
        <v>0</v>
      </c>
      <c r="M138">
        <f>IF(COUNTIFS('United Data'!$A$3:$A$2150,M$1,'United Data'!$C$3:$C$2150,$A138)&gt;0,1,0)</f>
        <v>0</v>
      </c>
      <c r="N138">
        <f>IF(COUNTIFS('United Data'!$A$3:$A$2150,N$1,'United Data'!$C$3:$C$2150,$A138)&gt;0,1,0)</f>
        <v>1</v>
      </c>
      <c r="O138">
        <f>IF(COUNTIFS('United Data'!$A$3:$A$2150,O$1,'United Data'!$C$3:$C$2150,$A138)&gt;0,1,0)</f>
        <v>0</v>
      </c>
      <c r="P138">
        <f>IF(COUNTIFS('United Data'!$A$3:$A$2150,P$1,'United Data'!$C$3:$C$2150,$A138)&gt;0,1,0)</f>
        <v>0</v>
      </c>
      <c r="Q138">
        <f>IF(COUNTIFS('United Data'!$A$3:$A$2150,Q$1,'United Data'!$C$3:$C$2150,$A138)&gt;0,1,0)</f>
        <v>0</v>
      </c>
      <c r="R138">
        <f>IF(COUNTIFS('United Data'!$A$3:$A$2150,R$1,'United Data'!$C$3:$C$2150,$A138)&gt;0,1,0)</f>
        <v>0</v>
      </c>
      <c r="S138">
        <f t="shared" si="4"/>
        <v>1</v>
      </c>
      <c r="T138">
        <f t="shared" si="5"/>
        <v>1</v>
      </c>
    </row>
    <row r="139" spans="1:20" x14ac:dyDescent="0.2">
      <c r="A139" t="s">
        <v>184</v>
      </c>
      <c r="B139">
        <f>IF(COUNTIFS('United Data'!$A$3:$A$2150,B$1,'United Data'!$C$3:$C$2150,$A139)&gt;0,1,0)</f>
        <v>0</v>
      </c>
      <c r="C139">
        <f>IF(COUNTIFS('United Data'!$A$3:$A$2150,C$1,'United Data'!$C$3:$C$2150,$A139)&gt;0,1,0)</f>
        <v>0</v>
      </c>
      <c r="D139">
        <f>IF(COUNTIFS('United Data'!$A$3:$A$2150,D$1,'United Data'!$C$3:$C$2150,$A139)&gt;0,1,0)</f>
        <v>0</v>
      </c>
      <c r="E139">
        <f>IF(COUNTIFS('United Data'!$A$3:$A$2150,E$1,'United Data'!$C$3:$C$2150,$A139)&gt;0,1,0)</f>
        <v>0</v>
      </c>
      <c r="F139">
        <f>IF(COUNTIFS('United Data'!$A$3:$A$2150,F$1,'United Data'!$C$3:$C$2150,$A139)&gt;0,1,0)</f>
        <v>0</v>
      </c>
      <c r="G139">
        <f>IF(COUNTIFS('United Data'!$A$3:$A$2150,G$1,'United Data'!$C$3:$C$2150,$A139)&gt;0,1,0)</f>
        <v>0</v>
      </c>
      <c r="H139">
        <f>IF(COUNTIFS('United Data'!$A$3:$A$2150,H$1,'United Data'!$C$3:$C$2150,$A139)&gt;0,1,0)</f>
        <v>0</v>
      </c>
      <c r="I139">
        <f>IF(COUNTIFS('United Data'!$A$3:$A$2150,I$1,'United Data'!$C$3:$C$2150,$A139)&gt;0,1,0)</f>
        <v>0</v>
      </c>
      <c r="J139">
        <f>IF(COUNTIFS('United Data'!$A$3:$A$2150,J$1,'United Data'!$C$3:$C$2150,$A139)&gt;0,1,0)</f>
        <v>0</v>
      </c>
      <c r="K139">
        <f>IF(COUNTIFS('United Data'!$A$3:$A$2150,K$1,'United Data'!$C$3:$C$2150,$A139)&gt;0,1,0)</f>
        <v>0</v>
      </c>
      <c r="L139">
        <f>IF(COUNTIFS('United Data'!$A$3:$A$2150,L$1,'United Data'!$C$3:$C$2150,$A139)&gt;0,1,0)</f>
        <v>0</v>
      </c>
      <c r="M139">
        <f>IF(COUNTIFS('United Data'!$A$3:$A$2150,M$1,'United Data'!$C$3:$C$2150,$A139)&gt;0,1,0)</f>
        <v>0</v>
      </c>
      <c r="N139">
        <f>IF(COUNTIFS('United Data'!$A$3:$A$2150,N$1,'United Data'!$C$3:$C$2150,$A139)&gt;0,1,0)</f>
        <v>1</v>
      </c>
      <c r="O139">
        <f>IF(COUNTIFS('United Data'!$A$3:$A$2150,O$1,'United Data'!$C$3:$C$2150,$A139)&gt;0,1,0)</f>
        <v>1</v>
      </c>
      <c r="P139">
        <f>IF(COUNTIFS('United Data'!$A$3:$A$2150,P$1,'United Data'!$C$3:$C$2150,$A139)&gt;0,1,0)</f>
        <v>0</v>
      </c>
      <c r="Q139">
        <f>IF(COUNTIFS('United Data'!$A$3:$A$2150,Q$1,'United Data'!$C$3:$C$2150,$A139)&gt;0,1,0)</f>
        <v>0</v>
      </c>
      <c r="R139">
        <f>IF(COUNTIFS('United Data'!$A$3:$A$2150,R$1,'United Data'!$C$3:$C$2150,$A139)&gt;0,1,0)</f>
        <v>0</v>
      </c>
      <c r="S139">
        <f t="shared" si="4"/>
        <v>2</v>
      </c>
      <c r="T139">
        <f t="shared" si="5"/>
        <v>1</v>
      </c>
    </row>
    <row r="140" spans="1:20" x14ac:dyDescent="0.2">
      <c r="A140" t="s">
        <v>185</v>
      </c>
      <c r="B140">
        <f>IF(COUNTIFS('United Data'!$A$3:$A$2150,B$1,'United Data'!$C$3:$C$2150,$A140)&gt;0,1,0)</f>
        <v>0</v>
      </c>
      <c r="C140">
        <f>IF(COUNTIFS('United Data'!$A$3:$A$2150,C$1,'United Data'!$C$3:$C$2150,$A140)&gt;0,1,0)</f>
        <v>0</v>
      </c>
      <c r="D140">
        <f>IF(COUNTIFS('United Data'!$A$3:$A$2150,D$1,'United Data'!$C$3:$C$2150,$A140)&gt;0,1,0)</f>
        <v>0</v>
      </c>
      <c r="E140">
        <f>IF(COUNTIFS('United Data'!$A$3:$A$2150,E$1,'United Data'!$C$3:$C$2150,$A140)&gt;0,1,0)</f>
        <v>0</v>
      </c>
      <c r="F140">
        <f>IF(COUNTIFS('United Data'!$A$3:$A$2150,F$1,'United Data'!$C$3:$C$2150,$A140)&gt;0,1,0)</f>
        <v>0</v>
      </c>
      <c r="G140">
        <f>IF(COUNTIFS('United Data'!$A$3:$A$2150,G$1,'United Data'!$C$3:$C$2150,$A140)&gt;0,1,0)</f>
        <v>0</v>
      </c>
      <c r="H140">
        <f>IF(COUNTIFS('United Data'!$A$3:$A$2150,H$1,'United Data'!$C$3:$C$2150,$A140)&gt;0,1,0)</f>
        <v>0</v>
      </c>
      <c r="I140">
        <f>IF(COUNTIFS('United Data'!$A$3:$A$2150,I$1,'United Data'!$C$3:$C$2150,$A140)&gt;0,1,0)</f>
        <v>0</v>
      </c>
      <c r="J140">
        <f>IF(COUNTIFS('United Data'!$A$3:$A$2150,J$1,'United Data'!$C$3:$C$2150,$A140)&gt;0,1,0)</f>
        <v>0</v>
      </c>
      <c r="K140">
        <f>IF(COUNTIFS('United Data'!$A$3:$A$2150,K$1,'United Data'!$C$3:$C$2150,$A140)&gt;0,1,0)</f>
        <v>0</v>
      </c>
      <c r="L140">
        <f>IF(COUNTIFS('United Data'!$A$3:$A$2150,L$1,'United Data'!$C$3:$C$2150,$A140)&gt;0,1,0)</f>
        <v>0</v>
      </c>
      <c r="M140">
        <f>IF(COUNTIFS('United Data'!$A$3:$A$2150,M$1,'United Data'!$C$3:$C$2150,$A140)&gt;0,1,0)</f>
        <v>0</v>
      </c>
      <c r="N140">
        <f>IF(COUNTIFS('United Data'!$A$3:$A$2150,N$1,'United Data'!$C$3:$C$2150,$A140)&gt;0,1,0)</f>
        <v>0</v>
      </c>
      <c r="O140">
        <f>IF(COUNTIFS('United Data'!$A$3:$A$2150,O$1,'United Data'!$C$3:$C$2150,$A140)&gt;0,1,0)</f>
        <v>1</v>
      </c>
      <c r="P140">
        <f>IF(COUNTIFS('United Data'!$A$3:$A$2150,P$1,'United Data'!$C$3:$C$2150,$A140)&gt;0,1,0)</f>
        <v>0</v>
      </c>
      <c r="Q140">
        <f>IF(COUNTIFS('United Data'!$A$3:$A$2150,Q$1,'United Data'!$C$3:$C$2150,$A140)&gt;0,1,0)</f>
        <v>0</v>
      </c>
      <c r="R140">
        <f>IF(COUNTIFS('United Data'!$A$3:$A$2150,R$1,'United Data'!$C$3:$C$2150,$A140)&gt;0,1,0)</f>
        <v>0</v>
      </c>
      <c r="S140">
        <f t="shared" si="4"/>
        <v>1</v>
      </c>
      <c r="T140">
        <f t="shared" si="5"/>
        <v>1</v>
      </c>
    </row>
    <row r="141" spans="1:20" x14ac:dyDescent="0.2">
      <c r="A141" t="s">
        <v>186</v>
      </c>
      <c r="B141">
        <f>IF(COUNTIFS('United Data'!$A$3:$A$2150,B$1,'United Data'!$C$3:$C$2150,$A141)&gt;0,1,0)</f>
        <v>0</v>
      </c>
      <c r="C141">
        <f>IF(COUNTIFS('United Data'!$A$3:$A$2150,C$1,'United Data'!$C$3:$C$2150,$A141)&gt;0,1,0)</f>
        <v>0</v>
      </c>
      <c r="D141">
        <f>IF(COUNTIFS('United Data'!$A$3:$A$2150,D$1,'United Data'!$C$3:$C$2150,$A141)&gt;0,1,0)</f>
        <v>0</v>
      </c>
      <c r="E141">
        <f>IF(COUNTIFS('United Data'!$A$3:$A$2150,E$1,'United Data'!$C$3:$C$2150,$A141)&gt;0,1,0)</f>
        <v>0</v>
      </c>
      <c r="F141">
        <f>IF(COUNTIFS('United Data'!$A$3:$A$2150,F$1,'United Data'!$C$3:$C$2150,$A141)&gt;0,1,0)</f>
        <v>0</v>
      </c>
      <c r="G141">
        <f>IF(COUNTIFS('United Data'!$A$3:$A$2150,G$1,'United Data'!$C$3:$C$2150,$A141)&gt;0,1,0)</f>
        <v>0</v>
      </c>
      <c r="H141">
        <f>IF(COUNTIFS('United Data'!$A$3:$A$2150,H$1,'United Data'!$C$3:$C$2150,$A141)&gt;0,1,0)</f>
        <v>0</v>
      </c>
      <c r="I141">
        <f>IF(COUNTIFS('United Data'!$A$3:$A$2150,I$1,'United Data'!$C$3:$C$2150,$A141)&gt;0,1,0)</f>
        <v>0</v>
      </c>
      <c r="J141">
        <f>IF(COUNTIFS('United Data'!$A$3:$A$2150,J$1,'United Data'!$C$3:$C$2150,$A141)&gt;0,1,0)</f>
        <v>0</v>
      </c>
      <c r="K141">
        <f>IF(COUNTIFS('United Data'!$A$3:$A$2150,K$1,'United Data'!$C$3:$C$2150,$A141)&gt;0,1,0)</f>
        <v>0</v>
      </c>
      <c r="L141">
        <f>IF(COUNTIFS('United Data'!$A$3:$A$2150,L$1,'United Data'!$C$3:$C$2150,$A141)&gt;0,1,0)</f>
        <v>0</v>
      </c>
      <c r="M141">
        <f>IF(COUNTIFS('United Data'!$A$3:$A$2150,M$1,'United Data'!$C$3:$C$2150,$A141)&gt;0,1,0)</f>
        <v>0</v>
      </c>
      <c r="N141">
        <f>IF(COUNTIFS('United Data'!$A$3:$A$2150,N$1,'United Data'!$C$3:$C$2150,$A141)&gt;0,1,0)</f>
        <v>0</v>
      </c>
      <c r="O141">
        <f>IF(COUNTIFS('United Data'!$A$3:$A$2150,O$1,'United Data'!$C$3:$C$2150,$A141)&gt;0,1,0)</f>
        <v>1</v>
      </c>
      <c r="P141">
        <f>IF(COUNTIFS('United Data'!$A$3:$A$2150,P$1,'United Data'!$C$3:$C$2150,$A141)&gt;0,1,0)</f>
        <v>0</v>
      </c>
      <c r="Q141">
        <f>IF(COUNTIFS('United Data'!$A$3:$A$2150,Q$1,'United Data'!$C$3:$C$2150,$A141)&gt;0,1,0)</f>
        <v>0</v>
      </c>
      <c r="R141">
        <f>IF(COUNTIFS('United Data'!$A$3:$A$2150,R$1,'United Data'!$C$3:$C$2150,$A141)&gt;0,1,0)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187</v>
      </c>
      <c r="B142">
        <f>IF(COUNTIFS('United Data'!$A$3:$A$2150,B$1,'United Data'!$C$3:$C$2150,$A142)&gt;0,1,0)</f>
        <v>0</v>
      </c>
      <c r="C142">
        <f>IF(COUNTIFS('United Data'!$A$3:$A$2150,C$1,'United Data'!$C$3:$C$2150,$A142)&gt;0,1,0)</f>
        <v>0</v>
      </c>
      <c r="D142">
        <f>IF(COUNTIFS('United Data'!$A$3:$A$2150,D$1,'United Data'!$C$3:$C$2150,$A142)&gt;0,1,0)</f>
        <v>0</v>
      </c>
      <c r="E142">
        <f>IF(COUNTIFS('United Data'!$A$3:$A$2150,E$1,'United Data'!$C$3:$C$2150,$A142)&gt;0,1,0)</f>
        <v>0</v>
      </c>
      <c r="F142">
        <f>IF(COUNTIFS('United Data'!$A$3:$A$2150,F$1,'United Data'!$C$3:$C$2150,$A142)&gt;0,1,0)</f>
        <v>0</v>
      </c>
      <c r="G142">
        <f>IF(COUNTIFS('United Data'!$A$3:$A$2150,G$1,'United Data'!$C$3:$C$2150,$A142)&gt;0,1,0)</f>
        <v>0</v>
      </c>
      <c r="H142">
        <f>IF(COUNTIFS('United Data'!$A$3:$A$2150,H$1,'United Data'!$C$3:$C$2150,$A142)&gt;0,1,0)</f>
        <v>0</v>
      </c>
      <c r="I142">
        <f>IF(COUNTIFS('United Data'!$A$3:$A$2150,I$1,'United Data'!$C$3:$C$2150,$A142)&gt;0,1,0)</f>
        <v>0</v>
      </c>
      <c r="J142">
        <f>IF(COUNTIFS('United Data'!$A$3:$A$2150,J$1,'United Data'!$C$3:$C$2150,$A142)&gt;0,1,0)</f>
        <v>0</v>
      </c>
      <c r="K142">
        <f>IF(COUNTIFS('United Data'!$A$3:$A$2150,K$1,'United Data'!$C$3:$C$2150,$A142)&gt;0,1,0)</f>
        <v>0</v>
      </c>
      <c r="L142">
        <f>IF(COUNTIFS('United Data'!$A$3:$A$2150,L$1,'United Data'!$C$3:$C$2150,$A142)&gt;0,1,0)</f>
        <v>0</v>
      </c>
      <c r="M142">
        <f>IF(COUNTIFS('United Data'!$A$3:$A$2150,M$1,'United Data'!$C$3:$C$2150,$A142)&gt;0,1,0)</f>
        <v>0</v>
      </c>
      <c r="N142">
        <f>IF(COUNTIFS('United Data'!$A$3:$A$2150,N$1,'United Data'!$C$3:$C$2150,$A142)&gt;0,1,0)</f>
        <v>0</v>
      </c>
      <c r="O142">
        <f>IF(COUNTIFS('United Data'!$A$3:$A$2150,O$1,'United Data'!$C$3:$C$2150,$A142)&gt;0,1,0)</f>
        <v>1</v>
      </c>
      <c r="P142">
        <f>IF(COUNTIFS('United Data'!$A$3:$A$2150,P$1,'United Data'!$C$3:$C$2150,$A142)&gt;0,1,0)</f>
        <v>1</v>
      </c>
      <c r="Q142">
        <f>IF(COUNTIFS('United Data'!$A$3:$A$2150,Q$1,'United Data'!$C$3:$C$2150,$A142)&gt;0,1,0)</f>
        <v>1</v>
      </c>
      <c r="R142">
        <f>IF(COUNTIFS('United Data'!$A$3:$A$2150,R$1,'United Data'!$C$3:$C$2150,$A142)&gt;0,1,0)</f>
        <v>0</v>
      </c>
      <c r="S142">
        <f t="shared" si="4"/>
        <v>3</v>
      </c>
      <c r="T142">
        <f t="shared" si="5"/>
        <v>1</v>
      </c>
    </row>
    <row r="143" spans="1:20" x14ac:dyDescent="0.2">
      <c r="A143" t="s">
        <v>188</v>
      </c>
      <c r="B143">
        <f>IF(COUNTIFS('United Data'!$A$3:$A$2150,B$1,'United Data'!$C$3:$C$2150,$A143)&gt;0,1,0)</f>
        <v>0</v>
      </c>
      <c r="C143">
        <f>IF(COUNTIFS('United Data'!$A$3:$A$2150,C$1,'United Data'!$C$3:$C$2150,$A143)&gt;0,1,0)</f>
        <v>0</v>
      </c>
      <c r="D143">
        <f>IF(COUNTIFS('United Data'!$A$3:$A$2150,D$1,'United Data'!$C$3:$C$2150,$A143)&gt;0,1,0)</f>
        <v>0</v>
      </c>
      <c r="E143">
        <f>IF(COUNTIFS('United Data'!$A$3:$A$2150,E$1,'United Data'!$C$3:$C$2150,$A143)&gt;0,1,0)</f>
        <v>0</v>
      </c>
      <c r="F143">
        <f>IF(COUNTIFS('United Data'!$A$3:$A$2150,F$1,'United Data'!$C$3:$C$2150,$A143)&gt;0,1,0)</f>
        <v>0</v>
      </c>
      <c r="G143">
        <f>IF(COUNTIFS('United Data'!$A$3:$A$2150,G$1,'United Data'!$C$3:$C$2150,$A143)&gt;0,1,0)</f>
        <v>0</v>
      </c>
      <c r="H143">
        <f>IF(COUNTIFS('United Data'!$A$3:$A$2150,H$1,'United Data'!$C$3:$C$2150,$A143)&gt;0,1,0)</f>
        <v>0</v>
      </c>
      <c r="I143">
        <f>IF(COUNTIFS('United Data'!$A$3:$A$2150,I$1,'United Data'!$C$3:$C$2150,$A143)&gt;0,1,0)</f>
        <v>0</v>
      </c>
      <c r="J143">
        <f>IF(COUNTIFS('United Data'!$A$3:$A$2150,J$1,'United Data'!$C$3:$C$2150,$A143)&gt;0,1,0)</f>
        <v>0</v>
      </c>
      <c r="K143">
        <f>IF(COUNTIFS('United Data'!$A$3:$A$2150,K$1,'United Data'!$C$3:$C$2150,$A143)&gt;0,1,0)</f>
        <v>0</v>
      </c>
      <c r="L143">
        <f>IF(COUNTIFS('United Data'!$A$3:$A$2150,L$1,'United Data'!$C$3:$C$2150,$A143)&gt;0,1,0)</f>
        <v>0</v>
      </c>
      <c r="M143">
        <f>IF(COUNTIFS('United Data'!$A$3:$A$2150,M$1,'United Data'!$C$3:$C$2150,$A143)&gt;0,1,0)</f>
        <v>0</v>
      </c>
      <c r="N143">
        <f>IF(COUNTIFS('United Data'!$A$3:$A$2150,N$1,'United Data'!$C$3:$C$2150,$A143)&gt;0,1,0)</f>
        <v>0</v>
      </c>
      <c r="O143">
        <f>IF(COUNTIFS('United Data'!$A$3:$A$2150,O$1,'United Data'!$C$3:$C$2150,$A143)&gt;0,1,0)</f>
        <v>1</v>
      </c>
      <c r="P143">
        <f>IF(COUNTIFS('United Data'!$A$3:$A$2150,P$1,'United Data'!$C$3:$C$2150,$A143)&gt;0,1,0)</f>
        <v>1</v>
      </c>
      <c r="Q143">
        <f>IF(COUNTIFS('United Data'!$A$3:$A$2150,Q$1,'United Data'!$C$3:$C$2150,$A143)&gt;0,1,0)</f>
        <v>0</v>
      </c>
      <c r="R143">
        <f>IF(COUNTIFS('United Data'!$A$3:$A$2150,R$1,'United Data'!$C$3:$C$2150,$A143)&gt;0,1,0)</f>
        <v>0</v>
      </c>
      <c r="S143">
        <f t="shared" si="4"/>
        <v>2</v>
      </c>
      <c r="T143">
        <f t="shared" si="5"/>
        <v>1</v>
      </c>
    </row>
    <row r="144" spans="1:20" x14ac:dyDescent="0.2">
      <c r="A144" t="s">
        <v>189</v>
      </c>
      <c r="B144">
        <f>IF(COUNTIFS('United Data'!$A$3:$A$2150,B$1,'United Data'!$C$3:$C$2150,$A144)&gt;0,1,0)</f>
        <v>0</v>
      </c>
      <c r="C144">
        <f>IF(COUNTIFS('United Data'!$A$3:$A$2150,C$1,'United Data'!$C$3:$C$2150,$A144)&gt;0,1,0)</f>
        <v>0</v>
      </c>
      <c r="D144">
        <f>IF(COUNTIFS('United Data'!$A$3:$A$2150,D$1,'United Data'!$C$3:$C$2150,$A144)&gt;0,1,0)</f>
        <v>0</v>
      </c>
      <c r="E144">
        <f>IF(COUNTIFS('United Data'!$A$3:$A$2150,E$1,'United Data'!$C$3:$C$2150,$A144)&gt;0,1,0)</f>
        <v>0</v>
      </c>
      <c r="F144">
        <f>IF(COUNTIFS('United Data'!$A$3:$A$2150,F$1,'United Data'!$C$3:$C$2150,$A144)&gt;0,1,0)</f>
        <v>0</v>
      </c>
      <c r="G144">
        <f>IF(COUNTIFS('United Data'!$A$3:$A$2150,G$1,'United Data'!$C$3:$C$2150,$A144)&gt;0,1,0)</f>
        <v>0</v>
      </c>
      <c r="H144">
        <f>IF(COUNTIFS('United Data'!$A$3:$A$2150,H$1,'United Data'!$C$3:$C$2150,$A144)&gt;0,1,0)</f>
        <v>0</v>
      </c>
      <c r="I144">
        <f>IF(COUNTIFS('United Data'!$A$3:$A$2150,I$1,'United Data'!$C$3:$C$2150,$A144)&gt;0,1,0)</f>
        <v>0</v>
      </c>
      <c r="J144">
        <f>IF(COUNTIFS('United Data'!$A$3:$A$2150,J$1,'United Data'!$C$3:$C$2150,$A144)&gt;0,1,0)</f>
        <v>0</v>
      </c>
      <c r="K144">
        <f>IF(COUNTIFS('United Data'!$A$3:$A$2150,K$1,'United Data'!$C$3:$C$2150,$A144)&gt;0,1,0)</f>
        <v>0</v>
      </c>
      <c r="L144">
        <f>IF(COUNTIFS('United Data'!$A$3:$A$2150,L$1,'United Data'!$C$3:$C$2150,$A144)&gt;0,1,0)</f>
        <v>0</v>
      </c>
      <c r="M144">
        <f>IF(COUNTIFS('United Data'!$A$3:$A$2150,M$1,'United Data'!$C$3:$C$2150,$A144)&gt;0,1,0)</f>
        <v>0</v>
      </c>
      <c r="N144">
        <f>IF(COUNTIFS('United Data'!$A$3:$A$2150,N$1,'United Data'!$C$3:$C$2150,$A144)&gt;0,1,0)</f>
        <v>0</v>
      </c>
      <c r="O144">
        <f>IF(COUNTIFS('United Data'!$A$3:$A$2150,O$1,'United Data'!$C$3:$C$2150,$A144)&gt;0,1,0)</f>
        <v>1</v>
      </c>
      <c r="P144">
        <f>IF(COUNTIFS('United Data'!$A$3:$A$2150,P$1,'United Data'!$C$3:$C$2150,$A144)&gt;0,1,0)</f>
        <v>1</v>
      </c>
      <c r="Q144">
        <f>IF(COUNTIFS('United Data'!$A$3:$A$2150,Q$1,'United Data'!$C$3:$C$2150,$A144)&gt;0,1,0)</f>
        <v>0</v>
      </c>
      <c r="R144">
        <f>IF(COUNTIFS('United Data'!$A$3:$A$2150,R$1,'United Data'!$C$3:$C$2150,$A144)&gt;0,1,0)</f>
        <v>0</v>
      </c>
      <c r="S144">
        <f t="shared" si="4"/>
        <v>2</v>
      </c>
      <c r="T144">
        <f t="shared" si="5"/>
        <v>1</v>
      </c>
    </row>
    <row r="145" spans="1:20" x14ac:dyDescent="0.2">
      <c r="A145" t="s">
        <v>190</v>
      </c>
      <c r="B145">
        <f>IF(COUNTIFS('United Data'!$A$3:$A$2150,B$1,'United Data'!$C$3:$C$2150,$A145)&gt;0,1,0)</f>
        <v>0</v>
      </c>
      <c r="C145">
        <f>IF(COUNTIFS('United Data'!$A$3:$A$2150,C$1,'United Data'!$C$3:$C$2150,$A145)&gt;0,1,0)</f>
        <v>0</v>
      </c>
      <c r="D145">
        <f>IF(COUNTIFS('United Data'!$A$3:$A$2150,D$1,'United Data'!$C$3:$C$2150,$A145)&gt;0,1,0)</f>
        <v>0</v>
      </c>
      <c r="E145">
        <f>IF(COUNTIFS('United Data'!$A$3:$A$2150,E$1,'United Data'!$C$3:$C$2150,$A145)&gt;0,1,0)</f>
        <v>0</v>
      </c>
      <c r="F145">
        <f>IF(COUNTIFS('United Data'!$A$3:$A$2150,F$1,'United Data'!$C$3:$C$2150,$A145)&gt;0,1,0)</f>
        <v>0</v>
      </c>
      <c r="G145">
        <f>IF(COUNTIFS('United Data'!$A$3:$A$2150,G$1,'United Data'!$C$3:$C$2150,$A145)&gt;0,1,0)</f>
        <v>0</v>
      </c>
      <c r="H145">
        <f>IF(COUNTIFS('United Data'!$A$3:$A$2150,H$1,'United Data'!$C$3:$C$2150,$A145)&gt;0,1,0)</f>
        <v>0</v>
      </c>
      <c r="I145">
        <f>IF(COUNTIFS('United Data'!$A$3:$A$2150,I$1,'United Data'!$C$3:$C$2150,$A145)&gt;0,1,0)</f>
        <v>0</v>
      </c>
      <c r="J145">
        <f>IF(COUNTIFS('United Data'!$A$3:$A$2150,J$1,'United Data'!$C$3:$C$2150,$A145)&gt;0,1,0)</f>
        <v>0</v>
      </c>
      <c r="K145">
        <f>IF(COUNTIFS('United Data'!$A$3:$A$2150,K$1,'United Data'!$C$3:$C$2150,$A145)&gt;0,1,0)</f>
        <v>0</v>
      </c>
      <c r="L145">
        <f>IF(COUNTIFS('United Data'!$A$3:$A$2150,L$1,'United Data'!$C$3:$C$2150,$A145)&gt;0,1,0)</f>
        <v>0</v>
      </c>
      <c r="M145">
        <f>IF(COUNTIFS('United Data'!$A$3:$A$2150,M$1,'United Data'!$C$3:$C$2150,$A145)&gt;0,1,0)</f>
        <v>0</v>
      </c>
      <c r="N145">
        <f>IF(COUNTIFS('United Data'!$A$3:$A$2150,N$1,'United Data'!$C$3:$C$2150,$A145)&gt;0,1,0)</f>
        <v>0</v>
      </c>
      <c r="O145">
        <f>IF(COUNTIFS('United Data'!$A$3:$A$2150,O$1,'United Data'!$C$3:$C$2150,$A145)&gt;0,1,0)</f>
        <v>1</v>
      </c>
      <c r="P145">
        <f>IF(COUNTIFS('United Data'!$A$3:$A$2150,P$1,'United Data'!$C$3:$C$2150,$A145)&gt;0,1,0)</f>
        <v>0</v>
      </c>
      <c r="Q145">
        <f>IF(COUNTIFS('United Data'!$A$3:$A$2150,Q$1,'United Data'!$C$3:$C$2150,$A145)&gt;0,1,0)</f>
        <v>0</v>
      </c>
      <c r="R145">
        <f>IF(COUNTIFS('United Data'!$A$3:$A$2150,R$1,'United Data'!$C$3:$C$2150,$A145)&gt;0,1,0)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191</v>
      </c>
      <c r="B146">
        <f>IF(COUNTIFS('United Data'!$A$3:$A$2150,B$1,'United Data'!$C$3:$C$2150,$A146)&gt;0,1,0)</f>
        <v>0</v>
      </c>
      <c r="C146">
        <f>IF(COUNTIFS('United Data'!$A$3:$A$2150,C$1,'United Data'!$C$3:$C$2150,$A146)&gt;0,1,0)</f>
        <v>0</v>
      </c>
      <c r="D146">
        <f>IF(COUNTIFS('United Data'!$A$3:$A$2150,D$1,'United Data'!$C$3:$C$2150,$A146)&gt;0,1,0)</f>
        <v>0</v>
      </c>
      <c r="E146">
        <f>IF(COUNTIFS('United Data'!$A$3:$A$2150,E$1,'United Data'!$C$3:$C$2150,$A146)&gt;0,1,0)</f>
        <v>0</v>
      </c>
      <c r="F146">
        <f>IF(COUNTIFS('United Data'!$A$3:$A$2150,F$1,'United Data'!$C$3:$C$2150,$A146)&gt;0,1,0)</f>
        <v>0</v>
      </c>
      <c r="G146">
        <f>IF(COUNTIFS('United Data'!$A$3:$A$2150,G$1,'United Data'!$C$3:$C$2150,$A146)&gt;0,1,0)</f>
        <v>0</v>
      </c>
      <c r="H146">
        <f>IF(COUNTIFS('United Data'!$A$3:$A$2150,H$1,'United Data'!$C$3:$C$2150,$A146)&gt;0,1,0)</f>
        <v>0</v>
      </c>
      <c r="I146">
        <f>IF(COUNTIFS('United Data'!$A$3:$A$2150,I$1,'United Data'!$C$3:$C$2150,$A146)&gt;0,1,0)</f>
        <v>0</v>
      </c>
      <c r="J146">
        <f>IF(COUNTIFS('United Data'!$A$3:$A$2150,J$1,'United Data'!$C$3:$C$2150,$A146)&gt;0,1,0)</f>
        <v>0</v>
      </c>
      <c r="K146">
        <f>IF(COUNTIFS('United Data'!$A$3:$A$2150,K$1,'United Data'!$C$3:$C$2150,$A146)&gt;0,1,0)</f>
        <v>0</v>
      </c>
      <c r="L146">
        <f>IF(COUNTIFS('United Data'!$A$3:$A$2150,L$1,'United Data'!$C$3:$C$2150,$A146)&gt;0,1,0)</f>
        <v>0</v>
      </c>
      <c r="M146">
        <f>IF(COUNTIFS('United Data'!$A$3:$A$2150,M$1,'United Data'!$C$3:$C$2150,$A146)&gt;0,1,0)</f>
        <v>0</v>
      </c>
      <c r="N146">
        <f>IF(COUNTIFS('United Data'!$A$3:$A$2150,N$1,'United Data'!$C$3:$C$2150,$A146)&gt;0,1,0)</f>
        <v>0</v>
      </c>
      <c r="O146">
        <f>IF(COUNTIFS('United Data'!$A$3:$A$2150,O$1,'United Data'!$C$3:$C$2150,$A146)&gt;0,1,0)</f>
        <v>1</v>
      </c>
      <c r="P146">
        <f>IF(COUNTIFS('United Data'!$A$3:$A$2150,P$1,'United Data'!$C$3:$C$2150,$A146)&gt;0,1,0)</f>
        <v>1</v>
      </c>
      <c r="Q146">
        <f>IF(COUNTIFS('United Data'!$A$3:$A$2150,Q$1,'United Data'!$C$3:$C$2150,$A146)&gt;0,1,0)</f>
        <v>0</v>
      </c>
      <c r="R146">
        <f>IF(COUNTIFS('United Data'!$A$3:$A$2150,R$1,'United Data'!$C$3:$C$2150,$A146)&gt;0,1,0)</f>
        <v>0</v>
      </c>
      <c r="S146">
        <f t="shared" si="4"/>
        <v>2</v>
      </c>
      <c r="T146">
        <f t="shared" si="5"/>
        <v>1</v>
      </c>
    </row>
    <row r="147" spans="1:20" x14ac:dyDescent="0.2">
      <c r="A147" t="s">
        <v>192</v>
      </c>
      <c r="B147">
        <f>IF(COUNTIFS('United Data'!$A$3:$A$2150,B$1,'United Data'!$C$3:$C$2150,$A147)&gt;0,1,0)</f>
        <v>0</v>
      </c>
      <c r="C147">
        <f>IF(COUNTIFS('United Data'!$A$3:$A$2150,C$1,'United Data'!$C$3:$C$2150,$A147)&gt;0,1,0)</f>
        <v>0</v>
      </c>
      <c r="D147">
        <f>IF(COUNTIFS('United Data'!$A$3:$A$2150,D$1,'United Data'!$C$3:$C$2150,$A147)&gt;0,1,0)</f>
        <v>0</v>
      </c>
      <c r="E147">
        <f>IF(COUNTIFS('United Data'!$A$3:$A$2150,E$1,'United Data'!$C$3:$C$2150,$A147)&gt;0,1,0)</f>
        <v>0</v>
      </c>
      <c r="F147">
        <f>IF(COUNTIFS('United Data'!$A$3:$A$2150,F$1,'United Data'!$C$3:$C$2150,$A147)&gt;0,1,0)</f>
        <v>0</v>
      </c>
      <c r="G147">
        <f>IF(COUNTIFS('United Data'!$A$3:$A$2150,G$1,'United Data'!$C$3:$C$2150,$A147)&gt;0,1,0)</f>
        <v>0</v>
      </c>
      <c r="H147">
        <f>IF(COUNTIFS('United Data'!$A$3:$A$2150,H$1,'United Data'!$C$3:$C$2150,$A147)&gt;0,1,0)</f>
        <v>0</v>
      </c>
      <c r="I147">
        <f>IF(COUNTIFS('United Data'!$A$3:$A$2150,I$1,'United Data'!$C$3:$C$2150,$A147)&gt;0,1,0)</f>
        <v>0</v>
      </c>
      <c r="J147">
        <f>IF(COUNTIFS('United Data'!$A$3:$A$2150,J$1,'United Data'!$C$3:$C$2150,$A147)&gt;0,1,0)</f>
        <v>0</v>
      </c>
      <c r="K147">
        <f>IF(COUNTIFS('United Data'!$A$3:$A$2150,K$1,'United Data'!$C$3:$C$2150,$A147)&gt;0,1,0)</f>
        <v>0</v>
      </c>
      <c r="L147">
        <f>IF(COUNTIFS('United Data'!$A$3:$A$2150,L$1,'United Data'!$C$3:$C$2150,$A147)&gt;0,1,0)</f>
        <v>0</v>
      </c>
      <c r="M147">
        <f>IF(COUNTIFS('United Data'!$A$3:$A$2150,M$1,'United Data'!$C$3:$C$2150,$A147)&gt;0,1,0)</f>
        <v>0</v>
      </c>
      <c r="N147">
        <f>IF(COUNTIFS('United Data'!$A$3:$A$2150,N$1,'United Data'!$C$3:$C$2150,$A147)&gt;0,1,0)</f>
        <v>0</v>
      </c>
      <c r="O147">
        <f>IF(COUNTIFS('United Data'!$A$3:$A$2150,O$1,'United Data'!$C$3:$C$2150,$A147)&gt;0,1,0)</f>
        <v>1</v>
      </c>
      <c r="P147">
        <f>IF(COUNTIFS('United Data'!$A$3:$A$2150,P$1,'United Data'!$C$3:$C$2150,$A147)&gt;0,1,0)</f>
        <v>1</v>
      </c>
      <c r="Q147">
        <f>IF(COUNTIFS('United Data'!$A$3:$A$2150,Q$1,'United Data'!$C$3:$C$2150,$A147)&gt;0,1,0)</f>
        <v>0</v>
      </c>
      <c r="R147">
        <f>IF(COUNTIFS('United Data'!$A$3:$A$2150,R$1,'United Data'!$C$3:$C$2150,$A147)&gt;0,1,0)</f>
        <v>0</v>
      </c>
      <c r="S147">
        <f t="shared" si="4"/>
        <v>2</v>
      </c>
      <c r="T147">
        <f t="shared" si="5"/>
        <v>1</v>
      </c>
    </row>
    <row r="148" spans="1:20" x14ac:dyDescent="0.2">
      <c r="A148" t="s">
        <v>193</v>
      </c>
      <c r="B148">
        <f>IF(COUNTIFS('United Data'!$A$3:$A$2150,B$1,'United Data'!$C$3:$C$2150,$A148)&gt;0,1,0)</f>
        <v>0</v>
      </c>
      <c r="C148">
        <f>IF(COUNTIFS('United Data'!$A$3:$A$2150,C$1,'United Data'!$C$3:$C$2150,$A148)&gt;0,1,0)</f>
        <v>0</v>
      </c>
      <c r="D148">
        <f>IF(COUNTIFS('United Data'!$A$3:$A$2150,D$1,'United Data'!$C$3:$C$2150,$A148)&gt;0,1,0)</f>
        <v>0</v>
      </c>
      <c r="E148">
        <f>IF(COUNTIFS('United Data'!$A$3:$A$2150,E$1,'United Data'!$C$3:$C$2150,$A148)&gt;0,1,0)</f>
        <v>0</v>
      </c>
      <c r="F148">
        <f>IF(COUNTIFS('United Data'!$A$3:$A$2150,F$1,'United Data'!$C$3:$C$2150,$A148)&gt;0,1,0)</f>
        <v>0</v>
      </c>
      <c r="G148">
        <f>IF(COUNTIFS('United Data'!$A$3:$A$2150,G$1,'United Data'!$C$3:$C$2150,$A148)&gt;0,1,0)</f>
        <v>0</v>
      </c>
      <c r="H148">
        <f>IF(COUNTIFS('United Data'!$A$3:$A$2150,H$1,'United Data'!$C$3:$C$2150,$A148)&gt;0,1,0)</f>
        <v>0</v>
      </c>
      <c r="I148">
        <f>IF(COUNTIFS('United Data'!$A$3:$A$2150,I$1,'United Data'!$C$3:$C$2150,$A148)&gt;0,1,0)</f>
        <v>0</v>
      </c>
      <c r="J148">
        <f>IF(COUNTIFS('United Data'!$A$3:$A$2150,J$1,'United Data'!$C$3:$C$2150,$A148)&gt;0,1,0)</f>
        <v>0</v>
      </c>
      <c r="K148">
        <f>IF(COUNTIFS('United Data'!$A$3:$A$2150,K$1,'United Data'!$C$3:$C$2150,$A148)&gt;0,1,0)</f>
        <v>0</v>
      </c>
      <c r="L148">
        <f>IF(COUNTIFS('United Data'!$A$3:$A$2150,L$1,'United Data'!$C$3:$C$2150,$A148)&gt;0,1,0)</f>
        <v>0</v>
      </c>
      <c r="M148">
        <f>IF(COUNTIFS('United Data'!$A$3:$A$2150,M$1,'United Data'!$C$3:$C$2150,$A148)&gt;0,1,0)</f>
        <v>0</v>
      </c>
      <c r="N148">
        <f>IF(COUNTIFS('United Data'!$A$3:$A$2150,N$1,'United Data'!$C$3:$C$2150,$A148)&gt;0,1,0)</f>
        <v>0</v>
      </c>
      <c r="O148">
        <f>IF(COUNTIFS('United Data'!$A$3:$A$2150,O$1,'United Data'!$C$3:$C$2150,$A148)&gt;0,1,0)</f>
        <v>1</v>
      </c>
      <c r="P148">
        <f>IF(COUNTIFS('United Data'!$A$3:$A$2150,P$1,'United Data'!$C$3:$C$2150,$A148)&gt;0,1,0)</f>
        <v>0</v>
      </c>
      <c r="Q148">
        <f>IF(COUNTIFS('United Data'!$A$3:$A$2150,Q$1,'United Data'!$C$3:$C$2150,$A148)&gt;0,1,0)</f>
        <v>0</v>
      </c>
      <c r="R148">
        <f>IF(COUNTIFS('United Data'!$A$3:$A$2150,R$1,'United Data'!$C$3:$C$2150,$A148)&gt;0,1,0)</f>
        <v>0</v>
      </c>
      <c r="S148">
        <f t="shared" si="4"/>
        <v>1</v>
      </c>
      <c r="T148">
        <f t="shared" si="5"/>
        <v>1</v>
      </c>
    </row>
    <row r="149" spans="1:20" x14ac:dyDescent="0.2">
      <c r="A149" t="s">
        <v>194</v>
      </c>
      <c r="B149">
        <f>IF(COUNTIFS('United Data'!$A$3:$A$2150,B$1,'United Data'!$C$3:$C$2150,$A149)&gt;0,1,0)</f>
        <v>0</v>
      </c>
      <c r="C149">
        <f>IF(COUNTIFS('United Data'!$A$3:$A$2150,C$1,'United Data'!$C$3:$C$2150,$A149)&gt;0,1,0)</f>
        <v>0</v>
      </c>
      <c r="D149">
        <f>IF(COUNTIFS('United Data'!$A$3:$A$2150,D$1,'United Data'!$C$3:$C$2150,$A149)&gt;0,1,0)</f>
        <v>0</v>
      </c>
      <c r="E149">
        <f>IF(COUNTIFS('United Data'!$A$3:$A$2150,E$1,'United Data'!$C$3:$C$2150,$A149)&gt;0,1,0)</f>
        <v>0</v>
      </c>
      <c r="F149">
        <f>IF(COUNTIFS('United Data'!$A$3:$A$2150,F$1,'United Data'!$C$3:$C$2150,$A149)&gt;0,1,0)</f>
        <v>0</v>
      </c>
      <c r="G149">
        <f>IF(COUNTIFS('United Data'!$A$3:$A$2150,G$1,'United Data'!$C$3:$C$2150,$A149)&gt;0,1,0)</f>
        <v>0</v>
      </c>
      <c r="H149">
        <f>IF(COUNTIFS('United Data'!$A$3:$A$2150,H$1,'United Data'!$C$3:$C$2150,$A149)&gt;0,1,0)</f>
        <v>0</v>
      </c>
      <c r="I149">
        <f>IF(COUNTIFS('United Data'!$A$3:$A$2150,I$1,'United Data'!$C$3:$C$2150,$A149)&gt;0,1,0)</f>
        <v>0</v>
      </c>
      <c r="J149">
        <f>IF(COUNTIFS('United Data'!$A$3:$A$2150,J$1,'United Data'!$C$3:$C$2150,$A149)&gt;0,1,0)</f>
        <v>0</v>
      </c>
      <c r="K149">
        <f>IF(COUNTIFS('United Data'!$A$3:$A$2150,K$1,'United Data'!$C$3:$C$2150,$A149)&gt;0,1,0)</f>
        <v>0</v>
      </c>
      <c r="L149">
        <f>IF(COUNTIFS('United Data'!$A$3:$A$2150,L$1,'United Data'!$C$3:$C$2150,$A149)&gt;0,1,0)</f>
        <v>0</v>
      </c>
      <c r="M149">
        <f>IF(COUNTIFS('United Data'!$A$3:$A$2150,M$1,'United Data'!$C$3:$C$2150,$A149)&gt;0,1,0)</f>
        <v>0</v>
      </c>
      <c r="N149">
        <f>IF(COUNTIFS('United Data'!$A$3:$A$2150,N$1,'United Data'!$C$3:$C$2150,$A149)&gt;0,1,0)</f>
        <v>0</v>
      </c>
      <c r="O149">
        <f>IF(COUNTIFS('United Data'!$A$3:$A$2150,O$1,'United Data'!$C$3:$C$2150,$A149)&gt;0,1,0)</f>
        <v>1</v>
      </c>
      <c r="P149">
        <f>IF(COUNTIFS('United Data'!$A$3:$A$2150,P$1,'United Data'!$C$3:$C$2150,$A149)&gt;0,1,0)</f>
        <v>0</v>
      </c>
      <c r="Q149">
        <f>IF(COUNTIFS('United Data'!$A$3:$A$2150,Q$1,'United Data'!$C$3:$C$2150,$A149)&gt;0,1,0)</f>
        <v>0</v>
      </c>
      <c r="R149">
        <f>IF(COUNTIFS('United Data'!$A$3:$A$2150,R$1,'United Data'!$C$3:$C$2150,$A149)&gt;0,1,0)</f>
        <v>0</v>
      </c>
      <c r="S149">
        <f t="shared" si="4"/>
        <v>1</v>
      </c>
      <c r="T149">
        <f t="shared" si="5"/>
        <v>1</v>
      </c>
    </row>
    <row r="150" spans="1:20" x14ac:dyDescent="0.2">
      <c r="A150" t="s">
        <v>195</v>
      </c>
      <c r="B150">
        <f>IF(COUNTIFS('United Data'!$A$3:$A$2150,B$1,'United Data'!$C$3:$C$2150,$A150)&gt;0,1,0)</f>
        <v>0</v>
      </c>
      <c r="C150">
        <f>IF(COUNTIFS('United Data'!$A$3:$A$2150,C$1,'United Data'!$C$3:$C$2150,$A150)&gt;0,1,0)</f>
        <v>0</v>
      </c>
      <c r="D150">
        <f>IF(COUNTIFS('United Data'!$A$3:$A$2150,D$1,'United Data'!$C$3:$C$2150,$A150)&gt;0,1,0)</f>
        <v>0</v>
      </c>
      <c r="E150">
        <f>IF(COUNTIFS('United Data'!$A$3:$A$2150,E$1,'United Data'!$C$3:$C$2150,$A150)&gt;0,1,0)</f>
        <v>0</v>
      </c>
      <c r="F150">
        <f>IF(COUNTIFS('United Data'!$A$3:$A$2150,F$1,'United Data'!$C$3:$C$2150,$A150)&gt;0,1,0)</f>
        <v>0</v>
      </c>
      <c r="G150">
        <f>IF(COUNTIFS('United Data'!$A$3:$A$2150,G$1,'United Data'!$C$3:$C$2150,$A150)&gt;0,1,0)</f>
        <v>0</v>
      </c>
      <c r="H150">
        <f>IF(COUNTIFS('United Data'!$A$3:$A$2150,H$1,'United Data'!$C$3:$C$2150,$A150)&gt;0,1,0)</f>
        <v>0</v>
      </c>
      <c r="I150">
        <f>IF(COUNTIFS('United Data'!$A$3:$A$2150,I$1,'United Data'!$C$3:$C$2150,$A150)&gt;0,1,0)</f>
        <v>0</v>
      </c>
      <c r="J150">
        <f>IF(COUNTIFS('United Data'!$A$3:$A$2150,J$1,'United Data'!$C$3:$C$2150,$A150)&gt;0,1,0)</f>
        <v>0</v>
      </c>
      <c r="K150">
        <f>IF(COUNTIFS('United Data'!$A$3:$A$2150,K$1,'United Data'!$C$3:$C$2150,$A150)&gt;0,1,0)</f>
        <v>0</v>
      </c>
      <c r="L150">
        <f>IF(COUNTIFS('United Data'!$A$3:$A$2150,L$1,'United Data'!$C$3:$C$2150,$A150)&gt;0,1,0)</f>
        <v>0</v>
      </c>
      <c r="M150">
        <f>IF(COUNTIFS('United Data'!$A$3:$A$2150,M$1,'United Data'!$C$3:$C$2150,$A150)&gt;0,1,0)</f>
        <v>0</v>
      </c>
      <c r="N150">
        <f>IF(COUNTIFS('United Data'!$A$3:$A$2150,N$1,'United Data'!$C$3:$C$2150,$A150)&gt;0,1,0)</f>
        <v>0</v>
      </c>
      <c r="O150">
        <f>IF(COUNTIFS('United Data'!$A$3:$A$2150,O$1,'United Data'!$C$3:$C$2150,$A150)&gt;0,1,0)</f>
        <v>1</v>
      </c>
      <c r="P150">
        <f>IF(COUNTIFS('United Data'!$A$3:$A$2150,P$1,'United Data'!$C$3:$C$2150,$A150)&gt;0,1,0)</f>
        <v>0</v>
      </c>
      <c r="Q150">
        <f>IF(COUNTIFS('United Data'!$A$3:$A$2150,Q$1,'United Data'!$C$3:$C$2150,$A150)&gt;0,1,0)</f>
        <v>0</v>
      </c>
      <c r="R150">
        <f>IF(COUNTIFS('United Data'!$A$3:$A$2150,R$1,'United Data'!$C$3:$C$2150,$A150)&gt;0,1,0)</f>
        <v>0</v>
      </c>
      <c r="S150">
        <f t="shared" si="4"/>
        <v>1</v>
      </c>
      <c r="T150">
        <f t="shared" si="5"/>
        <v>1</v>
      </c>
    </row>
    <row r="151" spans="1:20" x14ac:dyDescent="0.2">
      <c r="A151" t="s">
        <v>196</v>
      </c>
      <c r="B151">
        <f>IF(COUNTIFS('United Data'!$A$3:$A$2150,B$1,'United Data'!$C$3:$C$2150,$A151)&gt;0,1,0)</f>
        <v>0</v>
      </c>
      <c r="C151">
        <f>IF(COUNTIFS('United Data'!$A$3:$A$2150,C$1,'United Data'!$C$3:$C$2150,$A151)&gt;0,1,0)</f>
        <v>0</v>
      </c>
      <c r="D151">
        <f>IF(COUNTIFS('United Data'!$A$3:$A$2150,D$1,'United Data'!$C$3:$C$2150,$A151)&gt;0,1,0)</f>
        <v>0</v>
      </c>
      <c r="E151">
        <f>IF(COUNTIFS('United Data'!$A$3:$A$2150,E$1,'United Data'!$C$3:$C$2150,$A151)&gt;0,1,0)</f>
        <v>0</v>
      </c>
      <c r="F151">
        <f>IF(COUNTIFS('United Data'!$A$3:$A$2150,F$1,'United Data'!$C$3:$C$2150,$A151)&gt;0,1,0)</f>
        <v>0</v>
      </c>
      <c r="G151">
        <f>IF(COUNTIFS('United Data'!$A$3:$A$2150,G$1,'United Data'!$C$3:$C$2150,$A151)&gt;0,1,0)</f>
        <v>0</v>
      </c>
      <c r="H151">
        <f>IF(COUNTIFS('United Data'!$A$3:$A$2150,H$1,'United Data'!$C$3:$C$2150,$A151)&gt;0,1,0)</f>
        <v>0</v>
      </c>
      <c r="I151">
        <f>IF(COUNTIFS('United Data'!$A$3:$A$2150,I$1,'United Data'!$C$3:$C$2150,$A151)&gt;0,1,0)</f>
        <v>0</v>
      </c>
      <c r="J151">
        <f>IF(COUNTIFS('United Data'!$A$3:$A$2150,J$1,'United Data'!$C$3:$C$2150,$A151)&gt;0,1,0)</f>
        <v>0</v>
      </c>
      <c r="K151">
        <f>IF(COUNTIFS('United Data'!$A$3:$A$2150,K$1,'United Data'!$C$3:$C$2150,$A151)&gt;0,1,0)</f>
        <v>0</v>
      </c>
      <c r="L151">
        <f>IF(COUNTIFS('United Data'!$A$3:$A$2150,L$1,'United Data'!$C$3:$C$2150,$A151)&gt;0,1,0)</f>
        <v>0</v>
      </c>
      <c r="M151">
        <f>IF(COUNTIFS('United Data'!$A$3:$A$2150,M$1,'United Data'!$C$3:$C$2150,$A151)&gt;0,1,0)</f>
        <v>0</v>
      </c>
      <c r="N151">
        <f>IF(COUNTIFS('United Data'!$A$3:$A$2150,N$1,'United Data'!$C$3:$C$2150,$A151)&gt;0,1,0)</f>
        <v>0</v>
      </c>
      <c r="O151">
        <f>IF(COUNTIFS('United Data'!$A$3:$A$2150,O$1,'United Data'!$C$3:$C$2150,$A151)&gt;0,1,0)</f>
        <v>1</v>
      </c>
      <c r="P151">
        <f>IF(COUNTIFS('United Data'!$A$3:$A$2150,P$1,'United Data'!$C$3:$C$2150,$A151)&gt;0,1,0)</f>
        <v>1</v>
      </c>
      <c r="Q151">
        <f>IF(COUNTIFS('United Data'!$A$3:$A$2150,Q$1,'United Data'!$C$3:$C$2150,$A151)&gt;0,1,0)</f>
        <v>0</v>
      </c>
      <c r="R151">
        <f>IF(COUNTIFS('United Data'!$A$3:$A$2150,R$1,'United Data'!$C$3:$C$2150,$A151)&gt;0,1,0)</f>
        <v>0</v>
      </c>
      <c r="S151">
        <f t="shared" si="4"/>
        <v>2</v>
      </c>
      <c r="T151">
        <f t="shared" si="5"/>
        <v>1</v>
      </c>
    </row>
    <row r="152" spans="1:20" x14ac:dyDescent="0.2">
      <c r="A152" t="s">
        <v>197</v>
      </c>
      <c r="B152">
        <f>IF(COUNTIFS('United Data'!$A$3:$A$2150,B$1,'United Data'!$C$3:$C$2150,$A152)&gt;0,1,0)</f>
        <v>0</v>
      </c>
      <c r="C152">
        <f>IF(COUNTIFS('United Data'!$A$3:$A$2150,C$1,'United Data'!$C$3:$C$2150,$A152)&gt;0,1,0)</f>
        <v>0</v>
      </c>
      <c r="D152">
        <f>IF(COUNTIFS('United Data'!$A$3:$A$2150,D$1,'United Data'!$C$3:$C$2150,$A152)&gt;0,1,0)</f>
        <v>0</v>
      </c>
      <c r="E152">
        <f>IF(COUNTIFS('United Data'!$A$3:$A$2150,E$1,'United Data'!$C$3:$C$2150,$A152)&gt;0,1,0)</f>
        <v>0</v>
      </c>
      <c r="F152">
        <f>IF(COUNTIFS('United Data'!$A$3:$A$2150,F$1,'United Data'!$C$3:$C$2150,$A152)&gt;0,1,0)</f>
        <v>0</v>
      </c>
      <c r="G152">
        <f>IF(COUNTIFS('United Data'!$A$3:$A$2150,G$1,'United Data'!$C$3:$C$2150,$A152)&gt;0,1,0)</f>
        <v>0</v>
      </c>
      <c r="H152">
        <f>IF(COUNTIFS('United Data'!$A$3:$A$2150,H$1,'United Data'!$C$3:$C$2150,$A152)&gt;0,1,0)</f>
        <v>0</v>
      </c>
      <c r="I152">
        <f>IF(COUNTIFS('United Data'!$A$3:$A$2150,I$1,'United Data'!$C$3:$C$2150,$A152)&gt;0,1,0)</f>
        <v>0</v>
      </c>
      <c r="J152">
        <f>IF(COUNTIFS('United Data'!$A$3:$A$2150,J$1,'United Data'!$C$3:$C$2150,$A152)&gt;0,1,0)</f>
        <v>0</v>
      </c>
      <c r="K152">
        <f>IF(COUNTIFS('United Data'!$A$3:$A$2150,K$1,'United Data'!$C$3:$C$2150,$A152)&gt;0,1,0)</f>
        <v>0</v>
      </c>
      <c r="L152">
        <f>IF(COUNTIFS('United Data'!$A$3:$A$2150,L$1,'United Data'!$C$3:$C$2150,$A152)&gt;0,1,0)</f>
        <v>0</v>
      </c>
      <c r="M152">
        <f>IF(COUNTIFS('United Data'!$A$3:$A$2150,M$1,'United Data'!$C$3:$C$2150,$A152)&gt;0,1,0)</f>
        <v>0</v>
      </c>
      <c r="N152">
        <f>IF(COUNTIFS('United Data'!$A$3:$A$2150,N$1,'United Data'!$C$3:$C$2150,$A152)&gt;0,1,0)</f>
        <v>0</v>
      </c>
      <c r="O152">
        <f>IF(COUNTIFS('United Data'!$A$3:$A$2150,O$1,'United Data'!$C$3:$C$2150,$A152)&gt;0,1,0)</f>
        <v>0</v>
      </c>
      <c r="P152">
        <f>IF(COUNTIFS('United Data'!$A$3:$A$2150,P$1,'United Data'!$C$3:$C$2150,$A152)&gt;0,1,0)</f>
        <v>1</v>
      </c>
      <c r="Q152">
        <f>IF(COUNTIFS('United Data'!$A$3:$A$2150,Q$1,'United Data'!$C$3:$C$2150,$A152)&gt;0,1,0)</f>
        <v>0</v>
      </c>
      <c r="R152">
        <f>IF(COUNTIFS('United Data'!$A$3:$A$2150,R$1,'United Data'!$C$3:$C$2150,$A152)&gt;0,1,0)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198</v>
      </c>
      <c r="B153">
        <f>IF(COUNTIFS('United Data'!$A$3:$A$2150,B$1,'United Data'!$C$3:$C$2150,$A153)&gt;0,1,0)</f>
        <v>0</v>
      </c>
      <c r="C153">
        <f>IF(COUNTIFS('United Data'!$A$3:$A$2150,C$1,'United Data'!$C$3:$C$2150,$A153)&gt;0,1,0)</f>
        <v>0</v>
      </c>
      <c r="D153">
        <f>IF(COUNTIFS('United Data'!$A$3:$A$2150,D$1,'United Data'!$C$3:$C$2150,$A153)&gt;0,1,0)</f>
        <v>0</v>
      </c>
      <c r="E153">
        <f>IF(COUNTIFS('United Data'!$A$3:$A$2150,E$1,'United Data'!$C$3:$C$2150,$A153)&gt;0,1,0)</f>
        <v>0</v>
      </c>
      <c r="F153">
        <f>IF(COUNTIFS('United Data'!$A$3:$A$2150,F$1,'United Data'!$C$3:$C$2150,$A153)&gt;0,1,0)</f>
        <v>0</v>
      </c>
      <c r="G153">
        <f>IF(COUNTIFS('United Data'!$A$3:$A$2150,G$1,'United Data'!$C$3:$C$2150,$A153)&gt;0,1,0)</f>
        <v>0</v>
      </c>
      <c r="H153">
        <f>IF(COUNTIFS('United Data'!$A$3:$A$2150,H$1,'United Data'!$C$3:$C$2150,$A153)&gt;0,1,0)</f>
        <v>0</v>
      </c>
      <c r="I153">
        <f>IF(COUNTIFS('United Data'!$A$3:$A$2150,I$1,'United Data'!$C$3:$C$2150,$A153)&gt;0,1,0)</f>
        <v>0</v>
      </c>
      <c r="J153">
        <f>IF(COUNTIFS('United Data'!$A$3:$A$2150,J$1,'United Data'!$C$3:$C$2150,$A153)&gt;0,1,0)</f>
        <v>0</v>
      </c>
      <c r="K153">
        <f>IF(COUNTIFS('United Data'!$A$3:$A$2150,K$1,'United Data'!$C$3:$C$2150,$A153)&gt;0,1,0)</f>
        <v>0</v>
      </c>
      <c r="L153">
        <f>IF(COUNTIFS('United Data'!$A$3:$A$2150,L$1,'United Data'!$C$3:$C$2150,$A153)&gt;0,1,0)</f>
        <v>0</v>
      </c>
      <c r="M153">
        <f>IF(COUNTIFS('United Data'!$A$3:$A$2150,M$1,'United Data'!$C$3:$C$2150,$A153)&gt;0,1,0)</f>
        <v>0</v>
      </c>
      <c r="N153">
        <f>IF(COUNTIFS('United Data'!$A$3:$A$2150,N$1,'United Data'!$C$3:$C$2150,$A153)&gt;0,1,0)</f>
        <v>0</v>
      </c>
      <c r="O153">
        <f>IF(COUNTIFS('United Data'!$A$3:$A$2150,O$1,'United Data'!$C$3:$C$2150,$A153)&gt;0,1,0)</f>
        <v>0</v>
      </c>
      <c r="P153">
        <f>IF(COUNTIFS('United Data'!$A$3:$A$2150,P$1,'United Data'!$C$3:$C$2150,$A153)&gt;0,1,0)</f>
        <v>1</v>
      </c>
      <c r="Q153">
        <f>IF(COUNTIFS('United Data'!$A$3:$A$2150,Q$1,'United Data'!$C$3:$C$2150,$A153)&gt;0,1,0)</f>
        <v>0</v>
      </c>
      <c r="R153">
        <f>IF(COUNTIFS('United Data'!$A$3:$A$2150,R$1,'United Data'!$C$3:$C$2150,$A153)&gt;0,1,0)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199</v>
      </c>
      <c r="B154">
        <f>IF(COUNTIFS('United Data'!$A$3:$A$2150,B$1,'United Data'!$C$3:$C$2150,$A154)&gt;0,1,0)</f>
        <v>0</v>
      </c>
      <c r="C154">
        <f>IF(COUNTIFS('United Data'!$A$3:$A$2150,C$1,'United Data'!$C$3:$C$2150,$A154)&gt;0,1,0)</f>
        <v>0</v>
      </c>
      <c r="D154">
        <f>IF(COUNTIFS('United Data'!$A$3:$A$2150,D$1,'United Data'!$C$3:$C$2150,$A154)&gt;0,1,0)</f>
        <v>0</v>
      </c>
      <c r="E154">
        <f>IF(COUNTIFS('United Data'!$A$3:$A$2150,E$1,'United Data'!$C$3:$C$2150,$A154)&gt;0,1,0)</f>
        <v>0</v>
      </c>
      <c r="F154">
        <f>IF(COUNTIFS('United Data'!$A$3:$A$2150,F$1,'United Data'!$C$3:$C$2150,$A154)&gt;0,1,0)</f>
        <v>0</v>
      </c>
      <c r="G154">
        <f>IF(COUNTIFS('United Data'!$A$3:$A$2150,G$1,'United Data'!$C$3:$C$2150,$A154)&gt;0,1,0)</f>
        <v>0</v>
      </c>
      <c r="H154">
        <f>IF(COUNTIFS('United Data'!$A$3:$A$2150,H$1,'United Data'!$C$3:$C$2150,$A154)&gt;0,1,0)</f>
        <v>0</v>
      </c>
      <c r="I154">
        <f>IF(COUNTIFS('United Data'!$A$3:$A$2150,I$1,'United Data'!$C$3:$C$2150,$A154)&gt;0,1,0)</f>
        <v>0</v>
      </c>
      <c r="J154">
        <f>IF(COUNTIFS('United Data'!$A$3:$A$2150,J$1,'United Data'!$C$3:$C$2150,$A154)&gt;0,1,0)</f>
        <v>0</v>
      </c>
      <c r="K154">
        <f>IF(COUNTIFS('United Data'!$A$3:$A$2150,K$1,'United Data'!$C$3:$C$2150,$A154)&gt;0,1,0)</f>
        <v>0</v>
      </c>
      <c r="L154">
        <f>IF(COUNTIFS('United Data'!$A$3:$A$2150,L$1,'United Data'!$C$3:$C$2150,$A154)&gt;0,1,0)</f>
        <v>0</v>
      </c>
      <c r="M154">
        <f>IF(COUNTIFS('United Data'!$A$3:$A$2150,M$1,'United Data'!$C$3:$C$2150,$A154)&gt;0,1,0)</f>
        <v>0</v>
      </c>
      <c r="N154">
        <f>IF(COUNTIFS('United Data'!$A$3:$A$2150,N$1,'United Data'!$C$3:$C$2150,$A154)&gt;0,1,0)</f>
        <v>0</v>
      </c>
      <c r="O154">
        <f>IF(COUNTIFS('United Data'!$A$3:$A$2150,O$1,'United Data'!$C$3:$C$2150,$A154)&gt;0,1,0)</f>
        <v>0</v>
      </c>
      <c r="P154">
        <f>IF(COUNTIFS('United Data'!$A$3:$A$2150,P$1,'United Data'!$C$3:$C$2150,$A154)&gt;0,1,0)</f>
        <v>1</v>
      </c>
      <c r="Q154">
        <f>IF(COUNTIFS('United Data'!$A$3:$A$2150,Q$1,'United Data'!$C$3:$C$2150,$A154)&gt;0,1,0)</f>
        <v>0</v>
      </c>
      <c r="R154">
        <f>IF(COUNTIFS('United Data'!$A$3:$A$2150,R$1,'United Data'!$C$3:$C$2150,$A154)&gt;0,1,0)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200</v>
      </c>
      <c r="B155">
        <f>IF(COUNTIFS('United Data'!$A$3:$A$2150,B$1,'United Data'!$C$3:$C$2150,$A155)&gt;0,1,0)</f>
        <v>0</v>
      </c>
      <c r="C155">
        <f>IF(COUNTIFS('United Data'!$A$3:$A$2150,C$1,'United Data'!$C$3:$C$2150,$A155)&gt;0,1,0)</f>
        <v>0</v>
      </c>
      <c r="D155">
        <f>IF(COUNTIFS('United Data'!$A$3:$A$2150,D$1,'United Data'!$C$3:$C$2150,$A155)&gt;0,1,0)</f>
        <v>0</v>
      </c>
      <c r="E155">
        <f>IF(COUNTIFS('United Data'!$A$3:$A$2150,E$1,'United Data'!$C$3:$C$2150,$A155)&gt;0,1,0)</f>
        <v>0</v>
      </c>
      <c r="F155">
        <f>IF(COUNTIFS('United Data'!$A$3:$A$2150,F$1,'United Data'!$C$3:$C$2150,$A155)&gt;0,1,0)</f>
        <v>0</v>
      </c>
      <c r="G155">
        <f>IF(COUNTIFS('United Data'!$A$3:$A$2150,G$1,'United Data'!$C$3:$C$2150,$A155)&gt;0,1,0)</f>
        <v>0</v>
      </c>
      <c r="H155">
        <f>IF(COUNTIFS('United Data'!$A$3:$A$2150,H$1,'United Data'!$C$3:$C$2150,$A155)&gt;0,1,0)</f>
        <v>0</v>
      </c>
      <c r="I155">
        <f>IF(COUNTIFS('United Data'!$A$3:$A$2150,I$1,'United Data'!$C$3:$C$2150,$A155)&gt;0,1,0)</f>
        <v>0</v>
      </c>
      <c r="J155">
        <f>IF(COUNTIFS('United Data'!$A$3:$A$2150,J$1,'United Data'!$C$3:$C$2150,$A155)&gt;0,1,0)</f>
        <v>0</v>
      </c>
      <c r="K155">
        <f>IF(COUNTIFS('United Data'!$A$3:$A$2150,K$1,'United Data'!$C$3:$C$2150,$A155)&gt;0,1,0)</f>
        <v>0</v>
      </c>
      <c r="L155">
        <f>IF(COUNTIFS('United Data'!$A$3:$A$2150,L$1,'United Data'!$C$3:$C$2150,$A155)&gt;0,1,0)</f>
        <v>0</v>
      </c>
      <c r="M155">
        <f>IF(COUNTIFS('United Data'!$A$3:$A$2150,M$1,'United Data'!$C$3:$C$2150,$A155)&gt;0,1,0)</f>
        <v>0</v>
      </c>
      <c r="N155">
        <f>IF(COUNTIFS('United Data'!$A$3:$A$2150,N$1,'United Data'!$C$3:$C$2150,$A155)&gt;0,1,0)</f>
        <v>0</v>
      </c>
      <c r="O155">
        <f>IF(COUNTIFS('United Data'!$A$3:$A$2150,O$1,'United Data'!$C$3:$C$2150,$A155)&gt;0,1,0)</f>
        <v>0</v>
      </c>
      <c r="P155">
        <f>IF(COUNTIFS('United Data'!$A$3:$A$2150,P$1,'United Data'!$C$3:$C$2150,$A155)&gt;0,1,0)</f>
        <v>1</v>
      </c>
      <c r="Q155">
        <f>IF(COUNTIFS('United Data'!$A$3:$A$2150,Q$1,'United Data'!$C$3:$C$2150,$A155)&gt;0,1,0)</f>
        <v>1</v>
      </c>
      <c r="R155">
        <f>IF(COUNTIFS('United Data'!$A$3:$A$2150,R$1,'United Data'!$C$3:$C$2150,$A155)&gt;0,1,0)</f>
        <v>0</v>
      </c>
      <c r="S155">
        <f t="shared" si="4"/>
        <v>2</v>
      </c>
      <c r="T155">
        <f t="shared" si="5"/>
        <v>1</v>
      </c>
    </row>
    <row r="156" spans="1:20" x14ac:dyDescent="0.2">
      <c r="A156" t="s">
        <v>201</v>
      </c>
      <c r="B156">
        <f>IF(COUNTIFS('United Data'!$A$3:$A$2150,B$1,'United Data'!$C$3:$C$2150,$A156)&gt;0,1,0)</f>
        <v>0</v>
      </c>
      <c r="C156">
        <f>IF(COUNTIFS('United Data'!$A$3:$A$2150,C$1,'United Data'!$C$3:$C$2150,$A156)&gt;0,1,0)</f>
        <v>0</v>
      </c>
      <c r="D156">
        <f>IF(COUNTIFS('United Data'!$A$3:$A$2150,D$1,'United Data'!$C$3:$C$2150,$A156)&gt;0,1,0)</f>
        <v>0</v>
      </c>
      <c r="E156">
        <f>IF(COUNTIFS('United Data'!$A$3:$A$2150,E$1,'United Data'!$C$3:$C$2150,$A156)&gt;0,1,0)</f>
        <v>0</v>
      </c>
      <c r="F156">
        <f>IF(COUNTIFS('United Data'!$A$3:$A$2150,F$1,'United Data'!$C$3:$C$2150,$A156)&gt;0,1,0)</f>
        <v>0</v>
      </c>
      <c r="G156">
        <f>IF(COUNTIFS('United Data'!$A$3:$A$2150,G$1,'United Data'!$C$3:$C$2150,$A156)&gt;0,1,0)</f>
        <v>0</v>
      </c>
      <c r="H156">
        <f>IF(COUNTIFS('United Data'!$A$3:$A$2150,H$1,'United Data'!$C$3:$C$2150,$A156)&gt;0,1,0)</f>
        <v>0</v>
      </c>
      <c r="I156">
        <f>IF(COUNTIFS('United Data'!$A$3:$A$2150,I$1,'United Data'!$C$3:$C$2150,$A156)&gt;0,1,0)</f>
        <v>0</v>
      </c>
      <c r="J156">
        <f>IF(COUNTIFS('United Data'!$A$3:$A$2150,J$1,'United Data'!$C$3:$C$2150,$A156)&gt;0,1,0)</f>
        <v>0</v>
      </c>
      <c r="K156">
        <f>IF(COUNTIFS('United Data'!$A$3:$A$2150,K$1,'United Data'!$C$3:$C$2150,$A156)&gt;0,1,0)</f>
        <v>0</v>
      </c>
      <c r="L156">
        <f>IF(COUNTIFS('United Data'!$A$3:$A$2150,L$1,'United Data'!$C$3:$C$2150,$A156)&gt;0,1,0)</f>
        <v>0</v>
      </c>
      <c r="M156">
        <f>IF(COUNTIFS('United Data'!$A$3:$A$2150,M$1,'United Data'!$C$3:$C$2150,$A156)&gt;0,1,0)</f>
        <v>0</v>
      </c>
      <c r="N156">
        <f>IF(COUNTIFS('United Data'!$A$3:$A$2150,N$1,'United Data'!$C$3:$C$2150,$A156)&gt;0,1,0)</f>
        <v>0</v>
      </c>
      <c r="O156">
        <f>IF(COUNTIFS('United Data'!$A$3:$A$2150,O$1,'United Data'!$C$3:$C$2150,$A156)&gt;0,1,0)</f>
        <v>0</v>
      </c>
      <c r="P156">
        <f>IF(COUNTIFS('United Data'!$A$3:$A$2150,P$1,'United Data'!$C$3:$C$2150,$A156)&gt;0,1,0)</f>
        <v>1</v>
      </c>
      <c r="Q156">
        <f>IF(COUNTIFS('United Data'!$A$3:$A$2150,Q$1,'United Data'!$C$3:$C$2150,$A156)&gt;0,1,0)</f>
        <v>0</v>
      </c>
      <c r="R156">
        <f>IF(COUNTIFS('United Data'!$A$3:$A$2150,R$1,'United Data'!$C$3:$C$2150,$A156)&gt;0,1,0)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202</v>
      </c>
      <c r="B157">
        <f>IF(COUNTIFS('United Data'!$A$3:$A$2150,B$1,'United Data'!$C$3:$C$2150,$A157)&gt;0,1,0)</f>
        <v>0</v>
      </c>
      <c r="C157">
        <f>IF(COUNTIFS('United Data'!$A$3:$A$2150,C$1,'United Data'!$C$3:$C$2150,$A157)&gt;0,1,0)</f>
        <v>0</v>
      </c>
      <c r="D157">
        <f>IF(COUNTIFS('United Data'!$A$3:$A$2150,D$1,'United Data'!$C$3:$C$2150,$A157)&gt;0,1,0)</f>
        <v>0</v>
      </c>
      <c r="E157">
        <f>IF(COUNTIFS('United Data'!$A$3:$A$2150,E$1,'United Data'!$C$3:$C$2150,$A157)&gt;0,1,0)</f>
        <v>0</v>
      </c>
      <c r="F157">
        <f>IF(COUNTIFS('United Data'!$A$3:$A$2150,F$1,'United Data'!$C$3:$C$2150,$A157)&gt;0,1,0)</f>
        <v>0</v>
      </c>
      <c r="G157">
        <f>IF(COUNTIFS('United Data'!$A$3:$A$2150,G$1,'United Data'!$C$3:$C$2150,$A157)&gt;0,1,0)</f>
        <v>0</v>
      </c>
      <c r="H157">
        <f>IF(COUNTIFS('United Data'!$A$3:$A$2150,H$1,'United Data'!$C$3:$C$2150,$A157)&gt;0,1,0)</f>
        <v>0</v>
      </c>
      <c r="I157">
        <f>IF(COUNTIFS('United Data'!$A$3:$A$2150,I$1,'United Data'!$C$3:$C$2150,$A157)&gt;0,1,0)</f>
        <v>0</v>
      </c>
      <c r="J157">
        <f>IF(COUNTIFS('United Data'!$A$3:$A$2150,J$1,'United Data'!$C$3:$C$2150,$A157)&gt;0,1,0)</f>
        <v>0</v>
      </c>
      <c r="K157">
        <f>IF(COUNTIFS('United Data'!$A$3:$A$2150,K$1,'United Data'!$C$3:$C$2150,$A157)&gt;0,1,0)</f>
        <v>0</v>
      </c>
      <c r="L157">
        <f>IF(COUNTIFS('United Data'!$A$3:$A$2150,L$1,'United Data'!$C$3:$C$2150,$A157)&gt;0,1,0)</f>
        <v>0</v>
      </c>
      <c r="M157">
        <f>IF(COUNTIFS('United Data'!$A$3:$A$2150,M$1,'United Data'!$C$3:$C$2150,$A157)&gt;0,1,0)</f>
        <v>0</v>
      </c>
      <c r="N157">
        <f>IF(COUNTIFS('United Data'!$A$3:$A$2150,N$1,'United Data'!$C$3:$C$2150,$A157)&gt;0,1,0)</f>
        <v>0</v>
      </c>
      <c r="O157">
        <f>IF(COUNTIFS('United Data'!$A$3:$A$2150,O$1,'United Data'!$C$3:$C$2150,$A157)&gt;0,1,0)</f>
        <v>0</v>
      </c>
      <c r="P157">
        <f>IF(COUNTIFS('United Data'!$A$3:$A$2150,P$1,'United Data'!$C$3:$C$2150,$A157)&gt;0,1,0)</f>
        <v>1</v>
      </c>
      <c r="Q157">
        <f>IF(COUNTIFS('United Data'!$A$3:$A$2150,Q$1,'United Data'!$C$3:$C$2150,$A157)&gt;0,1,0)</f>
        <v>1</v>
      </c>
      <c r="R157">
        <f>IF(COUNTIFS('United Data'!$A$3:$A$2150,R$1,'United Data'!$C$3:$C$2150,$A157)&gt;0,1,0)</f>
        <v>0</v>
      </c>
      <c r="S157">
        <f t="shared" si="4"/>
        <v>2</v>
      </c>
      <c r="T157">
        <f t="shared" si="5"/>
        <v>1</v>
      </c>
    </row>
    <row r="158" spans="1:20" x14ac:dyDescent="0.2">
      <c r="A158" t="s">
        <v>203</v>
      </c>
      <c r="B158">
        <f>IF(COUNTIFS('United Data'!$A$3:$A$2150,B$1,'United Data'!$C$3:$C$2150,$A158)&gt;0,1,0)</f>
        <v>0</v>
      </c>
      <c r="C158">
        <f>IF(COUNTIFS('United Data'!$A$3:$A$2150,C$1,'United Data'!$C$3:$C$2150,$A158)&gt;0,1,0)</f>
        <v>0</v>
      </c>
      <c r="D158">
        <f>IF(COUNTIFS('United Data'!$A$3:$A$2150,D$1,'United Data'!$C$3:$C$2150,$A158)&gt;0,1,0)</f>
        <v>0</v>
      </c>
      <c r="E158">
        <f>IF(COUNTIFS('United Data'!$A$3:$A$2150,E$1,'United Data'!$C$3:$C$2150,$A158)&gt;0,1,0)</f>
        <v>0</v>
      </c>
      <c r="F158">
        <f>IF(COUNTIFS('United Data'!$A$3:$A$2150,F$1,'United Data'!$C$3:$C$2150,$A158)&gt;0,1,0)</f>
        <v>0</v>
      </c>
      <c r="G158">
        <f>IF(COUNTIFS('United Data'!$A$3:$A$2150,G$1,'United Data'!$C$3:$C$2150,$A158)&gt;0,1,0)</f>
        <v>0</v>
      </c>
      <c r="H158">
        <f>IF(COUNTIFS('United Data'!$A$3:$A$2150,H$1,'United Data'!$C$3:$C$2150,$A158)&gt;0,1,0)</f>
        <v>0</v>
      </c>
      <c r="I158">
        <f>IF(COUNTIFS('United Data'!$A$3:$A$2150,I$1,'United Data'!$C$3:$C$2150,$A158)&gt;0,1,0)</f>
        <v>0</v>
      </c>
      <c r="J158">
        <f>IF(COUNTIFS('United Data'!$A$3:$A$2150,J$1,'United Data'!$C$3:$C$2150,$A158)&gt;0,1,0)</f>
        <v>0</v>
      </c>
      <c r="K158">
        <f>IF(COUNTIFS('United Data'!$A$3:$A$2150,K$1,'United Data'!$C$3:$C$2150,$A158)&gt;0,1,0)</f>
        <v>0</v>
      </c>
      <c r="L158">
        <f>IF(COUNTIFS('United Data'!$A$3:$A$2150,L$1,'United Data'!$C$3:$C$2150,$A158)&gt;0,1,0)</f>
        <v>0</v>
      </c>
      <c r="M158">
        <f>IF(COUNTIFS('United Data'!$A$3:$A$2150,M$1,'United Data'!$C$3:$C$2150,$A158)&gt;0,1,0)</f>
        <v>0</v>
      </c>
      <c r="N158">
        <f>IF(COUNTIFS('United Data'!$A$3:$A$2150,N$1,'United Data'!$C$3:$C$2150,$A158)&gt;0,1,0)</f>
        <v>0</v>
      </c>
      <c r="O158">
        <f>IF(COUNTIFS('United Data'!$A$3:$A$2150,O$1,'United Data'!$C$3:$C$2150,$A158)&gt;0,1,0)</f>
        <v>0</v>
      </c>
      <c r="P158">
        <f>IF(COUNTIFS('United Data'!$A$3:$A$2150,P$1,'United Data'!$C$3:$C$2150,$A158)&gt;0,1,0)</f>
        <v>1</v>
      </c>
      <c r="Q158">
        <f>IF(COUNTIFS('United Data'!$A$3:$A$2150,Q$1,'United Data'!$C$3:$C$2150,$A158)&gt;0,1,0)</f>
        <v>0</v>
      </c>
      <c r="R158">
        <f>IF(COUNTIFS('United Data'!$A$3:$A$2150,R$1,'United Data'!$C$3:$C$2150,$A158)&gt;0,1,0)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204</v>
      </c>
      <c r="B159">
        <f>IF(COUNTIFS('United Data'!$A$3:$A$2150,B$1,'United Data'!$C$3:$C$2150,$A159)&gt;0,1,0)</f>
        <v>0</v>
      </c>
      <c r="C159">
        <f>IF(COUNTIFS('United Data'!$A$3:$A$2150,C$1,'United Data'!$C$3:$C$2150,$A159)&gt;0,1,0)</f>
        <v>0</v>
      </c>
      <c r="D159">
        <f>IF(COUNTIFS('United Data'!$A$3:$A$2150,D$1,'United Data'!$C$3:$C$2150,$A159)&gt;0,1,0)</f>
        <v>0</v>
      </c>
      <c r="E159">
        <f>IF(COUNTIFS('United Data'!$A$3:$A$2150,E$1,'United Data'!$C$3:$C$2150,$A159)&gt;0,1,0)</f>
        <v>0</v>
      </c>
      <c r="F159">
        <f>IF(COUNTIFS('United Data'!$A$3:$A$2150,F$1,'United Data'!$C$3:$C$2150,$A159)&gt;0,1,0)</f>
        <v>0</v>
      </c>
      <c r="G159">
        <f>IF(COUNTIFS('United Data'!$A$3:$A$2150,G$1,'United Data'!$C$3:$C$2150,$A159)&gt;0,1,0)</f>
        <v>0</v>
      </c>
      <c r="H159">
        <f>IF(COUNTIFS('United Data'!$A$3:$A$2150,H$1,'United Data'!$C$3:$C$2150,$A159)&gt;0,1,0)</f>
        <v>0</v>
      </c>
      <c r="I159">
        <f>IF(COUNTIFS('United Data'!$A$3:$A$2150,I$1,'United Data'!$C$3:$C$2150,$A159)&gt;0,1,0)</f>
        <v>0</v>
      </c>
      <c r="J159">
        <f>IF(COUNTIFS('United Data'!$A$3:$A$2150,J$1,'United Data'!$C$3:$C$2150,$A159)&gt;0,1,0)</f>
        <v>0</v>
      </c>
      <c r="K159">
        <f>IF(COUNTIFS('United Data'!$A$3:$A$2150,K$1,'United Data'!$C$3:$C$2150,$A159)&gt;0,1,0)</f>
        <v>0</v>
      </c>
      <c r="L159">
        <f>IF(COUNTIFS('United Data'!$A$3:$A$2150,L$1,'United Data'!$C$3:$C$2150,$A159)&gt;0,1,0)</f>
        <v>0</v>
      </c>
      <c r="M159">
        <f>IF(COUNTIFS('United Data'!$A$3:$A$2150,M$1,'United Data'!$C$3:$C$2150,$A159)&gt;0,1,0)</f>
        <v>0</v>
      </c>
      <c r="N159">
        <f>IF(COUNTIFS('United Data'!$A$3:$A$2150,N$1,'United Data'!$C$3:$C$2150,$A159)&gt;0,1,0)</f>
        <v>0</v>
      </c>
      <c r="O159">
        <f>IF(COUNTIFS('United Data'!$A$3:$A$2150,O$1,'United Data'!$C$3:$C$2150,$A159)&gt;0,1,0)</f>
        <v>0</v>
      </c>
      <c r="P159">
        <f>IF(COUNTIFS('United Data'!$A$3:$A$2150,P$1,'United Data'!$C$3:$C$2150,$A159)&gt;0,1,0)</f>
        <v>1</v>
      </c>
      <c r="Q159">
        <f>IF(COUNTIFS('United Data'!$A$3:$A$2150,Q$1,'United Data'!$C$3:$C$2150,$A159)&gt;0,1,0)</f>
        <v>0</v>
      </c>
      <c r="R159">
        <f>IF(COUNTIFS('United Data'!$A$3:$A$2150,R$1,'United Data'!$C$3:$C$2150,$A159)&gt;0,1,0)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205</v>
      </c>
      <c r="B160">
        <f>IF(COUNTIFS('United Data'!$A$3:$A$2150,B$1,'United Data'!$C$3:$C$2150,$A160)&gt;0,1,0)</f>
        <v>0</v>
      </c>
      <c r="C160">
        <f>IF(COUNTIFS('United Data'!$A$3:$A$2150,C$1,'United Data'!$C$3:$C$2150,$A160)&gt;0,1,0)</f>
        <v>0</v>
      </c>
      <c r="D160">
        <f>IF(COUNTIFS('United Data'!$A$3:$A$2150,D$1,'United Data'!$C$3:$C$2150,$A160)&gt;0,1,0)</f>
        <v>0</v>
      </c>
      <c r="E160">
        <f>IF(COUNTIFS('United Data'!$A$3:$A$2150,E$1,'United Data'!$C$3:$C$2150,$A160)&gt;0,1,0)</f>
        <v>0</v>
      </c>
      <c r="F160">
        <f>IF(COUNTIFS('United Data'!$A$3:$A$2150,F$1,'United Data'!$C$3:$C$2150,$A160)&gt;0,1,0)</f>
        <v>0</v>
      </c>
      <c r="G160">
        <f>IF(COUNTIFS('United Data'!$A$3:$A$2150,G$1,'United Data'!$C$3:$C$2150,$A160)&gt;0,1,0)</f>
        <v>0</v>
      </c>
      <c r="H160">
        <f>IF(COUNTIFS('United Data'!$A$3:$A$2150,H$1,'United Data'!$C$3:$C$2150,$A160)&gt;0,1,0)</f>
        <v>0</v>
      </c>
      <c r="I160">
        <f>IF(COUNTIFS('United Data'!$A$3:$A$2150,I$1,'United Data'!$C$3:$C$2150,$A160)&gt;0,1,0)</f>
        <v>0</v>
      </c>
      <c r="J160">
        <f>IF(COUNTIFS('United Data'!$A$3:$A$2150,J$1,'United Data'!$C$3:$C$2150,$A160)&gt;0,1,0)</f>
        <v>0</v>
      </c>
      <c r="K160">
        <f>IF(COUNTIFS('United Data'!$A$3:$A$2150,K$1,'United Data'!$C$3:$C$2150,$A160)&gt;0,1,0)</f>
        <v>0</v>
      </c>
      <c r="L160">
        <f>IF(COUNTIFS('United Data'!$A$3:$A$2150,L$1,'United Data'!$C$3:$C$2150,$A160)&gt;0,1,0)</f>
        <v>0</v>
      </c>
      <c r="M160">
        <f>IF(COUNTIFS('United Data'!$A$3:$A$2150,M$1,'United Data'!$C$3:$C$2150,$A160)&gt;0,1,0)</f>
        <v>0</v>
      </c>
      <c r="N160">
        <f>IF(COUNTIFS('United Data'!$A$3:$A$2150,N$1,'United Data'!$C$3:$C$2150,$A160)&gt;0,1,0)</f>
        <v>0</v>
      </c>
      <c r="O160">
        <f>IF(COUNTIFS('United Data'!$A$3:$A$2150,O$1,'United Data'!$C$3:$C$2150,$A160)&gt;0,1,0)</f>
        <v>0</v>
      </c>
      <c r="P160">
        <f>IF(COUNTIFS('United Data'!$A$3:$A$2150,P$1,'United Data'!$C$3:$C$2150,$A160)&gt;0,1,0)</f>
        <v>1</v>
      </c>
      <c r="Q160">
        <f>IF(COUNTIFS('United Data'!$A$3:$A$2150,Q$1,'United Data'!$C$3:$C$2150,$A160)&gt;0,1,0)</f>
        <v>0</v>
      </c>
      <c r="R160">
        <f>IF(COUNTIFS('United Data'!$A$3:$A$2150,R$1,'United Data'!$C$3:$C$2150,$A160)&gt;0,1,0)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206</v>
      </c>
      <c r="B161">
        <f>IF(COUNTIFS('United Data'!$A$3:$A$2150,B$1,'United Data'!$C$3:$C$2150,$A161)&gt;0,1,0)</f>
        <v>0</v>
      </c>
      <c r="C161">
        <f>IF(COUNTIFS('United Data'!$A$3:$A$2150,C$1,'United Data'!$C$3:$C$2150,$A161)&gt;0,1,0)</f>
        <v>0</v>
      </c>
      <c r="D161">
        <f>IF(COUNTIFS('United Data'!$A$3:$A$2150,D$1,'United Data'!$C$3:$C$2150,$A161)&gt;0,1,0)</f>
        <v>0</v>
      </c>
      <c r="E161">
        <f>IF(COUNTIFS('United Data'!$A$3:$A$2150,E$1,'United Data'!$C$3:$C$2150,$A161)&gt;0,1,0)</f>
        <v>0</v>
      </c>
      <c r="F161">
        <f>IF(COUNTIFS('United Data'!$A$3:$A$2150,F$1,'United Data'!$C$3:$C$2150,$A161)&gt;0,1,0)</f>
        <v>0</v>
      </c>
      <c r="G161">
        <f>IF(COUNTIFS('United Data'!$A$3:$A$2150,G$1,'United Data'!$C$3:$C$2150,$A161)&gt;0,1,0)</f>
        <v>0</v>
      </c>
      <c r="H161">
        <f>IF(COUNTIFS('United Data'!$A$3:$A$2150,H$1,'United Data'!$C$3:$C$2150,$A161)&gt;0,1,0)</f>
        <v>0</v>
      </c>
      <c r="I161">
        <f>IF(COUNTIFS('United Data'!$A$3:$A$2150,I$1,'United Data'!$C$3:$C$2150,$A161)&gt;0,1,0)</f>
        <v>0</v>
      </c>
      <c r="J161">
        <f>IF(COUNTIFS('United Data'!$A$3:$A$2150,J$1,'United Data'!$C$3:$C$2150,$A161)&gt;0,1,0)</f>
        <v>0</v>
      </c>
      <c r="K161">
        <f>IF(COUNTIFS('United Data'!$A$3:$A$2150,K$1,'United Data'!$C$3:$C$2150,$A161)&gt;0,1,0)</f>
        <v>0</v>
      </c>
      <c r="L161">
        <f>IF(COUNTIFS('United Data'!$A$3:$A$2150,L$1,'United Data'!$C$3:$C$2150,$A161)&gt;0,1,0)</f>
        <v>0</v>
      </c>
      <c r="M161">
        <f>IF(COUNTIFS('United Data'!$A$3:$A$2150,M$1,'United Data'!$C$3:$C$2150,$A161)&gt;0,1,0)</f>
        <v>0</v>
      </c>
      <c r="N161">
        <f>IF(COUNTIFS('United Data'!$A$3:$A$2150,N$1,'United Data'!$C$3:$C$2150,$A161)&gt;0,1,0)</f>
        <v>0</v>
      </c>
      <c r="O161">
        <f>IF(COUNTIFS('United Data'!$A$3:$A$2150,O$1,'United Data'!$C$3:$C$2150,$A161)&gt;0,1,0)</f>
        <v>0</v>
      </c>
      <c r="P161">
        <f>IF(COUNTIFS('United Data'!$A$3:$A$2150,P$1,'United Data'!$C$3:$C$2150,$A161)&gt;0,1,0)</f>
        <v>0</v>
      </c>
      <c r="Q161">
        <f>IF(COUNTIFS('United Data'!$A$3:$A$2150,Q$1,'United Data'!$C$3:$C$2150,$A161)&gt;0,1,0)</f>
        <v>1</v>
      </c>
      <c r="R161">
        <f>IF(COUNTIFS('United Data'!$A$3:$A$2150,R$1,'United Data'!$C$3:$C$2150,$A161)&gt;0,1,0)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207</v>
      </c>
      <c r="B162">
        <f>IF(COUNTIFS('United Data'!$A$3:$A$2150,B$1,'United Data'!$C$3:$C$2150,$A162)&gt;0,1,0)</f>
        <v>0</v>
      </c>
      <c r="C162">
        <f>IF(COUNTIFS('United Data'!$A$3:$A$2150,C$1,'United Data'!$C$3:$C$2150,$A162)&gt;0,1,0)</f>
        <v>0</v>
      </c>
      <c r="D162">
        <f>IF(COUNTIFS('United Data'!$A$3:$A$2150,D$1,'United Data'!$C$3:$C$2150,$A162)&gt;0,1,0)</f>
        <v>0</v>
      </c>
      <c r="E162">
        <f>IF(COUNTIFS('United Data'!$A$3:$A$2150,E$1,'United Data'!$C$3:$C$2150,$A162)&gt;0,1,0)</f>
        <v>0</v>
      </c>
      <c r="F162">
        <f>IF(COUNTIFS('United Data'!$A$3:$A$2150,F$1,'United Data'!$C$3:$C$2150,$A162)&gt;0,1,0)</f>
        <v>0</v>
      </c>
      <c r="G162">
        <f>IF(COUNTIFS('United Data'!$A$3:$A$2150,G$1,'United Data'!$C$3:$C$2150,$A162)&gt;0,1,0)</f>
        <v>0</v>
      </c>
      <c r="H162">
        <f>IF(COUNTIFS('United Data'!$A$3:$A$2150,H$1,'United Data'!$C$3:$C$2150,$A162)&gt;0,1,0)</f>
        <v>0</v>
      </c>
      <c r="I162">
        <f>IF(COUNTIFS('United Data'!$A$3:$A$2150,I$1,'United Data'!$C$3:$C$2150,$A162)&gt;0,1,0)</f>
        <v>0</v>
      </c>
      <c r="J162">
        <f>IF(COUNTIFS('United Data'!$A$3:$A$2150,J$1,'United Data'!$C$3:$C$2150,$A162)&gt;0,1,0)</f>
        <v>0</v>
      </c>
      <c r="K162">
        <f>IF(COUNTIFS('United Data'!$A$3:$A$2150,K$1,'United Data'!$C$3:$C$2150,$A162)&gt;0,1,0)</f>
        <v>0</v>
      </c>
      <c r="L162">
        <f>IF(COUNTIFS('United Data'!$A$3:$A$2150,L$1,'United Data'!$C$3:$C$2150,$A162)&gt;0,1,0)</f>
        <v>0</v>
      </c>
      <c r="M162">
        <f>IF(COUNTIFS('United Data'!$A$3:$A$2150,M$1,'United Data'!$C$3:$C$2150,$A162)&gt;0,1,0)</f>
        <v>0</v>
      </c>
      <c r="N162">
        <f>IF(COUNTIFS('United Data'!$A$3:$A$2150,N$1,'United Data'!$C$3:$C$2150,$A162)&gt;0,1,0)</f>
        <v>0</v>
      </c>
      <c r="O162">
        <f>IF(COUNTIFS('United Data'!$A$3:$A$2150,O$1,'United Data'!$C$3:$C$2150,$A162)&gt;0,1,0)</f>
        <v>0</v>
      </c>
      <c r="P162">
        <f>IF(COUNTIFS('United Data'!$A$3:$A$2150,P$1,'United Data'!$C$3:$C$2150,$A162)&gt;0,1,0)</f>
        <v>0</v>
      </c>
      <c r="Q162">
        <f>IF(COUNTIFS('United Data'!$A$3:$A$2150,Q$1,'United Data'!$C$3:$C$2150,$A162)&gt;0,1,0)</f>
        <v>1</v>
      </c>
      <c r="R162">
        <f>IF(COUNTIFS('United Data'!$A$3:$A$2150,R$1,'United Data'!$C$3:$C$2150,$A162)&gt;0,1,0)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208</v>
      </c>
      <c r="B163">
        <f>IF(COUNTIFS('United Data'!$A$3:$A$2150,B$1,'United Data'!$C$3:$C$2150,$A163)&gt;0,1,0)</f>
        <v>0</v>
      </c>
      <c r="C163">
        <f>IF(COUNTIFS('United Data'!$A$3:$A$2150,C$1,'United Data'!$C$3:$C$2150,$A163)&gt;0,1,0)</f>
        <v>0</v>
      </c>
      <c r="D163">
        <f>IF(COUNTIFS('United Data'!$A$3:$A$2150,D$1,'United Data'!$C$3:$C$2150,$A163)&gt;0,1,0)</f>
        <v>0</v>
      </c>
      <c r="E163">
        <f>IF(COUNTIFS('United Data'!$A$3:$A$2150,E$1,'United Data'!$C$3:$C$2150,$A163)&gt;0,1,0)</f>
        <v>0</v>
      </c>
      <c r="F163">
        <f>IF(COUNTIFS('United Data'!$A$3:$A$2150,F$1,'United Data'!$C$3:$C$2150,$A163)&gt;0,1,0)</f>
        <v>0</v>
      </c>
      <c r="G163">
        <f>IF(COUNTIFS('United Data'!$A$3:$A$2150,G$1,'United Data'!$C$3:$C$2150,$A163)&gt;0,1,0)</f>
        <v>0</v>
      </c>
      <c r="H163">
        <f>IF(COUNTIFS('United Data'!$A$3:$A$2150,H$1,'United Data'!$C$3:$C$2150,$A163)&gt;0,1,0)</f>
        <v>0</v>
      </c>
      <c r="I163">
        <f>IF(COUNTIFS('United Data'!$A$3:$A$2150,I$1,'United Data'!$C$3:$C$2150,$A163)&gt;0,1,0)</f>
        <v>0</v>
      </c>
      <c r="J163">
        <f>IF(COUNTIFS('United Data'!$A$3:$A$2150,J$1,'United Data'!$C$3:$C$2150,$A163)&gt;0,1,0)</f>
        <v>0</v>
      </c>
      <c r="K163">
        <f>IF(COUNTIFS('United Data'!$A$3:$A$2150,K$1,'United Data'!$C$3:$C$2150,$A163)&gt;0,1,0)</f>
        <v>0</v>
      </c>
      <c r="L163">
        <f>IF(COUNTIFS('United Data'!$A$3:$A$2150,L$1,'United Data'!$C$3:$C$2150,$A163)&gt;0,1,0)</f>
        <v>0</v>
      </c>
      <c r="M163">
        <f>IF(COUNTIFS('United Data'!$A$3:$A$2150,M$1,'United Data'!$C$3:$C$2150,$A163)&gt;0,1,0)</f>
        <v>0</v>
      </c>
      <c r="N163">
        <f>IF(COUNTIFS('United Data'!$A$3:$A$2150,N$1,'United Data'!$C$3:$C$2150,$A163)&gt;0,1,0)</f>
        <v>0</v>
      </c>
      <c r="O163">
        <f>IF(COUNTIFS('United Data'!$A$3:$A$2150,O$1,'United Data'!$C$3:$C$2150,$A163)&gt;0,1,0)</f>
        <v>0</v>
      </c>
      <c r="P163">
        <f>IF(COUNTIFS('United Data'!$A$3:$A$2150,P$1,'United Data'!$C$3:$C$2150,$A163)&gt;0,1,0)</f>
        <v>0</v>
      </c>
      <c r="Q163">
        <f>IF(COUNTIFS('United Data'!$A$3:$A$2150,Q$1,'United Data'!$C$3:$C$2150,$A163)&gt;0,1,0)</f>
        <v>1</v>
      </c>
      <c r="R163">
        <f>IF(COUNTIFS('United Data'!$A$3:$A$2150,R$1,'United Data'!$C$3:$C$2150,$A163)&gt;0,1,0)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209</v>
      </c>
      <c r="B164">
        <f>IF(COUNTIFS('United Data'!$A$3:$A$2150,B$1,'United Data'!$C$3:$C$2150,$A164)&gt;0,1,0)</f>
        <v>0</v>
      </c>
      <c r="C164">
        <f>IF(COUNTIFS('United Data'!$A$3:$A$2150,C$1,'United Data'!$C$3:$C$2150,$A164)&gt;0,1,0)</f>
        <v>0</v>
      </c>
      <c r="D164">
        <f>IF(COUNTIFS('United Data'!$A$3:$A$2150,D$1,'United Data'!$C$3:$C$2150,$A164)&gt;0,1,0)</f>
        <v>0</v>
      </c>
      <c r="E164">
        <f>IF(COUNTIFS('United Data'!$A$3:$A$2150,E$1,'United Data'!$C$3:$C$2150,$A164)&gt;0,1,0)</f>
        <v>0</v>
      </c>
      <c r="F164">
        <f>IF(COUNTIFS('United Data'!$A$3:$A$2150,F$1,'United Data'!$C$3:$C$2150,$A164)&gt;0,1,0)</f>
        <v>0</v>
      </c>
      <c r="G164">
        <f>IF(COUNTIFS('United Data'!$A$3:$A$2150,G$1,'United Data'!$C$3:$C$2150,$A164)&gt;0,1,0)</f>
        <v>0</v>
      </c>
      <c r="H164">
        <f>IF(COUNTIFS('United Data'!$A$3:$A$2150,H$1,'United Data'!$C$3:$C$2150,$A164)&gt;0,1,0)</f>
        <v>0</v>
      </c>
      <c r="I164">
        <f>IF(COUNTIFS('United Data'!$A$3:$A$2150,I$1,'United Data'!$C$3:$C$2150,$A164)&gt;0,1,0)</f>
        <v>0</v>
      </c>
      <c r="J164">
        <f>IF(COUNTIFS('United Data'!$A$3:$A$2150,J$1,'United Data'!$C$3:$C$2150,$A164)&gt;0,1,0)</f>
        <v>0</v>
      </c>
      <c r="K164">
        <f>IF(COUNTIFS('United Data'!$A$3:$A$2150,K$1,'United Data'!$C$3:$C$2150,$A164)&gt;0,1,0)</f>
        <v>0</v>
      </c>
      <c r="L164">
        <f>IF(COUNTIFS('United Data'!$A$3:$A$2150,L$1,'United Data'!$C$3:$C$2150,$A164)&gt;0,1,0)</f>
        <v>0</v>
      </c>
      <c r="M164">
        <f>IF(COUNTIFS('United Data'!$A$3:$A$2150,M$1,'United Data'!$C$3:$C$2150,$A164)&gt;0,1,0)</f>
        <v>0</v>
      </c>
      <c r="N164">
        <f>IF(COUNTIFS('United Data'!$A$3:$A$2150,N$1,'United Data'!$C$3:$C$2150,$A164)&gt;0,1,0)</f>
        <v>0</v>
      </c>
      <c r="O164">
        <f>IF(COUNTIFS('United Data'!$A$3:$A$2150,O$1,'United Data'!$C$3:$C$2150,$A164)&gt;0,1,0)</f>
        <v>0</v>
      </c>
      <c r="P164">
        <f>IF(COUNTIFS('United Data'!$A$3:$A$2150,P$1,'United Data'!$C$3:$C$2150,$A164)&gt;0,1,0)</f>
        <v>0</v>
      </c>
      <c r="Q164">
        <f>IF(COUNTIFS('United Data'!$A$3:$A$2150,Q$1,'United Data'!$C$3:$C$2150,$A164)&gt;0,1,0)</f>
        <v>1</v>
      </c>
      <c r="R164">
        <f>IF(COUNTIFS('United Data'!$A$3:$A$2150,R$1,'United Data'!$C$3:$C$2150,$A164)&gt;0,1,0)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210</v>
      </c>
      <c r="B165">
        <f>IF(COUNTIFS('United Data'!$A$3:$A$2150,B$1,'United Data'!$C$3:$C$2150,$A165)&gt;0,1,0)</f>
        <v>0</v>
      </c>
      <c r="C165">
        <f>IF(COUNTIFS('United Data'!$A$3:$A$2150,C$1,'United Data'!$C$3:$C$2150,$A165)&gt;0,1,0)</f>
        <v>0</v>
      </c>
      <c r="D165">
        <f>IF(COUNTIFS('United Data'!$A$3:$A$2150,D$1,'United Data'!$C$3:$C$2150,$A165)&gt;0,1,0)</f>
        <v>0</v>
      </c>
      <c r="E165">
        <f>IF(COUNTIFS('United Data'!$A$3:$A$2150,E$1,'United Data'!$C$3:$C$2150,$A165)&gt;0,1,0)</f>
        <v>0</v>
      </c>
      <c r="F165">
        <f>IF(COUNTIFS('United Data'!$A$3:$A$2150,F$1,'United Data'!$C$3:$C$2150,$A165)&gt;0,1,0)</f>
        <v>0</v>
      </c>
      <c r="G165">
        <f>IF(COUNTIFS('United Data'!$A$3:$A$2150,G$1,'United Data'!$C$3:$C$2150,$A165)&gt;0,1,0)</f>
        <v>0</v>
      </c>
      <c r="H165">
        <f>IF(COUNTIFS('United Data'!$A$3:$A$2150,H$1,'United Data'!$C$3:$C$2150,$A165)&gt;0,1,0)</f>
        <v>0</v>
      </c>
      <c r="I165">
        <f>IF(COUNTIFS('United Data'!$A$3:$A$2150,I$1,'United Data'!$C$3:$C$2150,$A165)&gt;0,1,0)</f>
        <v>0</v>
      </c>
      <c r="J165">
        <f>IF(COUNTIFS('United Data'!$A$3:$A$2150,J$1,'United Data'!$C$3:$C$2150,$A165)&gt;0,1,0)</f>
        <v>0</v>
      </c>
      <c r="K165">
        <f>IF(COUNTIFS('United Data'!$A$3:$A$2150,K$1,'United Data'!$C$3:$C$2150,$A165)&gt;0,1,0)</f>
        <v>0</v>
      </c>
      <c r="L165">
        <f>IF(COUNTIFS('United Data'!$A$3:$A$2150,L$1,'United Data'!$C$3:$C$2150,$A165)&gt;0,1,0)</f>
        <v>0</v>
      </c>
      <c r="M165">
        <f>IF(COUNTIFS('United Data'!$A$3:$A$2150,M$1,'United Data'!$C$3:$C$2150,$A165)&gt;0,1,0)</f>
        <v>0</v>
      </c>
      <c r="N165">
        <f>IF(COUNTIFS('United Data'!$A$3:$A$2150,N$1,'United Data'!$C$3:$C$2150,$A165)&gt;0,1,0)</f>
        <v>0</v>
      </c>
      <c r="O165">
        <f>IF(COUNTIFS('United Data'!$A$3:$A$2150,O$1,'United Data'!$C$3:$C$2150,$A165)&gt;0,1,0)</f>
        <v>0</v>
      </c>
      <c r="P165">
        <f>IF(COUNTIFS('United Data'!$A$3:$A$2150,P$1,'United Data'!$C$3:$C$2150,$A165)&gt;0,1,0)</f>
        <v>0</v>
      </c>
      <c r="Q165">
        <f>IF(COUNTIFS('United Data'!$A$3:$A$2150,Q$1,'United Data'!$C$3:$C$2150,$A165)&gt;0,1,0)</f>
        <v>1</v>
      </c>
      <c r="R165">
        <f>IF(COUNTIFS('United Data'!$A$3:$A$2150,R$1,'United Data'!$C$3:$C$2150,$A165)&gt;0,1,0)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211</v>
      </c>
      <c r="B166">
        <f>IF(COUNTIFS('United Data'!$A$3:$A$2150,B$1,'United Data'!$C$3:$C$2150,$A166)&gt;0,1,0)</f>
        <v>0</v>
      </c>
      <c r="C166">
        <f>IF(COUNTIFS('United Data'!$A$3:$A$2150,C$1,'United Data'!$C$3:$C$2150,$A166)&gt;0,1,0)</f>
        <v>0</v>
      </c>
      <c r="D166">
        <f>IF(COUNTIFS('United Data'!$A$3:$A$2150,D$1,'United Data'!$C$3:$C$2150,$A166)&gt;0,1,0)</f>
        <v>0</v>
      </c>
      <c r="E166">
        <f>IF(COUNTIFS('United Data'!$A$3:$A$2150,E$1,'United Data'!$C$3:$C$2150,$A166)&gt;0,1,0)</f>
        <v>0</v>
      </c>
      <c r="F166">
        <f>IF(COUNTIFS('United Data'!$A$3:$A$2150,F$1,'United Data'!$C$3:$C$2150,$A166)&gt;0,1,0)</f>
        <v>0</v>
      </c>
      <c r="G166">
        <f>IF(COUNTIFS('United Data'!$A$3:$A$2150,G$1,'United Data'!$C$3:$C$2150,$A166)&gt;0,1,0)</f>
        <v>0</v>
      </c>
      <c r="H166">
        <f>IF(COUNTIFS('United Data'!$A$3:$A$2150,H$1,'United Data'!$C$3:$C$2150,$A166)&gt;0,1,0)</f>
        <v>0</v>
      </c>
      <c r="I166">
        <f>IF(COUNTIFS('United Data'!$A$3:$A$2150,I$1,'United Data'!$C$3:$C$2150,$A166)&gt;0,1,0)</f>
        <v>0</v>
      </c>
      <c r="J166">
        <f>IF(COUNTIFS('United Data'!$A$3:$A$2150,J$1,'United Data'!$C$3:$C$2150,$A166)&gt;0,1,0)</f>
        <v>0</v>
      </c>
      <c r="K166">
        <f>IF(COUNTIFS('United Data'!$A$3:$A$2150,K$1,'United Data'!$C$3:$C$2150,$A166)&gt;0,1,0)</f>
        <v>0</v>
      </c>
      <c r="L166">
        <f>IF(COUNTIFS('United Data'!$A$3:$A$2150,L$1,'United Data'!$C$3:$C$2150,$A166)&gt;0,1,0)</f>
        <v>0</v>
      </c>
      <c r="M166">
        <f>IF(COUNTIFS('United Data'!$A$3:$A$2150,M$1,'United Data'!$C$3:$C$2150,$A166)&gt;0,1,0)</f>
        <v>0</v>
      </c>
      <c r="N166">
        <f>IF(COUNTIFS('United Data'!$A$3:$A$2150,N$1,'United Data'!$C$3:$C$2150,$A166)&gt;0,1,0)</f>
        <v>0</v>
      </c>
      <c r="O166">
        <f>IF(COUNTIFS('United Data'!$A$3:$A$2150,O$1,'United Data'!$C$3:$C$2150,$A166)&gt;0,1,0)</f>
        <v>0</v>
      </c>
      <c r="P166">
        <f>IF(COUNTIFS('United Data'!$A$3:$A$2150,P$1,'United Data'!$C$3:$C$2150,$A166)&gt;0,1,0)</f>
        <v>0</v>
      </c>
      <c r="Q166">
        <f>IF(COUNTIFS('United Data'!$A$3:$A$2150,Q$1,'United Data'!$C$3:$C$2150,$A166)&gt;0,1,0)</f>
        <v>1</v>
      </c>
      <c r="R166">
        <f>IF(COUNTIFS('United Data'!$A$3:$A$2150,R$1,'United Data'!$C$3:$C$2150,$A166)&gt;0,1,0)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212</v>
      </c>
      <c r="B167">
        <f>IF(COUNTIFS('United Data'!$A$3:$A$2150,B$1,'United Data'!$C$3:$C$2150,$A167)&gt;0,1,0)</f>
        <v>0</v>
      </c>
      <c r="C167">
        <f>IF(COUNTIFS('United Data'!$A$3:$A$2150,C$1,'United Data'!$C$3:$C$2150,$A167)&gt;0,1,0)</f>
        <v>0</v>
      </c>
      <c r="D167">
        <f>IF(COUNTIFS('United Data'!$A$3:$A$2150,D$1,'United Data'!$C$3:$C$2150,$A167)&gt;0,1,0)</f>
        <v>0</v>
      </c>
      <c r="E167">
        <f>IF(COUNTIFS('United Data'!$A$3:$A$2150,E$1,'United Data'!$C$3:$C$2150,$A167)&gt;0,1,0)</f>
        <v>0</v>
      </c>
      <c r="F167">
        <f>IF(COUNTIFS('United Data'!$A$3:$A$2150,F$1,'United Data'!$C$3:$C$2150,$A167)&gt;0,1,0)</f>
        <v>0</v>
      </c>
      <c r="G167">
        <f>IF(COUNTIFS('United Data'!$A$3:$A$2150,G$1,'United Data'!$C$3:$C$2150,$A167)&gt;0,1,0)</f>
        <v>0</v>
      </c>
      <c r="H167">
        <f>IF(COUNTIFS('United Data'!$A$3:$A$2150,H$1,'United Data'!$C$3:$C$2150,$A167)&gt;0,1,0)</f>
        <v>0</v>
      </c>
      <c r="I167">
        <f>IF(COUNTIFS('United Data'!$A$3:$A$2150,I$1,'United Data'!$C$3:$C$2150,$A167)&gt;0,1,0)</f>
        <v>0</v>
      </c>
      <c r="J167">
        <f>IF(COUNTIFS('United Data'!$A$3:$A$2150,J$1,'United Data'!$C$3:$C$2150,$A167)&gt;0,1,0)</f>
        <v>0</v>
      </c>
      <c r="K167">
        <f>IF(COUNTIFS('United Data'!$A$3:$A$2150,K$1,'United Data'!$C$3:$C$2150,$A167)&gt;0,1,0)</f>
        <v>0</v>
      </c>
      <c r="L167">
        <f>IF(COUNTIFS('United Data'!$A$3:$A$2150,L$1,'United Data'!$C$3:$C$2150,$A167)&gt;0,1,0)</f>
        <v>0</v>
      </c>
      <c r="M167">
        <f>IF(COUNTIFS('United Data'!$A$3:$A$2150,M$1,'United Data'!$C$3:$C$2150,$A167)&gt;0,1,0)</f>
        <v>0</v>
      </c>
      <c r="N167">
        <f>IF(COUNTIFS('United Data'!$A$3:$A$2150,N$1,'United Data'!$C$3:$C$2150,$A167)&gt;0,1,0)</f>
        <v>0</v>
      </c>
      <c r="O167">
        <f>IF(COUNTIFS('United Data'!$A$3:$A$2150,O$1,'United Data'!$C$3:$C$2150,$A167)&gt;0,1,0)</f>
        <v>0</v>
      </c>
      <c r="P167">
        <f>IF(COUNTIFS('United Data'!$A$3:$A$2150,P$1,'United Data'!$C$3:$C$2150,$A167)&gt;0,1,0)</f>
        <v>0</v>
      </c>
      <c r="Q167">
        <f>IF(COUNTIFS('United Data'!$A$3:$A$2150,Q$1,'United Data'!$C$3:$C$2150,$A167)&gt;0,1,0)</f>
        <v>1</v>
      </c>
      <c r="R167">
        <f>IF(COUNTIFS('United Data'!$A$3:$A$2150,R$1,'United Data'!$C$3:$C$2150,$A167)&gt;0,1,0)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213</v>
      </c>
      <c r="B168">
        <f>IF(COUNTIFS('United Data'!$A$3:$A$2150,B$1,'United Data'!$C$3:$C$2150,$A168)&gt;0,1,0)</f>
        <v>0</v>
      </c>
      <c r="C168">
        <f>IF(COUNTIFS('United Data'!$A$3:$A$2150,C$1,'United Data'!$C$3:$C$2150,$A168)&gt;0,1,0)</f>
        <v>0</v>
      </c>
      <c r="D168">
        <f>IF(COUNTIFS('United Data'!$A$3:$A$2150,D$1,'United Data'!$C$3:$C$2150,$A168)&gt;0,1,0)</f>
        <v>0</v>
      </c>
      <c r="E168">
        <f>IF(COUNTIFS('United Data'!$A$3:$A$2150,E$1,'United Data'!$C$3:$C$2150,$A168)&gt;0,1,0)</f>
        <v>0</v>
      </c>
      <c r="F168">
        <f>IF(COUNTIFS('United Data'!$A$3:$A$2150,F$1,'United Data'!$C$3:$C$2150,$A168)&gt;0,1,0)</f>
        <v>0</v>
      </c>
      <c r="G168">
        <f>IF(COUNTIFS('United Data'!$A$3:$A$2150,G$1,'United Data'!$C$3:$C$2150,$A168)&gt;0,1,0)</f>
        <v>0</v>
      </c>
      <c r="H168">
        <f>IF(COUNTIFS('United Data'!$A$3:$A$2150,H$1,'United Data'!$C$3:$C$2150,$A168)&gt;0,1,0)</f>
        <v>0</v>
      </c>
      <c r="I168">
        <f>IF(COUNTIFS('United Data'!$A$3:$A$2150,I$1,'United Data'!$C$3:$C$2150,$A168)&gt;0,1,0)</f>
        <v>0</v>
      </c>
      <c r="J168">
        <f>IF(COUNTIFS('United Data'!$A$3:$A$2150,J$1,'United Data'!$C$3:$C$2150,$A168)&gt;0,1,0)</f>
        <v>0</v>
      </c>
      <c r="K168">
        <f>IF(COUNTIFS('United Data'!$A$3:$A$2150,K$1,'United Data'!$C$3:$C$2150,$A168)&gt;0,1,0)</f>
        <v>0</v>
      </c>
      <c r="L168">
        <f>IF(COUNTIFS('United Data'!$A$3:$A$2150,L$1,'United Data'!$C$3:$C$2150,$A168)&gt;0,1,0)</f>
        <v>0</v>
      </c>
      <c r="M168">
        <f>IF(COUNTIFS('United Data'!$A$3:$A$2150,M$1,'United Data'!$C$3:$C$2150,$A168)&gt;0,1,0)</f>
        <v>0</v>
      </c>
      <c r="N168">
        <f>IF(COUNTIFS('United Data'!$A$3:$A$2150,N$1,'United Data'!$C$3:$C$2150,$A168)&gt;0,1,0)</f>
        <v>0</v>
      </c>
      <c r="O168">
        <f>IF(COUNTIFS('United Data'!$A$3:$A$2150,O$1,'United Data'!$C$3:$C$2150,$A168)&gt;0,1,0)</f>
        <v>0</v>
      </c>
      <c r="P168">
        <f>IF(COUNTIFS('United Data'!$A$3:$A$2150,P$1,'United Data'!$C$3:$C$2150,$A168)&gt;0,1,0)</f>
        <v>0</v>
      </c>
      <c r="Q168">
        <f>IF(COUNTIFS('United Data'!$A$3:$A$2150,Q$1,'United Data'!$C$3:$C$2150,$A168)&gt;0,1,0)</f>
        <v>1</v>
      </c>
      <c r="R168">
        <f>IF(COUNTIFS('United Data'!$A$3:$A$2150,R$1,'United Data'!$C$3:$C$2150,$A168)&gt;0,1,0)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214</v>
      </c>
      <c r="B169">
        <f>IF(COUNTIFS('United Data'!$A$3:$A$2150,B$1,'United Data'!$C$3:$C$2150,$A169)&gt;0,1,0)</f>
        <v>0</v>
      </c>
      <c r="C169">
        <f>IF(COUNTIFS('United Data'!$A$3:$A$2150,C$1,'United Data'!$C$3:$C$2150,$A169)&gt;0,1,0)</f>
        <v>0</v>
      </c>
      <c r="D169">
        <f>IF(COUNTIFS('United Data'!$A$3:$A$2150,D$1,'United Data'!$C$3:$C$2150,$A169)&gt;0,1,0)</f>
        <v>0</v>
      </c>
      <c r="E169">
        <f>IF(COUNTIFS('United Data'!$A$3:$A$2150,E$1,'United Data'!$C$3:$C$2150,$A169)&gt;0,1,0)</f>
        <v>0</v>
      </c>
      <c r="F169">
        <f>IF(COUNTIFS('United Data'!$A$3:$A$2150,F$1,'United Data'!$C$3:$C$2150,$A169)&gt;0,1,0)</f>
        <v>0</v>
      </c>
      <c r="G169">
        <f>IF(COUNTIFS('United Data'!$A$3:$A$2150,G$1,'United Data'!$C$3:$C$2150,$A169)&gt;0,1,0)</f>
        <v>0</v>
      </c>
      <c r="H169">
        <f>IF(COUNTIFS('United Data'!$A$3:$A$2150,H$1,'United Data'!$C$3:$C$2150,$A169)&gt;0,1,0)</f>
        <v>0</v>
      </c>
      <c r="I169">
        <f>IF(COUNTIFS('United Data'!$A$3:$A$2150,I$1,'United Data'!$C$3:$C$2150,$A169)&gt;0,1,0)</f>
        <v>0</v>
      </c>
      <c r="J169">
        <f>IF(COUNTIFS('United Data'!$A$3:$A$2150,J$1,'United Data'!$C$3:$C$2150,$A169)&gt;0,1,0)</f>
        <v>0</v>
      </c>
      <c r="K169">
        <f>IF(COUNTIFS('United Data'!$A$3:$A$2150,K$1,'United Data'!$C$3:$C$2150,$A169)&gt;0,1,0)</f>
        <v>0</v>
      </c>
      <c r="L169">
        <f>IF(COUNTIFS('United Data'!$A$3:$A$2150,L$1,'United Data'!$C$3:$C$2150,$A169)&gt;0,1,0)</f>
        <v>0</v>
      </c>
      <c r="M169">
        <f>IF(COUNTIFS('United Data'!$A$3:$A$2150,M$1,'United Data'!$C$3:$C$2150,$A169)&gt;0,1,0)</f>
        <v>0</v>
      </c>
      <c r="N169">
        <f>IF(COUNTIFS('United Data'!$A$3:$A$2150,N$1,'United Data'!$C$3:$C$2150,$A169)&gt;0,1,0)</f>
        <v>0</v>
      </c>
      <c r="O169">
        <f>IF(COUNTIFS('United Data'!$A$3:$A$2150,O$1,'United Data'!$C$3:$C$2150,$A169)&gt;0,1,0)</f>
        <v>0</v>
      </c>
      <c r="P169">
        <f>IF(COUNTIFS('United Data'!$A$3:$A$2150,P$1,'United Data'!$C$3:$C$2150,$A169)&gt;0,1,0)</f>
        <v>0</v>
      </c>
      <c r="Q169">
        <f>IF(COUNTIFS('United Data'!$A$3:$A$2150,Q$1,'United Data'!$C$3:$C$2150,$A169)&gt;0,1,0)</f>
        <v>1</v>
      </c>
      <c r="R169">
        <f>IF(COUNTIFS('United Data'!$A$3:$A$2150,R$1,'United Data'!$C$3:$C$2150,$A169)&gt;0,1,0)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215</v>
      </c>
      <c r="B170">
        <f>IF(COUNTIFS('United Data'!$A$3:$A$2150,B$1,'United Data'!$C$3:$C$2150,$A170)&gt;0,1,0)</f>
        <v>1</v>
      </c>
      <c r="C170">
        <f>IF(COUNTIFS('United Data'!$A$3:$A$2150,C$1,'United Data'!$C$3:$C$2150,$A170)&gt;0,1,0)</f>
        <v>1</v>
      </c>
      <c r="D170">
        <f>IF(COUNTIFS('United Data'!$A$3:$A$2150,D$1,'United Data'!$C$3:$C$2150,$A170)&gt;0,1,0)</f>
        <v>0</v>
      </c>
      <c r="E170">
        <f>IF(COUNTIFS('United Data'!$A$3:$A$2150,E$1,'United Data'!$C$3:$C$2150,$A170)&gt;0,1,0)</f>
        <v>0</v>
      </c>
      <c r="F170">
        <f>IF(COUNTIFS('United Data'!$A$3:$A$2150,F$1,'United Data'!$C$3:$C$2150,$A170)&gt;0,1,0)</f>
        <v>0</v>
      </c>
      <c r="G170">
        <f>IF(COUNTIFS('United Data'!$A$3:$A$2150,G$1,'United Data'!$C$3:$C$2150,$A170)&gt;0,1,0)</f>
        <v>0</v>
      </c>
      <c r="H170">
        <f>IF(COUNTIFS('United Data'!$A$3:$A$2150,H$1,'United Data'!$C$3:$C$2150,$A170)&gt;0,1,0)</f>
        <v>0</v>
      </c>
      <c r="I170">
        <f>IF(COUNTIFS('United Data'!$A$3:$A$2150,I$1,'United Data'!$C$3:$C$2150,$A170)&gt;0,1,0)</f>
        <v>0</v>
      </c>
      <c r="J170">
        <f>IF(COUNTIFS('United Data'!$A$3:$A$2150,J$1,'United Data'!$C$3:$C$2150,$A170)&gt;0,1,0)</f>
        <v>0</v>
      </c>
      <c r="K170">
        <f>IF(COUNTIFS('United Data'!$A$3:$A$2150,K$1,'United Data'!$C$3:$C$2150,$A170)&gt;0,1,0)</f>
        <v>0</v>
      </c>
      <c r="L170">
        <f>IF(COUNTIFS('United Data'!$A$3:$A$2150,L$1,'United Data'!$C$3:$C$2150,$A170)&gt;0,1,0)</f>
        <v>0</v>
      </c>
      <c r="M170">
        <f>IF(COUNTIFS('United Data'!$A$3:$A$2150,M$1,'United Data'!$C$3:$C$2150,$A170)&gt;0,1,0)</f>
        <v>0</v>
      </c>
      <c r="N170">
        <f>IF(COUNTIFS('United Data'!$A$3:$A$2150,N$1,'United Data'!$C$3:$C$2150,$A170)&gt;0,1,0)</f>
        <v>0</v>
      </c>
      <c r="O170">
        <f>IF(COUNTIFS('United Data'!$A$3:$A$2150,O$1,'United Data'!$C$3:$C$2150,$A170)&gt;0,1,0)</f>
        <v>1</v>
      </c>
      <c r="P170">
        <f>IF(COUNTIFS('United Data'!$A$3:$A$2150,P$1,'United Data'!$C$3:$C$2150,$A170)&gt;0,1,0)</f>
        <v>1</v>
      </c>
      <c r="Q170">
        <f>IF(COUNTIFS('United Data'!$A$3:$A$2150,Q$1,'United Data'!$C$3:$C$2150,$A170)&gt;0,1,0)</f>
        <v>1</v>
      </c>
      <c r="R170">
        <f>IF(COUNTIFS('United Data'!$A$3:$A$2150,R$1,'United Data'!$C$3:$C$2150,$A170)&gt;0,1,0)</f>
        <v>0</v>
      </c>
      <c r="S170">
        <f t="shared" si="4"/>
        <v>5</v>
      </c>
      <c r="T170">
        <f t="shared" si="5"/>
        <v>2</v>
      </c>
    </row>
    <row r="171" spans="1:20" x14ac:dyDescent="0.2">
      <c r="A171" t="s">
        <v>216</v>
      </c>
      <c r="B171">
        <f>IF(COUNTIFS('United Data'!$A$3:$A$2150,B$1,'United Data'!$C$3:$C$2150,$A171)&gt;0,1,0)</f>
        <v>1</v>
      </c>
      <c r="C171">
        <f>IF(COUNTIFS('United Data'!$A$3:$A$2150,C$1,'United Data'!$C$3:$C$2150,$A171)&gt;0,1,0)</f>
        <v>1</v>
      </c>
      <c r="D171">
        <f>IF(COUNTIFS('United Data'!$A$3:$A$2150,D$1,'United Data'!$C$3:$C$2150,$A171)&gt;0,1,0)</f>
        <v>1</v>
      </c>
      <c r="E171">
        <f>IF(COUNTIFS('United Data'!$A$3:$A$2150,E$1,'United Data'!$C$3:$C$2150,$A171)&gt;0,1,0)</f>
        <v>1</v>
      </c>
      <c r="F171">
        <f>IF(COUNTIFS('United Data'!$A$3:$A$2150,F$1,'United Data'!$C$3:$C$2150,$A171)&gt;0,1,0)</f>
        <v>0</v>
      </c>
      <c r="G171">
        <f>IF(COUNTIFS('United Data'!$A$3:$A$2150,G$1,'United Data'!$C$3:$C$2150,$A171)&gt;0,1,0)</f>
        <v>0</v>
      </c>
      <c r="H171">
        <f>IF(COUNTIFS('United Data'!$A$3:$A$2150,H$1,'United Data'!$C$3:$C$2150,$A171)&gt;0,1,0)</f>
        <v>1</v>
      </c>
      <c r="I171">
        <f>IF(COUNTIFS('United Data'!$A$3:$A$2150,I$1,'United Data'!$C$3:$C$2150,$A171)&gt;0,1,0)</f>
        <v>0</v>
      </c>
      <c r="J171">
        <f>IF(COUNTIFS('United Data'!$A$3:$A$2150,J$1,'United Data'!$C$3:$C$2150,$A171)&gt;0,1,0)</f>
        <v>1</v>
      </c>
      <c r="K171">
        <f>IF(COUNTIFS('United Data'!$A$3:$A$2150,K$1,'United Data'!$C$3:$C$2150,$A171)&gt;0,1,0)</f>
        <v>1</v>
      </c>
      <c r="L171">
        <f>IF(COUNTIFS('United Data'!$A$3:$A$2150,L$1,'United Data'!$C$3:$C$2150,$A171)&gt;0,1,0)</f>
        <v>1</v>
      </c>
      <c r="M171">
        <f>IF(COUNTIFS('United Data'!$A$3:$A$2150,M$1,'United Data'!$C$3:$C$2150,$A171)&gt;0,1,0)</f>
        <v>1</v>
      </c>
      <c r="N171">
        <f>IF(COUNTIFS('United Data'!$A$3:$A$2150,N$1,'United Data'!$C$3:$C$2150,$A171)&gt;0,1,0)</f>
        <v>0</v>
      </c>
      <c r="O171">
        <f>IF(COUNTIFS('United Data'!$A$3:$A$2150,O$1,'United Data'!$C$3:$C$2150,$A171)&gt;0,1,0)</f>
        <v>0</v>
      </c>
      <c r="P171">
        <f>IF(COUNTIFS('United Data'!$A$3:$A$2150,P$1,'United Data'!$C$3:$C$2150,$A171)&gt;0,1,0)</f>
        <v>0</v>
      </c>
      <c r="Q171">
        <f>IF(COUNTIFS('United Data'!$A$3:$A$2150,Q$1,'United Data'!$C$3:$C$2150,$A171)&gt;0,1,0)</f>
        <v>0</v>
      </c>
      <c r="R171">
        <f>IF(COUNTIFS('United Data'!$A$3:$A$2150,R$1,'United Data'!$C$3:$C$2150,$A171)&gt;0,1,0)</f>
        <v>0</v>
      </c>
      <c r="S171">
        <f t="shared" si="4"/>
        <v>9</v>
      </c>
      <c r="T171">
        <f t="shared" si="5"/>
        <v>3</v>
      </c>
    </row>
    <row r="172" spans="1:20" x14ac:dyDescent="0.2">
      <c r="A172" t="s">
        <v>217</v>
      </c>
      <c r="B172">
        <f>IF(COUNTIFS('United Data'!$A$3:$A$2150,B$1,'United Data'!$C$3:$C$2150,$A172)&gt;0,1,0)</f>
        <v>1</v>
      </c>
      <c r="C172">
        <f>IF(COUNTIFS('United Data'!$A$3:$A$2150,C$1,'United Data'!$C$3:$C$2150,$A172)&gt;0,1,0)</f>
        <v>0</v>
      </c>
      <c r="D172">
        <f>IF(COUNTIFS('United Data'!$A$3:$A$2150,D$1,'United Data'!$C$3:$C$2150,$A172)&gt;0,1,0)</f>
        <v>0</v>
      </c>
      <c r="E172">
        <f>IF(COUNTIFS('United Data'!$A$3:$A$2150,E$1,'United Data'!$C$3:$C$2150,$A172)&gt;0,1,0)</f>
        <v>0</v>
      </c>
      <c r="F172">
        <f>IF(COUNTIFS('United Data'!$A$3:$A$2150,F$1,'United Data'!$C$3:$C$2150,$A172)&gt;0,1,0)</f>
        <v>0</v>
      </c>
      <c r="G172">
        <f>IF(COUNTIFS('United Data'!$A$3:$A$2150,G$1,'United Data'!$C$3:$C$2150,$A172)&gt;0,1,0)</f>
        <v>0</v>
      </c>
      <c r="H172">
        <f>IF(COUNTIFS('United Data'!$A$3:$A$2150,H$1,'United Data'!$C$3:$C$2150,$A172)&gt;0,1,0)</f>
        <v>1</v>
      </c>
      <c r="I172">
        <f>IF(COUNTIFS('United Data'!$A$3:$A$2150,I$1,'United Data'!$C$3:$C$2150,$A172)&gt;0,1,0)</f>
        <v>0</v>
      </c>
      <c r="J172">
        <f>IF(COUNTIFS('United Data'!$A$3:$A$2150,J$1,'United Data'!$C$3:$C$2150,$A172)&gt;0,1,0)</f>
        <v>0</v>
      </c>
      <c r="K172">
        <f>IF(COUNTIFS('United Data'!$A$3:$A$2150,K$1,'United Data'!$C$3:$C$2150,$A172)&gt;0,1,0)</f>
        <v>0</v>
      </c>
      <c r="L172">
        <f>IF(COUNTIFS('United Data'!$A$3:$A$2150,L$1,'United Data'!$C$3:$C$2150,$A172)&gt;0,1,0)</f>
        <v>0</v>
      </c>
      <c r="M172">
        <f>IF(COUNTIFS('United Data'!$A$3:$A$2150,M$1,'United Data'!$C$3:$C$2150,$A172)&gt;0,1,0)</f>
        <v>0</v>
      </c>
      <c r="N172">
        <f>IF(COUNTIFS('United Data'!$A$3:$A$2150,N$1,'United Data'!$C$3:$C$2150,$A172)&gt;0,1,0)</f>
        <v>0</v>
      </c>
      <c r="O172">
        <f>IF(COUNTIFS('United Data'!$A$3:$A$2150,O$1,'United Data'!$C$3:$C$2150,$A172)&gt;0,1,0)</f>
        <v>1</v>
      </c>
      <c r="P172">
        <f>IF(COUNTIFS('United Data'!$A$3:$A$2150,P$1,'United Data'!$C$3:$C$2150,$A172)&gt;0,1,0)</f>
        <v>1</v>
      </c>
      <c r="Q172">
        <f>IF(COUNTIFS('United Data'!$A$3:$A$2150,Q$1,'United Data'!$C$3:$C$2150,$A172)&gt;0,1,0)</f>
        <v>1</v>
      </c>
      <c r="R172">
        <f>IF(COUNTIFS('United Data'!$A$3:$A$2150,R$1,'United Data'!$C$3:$C$2150,$A172)&gt;0,1,0)</f>
        <v>0</v>
      </c>
      <c r="S172">
        <f t="shared" si="4"/>
        <v>5</v>
      </c>
      <c r="T172">
        <f t="shared" si="5"/>
        <v>3</v>
      </c>
    </row>
    <row r="173" spans="1:20" x14ac:dyDescent="0.2">
      <c r="A173" t="s">
        <v>218</v>
      </c>
      <c r="B173">
        <f>IF(COUNTIFS('United Data'!$A$3:$A$2150,B$1,'United Data'!$C$3:$C$2150,$A173)&gt;0,1,0)</f>
        <v>1</v>
      </c>
      <c r="C173">
        <f>IF(COUNTIFS('United Data'!$A$3:$A$2150,C$1,'United Data'!$C$3:$C$2150,$A173)&gt;0,1,0)</f>
        <v>1</v>
      </c>
      <c r="D173">
        <f>IF(COUNTIFS('United Data'!$A$3:$A$2150,D$1,'United Data'!$C$3:$C$2150,$A173)&gt;0,1,0)</f>
        <v>0</v>
      </c>
      <c r="E173">
        <f>IF(COUNTIFS('United Data'!$A$3:$A$2150,E$1,'United Data'!$C$3:$C$2150,$A173)&gt;0,1,0)</f>
        <v>0</v>
      </c>
      <c r="F173">
        <f>IF(COUNTIFS('United Data'!$A$3:$A$2150,F$1,'United Data'!$C$3:$C$2150,$A173)&gt;0,1,0)</f>
        <v>0</v>
      </c>
      <c r="G173">
        <f>IF(COUNTIFS('United Data'!$A$3:$A$2150,G$1,'United Data'!$C$3:$C$2150,$A173)&gt;0,1,0)</f>
        <v>0</v>
      </c>
      <c r="H173">
        <f>IF(COUNTIFS('United Data'!$A$3:$A$2150,H$1,'United Data'!$C$3:$C$2150,$A173)&gt;0,1,0)</f>
        <v>0</v>
      </c>
      <c r="I173">
        <f>IF(COUNTIFS('United Data'!$A$3:$A$2150,I$1,'United Data'!$C$3:$C$2150,$A173)&gt;0,1,0)</f>
        <v>0</v>
      </c>
      <c r="J173">
        <f>IF(COUNTIFS('United Data'!$A$3:$A$2150,J$1,'United Data'!$C$3:$C$2150,$A173)&gt;0,1,0)</f>
        <v>0</v>
      </c>
      <c r="K173">
        <f>IF(COUNTIFS('United Data'!$A$3:$A$2150,K$1,'United Data'!$C$3:$C$2150,$A173)&gt;0,1,0)</f>
        <v>0</v>
      </c>
      <c r="L173">
        <f>IF(COUNTIFS('United Data'!$A$3:$A$2150,L$1,'United Data'!$C$3:$C$2150,$A173)&gt;0,1,0)</f>
        <v>0</v>
      </c>
      <c r="M173">
        <f>IF(COUNTIFS('United Data'!$A$3:$A$2150,M$1,'United Data'!$C$3:$C$2150,$A173)&gt;0,1,0)</f>
        <v>0</v>
      </c>
      <c r="N173">
        <f>IF(COUNTIFS('United Data'!$A$3:$A$2150,N$1,'United Data'!$C$3:$C$2150,$A173)&gt;0,1,0)</f>
        <v>1</v>
      </c>
      <c r="O173">
        <f>IF(COUNTIFS('United Data'!$A$3:$A$2150,O$1,'United Data'!$C$3:$C$2150,$A173)&gt;0,1,0)</f>
        <v>1</v>
      </c>
      <c r="P173">
        <f>IF(COUNTIFS('United Data'!$A$3:$A$2150,P$1,'United Data'!$C$3:$C$2150,$A173)&gt;0,1,0)</f>
        <v>1</v>
      </c>
      <c r="Q173">
        <f>IF(COUNTIFS('United Data'!$A$3:$A$2150,Q$1,'United Data'!$C$3:$C$2150,$A173)&gt;0,1,0)</f>
        <v>1</v>
      </c>
      <c r="R173">
        <f>IF(COUNTIFS('United Data'!$A$3:$A$2150,R$1,'United Data'!$C$3:$C$2150,$A173)&gt;0,1,0)</f>
        <v>0</v>
      </c>
      <c r="S173">
        <f t="shared" si="4"/>
        <v>6</v>
      </c>
      <c r="T173">
        <f t="shared" si="5"/>
        <v>2</v>
      </c>
    </row>
    <row r="174" spans="1:20" x14ac:dyDescent="0.2">
      <c r="A174" t="s">
        <v>219</v>
      </c>
      <c r="B174">
        <f>IF(COUNTIFS('United Data'!$A$3:$A$2150,B$1,'United Data'!$C$3:$C$2150,$A174)&gt;0,1,0)</f>
        <v>0</v>
      </c>
      <c r="C174">
        <f>IF(COUNTIFS('United Data'!$A$3:$A$2150,C$1,'United Data'!$C$3:$C$2150,$A174)&gt;0,1,0)</f>
        <v>0</v>
      </c>
      <c r="D174">
        <f>IF(COUNTIFS('United Data'!$A$3:$A$2150,D$1,'United Data'!$C$3:$C$2150,$A174)&gt;0,1,0)</f>
        <v>1</v>
      </c>
      <c r="E174">
        <f>IF(COUNTIFS('United Data'!$A$3:$A$2150,E$1,'United Data'!$C$3:$C$2150,$A174)&gt;0,1,0)</f>
        <v>0</v>
      </c>
      <c r="F174">
        <f>IF(COUNTIFS('United Data'!$A$3:$A$2150,F$1,'United Data'!$C$3:$C$2150,$A174)&gt;0,1,0)</f>
        <v>0</v>
      </c>
      <c r="G174">
        <f>IF(COUNTIFS('United Data'!$A$3:$A$2150,G$1,'United Data'!$C$3:$C$2150,$A174)&gt;0,1,0)</f>
        <v>0</v>
      </c>
      <c r="H174">
        <f>IF(COUNTIFS('United Data'!$A$3:$A$2150,H$1,'United Data'!$C$3:$C$2150,$A174)&gt;0,1,0)</f>
        <v>0</v>
      </c>
      <c r="I174">
        <f>IF(COUNTIFS('United Data'!$A$3:$A$2150,I$1,'United Data'!$C$3:$C$2150,$A174)&gt;0,1,0)</f>
        <v>0</v>
      </c>
      <c r="J174">
        <f>IF(COUNTIFS('United Data'!$A$3:$A$2150,J$1,'United Data'!$C$3:$C$2150,$A174)&gt;0,1,0)</f>
        <v>0</v>
      </c>
      <c r="K174">
        <f>IF(COUNTIFS('United Data'!$A$3:$A$2150,K$1,'United Data'!$C$3:$C$2150,$A174)&gt;0,1,0)</f>
        <v>0</v>
      </c>
      <c r="L174">
        <f>IF(COUNTIFS('United Data'!$A$3:$A$2150,L$1,'United Data'!$C$3:$C$2150,$A174)&gt;0,1,0)</f>
        <v>0</v>
      </c>
      <c r="M174">
        <f>IF(COUNTIFS('United Data'!$A$3:$A$2150,M$1,'United Data'!$C$3:$C$2150,$A174)&gt;0,1,0)</f>
        <v>0</v>
      </c>
      <c r="N174">
        <f>IF(COUNTIFS('United Data'!$A$3:$A$2150,N$1,'United Data'!$C$3:$C$2150,$A174)&gt;0,1,0)</f>
        <v>0</v>
      </c>
      <c r="O174">
        <f>IF(COUNTIFS('United Data'!$A$3:$A$2150,O$1,'United Data'!$C$3:$C$2150,$A174)&gt;0,1,0)</f>
        <v>0</v>
      </c>
      <c r="P174">
        <f>IF(COUNTIFS('United Data'!$A$3:$A$2150,P$1,'United Data'!$C$3:$C$2150,$A174)&gt;0,1,0)</f>
        <v>0</v>
      </c>
      <c r="Q174">
        <f>IF(COUNTIFS('United Data'!$A$3:$A$2150,Q$1,'United Data'!$C$3:$C$2150,$A174)&gt;0,1,0)</f>
        <v>0</v>
      </c>
      <c r="R174">
        <f>IF(COUNTIFS('United Data'!$A$3:$A$2150,R$1,'United Data'!$C$3:$C$2150,$A174)&gt;0,1,0)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220</v>
      </c>
      <c r="B175">
        <f>IF(COUNTIFS('United Data'!$A$3:$A$2150,B$1,'United Data'!$C$3:$C$2150,$A175)&gt;0,1,0)</f>
        <v>0</v>
      </c>
      <c r="C175">
        <f>IF(COUNTIFS('United Data'!$A$3:$A$2150,C$1,'United Data'!$C$3:$C$2150,$A175)&gt;0,1,0)</f>
        <v>0</v>
      </c>
      <c r="D175">
        <f>IF(COUNTIFS('United Data'!$A$3:$A$2150,D$1,'United Data'!$C$3:$C$2150,$A175)&gt;0,1,0)</f>
        <v>1</v>
      </c>
      <c r="E175">
        <f>IF(COUNTIFS('United Data'!$A$3:$A$2150,E$1,'United Data'!$C$3:$C$2150,$A175)&gt;0,1,0)</f>
        <v>0</v>
      </c>
      <c r="F175">
        <f>IF(COUNTIFS('United Data'!$A$3:$A$2150,F$1,'United Data'!$C$3:$C$2150,$A175)&gt;0,1,0)</f>
        <v>0</v>
      </c>
      <c r="G175">
        <f>IF(COUNTIFS('United Data'!$A$3:$A$2150,G$1,'United Data'!$C$3:$C$2150,$A175)&gt;0,1,0)</f>
        <v>0</v>
      </c>
      <c r="H175">
        <f>IF(COUNTIFS('United Data'!$A$3:$A$2150,H$1,'United Data'!$C$3:$C$2150,$A175)&gt;0,1,0)</f>
        <v>0</v>
      </c>
      <c r="I175">
        <f>IF(COUNTIFS('United Data'!$A$3:$A$2150,I$1,'United Data'!$C$3:$C$2150,$A175)&gt;0,1,0)</f>
        <v>0</v>
      </c>
      <c r="J175">
        <f>IF(COUNTIFS('United Data'!$A$3:$A$2150,J$1,'United Data'!$C$3:$C$2150,$A175)&gt;0,1,0)</f>
        <v>0</v>
      </c>
      <c r="K175">
        <f>IF(COUNTIFS('United Data'!$A$3:$A$2150,K$1,'United Data'!$C$3:$C$2150,$A175)&gt;0,1,0)</f>
        <v>0</v>
      </c>
      <c r="L175">
        <f>IF(COUNTIFS('United Data'!$A$3:$A$2150,L$1,'United Data'!$C$3:$C$2150,$A175)&gt;0,1,0)</f>
        <v>0</v>
      </c>
      <c r="M175">
        <f>IF(COUNTIFS('United Data'!$A$3:$A$2150,M$1,'United Data'!$C$3:$C$2150,$A175)&gt;0,1,0)</f>
        <v>0</v>
      </c>
      <c r="N175">
        <f>IF(COUNTIFS('United Data'!$A$3:$A$2150,N$1,'United Data'!$C$3:$C$2150,$A175)&gt;0,1,0)</f>
        <v>0</v>
      </c>
      <c r="O175">
        <f>IF(COUNTIFS('United Data'!$A$3:$A$2150,O$1,'United Data'!$C$3:$C$2150,$A175)&gt;0,1,0)</f>
        <v>0</v>
      </c>
      <c r="P175">
        <f>IF(COUNTIFS('United Data'!$A$3:$A$2150,P$1,'United Data'!$C$3:$C$2150,$A175)&gt;0,1,0)</f>
        <v>0</v>
      </c>
      <c r="Q175">
        <f>IF(COUNTIFS('United Data'!$A$3:$A$2150,Q$1,'United Data'!$C$3:$C$2150,$A175)&gt;0,1,0)</f>
        <v>0</v>
      </c>
      <c r="R175">
        <f>IF(COUNTIFS('United Data'!$A$3:$A$2150,R$1,'United Data'!$C$3:$C$2150,$A175)&gt;0,1,0)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221</v>
      </c>
      <c r="B176">
        <f>IF(COUNTIFS('United Data'!$A$3:$A$2150,B$1,'United Data'!$C$3:$C$2150,$A176)&gt;0,1,0)</f>
        <v>0</v>
      </c>
      <c r="C176">
        <f>IF(COUNTIFS('United Data'!$A$3:$A$2150,C$1,'United Data'!$C$3:$C$2150,$A176)&gt;0,1,0)</f>
        <v>0</v>
      </c>
      <c r="D176">
        <f>IF(COUNTIFS('United Data'!$A$3:$A$2150,D$1,'United Data'!$C$3:$C$2150,$A176)&gt;0,1,0)</f>
        <v>1</v>
      </c>
      <c r="E176">
        <f>IF(COUNTIFS('United Data'!$A$3:$A$2150,E$1,'United Data'!$C$3:$C$2150,$A176)&gt;0,1,0)</f>
        <v>1</v>
      </c>
      <c r="F176">
        <f>IF(COUNTIFS('United Data'!$A$3:$A$2150,F$1,'United Data'!$C$3:$C$2150,$A176)&gt;0,1,0)</f>
        <v>1</v>
      </c>
      <c r="G176">
        <f>IF(COUNTIFS('United Data'!$A$3:$A$2150,G$1,'United Data'!$C$3:$C$2150,$A176)&gt;0,1,0)</f>
        <v>1</v>
      </c>
      <c r="H176">
        <f>IF(COUNTIFS('United Data'!$A$3:$A$2150,H$1,'United Data'!$C$3:$C$2150,$A176)&gt;0,1,0)</f>
        <v>1</v>
      </c>
      <c r="I176">
        <f>IF(COUNTIFS('United Data'!$A$3:$A$2150,I$1,'United Data'!$C$3:$C$2150,$A176)&gt;0,1,0)</f>
        <v>1</v>
      </c>
      <c r="J176">
        <f>IF(COUNTIFS('United Data'!$A$3:$A$2150,J$1,'United Data'!$C$3:$C$2150,$A176)&gt;0,1,0)</f>
        <v>1</v>
      </c>
      <c r="K176">
        <f>IF(COUNTIFS('United Data'!$A$3:$A$2150,K$1,'United Data'!$C$3:$C$2150,$A176)&gt;0,1,0)</f>
        <v>0</v>
      </c>
      <c r="L176">
        <f>IF(COUNTIFS('United Data'!$A$3:$A$2150,L$1,'United Data'!$C$3:$C$2150,$A176)&gt;0,1,0)</f>
        <v>0</v>
      </c>
      <c r="M176">
        <f>IF(COUNTIFS('United Data'!$A$3:$A$2150,M$1,'United Data'!$C$3:$C$2150,$A176)&gt;0,1,0)</f>
        <v>0</v>
      </c>
      <c r="N176">
        <f>IF(COUNTIFS('United Data'!$A$3:$A$2150,N$1,'United Data'!$C$3:$C$2150,$A176)&gt;0,1,0)</f>
        <v>0</v>
      </c>
      <c r="O176">
        <f>IF(COUNTIFS('United Data'!$A$3:$A$2150,O$1,'United Data'!$C$3:$C$2150,$A176)&gt;0,1,0)</f>
        <v>0</v>
      </c>
      <c r="P176">
        <f>IF(COUNTIFS('United Data'!$A$3:$A$2150,P$1,'United Data'!$C$3:$C$2150,$A176)&gt;0,1,0)</f>
        <v>0</v>
      </c>
      <c r="Q176">
        <f>IF(COUNTIFS('United Data'!$A$3:$A$2150,Q$1,'United Data'!$C$3:$C$2150,$A176)&gt;0,1,0)</f>
        <v>0</v>
      </c>
      <c r="R176">
        <f>IF(COUNTIFS('United Data'!$A$3:$A$2150,R$1,'United Data'!$C$3:$C$2150,$A176)&gt;0,1,0)</f>
        <v>0</v>
      </c>
      <c r="S176">
        <f t="shared" si="4"/>
        <v>7</v>
      </c>
      <c r="T176">
        <f t="shared" si="5"/>
        <v>1</v>
      </c>
    </row>
    <row r="177" spans="1:20" x14ac:dyDescent="0.2">
      <c r="A177" t="s">
        <v>222</v>
      </c>
      <c r="B177">
        <f>IF(COUNTIFS('United Data'!$A$3:$A$2150,B$1,'United Data'!$C$3:$C$2150,$A177)&gt;0,1,0)</f>
        <v>0</v>
      </c>
      <c r="C177">
        <f>IF(COUNTIFS('United Data'!$A$3:$A$2150,C$1,'United Data'!$C$3:$C$2150,$A177)&gt;0,1,0)</f>
        <v>0</v>
      </c>
      <c r="D177">
        <f>IF(COUNTIFS('United Data'!$A$3:$A$2150,D$1,'United Data'!$C$3:$C$2150,$A177)&gt;0,1,0)</f>
        <v>1</v>
      </c>
      <c r="E177">
        <f>IF(COUNTIFS('United Data'!$A$3:$A$2150,E$1,'United Data'!$C$3:$C$2150,$A177)&gt;0,1,0)</f>
        <v>0</v>
      </c>
      <c r="F177">
        <f>IF(COUNTIFS('United Data'!$A$3:$A$2150,F$1,'United Data'!$C$3:$C$2150,$A177)&gt;0,1,0)</f>
        <v>0</v>
      </c>
      <c r="G177">
        <f>IF(COUNTIFS('United Data'!$A$3:$A$2150,G$1,'United Data'!$C$3:$C$2150,$A177)&gt;0,1,0)</f>
        <v>0</v>
      </c>
      <c r="H177">
        <f>IF(COUNTIFS('United Data'!$A$3:$A$2150,H$1,'United Data'!$C$3:$C$2150,$A177)&gt;0,1,0)</f>
        <v>0</v>
      </c>
      <c r="I177">
        <f>IF(COUNTIFS('United Data'!$A$3:$A$2150,I$1,'United Data'!$C$3:$C$2150,$A177)&gt;0,1,0)</f>
        <v>0</v>
      </c>
      <c r="J177">
        <f>IF(COUNTIFS('United Data'!$A$3:$A$2150,J$1,'United Data'!$C$3:$C$2150,$A177)&gt;0,1,0)</f>
        <v>0</v>
      </c>
      <c r="K177">
        <f>IF(COUNTIFS('United Data'!$A$3:$A$2150,K$1,'United Data'!$C$3:$C$2150,$A177)&gt;0,1,0)</f>
        <v>0</v>
      </c>
      <c r="L177">
        <f>IF(COUNTIFS('United Data'!$A$3:$A$2150,L$1,'United Data'!$C$3:$C$2150,$A177)&gt;0,1,0)</f>
        <v>0</v>
      </c>
      <c r="M177">
        <f>IF(COUNTIFS('United Data'!$A$3:$A$2150,M$1,'United Data'!$C$3:$C$2150,$A177)&gt;0,1,0)</f>
        <v>0</v>
      </c>
      <c r="N177">
        <f>IF(COUNTIFS('United Data'!$A$3:$A$2150,N$1,'United Data'!$C$3:$C$2150,$A177)&gt;0,1,0)</f>
        <v>0</v>
      </c>
      <c r="O177">
        <f>IF(COUNTIFS('United Data'!$A$3:$A$2150,O$1,'United Data'!$C$3:$C$2150,$A177)&gt;0,1,0)</f>
        <v>0</v>
      </c>
      <c r="P177">
        <f>IF(COUNTIFS('United Data'!$A$3:$A$2150,P$1,'United Data'!$C$3:$C$2150,$A177)&gt;0,1,0)</f>
        <v>0</v>
      </c>
      <c r="Q177">
        <f>IF(COUNTIFS('United Data'!$A$3:$A$2150,Q$1,'United Data'!$C$3:$C$2150,$A177)&gt;0,1,0)</f>
        <v>0</v>
      </c>
      <c r="R177">
        <f>IF(COUNTIFS('United Data'!$A$3:$A$2150,R$1,'United Data'!$C$3:$C$2150,$A177)&gt;0,1,0)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223</v>
      </c>
      <c r="B178">
        <f>IF(COUNTIFS('United Data'!$A$3:$A$2150,B$1,'United Data'!$C$3:$C$2150,$A178)&gt;0,1,0)</f>
        <v>0</v>
      </c>
      <c r="C178">
        <f>IF(COUNTIFS('United Data'!$A$3:$A$2150,C$1,'United Data'!$C$3:$C$2150,$A178)&gt;0,1,0)</f>
        <v>0</v>
      </c>
      <c r="D178">
        <f>IF(COUNTIFS('United Data'!$A$3:$A$2150,D$1,'United Data'!$C$3:$C$2150,$A178)&gt;0,1,0)</f>
        <v>0</v>
      </c>
      <c r="E178">
        <f>IF(COUNTIFS('United Data'!$A$3:$A$2150,E$1,'United Data'!$C$3:$C$2150,$A178)&gt;0,1,0)</f>
        <v>1</v>
      </c>
      <c r="F178">
        <f>IF(COUNTIFS('United Data'!$A$3:$A$2150,F$1,'United Data'!$C$3:$C$2150,$A178)&gt;0,1,0)</f>
        <v>1</v>
      </c>
      <c r="G178">
        <f>IF(COUNTIFS('United Data'!$A$3:$A$2150,G$1,'United Data'!$C$3:$C$2150,$A178)&gt;0,1,0)</f>
        <v>0</v>
      </c>
      <c r="H178">
        <f>IF(COUNTIFS('United Data'!$A$3:$A$2150,H$1,'United Data'!$C$3:$C$2150,$A178)&gt;0,1,0)</f>
        <v>1</v>
      </c>
      <c r="I178">
        <f>IF(COUNTIFS('United Data'!$A$3:$A$2150,I$1,'United Data'!$C$3:$C$2150,$A178)&gt;0,1,0)</f>
        <v>1</v>
      </c>
      <c r="J178">
        <f>IF(COUNTIFS('United Data'!$A$3:$A$2150,J$1,'United Data'!$C$3:$C$2150,$A178)&gt;0,1,0)</f>
        <v>1</v>
      </c>
      <c r="K178">
        <f>IF(COUNTIFS('United Data'!$A$3:$A$2150,K$1,'United Data'!$C$3:$C$2150,$A178)&gt;0,1,0)</f>
        <v>0</v>
      </c>
      <c r="L178">
        <f>IF(COUNTIFS('United Data'!$A$3:$A$2150,L$1,'United Data'!$C$3:$C$2150,$A178)&gt;0,1,0)</f>
        <v>1</v>
      </c>
      <c r="M178">
        <f>IF(COUNTIFS('United Data'!$A$3:$A$2150,M$1,'United Data'!$C$3:$C$2150,$A178)&gt;0,1,0)</f>
        <v>1</v>
      </c>
      <c r="N178">
        <f>IF(COUNTIFS('United Data'!$A$3:$A$2150,N$1,'United Data'!$C$3:$C$2150,$A178)&gt;0,1,0)</f>
        <v>0</v>
      </c>
      <c r="O178">
        <f>IF(COUNTIFS('United Data'!$A$3:$A$2150,O$1,'United Data'!$C$3:$C$2150,$A178)&gt;0,1,0)</f>
        <v>0</v>
      </c>
      <c r="P178">
        <f>IF(COUNTIFS('United Data'!$A$3:$A$2150,P$1,'United Data'!$C$3:$C$2150,$A178)&gt;0,1,0)</f>
        <v>0</v>
      </c>
      <c r="Q178">
        <f>IF(COUNTIFS('United Data'!$A$3:$A$2150,Q$1,'United Data'!$C$3:$C$2150,$A178)&gt;0,1,0)</f>
        <v>0</v>
      </c>
      <c r="R178">
        <f>IF(COUNTIFS('United Data'!$A$3:$A$2150,R$1,'United Data'!$C$3:$C$2150,$A178)&gt;0,1,0)</f>
        <v>0</v>
      </c>
      <c r="S178">
        <f t="shared" si="4"/>
        <v>7</v>
      </c>
      <c r="T178">
        <f t="shared" si="5"/>
        <v>3</v>
      </c>
    </row>
    <row r="179" spans="1:20" x14ac:dyDescent="0.2">
      <c r="A179" t="s">
        <v>224</v>
      </c>
      <c r="B179">
        <f>IF(COUNTIFS('United Data'!$A$3:$A$2150,B$1,'United Data'!$C$3:$C$2150,$A179)&gt;0,1,0)</f>
        <v>0</v>
      </c>
      <c r="C179">
        <f>IF(COUNTIFS('United Data'!$A$3:$A$2150,C$1,'United Data'!$C$3:$C$2150,$A179)&gt;0,1,0)</f>
        <v>0</v>
      </c>
      <c r="D179">
        <f>IF(COUNTIFS('United Data'!$A$3:$A$2150,D$1,'United Data'!$C$3:$C$2150,$A179)&gt;0,1,0)</f>
        <v>0</v>
      </c>
      <c r="E179">
        <f>IF(COUNTIFS('United Data'!$A$3:$A$2150,E$1,'United Data'!$C$3:$C$2150,$A179)&gt;0,1,0)</f>
        <v>1</v>
      </c>
      <c r="F179">
        <f>IF(COUNTIFS('United Data'!$A$3:$A$2150,F$1,'United Data'!$C$3:$C$2150,$A179)&gt;0,1,0)</f>
        <v>1</v>
      </c>
      <c r="G179">
        <f>IF(COUNTIFS('United Data'!$A$3:$A$2150,G$1,'United Data'!$C$3:$C$2150,$A179)&gt;0,1,0)</f>
        <v>0</v>
      </c>
      <c r="H179">
        <f>IF(COUNTIFS('United Data'!$A$3:$A$2150,H$1,'United Data'!$C$3:$C$2150,$A179)&gt;0,1,0)</f>
        <v>1</v>
      </c>
      <c r="I179">
        <f>IF(COUNTIFS('United Data'!$A$3:$A$2150,I$1,'United Data'!$C$3:$C$2150,$A179)&gt;0,1,0)</f>
        <v>1</v>
      </c>
      <c r="J179">
        <f>IF(COUNTIFS('United Data'!$A$3:$A$2150,J$1,'United Data'!$C$3:$C$2150,$A179)&gt;0,1,0)</f>
        <v>1</v>
      </c>
      <c r="K179">
        <f>IF(COUNTIFS('United Data'!$A$3:$A$2150,K$1,'United Data'!$C$3:$C$2150,$A179)&gt;0,1,0)</f>
        <v>1</v>
      </c>
      <c r="L179">
        <f>IF(COUNTIFS('United Data'!$A$3:$A$2150,L$1,'United Data'!$C$3:$C$2150,$A179)&gt;0,1,0)</f>
        <v>1</v>
      </c>
      <c r="M179">
        <f>IF(COUNTIFS('United Data'!$A$3:$A$2150,M$1,'United Data'!$C$3:$C$2150,$A179)&gt;0,1,0)</f>
        <v>1</v>
      </c>
      <c r="N179">
        <f>IF(COUNTIFS('United Data'!$A$3:$A$2150,N$1,'United Data'!$C$3:$C$2150,$A179)&gt;0,1,0)</f>
        <v>1</v>
      </c>
      <c r="O179">
        <f>IF(COUNTIFS('United Data'!$A$3:$A$2150,O$1,'United Data'!$C$3:$C$2150,$A179)&gt;0,1,0)</f>
        <v>0</v>
      </c>
      <c r="P179">
        <f>IF(COUNTIFS('United Data'!$A$3:$A$2150,P$1,'United Data'!$C$3:$C$2150,$A179)&gt;0,1,0)</f>
        <v>0</v>
      </c>
      <c r="Q179">
        <f>IF(COUNTIFS('United Data'!$A$3:$A$2150,Q$1,'United Data'!$C$3:$C$2150,$A179)&gt;0,1,0)</f>
        <v>0</v>
      </c>
      <c r="R179">
        <f>IF(COUNTIFS('United Data'!$A$3:$A$2150,R$1,'United Data'!$C$3:$C$2150,$A179)&gt;0,1,0)</f>
        <v>0</v>
      </c>
      <c r="S179">
        <f t="shared" si="4"/>
        <v>9</v>
      </c>
      <c r="T179">
        <f t="shared" si="5"/>
        <v>2</v>
      </c>
    </row>
    <row r="180" spans="1:20" x14ac:dyDescent="0.2">
      <c r="A180" t="s">
        <v>225</v>
      </c>
      <c r="B180">
        <f>IF(COUNTIFS('United Data'!$A$3:$A$2150,B$1,'United Data'!$C$3:$C$2150,$A180)&gt;0,1,0)</f>
        <v>0</v>
      </c>
      <c r="C180">
        <f>IF(COUNTIFS('United Data'!$A$3:$A$2150,C$1,'United Data'!$C$3:$C$2150,$A180)&gt;0,1,0)</f>
        <v>0</v>
      </c>
      <c r="D180">
        <f>IF(COUNTIFS('United Data'!$A$3:$A$2150,D$1,'United Data'!$C$3:$C$2150,$A180)&gt;0,1,0)</f>
        <v>0</v>
      </c>
      <c r="E180">
        <f>IF(COUNTIFS('United Data'!$A$3:$A$2150,E$1,'United Data'!$C$3:$C$2150,$A180)&gt;0,1,0)</f>
        <v>1</v>
      </c>
      <c r="F180">
        <f>IF(COUNTIFS('United Data'!$A$3:$A$2150,F$1,'United Data'!$C$3:$C$2150,$A180)&gt;0,1,0)</f>
        <v>1</v>
      </c>
      <c r="G180">
        <f>IF(COUNTIFS('United Data'!$A$3:$A$2150,G$1,'United Data'!$C$3:$C$2150,$A180)&gt;0,1,0)</f>
        <v>1</v>
      </c>
      <c r="H180">
        <f>IF(COUNTIFS('United Data'!$A$3:$A$2150,H$1,'United Data'!$C$3:$C$2150,$A180)&gt;0,1,0)</f>
        <v>1</v>
      </c>
      <c r="I180">
        <f>IF(COUNTIFS('United Data'!$A$3:$A$2150,I$1,'United Data'!$C$3:$C$2150,$A180)&gt;0,1,0)</f>
        <v>1</v>
      </c>
      <c r="J180">
        <f>IF(COUNTIFS('United Data'!$A$3:$A$2150,J$1,'United Data'!$C$3:$C$2150,$A180)&gt;0,1,0)</f>
        <v>1</v>
      </c>
      <c r="K180">
        <f>IF(COUNTIFS('United Data'!$A$3:$A$2150,K$1,'United Data'!$C$3:$C$2150,$A180)&gt;0,1,0)</f>
        <v>1</v>
      </c>
      <c r="L180">
        <f>IF(COUNTIFS('United Data'!$A$3:$A$2150,L$1,'United Data'!$C$3:$C$2150,$A180)&gt;0,1,0)</f>
        <v>1</v>
      </c>
      <c r="M180">
        <f>IF(COUNTIFS('United Data'!$A$3:$A$2150,M$1,'United Data'!$C$3:$C$2150,$A180)&gt;0,1,0)</f>
        <v>1</v>
      </c>
      <c r="N180">
        <f>IF(COUNTIFS('United Data'!$A$3:$A$2150,N$1,'United Data'!$C$3:$C$2150,$A180)&gt;0,1,0)</f>
        <v>1</v>
      </c>
      <c r="O180">
        <f>IF(COUNTIFS('United Data'!$A$3:$A$2150,O$1,'United Data'!$C$3:$C$2150,$A180)&gt;0,1,0)</f>
        <v>1</v>
      </c>
      <c r="P180">
        <f>IF(COUNTIFS('United Data'!$A$3:$A$2150,P$1,'United Data'!$C$3:$C$2150,$A180)&gt;0,1,0)</f>
        <v>1</v>
      </c>
      <c r="Q180">
        <f>IF(COUNTIFS('United Data'!$A$3:$A$2150,Q$1,'United Data'!$C$3:$C$2150,$A180)&gt;0,1,0)</f>
        <v>1</v>
      </c>
      <c r="R180">
        <f>IF(COUNTIFS('United Data'!$A$3:$A$2150,R$1,'United Data'!$C$3:$C$2150,$A180)&gt;0,1,0)</f>
        <v>0</v>
      </c>
      <c r="S180">
        <f t="shared" si="4"/>
        <v>13</v>
      </c>
      <c r="T180">
        <f t="shared" si="5"/>
        <v>1</v>
      </c>
    </row>
    <row r="181" spans="1:20" x14ac:dyDescent="0.2">
      <c r="A181" t="s">
        <v>226</v>
      </c>
      <c r="B181">
        <f>IF(COUNTIFS('United Data'!$A$3:$A$2150,B$1,'United Data'!$C$3:$C$2150,$A181)&gt;0,1,0)</f>
        <v>0</v>
      </c>
      <c r="C181">
        <f>IF(COUNTIFS('United Data'!$A$3:$A$2150,C$1,'United Data'!$C$3:$C$2150,$A181)&gt;0,1,0)</f>
        <v>0</v>
      </c>
      <c r="D181">
        <f>IF(COUNTIFS('United Data'!$A$3:$A$2150,D$1,'United Data'!$C$3:$C$2150,$A181)&gt;0,1,0)</f>
        <v>0</v>
      </c>
      <c r="E181">
        <f>IF(COUNTIFS('United Data'!$A$3:$A$2150,E$1,'United Data'!$C$3:$C$2150,$A181)&gt;0,1,0)</f>
        <v>1</v>
      </c>
      <c r="F181">
        <f>IF(COUNTIFS('United Data'!$A$3:$A$2150,F$1,'United Data'!$C$3:$C$2150,$A181)&gt;0,1,0)</f>
        <v>1</v>
      </c>
      <c r="G181">
        <f>IF(COUNTIFS('United Data'!$A$3:$A$2150,G$1,'United Data'!$C$3:$C$2150,$A181)&gt;0,1,0)</f>
        <v>1</v>
      </c>
      <c r="H181">
        <f>IF(COUNTIFS('United Data'!$A$3:$A$2150,H$1,'United Data'!$C$3:$C$2150,$A181)&gt;0,1,0)</f>
        <v>1</v>
      </c>
      <c r="I181">
        <f>IF(COUNTIFS('United Data'!$A$3:$A$2150,I$1,'United Data'!$C$3:$C$2150,$A181)&gt;0,1,0)</f>
        <v>1</v>
      </c>
      <c r="J181">
        <f>IF(COUNTIFS('United Data'!$A$3:$A$2150,J$1,'United Data'!$C$3:$C$2150,$A181)&gt;0,1,0)</f>
        <v>1</v>
      </c>
      <c r="K181">
        <f>IF(COUNTIFS('United Data'!$A$3:$A$2150,K$1,'United Data'!$C$3:$C$2150,$A181)&gt;0,1,0)</f>
        <v>1</v>
      </c>
      <c r="L181">
        <f>IF(COUNTIFS('United Data'!$A$3:$A$2150,L$1,'United Data'!$C$3:$C$2150,$A181)&gt;0,1,0)</f>
        <v>1</v>
      </c>
      <c r="M181">
        <f>IF(COUNTIFS('United Data'!$A$3:$A$2150,M$1,'United Data'!$C$3:$C$2150,$A181)&gt;0,1,0)</f>
        <v>1</v>
      </c>
      <c r="N181">
        <f>IF(COUNTIFS('United Data'!$A$3:$A$2150,N$1,'United Data'!$C$3:$C$2150,$A181)&gt;0,1,0)</f>
        <v>0</v>
      </c>
      <c r="O181">
        <f>IF(COUNTIFS('United Data'!$A$3:$A$2150,O$1,'United Data'!$C$3:$C$2150,$A181)&gt;0,1,0)</f>
        <v>0</v>
      </c>
      <c r="P181">
        <f>IF(COUNTIFS('United Data'!$A$3:$A$2150,P$1,'United Data'!$C$3:$C$2150,$A181)&gt;0,1,0)</f>
        <v>0</v>
      </c>
      <c r="Q181">
        <f>IF(COUNTIFS('United Data'!$A$3:$A$2150,Q$1,'United Data'!$C$3:$C$2150,$A181)&gt;0,1,0)</f>
        <v>0</v>
      </c>
      <c r="R181">
        <f>IF(COUNTIFS('United Data'!$A$3:$A$2150,R$1,'United Data'!$C$3:$C$2150,$A181)&gt;0,1,0)</f>
        <v>0</v>
      </c>
      <c r="S181">
        <f t="shared" si="4"/>
        <v>9</v>
      </c>
      <c r="T181">
        <f t="shared" si="5"/>
        <v>1</v>
      </c>
    </row>
    <row r="182" spans="1:20" x14ac:dyDescent="0.2">
      <c r="A182" t="s">
        <v>227</v>
      </c>
      <c r="B182">
        <f>IF(COUNTIFS('United Data'!$A$3:$A$2150,B$1,'United Data'!$C$3:$C$2150,$A182)&gt;0,1,0)</f>
        <v>0</v>
      </c>
      <c r="C182">
        <f>IF(COUNTIFS('United Data'!$A$3:$A$2150,C$1,'United Data'!$C$3:$C$2150,$A182)&gt;0,1,0)</f>
        <v>1</v>
      </c>
      <c r="D182">
        <f>IF(COUNTIFS('United Data'!$A$3:$A$2150,D$1,'United Data'!$C$3:$C$2150,$A182)&gt;0,1,0)</f>
        <v>1</v>
      </c>
      <c r="E182">
        <f>IF(COUNTIFS('United Data'!$A$3:$A$2150,E$1,'United Data'!$C$3:$C$2150,$A182)&gt;0,1,0)</f>
        <v>1</v>
      </c>
      <c r="F182">
        <f>IF(COUNTIFS('United Data'!$A$3:$A$2150,F$1,'United Data'!$C$3:$C$2150,$A182)&gt;0,1,0)</f>
        <v>1</v>
      </c>
      <c r="G182">
        <f>IF(COUNTIFS('United Data'!$A$3:$A$2150,G$1,'United Data'!$C$3:$C$2150,$A182)&gt;0,1,0)</f>
        <v>1</v>
      </c>
      <c r="H182">
        <f>IF(COUNTIFS('United Data'!$A$3:$A$2150,H$1,'United Data'!$C$3:$C$2150,$A182)&gt;0,1,0)</f>
        <v>1</v>
      </c>
      <c r="I182">
        <f>IF(COUNTIFS('United Data'!$A$3:$A$2150,I$1,'United Data'!$C$3:$C$2150,$A182)&gt;0,1,0)</f>
        <v>1</v>
      </c>
      <c r="J182">
        <f>IF(COUNTIFS('United Data'!$A$3:$A$2150,J$1,'United Data'!$C$3:$C$2150,$A182)&gt;0,1,0)</f>
        <v>1</v>
      </c>
      <c r="K182">
        <f>IF(COUNTIFS('United Data'!$A$3:$A$2150,K$1,'United Data'!$C$3:$C$2150,$A182)&gt;0,1,0)</f>
        <v>1</v>
      </c>
      <c r="L182">
        <f>IF(COUNTIFS('United Data'!$A$3:$A$2150,L$1,'United Data'!$C$3:$C$2150,$A182)&gt;0,1,0)</f>
        <v>1</v>
      </c>
      <c r="M182">
        <f>IF(COUNTIFS('United Data'!$A$3:$A$2150,M$1,'United Data'!$C$3:$C$2150,$A182)&gt;0,1,0)</f>
        <v>1</v>
      </c>
      <c r="N182">
        <f>IF(COUNTIFS('United Data'!$A$3:$A$2150,N$1,'United Data'!$C$3:$C$2150,$A182)&gt;0,1,0)</f>
        <v>1</v>
      </c>
      <c r="O182">
        <f>IF(COUNTIFS('United Data'!$A$3:$A$2150,O$1,'United Data'!$C$3:$C$2150,$A182)&gt;0,1,0)</f>
        <v>0</v>
      </c>
      <c r="P182">
        <f>IF(COUNTIFS('United Data'!$A$3:$A$2150,P$1,'United Data'!$C$3:$C$2150,$A182)&gt;0,1,0)</f>
        <v>0</v>
      </c>
      <c r="Q182">
        <f>IF(COUNTIFS('United Data'!$A$3:$A$2150,Q$1,'United Data'!$C$3:$C$2150,$A182)&gt;0,1,0)</f>
        <v>0</v>
      </c>
      <c r="R182">
        <f>IF(COUNTIFS('United Data'!$A$3:$A$2150,R$1,'United Data'!$C$3:$C$2150,$A182)&gt;0,1,0)</f>
        <v>0</v>
      </c>
      <c r="S182">
        <f t="shared" si="4"/>
        <v>12</v>
      </c>
      <c r="T182">
        <f t="shared" si="5"/>
        <v>1</v>
      </c>
    </row>
    <row r="183" spans="1:20" x14ac:dyDescent="0.2">
      <c r="A183" t="s">
        <v>228</v>
      </c>
      <c r="B183">
        <f>IF(COUNTIFS('United Data'!$A$3:$A$2150,B$1,'United Data'!$C$3:$C$2150,$A183)&gt;0,1,0)</f>
        <v>0</v>
      </c>
      <c r="C183">
        <f>IF(COUNTIFS('United Data'!$A$3:$A$2150,C$1,'United Data'!$C$3:$C$2150,$A183)&gt;0,1,0)</f>
        <v>0</v>
      </c>
      <c r="D183">
        <f>IF(COUNTIFS('United Data'!$A$3:$A$2150,D$1,'United Data'!$C$3:$C$2150,$A183)&gt;0,1,0)</f>
        <v>0</v>
      </c>
      <c r="E183">
        <f>IF(COUNTIFS('United Data'!$A$3:$A$2150,E$1,'United Data'!$C$3:$C$2150,$A183)&gt;0,1,0)</f>
        <v>1</v>
      </c>
      <c r="F183">
        <f>IF(COUNTIFS('United Data'!$A$3:$A$2150,F$1,'United Data'!$C$3:$C$2150,$A183)&gt;0,1,0)</f>
        <v>1</v>
      </c>
      <c r="G183">
        <f>IF(COUNTIFS('United Data'!$A$3:$A$2150,G$1,'United Data'!$C$3:$C$2150,$A183)&gt;0,1,0)</f>
        <v>1</v>
      </c>
      <c r="H183">
        <f>IF(COUNTIFS('United Data'!$A$3:$A$2150,H$1,'United Data'!$C$3:$C$2150,$A183)&gt;0,1,0)</f>
        <v>0</v>
      </c>
      <c r="I183">
        <f>IF(COUNTIFS('United Data'!$A$3:$A$2150,I$1,'United Data'!$C$3:$C$2150,$A183)&gt;0,1,0)</f>
        <v>0</v>
      </c>
      <c r="J183">
        <f>IF(COUNTIFS('United Data'!$A$3:$A$2150,J$1,'United Data'!$C$3:$C$2150,$A183)&gt;0,1,0)</f>
        <v>0</v>
      </c>
      <c r="K183">
        <f>IF(COUNTIFS('United Data'!$A$3:$A$2150,K$1,'United Data'!$C$3:$C$2150,$A183)&gt;0,1,0)</f>
        <v>0</v>
      </c>
      <c r="L183">
        <f>IF(COUNTIFS('United Data'!$A$3:$A$2150,L$1,'United Data'!$C$3:$C$2150,$A183)&gt;0,1,0)</f>
        <v>0</v>
      </c>
      <c r="M183">
        <f>IF(COUNTIFS('United Data'!$A$3:$A$2150,M$1,'United Data'!$C$3:$C$2150,$A183)&gt;0,1,0)</f>
        <v>0</v>
      </c>
      <c r="N183">
        <f>IF(COUNTIFS('United Data'!$A$3:$A$2150,N$1,'United Data'!$C$3:$C$2150,$A183)&gt;0,1,0)</f>
        <v>0</v>
      </c>
      <c r="O183">
        <f>IF(COUNTIFS('United Data'!$A$3:$A$2150,O$1,'United Data'!$C$3:$C$2150,$A183)&gt;0,1,0)</f>
        <v>0</v>
      </c>
      <c r="P183">
        <f>IF(COUNTIFS('United Data'!$A$3:$A$2150,P$1,'United Data'!$C$3:$C$2150,$A183)&gt;0,1,0)</f>
        <v>0</v>
      </c>
      <c r="Q183">
        <f>IF(COUNTIFS('United Data'!$A$3:$A$2150,Q$1,'United Data'!$C$3:$C$2150,$A183)&gt;0,1,0)</f>
        <v>0</v>
      </c>
      <c r="R183">
        <f>IF(COUNTIFS('United Data'!$A$3:$A$2150,R$1,'United Data'!$C$3:$C$2150,$A183)&gt;0,1,0)</f>
        <v>0</v>
      </c>
      <c r="S183">
        <f t="shared" si="4"/>
        <v>3</v>
      </c>
      <c r="T183">
        <f t="shared" si="5"/>
        <v>1</v>
      </c>
    </row>
    <row r="184" spans="1:20" x14ac:dyDescent="0.2">
      <c r="A184" t="s">
        <v>229</v>
      </c>
      <c r="B184">
        <f>IF(COUNTIFS('United Data'!$A$3:$A$2150,B$1,'United Data'!$C$3:$C$2150,$A184)&gt;0,1,0)</f>
        <v>0</v>
      </c>
      <c r="C184">
        <f>IF(COUNTIFS('United Data'!$A$3:$A$2150,C$1,'United Data'!$C$3:$C$2150,$A184)&gt;0,1,0)</f>
        <v>0</v>
      </c>
      <c r="D184">
        <f>IF(COUNTIFS('United Data'!$A$3:$A$2150,D$1,'United Data'!$C$3:$C$2150,$A184)&gt;0,1,0)</f>
        <v>0</v>
      </c>
      <c r="E184">
        <f>IF(COUNTIFS('United Data'!$A$3:$A$2150,E$1,'United Data'!$C$3:$C$2150,$A184)&gt;0,1,0)</f>
        <v>1</v>
      </c>
      <c r="F184">
        <f>IF(COUNTIFS('United Data'!$A$3:$A$2150,F$1,'United Data'!$C$3:$C$2150,$A184)&gt;0,1,0)</f>
        <v>1</v>
      </c>
      <c r="G184">
        <f>IF(COUNTIFS('United Data'!$A$3:$A$2150,G$1,'United Data'!$C$3:$C$2150,$A184)&gt;0,1,0)</f>
        <v>1</v>
      </c>
      <c r="H184">
        <f>IF(COUNTIFS('United Data'!$A$3:$A$2150,H$1,'United Data'!$C$3:$C$2150,$A184)&gt;0,1,0)</f>
        <v>1</v>
      </c>
      <c r="I184">
        <f>IF(COUNTIFS('United Data'!$A$3:$A$2150,I$1,'United Data'!$C$3:$C$2150,$A184)&gt;0,1,0)</f>
        <v>0</v>
      </c>
      <c r="J184">
        <f>IF(COUNTIFS('United Data'!$A$3:$A$2150,J$1,'United Data'!$C$3:$C$2150,$A184)&gt;0,1,0)</f>
        <v>1</v>
      </c>
      <c r="K184">
        <f>IF(COUNTIFS('United Data'!$A$3:$A$2150,K$1,'United Data'!$C$3:$C$2150,$A184)&gt;0,1,0)</f>
        <v>1</v>
      </c>
      <c r="L184">
        <f>IF(COUNTIFS('United Data'!$A$3:$A$2150,L$1,'United Data'!$C$3:$C$2150,$A184)&gt;0,1,0)</f>
        <v>1</v>
      </c>
      <c r="M184">
        <f>IF(COUNTIFS('United Data'!$A$3:$A$2150,M$1,'United Data'!$C$3:$C$2150,$A184)&gt;0,1,0)</f>
        <v>1</v>
      </c>
      <c r="N184">
        <f>IF(COUNTIFS('United Data'!$A$3:$A$2150,N$1,'United Data'!$C$3:$C$2150,$A184)&gt;0,1,0)</f>
        <v>0</v>
      </c>
      <c r="O184">
        <f>IF(COUNTIFS('United Data'!$A$3:$A$2150,O$1,'United Data'!$C$3:$C$2150,$A184)&gt;0,1,0)</f>
        <v>0</v>
      </c>
      <c r="P184">
        <f>IF(COUNTIFS('United Data'!$A$3:$A$2150,P$1,'United Data'!$C$3:$C$2150,$A184)&gt;0,1,0)</f>
        <v>0</v>
      </c>
      <c r="Q184">
        <f>IF(COUNTIFS('United Data'!$A$3:$A$2150,Q$1,'United Data'!$C$3:$C$2150,$A184)&gt;0,1,0)</f>
        <v>0</v>
      </c>
      <c r="R184">
        <f>IF(COUNTIFS('United Data'!$A$3:$A$2150,R$1,'United Data'!$C$3:$C$2150,$A184)&gt;0,1,0)</f>
        <v>0</v>
      </c>
      <c r="S184">
        <f t="shared" si="4"/>
        <v>8</v>
      </c>
      <c r="T184">
        <f t="shared" si="5"/>
        <v>2</v>
      </c>
    </row>
    <row r="185" spans="1:20" x14ac:dyDescent="0.2">
      <c r="A185" t="s">
        <v>230</v>
      </c>
      <c r="B185">
        <f>IF(COUNTIFS('United Data'!$A$3:$A$2150,B$1,'United Data'!$C$3:$C$2150,$A185)&gt;0,1,0)</f>
        <v>0</v>
      </c>
      <c r="C185">
        <f>IF(COUNTIFS('United Data'!$A$3:$A$2150,C$1,'United Data'!$C$3:$C$2150,$A185)&gt;0,1,0)</f>
        <v>0</v>
      </c>
      <c r="D185">
        <f>IF(COUNTIFS('United Data'!$A$3:$A$2150,D$1,'United Data'!$C$3:$C$2150,$A185)&gt;0,1,0)</f>
        <v>0</v>
      </c>
      <c r="E185">
        <f>IF(COUNTIFS('United Data'!$A$3:$A$2150,E$1,'United Data'!$C$3:$C$2150,$A185)&gt;0,1,0)</f>
        <v>1</v>
      </c>
      <c r="F185">
        <f>IF(COUNTIFS('United Data'!$A$3:$A$2150,F$1,'United Data'!$C$3:$C$2150,$A185)&gt;0,1,0)</f>
        <v>1</v>
      </c>
      <c r="G185">
        <f>IF(COUNTIFS('United Data'!$A$3:$A$2150,G$1,'United Data'!$C$3:$C$2150,$A185)&gt;0,1,0)</f>
        <v>1</v>
      </c>
      <c r="H185">
        <f>IF(COUNTIFS('United Data'!$A$3:$A$2150,H$1,'United Data'!$C$3:$C$2150,$A185)&gt;0,1,0)</f>
        <v>1</v>
      </c>
      <c r="I185">
        <f>IF(COUNTIFS('United Data'!$A$3:$A$2150,I$1,'United Data'!$C$3:$C$2150,$A185)&gt;0,1,0)</f>
        <v>1</v>
      </c>
      <c r="J185">
        <f>IF(COUNTIFS('United Data'!$A$3:$A$2150,J$1,'United Data'!$C$3:$C$2150,$A185)&gt;0,1,0)</f>
        <v>1</v>
      </c>
      <c r="K185">
        <f>IF(COUNTIFS('United Data'!$A$3:$A$2150,K$1,'United Data'!$C$3:$C$2150,$A185)&gt;0,1,0)</f>
        <v>1</v>
      </c>
      <c r="L185">
        <f>IF(COUNTIFS('United Data'!$A$3:$A$2150,L$1,'United Data'!$C$3:$C$2150,$A185)&gt;0,1,0)</f>
        <v>1</v>
      </c>
      <c r="M185">
        <f>IF(COUNTIFS('United Data'!$A$3:$A$2150,M$1,'United Data'!$C$3:$C$2150,$A185)&gt;0,1,0)</f>
        <v>1</v>
      </c>
      <c r="N185">
        <f>IF(COUNTIFS('United Data'!$A$3:$A$2150,N$1,'United Data'!$C$3:$C$2150,$A185)&gt;0,1,0)</f>
        <v>0</v>
      </c>
      <c r="O185">
        <f>IF(COUNTIFS('United Data'!$A$3:$A$2150,O$1,'United Data'!$C$3:$C$2150,$A185)&gt;0,1,0)</f>
        <v>0</v>
      </c>
      <c r="P185">
        <f>IF(COUNTIFS('United Data'!$A$3:$A$2150,P$1,'United Data'!$C$3:$C$2150,$A185)&gt;0,1,0)</f>
        <v>0</v>
      </c>
      <c r="Q185">
        <f>IF(COUNTIFS('United Data'!$A$3:$A$2150,Q$1,'United Data'!$C$3:$C$2150,$A185)&gt;0,1,0)</f>
        <v>0</v>
      </c>
      <c r="R185">
        <f>IF(COUNTIFS('United Data'!$A$3:$A$2150,R$1,'United Data'!$C$3:$C$2150,$A185)&gt;0,1,0)</f>
        <v>0</v>
      </c>
      <c r="S185">
        <f t="shared" si="4"/>
        <v>9</v>
      </c>
      <c r="T185">
        <f t="shared" si="5"/>
        <v>1</v>
      </c>
    </row>
    <row r="186" spans="1:20" x14ac:dyDescent="0.2">
      <c r="A186" t="s">
        <v>231</v>
      </c>
      <c r="B186">
        <f>IF(COUNTIFS('United Data'!$A$3:$A$2150,B$1,'United Data'!$C$3:$C$2150,$A186)&gt;0,1,0)</f>
        <v>0</v>
      </c>
      <c r="C186">
        <f>IF(COUNTIFS('United Data'!$A$3:$A$2150,C$1,'United Data'!$C$3:$C$2150,$A186)&gt;0,1,0)</f>
        <v>0</v>
      </c>
      <c r="D186">
        <f>IF(COUNTIFS('United Data'!$A$3:$A$2150,D$1,'United Data'!$C$3:$C$2150,$A186)&gt;0,1,0)</f>
        <v>0</v>
      </c>
      <c r="E186">
        <f>IF(COUNTIFS('United Data'!$A$3:$A$2150,E$1,'United Data'!$C$3:$C$2150,$A186)&gt;0,1,0)</f>
        <v>1</v>
      </c>
      <c r="F186">
        <f>IF(COUNTIFS('United Data'!$A$3:$A$2150,F$1,'United Data'!$C$3:$C$2150,$A186)&gt;0,1,0)</f>
        <v>1</v>
      </c>
      <c r="G186">
        <f>IF(COUNTIFS('United Data'!$A$3:$A$2150,G$1,'United Data'!$C$3:$C$2150,$A186)&gt;0,1,0)</f>
        <v>1</v>
      </c>
      <c r="H186">
        <f>IF(COUNTIFS('United Data'!$A$3:$A$2150,H$1,'United Data'!$C$3:$C$2150,$A186)&gt;0,1,0)</f>
        <v>0</v>
      </c>
      <c r="I186">
        <f>IF(COUNTIFS('United Data'!$A$3:$A$2150,I$1,'United Data'!$C$3:$C$2150,$A186)&gt;0,1,0)</f>
        <v>0</v>
      </c>
      <c r="J186">
        <f>IF(COUNTIFS('United Data'!$A$3:$A$2150,J$1,'United Data'!$C$3:$C$2150,$A186)&gt;0,1,0)</f>
        <v>0</v>
      </c>
      <c r="K186">
        <f>IF(COUNTIFS('United Data'!$A$3:$A$2150,K$1,'United Data'!$C$3:$C$2150,$A186)&gt;0,1,0)</f>
        <v>0</v>
      </c>
      <c r="L186">
        <f>IF(COUNTIFS('United Data'!$A$3:$A$2150,L$1,'United Data'!$C$3:$C$2150,$A186)&gt;0,1,0)</f>
        <v>0</v>
      </c>
      <c r="M186">
        <f>IF(COUNTIFS('United Data'!$A$3:$A$2150,M$1,'United Data'!$C$3:$C$2150,$A186)&gt;0,1,0)</f>
        <v>1</v>
      </c>
      <c r="N186">
        <f>IF(COUNTIFS('United Data'!$A$3:$A$2150,N$1,'United Data'!$C$3:$C$2150,$A186)&gt;0,1,0)</f>
        <v>0</v>
      </c>
      <c r="O186">
        <f>IF(COUNTIFS('United Data'!$A$3:$A$2150,O$1,'United Data'!$C$3:$C$2150,$A186)&gt;0,1,0)</f>
        <v>0</v>
      </c>
      <c r="P186">
        <f>IF(COUNTIFS('United Data'!$A$3:$A$2150,P$1,'United Data'!$C$3:$C$2150,$A186)&gt;0,1,0)</f>
        <v>0</v>
      </c>
      <c r="Q186">
        <f>IF(COUNTIFS('United Data'!$A$3:$A$2150,Q$1,'United Data'!$C$3:$C$2150,$A186)&gt;0,1,0)</f>
        <v>0</v>
      </c>
      <c r="R186">
        <f>IF(COUNTIFS('United Data'!$A$3:$A$2150,R$1,'United Data'!$C$3:$C$2150,$A186)&gt;0,1,0)</f>
        <v>0</v>
      </c>
      <c r="S186">
        <f t="shared" si="4"/>
        <v>4</v>
      </c>
      <c r="T186">
        <f t="shared" si="5"/>
        <v>2</v>
      </c>
    </row>
    <row r="187" spans="1:20" x14ac:dyDescent="0.2">
      <c r="A187" t="s">
        <v>232</v>
      </c>
      <c r="B187">
        <f>IF(COUNTIFS('United Data'!$A$3:$A$2150,B$1,'United Data'!$C$3:$C$2150,$A187)&gt;0,1,0)</f>
        <v>0</v>
      </c>
      <c r="C187">
        <f>IF(COUNTIFS('United Data'!$A$3:$A$2150,C$1,'United Data'!$C$3:$C$2150,$A187)&gt;0,1,0)</f>
        <v>0</v>
      </c>
      <c r="D187">
        <f>IF(COUNTIFS('United Data'!$A$3:$A$2150,D$1,'United Data'!$C$3:$C$2150,$A187)&gt;0,1,0)</f>
        <v>0</v>
      </c>
      <c r="E187">
        <f>IF(COUNTIFS('United Data'!$A$3:$A$2150,E$1,'United Data'!$C$3:$C$2150,$A187)&gt;0,1,0)</f>
        <v>1</v>
      </c>
      <c r="F187">
        <f>IF(COUNTIFS('United Data'!$A$3:$A$2150,F$1,'United Data'!$C$3:$C$2150,$A187)&gt;0,1,0)</f>
        <v>1</v>
      </c>
      <c r="G187">
        <f>IF(COUNTIFS('United Data'!$A$3:$A$2150,G$1,'United Data'!$C$3:$C$2150,$A187)&gt;0,1,0)</f>
        <v>1</v>
      </c>
      <c r="H187">
        <f>IF(COUNTIFS('United Data'!$A$3:$A$2150,H$1,'United Data'!$C$3:$C$2150,$A187)&gt;0,1,0)</f>
        <v>1</v>
      </c>
      <c r="I187">
        <f>IF(COUNTIFS('United Data'!$A$3:$A$2150,I$1,'United Data'!$C$3:$C$2150,$A187)&gt;0,1,0)</f>
        <v>0</v>
      </c>
      <c r="J187">
        <f>IF(COUNTIFS('United Data'!$A$3:$A$2150,J$1,'United Data'!$C$3:$C$2150,$A187)&gt;0,1,0)</f>
        <v>1</v>
      </c>
      <c r="K187">
        <f>IF(COUNTIFS('United Data'!$A$3:$A$2150,K$1,'United Data'!$C$3:$C$2150,$A187)&gt;0,1,0)</f>
        <v>1</v>
      </c>
      <c r="L187">
        <f>IF(COUNTIFS('United Data'!$A$3:$A$2150,L$1,'United Data'!$C$3:$C$2150,$A187)&gt;0,1,0)</f>
        <v>1</v>
      </c>
      <c r="M187">
        <f>IF(COUNTIFS('United Data'!$A$3:$A$2150,M$1,'United Data'!$C$3:$C$2150,$A187)&gt;0,1,0)</f>
        <v>1</v>
      </c>
      <c r="N187">
        <f>IF(COUNTIFS('United Data'!$A$3:$A$2150,N$1,'United Data'!$C$3:$C$2150,$A187)&gt;0,1,0)</f>
        <v>0</v>
      </c>
      <c r="O187">
        <f>IF(COUNTIFS('United Data'!$A$3:$A$2150,O$1,'United Data'!$C$3:$C$2150,$A187)&gt;0,1,0)</f>
        <v>0</v>
      </c>
      <c r="P187">
        <f>IF(COUNTIFS('United Data'!$A$3:$A$2150,P$1,'United Data'!$C$3:$C$2150,$A187)&gt;0,1,0)</f>
        <v>0</v>
      </c>
      <c r="Q187">
        <f>IF(COUNTIFS('United Data'!$A$3:$A$2150,Q$1,'United Data'!$C$3:$C$2150,$A187)&gt;0,1,0)</f>
        <v>0</v>
      </c>
      <c r="R187">
        <f>IF(COUNTIFS('United Data'!$A$3:$A$2150,R$1,'United Data'!$C$3:$C$2150,$A187)&gt;0,1,0)</f>
        <v>0</v>
      </c>
      <c r="S187">
        <f t="shared" si="4"/>
        <v>8</v>
      </c>
      <c r="T187">
        <f t="shared" si="5"/>
        <v>2</v>
      </c>
    </row>
    <row r="188" spans="1:20" x14ac:dyDescent="0.2">
      <c r="A188" t="s">
        <v>233</v>
      </c>
      <c r="B188">
        <f>IF(COUNTIFS('United Data'!$A$3:$A$2150,B$1,'United Data'!$C$3:$C$2150,$A188)&gt;0,1,0)</f>
        <v>0</v>
      </c>
      <c r="C188">
        <f>IF(COUNTIFS('United Data'!$A$3:$A$2150,C$1,'United Data'!$C$3:$C$2150,$A188)&gt;0,1,0)</f>
        <v>0</v>
      </c>
      <c r="D188">
        <f>IF(COUNTIFS('United Data'!$A$3:$A$2150,D$1,'United Data'!$C$3:$C$2150,$A188)&gt;0,1,0)</f>
        <v>0</v>
      </c>
      <c r="E188">
        <f>IF(COUNTIFS('United Data'!$A$3:$A$2150,E$1,'United Data'!$C$3:$C$2150,$A188)&gt;0,1,0)</f>
        <v>1</v>
      </c>
      <c r="F188">
        <f>IF(COUNTIFS('United Data'!$A$3:$A$2150,F$1,'United Data'!$C$3:$C$2150,$A188)&gt;0,1,0)</f>
        <v>1</v>
      </c>
      <c r="G188">
        <f>IF(COUNTIFS('United Data'!$A$3:$A$2150,G$1,'United Data'!$C$3:$C$2150,$A188)&gt;0,1,0)</f>
        <v>1</v>
      </c>
      <c r="H188">
        <f>IF(COUNTIFS('United Data'!$A$3:$A$2150,H$1,'United Data'!$C$3:$C$2150,$A188)&gt;0,1,0)</f>
        <v>1</v>
      </c>
      <c r="I188">
        <f>IF(COUNTIFS('United Data'!$A$3:$A$2150,I$1,'United Data'!$C$3:$C$2150,$A188)&gt;0,1,0)</f>
        <v>1</v>
      </c>
      <c r="J188">
        <f>IF(COUNTIFS('United Data'!$A$3:$A$2150,J$1,'United Data'!$C$3:$C$2150,$A188)&gt;0,1,0)</f>
        <v>1</v>
      </c>
      <c r="K188">
        <f>IF(COUNTIFS('United Data'!$A$3:$A$2150,K$1,'United Data'!$C$3:$C$2150,$A188)&gt;0,1,0)</f>
        <v>1</v>
      </c>
      <c r="L188">
        <f>IF(COUNTIFS('United Data'!$A$3:$A$2150,L$1,'United Data'!$C$3:$C$2150,$A188)&gt;0,1,0)</f>
        <v>1</v>
      </c>
      <c r="M188">
        <f>IF(COUNTIFS('United Data'!$A$3:$A$2150,M$1,'United Data'!$C$3:$C$2150,$A188)&gt;0,1,0)</f>
        <v>1</v>
      </c>
      <c r="N188">
        <f>IF(COUNTIFS('United Data'!$A$3:$A$2150,N$1,'United Data'!$C$3:$C$2150,$A188)&gt;0,1,0)</f>
        <v>0</v>
      </c>
      <c r="O188">
        <f>IF(COUNTIFS('United Data'!$A$3:$A$2150,O$1,'United Data'!$C$3:$C$2150,$A188)&gt;0,1,0)</f>
        <v>1</v>
      </c>
      <c r="P188">
        <f>IF(COUNTIFS('United Data'!$A$3:$A$2150,P$1,'United Data'!$C$3:$C$2150,$A188)&gt;0,1,0)</f>
        <v>0</v>
      </c>
      <c r="Q188">
        <f>IF(COUNTIFS('United Data'!$A$3:$A$2150,Q$1,'United Data'!$C$3:$C$2150,$A188)&gt;0,1,0)</f>
        <v>0</v>
      </c>
      <c r="R188">
        <f>IF(COUNTIFS('United Data'!$A$3:$A$2150,R$1,'United Data'!$C$3:$C$2150,$A188)&gt;0,1,0)</f>
        <v>0</v>
      </c>
      <c r="S188">
        <f t="shared" si="4"/>
        <v>10</v>
      </c>
      <c r="T188">
        <f t="shared" si="5"/>
        <v>2</v>
      </c>
    </row>
    <row r="189" spans="1:20" x14ac:dyDescent="0.2">
      <c r="A189" t="s">
        <v>234</v>
      </c>
      <c r="B189">
        <f>IF(COUNTIFS('United Data'!$A$3:$A$2150,B$1,'United Data'!$C$3:$C$2150,$A189)&gt;0,1,0)</f>
        <v>0</v>
      </c>
      <c r="C189">
        <f>IF(COUNTIFS('United Data'!$A$3:$A$2150,C$1,'United Data'!$C$3:$C$2150,$A189)&gt;0,1,0)</f>
        <v>0</v>
      </c>
      <c r="D189">
        <f>IF(COUNTIFS('United Data'!$A$3:$A$2150,D$1,'United Data'!$C$3:$C$2150,$A189)&gt;0,1,0)</f>
        <v>0</v>
      </c>
      <c r="E189">
        <f>IF(COUNTIFS('United Data'!$A$3:$A$2150,E$1,'United Data'!$C$3:$C$2150,$A189)&gt;0,1,0)</f>
        <v>1</v>
      </c>
      <c r="F189">
        <f>IF(COUNTIFS('United Data'!$A$3:$A$2150,F$1,'United Data'!$C$3:$C$2150,$A189)&gt;0,1,0)</f>
        <v>1</v>
      </c>
      <c r="G189">
        <f>IF(COUNTIFS('United Data'!$A$3:$A$2150,G$1,'United Data'!$C$3:$C$2150,$A189)&gt;0,1,0)</f>
        <v>1</v>
      </c>
      <c r="H189">
        <f>IF(COUNTIFS('United Data'!$A$3:$A$2150,H$1,'United Data'!$C$3:$C$2150,$A189)&gt;0,1,0)</f>
        <v>0</v>
      </c>
      <c r="I189">
        <f>IF(COUNTIFS('United Data'!$A$3:$A$2150,I$1,'United Data'!$C$3:$C$2150,$A189)&gt;0,1,0)</f>
        <v>0</v>
      </c>
      <c r="J189">
        <f>IF(COUNTIFS('United Data'!$A$3:$A$2150,J$1,'United Data'!$C$3:$C$2150,$A189)&gt;0,1,0)</f>
        <v>0</v>
      </c>
      <c r="K189">
        <f>IF(COUNTIFS('United Data'!$A$3:$A$2150,K$1,'United Data'!$C$3:$C$2150,$A189)&gt;0,1,0)</f>
        <v>0</v>
      </c>
      <c r="L189">
        <f>IF(COUNTIFS('United Data'!$A$3:$A$2150,L$1,'United Data'!$C$3:$C$2150,$A189)&gt;0,1,0)</f>
        <v>0</v>
      </c>
      <c r="M189">
        <f>IF(COUNTIFS('United Data'!$A$3:$A$2150,M$1,'United Data'!$C$3:$C$2150,$A189)&gt;0,1,0)</f>
        <v>0</v>
      </c>
      <c r="N189">
        <f>IF(COUNTIFS('United Data'!$A$3:$A$2150,N$1,'United Data'!$C$3:$C$2150,$A189)&gt;0,1,0)</f>
        <v>0</v>
      </c>
      <c r="O189">
        <f>IF(COUNTIFS('United Data'!$A$3:$A$2150,O$1,'United Data'!$C$3:$C$2150,$A189)&gt;0,1,0)</f>
        <v>0</v>
      </c>
      <c r="P189">
        <f>IF(COUNTIFS('United Data'!$A$3:$A$2150,P$1,'United Data'!$C$3:$C$2150,$A189)&gt;0,1,0)</f>
        <v>0</v>
      </c>
      <c r="Q189">
        <f>IF(COUNTIFS('United Data'!$A$3:$A$2150,Q$1,'United Data'!$C$3:$C$2150,$A189)&gt;0,1,0)</f>
        <v>0</v>
      </c>
      <c r="R189">
        <f>IF(COUNTIFS('United Data'!$A$3:$A$2150,R$1,'United Data'!$C$3:$C$2150,$A189)&gt;0,1,0)</f>
        <v>0</v>
      </c>
      <c r="S189">
        <f t="shared" si="4"/>
        <v>3</v>
      </c>
      <c r="T189">
        <f t="shared" si="5"/>
        <v>1</v>
      </c>
    </row>
    <row r="190" spans="1:20" x14ac:dyDescent="0.2">
      <c r="A190" t="s">
        <v>235</v>
      </c>
      <c r="B190">
        <f>IF(COUNTIFS('United Data'!$A$3:$A$2150,B$1,'United Data'!$C$3:$C$2150,$A190)&gt;0,1,0)</f>
        <v>0</v>
      </c>
      <c r="C190">
        <f>IF(COUNTIFS('United Data'!$A$3:$A$2150,C$1,'United Data'!$C$3:$C$2150,$A190)&gt;0,1,0)</f>
        <v>0</v>
      </c>
      <c r="D190">
        <f>IF(COUNTIFS('United Data'!$A$3:$A$2150,D$1,'United Data'!$C$3:$C$2150,$A190)&gt;0,1,0)</f>
        <v>0</v>
      </c>
      <c r="E190">
        <f>IF(COUNTIFS('United Data'!$A$3:$A$2150,E$1,'United Data'!$C$3:$C$2150,$A190)&gt;0,1,0)</f>
        <v>0</v>
      </c>
      <c r="F190">
        <f>IF(COUNTIFS('United Data'!$A$3:$A$2150,F$1,'United Data'!$C$3:$C$2150,$A190)&gt;0,1,0)</f>
        <v>1</v>
      </c>
      <c r="G190">
        <f>IF(COUNTIFS('United Data'!$A$3:$A$2150,G$1,'United Data'!$C$3:$C$2150,$A190)&gt;0,1,0)</f>
        <v>0</v>
      </c>
      <c r="H190">
        <f>IF(COUNTIFS('United Data'!$A$3:$A$2150,H$1,'United Data'!$C$3:$C$2150,$A190)&gt;0,1,0)</f>
        <v>0</v>
      </c>
      <c r="I190">
        <f>IF(COUNTIFS('United Data'!$A$3:$A$2150,I$1,'United Data'!$C$3:$C$2150,$A190)&gt;0,1,0)</f>
        <v>0</v>
      </c>
      <c r="J190">
        <f>IF(COUNTIFS('United Data'!$A$3:$A$2150,J$1,'United Data'!$C$3:$C$2150,$A190)&gt;0,1,0)</f>
        <v>0</v>
      </c>
      <c r="K190">
        <f>IF(COUNTIFS('United Data'!$A$3:$A$2150,K$1,'United Data'!$C$3:$C$2150,$A190)&gt;0,1,0)</f>
        <v>0</v>
      </c>
      <c r="L190">
        <f>IF(COUNTIFS('United Data'!$A$3:$A$2150,L$1,'United Data'!$C$3:$C$2150,$A190)&gt;0,1,0)</f>
        <v>0</v>
      </c>
      <c r="M190">
        <f>IF(COUNTIFS('United Data'!$A$3:$A$2150,M$1,'United Data'!$C$3:$C$2150,$A190)&gt;0,1,0)</f>
        <v>0</v>
      </c>
      <c r="N190">
        <f>IF(COUNTIFS('United Data'!$A$3:$A$2150,N$1,'United Data'!$C$3:$C$2150,$A190)&gt;0,1,0)</f>
        <v>0</v>
      </c>
      <c r="O190">
        <f>IF(COUNTIFS('United Data'!$A$3:$A$2150,O$1,'United Data'!$C$3:$C$2150,$A190)&gt;0,1,0)</f>
        <v>0</v>
      </c>
      <c r="P190">
        <f>IF(COUNTIFS('United Data'!$A$3:$A$2150,P$1,'United Data'!$C$3:$C$2150,$A190)&gt;0,1,0)</f>
        <v>0</v>
      </c>
      <c r="Q190">
        <f>IF(COUNTIFS('United Data'!$A$3:$A$2150,Q$1,'United Data'!$C$3:$C$2150,$A190)&gt;0,1,0)</f>
        <v>0</v>
      </c>
      <c r="R190">
        <f>IF(COUNTIFS('United Data'!$A$3:$A$2150,R$1,'United Data'!$C$3:$C$2150,$A190)&gt;0,1,0)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236</v>
      </c>
      <c r="B191">
        <f>IF(COUNTIFS('United Data'!$A$3:$A$2150,B$1,'United Data'!$C$3:$C$2150,$A191)&gt;0,1,0)</f>
        <v>0</v>
      </c>
      <c r="C191">
        <f>IF(COUNTIFS('United Data'!$A$3:$A$2150,C$1,'United Data'!$C$3:$C$2150,$A191)&gt;0,1,0)</f>
        <v>0</v>
      </c>
      <c r="D191">
        <f>IF(COUNTIFS('United Data'!$A$3:$A$2150,D$1,'United Data'!$C$3:$C$2150,$A191)&gt;0,1,0)</f>
        <v>0</v>
      </c>
      <c r="E191">
        <f>IF(COUNTIFS('United Data'!$A$3:$A$2150,E$1,'United Data'!$C$3:$C$2150,$A191)&gt;0,1,0)</f>
        <v>0</v>
      </c>
      <c r="F191">
        <f>IF(COUNTIFS('United Data'!$A$3:$A$2150,F$1,'United Data'!$C$3:$C$2150,$A191)&gt;0,1,0)</f>
        <v>1</v>
      </c>
      <c r="G191">
        <f>IF(COUNTIFS('United Data'!$A$3:$A$2150,G$1,'United Data'!$C$3:$C$2150,$A191)&gt;0,1,0)</f>
        <v>1</v>
      </c>
      <c r="H191">
        <f>IF(COUNTIFS('United Data'!$A$3:$A$2150,H$1,'United Data'!$C$3:$C$2150,$A191)&gt;0,1,0)</f>
        <v>0</v>
      </c>
      <c r="I191">
        <f>IF(COUNTIFS('United Data'!$A$3:$A$2150,I$1,'United Data'!$C$3:$C$2150,$A191)&gt;0,1,0)</f>
        <v>0</v>
      </c>
      <c r="J191">
        <f>IF(COUNTIFS('United Data'!$A$3:$A$2150,J$1,'United Data'!$C$3:$C$2150,$A191)&gt;0,1,0)</f>
        <v>0</v>
      </c>
      <c r="K191">
        <f>IF(COUNTIFS('United Data'!$A$3:$A$2150,K$1,'United Data'!$C$3:$C$2150,$A191)&gt;0,1,0)</f>
        <v>0</v>
      </c>
      <c r="L191">
        <f>IF(COUNTIFS('United Data'!$A$3:$A$2150,L$1,'United Data'!$C$3:$C$2150,$A191)&gt;0,1,0)</f>
        <v>0</v>
      </c>
      <c r="M191">
        <f>IF(COUNTIFS('United Data'!$A$3:$A$2150,M$1,'United Data'!$C$3:$C$2150,$A191)&gt;0,1,0)</f>
        <v>0</v>
      </c>
      <c r="N191">
        <f>IF(COUNTIFS('United Data'!$A$3:$A$2150,N$1,'United Data'!$C$3:$C$2150,$A191)&gt;0,1,0)</f>
        <v>0</v>
      </c>
      <c r="O191">
        <f>IF(COUNTIFS('United Data'!$A$3:$A$2150,O$1,'United Data'!$C$3:$C$2150,$A191)&gt;0,1,0)</f>
        <v>0</v>
      </c>
      <c r="P191">
        <f>IF(COUNTIFS('United Data'!$A$3:$A$2150,P$1,'United Data'!$C$3:$C$2150,$A191)&gt;0,1,0)</f>
        <v>0</v>
      </c>
      <c r="Q191">
        <f>IF(COUNTIFS('United Data'!$A$3:$A$2150,Q$1,'United Data'!$C$3:$C$2150,$A191)&gt;0,1,0)</f>
        <v>0</v>
      </c>
      <c r="R191">
        <f>IF(COUNTIFS('United Data'!$A$3:$A$2150,R$1,'United Data'!$C$3:$C$2150,$A191)&gt;0,1,0)</f>
        <v>0</v>
      </c>
      <c r="S191">
        <f t="shared" si="4"/>
        <v>2</v>
      </c>
      <c r="T191">
        <f t="shared" si="5"/>
        <v>1</v>
      </c>
    </row>
    <row r="192" spans="1:20" x14ac:dyDescent="0.2">
      <c r="A192" t="s">
        <v>237</v>
      </c>
      <c r="B192">
        <f>IF(COUNTIFS('United Data'!$A$3:$A$2150,B$1,'United Data'!$C$3:$C$2150,$A192)&gt;0,1,0)</f>
        <v>0</v>
      </c>
      <c r="C192">
        <f>IF(COUNTIFS('United Data'!$A$3:$A$2150,C$1,'United Data'!$C$3:$C$2150,$A192)&gt;0,1,0)</f>
        <v>0</v>
      </c>
      <c r="D192">
        <f>IF(COUNTIFS('United Data'!$A$3:$A$2150,D$1,'United Data'!$C$3:$C$2150,$A192)&gt;0,1,0)</f>
        <v>0</v>
      </c>
      <c r="E192">
        <f>IF(COUNTIFS('United Data'!$A$3:$A$2150,E$1,'United Data'!$C$3:$C$2150,$A192)&gt;0,1,0)</f>
        <v>0</v>
      </c>
      <c r="F192">
        <f>IF(COUNTIFS('United Data'!$A$3:$A$2150,F$1,'United Data'!$C$3:$C$2150,$A192)&gt;0,1,0)</f>
        <v>1</v>
      </c>
      <c r="G192">
        <f>IF(COUNTIFS('United Data'!$A$3:$A$2150,G$1,'United Data'!$C$3:$C$2150,$A192)&gt;0,1,0)</f>
        <v>1</v>
      </c>
      <c r="H192">
        <f>IF(COUNTIFS('United Data'!$A$3:$A$2150,H$1,'United Data'!$C$3:$C$2150,$A192)&gt;0,1,0)</f>
        <v>1</v>
      </c>
      <c r="I192">
        <f>IF(COUNTIFS('United Data'!$A$3:$A$2150,I$1,'United Data'!$C$3:$C$2150,$A192)&gt;0,1,0)</f>
        <v>1</v>
      </c>
      <c r="J192">
        <f>IF(COUNTIFS('United Data'!$A$3:$A$2150,J$1,'United Data'!$C$3:$C$2150,$A192)&gt;0,1,0)</f>
        <v>1</v>
      </c>
      <c r="K192">
        <f>IF(COUNTIFS('United Data'!$A$3:$A$2150,K$1,'United Data'!$C$3:$C$2150,$A192)&gt;0,1,0)</f>
        <v>1</v>
      </c>
      <c r="L192">
        <f>IF(COUNTIFS('United Data'!$A$3:$A$2150,L$1,'United Data'!$C$3:$C$2150,$A192)&gt;0,1,0)</f>
        <v>1</v>
      </c>
      <c r="M192">
        <f>IF(COUNTIFS('United Data'!$A$3:$A$2150,M$1,'United Data'!$C$3:$C$2150,$A192)&gt;0,1,0)</f>
        <v>1</v>
      </c>
      <c r="N192">
        <f>IF(COUNTIFS('United Data'!$A$3:$A$2150,N$1,'United Data'!$C$3:$C$2150,$A192)&gt;0,1,0)</f>
        <v>1</v>
      </c>
      <c r="O192">
        <f>IF(COUNTIFS('United Data'!$A$3:$A$2150,O$1,'United Data'!$C$3:$C$2150,$A192)&gt;0,1,0)</f>
        <v>0</v>
      </c>
      <c r="P192">
        <f>IF(COUNTIFS('United Data'!$A$3:$A$2150,P$1,'United Data'!$C$3:$C$2150,$A192)&gt;0,1,0)</f>
        <v>0</v>
      </c>
      <c r="Q192">
        <f>IF(COUNTIFS('United Data'!$A$3:$A$2150,Q$1,'United Data'!$C$3:$C$2150,$A192)&gt;0,1,0)</f>
        <v>0</v>
      </c>
      <c r="R192">
        <f>IF(COUNTIFS('United Data'!$A$3:$A$2150,R$1,'United Data'!$C$3:$C$2150,$A192)&gt;0,1,0)</f>
        <v>0</v>
      </c>
      <c r="S192">
        <f t="shared" si="4"/>
        <v>9</v>
      </c>
      <c r="T192">
        <f t="shared" si="5"/>
        <v>1</v>
      </c>
    </row>
    <row r="193" spans="1:20" x14ac:dyDescent="0.2">
      <c r="A193" t="s">
        <v>238</v>
      </c>
      <c r="B193">
        <f>IF(COUNTIFS('United Data'!$A$3:$A$2150,B$1,'United Data'!$C$3:$C$2150,$A193)&gt;0,1,0)</f>
        <v>0</v>
      </c>
      <c r="C193">
        <f>IF(COUNTIFS('United Data'!$A$3:$A$2150,C$1,'United Data'!$C$3:$C$2150,$A193)&gt;0,1,0)</f>
        <v>0</v>
      </c>
      <c r="D193">
        <f>IF(COUNTIFS('United Data'!$A$3:$A$2150,D$1,'United Data'!$C$3:$C$2150,$A193)&gt;0,1,0)</f>
        <v>0</v>
      </c>
      <c r="E193">
        <f>IF(COUNTIFS('United Data'!$A$3:$A$2150,E$1,'United Data'!$C$3:$C$2150,$A193)&gt;0,1,0)</f>
        <v>0</v>
      </c>
      <c r="F193">
        <f>IF(COUNTIFS('United Data'!$A$3:$A$2150,F$1,'United Data'!$C$3:$C$2150,$A193)&gt;0,1,0)</f>
        <v>1</v>
      </c>
      <c r="G193">
        <f>IF(COUNTIFS('United Data'!$A$3:$A$2150,G$1,'United Data'!$C$3:$C$2150,$A193)&gt;0,1,0)</f>
        <v>0</v>
      </c>
      <c r="H193">
        <f>IF(COUNTIFS('United Data'!$A$3:$A$2150,H$1,'United Data'!$C$3:$C$2150,$A193)&gt;0,1,0)</f>
        <v>0</v>
      </c>
      <c r="I193">
        <f>IF(COUNTIFS('United Data'!$A$3:$A$2150,I$1,'United Data'!$C$3:$C$2150,$A193)&gt;0,1,0)</f>
        <v>0</v>
      </c>
      <c r="J193">
        <f>IF(COUNTIFS('United Data'!$A$3:$A$2150,J$1,'United Data'!$C$3:$C$2150,$A193)&gt;0,1,0)</f>
        <v>0</v>
      </c>
      <c r="K193">
        <f>IF(COUNTIFS('United Data'!$A$3:$A$2150,K$1,'United Data'!$C$3:$C$2150,$A193)&gt;0,1,0)</f>
        <v>0</v>
      </c>
      <c r="L193">
        <f>IF(COUNTIFS('United Data'!$A$3:$A$2150,L$1,'United Data'!$C$3:$C$2150,$A193)&gt;0,1,0)</f>
        <v>0</v>
      </c>
      <c r="M193">
        <f>IF(COUNTIFS('United Data'!$A$3:$A$2150,M$1,'United Data'!$C$3:$C$2150,$A193)&gt;0,1,0)</f>
        <v>0</v>
      </c>
      <c r="N193">
        <f>IF(COUNTIFS('United Data'!$A$3:$A$2150,N$1,'United Data'!$C$3:$C$2150,$A193)&gt;0,1,0)</f>
        <v>0</v>
      </c>
      <c r="O193">
        <f>IF(COUNTIFS('United Data'!$A$3:$A$2150,O$1,'United Data'!$C$3:$C$2150,$A193)&gt;0,1,0)</f>
        <v>0</v>
      </c>
      <c r="P193">
        <f>IF(COUNTIFS('United Data'!$A$3:$A$2150,P$1,'United Data'!$C$3:$C$2150,$A193)&gt;0,1,0)</f>
        <v>0</v>
      </c>
      <c r="Q193">
        <f>IF(COUNTIFS('United Data'!$A$3:$A$2150,Q$1,'United Data'!$C$3:$C$2150,$A193)&gt;0,1,0)</f>
        <v>0</v>
      </c>
      <c r="R193">
        <f>IF(COUNTIFS('United Data'!$A$3:$A$2150,R$1,'United Data'!$C$3:$C$2150,$A193)&gt;0,1,0)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239</v>
      </c>
      <c r="B194">
        <f>IF(COUNTIFS('United Data'!$A$3:$A$2150,B$1,'United Data'!$C$3:$C$2150,$A194)&gt;0,1,0)</f>
        <v>0</v>
      </c>
      <c r="C194">
        <f>IF(COUNTIFS('United Data'!$A$3:$A$2150,C$1,'United Data'!$C$3:$C$2150,$A194)&gt;0,1,0)</f>
        <v>0</v>
      </c>
      <c r="D194">
        <f>IF(COUNTIFS('United Data'!$A$3:$A$2150,D$1,'United Data'!$C$3:$C$2150,$A194)&gt;0,1,0)</f>
        <v>0</v>
      </c>
      <c r="E194">
        <f>IF(COUNTIFS('United Data'!$A$3:$A$2150,E$1,'United Data'!$C$3:$C$2150,$A194)&gt;0,1,0)</f>
        <v>0</v>
      </c>
      <c r="F194">
        <f>IF(COUNTIFS('United Data'!$A$3:$A$2150,F$1,'United Data'!$C$3:$C$2150,$A194)&gt;0,1,0)</f>
        <v>1</v>
      </c>
      <c r="G194">
        <f>IF(COUNTIFS('United Data'!$A$3:$A$2150,G$1,'United Data'!$C$3:$C$2150,$A194)&gt;0,1,0)</f>
        <v>1</v>
      </c>
      <c r="H194">
        <f>IF(COUNTIFS('United Data'!$A$3:$A$2150,H$1,'United Data'!$C$3:$C$2150,$A194)&gt;0,1,0)</f>
        <v>1</v>
      </c>
      <c r="I194">
        <f>IF(COUNTIFS('United Data'!$A$3:$A$2150,I$1,'United Data'!$C$3:$C$2150,$A194)&gt;0,1,0)</f>
        <v>1</v>
      </c>
      <c r="J194">
        <f>IF(COUNTIFS('United Data'!$A$3:$A$2150,J$1,'United Data'!$C$3:$C$2150,$A194)&gt;0,1,0)</f>
        <v>1</v>
      </c>
      <c r="K194">
        <f>IF(COUNTIFS('United Data'!$A$3:$A$2150,K$1,'United Data'!$C$3:$C$2150,$A194)&gt;0,1,0)</f>
        <v>1</v>
      </c>
      <c r="L194">
        <f>IF(COUNTIFS('United Data'!$A$3:$A$2150,L$1,'United Data'!$C$3:$C$2150,$A194)&gt;0,1,0)</f>
        <v>1</v>
      </c>
      <c r="M194">
        <f>IF(COUNTIFS('United Data'!$A$3:$A$2150,M$1,'United Data'!$C$3:$C$2150,$A194)&gt;0,1,0)</f>
        <v>1</v>
      </c>
      <c r="N194">
        <f>IF(COUNTIFS('United Data'!$A$3:$A$2150,N$1,'United Data'!$C$3:$C$2150,$A194)&gt;0,1,0)</f>
        <v>1</v>
      </c>
      <c r="O194">
        <f>IF(COUNTIFS('United Data'!$A$3:$A$2150,O$1,'United Data'!$C$3:$C$2150,$A194)&gt;0,1,0)</f>
        <v>1</v>
      </c>
      <c r="P194">
        <f>IF(COUNTIFS('United Data'!$A$3:$A$2150,P$1,'United Data'!$C$3:$C$2150,$A194)&gt;0,1,0)</f>
        <v>1</v>
      </c>
      <c r="Q194">
        <f>IF(COUNTIFS('United Data'!$A$3:$A$2150,Q$1,'United Data'!$C$3:$C$2150,$A194)&gt;0,1,0)</f>
        <v>0</v>
      </c>
      <c r="R194">
        <f>IF(COUNTIFS('United Data'!$A$3:$A$2150,R$1,'United Data'!$C$3:$C$2150,$A194)&gt;0,1,0)</f>
        <v>0</v>
      </c>
      <c r="S194">
        <f t="shared" ref="S194:S257" si="6">SUM(B194:R194)</f>
        <v>11</v>
      </c>
      <c r="T194">
        <f t="shared" ref="T194:T257" si="7">B194+SUMPRODUCT(--(C194:R194&gt;B194:Q194))</f>
        <v>1</v>
      </c>
    </row>
    <row r="195" spans="1:20" x14ac:dyDescent="0.2">
      <c r="A195" t="s">
        <v>240</v>
      </c>
      <c r="B195">
        <f>IF(COUNTIFS('United Data'!$A$3:$A$2150,B$1,'United Data'!$C$3:$C$2150,$A195)&gt;0,1,0)</f>
        <v>0</v>
      </c>
      <c r="C195">
        <f>IF(COUNTIFS('United Data'!$A$3:$A$2150,C$1,'United Data'!$C$3:$C$2150,$A195)&gt;0,1,0)</f>
        <v>0</v>
      </c>
      <c r="D195">
        <f>IF(COUNTIFS('United Data'!$A$3:$A$2150,D$1,'United Data'!$C$3:$C$2150,$A195)&gt;0,1,0)</f>
        <v>0</v>
      </c>
      <c r="E195">
        <f>IF(COUNTIFS('United Data'!$A$3:$A$2150,E$1,'United Data'!$C$3:$C$2150,$A195)&gt;0,1,0)</f>
        <v>0</v>
      </c>
      <c r="F195">
        <f>IF(COUNTIFS('United Data'!$A$3:$A$2150,F$1,'United Data'!$C$3:$C$2150,$A195)&gt;0,1,0)</f>
        <v>1</v>
      </c>
      <c r="G195">
        <f>IF(COUNTIFS('United Data'!$A$3:$A$2150,G$1,'United Data'!$C$3:$C$2150,$A195)&gt;0,1,0)</f>
        <v>0</v>
      </c>
      <c r="H195">
        <f>IF(COUNTIFS('United Data'!$A$3:$A$2150,H$1,'United Data'!$C$3:$C$2150,$A195)&gt;0,1,0)</f>
        <v>0</v>
      </c>
      <c r="I195">
        <f>IF(COUNTIFS('United Data'!$A$3:$A$2150,I$1,'United Data'!$C$3:$C$2150,$A195)&gt;0,1,0)</f>
        <v>0</v>
      </c>
      <c r="J195">
        <f>IF(COUNTIFS('United Data'!$A$3:$A$2150,J$1,'United Data'!$C$3:$C$2150,$A195)&gt;0,1,0)</f>
        <v>0</v>
      </c>
      <c r="K195">
        <f>IF(COUNTIFS('United Data'!$A$3:$A$2150,K$1,'United Data'!$C$3:$C$2150,$A195)&gt;0,1,0)</f>
        <v>0</v>
      </c>
      <c r="L195">
        <f>IF(COUNTIFS('United Data'!$A$3:$A$2150,L$1,'United Data'!$C$3:$C$2150,$A195)&gt;0,1,0)</f>
        <v>0</v>
      </c>
      <c r="M195">
        <f>IF(COUNTIFS('United Data'!$A$3:$A$2150,M$1,'United Data'!$C$3:$C$2150,$A195)&gt;0,1,0)</f>
        <v>0</v>
      </c>
      <c r="N195">
        <f>IF(COUNTIFS('United Data'!$A$3:$A$2150,N$1,'United Data'!$C$3:$C$2150,$A195)&gt;0,1,0)</f>
        <v>0</v>
      </c>
      <c r="O195">
        <f>IF(COUNTIFS('United Data'!$A$3:$A$2150,O$1,'United Data'!$C$3:$C$2150,$A195)&gt;0,1,0)</f>
        <v>0</v>
      </c>
      <c r="P195">
        <f>IF(COUNTIFS('United Data'!$A$3:$A$2150,P$1,'United Data'!$C$3:$C$2150,$A195)&gt;0,1,0)</f>
        <v>0</v>
      </c>
      <c r="Q195">
        <f>IF(COUNTIFS('United Data'!$A$3:$A$2150,Q$1,'United Data'!$C$3:$C$2150,$A195)&gt;0,1,0)</f>
        <v>0</v>
      </c>
      <c r="R195">
        <f>IF(COUNTIFS('United Data'!$A$3:$A$2150,R$1,'United Data'!$C$3:$C$2150,$A195)&gt;0,1,0)</f>
        <v>0</v>
      </c>
      <c r="S195">
        <f t="shared" si="6"/>
        <v>1</v>
      </c>
      <c r="T195">
        <f t="shared" si="7"/>
        <v>1</v>
      </c>
    </row>
    <row r="196" spans="1:20" x14ac:dyDescent="0.2">
      <c r="A196" t="s">
        <v>241</v>
      </c>
      <c r="B196">
        <f>IF(COUNTIFS('United Data'!$A$3:$A$2150,B$1,'United Data'!$C$3:$C$2150,$A196)&gt;0,1,0)</f>
        <v>0</v>
      </c>
      <c r="C196">
        <f>IF(COUNTIFS('United Data'!$A$3:$A$2150,C$1,'United Data'!$C$3:$C$2150,$A196)&gt;0,1,0)</f>
        <v>0</v>
      </c>
      <c r="D196">
        <f>IF(COUNTIFS('United Data'!$A$3:$A$2150,D$1,'United Data'!$C$3:$C$2150,$A196)&gt;0,1,0)</f>
        <v>0</v>
      </c>
      <c r="E196">
        <f>IF(COUNTIFS('United Data'!$A$3:$A$2150,E$1,'United Data'!$C$3:$C$2150,$A196)&gt;0,1,0)</f>
        <v>0</v>
      </c>
      <c r="F196">
        <f>IF(COUNTIFS('United Data'!$A$3:$A$2150,F$1,'United Data'!$C$3:$C$2150,$A196)&gt;0,1,0)</f>
        <v>1</v>
      </c>
      <c r="G196">
        <f>IF(COUNTIFS('United Data'!$A$3:$A$2150,G$1,'United Data'!$C$3:$C$2150,$A196)&gt;0,1,0)</f>
        <v>1</v>
      </c>
      <c r="H196">
        <f>IF(COUNTIFS('United Data'!$A$3:$A$2150,H$1,'United Data'!$C$3:$C$2150,$A196)&gt;0,1,0)</f>
        <v>0</v>
      </c>
      <c r="I196">
        <f>IF(COUNTIFS('United Data'!$A$3:$A$2150,I$1,'United Data'!$C$3:$C$2150,$A196)&gt;0,1,0)</f>
        <v>0</v>
      </c>
      <c r="J196">
        <f>IF(COUNTIFS('United Data'!$A$3:$A$2150,J$1,'United Data'!$C$3:$C$2150,$A196)&gt;0,1,0)</f>
        <v>0</v>
      </c>
      <c r="K196">
        <f>IF(COUNTIFS('United Data'!$A$3:$A$2150,K$1,'United Data'!$C$3:$C$2150,$A196)&gt;0,1,0)</f>
        <v>0</v>
      </c>
      <c r="L196">
        <f>IF(COUNTIFS('United Data'!$A$3:$A$2150,L$1,'United Data'!$C$3:$C$2150,$A196)&gt;0,1,0)</f>
        <v>0</v>
      </c>
      <c r="M196">
        <f>IF(COUNTIFS('United Data'!$A$3:$A$2150,M$1,'United Data'!$C$3:$C$2150,$A196)&gt;0,1,0)</f>
        <v>0</v>
      </c>
      <c r="N196">
        <f>IF(COUNTIFS('United Data'!$A$3:$A$2150,N$1,'United Data'!$C$3:$C$2150,$A196)&gt;0,1,0)</f>
        <v>0</v>
      </c>
      <c r="O196">
        <f>IF(COUNTIFS('United Data'!$A$3:$A$2150,O$1,'United Data'!$C$3:$C$2150,$A196)&gt;0,1,0)</f>
        <v>0</v>
      </c>
      <c r="P196">
        <f>IF(COUNTIFS('United Data'!$A$3:$A$2150,P$1,'United Data'!$C$3:$C$2150,$A196)&gt;0,1,0)</f>
        <v>0</v>
      </c>
      <c r="Q196">
        <f>IF(COUNTIFS('United Data'!$A$3:$A$2150,Q$1,'United Data'!$C$3:$C$2150,$A196)&gt;0,1,0)</f>
        <v>0</v>
      </c>
      <c r="R196">
        <f>IF(COUNTIFS('United Data'!$A$3:$A$2150,R$1,'United Data'!$C$3:$C$2150,$A196)&gt;0,1,0)</f>
        <v>0</v>
      </c>
      <c r="S196">
        <f t="shared" si="6"/>
        <v>2</v>
      </c>
      <c r="T196">
        <f t="shared" si="7"/>
        <v>1</v>
      </c>
    </row>
    <row r="197" spans="1:20" x14ac:dyDescent="0.2">
      <c r="A197" t="s">
        <v>242</v>
      </c>
      <c r="B197">
        <f>IF(COUNTIFS('United Data'!$A$3:$A$2150,B$1,'United Data'!$C$3:$C$2150,$A197)&gt;0,1,0)</f>
        <v>0</v>
      </c>
      <c r="C197">
        <f>IF(COUNTIFS('United Data'!$A$3:$A$2150,C$1,'United Data'!$C$3:$C$2150,$A197)&gt;0,1,0)</f>
        <v>0</v>
      </c>
      <c r="D197">
        <f>IF(COUNTIFS('United Data'!$A$3:$A$2150,D$1,'United Data'!$C$3:$C$2150,$A197)&gt;0,1,0)</f>
        <v>0</v>
      </c>
      <c r="E197">
        <f>IF(COUNTIFS('United Data'!$A$3:$A$2150,E$1,'United Data'!$C$3:$C$2150,$A197)&gt;0,1,0)</f>
        <v>0</v>
      </c>
      <c r="F197">
        <f>IF(COUNTIFS('United Data'!$A$3:$A$2150,F$1,'United Data'!$C$3:$C$2150,$A197)&gt;0,1,0)</f>
        <v>0</v>
      </c>
      <c r="G197">
        <f>IF(COUNTIFS('United Data'!$A$3:$A$2150,G$1,'United Data'!$C$3:$C$2150,$A197)&gt;0,1,0)</f>
        <v>1</v>
      </c>
      <c r="H197">
        <f>IF(COUNTIFS('United Data'!$A$3:$A$2150,H$1,'United Data'!$C$3:$C$2150,$A197)&gt;0,1,0)</f>
        <v>0</v>
      </c>
      <c r="I197">
        <f>IF(COUNTIFS('United Data'!$A$3:$A$2150,I$1,'United Data'!$C$3:$C$2150,$A197)&gt;0,1,0)</f>
        <v>0</v>
      </c>
      <c r="J197">
        <f>IF(COUNTIFS('United Data'!$A$3:$A$2150,J$1,'United Data'!$C$3:$C$2150,$A197)&gt;0,1,0)</f>
        <v>0</v>
      </c>
      <c r="K197">
        <f>IF(COUNTIFS('United Data'!$A$3:$A$2150,K$1,'United Data'!$C$3:$C$2150,$A197)&gt;0,1,0)</f>
        <v>0</v>
      </c>
      <c r="L197">
        <f>IF(COUNTIFS('United Data'!$A$3:$A$2150,L$1,'United Data'!$C$3:$C$2150,$A197)&gt;0,1,0)</f>
        <v>0</v>
      </c>
      <c r="M197">
        <f>IF(COUNTIFS('United Data'!$A$3:$A$2150,M$1,'United Data'!$C$3:$C$2150,$A197)&gt;0,1,0)</f>
        <v>0</v>
      </c>
      <c r="N197">
        <f>IF(COUNTIFS('United Data'!$A$3:$A$2150,N$1,'United Data'!$C$3:$C$2150,$A197)&gt;0,1,0)</f>
        <v>0</v>
      </c>
      <c r="O197">
        <f>IF(COUNTIFS('United Data'!$A$3:$A$2150,O$1,'United Data'!$C$3:$C$2150,$A197)&gt;0,1,0)</f>
        <v>0</v>
      </c>
      <c r="P197">
        <f>IF(COUNTIFS('United Data'!$A$3:$A$2150,P$1,'United Data'!$C$3:$C$2150,$A197)&gt;0,1,0)</f>
        <v>0</v>
      </c>
      <c r="Q197">
        <f>IF(COUNTIFS('United Data'!$A$3:$A$2150,Q$1,'United Data'!$C$3:$C$2150,$A197)&gt;0,1,0)</f>
        <v>0</v>
      </c>
      <c r="R197">
        <f>IF(COUNTIFS('United Data'!$A$3:$A$2150,R$1,'United Data'!$C$3:$C$2150,$A197)&gt;0,1,0)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243</v>
      </c>
      <c r="B198">
        <f>IF(COUNTIFS('United Data'!$A$3:$A$2150,B$1,'United Data'!$C$3:$C$2150,$A198)&gt;0,1,0)</f>
        <v>0</v>
      </c>
      <c r="C198">
        <f>IF(COUNTIFS('United Data'!$A$3:$A$2150,C$1,'United Data'!$C$3:$C$2150,$A198)&gt;0,1,0)</f>
        <v>0</v>
      </c>
      <c r="D198">
        <f>IF(COUNTIFS('United Data'!$A$3:$A$2150,D$1,'United Data'!$C$3:$C$2150,$A198)&gt;0,1,0)</f>
        <v>0</v>
      </c>
      <c r="E198">
        <f>IF(COUNTIFS('United Data'!$A$3:$A$2150,E$1,'United Data'!$C$3:$C$2150,$A198)&gt;0,1,0)</f>
        <v>0</v>
      </c>
      <c r="F198">
        <f>IF(COUNTIFS('United Data'!$A$3:$A$2150,F$1,'United Data'!$C$3:$C$2150,$A198)&gt;0,1,0)</f>
        <v>0</v>
      </c>
      <c r="G198">
        <f>IF(COUNTIFS('United Data'!$A$3:$A$2150,G$1,'United Data'!$C$3:$C$2150,$A198)&gt;0,1,0)</f>
        <v>1</v>
      </c>
      <c r="H198">
        <f>IF(COUNTIFS('United Data'!$A$3:$A$2150,H$1,'United Data'!$C$3:$C$2150,$A198)&gt;0,1,0)</f>
        <v>1</v>
      </c>
      <c r="I198">
        <f>IF(COUNTIFS('United Data'!$A$3:$A$2150,I$1,'United Data'!$C$3:$C$2150,$A198)&gt;0,1,0)</f>
        <v>1</v>
      </c>
      <c r="J198">
        <f>IF(COUNTIFS('United Data'!$A$3:$A$2150,J$1,'United Data'!$C$3:$C$2150,$A198)&gt;0,1,0)</f>
        <v>1</v>
      </c>
      <c r="K198">
        <f>IF(COUNTIFS('United Data'!$A$3:$A$2150,K$1,'United Data'!$C$3:$C$2150,$A198)&gt;0,1,0)</f>
        <v>1</v>
      </c>
      <c r="L198">
        <f>IF(COUNTIFS('United Data'!$A$3:$A$2150,L$1,'United Data'!$C$3:$C$2150,$A198)&gt;0,1,0)</f>
        <v>1</v>
      </c>
      <c r="M198">
        <f>IF(COUNTIFS('United Data'!$A$3:$A$2150,M$1,'United Data'!$C$3:$C$2150,$A198)&gt;0,1,0)</f>
        <v>0</v>
      </c>
      <c r="N198">
        <f>IF(COUNTIFS('United Data'!$A$3:$A$2150,N$1,'United Data'!$C$3:$C$2150,$A198)&gt;0,1,0)</f>
        <v>0</v>
      </c>
      <c r="O198">
        <f>IF(COUNTIFS('United Data'!$A$3:$A$2150,O$1,'United Data'!$C$3:$C$2150,$A198)&gt;0,1,0)</f>
        <v>0</v>
      </c>
      <c r="P198">
        <f>IF(COUNTIFS('United Data'!$A$3:$A$2150,P$1,'United Data'!$C$3:$C$2150,$A198)&gt;0,1,0)</f>
        <v>0</v>
      </c>
      <c r="Q198">
        <f>IF(COUNTIFS('United Data'!$A$3:$A$2150,Q$1,'United Data'!$C$3:$C$2150,$A198)&gt;0,1,0)</f>
        <v>0</v>
      </c>
      <c r="R198">
        <f>IF(COUNTIFS('United Data'!$A$3:$A$2150,R$1,'United Data'!$C$3:$C$2150,$A198)&gt;0,1,0)</f>
        <v>0</v>
      </c>
      <c r="S198">
        <f t="shared" si="6"/>
        <v>6</v>
      </c>
      <c r="T198">
        <f t="shared" si="7"/>
        <v>1</v>
      </c>
    </row>
    <row r="199" spans="1:20" x14ac:dyDescent="0.2">
      <c r="A199" t="s">
        <v>244</v>
      </c>
      <c r="B199">
        <f>IF(COUNTIFS('United Data'!$A$3:$A$2150,B$1,'United Data'!$C$3:$C$2150,$A199)&gt;0,1,0)</f>
        <v>0</v>
      </c>
      <c r="C199">
        <f>IF(COUNTIFS('United Data'!$A$3:$A$2150,C$1,'United Data'!$C$3:$C$2150,$A199)&gt;0,1,0)</f>
        <v>0</v>
      </c>
      <c r="D199">
        <f>IF(COUNTIFS('United Data'!$A$3:$A$2150,D$1,'United Data'!$C$3:$C$2150,$A199)&gt;0,1,0)</f>
        <v>0</v>
      </c>
      <c r="E199">
        <f>IF(COUNTIFS('United Data'!$A$3:$A$2150,E$1,'United Data'!$C$3:$C$2150,$A199)&gt;0,1,0)</f>
        <v>0</v>
      </c>
      <c r="F199">
        <f>IF(COUNTIFS('United Data'!$A$3:$A$2150,F$1,'United Data'!$C$3:$C$2150,$A199)&gt;0,1,0)</f>
        <v>0</v>
      </c>
      <c r="G199">
        <f>IF(COUNTIFS('United Data'!$A$3:$A$2150,G$1,'United Data'!$C$3:$C$2150,$A199)&gt;0,1,0)</f>
        <v>1</v>
      </c>
      <c r="H199">
        <f>IF(COUNTIFS('United Data'!$A$3:$A$2150,H$1,'United Data'!$C$3:$C$2150,$A199)&gt;0,1,0)</f>
        <v>0</v>
      </c>
      <c r="I199">
        <f>IF(COUNTIFS('United Data'!$A$3:$A$2150,I$1,'United Data'!$C$3:$C$2150,$A199)&gt;0,1,0)</f>
        <v>0</v>
      </c>
      <c r="J199">
        <f>IF(COUNTIFS('United Data'!$A$3:$A$2150,J$1,'United Data'!$C$3:$C$2150,$A199)&gt;0,1,0)</f>
        <v>0</v>
      </c>
      <c r="K199">
        <f>IF(COUNTIFS('United Data'!$A$3:$A$2150,K$1,'United Data'!$C$3:$C$2150,$A199)&gt;0,1,0)</f>
        <v>0</v>
      </c>
      <c r="L199">
        <f>IF(COUNTIFS('United Data'!$A$3:$A$2150,L$1,'United Data'!$C$3:$C$2150,$A199)&gt;0,1,0)</f>
        <v>0</v>
      </c>
      <c r="M199">
        <f>IF(COUNTIFS('United Data'!$A$3:$A$2150,M$1,'United Data'!$C$3:$C$2150,$A199)&gt;0,1,0)</f>
        <v>0</v>
      </c>
      <c r="N199">
        <f>IF(COUNTIFS('United Data'!$A$3:$A$2150,N$1,'United Data'!$C$3:$C$2150,$A199)&gt;0,1,0)</f>
        <v>0</v>
      </c>
      <c r="O199">
        <f>IF(COUNTIFS('United Data'!$A$3:$A$2150,O$1,'United Data'!$C$3:$C$2150,$A199)&gt;0,1,0)</f>
        <v>0</v>
      </c>
      <c r="P199">
        <f>IF(COUNTIFS('United Data'!$A$3:$A$2150,P$1,'United Data'!$C$3:$C$2150,$A199)&gt;0,1,0)</f>
        <v>0</v>
      </c>
      <c r="Q199">
        <f>IF(COUNTIFS('United Data'!$A$3:$A$2150,Q$1,'United Data'!$C$3:$C$2150,$A199)&gt;0,1,0)</f>
        <v>0</v>
      </c>
      <c r="R199">
        <f>IF(COUNTIFS('United Data'!$A$3:$A$2150,R$1,'United Data'!$C$3:$C$2150,$A199)&gt;0,1,0)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245</v>
      </c>
      <c r="B200">
        <f>IF(COUNTIFS('United Data'!$A$3:$A$2150,B$1,'United Data'!$C$3:$C$2150,$A200)&gt;0,1,0)</f>
        <v>0</v>
      </c>
      <c r="C200">
        <f>IF(COUNTIFS('United Data'!$A$3:$A$2150,C$1,'United Data'!$C$3:$C$2150,$A200)&gt;0,1,0)</f>
        <v>0</v>
      </c>
      <c r="D200">
        <f>IF(COUNTIFS('United Data'!$A$3:$A$2150,D$1,'United Data'!$C$3:$C$2150,$A200)&gt;0,1,0)</f>
        <v>0</v>
      </c>
      <c r="E200">
        <f>IF(COUNTIFS('United Data'!$A$3:$A$2150,E$1,'United Data'!$C$3:$C$2150,$A200)&gt;0,1,0)</f>
        <v>0</v>
      </c>
      <c r="F200">
        <f>IF(COUNTIFS('United Data'!$A$3:$A$2150,F$1,'United Data'!$C$3:$C$2150,$A200)&gt;0,1,0)</f>
        <v>0</v>
      </c>
      <c r="G200">
        <f>IF(COUNTIFS('United Data'!$A$3:$A$2150,G$1,'United Data'!$C$3:$C$2150,$A200)&gt;0,1,0)</f>
        <v>1</v>
      </c>
      <c r="H200">
        <f>IF(COUNTIFS('United Data'!$A$3:$A$2150,H$1,'United Data'!$C$3:$C$2150,$A200)&gt;0,1,0)</f>
        <v>0</v>
      </c>
      <c r="I200">
        <f>IF(COUNTIFS('United Data'!$A$3:$A$2150,I$1,'United Data'!$C$3:$C$2150,$A200)&gt;0,1,0)</f>
        <v>0</v>
      </c>
      <c r="J200">
        <f>IF(COUNTIFS('United Data'!$A$3:$A$2150,J$1,'United Data'!$C$3:$C$2150,$A200)&gt;0,1,0)</f>
        <v>0</v>
      </c>
      <c r="K200">
        <f>IF(COUNTIFS('United Data'!$A$3:$A$2150,K$1,'United Data'!$C$3:$C$2150,$A200)&gt;0,1,0)</f>
        <v>0</v>
      </c>
      <c r="L200">
        <f>IF(COUNTIFS('United Data'!$A$3:$A$2150,L$1,'United Data'!$C$3:$C$2150,$A200)&gt;0,1,0)</f>
        <v>0</v>
      </c>
      <c r="M200">
        <f>IF(COUNTIFS('United Data'!$A$3:$A$2150,M$1,'United Data'!$C$3:$C$2150,$A200)&gt;0,1,0)</f>
        <v>0</v>
      </c>
      <c r="N200">
        <f>IF(COUNTIFS('United Data'!$A$3:$A$2150,N$1,'United Data'!$C$3:$C$2150,$A200)&gt;0,1,0)</f>
        <v>0</v>
      </c>
      <c r="O200">
        <f>IF(COUNTIFS('United Data'!$A$3:$A$2150,O$1,'United Data'!$C$3:$C$2150,$A200)&gt;0,1,0)</f>
        <v>0</v>
      </c>
      <c r="P200">
        <f>IF(COUNTIFS('United Data'!$A$3:$A$2150,P$1,'United Data'!$C$3:$C$2150,$A200)&gt;0,1,0)</f>
        <v>0</v>
      </c>
      <c r="Q200">
        <f>IF(COUNTIFS('United Data'!$A$3:$A$2150,Q$1,'United Data'!$C$3:$C$2150,$A200)&gt;0,1,0)</f>
        <v>0</v>
      </c>
      <c r="R200">
        <f>IF(COUNTIFS('United Data'!$A$3:$A$2150,R$1,'United Data'!$C$3:$C$2150,$A200)&gt;0,1,0)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246</v>
      </c>
      <c r="B201">
        <f>IF(COUNTIFS('United Data'!$A$3:$A$2150,B$1,'United Data'!$C$3:$C$2150,$A201)&gt;0,1,0)</f>
        <v>0</v>
      </c>
      <c r="C201">
        <f>IF(COUNTIFS('United Data'!$A$3:$A$2150,C$1,'United Data'!$C$3:$C$2150,$A201)&gt;0,1,0)</f>
        <v>0</v>
      </c>
      <c r="D201">
        <f>IF(COUNTIFS('United Data'!$A$3:$A$2150,D$1,'United Data'!$C$3:$C$2150,$A201)&gt;0,1,0)</f>
        <v>0</v>
      </c>
      <c r="E201">
        <f>IF(COUNTIFS('United Data'!$A$3:$A$2150,E$1,'United Data'!$C$3:$C$2150,$A201)&gt;0,1,0)</f>
        <v>0</v>
      </c>
      <c r="F201">
        <f>IF(COUNTIFS('United Data'!$A$3:$A$2150,F$1,'United Data'!$C$3:$C$2150,$A201)&gt;0,1,0)</f>
        <v>0</v>
      </c>
      <c r="G201">
        <f>IF(COUNTIFS('United Data'!$A$3:$A$2150,G$1,'United Data'!$C$3:$C$2150,$A201)&gt;0,1,0)</f>
        <v>1</v>
      </c>
      <c r="H201">
        <f>IF(COUNTIFS('United Data'!$A$3:$A$2150,H$1,'United Data'!$C$3:$C$2150,$A201)&gt;0,1,0)</f>
        <v>1</v>
      </c>
      <c r="I201">
        <f>IF(COUNTIFS('United Data'!$A$3:$A$2150,I$1,'United Data'!$C$3:$C$2150,$A201)&gt;0,1,0)</f>
        <v>0</v>
      </c>
      <c r="J201">
        <f>IF(COUNTIFS('United Data'!$A$3:$A$2150,J$1,'United Data'!$C$3:$C$2150,$A201)&gt;0,1,0)</f>
        <v>0</v>
      </c>
      <c r="K201">
        <f>IF(COUNTIFS('United Data'!$A$3:$A$2150,K$1,'United Data'!$C$3:$C$2150,$A201)&gt;0,1,0)</f>
        <v>0</v>
      </c>
      <c r="L201">
        <f>IF(COUNTIFS('United Data'!$A$3:$A$2150,L$1,'United Data'!$C$3:$C$2150,$A201)&gt;0,1,0)</f>
        <v>0</v>
      </c>
      <c r="M201">
        <f>IF(COUNTIFS('United Data'!$A$3:$A$2150,M$1,'United Data'!$C$3:$C$2150,$A201)&gt;0,1,0)</f>
        <v>0</v>
      </c>
      <c r="N201">
        <f>IF(COUNTIFS('United Data'!$A$3:$A$2150,N$1,'United Data'!$C$3:$C$2150,$A201)&gt;0,1,0)</f>
        <v>0</v>
      </c>
      <c r="O201">
        <f>IF(COUNTIFS('United Data'!$A$3:$A$2150,O$1,'United Data'!$C$3:$C$2150,$A201)&gt;0,1,0)</f>
        <v>0</v>
      </c>
      <c r="P201">
        <f>IF(COUNTIFS('United Data'!$A$3:$A$2150,P$1,'United Data'!$C$3:$C$2150,$A201)&gt;0,1,0)</f>
        <v>0</v>
      </c>
      <c r="Q201">
        <f>IF(COUNTIFS('United Data'!$A$3:$A$2150,Q$1,'United Data'!$C$3:$C$2150,$A201)&gt;0,1,0)</f>
        <v>0</v>
      </c>
      <c r="R201">
        <f>IF(COUNTIFS('United Data'!$A$3:$A$2150,R$1,'United Data'!$C$3:$C$2150,$A201)&gt;0,1,0)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247</v>
      </c>
      <c r="B202">
        <f>IF(COUNTIFS('United Data'!$A$3:$A$2150,B$1,'United Data'!$C$3:$C$2150,$A202)&gt;0,1,0)</f>
        <v>0</v>
      </c>
      <c r="C202">
        <f>IF(COUNTIFS('United Data'!$A$3:$A$2150,C$1,'United Data'!$C$3:$C$2150,$A202)&gt;0,1,0)</f>
        <v>0</v>
      </c>
      <c r="D202">
        <f>IF(COUNTIFS('United Data'!$A$3:$A$2150,D$1,'United Data'!$C$3:$C$2150,$A202)&gt;0,1,0)</f>
        <v>0</v>
      </c>
      <c r="E202">
        <f>IF(COUNTIFS('United Data'!$A$3:$A$2150,E$1,'United Data'!$C$3:$C$2150,$A202)&gt;0,1,0)</f>
        <v>0</v>
      </c>
      <c r="F202">
        <f>IF(COUNTIFS('United Data'!$A$3:$A$2150,F$1,'United Data'!$C$3:$C$2150,$A202)&gt;0,1,0)</f>
        <v>0</v>
      </c>
      <c r="G202">
        <f>IF(COUNTIFS('United Data'!$A$3:$A$2150,G$1,'United Data'!$C$3:$C$2150,$A202)&gt;0,1,0)</f>
        <v>0</v>
      </c>
      <c r="H202">
        <f>IF(COUNTIFS('United Data'!$A$3:$A$2150,H$1,'United Data'!$C$3:$C$2150,$A202)&gt;0,1,0)</f>
        <v>1</v>
      </c>
      <c r="I202">
        <f>IF(COUNTIFS('United Data'!$A$3:$A$2150,I$1,'United Data'!$C$3:$C$2150,$A202)&gt;0,1,0)</f>
        <v>0</v>
      </c>
      <c r="J202">
        <f>IF(COUNTIFS('United Data'!$A$3:$A$2150,J$1,'United Data'!$C$3:$C$2150,$A202)&gt;0,1,0)</f>
        <v>0</v>
      </c>
      <c r="K202">
        <f>IF(COUNTIFS('United Data'!$A$3:$A$2150,K$1,'United Data'!$C$3:$C$2150,$A202)&gt;0,1,0)</f>
        <v>0</v>
      </c>
      <c r="L202">
        <f>IF(COUNTIFS('United Data'!$A$3:$A$2150,L$1,'United Data'!$C$3:$C$2150,$A202)&gt;0,1,0)</f>
        <v>0</v>
      </c>
      <c r="M202">
        <f>IF(COUNTIFS('United Data'!$A$3:$A$2150,M$1,'United Data'!$C$3:$C$2150,$A202)&gt;0,1,0)</f>
        <v>0</v>
      </c>
      <c r="N202">
        <f>IF(COUNTIFS('United Data'!$A$3:$A$2150,N$1,'United Data'!$C$3:$C$2150,$A202)&gt;0,1,0)</f>
        <v>0</v>
      </c>
      <c r="O202">
        <f>IF(COUNTIFS('United Data'!$A$3:$A$2150,O$1,'United Data'!$C$3:$C$2150,$A202)&gt;0,1,0)</f>
        <v>0</v>
      </c>
      <c r="P202">
        <f>IF(COUNTIFS('United Data'!$A$3:$A$2150,P$1,'United Data'!$C$3:$C$2150,$A202)&gt;0,1,0)</f>
        <v>0</v>
      </c>
      <c r="Q202">
        <f>IF(COUNTIFS('United Data'!$A$3:$A$2150,Q$1,'United Data'!$C$3:$C$2150,$A202)&gt;0,1,0)</f>
        <v>0</v>
      </c>
      <c r="R202">
        <f>IF(COUNTIFS('United Data'!$A$3:$A$2150,R$1,'United Data'!$C$3:$C$2150,$A202)&gt;0,1,0)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248</v>
      </c>
      <c r="B203">
        <f>IF(COUNTIFS('United Data'!$A$3:$A$2150,B$1,'United Data'!$C$3:$C$2150,$A203)&gt;0,1,0)</f>
        <v>0</v>
      </c>
      <c r="C203">
        <f>IF(COUNTIFS('United Data'!$A$3:$A$2150,C$1,'United Data'!$C$3:$C$2150,$A203)&gt;0,1,0)</f>
        <v>0</v>
      </c>
      <c r="D203">
        <f>IF(COUNTIFS('United Data'!$A$3:$A$2150,D$1,'United Data'!$C$3:$C$2150,$A203)&gt;0,1,0)</f>
        <v>0</v>
      </c>
      <c r="E203">
        <f>IF(COUNTIFS('United Data'!$A$3:$A$2150,E$1,'United Data'!$C$3:$C$2150,$A203)&gt;0,1,0)</f>
        <v>0</v>
      </c>
      <c r="F203">
        <f>IF(COUNTIFS('United Data'!$A$3:$A$2150,F$1,'United Data'!$C$3:$C$2150,$A203)&gt;0,1,0)</f>
        <v>0</v>
      </c>
      <c r="G203">
        <f>IF(COUNTIFS('United Data'!$A$3:$A$2150,G$1,'United Data'!$C$3:$C$2150,$A203)&gt;0,1,0)</f>
        <v>0</v>
      </c>
      <c r="H203">
        <f>IF(COUNTIFS('United Data'!$A$3:$A$2150,H$1,'United Data'!$C$3:$C$2150,$A203)&gt;0,1,0)</f>
        <v>1</v>
      </c>
      <c r="I203">
        <f>IF(COUNTIFS('United Data'!$A$3:$A$2150,I$1,'United Data'!$C$3:$C$2150,$A203)&gt;0,1,0)</f>
        <v>1</v>
      </c>
      <c r="J203">
        <f>IF(COUNTIFS('United Data'!$A$3:$A$2150,J$1,'United Data'!$C$3:$C$2150,$A203)&gt;0,1,0)</f>
        <v>1</v>
      </c>
      <c r="K203">
        <f>IF(COUNTIFS('United Data'!$A$3:$A$2150,K$1,'United Data'!$C$3:$C$2150,$A203)&gt;0,1,0)</f>
        <v>1</v>
      </c>
      <c r="L203">
        <f>IF(COUNTIFS('United Data'!$A$3:$A$2150,L$1,'United Data'!$C$3:$C$2150,$A203)&gt;0,1,0)</f>
        <v>1</v>
      </c>
      <c r="M203">
        <f>IF(COUNTIFS('United Data'!$A$3:$A$2150,M$1,'United Data'!$C$3:$C$2150,$A203)&gt;0,1,0)</f>
        <v>1</v>
      </c>
      <c r="N203">
        <f>IF(COUNTIFS('United Data'!$A$3:$A$2150,N$1,'United Data'!$C$3:$C$2150,$A203)&gt;0,1,0)</f>
        <v>1</v>
      </c>
      <c r="O203">
        <f>IF(COUNTIFS('United Data'!$A$3:$A$2150,O$1,'United Data'!$C$3:$C$2150,$A203)&gt;0,1,0)</f>
        <v>1</v>
      </c>
      <c r="P203">
        <f>IF(COUNTIFS('United Data'!$A$3:$A$2150,P$1,'United Data'!$C$3:$C$2150,$A203)&gt;0,1,0)</f>
        <v>1</v>
      </c>
      <c r="Q203">
        <f>IF(COUNTIFS('United Data'!$A$3:$A$2150,Q$1,'United Data'!$C$3:$C$2150,$A203)&gt;0,1,0)</f>
        <v>0</v>
      </c>
      <c r="R203">
        <f>IF(COUNTIFS('United Data'!$A$3:$A$2150,R$1,'United Data'!$C$3:$C$2150,$A203)&gt;0,1,0)</f>
        <v>0</v>
      </c>
      <c r="S203">
        <f t="shared" si="6"/>
        <v>9</v>
      </c>
      <c r="T203">
        <f t="shared" si="7"/>
        <v>1</v>
      </c>
    </row>
    <row r="204" spans="1:20" x14ac:dyDescent="0.2">
      <c r="A204" t="s">
        <v>249</v>
      </c>
      <c r="B204">
        <f>IF(COUNTIFS('United Data'!$A$3:$A$2150,B$1,'United Data'!$C$3:$C$2150,$A204)&gt;0,1,0)</f>
        <v>0</v>
      </c>
      <c r="C204">
        <f>IF(COUNTIFS('United Data'!$A$3:$A$2150,C$1,'United Data'!$C$3:$C$2150,$A204)&gt;0,1,0)</f>
        <v>0</v>
      </c>
      <c r="D204">
        <f>IF(COUNTIFS('United Data'!$A$3:$A$2150,D$1,'United Data'!$C$3:$C$2150,$A204)&gt;0,1,0)</f>
        <v>0</v>
      </c>
      <c r="E204">
        <f>IF(COUNTIFS('United Data'!$A$3:$A$2150,E$1,'United Data'!$C$3:$C$2150,$A204)&gt;0,1,0)</f>
        <v>0</v>
      </c>
      <c r="F204">
        <f>IF(COUNTIFS('United Data'!$A$3:$A$2150,F$1,'United Data'!$C$3:$C$2150,$A204)&gt;0,1,0)</f>
        <v>0</v>
      </c>
      <c r="G204">
        <f>IF(COUNTIFS('United Data'!$A$3:$A$2150,G$1,'United Data'!$C$3:$C$2150,$A204)&gt;0,1,0)</f>
        <v>0</v>
      </c>
      <c r="H204">
        <f>IF(COUNTIFS('United Data'!$A$3:$A$2150,H$1,'United Data'!$C$3:$C$2150,$A204)&gt;0,1,0)</f>
        <v>1</v>
      </c>
      <c r="I204">
        <f>IF(COUNTIFS('United Data'!$A$3:$A$2150,I$1,'United Data'!$C$3:$C$2150,$A204)&gt;0,1,0)</f>
        <v>1</v>
      </c>
      <c r="J204">
        <f>IF(COUNTIFS('United Data'!$A$3:$A$2150,J$1,'United Data'!$C$3:$C$2150,$A204)&gt;0,1,0)</f>
        <v>1</v>
      </c>
      <c r="K204">
        <f>IF(COUNTIFS('United Data'!$A$3:$A$2150,K$1,'United Data'!$C$3:$C$2150,$A204)&gt;0,1,0)</f>
        <v>1</v>
      </c>
      <c r="L204">
        <f>IF(COUNTIFS('United Data'!$A$3:$A$2150,L$1,'United Data'!$C$3:$C$2150,$A204)&gt;0,1,0)</f>
        <v>1</v>
      </c>
      <c r="M204">
        <f>IF(COUNTIFS('United Data'!$A$3:$A$2150,M$1,'United Data'!$C$3:$C$2150,$A204)&gt;0,1,0)</f>
        <v>0</v>
      </c>
      <c r="N204">
        <f>IF(COUNTIFS('United Data'!$A$3:$A$2150,N$1,'United Data'!$C$3:$C$2150,$A204)&gt;0,1,0)</f>
        <v>1</v>
      </c>
      <c r="O204">
        <f>IF(COUNTIFS('United Data'!$A$3:$A$2150,O$1,'United Data'!$C$3:$C$2150,$A204)&gt;0,1,0)</f>
        <v>1</v>
      </c>
      <c r="P204">
        <f>IF(COUNTIFS('United Data'!$A$3:$A$2150,P$1,'United Data'!$C$3:$C$2150,$A204)&gt;0,1,0)</f>
        <v>0</v>
      </c>
      <c r="Q204">
        <f>IF(COUNTIFS('United Data'!$A$3:$A$2150,Q$1,'United Data'!$C$3:$C$2150,$A204)&gt;0,1,0)</f>
        <v>0</v>
      </c>
      <c r="R204">
        <f>IF(COUNTIFS('United Data'!$A$3:$A$2150,R$1,'United Data'!$C$3:$C$2150,$A204)&gt;0,1,0)</f>
        <v>0</v>
      </c>
      <c r="S204">
        <f t="shared" si="6"/>
        <v>7</v>
      </c>
      <c r="T204">
        <f t="shared" si="7"/>
        <v>2</v>
      </c>
    </row>
    <row r="205" spans="1:20" x14ac:dyDescent="0.2">
      <c r="A205" t="s">
        <v>250</v>
      </c>
      <c r="B205">
        <f>IF(COUNTIFS('United Data'!$A$3:$A$2150,B$1,'United Data'!$C$3:$C$2150,$A205)&gt;0,1,0)</f>
        <v>0</v>
      </c>
      <c r="C205">
        <f>IF(COUNTIFS('United Data'!$A$3:$A$2150,C$1,'United Data'!$C$3:$C$2150,$A205)&gt;0,1,0)</f>
        <v>0</v>
      </c>
      <c r="D205">
        <f>IF(COUNTIFS('United Data'!$A$3:$A$2150,D$1,'United Data'!$C$3:$C$2150,$A205)&gt;0,1,0)</f>
        <v>0</v>
      </c>
      <c r="E205">
        <f>IF(COUNTIFS('United Data'!$A$3:$A$2150,E$1,'United Data'!$C$3:$C$2150,$A205)&gt;0,1,0)</f>
        <v>0</v>
      </c>
      <c r="F205">
        <f>IF(COUNTIFS('United Data'!$A$3:$A$2150,F$1,'United Data'!$C$3:$C$2150,$A205)&gt;0,1,0)</f>
        <v>0</v>
      </c>
      <c r="G205">
        <f>IF(COUNTIFS('United Data'!$A$3:$A$2150,G$1,'United Data'!$C$3:$C$2150,$A205)&gt;0,1,0)</f>
        <v>0</v>
      </c>
      <c r="H205">
        <f>IF(COUNTIFS('United Data'!$A$3:$A$2150,H$1,'United Data'!$C$3:$C$2150,$A205)&gt;0,1,0)</f>
        <v>1</v>
      </c>
      <c r="I205">
        <f>IF(COUNTIFS('United Data'!$A$3:$A$2150,I$1,'United Data'!$C$3:$C$2150,$A205)&gt;0,1,0)</f>
        <v>0</v>
      </c>
      <c r="J205">
        <f>IF(COUNTIFS('United Data'!$A$3:$A$2150,J$1,'United Data'!$C$3:$C$2150,$A205)&gt;0,1,0)</f>
        <v>0</v>
      </c>
      <c r="K205">
        <f>IF(COUNTIFS('United Data'!$A$3:$A$2150,K$1,'United Data'!$C$3:$C$2150,$A205)&gt;0,1,0)</f>
        <v>0</v>
      </c>
      <c r="L205">
        <f>IF(COUNTIFS('United Data'!$A$3:$A$2150,L$1,'United Data'!$C$3:$C$2150,$A205)&gt;0,1,0)</f>
        <v>0</v>
      </c>
      <c r="M205">
        <f>IF(COUNTIFS('United Data'!$A$3:$A$2150,M$1,'United Data'!$C$3:$C$2150,$A205)&gt;0,1,0)</f>
        <v>0</v>
      </c>
      <c r="N205">
        <f>IF(COUNTIFS('United Data'!$A$3:$A$2150,N$1,'United Data'!$C$3:$C$2150,$A205)&gt;0,1,0)</f>
        <v>0</v>
      </c>
      <c r="O205">
        <f>IF(COUNTIFS('United Data'!$A$3:$A$2150,O$1,'United Data'!$C$3:$C$2150,$A205)&gt;0,1,0)</f>
        <v>0</v>
      </c>
      <c r="P205">
        <f>IF(COUNTIFS('United Data'!$A$3:$A$2150,P$1,'United Data'!$C$3:$C$2150,$A205)&gt;0,1,0)</f>
        <v>0</v>
      </c>
      <c r="Q205">
        <f>IF(COUNTIFS('United Data'!$A$3:$A$2150,Q$1,'United Data'!$C$3:$C$2150,$A205)&gt;0,1,0)</f>
        <v>0</v>
      </c>
      <c r="R205">
        <f>IF(COUNTIFS('United Data'!$A$3:$A$2150,R$1,'United Data'!$C$3:$C$2150,$A205)&gt;0,1,0)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251</v>
      </c>
      <c r="B206">
        <f>IF(COUNTIFS('United Data'!$A$3:$A$2150,B$1,'United Data'!$C$3:$C$2150,$A206)&gt;0,1,0)</f>
        <v>0</v>
      </c>
      <c r="C206">
        <f>IF(COUNTIFS('United Data'!$A$3:$A$2150,C$1,'United Data'!$C$3:$C$2150,$A206)&gt;0,1,0)</f>
        <v>0</v>
      </c>
      <c r="D206">
        <f>IF(COUNTIFS('United Data'!$A$3:$A$2150,D$1,'United Data'!$C$3:$C$2150,$A206)&gt;0,1,0)</f>
        <v>0</v>
      </c>
      <c r="E206">
        <f>IF(COUNTIFS('United Data'!$A$3:$A$2150,E$1,'United Data'!$C$3:$C$2150,$A206)&gt;0,1,0)</f>
        <v>1</v>
      </c>
      <c r="F206">
        <f>IF(COUNTIFS('United Data'!$A$3:$A$2150,F$1,'United Data'!$C$3:$C$2150,$A206)&gt;0,1,0)</f>
        <v>0</v>
      </c>
      <c r="G206">
        <f>IF(COUNTIFS('United Data'!$A$3:$A$2150,G$1,'United Data'!$C$3:$C$2150,$A206)&gt;0,1,0)</f>
        <v>0</v>
      </c>
      <c r="H206">
        <f>IF(COUNTIFS('United Data'!$A$3:$A$2150,H$1,'United Data'!$C$3:$C$2150,$A206)&gt;0,1,0)</f>
        <v>1</v>
      </c>
      <c r="I206">
        <f>IF(COUNTIFS('United Data'!$A$3:$A$2150,I$1,'United Data'!$C$3:$C$2150,$A206)&gt;0,1,0)</f>
        <v>1</v>
      </c>
      <c r="J206">
        <f>IF(COUNTIFS('United Data'!$A$3:$A$2150,J$1,'United Data'!$C$3:$C$2150,$A206)&gt;0,1,0)</f>
        <v>1</v>
      </c>
      <c r="K206">
        <f>IF(COUNTIFS('United Data'!$A$3:$A$2150,K$1,'United Data'!$C$3:$C$2150,$A206)&gt;0,1,0)</f>
        <v>1</v>
      </c>
      <c r="L206">
        <f>IF(COUNTIFS('United Data'!$A$3:$A$2150,L$1,'United Data'!$C$3:$C$2150,$A206)&gt;0,1,0)</f>
        <v>0</v>
      </c>
      <c r="M206">
        <f>IF(COUNTIFS('United Data'!$A$3:$A$2150,M$1,'United Data'!$C$3:$C$2150,$A206)&gt;0,1,0)</f>
        <v>1</v>
      </c>
      <c r="N206">
        <f>IF(COUNTIFS('United Data'!$A$3:$A$2150,N$1,'United Data'!$C$3:$C$2150,$A206)&gt;0,1,0)</f>
        <v>1</v>
      </c>
      <c r="O206">
        <f>IF(COUNTIFS('United Data'!$A$3:$A$2150,O$1,'United Data'!$C$3:$C$2150,$A206)&gt;0,1,0)</f>
        <v>0</v>
      </c>
      <c r="P206">
        <f>IF(COUNTIFS('United Data'!$A$3:$A$2150,P$1,'United Data'!$C$3:$C$2150,$A206)&gt;0,1,0)</f>
        <v>0</v>
      </c>
      <c r="Q206">
        <f>IF(COUNTIFS('United Data'!$A$3:$A$2150,Q$1,'United Data'!$C$3:$C$2150,$A206)&gt;0,1,0)</f>
        <v>0</v>
      </c>
      <c r="R206">
        <f>IF(COUNTIFS('United Data'!$A$3:$A$2150,R$1,'United Data'!$C$3:$C$2150,$A206)&gt;0,1,0)</f>
        <v>0</v>
      </c>
      <c r="S206">
        <f t="shared" si="6"/>
        <v>7</v>
      </c>
      <c r="T206">
        <f t="shared" si="7"/>
        <v>3</v>
      </c>
    </row>
    <row r="207" spans="1:20" x14ac:dyDescent="0.2">
      <c r="A207" t="s">
        <v>252</v>
      </c>
      <c r="B207">
        <f>IF(COUNTIFS('United Data'!$A$3:$A$2150,B$1,'United Data'!$C$3:$C$2150,$A207)&gt;0,1,0)</f>
        <v>0</v>
      </c>
      <c r="C207">
        <f>IF(COUNTIFS('United Data'!$A$3:$A$2150,C$1,'United Data'!$C$3:$C$2150,$A207)&gt;0,1,0)</f>
        <v>0</v>
      </c>
      <c r="D207">
        <f>IF(COUNTIFS('United Data'!$A$3:$A$2150,D$1,'United Data'!$C$3:$C$2150,$A207)&gt;0,1,0)</f>
        <v>0</v>
      </c>
      <c r="E207">
        <f>IF(COUNTIFS('United Data'!$A$3:$A$2150,E$1,'United Data'!$C$3:$C$2150,$A207)&gt;0,1,0)</f>
        <v>1</v>
      </c>
      <c r="F207">
        <f>IF(COUNTIFS('United Data'!$A$3:$A$2150,F$1,'United Data'!$C$3:$C$2150,$A207)&gt;0,1,0)</f>
        <v>0</v>
      </c>
      <c r="G207">
        <f>IF(COUNTIFS('United Data'!$A$3:$A$2150,G$1,'United Data'!$C$3:$C$2150,$A207)&gt;0,1,0)</f>
        <v>1</v>
      </c>
      <c r="H207">
        <f>IF(COUNTIFS('United Data'!$A$3:$A$2150,H$1,'United Data'!$C$3:$C$2150,$A207)&gt;0,1,0)</f>
        <v>1</v>
      </c>
      <c r="I207">
        <f>IF(COUNTIFS('United Data'!$A$3:$A$2150,I$1,'United Data'!$C$3:$C$2150,$A207)&gt;0,1,0)</f>
        <v>1</v>
      </c>
      <c r="J207">
        <f>IF(COUNTIFS('United Data'!$A$3:$A$2150,J$1,'United Data'!$C$3:$C$2150,$A207)&gt;0,1,0)</f>
        <v>1</v>
      </c>
      <c r="K207">
        <f>IF(COUNTIFS('United Data'!$A$3:$A$2150,K$1,'United Data'!$C$3:$C$2150,$A207)&gt;0,1,0)</f>
        <v>1</v>
      </c>
      <c r="L207">
        <f>IF(COUNTIFS('United Data'!$A$3:$A$2150,L$1,'United Data'!$C$3:$C$2150,$A207)&gt;0,1,0)</f>
        <v>1</v>
      </c>
      <c r="M207">
        <f>IF(COUNTIFS('United Data'!$A$3:$A$2150,M$1,'United Data'!$C$3:$C$2150,$A207)&gt;0,1,0)</f>
        <v>1</v>
      </c>
      <c r="N207">
        <f>IF(COUNTIFS('United Data'!$A$3:$A$2150,N$1,'United Data'!$C$3:$C$2150,$A207)&gt;0,1,0)</f>
        <v>1</v>
      </c>
      <c r="O207">
        <f>IF(COUNTIFS('United Data'!$A$3:$A$2150,O$1,'United Data'!$C$3:$C$2150,$A207)&gt;0,1,0)</f>
        <v>1</v>
      </c>
      <c r="P207">
        <f>IF(COUNTIFS('United Data'!$A$3:$A$2150,P$1,'United Data'!$C$3:$C$2150,$A207)&gt;0,1,0)</f>
        <v>0</v>
      </c>
      <c r="Q207">
        <f>IF(COUNTIFS('United Data'!$A$3:$A$2150,Q$1,'United Data'!$C$3:$C$2150,$A207)&gt;0,1,0)</f>
        <v>0</v>
      </c>
      <c r="R207">
        <f>IF(COUNTIFS('United Data'!$A$3:$A$2150,R$1,'United Data'!$C$3:$C$2150,$A207)&gt;0,1,0)</f>
        <v>0</v>
      </c>
      <c r="S207">
        <f t="shared" si="6"/>
        <v>10</v>
      </c>
      <c r="T207">
        <f t="shared" si="7"/>
        <v>2</v>
      </c>
    </row>
    <row r="208" spans="1:20" x14ac:dyDescent="0.2">
      <c r="A208" t="s">
        <v>253</v>
      </c>
      <c r="B208">
        <f>IF(COUNTIFS('United Data'!$A$3:$A$2150,B$1,'United Data'!$C$3:$C$2150,$A208)&gt;0,1,0)</f>
        <v>0</v>
      </c>
      <c r="C208">
        <f>IF(COUNTIFS('United Data'!$A$3:$A$2150,C$1,'United Data'!$C$3:$C$2150,$A208)&gt;0,1,0)</f>
        <v>0</v>
      </c>
      <c r="D208">
        <f>IF(COUNTIFS('United Data'!$A$3:$A$2150,D$1,'United Data'!$C$3:$C$2150,$A208)&gt;0,1,0)</f>
        <v>0</v>
      </c>
      <c r="E208">
        <f>IF(COUNTIFS('United Data'!$A$3:$A$2150,E$1,'United Data'!$C$3:$C$2150,$A208)&gt;0,1,0)</f>
        <v>0</v>
      </c>
      <c r="F208">
        <f>IF(COUNTIFS('United Data'!$A$3:$A$2150,F$1,'United Data'!$C$3:$C$2150,$A208)&gt;0,1,0)</f>
        <v>0</v>
      </c>
      <c r="G208">
        <f>IF(COUNTIFS('United Data'!$A$3:$A$2150,G$1,'United Data'!$C$3:$C$2150,$A208)&gt;0,1,0)</f>
        <v>0</v>
      </c>
      <c r="H208">
        <f>IF(COUNTIFS('United Data'!$A$3:$A$2150,H$1,'United Data'!$C$3:$C$2150,$A208)&gt;0,1,0)</f>
        <v>0</v>
      </c>
      <c r="I208">
        <f>IF(COUNTIFS('United Data'!$A$3:$A$2150,I$1,'United Data'!$C$3:$C$2150,$A208)&gt;0,1,0)</f>
        <v>1</v>
      </c>
      <c r="J208">
        <f>IF(COUNTIFS('United Data'!$A$3:$A$2150,J$1,'United Data'!$C$3:$C$2150,$A208)&gt;0,1,0)</f>
        <v>0</v>
      </c>
      <c r="K208">
        <f>IF(COUNTIFS('United Data'!$A$3:$A$2150,K$1,'United Data'!$C$3:$C$2150,$A208)&gt;0,1,0)</f>
        <v>0</v>
      </c>
      <c r="L208">
        <f>IF(COUNTIFS('United Data'!$A$3:$A$2150,L$1,'United Data'!$C$3:$C$2150,$A208)&gt;0,1,0)</f>
        <v>0</v>
      </c>
      <c r="M208">
        <f>IF(COUNTIFS('United Data'!$A$3:$A$2150,M$1,'United Data'!$C$3:$C$2150,$A208)&gt;0,1,0)</f>
        <v>0</v>
      </c>
      <c r="N208">
        <f>IF(COUNTIFS('United Data'!$A$3:$A$2150,N$1,'United Data'!$C$3:$C$2150,$A208)&gt;0,1,0)</f>
        <v>0</v>
      </c>
      <c r="O208">
        <f>IF(COUNTIFS('United Data'!$A$3:$A$2150,O$1,'United Data'!$C$3:$C$2150,$A208)&gt;0,1,0)</f>
        <v>0</v>
      </c>
      <c r="P208">
        <f>IF(COUNTIFS('United Data'!$A$3:$A$2150,P$1,'United Data'!$C$3:$C$2150,$A208)&gt;0,1,0)</f>
        <v>0</v>
      </c>
      <c r="Q208">
        <f>IF(COUNTIFS('United Data'!$A$3:$A$2150,Q$1,'United Data'!$C$3:$C$2150,$A208)&gt;0,1,0)</f>
        <v>0</v>
      </c>
      <c r="R208">
        <f>IF(COUNTIFS('United Data'!$A$3:$A$2150,R$1,'United Data'!$C$3:$C$2150,$A208)&gt;0,1,0)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254</v>
      </c>
      <c r="B209">
        <f>IF(COUNTIFS('United Data'!$A$3:$A$2150,B$1,'United Data'!$C$3:$C$2150,$A209)&gt;0,1,0)</f>
        <v>0</v>
      </c>
      <c r="C209">
        <f>IF(COUNTIFS('United Data'!$A$3:$A$2150,C$1,'United Data'!$C$3:$C$2150,$A209)&gt;0,1,0)</f>
        <v>0</v>
      </c>
      <c r="D209">
        <f>IF(COUNTIFS('United Data'!$A$3:$A$2150,D$1,'United Data'!$C$3:$C$2150,$A209)&gt;0,1,0)</f>
        <v>0</v>
      </c>
      <c r="E209">
        <f>IF(COUNTIFS('United Data'!$A$3:$A$2150,E$1,'United Data'!$C$3:$C$2150,$A209)&gt;0,1,0)</f>
        <v>0</v>
      </c>
      <c r="F209">
        <f>IF(COUNTIFS('United Data'!$A$3:$A$2150,F$1,'United Data'!$C$3:$C$2150,$A209)&gt;0,1,0)</f>
        <v>0</v>
      </c>
      <c r="G209">
        <f>IF(COUNTIFS('United Data'!$A$3:$A$2150,G$1,'United Data'!$C$3:$C$2150,$A209)&gt;0,1,0)</f>
        <v>0</v>
      </c>
      <c r="H209">
        <f>IF(COUNTIFS('United Data'!$A$3:$A$2150,H$1,'United Data'!$C$3:$C$2150,$A209)&gt;0,1,0)</f>
        <v>0</v>
      </c>
      <c r="I209">
        <f>IF(COUNTIFS('United Data'!$A$3:$A$2150,I$1,'United Data'!$C$3:$C$2150,$A209)&gt;0,1,0)</f>
        <v>1</v>
      </c>
      <c r="J209">
        <f>IF(COUNTIFS('United Data'!$A$3:$A$2150,J$1,'United Data'!$C$3:$C$2150,$A209)&gt;0,1,0)</f>
        <v>0</v>
      </c>
      <c r="K209">
        <f>IF(COUNTIFS('United Data'!$A$3:$A$2150,K$1,'United Data'!$C$3:$C$2150,$A209)&gt;0,1,0)</f>
        <v>0</v>
      </c>
      <c r="L209">
        <f>IF(COUNTIFS('United Data'!$A$3:$A$2150,L$1,'United Data'!$C$3:$C$2150,$A209)&gt;0,1,0)</f>
        <v>0</v>
      </c>
      <c r="M209">
        <f>IF(COUNTIFS('United Data'!$A$3:$A$2150,M$1,'United Data'!$C$3:$C$2150,$A209)&gt;0,1,0)</f>
        <v>0</v>
      </c>
      <c r="N209">
        <f>IF(COUNTIFS('United Data'!$A$3:$A$2150,N$1,'United Data'!$C$3:$C$2150,$A209)&gt;0,1,0)</f>
        <v>0</v>
      </c>
      <c r="O209">
        <f>IF(COUNTIFS('United Data'!$A$3:$A$2150,O$1,'United Data'!$C$3:$C$2150,$A209)&gt;0,1,0)</f>
        <v>0</v>
      </c>
      <c r="P209">
        <f>IF(COUNTIFS('United Data'!$A$3:$A$2150,P$1,'United Data'!$C$3:$C$2150,$A209)&gt;0,1,0)</f>
        <v>0</v>
      </c>
      <c r="Q209">
        <f>IF(COUNTIFS('United Data'!$A$3:$A$2150,Q$1,'United Data'!$C$3:$C$2150,$A209)&gt;0,1,0)</f>
        <v>0</v>
      </c>
      <c r="R209">
        <f>IF(COUNTIFS('United Data'!$A$3:$A$2150,R$1,'United Data'!$C$3:$C$2150,$A209)&gt;0,1,0)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255</v>
      </c>
      <c r="B210">
        <f>IF(COUNTIFS('United Data'!$A$3:$A$2150,B$1,'United Data'!$C$3:$C$2150,$A210)&gt;0,1,0)</f>
        <v>0</v>
      </c>
      <c r="C210">
        <f>IF(COUNTIFS('United Data'!$A$3:$A$2150,C$1,'United Data'!$C$3:$C$2150,$A210)&gt;0,1,0)</f>
        <v>0</v>
      </c>
      <c r="D210">
        <f>IF(COUNTIFS('United Data'!$A$3:$A$2150,D$1,'United Data'!$C$3:$C$2150,$A210)&gt;0,1,0)</f>
        <v>0</v>
      </c>
      <c r="E210">
        <f>IF(COUNTIFS('United Data'!$A$3:$A$2150,E$1,'United Data'!$C$3:$C$2150,$A210)&gt;0,1,0)</f>
        <v>0</v>
      </c>
      <c r="F210">
        <f>IF(COUNTIFS('United Data'!$A$3:$A$2150,F$1,'United Data'!$C$3:$C$2150,$A210)&gt;0,1,0)</f>
        <v>0</v>
      </c>
      <c r="G210">
        <f>IF(COUNTIFS('United Data'!$A$3:$A$2150,G$1,'United Data'!$C$3:$C$2150,$A210)&gt;0,1,0)</f>
        <v>0</v>
      </c>
      <c r="H210">
        <f>IF(COUNTIFS('United Data'!$A$3:$A$2150,H$1,'United Data'!$C$3:$C$2150,$A210)&gt;0,1,0)</f>
        <v>0</v>
      </c>
      <c r="I210">
        <f>IF(COUNTIFS('United Data'!$A$3:$A$2150,I$1,'United Data'!$C$3:$C$2150,$A210)&gt;0,1,0)</f>
        <v>1</v>
      </c>
      <c r="J210">
        <f>IF(COUNTIFS('United Data'!$A$3:$A$2150,J$1,'United Data'!$C$3:$C$2150,$A210)&gt;0,1,0)</f>
        <v>0</v>
      </c>
      <c r="K210">
        <f>IF(COUNTIFS('United Data'!$A$3:$A$2150,K$1,'United Data'!$C$3:$C$2150,$A210)&gt;0,1,0)</f>
        <v>0</v>
      </c>
      <c r="L210">
        <f>IF(COUNTIFS('United Data'!$A$3:$A$2150,L$1,'United Data'!$C$3:$C$2150,$A210)&gt;0,1,0)</f>
        <v>0</v>
      </c>
      <c r="M210">
        <f>IF(COUNTIFS('United Data'!$A$3:$A$2150,M$1,'United Data'!$C$3:$C$2150,$A210)&gt;0,1,0)</f>
        <v>0</v>
      </c>
      <c r="N210">
        <f>IF(COUNTIFS('United Data'!$A$3:$A$2150,N$1,'United Data'!$C$3:$C$2150,$A210)&gt;0,1,0)</f>
        <v>0</v>
      </c>
      <c r="O210">
        <f>IF(COUNTIFS('United Data'!$A$3:$A$2150,O$1,'United Data'!$C$3:$C$2150,$A210)&gt;0,1,0)</f>
        <v>0</v>
      </c>
      <c r="P210">
        <f>IF(COUNTIFS('United Data'!$A$3:$A$2150,P$1,'United Data'!$C$3:$C$2150,$A210)&gt;0,1,0)</f>
        <v>0</v>
      </c>
      <c r="Q210">
        <f>IF(COUNTIFS('United Data'!$A$3:$A$2150,Q$1,'United Data'!$C$3:$C$2150,$A210)&gt;0,1,0)</f>
        <v>0</v>
      </c>
      <c r="R210">
        <f>IF(COUNTIFS('United Data'!$A$3:$A$2150,R$1,'United Data'!$C$3:$C$2150,$A210)&gt;0,1,0)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256</v>
      </c>
      <c r="B211">
        <f>IF(COUNTIFS('United Data'!$A$3:$A$2150,B$1,'United Data'!$C$3:$C$2150,$A211)&gt;0,1,0)</f>
        <v>0</v>
      </c>
      <c r="C211">
        <f>IF(COUNTIFS('United Data'!$A$3:$A$2150,C$1,'United Data'!$C$3:$C$2150,$A211)&gt;0,1,0)</f>
        <v>0</v>
      </c>
      <c r="D211">
        <f>IF(COUNTIFS('United Data'!$A$3:$A$2150,D$1,'United Data'!$C$3:$C$2150,$A211)&gt;0,1,0)</f>
        <v>0</v>
      </c>
      <c r="E211">
        <f>IF(COUNTIFS('United Data'!$A$3:$A$2150,E$1,'United Data'!$C$3:$C$2150,$A211)&gt;0,1,0)</f>
        <v>0</v>
      </c>
      <c r="F211">
        <f>IF(COUNTIFS('United Data'!$A$3:$A$2150,F$1,'United Data'!$C$3:$C$2150,$A211)&gt;0,1,0)</f>
        <v>0</v>
      </c>
      <c r="G211">
        <f>IF(COUNTIFS('United Data'!$A$3:$A$2150,G$1,'United Data'!$C$3:$C$2150,$A211)&gt;0,1,0)</f>
        <v>0</v>
      </c>
      <c r="H211">
        <f>IF(COUNTIFS('United Data'!$A$3:$A$2150,H$1,'United Data'!$C$3:$C$2150,$A211)&gt;0,1,0)</f>
        <v>0</v>
      </c>
      <c r="I211">
        <f>IF(COUNTIFS('United Data'!$A$3:$A$2150,I$1,'United Data'!$C$3:$C$2150,$A211)&gt;0,1,0)</f>
        <v>1</v>
      </c>
      <c r="J211">
        <f>IF(COUNTIFS('United Data'!$A$3:$A$2150,J$1,'United Data'!$C$3:$C$2150,$A211)&gt;0,1,0)</f>
        <v>1</v>
      </c>
      <c r="K211">
        <f>IF(COUNTIFS('United Data'!$A$3:$A$2150,K$1,'United Data'!$C$3:$C$2150,$A211)&gt;0,1,0)</f>
        <v>0</v>
      </c>
      <c r="L211">
        <f>IF(COUNTIFS('United Data'!$A$3:$A$2150,L$1,'United Data'!$C$3:$C$2150,$A211)&gt;0,1,0)</f>
        <v>0</v>
      </c>
      <c r="M211">
        <f>IF(COUNTIFS('United Data'!$A$3:$A$2150,M$1,'United Data'!$C$3:$C$2150,$A211)&gt;0,1,0)</f>
        <v>0</v>
      </c>
      <c r="N211">
        <f>IF(COUNTIFS('United Data'!$A$3:$A$2150,N$1,'United Data'!$C$3:$C$2150,$A211)&gt;0,1,0)</f>
        <v>0</v>
      </c>
      <c r="O211">
        <f>IF(COUNTIFS('United Data'!$A$3:$A$2150,O$1,'United Data'!$C$3:$C$2150,$A211)&gt;0,1,0)</f>
        <v>0</v>
      </c>
      <c r="P211">
        <f>IF(COUNTIFS('United Data'!$A$3:$A$2150,P$1,'United Data'!$C$3:$C$2150,$A211)&gt;0,1,0)</f>
        <v>0</v>
      </c>
      <c r="Q211">
        <f>IF(COUNTIFS('United Data'!$A$3:$A$2150,Q$1,'United Data'!$C$3:$C$2150,$A211)&gt;0,1,0)</f>
        <v>0</v>
      </c>
      <c r="R211">
        <f>IF(COUNTIFS('United Data'!$A$3:$A$2150,R$1,'United Data'!$C$3:$C$2150,$A211)&gt;0,1,0)</f>
        <v>0</v>
      </c>
      <c r="S211">
        <f t="shared" si="6"/>
        <v>2</v>
      </c>
      <c r="T211">
        <f t="shared" si="7"/>
        <v>1</v>
      </c>
    </row>
    <row r="212" spans="1:20" x14ac:dyDescent="0.2">
      <c r="A212" t="s">
        <v>257</v>
      </c>
      <c r="B212">
        <f>IF(COUNTIFS('United Data'!$A$3:$A$2150,B$1,'United Data'!$C$3:$C$2150,$A212)&gt;0,1,0)</f>
        <v>0</v>
      </c>
      <c r="C212">
        <f>IF(COUNTIFS('United Data'!$A$3:$A$2150,C$1,'United Data'!$C$3:$C$2150,$A212)&gt;0,1,0)</f>
        <v>0</v>
      </c>
      <c r="D212">
        <f>IF(COUNTIFS('United Data'!$A$3:$A$2150,D$1,'United Data'!$C$3:$C$2150,$A212)&gt;0,1,0)</f>
        <v>0</v>
      </c>
      <c r="E212">
        <f>IF(COUNTIFS('United Data'!$A$3:$A$2150,E$1,'United Data'!$C$3:$C$2150,$A212)&gt;0,1,0)</f>
        <v>0</v>
      </c>
      <c r="F212">
        <f>IF(COUNTIFS('United Data'!$A$3:$A$2150,F$1,'United Data'!$C$3:$C$2150,$A212)&gt;0,1,0)</f>
        <v>0</v>
      </c>
      <c r="G212">
        <f>IF(COUNTIFS('United Data'!$A$3:$A$2150,G$1,'United Data'!$C$3:$C$2150,$A212)&gt;0,1,0)</f>
        <v>0</v>
      </c>
      <c r="H212">
        <f>IF(COUNTIFS('United Data'!$A$3:$A$2150,H$1,'United Data'!$C$3:$C$2150,$A212)&gt;0,1,0)</f>
        <v>0</v>
      </c>
      <c r="I212">
        <f>IF(COUNTIFS('United Data'!$A$3:$A$2150,I$1,'United Data'!$C$3:$C$2150,$A212)&gt;0,1,0)</f>
        <v>1</v>
      </c>
      <c r="J212">
        <f>IF(COUNTIFS('United Data'!$A$3:$A$2150,J$1,'United Data'!$C$3:$C$2150,$A212)&gt;0,1,0)</f>
        <v>0</v>
      </c>
      <c r="K212">
        <f>IF(COUNTIFS('United Data'!$A$3:$A$2150,K$1,'United Data'!$C$3:$C$2150,$A212)&gt;0,1,0)</f>
        <v>0</v>
      </c>
      <c r="L212">
        <f>IF(COUNTIFS('United Data'!$A$3:$A$2150,L$1,'United Data'!$C$3:$C$2150,$A212)&gt;0,1,0)</f>
        <v>0</v>
      </c>
      <c r="M212">
        <f>IF(COUNTIFS('United Data'!$A$3:$A$2150,M$1,'United Data'!$C$3:$C$2150,$A212)&gt;0,1,0)</f>
        <v>0</v>
      </c>
      <c r="N212">
        <f>IF(COUNTIFS('United Data'!$A$3:$A$2150,N$1,'United Data'!$C$3:$C$2150,$A212)&gt;0,1,0)</f>
        <v>0</v>
      </c>
      <c r="O212">
        <f>IF(COUNTIFS('United Data'!$A$3:$A$2150,O$1,'United Data'!$C$3:$C$2150,$A212)&gt;0,1,0)</f>
        <v>0</v>
      </c>
      <c r="P212">
        <f>IF(COUNTIFS('United Data'!$A$3:$A$2150,P$1,'United Data'!$C$3:$C$2150,$A212)&gt;0,1,0)</f>
        <v>0</v>
      </c>
      <c r="Q212">
        <f>IF(COUNTIFS('United Data'!$A$3:$A$2150,Q$1,'United Data'!$C$3:$C$2150,$A212)&gt;0,1,0)</f>
        <v>0</v>
      </c>
      <c r="R212">
        <f>IF(COUNTIFS('United Data'!$A$3:$A$2150,R$1,'United Data'!$C$3:$C$2150,$A212)&gt;0,1,0)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258</v>
      </c>
      <c r="B213">
        <f>IF(COUNTIFS('United Data'!$A$3:$A$2150,B$1,'United Data'!$C$3:$C$2150,$A213)&gt;0,1,0)</f>
        <v>0</v>
      </c>
      <c r="C213">
        <f>IF(COUNTIFS('United Data'!$A$3:$A$2150,C$1,'United Data'!$C$3:$C$2150,$A213)&gt;0,1,0)</f>
        <v>0</v>
      </c>
      <c r="D213">
        <f>IF(COUNTIFS('United Data'!$A$3:$A$2150,D$1,'United Data'!$C$3:$C$2150,$A213)&gt;0,1,0)</f>
        <v>0</v>
      </c>
      <c r="E213">
        <f>IF(COUNTIFS('United Data'!$A$3:$A$2150,E$1,'United Data'!$C$3:$C$2150,$A213)&gt;0,1,0)</f>
        <v>0</v>
      </c>
      <c r="F213">
        <f>IF(COUNTIFS('United Data'!$A$3:$A$2150,F$1,'United Data'!$C$3:$C$2150,$A213)&gt;0,1,0)</f>
        <v>0</v>
      </c>
      <c r="G213">
        <f>IF(COUNTIFS('United Data'!$A$3:$A$2150,G$1,'United Data'!$C$3:$C$2150,$A213)&gt;0,1,0)</f>
        <v>0</v>
      </c>
      <c r="H213">
        <f>IF(COUNTIFS('United Data'!$A$3:$A$2150,H$1,'United Data'!$C$3:$C$2150,$A213)&gt;0,1,0)</f>
        <v>0</v>
      </c>
      <c r="I213">
        <f>IF(COUNTIFS('United Data'!$A$3:$A$2150,I$1,'United Data'!$C$3:$C$2150,$A213)&gt;0,1,0)</f>
        <v>1</v>
      </c>
      <c r="J213">
        <f>IF(COUNTIFS('United Data'!$A$3:$A$2150,J$1,'United Data'!$C$3:$C$2150,$A213)&gt;0,1,0)</f>
        <v>0</v>
      </c>
      <c r="K213">
        <f>IF(COUNTIFS('United Data'!$A$3:$A$2150,K$1,'United Data'!$C$3:$C$2150,$A213)&gt;0,1,0)</f>
        <v>0</v>
      </c>
      <c r="L213">
        <f>IF(COUNTIFS('United Data'!$A$3:$A$2150,L$1,'United Data'!$C$3:$C$2150,$A213)&gt;0,1,0)</f>
        <v>0</v>
      </c>
      <c r="M213">
        <f>IF(COUNTIFS('United Data'!$A$3:$A$2150,M$1,'United Data'!$C$3:$C$2150,$A213)&gt;0,1,0)</f>
        <v>0</v>
      </c>
      <c r="N213">
        <f>IF(COUNTIFS('United Data'!$A$3:$A$2150,N$1,'United Data'!$C$3:$C$2150,$A213)&gt;0,1,0)</f>
        <v>0</v>
      </c>
      <c r="O213">
        <f>IF(COUNTIFS('United Data'!$A$3:$A$2150,O$1,'United Data'!$C$3:$C$2150,$A213)&gt;0,1,0)</f>
        <v>0</v>
      </c>
      <c r="P213">
        <f>IF(COUNTIFS('United Data'!$A$3:$A$2150,P$1,'United Data'!$C$3:$C$2150,$A213)&gt;0,1,0)</f>
        <v>0</v>
      </c>
      <c r="Q213">
        <f>IF(COUNTIFS('United Data'!$A$3:$A$2150,Q$1,'United Data'!$C$3:$C$2150,$A213)&gt;0,1,0)</f>
        <v>0</v>
      </c>
      <c r="R213">
        <f>IF(COUNTIFS('United Data'!$A$3:$A$2150,R$1,'United Data'!$C$3:$C$2150,$A213)&gt;0,1,0)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259</v>
      </c>
      <c r="B214">
        <f>IF(COUNTIFS('United Data'!$A$3:$A$2150,B$1,'United Data'!$C$3:$C$2150,$A214)&gt;0,1,0)</f>
        <v>0</v>
      </c>
      <c r="C214">
        <f>IF(COUNTIFS('United Data'!$A$3:$A$2150,C$1,'United Data'!$C$3:$C$2150,$A214)&gt;0,1,0)</f>
        <v>0</v>
      </c>
      <c r="D214">
        <f>IF(COUNTIFS('United Data'!$A$3:$A$2150,D$1,'United Data'!$C$3:$C$2150,$A214)&gt;0,1,0)</f>
        <v>0</v>
      </c>
      <c r="E214">
        <f>IF(COUNTIFS('United Data'!$A$3:$A$2150,E$1,'United Data'!$C$3:$C$2150,$A214)&gt;0,1,0)</f>
        <v>0</v>
      </c>
      <c r="F214">
        <f>IF(COUNTIFS('United Data'!$A$3:$A$2150,F$1,'United Data'!$C$3:$C$2150,$A214)&gt;0,1,0)</f>
        <v>0</v>
      </c>
      <c r="G214">
        <f>IF(COUNTIFS('United Data'!$A$3:$A$2150,G$1,'United Data'!$C$3:$C$2150,$A214)&gt;0,1,0)</f>
        <v>0</v>
      </c>
      <c r="H214">
        <f>IF(COUNTIFS('United Data'!$A$3:$A$2150,H$1,'United Data'!$C$3:$C$2150,$A214)&gt;0,1,0)</f>
        <v>0</v>
      </c>
      <c r="I214">
        <f>IF(COUNTIFS('United Data'!$A$3:$A$2150,I$1,'United Data'!$C$3:$C$2150,$A214)&gt;0,1,0)</f>
        <v>1</v>
      </c>
      <c r="J214">
        <f>IF(COUNTIFS('United Data'!$A$3:$A$2150,J$1,'United Data'!$C$3:$C$2150,$A214)&gt;0,1,0)</f>
        <v>0</v>
      </c>
      <c r="K214">
        <f>IF(COUNTIFS('United Data'!$A$3:$A$2150,K$1,'United Data'!$C$3:$C$2150,$A214)&gt;0,1,0)</f>
        <v>0</v>
      </c>
      <c r="L214">
        <f>IF(COUNTIFS('United Data'!$A$3:$A$2150,L$1,'United Data'!$C$3:$C$2150,$A214)&gt;0,1,0)</f>
        <v>0</v>
      </c>
      <c r="M214">
        <f>IF(COUNTIFS('United Data'!$A$3:$A$2150,M$1,'United Data'!$C$3:$C$2150,$A214)&gt;0,1,0)</f>
        <v>0</v>
      </c>
      <c r="N214">
        <f>IF(COUNTIFS('United Data'!$A$3:$A$2150,N$1,'United Data'!$C$3:$C$2150,$A214)&gt;0,1,0)</f>
        <v>0</v>
      </c>
      <c r="O214">
        <f>IF(COUNTIFS('United Data'!$A$3:$A$2150,O$1,'United Data'!$C$3:$C$2150,$A214)&gt;0,1,0)</f>
        <v>0</v>
      </c>
      <c r="P214">
        <f>IF(COUNTIFS('United Data'!$A$3:$A$2150,P$1,'United Data'!$C$3:$C$2150,$A214)&gt;0,1,0)</f>
        <v>0</v>
      </c>
      <c r="Q214">
        <f>IF(COUNTIFS('United Data'!$A$3:$A$2150,Q$1,'United Data'!$C$3:$C$2150,$A214)&gt;0,1,0)</f>
        <v>0</v>
      </c>
      <c r="R214">
        <f>IF(COUNTIFS('United Data'!$A$3:$A$2150,R$1,'United Data'!$C$3:$C$2150,$A214)&gt;0,1,0)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260</v>
      </c>
      <c r="B215">
        <f>IF(COUNTIFS('United Data'!$A$3:$A$2150,B$1,'United Data'!$C$3:$C$2150,$A215)&gt;0,1,0)</f>
        <v>0</v>
      </c>
      <c r="C215">
        <f>IF(COUNTIFS('United Data'!$A$3:$A$2150,C$1,'United Data'!$C$3:$C$2150,$A215)&gt;0,1,0)</f>
        <v>0</v>
      </c>
      <c r="D215">
        <f>IF(COUNTIFS('United Data'!$A$3:$A$2150,D$1,'United Data'!$C$3:$C$2150,$A215)&gt;0,1,0)</f>
        <v>0</v>
      </c>
      <c r="E215">
        <f>IF(COUNTIFS('United Data'!$A$3:$A$2150,E$1,'United Data'!$C$3:$C$2150,$A215)&gt;0,1,0)</f>
        <v>0</v>
      </c>
      <c r="F215">
        <f>IF(COUNTIFS('United Data'!$A$3:$A$2150,F$1,'United Data'!$C$3:$C$2150,$A215)&gt;0,1,0)</f>
        <v>0</v>
      </c>
      <c r="G215">
        <f>IF(COUNTIFS('United Data'!$A$3:$A$2150,G$1,'United Data'!$C$3:$C$2150,$A215)&gt;0,1,0)</f>
        <v>0</v>
      </c>
      <c r="H215">
        <f>IF(COUNTIFS('United Data'!$A$3:$A$2150,H$1,'United Data'!$C$3:$C$2150,$A215)&gt;0,1,0)</f>
        <v>0</v>
      </c>
      <c r="I215">
        <f>IF(COUNTIFS('United Data'!$A$3:$A$2150,I$1,'United Data'!$C$3:$C$2150,$A215)&gt;0,1,0)</f>
        <v>1</v>
      </c>
      <c r="J215">
        <f>IF(COUNTIFS('United Data'!$A$3:$A$2150,J$1,'United Data'!$C$3:$C$2150,$A215)&gt;0,1,0)</f>
        <v>0</v>
      </c>
      <c r="K215">
        <f>IF(COUNTIFS('United Data'!$A$3:$A$2150,K$1,'United Data'!$C$3:$C$2150,$A215)&gt;0,1,0)</f>
        <v>0</v>
      </c>
      <c r="L215">
        <f>IF(COUNTIFS('United Data'!$A$3:$A$2150,L$1,'United Data'!$C$3:$C$2150,$A215)&gt;0,1,0)</f>
        <v>0</v>
      </c>
      <c r="M215">
        <f>IF(COUNTIFS('United Data'!$A$3:$A$2150,M$1,'United Data'!$C$3:$C$2150,$A215)&gt;0,1,0)</f>
        <v>0</v>
      </c>
      <c r="N215">
        <f>IF(COUNTIFS('United Data'!$A$3:$A$2150,N$1,'United Data'!$C$3:$C$2150,$A215)&gt;0,1,0)</f>
        <v>0</v>
      </c>
      <c r="O215">
        <f>IF(COUNTIFS('United Data'!$A$3:$A$2150,O$1,'United Data'!$C$3:$C$2150,$A215)&gt;0,1,0)</f>
        <v>0</v>
      </c>
      <c r="P215">
        <f>IF(COUNTIFS('United Data'!$A$3:$A$2150,P$1,'United Data'!$C$3:$C$2150,$A215)&gt;0,1,0)</f>
        <v>0</v>
      </c>
      <c r="Q215">
        <f>IF(COUNTIFS('United Data'!$A$3:$A$2150,Q$1,'United Data'!$C$3:$C$2150,$A215)&gt;0,1,0)</f>
        <v>0</v>
      </c>
      <c r="R215">
        <f>IF(COUNTIFS('United Data'!$A$3:$A$2150,R$1,'United Data'!$C$3:$C$2150,$A215)&gt;0,1,0)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261</v>
      </c>
      <c r="B216">
        <f>IF(COUNTIFS('United Data'!$A$3:$A$2150,B$1,'United Data'!$C$3:$C$2150,$A216)&gt;0,1,0)</f>
        <v>0</v>
      </c>
      <c r="C216">
        <f>IF(COUNTIFS('United Data'!$A$3:$A$2150,C$1,'United Data'!$C$3:$C$2150,$A216)&gt;0,1,0)</f>
        <v>0</v>
      </c>
      <c r="D216">
        <f>IF(COUNTIFS('United Data'!$A$3:$A$2150,D$1,'United Data'!$C$3:$C$2150,$A216)&gt;0,1,0)</f>
        <v>0</v>
      </c>
      <c r="E216">
        <f>IF(COUNTIFS('United Data'!$A$3:$A$2150,E$1,'United Data'!$C$3:$C$2150,$A216)&gt;0,1,0)</f>
        <v>0</v>
      </c>
      <c r="F216">
        <f>IF(COUNTIFS('United Data'!$A$3:$A$2150,F$1,'United Data'!$C$3:$C$2150,$A216)&gt;0,1,0)</f>
        <v>0</v>
      </c>
      <c r="G216">
        <f>IF(COUNTIFS('United Data'!$A$3:$A$2150,G$1,'United Data'!$C$3:$C$2150,$A216)&gt;0,1,0)</f>
        <v>0</v>
      </c>
      <c r="H216">
        <f>IF(COUNTIFS('United Data'!$A$3:$A$2150,H$1,'United Data'!$C$3:$C$2150,$A216)&gt;0,1,0)</f>
        <v>0</v>
      </c>
      <c r="I216">
        <f>IF(COUNTIFS('United Data'!$A$3:$A$2150,I$1,'United Data'!$C$3:$C$2150,$A216)&gt;0,1,0)</f>
        <v>1</v>
      </c>
      <c r="J216">
        <f>IF(COUNTIFS('United Data'!$A$3:$A$2150,J$1,'United Data'!$C$3:$C$2150,$A216)&gt;0,1,0)</f>
        <v>0</v>
      </c>
      <c r="K216">
        <f>IF(COUNTIFS('United Data'!$A$3:$A$2150,K$1,'United Data'!$C$3:$C$2150,$A216)&gt;0,1,0)</f>
        <v>0</v>
      </c>
      <c r="L216">
        <f>IF(COUNTIFS('United Data'!$A$3:$A$2150,L$1,'United Data'!$C$3:$C$2150,$A216)&gt;0,1,0)</f>
        <v>0</v>
      </c>
      <c r="M216">
        <f>IF(COUNTIFS('United Data'!$A$3:$A$2150,M$1,'United Data'!$C$3:$C$2150,$A216)&gt;0,1,0)</f>
        <v>0</v>
      </c>
      <c r="N216">
        <f>IF(COUNTIFS('United Data'!$A$3:$A$2150,N$1,'United Data'!$C$3:$C$2150,$A216)&gt;0,1,0)</f>
        <v>0</v>
      </c>
      <c r="O216">
        <f>IF(COUNTIFS('United Data'!$A$3:$A$2150,O$1,'United Data'!$C$3:$C$2150,$A216)&gt;0,1,0)</f>
        <v>0</v>
      </c>
      <c r="P216">
        <f>IF(COUNTIFS('United Data'!$A$3:$A$2150,P$1,'United Data'!$C$3:$C$2150,$A216)&gt;0,1,0)</f>
        <v>0</v>
      </c>
      <c r="Q216">
        <f>IF(COUNTIFS('United Data'!$A$3:$A$2150,Q$1,'United Data'!$C$3:$C$2150,$A216)&gt;0,1,0)</f>
        <v>0</v>
      </c>
      <c r="R216">
        <f>IF(COUNTIFS('United Data'!$A$3:$A$2150,R$1,'United Data'!$C$3:$C$2150,$A216)&gt;0,1,0)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262</v>
      </c>
      <c r="B217">
        <f>IF(COUNTIFS('United Data'!$A$3:$A$2150,B$1,'United Data'!$C$3:$C$2150,$A217)&gt;0,1,0)</f>
        <v>0</v>
      </c>
      <c r="C217">
        <f>IF(COUNTIFS('United Data'!$A$3:$A$2150,C$1,'United Data'!$C$3:$C$2150,$A217)&gt;0,1,0)</f>
        <v>0</v>
      </c>
      <c r="D217">
        <f>IF(COUNTIFS('United Data'!$A$3:$A$2150,D$1,'United Data'!$C$3:$C$2150,$A217)&gt;0,1,0)</f>
        <v>0</v>
      </c>
      <c r="E217">
        <f>IF(COUNTIFS('United Data'!$A$3:$A$2150,E$1,'United Data'!$C$3:$C$2150,$A217)&gt;0,1,0)</f>
        <v>0</v>
      </c>
      <c r="F217">
        <f>IF(COUNTIFS('United Data'!$A$3:$A$2150,F$1,'United Data'!$C$3:$C$2150,$A217)&gt;0,1,0)</f>
        <v>0</v>
      </c>
      <c r="G217">
        <f>IF(COUNTIFS('United Data'!$A$3:$A$2150,G$1,'United Data'!$C$3:$C$2150,$A217)&gt;0,1,0)</f>
        <v>0</v>
      </c>
      <c r="H217">
        <f>IF(COUNTIFS('United Data'!$A$3:$A$2150,H$1,'United Data'!$C$3:$C$2150,$A217)&gt;0,1,0)</f>
        <v>0</v>
      </c>
      <c r="I217">
        <f>IF(COUNTIFS('United Data'!$A$3:$A$2150,I$1,'United Data'!$C$3:$C$2150,$A217)&gt;0,1,0)</f>
        <v>1</v>
      </c>
      <c r="J217">
        <f>IF(COUNTIFS('United Data'!$A$3:$A$2150,J$1,'United Data'!$C$3:$C$2150,$A217)&gt;0,1,0)</f>
        <v>0</v>
      </c>
      <c r="K217">
        <f>IF(COUNTIFS('United Data'!$A$3:$A$2150,K$1,'United Data'!$C$3:$C$2150,$A217)&gt;0,1,0)</f>
        <v>0</v>
      </c>
      <c r="L217">
        <f>IF(COUNTIFS('United Data'!$A$3:$A$2150,L$1,'United Data'!$C$3:$C$2150,$A217)&gt;0,1,0)</f>
        <v>0</v>
      </c>
      <c r="M217">
        <f>IF(COUNTIFS('United Data'!$A$3:$A$2150,M$1,'United Data'!$C$3:$C$2150,$A217)&gt;0,1,0)</f>
        <v>0</v>
      </c>
      <c r="N217">
        <f>IF(COUNTIFS('United Data'!$A$3:$A$2150,N$1,'United Data'!$C$3:$C$2150,$A217)&gt;0,1,0)</f>
        <v>0</v>
      </c>
      <c r="O217">
        <f>IF(COUNTIFS('United Data'!$A$3:$A$2150,O$1,'United Data'!$C$3:$C$2150,$A217)&gt;0,1,0)</f>
        <v>0</v>
      </c>
      <c r="P217">
        <f>IF(COUNTIFS('United Data'!$A$3:$A$2150,P$1,'United Data'!$C$3:$C$2150,$A217)&gt;0,1,0)</f>
        <v>0</v>
      </c>
      <c r="Q217">
        <f>IF(COUNTIFS('United Data'!$A$3:$A$2150,Q$1,'United Data'!$C$3:$C$2150,$A217)&gt;0,1,0)</f>
        <v>0</v>
      </c>
      <c r="R217">
        <f>IF(COUNTIFS('United Data'!$A$3:$A$2150,R$1,'United Data'!$C$3:$C$2150,$A217)&gt;0,1,0)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263</v>
      </c>
      <c r="B218">
        <f>IF(COUNTIFS('United Data'!$A$3:$A$2150,B$1,'United Data'!$C$3:$C$2150,$A218)&gt;0,1,0)</f>
        <v>0</v>
      </c>
      <c r="C218">
        <f>IF(COUNTIFS('United Data'!$A$3:$A$2150,C$1,'United Data'!$C$3:$C$2150,$A218)&gt;0,1,0)</f>
        <v>0</v>
      </c>
      <c r="D218">
        <f>IF(COUNTIFS('United Data'!$A$3:$A$2150,D$1,'United Data'!$C$3:$C$2150,$A218)&gt;0,1,0)</f>
        <v>0</v>
      </c>
      <c r="E218">
        <f>IF(COUNTIFS('United Data'!$A$3:$A$2150,E$1,'United Data'!$C$3:$C$2150,$A218)&gt;0,1,0)</f>
        <v>0</v>
      </c>
      <c r="F218">
        <f>IF(COUNTIFS('United Data'!$A$3:$A$2150,F$1,'United Data'!$C$3:$C$2150,$A218)&gt;0,1,0)</f>
        <v>0</v>
      </c>
      <c r="G218">
        <f>IF(COUNTIFS('United Data'!$A$3:$A$2150,G$1,'United Data'!$C$3:$C$2150,$A218)&gt;0,1,0)</f>
        <v>0</v>
      </c>
      <c r="H218">
        <f>IF(COUNTIFS('United Data'!$A$3:$A$2150,H$1,'United Data'!$C$3:$C$2150,$A218)&gt;0,1,0)</f>
        <v>0</v>
      </c>
      <c r="I218">
        <f>IF(COUNTIFS('United Data'!$A$3:$A$2150,I$1,'United Data'!$C$3:$C$2150,$A218)&gt;0,1,0)</f>
        <v>0</v>
      </c>
      <c r="J218">
        <f>IF(COUNTIFS('United Data'!$A$3:$A$2150,J$1,'United Data'!$C$3:$C$2150,$A218)&gt;0,1,0)</f>
        <v>1</v>
      </c>
      <c r="K218">
        <f>IF(COUNTIFS('United Data'!$A$3:$A$2150,K$1,'United Data'!$C$3:$C$2150,$A218)&gt;0,1,0)</f>
        <v>0</v>
      </c>
      <c r="L218">
        <f>IF(COUNTIFS('United Data'!$A$3:$A$2150,L$1,'United Data'!$C$3:$C$2150,$A218)&gt;0,1,0)</f>
        <v>0</v>
      </c>
      <c r="M218">
        <f>IF(COUNTIFS('United Data'!$A$3:$A$2150,M$1,'United Data'!$C$3:$C$2150,$A218)&gt;0,1,0)</f>
        <v>0</v>
      </c>
      <c r="N218">
        <f>IF(COUNTIFS('United Data'!$A$3:$A$2150,N$1,'United Data'!$C$3:$C$2150,$A218)&gt;0,1,0)</f>
        <v>0</v>
      </c>
      <c r="O218">
        <f>IF(COUNTIFS('United Data'!$A$3:$A$2150,O$1,'United Data'!$C$3:$C$2150,$A218)&gt;0,1,0)</f>
        <v>0</v>
      </c>
      <c r="P218">
        <f>IF(COUNTIFS('United Data'!$A$3:$A$2150,P$1,'United Data'!$C$3:$C$2150,$A218)&gt;0,1,0)</f>
        <v>0</v>
      </c>
      <c r="Q218">
        <f>IF(COUNTIFS('United Data'!$A$3:$A$2150,Q$1,'United Data'!$C$3:$C$2150,$A218)&gt;0,1,0)</f>
        <v>0</v>
      </c>
      <c r="R218">
        <f>IF(COUNTIFS('United Data'!$A$3:$A$2150,R$1,'United Data'!$C$3:$C$2150,$A218)&gt;0,1,0)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264</v>
      </c>
      <c r="B219">
        <f>IF(COUNTIFS('United Data'!$A$3:$A$2150,B$1,'United Data'!$C$3:$C$2150,$A219)&gt;0,1,0)</f>
        <v>0</v>
      </c>
      <c r="C219">
        <f>IF(COUNTIFS('United Data'!$A$3:$A$2150,C$1,'United Data'!$C$3:$C$2150,$A219)&gt;0,1,0)</f>
        <v>0</v>
      </c>
      <c r="D219">
        <f>IF(COUNTIFS('United Data'!$A$3:$A$2150,D$1,'United Data'!$C$3:$C$2150,$A219)&gt;0,1,0)</f>
        <v>0</v>
      </c>
      <c r="E219">
        <f>IF(COUNTIFS('United Data'!$A$3:$A$2150,E$1,'United Data'!$C$3:$C$2150,$A219)&gt;0,1,0)</f>
        <v>0</v>
      </c>
      <c r="F219">
        <f>IF(COUNTIFS('United Data'!$A$3:$A$2150,F$1,'United Data'!$C$3:$C$2150,$A219)&gt;0,1,0)</f>
        <v>0</v>
      </c>
      <c r="G219">
        <f>IF(COUNTIFS('United Data'!$A$3:$A$2150,G$1,'United Data'!$C$3:$C$2150,$A219)&gt;0,1,0)</f>
        <v>0</v>
      </c>
      <c r="H219">
        <f>IF(COUNTIFS('United Data'!$A$3:$A$2150,H$1,'United Data'!$C$3:$C$2150,$A219)&gt;0,1,0)</f>
        <v>0</v>
      </c>
      <c r="I219">
        <f>IF(COUNTIFS('United Data'!$A$3:$A$2150,I$1,'United Data'!$C$3:$C$2150,$A219)&gt;0,1,0)</f>
        <v>0</v>
      </c>
      <c r="J219">
        <f>IF(COUNTIFS('United Data'!$A$3:$A$2150,J$1,'United Data'!$C$3:$C$2150,$A219)&gt;0,1,0)</f>
        <v>1</v>
      </c>
      <c r="K219">
        <f>IF(COUNTIFS('United Data'!$A$3:$A$2150,K$1,'United Data'!$C$3:$C$2150,$A219)&gt;0,1,0)</f>
        <v>0</v>
      </c>
      <c r="L219">
        <f>IF(COUNTIFS('United Data'!$A$3:$A$2150,L$1,'United Data'!$C$3:$C$2150,$A219)&gt;0,1,0)</f>
        <v>0</v>
      </c>
      <c r="M219">
        <f>IF(COUNTIFS('United Data'!$A$3:$A$2150,M$1,'United Data'!$C$3:$C$2150,$A219)&gt;0,1,0)</f>
        <v>0</v>
      </c>
      <c r="N219">
        <f>IF(COUNTIFS('United Data'!$A$3:$A$2150,N$1,'United Data'!$C$3:$C$2150,$A219)&gt;0,1,0)</f>
        <v>0</v>
      </c>
      <c r="O219">
        <f>IF(COUNTIFS('United Data'!$A$3:$A$2150,O$1,'United Data'!$C$3:$C$2150,$A219)&gt;0,1,0)</f>
        <v>0</v>
      </c>
      <c r="P219">
        <f>IF(COUNTIFS('United Data'!$A$3:$A$2150,P$1,'United Data'!$C$3:$C$2150,$A219)&gt;0,1,0)</f>
        <v>0</v>
      </c>
      <c r="Q219">
        <f>IF(COUNTIFS('United Data'!$A$3:$A$2150,Q$1,'United Data'!$C$3:$C$2150,$A219)&gt;0,1,0)</f>
        <v>0</v>
      </c>
      <c r="R219">
        <f>IF(COUNTIFS('United Data'!$A$3:$A$2150,R$1,'United Data'!$C$3:$C$2150,$A219)&gt;0,1,0)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265</v>
      </c>
      <c r="B220">
        <f>IF(COUNTIFS('United Data'!$A$3:$A$2150,B$1,'United Data'!$C$3:$C$2150,$A220)&gt;0,1,0)</f>
        <v>0</v>
      </c>
      <c r="C220">
        <f>IF(COUNTIFS('United Data'!$A$3:$A$2150,C$1,'United Data'!$C$3:$C$2150,$A220)&gt;0,1,0)</f>
        <v>0</v>
      </c>
      <c r="D220">
        <f>IF(COUNTIFS('United Data'!$A$3:$A$2150,D$1,'United Data'!$C$3:$C$2150,$A220)&gt;0,1,0)</f>
        <v>0</v>
      </c>
      <c r="E220">
        <f>IF(COUNTIFS('United Data'!$A$3:$A$2150,E$1,'United Data'!$C$3:$C$2150,$A220)&gt;0,1,0)</f>
        <v>0</v>
      </c>
      <c r="F220">
        <f>IF(COUNTIFS('United Data'!$A$3:$A$2150,F$1,'United Data'!$C$3:$C$2150,$A220)&gt;0,1,0)</f>
        <v>0</v>
      </c>
      <c r="G220">
        <f>IF(COUNTIFS('United Data'!$A$3:$A$2150,G$1,'United Data'!$C$3:$C$2150,$A220)&gt;0,1,0)</f>
        <v>0</v>
      </c>
      <c r="H220">
        <f>IF(COUNTIFS('United Data'!$A$3:$A$2150,H$1,'United Data'!$C$3:$C$2150,$A220)&gt;0,1,0)</f>
        <v>0</v>
      </c>
      <c r="I220">
        <f>IF(COUNTIFS('United Data'!$A$3:$A$2150,I$1,'United Data'!$C$3:$C$2150,$A220)&gt;0,1,0)</f>
        <v>0</v>
      </c>
      <c r="J220">
        <f>IF(COUNTIFS('United Data'!$A$3:$A$2150,J$1,'United Data'!$C$3:$C$2150,$A220)&gt;0,1,0)</f>
        <v>1</v>
      </c>
      <c r="K220">
        <f>IF(COUNTIFS('United Data'!$A$3:$A$2150,K$1,'United Data'!$C$3:$C$2150,$A220)&gt;0,1,0)</f>
        <v>0</v>
      </c>
      <c r="L220">
        <f>IF(COUNTIFS('United Data'!$A$3:$A$2150,L$1,'United Data'!$C$3:$C$2150,$A220)&gt;0,1,0)</f>
        <v>0</v>
      </c>
      <c r="M220">
        <f>IF(COUNTIFS('United Data'!$A$3:$A$2150,M$1,'United Data'!$C$3:$C$2150,$A220)&gt;0,1,0)</f>
        <v>0</v>
      </c>
      <c r="N220">
        <f>IF(COUNTIFS('United Data'!$A$3:$A$2150,N$1,'United Data'!$C$3:$C$2150,$A220)&gt;0,1,0)</f>
        <v>0</v>
      </c>
      <c r="O220">
        <f>IF(COUNTIFS('United Data'!$A$3:$A$2150,O$1,'United Data'!$C$3:$C$2150,$A220)&gt;0,1,0)</f>
        <v>0</v>
      </c>
      <c r="P220">
        <f>IF(COUNTIFS('United Data'!$A$3:$A$2150,P$1,'United Data'!$C$3:$C$2150,$A220)&gt;0,1,0)</f>
        <v>0</v>
      </c>
      <c r="Q220">
        <f>IF(COUNTIFS('United Data'!$A$3:$A$2150,Q$1,'United Data'!$C$3:$C$2150,$A220)&gt;0,1,0)</f>
        <v>0</v>
      </c>
      <c r="R220">
        <f>IF(COUNTIFS('United Data'!$A$3:$A$2150,R$1,'United Data'!$C$3:$C$2150,$A220)&gt;0,1,0)</f>
        <v>0</v>
      </c>
      <c r="S220">
        <f t="shared" si="6"/>
        <v>1</v>
      </c>
      <c r="T220">
        <f t="shared" si="7"/>
        <v>1</v>
      </c>
    </row>
    <row r="221" spans="1:20" x14ac:dyDescent="0.2">
      <c r="A221" t="s">
        <v>266</v>
      </c>
      <c r="B221">
        <f>IF(COUNTIFS('United Data'!$A$3:$A$2150,B$1,'United Data'!$C$3:$C$2150,$A221)&gt;0,1,0)</f>
        <v>0</v>
      </c>
      <c r="C221">
        <f>IF(COUNTIFS('United Data'!$A$3:$A$2150,C$1,'United Data'!$C$3:$C$2150,$A221)&gt;0,1,0)</f>
        <v>0</v>
      </c>
      <c r="D221">
        <f>IF(COUNTIFS('United Data'!$A$3:$A$2150,D$1,'United Data'!$C$3:$C$2150,$A221)&gt;0,1,0)</f>
        <v>0</v>
      </c>
      <c r="E221">
        <f>IF(COUNTIFS('United Data'!$A$3:$A$2150,E$1,'United Data'!$C$3:$C$2150,$A221)&gt;0,1,0)</f>
        <v>0</v>
      </c>
      <c r="F221">
        <f>IF(COUNTIFS('United Data'!$A$3:$A$2150,F$1,'United Data'!$C$3:$C$2150,$A221)&gt;0,1,0)</f>
        <v>0</v>
      </c>
      <c r="G221">
        <f>IF(COUNTIFS('United Data'!$A$3:$A$2150,G$1,'United Data'!$C$3:$C$2150,$A221)&gt;0,1,0)</f>
        <v>0</v>
      </c>
      <c r="H221">
        <f>IF(COUNTIFS('United Data'!$A$3:$A$2150,H$1,'United Data'!$C$3:$C$2150,$A221)&gt;0,1,0)</f>
        <v>0</v>
      </c>
      <c r="I221">
        <f>IF(COUNTIFS('United Data'!$A$3:$A$2150,I$1,'United Data'!$C$3:$C$2150,$A221)&gt;0,1,0)</f>
        <v>0</v>
      </c>
      <c r="J221">
        <f>IF(COUNTIFS('United Data'!$A$3:$A$2150,J$1,'United Data'!$C$3:$C$2150,$A221)&gt;0,1,0)</f>
        <v>1</v>
      </c>
      <c r="K221">
        <f>IF(COUNTIFS('United Data'!$A$3:$A$2150,K$1,'United Data'!$C$3:$C$2150,$A221)&gt;0,1,0)</f>
        <v>0</v>
      </c>
      <c r="L221">
        <f>IF(COUNTIFS('United Data'!$A$3:$A$2150,L$1,'United Data'!$C$3:$C$2150,$A221)&gt;0,1,0)</f>
        <v>0</v>
      </c>
      <c r="M221">
        <f>IF(COUNTIFS('United Data'!$A$3:$A$2150,M$1,'United Data'!$C$3:$C$2150,$A221)&gt;0,1,0)</f>
        <v>0</v>
      </c>
      <c r="N221">
        <f>IF(COUNTIFS('United Data'!$A$3:$A$2150,N$1,'United Data'!$C$3:$C$2150,$A221)&gt;0,1,0)</f>
        <v>0</v>
      </c>
      <c r="O221">
        <f>IF(COUNTIFS('United Data'!$A$3:$A$2150,O$1,'United Data'!$C$3:$C$2150,$A221)&gt;0,1,0)</f>
        <v>0</v>
      </c>
      <c r="P221">
        <f>IF(COUNTIFS('United Data'!$A$3:$A$2150,P$1,'United Data'!$C$3:$C$2150,$A221)&gt;0,1,0)</f>
        <v>0</v>
      </c>
      <c r="Q221">
        <f>IF(COUNTIFS('United Data'!$A$3:$A$2150,Q$1,'United Data'!$C$3:$C$2150,$A221)&gt;0,1,0)</f>
        <v>0</v>
      </c>
      <c r="R221">
        <f>IF(COUNTIFS('United Data'!$A$3:$A$2150,R$1,'United Data'!$C$3:$C$2150,$A221)&gt;0,1,0)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267</v>
      </c>
      <c r="B222">
        <f>IF(COUNTIFS('United Data'!$A$3:$A$2150,B$1,'United Data'!$C$3:$C$2150,$A222)&gt;0,1,0)</f>
        <v>0</v>
      </c>
      <c r="C222">
        <f>IF(COUNTIFS('United Data'!$A$3:$A$2150,C$1,'United Data'!$C$3:$C$2150,$A222)&gt;0,1,0)</f>
        <v>0</v>
      </c>
      <c r="D222">
        <f>IF(COUNTIFS('United Data'!$A$3:$A$2150,D$1,'United Data'!$C$3:$C$2150,$A222)&gt;0,1,0)</f>
        <v>0</v>
      </c>
      <c r="E222">
        <f>IF(COUNTIFS('United Data'!$A$3:$A$2150,E$1,'United Data'!$C$3:$C$2150,$A222)&gt;0,1,0)</f>
        <v>0</v>
      </c>
      <c r="F222">
        <f>IF(COUNTIFS('United Data'!$A$3:$A$2150,F$1,'United Data'!$C$3:$C$2150,$A222)&gt;0,1,0)</f>
        <v>0</v>
      </c>
      <c r="G222">
        <f>IF(COUNTIFS('United Data'!$A$3:$A$2150,G$1,'United Data'!$C$3:$C$2150,$A222)&gt;0,1,0)</f>
        <v>0</v>
      </c>
      <c r="H222">
        <f>IF(COUNTIFS('United Data'!$A$3:$A$2150,H$1,'United Data'!$C$3:$C$2150,$A222)&gt;0,1,0)</f>
        <v>0</v>
      </c>
      <c r="I222">
        <f>IF(COUNTIFS('United Data'!$A$3:$A$2150,I$1,'United Data'!$C$3:$C$2150,$A222)&gt;0,1,0)</f>
        <v>0</v>
      </c>
      <c r="J222">
        <f>IF(COUNTIFS('United Data'!$A$3:$A$2150,J$1,'United Data'!$C$3:$C$2150,$A222)&gt;0,1,0)</f>
        <v>1</v>
      </c>
      <c r="K222">
        <f>IF(COUNTIFS('United Data'!$A$3:$A$2150,K$1,'United Data'!$C$3:$C$2150,$A222)&gt;0,1,0)</f>
        <v>1</v>
      </c>
      <c r="L222">
        <f>IF(COUNTIFS('United Data'!$A$3:$A$2150,L$1,'United Data'!$C$3:$C$2150,$A222)&gt;0,1,0)</f>
        <v>1</v>
      </c>
      <c r="M222">
        <f>IF(COUNTIFS('United Data'!$A$3:$A$2150,M$1,'United Data'!$C$3:$C$2150,$A222)&gt;0,1,0)</f>
        <v>1</v>
      </c>
      <c r="N222">
        <f>IF(COUNTIFS('United Data'!$A$3:$A$2150,N$1,'United Data'!$C$3:$C$2150,$A222)&gt;0,1,0)</f>
        <v>0</v>
      </c>
      <c r="O222">
        <f>IF(COUNTIFS('United Data'!$A$3:$A$2150,O$1,'United Data'!$C$3:$C$2150,$A222)&gt;0,1,0)</f>
        <v>0</v>
      </c>
      <c r="P222">
        <f>IF(COUNTIFS('United Data'!$A$3:$A$2150,P$1,'United Data'!$C$3:$C$2150,$A222)&gt;0,1,0)</f>
        <v>0</v>
      </c>
      <c r="Q222">
        <f>IF(COUNTIFS('United Data'!$A$3:$A$2150,Q$1,'United Data'!$C$3:$C$2150,$A222)&gt;0,1,0)</f>
        <v>0</v>
      </c>
      <c r="R222">
        <f>IF(COUNTIFS('United Data'!$A$3:$A$2150,R$1,'United Data'!$C$3:$C$2150,$A222)&gt;0,1,0)</f>
        <v>0</v>
      </c>
      <c r="S222">
        <f t="shared" si="6"/>
        <v>4</v>
      </c>
      <c r="T222">
        <f t="shared" si="7"/>
        <v>1</v>
      </c>
    </row>
    <row r="223" spans="1:20" x14ac:dyDescent="0.2">
      <c r="A223" t="s">
        <v>268</v>
      </c>
      <c r="B223">
        <f>IF(COUNTIFS('United Data'!$A$3:$A$2150,B$1,'United Data'!$C$3:$C$2150,$A223)&gt;0,1,0)</f>
        <v>0</v>
      </c>
      <c r="C223">
        <f>IF(COUNTIFS('United Data'!$A$3:$A$2150,C$1,'United Data'!$C$3:$C$2150,$A223)&gt;0,1,0)</f>
        <v>0</v>
      </c>
      <c r="D223">
        <f>IF(COUNTIFS('United Data'!$A$3:$A$2150,D$1,'United Data'!$C$3:$C$2150,$A223)&gt;0,1,0)</f>
        <v>0</v>
      </c>
      <c r="E223">
        <f>IF(COUNTIFS('United Data'!$A$3:$A$2150,E$1,'United Data'!$C$3:$C$2150,$A223)&gt;0,1,0)</f>
        <v>0</v>
      </c>
      <c r="F223">
        <f>IF(COUNTIFS('United Data'!$A$3:$A$2150,F$1,'United Data'!$C$3:$C$2150,$A223)&gt;0,1,0)</f>
        <v>0</v>
      </c>
      <c r="G223">
        <f>IF(COUNTIFS('United Data'!$A$3:$A$2150,G$1,'United Data'!$C$3:$C$2150,$A223)&gt;0,1,0)</f>
        <v>0</v>
      </c>
      <c r="H223">
        <f>IF(COUNTIFS('United Data'!$A$3:$A$2150,H$1,'United Data'!$C$3:$C$2150,$A223)&gt;0,1,0)</f>
        <v>0</v>
      </c>
      <c r="I223">
        <f>IF(COUNTIFS('United Data'!$A$3:$A$2150,I$1,'United Data'!$C$3:$C$2150,$A223)&gt;0,1,0)</f>
        <v>0</v>
      </c>
      <c r="J223">
        <f>IF(COUNTIFS('United Data'!$A$3:$A$2150,J$1,'United Data'!$C$3:$C$2150,$A223)&gt;0,1,0)</f>
        <v>1</v>
      </c>
      <c r="K223">
        <f>IF(COUNTIFS('United Data'!$A$3:$A$2150,K$1,'United Data'!$C$3:$C$2150,$A223)&gt;0,1,0)</f>
        <v>1</v>
      </c>
      <c r="L223">
        <f>IF(COUNTIFS('United Data'!$A$3:$A$2150,L$1,'United Data'!$C$3:$C$2150,$A223)&gt;0,1,0)</f>
        <v>1</v>
      </c>
      <c r="M223">
        <f>IF(COUNTIFS('United Data'!$A$3:$A$2150,M$1,'United Data'!$C$3:$C$2150,$A223)&gt;0,1,0)</f>
        <v>1</v>
      </c>
      <c r="N223">
        <f>IF(COUNTIFS('United Data'!$A$3:$A$2150,N$1,'United Data'!$C$3:$C$2150,$A223)&gt;0,1,0)</f>
        <v>1</v>
      </c>
      <c r="O223">
        <f>IF(COUNTIFS('United Data'!$A$3:$A$2150,O$1,'United Data'!$C$3:$C$2150,$A223)&gt;0,1,0)</f>
        <v>0</v>
      </c>
      <c r="P223">
        <f>IF(COUNTIFS('United Data'!$A$3:$A$2150,P$1,'United Data'!$C$3:$C$2150,$A223)&gt;0,1,0)</f>
        <v>0</v>
      </c>
      <c r="Q223">
        <f>IF(COUNTIFS('United Data'!$A$3:$A$2150,Q$1,'United Data'!$C$3:$C$2150,$A223)&gt;0,1,0)</f>
        <v>0</v>
      </c>
      <c r="R223">
        <f>IF(COUNTIFS('United Data'!$A$3:$A$2150,R$1,'United Data'!$C$3:$C$2150,$A223)&gt;0,1,0)</f>
        <v>0</v>
      </c>
      <c r="S223">
        <f t="shared" si="6"/>
        <v>5</v>
      </c>
      <c r="T223">
        <f t="shared" si="7"/>
        <v>1</v>
      </c>
    </row>
    <row r="224" spans="1:20" x14ac:dyDescent="0.2">
      <c r="A224" t="s">
        <v>269</v>
      </c>
      <c r="B224">
        <f>IF(COUNTIFS('United Data'!$A$3:$A$2150,B$1,'United Data'!$C$3:$C$2150,$A224)&gt;0,1,0)</f>
        <v>0</v>
      </c>
      <c r="C224">
        <f>IF(COUNTIFS('United Data'!$A$3:$A$2150,C$1,'United Data'!$C$3:$C$2150,$A224)&gt;0,1,0)</f>
        <v>0</v>
      </c>
      <c r="D224">
        <f>IF(COUNTIFS('United Data'!$A$3:$A$2150,D$1,'United Data'!$C$3:$C$2150,$A224)&gt;0,1,0)</f>
        <v>0</v>
      </c>
      <c r="E224">
        <f>IF(COUNTIFS('United Data'!$A$3:$A$2150,E$1,'United Data'!$C$3:$C$2150,$A224)&gt;0,1,0)</f>
        <v>0</v>
      </c>
      <c r="F224">
        <f>IF(COUNTIFS('United Data'!$A$3:$A$2150,F$1,'United Data'!$C$3:$C$2150,$A224)&gt;0,1,0)</f>
        <v>0</v>
      </c>
      <c r="G224">
        <f>IF(COUNTIFS('United Data'!$A$3:$A$2150,G$1,'United Data'!$C$3:$C$2150,$A224)&gt;0,1,0)</f>
        <v>0</v>
      </c>
      <c r="H224">
        <f>IF(COUNTIFS('United Data'!$A$3:$A$2150,H$1,'United Data'!$C$3:$C$2150,$A224)&gt;0,1,0)</f>
        <v>0</v>
      </c>
      <c r="I224">
        <f>IF(COUNTIFS('United Data'!$A$3:$A$2150,I$1,'United Data'!$C$3:$C$2150,$A224)&gt;0,1,0)</f>
        <v>0</v>
      </c>
      <c r="J224">
        <f>IF(COUNTIFS('United Data'!$A$3:$A$2150,J$1,'United Data'!$C$3:$C$2150,$A224)&gt;0,1,0)</f>
        <v>1</v>
      </c>
      <c r="K224">
        <f>IF(COUNTIFS('United Data'!$A$3:$A$2150,K$1,'United Data'!$C$3:$C$2150,$A224)&gt;0,1,0)</f>
        <v>1</v>
      </c>
      <c r="L224">
        <f>IF(COUNTIFS('United Data'!$A$3:$A$2150,L$1,'United Data'!$C$3:$C$2150,$A224)&gt;0,1,0)</f>
        <v>1</v>
      </c>
      <c r="M224">
        <f>IF(COUNTIFS('United Data'!$A$3:$A$2150,M$1,'United Data'!$C$3:$C$2150,$A224)&gt;0,1,0)</f>
        <v>1</v>
      </c>
      <c r="N224">
        <f>IF(COUNTIFS('United Data'!$A$3:$A$2150,N$1,'United Data'!$C$3:$C$2150,$A224)&gt;0,1,0)</f>
        <v>1</v>
      </c>
      <c r="O224">
        <f>IF(COUNTIFS('United Data'!$A$3:$A$2150,O$1,'United Data'!$C$3:$C$2150,$A224)&gt;0,1,0)</f>
        <v>0</v>
      </c>
      <c r="P224">
        <f>IF(COUNTIFS('United Data'!$A$3:$A$2150,P$1,'United Data'!$C$3:$C$2150,$A224)&gt;0,1,0)</f>
        <v>0</v>
      </c>
      <c r="Q224">
        <f>IF(COUNTIFS('United Data'!$A$3:$A$2150,Q$1,'United Data'!$C$3:$C$2150,$A224)&gt;0,1,0)</f>
        <v>0</v>
      </c>
      <c r="R224">
        <f>IF(COUNTIFS('United Data'!$A$3:$A$2150,R$1,'United Data'!$C$3:$C$2150,$A224)&gt;0,1,0)</f>
        <v>0</v>
      </c>
      <c r="S224">
        <f t="shared" si="6"/>
        <v>5</v>
      </c>
      <c r="T224">
        <f t="shared" si="7"/>
        <v>1</v>
      </c>
    </row>
    <row r="225" spans="1:20" x14ac:dyDescent="0.2">
      <c r="A225" t="s">
        <v>270</v>
      </c>
      <c r="B225">
        <f>IF(COUNTIFS('United Data'!$A$3:$A$2150,B$1,'United Data'!$C$3:$C$2150,$A225)&gt;0,1,0)</f>
        <v>0</v>
      </c>
      <c r="C225">
        <f>IF(COUNTIFS('United Data'!$A$3:$A$2150,C$1,'United Data'!$C$3:$C$2150,$A225)&gt;0,1,0)</f>
        <v>0</v>
      </c>
      <c r="D225">
        <f>IF(COUNTIFS('United Data'!$A$3:$A$2150,D$1,'United Data'!$C$3:$C$2150,$A225)&gt;0,1,0)</f>
        <v>0</v>
      </c>
      <c r="E225">
        <f>IF(COUNTIFS('United Data'!$A$3:$A$2150,E$1,'United Data'!$C$3:$C$2150,$A225)&gt;0,1,0)</f>
        <v>0</v>
      </c>
      <c r="F225">
        <f>IF(COUNTIFS('United Data'!$A$3:$A$2150,F$1,'United Data'!$C$3:$C$2150,$A225)&gt;0,1,0)</f>
        <v>0</v>
      </c>
      <c r="G225">
        <f>IF(COUNTIFS('United Data'!$A$3:$A$2150,G$1,'United Data'!$C$3:$C$2150,$A225)&gt;0,1,0)</f>
        <v>0</v>
      </c>
      <c r="H225">
        <f>IF(COUNTIFS('United Data'!$A$3:$A$2150,H$1,'United Data'!$C$3:$C$2150,$A225)&gt;0,1,0)</f>
        <v>0</v>
      </c>
      <c r="I225">
        <f>IF(COUNTIFS('United Data'!$A$3:$A$2150,I$1,'United Data'!$C$3:$C$2150,$A225)&gt;0,1,0)</f>
        <v>0</v>
      </c>
      <c r="J225">
        <f>IF(COUNTIFS('United Data'!$A$3:$A$2150,J$1,'United Data'!$C$3:$C$2150,$A225)&gt;0,1,0)</f>
        <v>0</v>
      </c>
      <c r="K225">
        <f>IF(COUNTIFS('United Data'!$A$3:$A$2150,K$1,'United Data'!$C$3:$C$2150,$A225)&gt;0,1,0)</f>
        <v>1</v>
      </c>
      <c r="L225">
        <f>IF(COUNTIFS('United Data'!$A$3:$A$2150,L$1,'United Data'!$C$3:$C$2150,$A225)&gt;0,1,0)</f>
        <v>0</v>
      </c>
      <c r="M225">
        <f>IF(COUNTIFS('United Data'!$A$3:$A$2150,M$1,'United Data'!$C$3:$C$2150,$A225)&gt;0,1,0)</f>
        <v>0</v>
      </c>
      <c r="N225">
        <f>IF(COUNTIFS('United Data'!$A$3:$A$2150,N$1,'United Data'!$C$3:$C$2150,$A225)&gt;0,1,0)</f>
        <v>0</v>
      </c>
      <c r="O225">
        <f>IF(COUNTIFS('United Data'!$A$3:$A$2150,O$1,'United Data'!$C$3:$C$2150,$A225)&gt;0,1,0)</f>
        <v>0</v>
      </c>
      <c r="P225">
        <f>IF(COUNTIFS('United Data'!$A$3:$A$2150,P$1,'United Data'!$C$3:$C$2150,$A225)&gt;0,1,0)</f>
        <v>0</v>
      </c>
      <c r="Q225">
        <f>IF(COUNTIFS('United Data'!$A$3:$A$2150,Q$1,'United Data'!$C$3:$C$2150,$A225)&gt;0,1,0)</f>
        <v>0</v>
      </c>
      <c r="R225">
        <f>IF(COUNTIFS('United Data'!$A$3:$A$2150,R$1,'United Data'!$C$3:$C$2150,$A225)&gt;0,1,0)</f>
        <v>0</v>
      </c>
      <c r="S225">
        <f t="shared" si="6"/>
        <v>1</v>
      </c>
      <c r="T225">
        <f t="shared" si="7"/>
        <v>1</v>
      </c>
    </row>
    <row r="226" spans="1:20" x14ac:dyDescent="0.2">
      <c r="A226" t="s">
        <v>271</v>
      </c>
      <c r="B226">
        <f>IF(COUNTIFS('United Data'!$A$3:$A$2150,B$1,'United Data'!$C$3:$C$2150,$A226)&gt;0,1,0)</f>
        <v>0</v>
      </c>
      <c r="C226">
        <f>IF(COUNTIFS('United Data'!$A$3:$A$2150,C$1,'United Data'!$C$3:$C$2150,$A226)&gt;0,1,0)</f>
        <v>0</v>
      </c>
      <c r="D226">
        <f>IF(COUNTIFS('United Data'!$A$3:$A$2150,D$1,'United Data'!$C$3:$C$2150,$A226)&gt;0,1,0)</f>
        <v>0</v>
      </c>
      <c r="E226">
        <f>IF(COUNTIFS('United Data'!$A$3:$A$2150,E$1,'United Data'!$C$3:$C$2150,$A226)&gt;0,1,0)</f>
        <v>0</v>
      </c>
      <c r="F226">
        <f>IF(COUNTIFS('United Data'!$A$3:$A$2150,F$1,'United Data'!$C$3:$C$2150,$A226)&gt;0,1,0)</f>
        <v>0</v>
      </c>
      <c r="G226">
        <f>IF(COUNTIFS('United Data'!$A$3:$A$2150,G$1,'United Data'!$C$3:$C$2150,$A226)&gt;0,1,0)</f>
        <v>0</v>
      </c>
      <c r="H226">
        <f>IF(COUNTIFS('United Data'!$A$3:$A$2150,H$1,'United Data'!$C$3:$C$2150,$A226)&gt;0,1,0)</f>
        <v>0</v>
      </c>
      <c r="I226">
        <f>IF(COUNTIFS('United Data'!$A$3:$A$2150,I$1,'United Data'!$C$3:$C$2150,$A226)&gt;0,1,0)</f>
        <v>0</v>
      </c>
      <c r="J226">
        <f>IF(COUNTIFS('United Data'!$A$3:$A$2150,J$1,'United Data'!$C$3:$C$2150,$A226)&gt;0,1,0)</f>
        <v>0</v>
      </c>
      <c r="K226">
        <f>IF(COUNTIFS('United Data'!$A$3:$A$2150,K$1,'United Data'!$C$3:$C$2150,$A226)&gt;0,1,0)</f>
        <v>1</v>
      </c>
      <c r="L226">
        <f>IF(COUNTIFS('United Data'!$A$3:$A$2150,L$1,'United Data'!$C$3:$C$2150,$A226)&gt;0,1,0)</f>
        <v>0</v>
      </c>
      <c r="M226">
        <f>IF(COUNTIFS('United Data'!$A$3:$A$2150,M$1,'United Data'!$C$3:$C$2150,$A226)&gt;0,1,0)</f>
        <v>0</v>
      </c>
      <c r="N226">
        <f>IF(COUNTIFS('United Data'!$A$3:$A$2150,N$1,'United Data'!$C$3:$C$2150,$A226)&gt;0,1,0)</f>
        <v>0</v>
      </c>
      <c r="O226">
        <f>IF(COUNTIFS('United Data'!$A$3:$A$2150,O$1,'United Data'!$C$3:$C$2150,$A226)&gt;0,1,0)</f>
        <v>0</v>
      </c>
      <c r="P226">
        <f>IF(COUNTIFS('United Data'!$A$3:$A$2150,P$1,'United Data'!$C$3:$C$2150,$A226)&gt;0,1,0)</f>
        <v>0</v>
      </c>
      <c r="Q226">
        <f>IF(COUNTIFS('United Data'!$A$3:$A$2150,Q$1,'United Data'!$C$3:$C$2150,$A226)&gt;0,1,0)</f>
        <v>0</v>
      </c>
      <c r="R226">
        <f>IF(COUNTIFS('United Data'!$A$3:$A$2150,R$1,'United Data'!$C$3:$C$2150,$A226)&gt;0,1,0)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272</v>
      </c>
      <c r="B227">
        <f>IF(COUNTIFS('United Data'!$A$3:$A$2150,B$1,'United Data'!$C$3:$C$2150,$A227)&gt;0,1,0)</f>
        <v>0</v>
      </c>
      <c r="C227">
        <f>IF(COUNTIFS('United Data'!$A$3:$A$2150,C$1,'United Data'!$C$3:$C$2150,$A227)&gt;0,1,0)</f>
        <v>0</v>
      </c>
      <c r="D227">
        <f>IF(COUNTIFS('United Data'!$A$3:$A$2150,D$1,'United Data'!$C$3:$C$2150,$A227)&gt;0,1,0)</f>
        <v>0</v>
      </c>
      <c r="E227">
        <f>IF(COUNTIFS('United Data'!$A$3:$A$2150,E$1,'United Data'!$C$3:$C$2150,$A227)&gt;0,1,0)</f>
        <v>0</v>
      </c>
      <c r="F227">
        <f>IF(COUNTIFS('United Data'!$A$3:$A$2150,F$1,'United Data'!$C$3:$C$2150,$A227)&gt;0,1,0)</f>
        <v>0</v>
      </c>
      <c r="G227">
        <f>IF(COUNTIFS('United Data'!$A$3:$A$2150,G$1,'United Data'!$C$3:$C$2150,$A227)&gt;0,1,0)</f>
        <v>0</v>
      </c>
      <c r="H227">
        <f>IF(COUNTIFS('United Data'!$A$3:$A$2150,H$1,'United Data'!$C$3:$C$2150,$A227)&gt;0,1,0)</f>
        <v>0</v>
      </c>
      <c r="I227">
        <f>IF(COUNTIFS('United Data'!$A$3:$A$2150,I$1,'United Data'!$C$3:$C$2150,$A227)&gt;0,1,0)</f>
        <v>0</v>
      </c>
      <c r="J227">
        <f>IF(COUNTIFS('United Data'!$A$3:$A$2150,J$1,'United Data'!$C$3:$C$2150,$A227)&gt;0,1,0)</f>
        <v>0</v>
      </c>
      <c r="K227">
        <f>IF(COUNTIFS('United Data'!$A$3:$A$2150,K$1,'United Data'!$C$3:$C$2150,$A227)&gt;0,1,0)</f>
        <v>1</v>
      </c>
      <c r="L227">
        <f>IF(COUNTIFS('United Data'!$A$3:$A$2150,L$1,'United Data'!$C$3:$C$2150,$A227)&gt;0,1,0)</f>
        <v>0</v>
      </c>
      <c r="M227">
        <f>IF(COUNTIFS('United Data'!$A$3:$A$2150,M$1,'United Data'!$C$3:$C$2150,$A227)&gt;0,1,0)</f>
        <v>0</v>
      </c>
      <c r="N227">
        <f>IF(COUNTIFS('United Data'!$A$3:$A$2150,N$1,'United Data'!$C$3:$C$2150,$A227)&gt;0,1,0)</f>
        <v>0</v>
      </c>
      <c r="O227">
        <f>IF(COUNTIFS('United Data'!$A$3:$A$2150,O$1,'United Data'!$C$3:$C$2150,$A227)&gt;0,1,0)</f>
        <v>0</v>
      </c>
      <c r="P227">
        <f>IF(COUNTIFS('United Data'!$A$3:$A$2150,P$1,'United Data'!$C$3:$C$2150,$A227)&gt;0,1,0)</f>
        <v>0</v>
      </c>
      <c r="Q227">
        <f>IF(COUNTIFS('United Data'!$A$3:$A$2150,Q$1,'United Data'!$C$3:$C$2150,$A227)&gt;0,1,0)</f>
        <v>0</v>
      </c>
      <c r="R227">
        <f>IF(COUNTIFS('United Data'!$A$3:$A$2150,R$1,'United Data'!$C$3:$C$2150,$A227)&gt;0,1,0)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273</v>
      </c>
      <c r="B228">
        <f>IF(COUNTIFS('United Data'!$A$3:$A$2150,B$1,'United Data'!$C$3:$C$2150,$A228)&gt;0,1,0)</f>
        <v>0</v>
      </c>
      <c r="C228">
        <f>IF(COUNTIFS('United Data'!$A$3:$A$2150,C$1,'United Data'!$C$3:$C$2150,$A228)&gt;0,1,0)</f>
        <v>0</v>
      </c>
      <c r="D228">
        <f>IF(COUNTIFS('United Data'!$A$3:$A$2150,D$1,'United Data'!$C$3:$C$2150,$A228)&gt;0,1,0)</f>
        <v>0</v>
      </c>
      <c r="E228">
        <f>IF(COUNTIFS('United Data'!$A$3:$A$2150,E$1,'United Data'!$C$3:$C$2150,$A228)&gt;0,1,0)</f>
        <v>0</v>
      </c>
      <c r="F228">
        <f>IF(COUNTIFS('United Data'!$A$3:$A$2150,F$1,'United Data'!$C$3:$C$2150,$A228)&gt;0,1,0)</f>
        <v>0</v>
      </c>
      <c r="G228">
        <f>IF(COUNTIFS('United Data'!$A$3:$A$2150,G$1,'United Data'!$C$3:$C$2150,$A228)&gt;0,1,0)</f>
        <v>0</v>
      </c>
      <c r="H228">
        <f>IF(COUNTIFS('United Data'!$A$3:$A$2150,H$1,'United Data'!$C$3:$C$2150,$A228)&gt;0,1,0)</f>
        <v>0</v>
      </c>
      <c r="I228">
        <f>IF(COUNTIFS('United Data'!$A$3:$A$2150,I$1,'United Data'!$C$3:$C$2150,$A228)&gt;0,1,0)</f>
        <v>0</v>
      </c>
      <c r="J228">
        <f>IF(COUNTIFS('United Data'!$A$3:$A$2150,J$1,'United Data'!$C$3:$C$2150,$A228)&gt;0,1,0)</f>
        <v>0</v>
      </c>
      <c r="K228">
        <f>IF(COUNTIFS('United Data'!$A$3:$A$2150,K$1,'United Data'!$C$3:$C$2150,$A228)&gt;0,1,0)</f>
        <v>1</v>
      </c>
      <c r="L228">
        <f>IF(COUNTIFS('United Data'!$A$3:$A$2150,L$1,'United Data'!$C$3:$C$2150,$A228)&gt;0,1,0)</f>
        <v>0</v>
      </c>
      <c r="M228">
        <f>IF(COUNTIFS('United Data'!$A$3:$A$2150,M$1,'United Data'!$C$3:$C$2150,$A228)&gt;0,1,0)</f>
        <v>0</v>
      </c>
      <c r="N228">
        <f>IF(COUNTIFS('United Data'!$A$3:$A$2150,N$1,'United Data'!$C$3:$C$2150,$A228)&gt;0,1,0)</f>
        <v>0</v>
      </c>
      <c r="O228">
        <f>IF(COUNTIFS('United Data'!$A$3:$A$2150,O$1,'United Data'!$C$3:$C$2150,$A228)&gt;0,1,0)</f>
        <v>0</v>
      </c>
      <c r="P228">
        <f>IF(COUNTIFS('United Data'!$A$3:$A$2150,P$1,'United Data'!$C$3:$C$2150,$A228)&gt;0,1,0)</f>
        <v>0</v>
      </c>
      <c r="Q228">
        <f>IF(COUNTIFS('United Data'!$A$3:$A$2150,Q$1,'United Data'!$C$3:$C$2150,$A228)&gt;0,1,0)</f>
        <v>0</v>
      </c>
      <c r="R228">
        <f>IF(COUNTIFS('United Data'!$A$3:$A$2150,R$1,'United Data'!$C$3:$C$2150,$A228)&gt;0,1,0)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274</v>
      </c>
      <c r="B229">
        <f>IF(COUNTIFS('United Data'!$A$3:$A$2150,B$1,'United Data'!$C$3:$C$2150,$A229)&gt;0,1,0)</f>
        <v>0</v>
      </c>
      <c r="C229">
        <f>IF(COUNTIFS('United Data'!$A$3:$A$2150,C$1,'United Data'!$C$3:$C$2150,$A229)&gt;0,1,0)</f>
        <v>0</v>
      </c>
      <c r="D229">
        <f>IF(COUNTIFS('United Data'!$A$3:$A$2150,D$1,'United Data'!$C$3:$C$2150,$A229)&gt;0,1,0)</f>
        <v>0</v>
      </c>
      <c r="E229">
        <f>IF(COUNTIFS('United Data'!$A$3:$A$2150,E$1,'United Data'!$C$3:$C$2150,$A229)&gt;0,1,0)</f>
        <v>0</v>
      </c>
      <c r="F229">
        <f>IF(COUNTIFS('United Data'!$A$3:$A$2150,F$1,'United Data'!$C$3:$C$2150,$A229)&gt;0,1,0)</f>
        <v>0</v>
      </c>
      <c r="G229">
        <f>IF(COUNTIFS('United Data'!$A$3:$A$2150,G$1,'United Data'!$C$3:$C$2150,$A229)&gt;0,1,0)</f>
        <v>0</v>
      </c>
      <c r="H229">
        <f>IF(COUNTIFS('United Data'!$A$3:$A$2150,H$1,'United Data'!$C$3:$C$2150,$A229)&gt;0,1,0)</f>
        <v>0</v>
      </c>
      <c r="I229">
        <f>IF(COUNTIFS('United Data'!$A$3:$A$2150,I$1,'United Data'!$C$3:$C$2150,$A229)&gt;0,1,0)</f>
        <v>0</v>
      </c>
      <c r="J229">
        <f>IF(COUNTIFS('United Data'!$A$3:$A$2150,J$1,'United Data'!$C$3:$C$2150,$A229)&gt;0,1,0)</f>
        <v>0</v>
      </c>
      <c r="K229">
        <f>IF(COUNTIFS('United Data'!$A$3:$A$2150,K$1,'United Data'!$C$3:$C$2150,$A229)&gt;0,1,0)</f>
        <v>1</v>
      </c>
      <c r="L229">
        <f>IF(COUNTIFS('United Data'!$A$3:$A$2150,L$1,'United Data'!$C$3:$C$2150,$A229)&gt;0,1,0)</f>
        <v>0</v>
      </c>
      <c r="M229">
        <f>IF(COUNTIFS('United Data'!$A$3:$A$2150,M$1,'United Data'!$C$3:$C$2150,$A229)&gt;0,1,0)</f>
        <v>0</v>
      </c>
      <c r="N229">
        <f>IF(COUNTIFS('United Data'!$A$3:$A$2150,N$1,'United Data'!$C$3:$C$2150,$A229)&gt;0,1,0)</f>
        <v>0</v>
      </c>
      <c r="O229">
        <f>IF(COUNTIFS('United Data'!$A$3:$A$2150,O$1,'United Data'!$C$3:$C$2150,$A229)&gt;0,1,0)</f>
        <v>0</v>
      </c>
      <c r="P229">
        <f>IF(COUNTIFS('United Data'!$A$3:$A$2150,P$1,'United Data'!$C$3:$C$2150,$A229)&gt;0,1,0)</f>
        <v>0</v>
      </c>
      <c r="Q229">
        <f>IF(COUNTIFS('United Data'!$A$3:$A$2150,Q$1,'United Data'!$C$3:$C$2150,$A229)&gt;0,1,0)</f>
        <v>0</v>
      </c>
      <c r="R229">
        <f>IF(COUNTIFS('United Data'!$A$3:$A$2150,R$1,'United Data'!$C$3:$C$2150,$A229)&gt;0,1,0)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275</v>
      </c>
      <c r="B230">
        <f>IF(COUNTIFS('United Data'!$A$3:$A$2150,B$1,'United Data'!$C$3:$C$2150,$A230)&gt;0,1,0)</f>
        <v>0</v>
      </c>
      <c r="C230">
        <f>IF(COUNTIFS('United Data'!$A$3:$A$2150,C$1,'United Data'!$C$3:$C$2150,$A230)&gt;0,1,0)</f>
        <v>0</v>
      </c>
      <c r="D230">
        <f>IF(COUNTIFS('United Data'!$A$3:$A$2150,D$1,'United Data'!$C$3:$C$2150,$A230)&gt;0,1,0)</f>
        <v>0</v>
      </c>
      <c r="E230">
        <f>IF(COUNTIFS('United Data'!$A$3:$A$2150,E$1,'United Data'!$C$3:$C$2150,$A230)&gt;0,1,0)</f>
        <v>0</v>
      </c>
      <c r="F230">
        <f>IF(COUNTIFS('United Data'!$A$3:$A$2150,F$1,'United Data'!$C$3:$C$2150,$A230)&gt;0,1,0)</f>
        <v>0</v>
      </c>
      <c r="G230">
        <f>IF(COUNTIFS('United Data'!$A$3:$A$2150,G$1,'United Data'!$C$3:$C$2150,$A230)&gt;0,1,0)</f>
        <v>0</v>
      </c>
      <c r="H230">
        <f>IF(COUNTIFS('United Data'!$A$3:$A$2150,H$1,'United Data'!$C$3:$C$2150,$A230)&gt;0,1,0)</f>
        <v>0</v>
      </c>
      <c r="I230">
        <f>IF(COUNTIFS('United Data'!$A$3:$A$2150,I$1,'United Data'!$C$3:$C$2150,$A230)&gt;0,1,0)</f>
        <v>0</v>
      </c>
      <c r="J230">
        <f>IF(COUNTIFS('United Data'!$A$3:$A$2150,J$1,'United Data'!$C$3:$C$2150,$A230)&gt;0,1,0)</f>
        <v>0</v>
      </c>
      <c r="K230">
        <f>IF(COUNTIFS('United Data'!$A$3:$A$2150,K$1,'United Data'!$C$3:$C$2150,$A230)&gt;0,1,0)</f>
        <v>1</v>
      </c>
      <c r="L230">
        <f>IF(COUNTIFS('United Data'!$A$3:$A$2150,L$1,'United Data'!$C$3:$C$2150,$A230)&gt;0,1,0)</f>
        <v>0</v>
      </c>
      <c r="M230">
        <f>IF(COUNTIFS('United Data'!$A$3:$A$2150,M$1,'United Data'!$C$3:$C$2150,$A230)&gt;0,1,0)</f>
        <v>0</v>
      </c>
      <c r="N230">
        <f>IF(COUNTIFS('United Data'!$A$3:$A$2150,N$1,'United Data'!$C$3:$C$2150,$A230)&gt;0,1,0)</f>
        <v>0</v>
      </c>
      <c r="O230">
        <f>IF(COUNTIFS('United Data'!$A$3:$A$2150,O$1,'United Data'!$C$3:$C$2150,$A230)&gt;0,1,0)</f>
        <v>0</v>
      </c>
      <c r="P230">
        <f>IF(COUNTIFS('United Data'!$A$3:$A$2150,P$1,'United Data'!$C$3:$C$2150,$A230)&gt;0,1,0)</f>
        <v>0</v>
      </c>
      <c r="Q230">
        <f>IF(COUNTIFS('United Data'!$A$3:$A$2150,Q$1,'United Data'!$C$3:$C$2150,$A230)&gt;0,1,0)</f>
        <v>0</v>
      </c>
      <c r="R230">
        <f>IF(COUNTIFS('United Data'!$A$3:$A$2150,R$1,'United Data'!$C$3:$C$2150,$A230)&gt;0,1,0)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276</v>
      </c>
      <c r="B231">
        <f>IF(COUNTIFS('United Data'!$A$3:$A$2150,B$1,'United Data'!$C$3:$C$2150,$A231)&gt;0,1,0)</f>
        <v>0</v>
      </c>
      <c r="C231">
        <f>IF(COUNTIFS('United Data'!$A$3:$A$2150,C$1,'United Data'!$C$3:$C$2150,$A231)&gt;0,1,0)</f>
        <v>0</v>
      </c>
      <c r="D231">
        <f>IF(COUNTIFS('United Data'!$A$3:$A$2150,D$1,'United Data'!$C$3:$C$2150,$A231)&gt;0,1,0)</f>
        <v>0</v>
      </c>
      <c r="E231">
        <f>IF(COUNTIFS('United Data'!$A$3:$A$2150,E$1,'United Data'!$C$3:$C$2150,$A231)&gt;0,1,0)</f>
        <v>0</v>
      </c>
      <c r="F231">
        <f>IF(COUNTIFS('United Data'!$A$3:$A$2150,F$1,'United Data'!$C$3:$C$2150,$A231)&gt;0,1,0)</f>
        <v>0</v>
      </c>
      <c r="G231">
        <f>IF(COUNTIFS('United Data'!$A$3:$A$2150,G$1,'United Data'!$C$3:$C$2150,$A231)&gt;0,1,0)</f>
        <v>0</v>
      </c>
      <c r="H231">
        <f>IF(COUNTIFS('United Data'!$A$3:$A$2150,H$1,'United Data'!$C$3:$C$2150,$A231)&gt;0,1,0)</f>
        <v>0</v>
      </c>
      <c r="I231">
        <f>IF(COUNTIFS('United Data'!$A$3:$A$2150,I$1,'United Data'!$C$3:$C$2150,$A231)&gt;0,1,0)</f>
        <v>0</v>
      </c>
      <c r="J231">
        <f>IF(COUNTIFS('United Data'!$A$3:$A$2150,J$1,'United Data'!$C$3:$C$2150,$A231)&gt;0,1,0)</f>
        <v>0</v>
      </c>
      <c r="K231">
        <f>IF(COUNTIFS('United Data'!$A$3:$A$2150,K$1,'United Data'!$C$3:$C$2150,$A231)&gt;0,1,0)</f>
        <v>0</v>
      </c>
      <c r="L231">
        <f>IF(COUNTIFS('United Data'!$A$3:$A$2150,L$1,'United Data'!$C$3:$C$2150,$A231)&gt;0,1,0)</f>
        <v>1</v>
      </c>
      <c r="M231">
        <f>IF(COUNTIFS('United Data'!$A$3:$A$2150,M$1,'United Data'!$C$3:$C$2150,$A231)&gt;0,1,0)</f>
        <v>0</v>
      </c>
      <c r="N231">
        <f>IF(COUNTIFS('United Data'!$A$3:$A$2150,N$1,'United Data'!$C$3:$C$2150,$A231)&gt;0,1,0)</f>
        <v>0</v>
      </c>
      <c r="O231">
        <f>IF(COUNTIFS('United Data'!$A$3:$A$2150,O$1,'United Data'!$C$3:$C$2150,$A231)&gt;0,1,0)</f>
        <v>0</v>
      </c>
      <c r="P231">
        <f>IF(COUNTIFS('United Data'!$A$3:$A$2150,P$1,'United Data'!$C$3:$C$2150,$A231)&gt;0,1,0)</f>
        <v>0</v>
      </c>
      <c r="Q231">
        <f>IF(COUNTIFS('United Data'!$A$3:$A$2150,Q$1,'United Data'!$C$3:$C$2150,$A231)&gt;0,1,0)</f>
        <v>0</v>
      </c>
      <c r="R231">
        <f>IF(COUNTIFS('United Data'!$A$3:$A$2150,R$1,'United Data'!$C$3:$C$2150,$A231)&gt;0,1,0)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277</v>
      </c>
      <c r="B232">
        <f>IF(COUNTIFS('United Data'!$A$3:$A$2150,B$1,'United Data'!$C$3:$C$2150,$A232)&gt;0,1,0)</f>
        <v>0</v>
      </c>
      <c r="C232">
        <f>IF(COUNTIFS('United Data'!$A$3:$A$2150,C$1,'United Data'!$C$3:$C$2150,$A232)&gt;0,1,0)</f>
        <v>0</v>
      </c>
      <c r="D232">
        <f>IF(COUNTIFS('United Data'!$A$3:$A$2150,D$1,'United Data'!$C$3:$C$2150,$A232)&gt;0,1,0)</f>
        <v>0</v>
      </c>
      <c r="E232">
        <f>IF(COUNTIFS('United Data'!$A$3:$A$2150,E$1,'United Data'!$C$3:$C$2150,$A232)&gt;0,1,0)</f>
        <v>0</v>
      </c>
      <c r="F232">
        <f>IF(COUNTIFS('United Data'!$A$3:$A$2150,F$1,'United Data'!$C$3:$C$2150,$A232)&gt;0,1,0)</f>
        <v>0</v>
      </c>
      <c r="G232">
        <f>IF(COUNTIFS('United Data'!$A$3:$A$2150,G$1,'United Data'!$C$3:$C$2150,$A232)&gt;0,1,0)</f>
        <v>0</v>
      </c>
      <c r="H232">
        <f>IF(COUNTIFS('United Data'!$A$3:$A$2150,H$1,'United Data'!$C$3:$C$2150,$A232)&gt;0,1,0)</f>
        <v>0</v>
      </c>
      <c r="I232">
        <f>IF(COUNTIFS('United Data'!$A$3:$A$2150,I$1,'United Data'!$C$3:$C$2150,$A232)&gt;0,1,0)</f>
        <v>0</v>
      </c>
      <c r="J232">
        <f>IF(COUNTIFS('United Data'!$A$3:$A$2150,J$1,'United Data'!$C$3:$C$2150,$A232)&gt;0,1,0)</f>
        <v>0</v>
      </c>
      <c r="K232">
        <f>IF(COUNTIFS('United Data'!$A$3:$A$2150,K$1,'United Data'!$C$3:$C$2150,$A232)&gt;0,1,0)</f>
        <v>0</v>
      </c>
      <c r="L232">
        <f>IF(COUNTIFS('United Data'!$A$3:$A$2150,L$1,'United Data'!$C$3:$C$2150,$A232)&gt;0,1,0)</f>
        <v>0</v>
      </c>
      <c r="M232">
        <f>IF(COUNTIFS('United Data'!$A$3:$A$2150,M$1,'United Data'!$C$3:$C$2150,$A232)&gt;0,1,0)</f>
        <v>1</v>
      </c>
      <c r="N232">
        <f>IF(COUNTIFS('United Data'!$A$3:$A$2150,N$1,'United Data'!$C$3:$C$2150,$A232)&gt;0,1,0)</f>
        <v>1</v>
      </c>
      <c r="O232">
        <f>IF(COUNTIFS('United Data'!$A$3:$A$2150,O$1,'United Data'!$C$3:$C$2150,$A232)&gt;0,1,0)</f>
        <v>0</v>
      </c>
      <c r="P232">
        <f>IF(COUNTIFS('United Data'!$A$3:$A$2150,P$1,'United Data'!$C$3:$C$2150,$A232)&gt;0,1,0)</f>
        <v>0</v>
      </c>
      <c r="Q232">
        <f>IF(COUNTIFS('United Data'!$A$3:$A$2150,Q$1,'United Data'!$C$3:$C$2150,$A232)&gt;0,1,0)</f>
        <v>0</v>
      </c>
      <c r="R232">
        <f>IF(COUNTIFS('United Data'!$A$3:$A$2150,R$1,'United Data'!$C$3:$C$2150,$A232)&gt;0,1,0)</f>
        <v>0</v>
      </c>
      <c r="S232">
        <f t="shared" si="6"/>
        <v>2</v>
      </c>
      <c r="T232">
        <f t="shared" si="7"/>
        <v>1</v>
      </c>
    </row>
    <row r="233" spans="1:20" x14ac:dyDescent="0.2">
      <c r="A233" t="s">
        <v>278</v>
      </c>
      <c r="B233">
        <f>IF(COUNTIFS('United Data'!$A$3:$A$2150,B$1,'United Data'!$C$3:$C$2150,$A233)&gt;0,1,0)</f>
        <v>0</v>
      </c>
      <c r="C233">
        <f>IF(COUNTIFS('United Data'!$A$3:$A$2150,C$1,'United Data'!$C$3:$C$2150,$A233)&gt;0,1,0)</f>
        <v>0</v>
      </c>
      <c r="D233">
        <f>IF(COUNTIFS('United Data'!$A$3:$A$2150,D$1,'United Data'!$C$3:$C$2150,$A233)&gt;0,1,0)</f>
        <v>0</v>
      </c>
      <c r="E233">
        <f>IF(COUNTIFS('United Data'!$A$3:$A$2150,E$1,'United Data'!$C$3:$C$2150,$A233)&gt;0,1,0)</f>
        <v>0</v>
      </c>
      <c r="F233">
        <f>IF(COUNTIFS('United Data'!$A$3:$A$2150,F$1,'United Data'!$C$3:$C$2150,$A233)&gt;0,1,0)</f>
        <v>0</v>
      </c>
      <c r="G233">
        <f>IF(COUNTIFS('United Data'!$A$3:$A$2150,G$1,'United Data'!$C$3:$C$2150,$A233)&gt;0,1,0)</f>
        <v>0</v>
      </c>
      <c r="H233">
        <f>IF(COUNTIFS('United Data'!$A$3:$A$2150,H$1,'United Data'!$C$3:$C$2150,$A233)&gt;0,1,0)</f>
        <v>0</v>
      </c>
      <c r="I233">
        <f>IF(COUNTIFS('United Data'!$A$3:$A$2150,I$1,'United Data'!$C$3:$C$2150,$A233)&gt;0,1,0)</f>
        <v>0</v>
      </c>
      <c r="J233">
        <f>IF(COUNTIFS('United Data'!$A$3:$A$2150,J$1,'United Data'!$C$3:$C$2150,$A233)&gt;0,1,0)</f>
        <v>0</v>
      </c>
      <c r="K233">
        <f>IF(COUNTIFS('United Data'!$A$3:$A$2150,K$1,'United Data'!$C$3:$C$2150,$A233)&gt;0,1,0)</f>
        <v>0</v>
      </c>
      <c r="L233">
        <f>IF(COUNTIFS('United Data'!$A$3:$A$2150,L$1,'United Data'!$C$3:$C$2150,$A233)&gt;0,1,0)</f>
        <v>0</v>
      </c>
      <c r="M233">
        <f>IF(COUNTIFS('United Data'!$A$3:$A$2150,M$1,'United Data'!$C$3:$C$2150,$A233)&gt;0,1,0)</f>
        <v>1</v>
      </c>
      <c r="N233">
        <f>IF(COUNTIFS('United Data'!$A$3:$A$2150,N$1,'United Data'!$C$3:$C$2150,$A233)&gt;0,1,0)</f>
        <v>1</v>
      </c>
      <c r="O233">
        <f>IF(COUNTIFS('United Data'!$A$3:$A$2150,O$1,'United Data'!$C$3:$C$2150,$A233)&gt;0,1,0)</f>
        <v>0</v>
      </c>
      <c r="P233">
        <f>IF(COUNTIFS('United Data'!$A$3:$A$2150,P$1,'United Data'!$C$3:$C$2150,$A233)&gt;0,1,0)</f>
        <v>0</v>
      </c>
      <c r="Q233">
        <f>IF(COUNTIFS('United Data'!$A$3:$A$2150,Q$1,'United Data'!$C$3:$C$2150,$A233)&gt;0,1,0)</f>
        <v>0</v>
      </c>
      <c r="R233">
        <f>IF(COUNTIFS('United Data'!$A$3:$A$2150,R$1,'United Data'!$C$3:$C$2150,$A233)&gt;0,1,0)</f>
        <v>0</v>
      </c>
      <c r="S233">
        <f t="shared" si="6"/>
        <v>2</v>
      </c>
      <c r="T233">
        <f t="shared" si="7"/>
        <v>1</v>
      </c>
    </row>
    <row r="234" spans="1:20" x14ac:dyDescent="0.2">
      <c r="A234" t="s">
        <v>279</v>
      </c>
      <c r="B234">
        <f>IF(COUNTIFS('United Data'!$A$3:$A$2150,B$1,'United Data'!$C$3:$C$2150,$A234)&gt;0,1,0)</f>
        <v>0</v>
      </c>
      <c r="C234">
        <f>IF(COUNTIFS('United Data'!$A$3:$A$2150,C$1,'United Data'!$C$3:$C$2150,$A234)&gt;0,1,0)</f>
        <v>0</v>
      </c>
      <c r="D234">
        <f>IF(COUNTIFS('United Data'!$A$3:$A$2150,D$1,'United Data'!$C$3:$C$2150,$A234)&gt;0,1,0)</f>
        <v>0</v>
      </c>
      <c r="E234">
        <f>IF(COUNTIFS('United Data'!$A$3:$A$2150,E$1,'United Data'!$C$3:$C$2150,$A234)&gt;0,1,0)</f>
        <v>0</v>
      </c>
      <c r="F234">
        <f>IF(COUNTIFS('United Data'!$A$3:$A$2150,F$1,'United Data'!$C$3:$C$2150,$A234)&gt;0,1,0)</f>
        <v>0</v>
      </c>
      <c r="G234">
        <f>IF(COUNTIFS('United Data'!$A$3:$A$2150,G$1,'United Data'!$C$3:$C$2150,$A234)&gt;0,1,0)</f>
        <v>0</v>
      </c>
      <c r="H234">
        <f>IF(COUNTIFS('United Data'!$A$3:$A$2150,H$1,'United Data'!$C$3:$C$2150,$A234)&gt;0,1,0)</f>
        <v>0</v>
      </c>
      <c r="I234">
        <f>IF(COUNTIFS('United Data'!$A$3:$A$2150,I$1,'United Data'!$C$3:$C$2150,$A234)&gt;0,1,0)</f>
        <v>0</v>
      </c>
      <c r="J234">
        <f>IF(COUNTIFS('United Data'!$A$3:$A$2150,J$1,'United Data'!$C$3:$C$2150,$A234)&gt;0,1,0)</f>
        <v>0</v>
      </c>
      <c r="K234">
        <f>IF(COUNTIFS('United Data'!$A$3:$A$2150,K$1,'United Data'!$C$3:$C$2150,$A234)&gt;0,1,0)</f>
        <v>0</v>
      </c>
      <c r="L234">
        <f>IF(COUNTIFS('United Data'!$A$3:$A$2150,L$1,'United Data'!$C$3:$C$2150,$A234)&gt;0,1,0)</f>
        <v>0</v>
      </c>
      <c r="M234">
        <f>IF(COUNTIFS('United Data'!$A$3:$A$2150,M$1,'United Data'!$C$3:$C$2150,$A234)&gt;0,1,0)</f>
        <v>1</v>
      </c>
      <c r="N234">
        <f>IF(COUNTIFS('United Data'!$A$3:$A$2150,N$1,'United Data'!$C$3:$C$2150,$A234)&gt;0,1,0)</f>
        <v>1</v>
      </c>
      <c r="O234">
        <f>IF(COUNTIFS('United Data'!$A$3:$A$2150,O$1,'United Data'!$C$3:$C$2150,$A234)&gt;0,1,0)</f>
        <v>1</v>
      </c>
      <c r="P234">
        <f>IF(COUNTIFS('United Data'!$A$3:$A$2150,P$1,'United Data'!$C$3:$C$2150,$A234)&gt;0,1,0)</f>
        <v>1</v>
      </c>
      <c r="Q234">
        <f>IF(COUNTIFS('United Data'!$A$3:$A$2150,Q$1,'United Data'!$C$3:$C$2150,$A234)&gt;0,1,0)</f>
        <v>1</v>
      </c>
      <c r="R234">
        <f>IF(COUNTIFS('United Data'!$A$3:$A$2150,R$1,'United Data'!$C$3:$C$2150,$A234)&gt;0,1,0)</f>
        <v>0</v>
      </c>
      <c r="S234">
        <f t="shared" si="6"/>
        <v>5</v>
      </c>
      <c r="T234">
        <f t="shared" si="7"/>
        <v>1</v>
      </c>
    </row>
    <row r="235" spans="1:20" x14ac:dyDescent="0.2">
      <c r="A235" t="s">
        <v>280</v>
      </c>
      <c r="B235">
        <f>IF(COUNTIFS('United Data'!$A$3:$A$2150,B$1,'United Data'!$C$3:$C$2150,$A235)&gt;0,1,0)</f>
        <v>0</v>
      </c>
      <c r="C235">
        <f>IF(COUNTIFS('United Data'!$A$3:$A$2150,C$1,'United Data'!$C$3:$C$2150,$A235)&gt;0,1,0)</f>
        <v>0</v>
      </c>
      <c r="D235">
        <f>IF(COUNTIFS('United Data'!$A$3:$A$2150,D$1,'United Data'!$C$3:$C$2150,$A235)&gt;0,1,0)</f>
        <v>0</v>
      </c>
      <c r="E235">
        <f>IF(COUNTIFS('United Data'!$A$3:$A$2150,E$1,'United Data'!$C$3:$C$2150,$A235)&gt;0,1,0)</f>
        <v>0</v>
      </c>
      <c r="F235">
        <f>IF(COUNTIFS('United Data'!$A$3:$A$2150,F$1,'United Data'!$C$3:$C$2150,$A235)&gt;0,1,0)</f>
        <v>0</v>
      </c>
      <c r="G235">
        <f>IF(COUNTIFS('United Data'!$A$3:$A$2150,G$1,'United Data'!$C$3:$C$2150,$A235)&gt;0,1,0)</f>
        <v>0</v>
      </c>
      <c r="H235">
        <f>IF(COUNTIFS('United Data'!$A$3:$A$2150,H$1,'United Data'!$C$3:$C$2150,$A235)&gt;0,1,0)</f>
        <v>0</v>
      </c>
      <c r="I235">
        <f>IF(COUNTIFS('United Data'!$A$3:$A$2150,I$1,'United Data'!$C$3:$C$2150,$A235)&gt;0,1,0)</f>
        <v>0</v>
      </c>
      <c r="J235">
        <f>IF(COUNTIFS('United Data'!$A$3:$A$2150,J$1,'United Data'!$C$3:$C$2150,$A235)&gt;0,1,0)</f>
        <v>0</v>
      </c>
      <c r="K235">
        <f>IF(COUNTIFS('United Data'!$A$3:$A$2150,K$1,'United Data'!$C$3:$C$2150,$A235)&gt;0,1,0)</f>
        <v>0</v>
      </c>
      <c r="L235">
        <f>IF(COUNTIFS('United Data'!$A$3:$A$2150,L$1,'United Data'!$C$3:$C$2150,$A235)&gt;0,1,0)</f>
        <v>0</v>
      </c>
      <c r="M235">
        <f>IF(COUNTIFS('United Data'!$A$3:$A$2150,M$1,'United Data'!$C$3:$C$2150,$A235)&gt;0,1,0)</f>
        <v>1</v>
      </c>
      <c r="N235">
        <f>IF(COUNTIFS('United Data'!$A$3:$A$2150,N$1,'United Data'!$C$3:$C$2150,$A235)&gt;0,1,0)</f>
        <v>0</v>
      </c>
      <c r="O235">
        <f>IF(COUNTIFS('United Data'!$A$3:$A$2150,O$1,'United Data'!$C$3:$C$2150,$A235)&gt;0,1,0)</f>
        <v>0</v>
      </c>
      <c r="P235">
        <f>IF(COUNTIFS('United Data'!$A$3:$A$2150,P$1,'United Data'!$C$3:$C$2150,$A235)&gt;0,1,0)</f>
        <v>0</v>
      </c>
      <c r="Q235">
        <f>IF(COUNTIFS('United Data'!$A$3:$A$2150,Q$1,'United Data'!$C$3:$C$2150,$A235)&gt;0,1,0)</f>
        <v>0</v>
      </c>
      <c r="R235">
        <f>IF(COUNTIFS('United Data'!$A$3:$A$2150,R$1,'United Data'!$C$3:$C$2150,$A235)&gt;0,1,0)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281</v>
      </c>
      <c r="B236">
        <f>IF(COUNTIFS('United Data'!$A$3:$A$2150,B$1,'United Data'!$C$3:$C$2150,$A236)&gt;0,1,0)</f>
        <v>0</v>
      </c>
      <c r="C236">
        <f>IF(COUNTIFS('United Data'!$A$3:$A$2150,C$1,'United Data'!$C$3:$C$2150,$A236)&gt;0,1,0)</f>
        <v>0</v>
      </c>
      <c r="D236">
        <f>IF(COUNTIFS('United Data'!$A$3:$A$2150,D$1,'United Data'!$C$3:$C$2150,$A236)&gt;0,1,0)</f>
        <v>0</v>
      </c>
      <c r="E236">
        <f>IF(COUNTIFS('United Data'!$A$3:$A$2150,E$1,'United Data'!$C$3:$C$2150,$A236)&gt;0,1,0)</f>
        <v>0</v>
      </c>
      <c r="F236">
        <f>IF(COUNTIFS('United Data'!$A$3:$A$2150,F$1,'United Data'!$C$3:$C$2150,$A236)&gt;0,1,0)</f>
        <v>0</v>
      </c>
      <c r="G236">
        <f>IF(COUNTIFS('United Data'!$A$3:$A$2150,G$1,'United Data'!$C$3:$C$2150,$A236)&gt;0,1,0)</f>
        <v>0</v>
      </c>
      <c r="H236">
        <f>IF(COUNTIFS('United Data'!$A$3:$A$2150,H$1,'United Data'!$C$3:$C$2150,$A236)&gt;0,1,0)</f>
        <v>0</v>
      </c>
      <c r="I236">
        <f>IF(COUNTIFS('United Data'!$A$3:$A$2150,I$1,'United Data'!$C$3:$C$2150,$A236)&gt;0,1,0)</f>
        <v>0</v>
      </c>
      <c r="J236">
        <f>IF(COUNTIFS('United Data'!$A$3:$A$2150,J$1,'United Data'!$C$3:$C$2150,$A236)&gt;0,1,0)</f>
        <v>0</v>
      </c>
      <c r="K236">
        <f>IF(COUNTIFS('United Data'!$A$3:$A$2150,K$1,'United Data'!$C$3:$C$2150,$A236)&gt;0,1,0)</f>
        <v>0</v>
      </c>
      <c r="L236">
        <f>IF(COUNTIFS('United Data'!$A$3:$A$2150,L$1,'United Data'!$C$3:$C$2150,$A236)&gt;0,1,0)</f>
        <v>0</v>
      </c>
      <c r="M236">
        <f>IF(COUNTIFS('United Data'!$A$3:$A$2150,M$1,'United Data'!$C$3:$C$2150,$A236)&gt;0,1,0)</f>
        <v>0</v>
      </c>
      <c r="N236">
        <f>IF(COUNTIFS('United Data'!$A$3:$A$2150,N$1,'United Data'!$C$3:$C$2150,$A236)&gt;0,1,0)</f>
        <v>1</v>
      </c>
      <c r="O236">
        <f>IF(COUNTIFS('United Data'!$A$3:$A$2150,O$1,'United Data'!$C$3:$C$2150,$A236)&gt;0,1,0)</f>
        <v>0</v>
      </c>
      <c r="P236">
        <f>IF(COUNTIFS('United Data'!$A$3:$A$2150,P$1,'United Data'!$C$3:$C$2150,$A236)&gt;0,1,0)</f>
        <v>0</v>
      </c>
      <c r="Q236">
        <f>IF(COUNTIFS('United Data'!$A$3:$A$2150,Q$1,'United Data'!$C$3:$C$2150,$A236)&gt;0,1,0)</f>
        <v>0</v>
      </c>
      <c r="R236">
        <f>IF(COUNTIFS('United Data'!$A$3:$A$2150,R$1,'United Data'!$C$3:$C$2150,$A236)&gt;0,1,0)</f>
        <v>0</v>
      </c>
      <c r="S236">
        <f t="shared" si="6"/>
        <v>1</v>
      </c>
      <c r="T236">
        <f t="shared" si="7"/>
        <v>1</v>
      </c>
    </row>
    <row r="237" spans="1:20" x14ac:dyDescent="0.2">
      <c r="A237" t="s">
        <v>282</v>
      </c>
      <c r="B237">
        <f>IF(COUNTIFS('United Data'!$A$3:$A$2150,B$1,'United Data'!$C$3:$C$2150,$A237)&gt;0,1,0)</f>
        <v>0</v>
      </c>
      <c r="C237">
        <f>IF(COUNTIFS('United Data'!$A$3:$A$2150,C$1,'United Data'!$C$3:$C$2150,$A237)&gt;0,1,0)</f>
        <v>0</v>
      </c>
      <c r="D237">
        <f>IF(COUNTIFS('United Data'!$A$3:$A$2150,D$1,'United Data'!$C$3:$C$2150,$A237)&gt;0,1,0)</f>
        <v>0</v>
      </c>
      <c r="E237">
        <f>IF(COUNTIFS('United Data'!$A$3:$A$2150,E$1,'United Data'!$C$3:$C$2150,$A237)&gt;0,1,0)</f>
        <v>0</v>
      </c>
      <c r="F237">
        <f>IF(COUNTIFS('United Data'!$A$3:$A$2150,F$1,'United Data'!$C$3:$C$2150,$A237)&gt;0,1,0)</f>
        <v>0</v>
      </c>
      <c r="G237">
        <f>IF(COUNTIFS('United Data'!$A$3:$A$2150,G$1,'United Data'!$C$3:$C$2150,$A237)&gt;0,1,0)</f>
        <v>0</v>
      </c>
      <c r="H237">
        <f>IF(COUNTIFS('United Data'!$A$3:$A$2150,H$1,'United Data'!$C$3:$C$2150,$A237)&gt;0,1,0)</f>
        <v>0</v>
      </c>
      <c r="I237">
        <f>IF(COUNTIFS('United Data'!$A$3:$A$2150,I$1,'United Data'!$C$3:$C$2150,$A237)&gt;0,1,0)</f>
        <v>0</v>
      </c>
      <c r="J237">
        <f>IF(COUNTIFS('United Data'!$A$3:$A$2150,J$1,'United Data'!$C$3:$C$2150,$A237)&gt;0,1,0)</f>
        <v>0</v>
      </c>
      <c r="K237">
        <f>IF(COUNTIFS('United Data'!$A$3:$A$2150,K$1,'United Data'!$C$3:$C$2150,$A237)&gt;0,1,0)</f>
        <v>0</v>
      </c>
      <c r="L237">
        <f>IF(COUNTIFS('United Data'!$A$3:$A$2150,L$1,'United Data'!$C$3:$C$2150,$A237)&gt;0,1,0)</f>
        <v>0</v>
      </c>
      <c r="M237">
        <f>IF(COUNTIFS('United Data'!$A$3:$A$2150,M$1,'United Data'!$C$3:$C$2150,$A237)&gt;0,1,0)</f>
        <v>0</v>
      </c>
      <c r="N237">
        <f>IF(COUNTIFS('United Data'!$A$3:$A$2150,N$1,'United Data'!$C$3:$C$2150,$A237)&gt;0,1,0)</f>
        <v>1</v>
      </c>
      <c r="O237">
        <f>IF(COUNTIFS('United Data'!$A$3:$A$2150,O$1,'United Data'!$C$3:$C$2150,$A237)&gt;0,1,0)</f>
        <v>0</v>
      </c>
      <c r="P237">
        <f>IF(COUNTIFS('United Data'!$A$3:$A$2150,P$1,'United Data'!$C$3:$C$2150,$A237)&gt;0,1,0)</f>
        <v>0</v>
      </c>
      <c r="Q237">
        <f>IF(COUNTIFS('United Data'!$A$3:$A$2150,Q$1,'United Data'!$C$3:$C$2150,$A237)&gt;0,1,0)</f>
        <v>0</v>
      </c>
      <c r="R237">
        <f>IF(COUNTIFS('United Data'!$A$3:$A$2150,R$1,'United Data'!$C$3:$C$2150,$A237)&gt;0,1,0)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283</v>
      </c>
      <c r="B238">
        <f>IF(COUNTIFS('United Data'!$A$3:$A$2150,B$1,'United Data'!$C$3:$C$2150,$A238)&gt;0,1,0)</f>
        <v>0</v>
      </c>
      <c r="C238">
        <f>IF(COUNTIFS('United Data'!$A$3:$A$2150,C$1,'United Data'!$C$3:$C$2150,$A238)&gt;0,1,0)</f>
        <v>0</v>
      </c>
      <c r="D238">
        <f>IF(COUNTIFS('United Data'!$A$3:$A$2150,D$1,'United Data'!$C$3:$C$2150,$A238)&gt;0,1,0)</f>
        <v>0</v>
      </c>
      <c r="E238">
        <f>IF(COUNTIFS('United Data'!$A$3:$A$2150,E$1,'United Data'!$C$3:$C$2150,$A238)&gt;0,1,0)</f>
        <v>0</v>
      </c>
      <c r="F238">
        <f>IF(COUNTIFS('United Data'!$A$3:$A$2150,F$1,'United Data'!$C$3:$C$2150,$A238)&gt;0,1,0)</f>
        <v>0</v>
      </c>
      <c r="G238">
        <f>IF(COUNTIFS('United Data'!$A$3:$A$2150,G$1,'United Data'!$C$3:$C$2150,$A238)&gt;0,1,0)</f>
        <v>0</v>
      </c>
      <c r="H238">
        <f>IF(COUNTIFS('United Data'!$A$3:$A$2150,H$1,'United Data'!$C$3:$C$2150,$A238)&gt;0,1,0)</f>
        <v>0</v>
      </c>
      <c r="I238">
        <f>IF(COUNTIFS('United Data'!$A$3:$A$2150,I$1,'United Data'!$C$3:$C$2150,$A238)&gt;0,1,0)</f>
        <v>0</v>
      </c>
      <c r="J238">
        <f>IF(COUNTIFS('United Data'!$A$3:$A$2150,J$1,'United Data'!$C$3:$C$2150,$A238)&gt;0,1,0)</f>
        <v>0</v>
      </c>
      <c r="K238">
        <f>IF(COUNTIFS('United Data'!$A$3:$A$2150,K$1,'United Data'!$C$3:$C$2150,$A238)&gt;0,1,0)</f>
        <v>0</v>
      </c>
      <c r="L238">
        <f>IF(COUNTIFS('United Data'!$A$3:$A$2150,L$1,'United Data'!$C$3:$C$2150,$A238)&gt;0,1,0)</f>
        <v>0</v>
      </c>
      <c r="M238">
        <f>IF(COUNTIFS('United Data'!$A$3:$A$2150,M$1,'United Data'!$C$3:$C$2150,$A238)&gt;0,1,0)</f>
        <v>0</v>
      </c>
      <c r="N238">
        <f>IF(COUNTIFS('United Data'!$A$3:$A$2150,N$1,'United Data'!$C$3:$C$2150,$A238)&gt;0,1,0)</f>
        <v>1</v>
      </c>
      <c r="O238">
        <f>IF(COUNTIFS('United Data'!$A$3:$A$2150,O$1,'United Data'!$C$3:$C$2150,$A238)&gt;0,1,0)</f>
        <v>0</v>
      </c>
      <c r="P238">
        <f>IF(COUNTIFS('United Data'!$A$3:$A$2150,P$1,'United Data'!$C$3:$C$2150,$A238)&gt;0,1,0)</f>
        <v>0</v>
      </c>
      <c r="Q238">
        <f>IF(COUNTIFS('United Data'!$A$3:$A$2150,Q$1,'United Data'!$C$3:$C$2150,$A238)&gt;0,1,0)</f>
        <v>0</v>
      </c>
      <c r="R238">
        <f>IF(COUNTIFS('United Data'!$A$3:$A$2150,R$1,'United Data'!$C$3:$C$2150,$A238)&gt;0,1,0)</f>
        <v>0</v>
      </c>
      <c r="S238">
        <f t="shared" si="6"/>
        <v>1</v>
      </c>
      <c r="T238">
        <f t="shared" si="7"/>
        <v>1</v>
      </c>
    </row>
    <row r="239" spans="1:20" x14ac:dyDescent="0.2">
      <c r="A239" t="s">
        <v>284</v>
      </c>
      <c r="B239">
        <f>IF(COUNTIFS('United Data'!$A$3:$A$2150,B$1,'United Data'!$C$3:$C$2150,$A239)&gt;0,1,0)</f>
        <v>0</v>
      </c>
      <c r="C239">
        <f>IF(COUNTIFS('United Data'!$A$3:$A$2150,C$1,'United Data'!$C$3:$C$2150,$A239)&gt;0,1,0)</f>
        <v>0</v>
      </c>
      <c r="D239">
        <f>IF(COUNTIFS('United Data'!$A$3:$A$2150,D$1,'United Data'!$C$3:$C$2150,$A239)&gt;0,1,0)</f>
        <v>0</v>
      </c>
      <c r="E239">
        <f>IF(COUNTIFS('United Data'!$A$3:$A$2150,E$1,'United Data'!$C$3:$C$2150,$A239)&gt;0,1,0)</f>
        <v>0</v>
      </c>
      <c r="F239">
        <f>IF(COUNTIFS('United Data'!$A$3:$A$2150,F$1,'United Data'!$C$3:$C$2150,$A239)&gt;0,1,0)</f>
        <v>0</v>
      </c>
      <c r="G239">
        <f>IF(COUNTIFS('United Data'!$A$3:$A$2150,G$1,'United Data'!$C$3:$C$2150,$A239)&gt;0,1,0)</f>
        <v>0</v>
      </c>
      <c r="H239">
        <f>IF(COUNTIFS('United Data'!$A$3:$A$2150,H$1,'United Data'!$C$3:$C$2150,$A239)&gt;0,1,0)</f>
        <v>0</v>
      </c>
      <c r="I239">
        <f>IF(COUNTIFS('United Data'!$A$3:$A$2150,I$1,'United Data'!$C$3:$C$2150,$A239)&gt;0,1,0)</f>
        <v>0</v>
      </c>
      <c r="J239">
        <f>IF(COUNTIFS('United Data'!$A$3:$A$2150,J$1,'United Data'!$C$3:$C$2150,$A239)&gt;0,1,0)</f>
        <v>0</v>
      </c>
      <c r="K239">
        <f>IF(COUNTIFS('United Data'!$A$3:$A$2150,K$1,'United Data'!$C$3:$C$2150,$A239)&gt;0,1,0)</f>
        <v>0</v>
      </c>
      <c r="L239">
        <f>IF(COUNTIFS('United Data'!$A$3:$A$2150,L$1,'United Data'!$C$3:$C$2150,$A239)&gt;0,1,0)</f>
        <v>0</v>
      </c>
      <c r="M239">
        <f>IF(COUNTIFS('United Data'!$A$3:$A$2150,M$1,'United Data'!$C$3:$C$2150,$A239)&gt;0,1,0)</f>
        <v>0</v>
      </c>
      <c r="N239">
        <f>IF(COUNTIFS('United Data'!$A$3:$A$2150,N$1,'United Data'!$C$3:$C$2150,$A239)&gt;0,1,0)</f>
        <v>1</v>
      </c>
      <c r="O239">
        <f>IF(COUNTIFS('United Data'!$A$3:$A$2150,O$1,'United Data'!$C$3:$C$2150,$A239)&gt;0,1,0)</f>
        <v>0</v>
      </c>
      <c r="P239">
        <f>IF(COUNTIFS('United Data'!$A$3:$A$2150,P$1,'United Data'!$C$3:$C$2150,$A239)&gt;0,1,0)</f>
        <v>0</v>
      </c>
      <c r="Q239">
        <f>IF(COUNTIFS('United Data'!$A$3:$A$2150,Q$1,'United Data'!$C$3:$C$2150,$A239)&gt;0,1,0)</f>
        <v>0</v>
      </c>
      <c r="R239">
        <f>IF(COUNTIFS('United Data'!$A$3:$A$2150,R$1,'United Data'!$C$3:$C$2150,$A239)&gt;0,1,0)</f>
        <v>0</v>
      </c>
      <c r="S239">
        <f t="shared" si="6"/>
        <v>1</v>
      </c>
      <c r="T239">
        <f t="shared" si="7"/>
        <v>1</v>
      </c>
    </row>
    <row r="240" spans="1:20" x14ac:dyDescent="0.2">
      <c r="A240" t="s">
        <v>285</v>
      </c>
      <c r="B240">
        <f>IF(COUNTIFS('United Data'!$A$3:$A$2150,B$1,'United Data'!$C$3:$C$2150,$A240)&gt;0,1,0)</f>
        <v>0</v>
      </c>
      <c r="C240">
        <f>IF(COUNTIFS('United Data'!$A$3:$A$2150,C$1,'United Data'!$C$3:$C$2150,$A240)&gt;0,1,0)</f>
        <v>0</v>
      </c>
      <c r="D240">
        <f>IF(COUNTIFS('United Data'!$A$3:$A$2150,D$1,'United Data'!$C$3:$C$2150,$A240)&gt;0,1,0)</f>
        <v>0</v>
      </c>
      <c r="E240">
        <f>IF(COUNTIFS('United Data'!$A$3:$A$2150,E$1,'United Data'!$C$3:$C$2150,$A240)&gt;0,1,0)</f>
        <v>0</v>
      </c>
      <c r="F240">
        <f>IF(COUNTIFS('United Data'!$A$3:$A$2150,F$1,'United Data'!$C$3:$C$2150,$A240)&gt;0,1,0)</f>
        <v>0</v>
      </c>
      <c r="G240">
        <f>IF(COUNTIFS('United Data'!$A$3:$A$2150,G$1,'United Data'!$C$3:$C$2150,$A240)&gt;0,1,0)</f>
        <v>0</v>
      </c>
      <c r="H240">
        <f>IF(COUNTIFS('United Data'!$A$3:$A$2150,H$1,'United Data'!$C$3:$C$2150,$A240)&gt;0,1,0)</f>
        <v>0</v>
      </c>
      <c r="I240">
        <f>IF(COUNTIFS('United Data'!$A$3:$A$2150,I$1,'United Data'!$C$3:$C$2150,$A240)&gt;0,1,0)</f>
        <v>0</v>
      </c>
      <c r="J240">
        <f>IF(COUNTIFS('United Data'!$A$3:$A$2150,J$1,'United Data'!$C$3:$C$2150,$A240)&gt;0,1,0)</f>
        <v>0</v>
      </c>
      <c r="K240">
        <f>IF(COUNTIFS('United Data'!$A$3:$A$2150,K$1,'United Data'!$C$3:$C$2150,$A240)&gt;0,1,0)</f>
        <v>0</v>
      </c>
      <c r="L240">
        <f>IF(COUNTIFS('United Data'!$A$3:$A$2150,L$1,'United Data'!$C$3:$C$2150,$A240)&gt;0,1,0)</f>
        <v>0</v>
      </c>
      <c r="M240">
        <f>IF(COUNTIFS('United Data'!$A$3:$A$2150,M$1,'United Data'!$C$3:$C$2150,$A240)&gt;0,1,0)</f>
        <v>0</v>
      </c>
      <c r="N240">
        <f>IF(COUNTIFS('United Data'!$A$3:$A$2150,N$1,'United Data'!$C$3:$C$2150,$A240)&gt;0,1,0)</f>
        <v>1</v>
      </c>
      <c r="O240">
        <f>IF(COUNTIFS('United Data'!$A$3:$A$2150,O$1,'United Data'!$C$3:$C$2150,$A240)&gt;0,1,0)</f>
        <v>1</v>
      </c>
      <c r="P240">
        <f>IF(COUNTIFS('United Data'!$A$3:$A$2150,P$1,'United Data'!$C$3:$C$2150,$A240)&gt;0,1,0)</f>
        <v>1</v>
      </c>
      <c r="Q240">
        <f>IF(COUNTIFS('United Data'!$A$3:$A$2150,Q$1,'United Data'!$C$3:$C$2150,$A240)&gt;0,1,0)</f>
        <v>1</v>
      </c>
      <c r="R240">
        <f>IF(COUNTIFS('United Data'!$A$3:$A$2150,R$1,'United Data'!$C$3:$C$2150,$A240)&gt;0,1,0)</f>
        <v>0</v>
      </c>
      <c r="S240">
        <f t="shared" si="6"/>
        <v>4</v>
      </c>
      <c r="T240">
        <f t="shared" si="7"/>
        <v>1</v>
      </c>
    </row>
    <row r="241" spans="1:20" x14ac:dyDescent="0.2">
      <c r="A241" t="s">
        <v>286</v>
      </c>
      <c r="B241">
        <f>IF(COUNTIFS('United Data'!$A$3:$A$2150,B$1,'United Data'!$C$3:$C$2150,$A241)&gt;0,1,0)</f>
        <v>0</v>
      </c>
      <c r="C241">
        <f>IF(COUNTIFS('United Data'!$A$3:$A$2150,C$1,'United Data'!$C$3:$C$2150,$A241)&gt;0,1,0)</f>
        <v>0</v>
      </c>
      <c r="D241">
        <f>IF(COUNTIFS('United Data'!$A$3:$A$2150,D$1,'United Data'!$C$3:$C$2150,$A241)&gt;0,1,0)</f>
        <v>0</v>
      </c>
      <c r="E241">
        <f>IF(COUNTIFS('United Data'!$A$3:$A$2150,E$1,'United Data'!$C$3:$C$2150,$A241)&gt;0,1,0)</f>
        <v>0</v>
      </c>
      <c r="F241">
        <f>IF(COUNTIFS('United Data'!$A$3:$A$2150,F$1,'United Data'!$C$3:$C$2150,$A241)&gt;0,1,0)</f>
        <v>0</v>
      </c>
      <c r="G241">
        <f>IF(COUNTIFS('United Data'!$A$3:$A$2150,G$1,'United Data'!$C$3:$C$2150,$A241)&gt;0,1,0)</f>
        <v>0</v>
      </c>
      <c r="H241">
        <f>IF(COUNTIFS('United Data'!$A$3:$A$2150,H$1,'United Data'!$C$3:$C$2150,$A241)&gt;0,1,0)</f>
        <v>0</v>
      </c>
      <c r="I241">
        <f>IF(COUNTIFS('United Data'!$A$3:$A$2150,I$1,'United Data'!$C$3:$C$2150,$A241)&gt;0,1,0)</f>
        <v>0</v>
      </c>
      <c r="J241">
        <f>IF(COUNTIFS('United Data'!$A$3:$A$2150,J$1,'United Data'!$C$3:$C$2150,$A241)&gt;0,1,0)</f>
        <v>0</v>
      </c>
      <c r="K241">
        <f>IF(COUNTIFS('United Data'!$A$3:$A$2150,K$1,'United Data'!$C$3:$C$2150,$A241)&gt;0,1,0)</f>
        <v>0</v>
      </c>
      <c r="L241">
        <f>IF(COUNTIFS('United Data'!$A$3:$A$2150,L$1,'United Data'!$C$3:$C$2150,$A241)&gt;0,1,0)</f>
        <v>0</v>
      </c>
      <c r="M241">
        <f>IF(COUNTIFS('United Data'!$A$3:$A$2150,M$1,'United Data'!$C$3:$C$2150,$A241)&gt;0,1,0)</f>
        <v>0</v>
      </c>
      <c r="N241">
        <f>IF(COUNTIFS('United Data'!$A$3:$A$2150,N$1,'United Data'!$C$3:$C$2150,$A241)&gt;0,1,0)</f>
        <v>1</v>
      </c>
      <c r="O241">
        <f>IF(COUNTIFS('United Data'!$A$3:$A$2150,O$1,'United Data'!$C$3:$C$2150,$A241)&gt;0,1,0)</f>
        <v>0</v>
      </c>
      <c r="P241">
        <f>IF(COUNTIFS('United Data'!$A$3:$A$2150,P$1,'United Data'!$C$3:$C$2150,$A241)&gt;0,1,0)</f>
        <v>0</v>
      </c>
      <c r="Q241">
        <f>IF(COUNTIFS('United Data'!$A$3:$A$2150,Q$1,'United Data'!$C$3:$C$2150,$A241)&gt;0,1,0)</f>
        <v>0</v>
      </c>
      <c r="R241">
        <f>IF(COUNTIFS('United Data'!$A$3:$A$2150,R$1,'United Data'!$C$3:$C$2150,$A241)&gt;0,1,0)</f>
        <v>0</v>
      </c>
      <c r="S241">
        <f t="shared" si="6"/>
        <v>1</v>
      </c>
      <c r="T241">
        <f t="shared" si="7"/>
        <v>1</v>
      </c>
    </row>
    <row r="242" spans="1:20" x14ac:dyDescent="0.2">
      <c r="A242" t="s">
        <v>287</v>
      </c>
      <c r="B242">
        <f>IF(COUNTIFS('United Data'!$A$3:$A$2150,B$1,'United Data'!$C$3:$C$2150,$A242)&gt;0,1,0)</f>
        <v>0</v>
      </c>
      <c r="C242">
        <f>IF(COUNTIFS('United Data'!$A$3:$A$2150,C$1,'United Data'!$C$3:$C$2150,$A242)&gt;0,1,0)</f>
        <v>0</v>
      </c>
      <c r="D242">
        <f>IF(COUNTIFS('United Data'!$A$3:$A$2150,D$1,'United Data'!$C$3:$C$2150,$A242)&gt;0,1,0)</f>
        <v>0</v>
      </c>
      <c r="E242">
        <f>IF(COUNTIFS('United Data'!$A$3:$A$2150,E$1,'United Data'!$C$3:$C$2150,$A242)&gt;0,1,0)</f>
        <v>0</v>
      </c>
      <c r="F242">
        <f>IF(COUNTIFS('United Data'!$A$3:$A$2150,F$1,'United Data'!$C$3:$C$2150,$A242)&gt;0,1,0)</f>
        <v>0</v>
      </c>
      <c r="G242">
        <f>IF(COUNTIFS('United Data'!$A$3:$A$2150,G$1,'United Data'!$C$3:$C$2150,$A242)&gt;0,1,0)</f>
        <v>0</v>
      </c>
      <c r="H242">
        <f>IF(COUNTIFS('United Data'!$A$3:$A$2150,H$1,'United Data'!$C$3:$C$2150,$A242)&gt;0,1,0)</f>
        <v>0</v>
      </c>
      <c r="I242">
        <f>IF(COUNTIFS('United Data'!$A$3:$A$2150,I$1,'United Data'!$C$3:$C$2150,$A242)&gt;0,1,0)</f>
        <v>0</v>
      </c>
      <c r="J242">
        <f>IF(COUNTIFS('United Data'!$A$3:$A$2150,J$1,'United Data'!$C$3:$C$2150,$A242)&gt;0,1,0)</f>
        <v>0</v>
      </c>
      <c r="K242">
        <f>IF(COUNTIFS('United Data'!$A$3:$A$2150,K$1,'United Data'!$C$3:$C$2150,$A242)&gt;0,1,0)</f>
        <v>0</v>
      </c>
      <c r="L242">
        <f>IF(COUNTIFS('United Data'!$A$3:$A$2150,L$1,'United Data'!$C$3:$C$2150,$A242)&gt;0,1,0)</f>
        <v>0</v>
      </c>
      <c r="M242">
        <f>IF(COUNTIFS('United Data'!$A$3:$A$2150,M$1,'United Data'!$C$3:$C$2150,$A242)&gt;0,1,0)</f>
        <v>0</v>
      </c>
      <c r="N242">
        <f>IF(COUNTIFS('United Data'!$A$3:$A$2150,N$1,'United Data'!$C$3:$C$2150,$A242)&gt;0,1,0)</f>
        <v>0</v>
      </c>
      <c r="O242">
        <f>IF(COUNTIFS('United Data'!$A$3:$A$2150,O$1,'United Data'!$C$3:$C$2150,$A242)&gt;0,1,0)</f>
        <v>1</v>
      </c>
      <c r="P242">
        <f>IF(COUNTIFS('United Data'!$A$3:$A$2150,P$1,'United Data'!$C$3:$C$2150,$A242)&gt;0,1,0)</f>
        <v>0</v>
      </c>
      <c r="Q242">
        <f>IF(COUNTIFS('United Data'!$A$3:$A$2150,Q$1,'United Data'!$C$3:$C$2150,$A242)&gt;0,1,0)</f>
        <v>0</v>
      </c>
      <c r="R242">
        <f>IF(COUNTIFS('United Data'!$A$3:$A$2150,R$1,'United Data'!$C$3:$C$2150,$A242)&gt;0,1,0)</f>
        <v>0</v>
      </c>
      <c r="S242">
        <f t="shared" si="6"/>
        <v>1</v>
      </c>
      <c r="T242">
        <f t="shared" si="7"/>
        <v>1</v>
      </c>
    </row>
    <row r="243" spans="1:20" x14ac:dyDescent="0.2">
      <c r="A243" t="s">
        <v>288</v>
      </c>
      <c r="B243">
        <f>IF(COUNTIFS('United Data'!$A$3:$A$2150,B$1,'United Data'!$C$3:$C$2150,$A243)&gt;0,1,0)</f>
        <v>0</v>
      </c>
      <c r="C243">
        <f>IF(COUNTIFS('United Data'!$A$3:$A$2150,C$1,'United Data'!$C$3:$C$2150,$A243)&gt;0,1,0)</f>
        <v>0</v>
      </c>
      <c r="D243">
        <f>IF(COUNTIFS('United Data'!$A$3:$A$2150,D$1,'United Data'!$C$3:$C$2150,$A243)&gt;0,1,0)</f>
        <v>0</v>
      </c>
      <c r="E243">
        <f>IF(COUNTIFS('United Data'!$A$3:$A$2150,E$1,'United Data'!$C$3:$C$2150,$A243)&gt;0,1,0)</f>
        <v>0</v>
      </c>
      <c r="F243">
        <f>IF(COUNTIFS('United Data'!$A$3:$A$2150,F$1,'United Data'!$C$3:$C$2150,$A243)&gt;0,1,0)</f>
        <v>0</v>
      </c>
      <c r="G243">
        <f>IF(COUNTIFS('United Data'!$A$3:$A$2150,G$1,'United Data'!$C$3:$C$2150,$A243)&gt;0,1,0)</f>
        <v>0</v>
      </c>
      <c r="H243">
        <f>IF(COUNTIFS('United Data'!$A$3:$A$2150,H$1,'United Data'!$C$3:$C$2150,$A243)&gt;0,1,0)</f>
        <v>0</v>
      </c>
      <c r="I243">
        <f>IF(COUNTIFS('United Data'!$A$3:$A$2150,I$1,'United Data'!$C$3:$C$2150,$A243)&gt;0,1,0)</f>
        <v>0</v>
      </c>
      <c r="J243">
        <f>IF(COUNTIFS('United Data'!$A$3:$A$2150,J$1,'United Data'!$C$3:$C$2150,$A243)&gt;0,1,0)</f>
        <v>0</v>
      </c>
      <c r="K243">
        <f>IF(COUNTIFS('United Data'!$A$3:$A$2150,K$1,'United Data'!$C$3:$C$2150,$A243)&gt;0,1,0)</f>
        <v>0</v>
      </c>
      <c r="L243">
        <f>IF(COUNTIFS('United Data'!$A$3:$A$2150,L$1,'United Data'!$C$3:$C$2150,$A243)&gt;0,1,0)</f>
        <v>0</v>
      </c>
      <c r="M243">
        <f>IF(COUNTIFS('United Data'!$A$3:$A$2150,M$1,'United Data'!$C$3:$C$2150,$A243)&gt;0,1,0)</f>
        <v>0</v>
      </c>
      <c r="N243">
        <f>IF(COUNTIFS('United Data'!$A$3:$A$2150,N$1,'United Data'!$C$3:$C$2150,$A243)&gt;0,1,0)</f>
        <v>0</v>
      </c>
      <c r="O243">
        <f>IF(COUNTIFS('United Data'!$A$3:$A$2150,O$1,'United Data'!$C$3:$C$2150,$A243)&gt;0,1,0)</f>
        <v>1</v>
      </c>
      <c r="P243">
        <f>IF(COUNTIFS('United Data'!$A$3:$A$2150,P$1,'United Data'!$C$3:$C$2150,$A243)&gt;0,1,0)</f>
        <v>0</v>
      </c>
      <c r="Q243">
        <f>IF(COUNTIFS('United Data'!$A$3:$A$2150,Q$1,'United Data'!$C$3:$C$2150,$A243)&gt;0,1,0)</f>
        <v>0</v>
      </c>
      <c r="R243">
        <f>IF(COUNTIFS('United Data'!$A$3:$A$2150,R$1,'United Data'!$C$3:$C$2150,$A243)&gt;0,1,0)</f>
        <v>0</v>
      </c>
      <c r="S243">
        <f t="shared" si="6"/>
        <v>1</v>
      </c>
      <c r="T243">
        <f t="shared" si="7"/>
        <v>1</v>
      </c>
    </row>
    <row r="244" spans="1:20" x14ac:dyDescent="0.2">
      <c r="A244" t="s">
        <v>289</v>
      </c>
      <c r="B244">
        <f>IF(COUNTIFS('United Data'!$A$3:$A$2150,B$1,'United Data'!$C$3:$C$2150,$A244)&gt;0,1,0)</f>
        <v>0</v>
      </c>
      <c r="C244">
        <f>IF(COUNTIFS('United Data'!$A$3:$A$2150,C$1,'United Data'!$C$3:$C$2150,$A244)&gt;0,1,0)</f>
        <v>0</v>
      </c>
      <c r="D244">
        <f>IF(COUNTIFS('United Data'!$A$3:$A$2150,D$1,'United Data'!$C$3:$C$2150,$A244)&gt;0,1,0)</f>
        <v>0</v>
      </c>
      <c r="E244">
        <f>IF(COUNTIFS('United Data'!$A$3:$A$2150,E$1,'United Data'!$C$3:$C$2150,$A244)&gt;0,1,0)</f>
        <v>0</v>
      </c>
      <c r="F244">
        <f>IF(COUNTIFS('United Data'!$A$3:$A$2150,F$1,'United Data'!$C$3:$C$2150,$A244)&gt;0,1,0)</f>
        <v>0</v>
      </c>
      <c r="G244">
        <f>IF(COUNTIFS('United Data'!$A$3:$A$2150,G$1,'United Data'!$C$3:$C$2150,$A244)&gt;0,1,0)</f>
        <v>0</v>
      </c>
      <c r="H244">
        <f>IF(COUNTIFS('United Data'!$A$3:$A$2150,H$1,'United Data'!$C$3:$C$2150,$A244)&gt;0,1,0)</f>
        <v>0</v>
      </c>
      <c r="I244">
        <f>IF(COUNTIFS('United Data'!$A$3:$A$2150,I$1,'United Data'!$C$3:$C$2150,$A244)&gt;0,1,0)</f>
        <v>0</v>
      </c>
      <c r="J244">
        <f>IF(COUNTIFS('United Data'!$A$3:$A$2150,J$1,'United Data'!$C$3:$C$2150,$A244)&gt;0,1,0)</f>
        <v>0</v>
      </c>
      <c r="K244">
        <f>IF(COUNTIFS('United Data'!$A$3:$A$2150,K$1,'United Data'!$C$3:$C$2150,$A244)&gt;0,1,0)</f>
        <v>0</v>
      </c>
      <c r="L244">
        <f>IF(COUNTIFS('United Data'!$A$3:$A$2150,L$1,'United Data'!$C$3:$C$2150,$A244)&gt;0,1,0)</f>
        <v>0</v>
      </c>
      <c r="M244">
        <f>IF(COUNTIFS('United Data'!$A$3:$A$2150,M$1,'United Data'!$C$3:$C$2150,$A244)&gt;0,1,0)</f>
        <v>0</v>
      </c>
      <c r="N244">
        <f>IF(COUNTIFS('United Data'!$A$3:$A$2150,N$1,'United Data'!$C$3:$C$2150,$A244)&gt;0,1,0)</f>
        <v>0</v>
      </c>
      <c r="O244">
        <f>IF(COUNTIFS('United Data'!$A$3:$A$2150,O$1,'United Data'!$C$3:$C$2150,$A244)&gt;0,1,0)</f>
        <v>1</v>
      </c>
      <c r="P244">
        <f>IF(COUNTIFS('United Data'!$A$3:$A$2150,P$1,'United Data'!$C$3:$C$2150,$A244)&gt;0,1,0)</f>
        <v>0</v>
      </c>
      <c r="Q244">
        <f>IF(COUNTIFS('United Data'!$A$3:$A$2150,Q$1,'United Data'!$C$3:$C$2150,$A244)&gt;0,1,0)</f>
        <v>0</v>
      </c>
      <c r="R244">
        <f>IF(COUNTIFS('United Data'!$A$3:$A$2150,R$1,'United Data'!$C$3:$C$2150,$A244)&gt;0,1,0)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290</v>
      </c>
      <c r="B245">
        <f>IF(COUNTIFS('United Data'!$A$3:$A$2150,B$1,'United Data'!$C$3:$C$2150,$A245)&gt;0,1,0)</f>
        <v>0</v>
      </c>
      <c r="C245">
        <f>IF(COUNTIFS('United Data'!$A$3:$A$2150,C$1,'United Data'!$C$3:$C$2150,$A245)&gt;0,1,0)</f>
        <v>0</v>
      </c>
      <c r="D245">
        <f>IF(COUNTIFS('United Data'!$A$3:$A$2150,D$1,'United Data'!$C$3:$C$2150,$A245)&gt;0,1,0)</f>
        <v>0</v>
      </c>
      <c r="E245">
        <f>IF(COUNTIFS('United Data'!$A$3:$A$2150,E$1,'United Data'!$C$3:$C$2150,$A245)&gt;0,1,0)</f>
        <v>0</v>
      </c>
      <c r="F245">
        <f>IF(COUNTIFS('United Data'!$A$3:$A$2150,F$1,'United Data'!$C$3:$C$2150,$A245)&gt;0,1,0)</f>
        <v>0</v>
      </c>
      <c r="G245">
        <f>IF(COUNTIFS('United Data'!$A$3:$A$2150,G$1,'United Data'!$C$3:$C$2150,$A245)&gt;0,1,0)</f>
        <v>0</v>
      </c>
      <c r="H245">
        <f>IF(COUNTIFS('United Data'!$A$3:$A$2150,H$1,'United Data'!$C$3:$C$2150,$A245)&gt;0,1,0)</f>
        <v>0</v>
      </c>
      <c r="I245">
        <f>IF(COUNTIFS('United Data'!$A$3:$A$2150,I$1,'United Data'!$C$3:$C$2150,$A245)&gt;0,1,0)</f>
        <v>0</v>
      </c>
      <c r="J245">
        <f>IF(COUNTIFS('United Data'!$A$3:$A$2150,J$1,'United Data'!$C$3:$C$2150,$A245)&gt;0,1,0)</f>
        <v>0</v>
      </c>
      <c r="K245">
        <f>IF(COUNTIFS('United Data'!$A$3:$A$2150,K$1,'United Data'!$C$3:$C$2150,$A245)&gt;0,1,0)</f>
        <v>0</v>
      </c>
      <c r="L245">
        <f>IF(COUNTIFS('United Data'!$A$3:$A$2150,L$1,'United Data'!$C$3:$C$2150,$A245)&gt;0,1,0)</f>
        <v>0</v>
      </c>
      <c r="M245">
        <f>IF(COUNTIFS('United Data'!$A$3:$A$2150,M$1,'United Data'!$C$3:$C$2150,$A245)&gt;0,1,0)</f>
        <v>0</v>
      </c>
      <c r="N245">
        <f>IF(COUNTIFS('United Data'!$A$3:$A$2150,N$1,'United Data'!$C$3:$C$2150,$A245)&gt;0,1,0)</f>
        <v>0</v>
      </c>
      <c r="O245">
        <f>IF(COUNTIFS('United Data'!$A$3:$A$2150,O$1,'United Data'!$C$3:$C$2150,$A245)&gt;0,1,0)</f>
        <v>1</v>
      </c>
      <c r="P245">
        <f>IF(COUNTIFS('United Data'!$A$3:$A$2150,P$1,'United Data'!$C$3:$C$2150,$A245)&gt;0,1,0)</f>
        <v>0</v>
      </c>
      <c r="Q245">
        <f>IF(COUNTIFS('United Data'!$A$3:$A$2150,Q$1,'United Data'!$C$3:$C$2150,$A245)&gt;0,1,0)</f>
        <v>0</v>
      </c>
      <c r="R245">
        <f>IF(COUNTIFS('United Data'!$A$3:$A$2150,R$1,'United Data'!$C$3:$C$2150,$A245)&gt;0,1,0)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291</v>
      </c>
      <c r="B246">
        <f>IF(COUNTIFS('United Data'!$A$3:$A$2150,B$1,'United Data'!$C$3:$C$2150,$A246)&gt;0,1,0)</f>
        <v>0</v>
      </c>
      <c r="C246">
        <f>IF(COUNTIFS('United Data'!$A$3:$A$2150,C$1,'United Data'!$C$3:$C$2150,$A246)&gt;0,1,0)</f>
        <v>0</v>
      </c>
      <c r="D246">
        <f>IF(COUNTIFS('United Data'!$A$3:$A$2150,D$1,'United Data'!$C$3:$C$2150,$A246)&gt;0,1,0)</f>
        <v>0</v>
      </c>
      <c r="E246">
        <f>IF(COUNTIFS('United Data'!$A$3:$A$2150,E$1,'United Data'!$C$3:$C$2150,$A246)&gt;0,1,0)</f>
        <v>0</v>
      </c>
      <c r="F246">
        <f>IF(COUNTIFS('United Data'!$A$3:$A$2150,F$1,'United Data'!$C$3:$C$2150,$A246)&gt;0,1,0)</f>
        <v>0</v>
      </c>
      <c r="G246">
        <f>IF(COUNTIFS('United Data'!$A$3:$A$2150,G$1,'United Data'!$C$3:$C$2150,$A246)&gt;0,1,0)</f>
        <v>0</v>
      </c>
      <c r="H246">
        <f>IF(COUNTIFS('United Data'!$A$3:$A$2150,H$1,'United Data'!$C$3:$C$2150,$A246)&gt;0,1,0)</f>
        <v>0</v>
      </c>
      <c r="I246">
        <f>IF(COUNTIFS('United Data'!$A$3:$A$2150,I$1,'United Data'!$C$3:$C$2150,$A246)&gt;0,1,0)</f>
        <v>0</v>
      </c>
      <c r="J246">
        <f>IF(COUNTIFS('United Data'!$A$3:$A$2150,J$1,'United Data'!$C$3:$C$2150,$A246)&gt;0,1,0)</f>
        <v>0</v>
      </c>
      <c r="K246">
        <f>IF(COUNTIFS('United Data'!$A$3:$A$2150,K$1,'United Data'!$C$3:$C$2150,$A246)&gt;0,1,0)</f>
        <v>0</v>
      </c>
      <c r="L246">
        <f>IF(COUNTIFS('United Data'!$A$3:$A$2150,L$1,'United Data'!$C$3:$C$2150,$A246)&gt;0,1,0)</f>
        <v>0</v>
      </c>
      <c r="M246">
        <f>IF(COUNTIFS('United Data'!$A$3:$A$2150,M$1,'United Data'!$C$3:$C$2150,$A246)&gt;0,1,0)</f>
        <v>0</v>
      </c>
      <c r="N246">
        <f>IF(COUNTIFS('United Data'!$A$3:$A$2150,N$1,'United Data'!$C$3:$C$2150,$A246)&gt;0,1,0)</f>
        <v>0</v>
      </c>
      <c r="O246">
        <f>IF(COUNTIFS('United Data'!$A$3:$A$2150,O$1,'United Data'!$C$3:$C$2150,$A246)&gt;0,1,0)</f>
        <v>1</v>
      </c>
      <c r="P246">
        <f>IF(COUNTIFS('United Data'!$A$3:$A$2150,P$1,'United Data'!$C$3:$C$2150,$A246)&gt;0,1,0)</f>
        <v>1</v>
      </c>
      <c r="Q246">
        <f>IF(COUNTIFS('United Data'!$A$3:$A$2150,Q$1,'United Data'!$C$3:$C$2150,$A246)&gt;0,1,0)</f>
        <v>1</v>
      </c>
      <c r="R246">
        <f>IF(COUNTIFS('United Data'!$A$3:$A$2150,R$1,'United Data'!$C$3:$C$2150,$A246)&gt;0,1,0)</f>
        <v>0</v>
      </c>
      <c r="S246">
        <f t="shared" si="6"/>
        <v>3</v>
      </c>
      <c r="T246">
        <f t="shared" si="7"/>
        <v>1</v>
      </c>
    </row>
    <row r="247" spans="1:20" x14ac:dyDescent="0.2">
      <c r="A247" t="s">
        <v>292</v>
      </c>
      <c r="B247">
        <f>IF(COUNTIFS('United Data'!$A$3:$A$2150,B$1,'United Data'!$C$3:$C$2150,$A247)&gt;0,1,0)</f>
        <v>0</v>
      </c>
      <c r="C247">
        <f>IF(COUNTIFS('United Data'!$A$3:$A$2150,C$1,'United Data'!$C$3:$C$2150,$A247)&gt;0,1,0)</f>
        <v>0</v>
      </c>
      <c r="D247">
        <f>IF(COUNTIFS('United Data'!$A$3:$A$2150,D$1,'United Data'!$C$3:$C$2150,$A247)&gt;0,1,0)</f>
        <v>0</v>
      </c>
      <c r="E247">
        <f>IF(COUNTIFS('United Data'!$A$3:$A$2150,E$1,'United Data'!$C$3:$C$2150,$A247)&gt;0,1,0)</f>
        <v>0</v>
      </c>
      <c r="F247">
        <f>IF(COUNTIFS('United Data'!$A$3:$A$2150,F$1,'United Data'!$C$3:$C$2150,$A247)&gt;0,1,0)</f>
        <v>0</v>
      </c>
      <c r="G247">
        <f>IF(COUNTIFS('United Data'!$A$3:$A$2150,G$1,'United Data'!$C$3:$C$2150,$A247)&gt;0,1,0)</f>
        <v>0</v>
      </c>
      <c r="H247">
        <f>IF(COUNTIFS('United Data'!$A$3:$A$2150,H$1,'United Data'!$C$3:$C$2150,$A247)&gt;0,1,0)</f>
        <v>0</v>
      </c>
      <c r="I247">
        <f>IF(COUNTIFS('United Data'!$A$3:$A$2150,I$1,'United Data'!$C$3:$C$2150,$A247)&gt;0,1,0)</f>
        <v>0</v>
      </c>
      <c r="J247">
        <f>IF(COUNTIFS('United Data'!$A$3:$A$2150,J$1,'United Data'!$C$3:$C$2150,$A247)&gt;0,1,0)</f>
        <v>0</v>
      </c>
      <c r="K247">
        <f>IF(COUNTIFS('United Data'!$A$3:$A$2150,K$1,'United Data'!$C$3:$C$2150,$A247)&gt;0,1,0)</f>
        <v>0</v>
      </c>
      <c r="L247">
        <f>IF(COUNTIFS('United Data'!$A$3:$A$2150,L$1,'United Data'!$C$3:$C$2150,$A247)&gt;0,1,0)</f>
        <v>0</v>
      </c>
      <c r="M247">
        <f>IF(COUNTIFS('United Data'!$A$3:$A$2150,M$1,'United Data'!$C$3:$C$2150,$A247)&gt;0,1,0)</f>
        <v>0</v>
      </c>
      <c r="N247">
        <f>IF(COUNTIFS('United Data'!$A$3:$A$2150,N$1,'United Data'!$C$3:$C$2150,$A247)&gt;0,1,0)</f>
        <v>0</v>
      </c>
      <c r="O247">
        <f>IF(COUNTIFS('United Data'!$A$3:$A$2150,O$1,'United Data'!$C$3:$C$2150,$A247)&gt;0,1,0)</f>
        <v>1</v>
      </c>
      <c r="P247">
        <f>IF(COUNTIFS('United Data'!$A$3:$A$2150,P$1,'United Data'!$C$3:$C$2150,$A247)&gt;0,1,0)</f>
        <v>1</v>
      </c>
      <c r="Q247">
        <f>IF(COUNTIFS('United Data'!$A$3:$A$2150,Q$1,'United Data'!$C$3:$C$2150,$A247)&gt;0,1,0)</f>
        <v>0</v>
      </c>
      <c r="R247">
        <f>IF(COUNTIFS('United Data'!$A$3:$A$2150,R$1,'United Data'!$C$3:$C$2150,$A247)&gt;0,1,0)</f>
        <v>0</v>
      </c>
      <c r="S247">
        <f t="shared" si="6"/>
        <v>2</v>
      </c>
      <c r="T247">
        <f t="shared" si="7"/>
        <v>1</v>
      </c>
    </row>
    <row r="248" spans="1:20" x14ac:dyDescent="0.2">
      <c r="A248" t="s">
        <v>293</v>
      </c>
      <c r="B248">
        <f>IF(COUNTIFS('United Data'!$A$3:$A$2150,B$1,'United Data'!$C$3:$C$2150,$A248)&gt;0,1,0)</f>
        <v>0</v>
      </c>
      <c r="C248">
        <f>IF(COUNTIFS('United Data'!$A$3:$A$2150,C$1,'United Data'!$C$3:$C$2150,$A248)&gt;0,1,0)</f>
        <v>0</v>
      </c>
      <c r="D248">
        <f>IF(COUNTIFS('United Data'!$A$3:$A$2150,D$1,'United Data'!$C$3:$C$2150,$A248)&gt;0,1,0)</f>
        <v>0</v>
      </c>
      <c r="E248">
        <f>IF(COUNTIFS('United Data'!$A$3:$A$2150,E$1,'United Data'!$C$3:$C$2150,$A248)&gt;0,1,0)</f>
        <v>0</v>
      </c>
      <c r="F248">
        <f>IF(COUNTIFS('United Data'!$A$3:$A$2150,F$1,'United Data'!$C$3:$C$2150,$A248)&gt;0,1,0)</f>
        <v>0</v>
      </c>
      <c r="G248">
        <f>IF(COUNTIFS('United Data'!$A$3:$A$2150,G$1,'United Data'!$C$3:$C$2150,$A248)&gt;0,1,0)</f>
        <v>0</v>
      </c>
      <c r="H248">
        <f>IF(COUNTIFS('United Data'!$A$3:$A$2150,H$1,'United Data'!$C$3:$C$2150,$A248)&gt;0,1,0)</f>
        <v>0</v>
      </c>
      <c r="I248">
        <f>IF(COUNTIFS('United Data'!$A$3:$A$2150,I$1,'United Data'!$C$3:$C$2150,$A248)&gt;0,1,0)</f>
        <v>0</v>
      </c>
      <c r="J248">
        <f>IF(COUNTIFS('United Data'!$A$3:$A$2150,J$1,'United Data'!$C$3:$C$2150,$A248)&gt;0,1,0)</f>
        <v>0</v>
      </c>
      <c r="K248">
        <f>IF(COUNTIFS('United Data'!$A$3:$A$2150,K$1,'United Data'!$C$3:$C$2150,$A248)&gt;0,1,0)</f>
        <v>0</v>
      </c>
      <c r="L248">
        <f>IF(COUNTIFS('United Data'!$A$3:$A$2150,L$1,'United Data'!$C$3:$C$2150,$A248)&gt;0,1,0)</f>
        <v>0</v>
      </c>
      <c r="M248">
        <f>IF(COUNTIFS('United Data'!$A$3:$A$2150,M$1,'United Data'!$C$3:$C$2150,$A248)&gt;0,1,0)</f>
        <v>0</v>
      </c>
      <c r="N248">
        <f>IF(COUNTIFS('United Data'!$A$3:$A$2150,N$1,'United Data'!$C$3:$C$2150,$A248)&gt;0,1,0)</f>
        <v>0</v>
      </c>
      <c r="O248">
        <f>IF(COUNTIFS('United Data'!$A$3:$A$2150,O$1,'United Data'!$C$3:$C$2150,$A248)&gt;0,1,0)</f>
        <v>1</v>
      </c>
      <c r="P248">
        <f>IF(COUNTIFS('United Data'!$A$3:$A$2150,P$1,'United Data'!$C$3:$C$2150,$A248)&gt;0,1,0)</f>
        <v>0</v>
      </c>
      <c r="Q248">
        <f>IF(COUNTIFS('United Data'!$A$3:$A$2150,Q$1,'United Data'!$C$3:$C$2150,$A248)&gt;0,1,0)</f>
        <v>0</v>
      </c>
      <c r="R248">
        <f>IF(COUNTIFS('United Data'!$A$3:$A$2150,R$1,'United Data'!$C$3:$C$2150,$A248)&gt;0,1,0)</f>
        <v>0</v>
      </c>
      <c r="S248">
        <f t="shared" si="6"/>
        <v>1</v>
      </c>
      <c r="T248">
        <f t="shared" si="7"/>
        <v>1</v>
      </c>
    </row>
    <row r="249" spans="1:20" x14ac:dyDescent="0.2">
      <c r="A249" t="s">
        <v>294</v>
      </c>
      <c r="B249">
        <f>IF(COUNTIFS('United Data'!$A$3:$A$2150,B$1,'United Data'!$C$3:$C$2150,$A249)&gt;0,1,0)</f>
        <v>0</v>
      </c>
      <c r="C249">
        <f>IF(COUNTIFS('United Data'!$A$3:$A$2150,C$1,'United Data'!$C$3:$C$2150,$A249)&gt;0,1,0)</f>
        <v>0</v>
      </c>
      <c r="D249">
        <f>IF(COUNTIFS('United Data'!$A$3:$A$2150,D$1,'United Data'!$C$3:$C$2150,$A249)&gt;0,1,0)</f>
        <v>0</v>
      </c>
      <c r="E249">
        <f>IF(COUNTIFS('United Data'!$A$3:$A$2150,E$1,'United Data'!$C$3:$C$2150,$A249)&gt;0,1,0)</f>
        <v>0</v>
      </c>
      <c r="F249">
        <f>IF(COUNTIFS('United Data'!$A$3:$A$2150,F$1,'United Data'!$C$3:$C$2150,$A249)&gt;0,1,0)</f>
        <v>0</v>
      </c>
      <c r="G249">
        <f>IF(COUNTIFS('United Data'!$A$3:$A$2150,G$1,'United Data'!$C$3:$C$2150,$A249)&gt;0,1,0)</f>
        <v>0</v>
      </c>
      <c r="H249">
        <f>IF(COUNTIFS('United Data'!$A$3:$A$2150,H$1,'United Data'!$C$3:$C$2150,$A249)&gt;0,1,0)</f>
        <v>0</v>
      </c>
      <c r="I249">
        <f>IF(COUNTIFS('United Data'!$A$3:$A$2150,I$1,'United Data'!$C$3:$C$2150,$A249)&gt;0,1,0)</f>
        <v>0</v>
      </c>
      <c r="J249">
        <f>IF(COUNTIFS('United Data'!$A$3:$A$2150,J$1,'United Data'!$C$3:$C$2150,$A249)&gt;0,1,0)</f>
        <v>0</v>
      </c>
      <c r="K249">
        <f>IF(COUNTIFS('United Data'!$A$3:$A$2150,K$1,'United Data'!$C$3:$C$2150,$A249)&gt;0,1,0)</f>
        <v>0</v>
      </c>
      <c r="L249">
        <f>IF(COUNTIFS('United Data'!$A$3:$A$2150,L$1,'United Data'!$C$3:$C$2150,$A249)&gt;0,1,0)</f>
        <v>0</v>
      </c>
      <c r="M249">
        <f>IF(COUNTIFS('United Data'!$A$3:$A$2150,M$1,'United Data'!$C$3:$C$2150,$A249)&gt;0,1,0)</f>
        <v>0</v>
      </c>
      <c r="N249">
        <f>IF(COUNTIFS('United Data'!$A$3:$A$2150,N$1,'United Data'!$C$3:$C$2150,$A249)&gt;0,1,0)</f>
        <v>0</v>
      </c>
      <c r="O249">
        <f>IF(COUNTIFS('United Data'!$A$3:$A$2150,O$1,'United Data'!$C$3:$C$2150,$A249)&gt;0,1,0)</f>
        <v>0</v>
      </c>
      <c r="P249">
        <f>IF(COUNTIFS('United Data'!$A$3:$A$2150,P$1,'United Data'!$C$3:$C$2150,$A249)&gt;0,1,0)</f>
        <v>1</v>
      </c>
      <c r="Q249">
        <f>IF(COUNTIFS('United Data'!$A$3:$A$2150,Q$1,'United Data'!$C$3:$C$2150,$A249)&gt;0,1,0)</f>
        <v>1</v>
      </c>
      <c r="R249">
        <f>IF(COUNTIFS('United Data'!$A$3:$A$2150,R$1,'United Data'!$C$3:$C$2150,$A249)&gt;0,1,0)</f>
        <v>0</v>
      </c>
      <c r="S249">
        <f t="shared" si="6"/>
        <v>2</v>
      </c>
      <c r="T249">
        <f t="shared" si="7"/>
        <v>1</v>
      </c>
    </row>
    <row r="250" spans="1:20" x14ac:dyDescent="0.2">
      <c r="A250" t="s">
        <v>295</v>
      </c>
      <c r="B250">
        <f>IF(COUNTIFS('United Data'!$A$3:$A$2150,B$1,'United Data'!$C$3:$C$2150,$A250)&gt;0,1,0)</f>
        <v>0</v>
      </c>
      <c r="C250">
        <f>IF(COUNTIFS('United Data'!$A$3:$A$2150,C$1,'United Data'!$C$3:$C$2150,$A250)&gt;0,1,0)</f>
        <v>0</v>
      </c>
      <c r="D250">
        <f>IF(COUNTIFS('United Data'!$A$3:$A$2150,D$1,'United Data'!$C$3:$C$2150,$A250)&gt;0,1,0)</f>
        <v>0</v>
      </c>
      <c r="E250">
        <f>IF(COUNTIFS('United Data'!$A$3:$A$2150,E$1,'United Data'!$C$3:$C$2150,$A250)&gt;0,1,0)</f>
        <v>0</v>
      </c>
      <c r="F250">
        <f>IF(COUNTIFS('United Data'!$A$3:$A$2150,F$1,'United Data'!$C$3:$C$2150,$A250)&gt;0,1,0)</f>
        <v>0</v>
      </c>
      <c r="G250">
        <f>IF(COUNTIFS('United Data'!$A$3:$A$2150,G$1,'United Data'!$C$3:$C$2150,$A250)&gt;0,1,0)</f>
        <v>0</v>
      </c>
      <c r="H250">
        <f>IF(COUNTIFS('United Data'!$A$3:$A$2150,H$1,'United Data'!$C$3:$C$2150,$A250)&gt;0,1,0)</f>
        <v>0</v>
      </c>
      <c r="I250">
        <f>IF(COUNTIFS('United Data'!$A$3:$A$2150,I$1,'United Data'!$C$3:$C$2150,$A250)&gt;0,1,0)</f>
        <v>0</v>
      </c>
      <c r="J250">
        <f>IF(COUNTIFS('United Data'!$A$3:$A$2150,J$1,'United Data'!$C$3:$C$2150,$A250)&gt;0,1,0)</f>
        <v>0</v>
      </c>
      <c r="K250">
        <f>IF(COUNTIFS('United Data'!$A$3:$A$2150,K$1,'United Data'!$C$3:$C$2150,$A250)&gt;0,1,0)</f>
        <v>0</v>
      </c>
      <c r="L250">
        <f>IF(COUNTIFS('United Data'!$A$3:$A$2150,L$1,'United Data'!$C$3:$C$2150,$A250)&gt;0,1,0)</f>
        <v>0</v>
      </c>
      <c r="M250">
        <f>IF(COUNTIFS('United Data'!$A$3:$A$2150,M$1,'United Data'!$C$3:$C$2150,$A250)&gt;0,1,0)</f>
        <v>0</v>
      </c>
      <c r="N250">
        <f>IF(COUNTIFS('United Data'!$A$3:$A$2150,N$1,'United Data'!$C$3:$C$2150,$A250)&gt;0,1,0)</f>
        <v>0</v>
      </c>
      <c r="O250">
        <f>IF(COUNTIFS('United Data'!$A$3:$A$2150,O$1,'United Data'!$C$3:$C$2150,$A250)&gt;0,1,0)</f>
        <v>0</v>
      </c>
      <c r="P250">
        <f>IF(COUNTIFS('United Data'!$A$3:$A$2150,P$1,'United Data'!$C$3:$C$2150,$A250)&gt;0,1,0)</f>
        <v>0</v>
      </c>
      <c r="Q250">
        <f>IF(COUNTIFS('United Data'!$A$3:$A$2150,Q$1,'United Data'!$C$3:$C$2150,$A250)&gt;0,1,0)</f>
        <v>1</v>
      </c>
      <c r="R250">
        <f>IF(COUNTIFS('United Data'!$A$3:$A$2150,R$1,'United Data'!$C$3:$C$2150,$A250)&gt;0,1,0)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296</v>
      </c>
      <c r="B251">
        <f>IF(COUNTIFS('United Data'!$A$3:$A$2150,B$1,'United Data'!$C$3:$C$2150,$A251)&gt;0,1,0)</f>
        <v>1</v>
      </c>
      <c r="C251">
        <f>IF(COUNTIFS('United Data'!$A$3:$A$2150,C$1,'United Data'!$C$3:$C$2150,$A251)&gt;0,1,0)</f>
        <v>0</v>
      </c>
      <c r="D251">
        <f>IF(COUNTIFS('United Data'!$A$3:$A$2150,D$1,'United Data'!$C$3:$C$2150,$A251)&gt;0,1,0)</f>
        <v>0</v>
      </c>
      <c r="E251">
        <f>IF(COUNTIFS('United Data'!$A$3:$A$2150,E$1,'United Data'!$C$3:$C$2150,$A251)&gt;0,1,0)</f>
        <v>1</v>
      </c>
      <c r="F251">
        <f>IF(COUNTIFS('United Data'!$A$3:$A$2150,F$1,'United Data'!$C$3:$C$2150,$A251)&gt;0,1,0)</f>
        <v>0</v>
      </c>
      <c r="G251">
        <f>IF(COUNTIFS('United Data'!$A$3:$A$2150,G$1,'United Data'!$C$3:$C$2150,$A251)&gt;0,1,0)</f>
        <v>1</v>
      </c>
      <c r="H251">
        <f>IF(COUNTIFS('United Data'!$A$3:$A$2150,H$1,'United Data'!$C$3:$C$2150,$A251)&gt;0,1,0)</f>
        <v>1</v>
      </c>
      <c r="I251">
        <f>IF(COUNTIFS('United Data'!$A$3:$A$2150,I$1,'United Data'!$C$3:$C$2150,$A251)&gt;0,1,0)</f>
        <v>0</v>
      </c>
      <c r="J251">
        <f>IF(COUNTIFS('United Data'!$A$3:$A$2150,J$1,'United Data'!$C$3:$C$2150,$A251)&gt;0,1,0)</f>
        <v>1</v>
      </c>
      <c r="K251">
        <f>IF(COUNTIFS('United Data'!$A$3:$A$2150,K$1,'United Data'!$C$3:$C$2150,$A251)&gt;0,1,0)</f>
        <v>0</v>
      </c>
      <c r="L251">
        <f>IF(COUNTIFS('United Data'!$A$3:$A$2150,L$1,'United Data'!$C$3:$C$2150,$A251)&gt;0,1,0)</f>
        <v>0</v>
      </c>
      <c r="M251">
        <f>IF(COUNTIFS('United Data'!$A$3:$A$2150,M$1,'United Data'!$C$3:$C$2150,$A251)&gt;0,1,0)</f>
        <v>1</v>
      </c>
      <c r="N251">
        <f>IF(COUNTIFS('United Data'!$A$3:$A$2150,N$1,'United Data'!$C$3:$C$2150,$A251)&gt;0,1,0)</f>
        <v>0</v>
      </c>
      <c r="O251">
        <f>IF(COUNTIFS('United Data'!$A$3:$A$2150,O$1,'United Data'!$C$3:$C$2150,$A251)&gt;0,1,0)</f>
        <v>0</v>
      </c>
      <c r="P251">
        <f>IF(COUNTIFS('United Data'!$A$3:$A$2150,P$1,'United Data'!$C$3:$C$2150,$A251)&gt;0,1,0)</f>
        <v>0</v>
      </c>
      <c r="Q251">
        <f>IF(COUNTIFS('United Data'!$A$3:$A$2150,Q$1,'United Data'!$C$3:$C$2150,$A251)&gt;0,1,0)</f>
        <v>0</v>
      </c>
      <c r="R251">
        <f>IF(COUNTIFS('United Data'!$A$3:$A$2150,R$1,'United Data'!$C$3:$C$2150,$A251)&gt;0,1,0)</f>
        <v>0</v>
      </c>
      <c r="S251">
        <f t="shared" si="6"/>
        <v>6</v>
      </c>
      <c r="T251">
        <f t="shared" si="7"/>
        <v>5</v>
      </c>
    </row>
    <row r="252" spans="1:20" x14ac:dyDescent="0.2">
      <c r="A252" t="s">
        <v>297</v>
      </c>
      <c r="B252">
        <f>IF(COUNTIFS('United Data'!$A$3:$A$2150,B$1,'United Data'!$C$3:$C$2150,$A252)&gt;0,1,0)</f>
        <v>0</v>
      </c>
      <c r="C252">
        <f>IF(COUNTIFS('United Data'!$A$3:$A$2150,C$1,'United Data'!$C$3:$C$2150,$A252)&gt;0,1,0)</f>
        <v>1</v>
      </c>
      <c r="D252">
        <f>IF(COUNTIFS('United Data'!$A$3:$A$2150,D$1,'United Data'!$C$3:$C$2150,$A252)&gt;0,1,0)</f>
        <v>0</v>
      </c>
      <c r="E252">
        <f>IF(COUNTIFS('United Data'!$A$3:$A$2150,E$1,'United Data'!$C$3:$C$2150,$A252)&gt;0,1,0)</f>
        <v>0</v>
      </c>
      <c r="F252">
        <f>IF(COUNTIFS('United Data'!$A$3:$A$2150,F$1,'United Data'!$C$3:$C$2150,$A252)&gt;0,1,0)</f>
        <v>0</v>
      </c>
      <c r="G252">
        <f>IF(COUNTIFS('United Data'!$A$3:$A$2150,G$1,'United Data'!$C$3:$C$2150,$A252)&gt;0,1,0)</f>
        <v>0</v>
      </c>
      <c r="H252">
        <f>IF(COUNTIFS('United Data'!$A$3:$A$2150,H$1,'United Data'!$C$3:$C$2150,$A252)&gt;0,1,0)</f>
        <v>0</v>
      </c>
      <c r="I252">
        <f>IF(COUNTIFS('United Data'!$A$3:$A$2150,I$1,'United Data'!$C$3:$C$2150,$A252)&gt;0,1,0)</f>
        <v>0</v>
      </c>
      <c r="J252">
        <f>IF(COUNTIFS('United Data'!$A$3:$A$2150,J$1,'United Data'!$C$3:$C$2150,$A252)&gt;0,1,0)</f>
        <v>0</v>
      </c>
      <c r="K252">
        <f>IF(COUNTIFS('United Data'!$A$3:$A$2150,K$1,'United Data'!$C$3:$C$2150,$A252)&gt;0,1,0)</f>
        <v>0</v>
      </c>
      <c r="L252">
        <f>IF(COUNTIFS('United Data'!$A$3:$A$2150,L$1,'United Data'!$C$3:$C$2150,$A252)&gt;0,1,0)</f>
        <v>0</v>
      </c>
      <c r="M252">
        <f>IF(COUNTIFS('United Data'!$A$3:$A$2150,M$1,'United Data'!$C$3:$C$2150,$A252)&gt;0,1,0)</f>
        <v>0</v>
      </c>
      <c r="N252">
        <f>IF(COUNTIFS('United Data'!$A$3:$A$2150,N$1,'United Data'!$C$3:$C$2150,$A252)&gt;0,1,0)</f>
        <v>0</v>
      </c>
      <c r="O252">
        <f>IF(COUNTIFS('United Data'!$A$3:$A$2150,O$1,'United Data'!$C$3:$C$2150,$A252)&gt;0,1,0)</f>
        <v>0</v>
      </c>
      <c r="P252">
        <f>IF(COUNTIFS('United Data'!$A$3:$A$2150,P$1,'United Data'!$C$3:$C$2150,$A252)&gt;0,1,0)</f>
        <v>0</v>
      </c>
      <c r="Q252">
        <f>IF(COUNTIFS('United Data'!$A$3:$A$2150,Q$1,'United Data'!$C$3:$C$2150,$A252)&gt;0,1,0)</f>
        <v>0</v>
      </c>
      <c r="R252">
        <f>IF(COUNTIFS('United Data'!$A$3:$A$2150,R$1,'United Data'!$C$3:$C$2150,$A252)&gt;0,1,0)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298</v>
      </c>
      <c r="B253">
        <f>IF(COUNTIFS('United Data'!$A$3:$A$2150,B$1,'United Data'!$C$3:$C$2150,$A253)&gt;0,1,0)</f>
        <v>0</v>
      </c>
      <c r="C253">
        <f>IF(COUNTIFS('United Data'!$A$3:$A$2150,C$1,'United Data'!$C$3:$C$2150,$A253)&gt;0,1,0)</f>
        <v>0</v>
      </c>
      <c r="D253">
        <f>IF(COUNTIFS('United Data'!$A$3:$A$2150,D$1,'United Data'!$C$3:$C$2150,$A253)&gt;0,1,0)</f>
        <v>1</v>
      </c>
      <c r="E253">
        <f>IF(COUNTIFS('United Data'!$A$3:$A$2150,E$1,'United Data'!$C$3:$C$2150,$A253)&gt;0,1,0)</f>
        <v>0</v>
      </c>
      <c r="F253">
        <f>IF(COUNTIFS('United Data'!$A$3:$A$2150,F$1,'United Data'!$C$3:$C$2150,$A253)&gt;0,1,0)</f>
        <v>0</v>
      </c>
      <c r="G253">
        <f>IF(COUNTIFS('United Data'!$A$3:$A$2150,G$1,'United Data'!$C$3:$C$2150,$A253)&gt;0,1,0)</f>
        <v>0</v>
      </c>
      <c r="H253">
        <f>IF(COUNTIFS('United Data'!$A$3:$A$2150,H$1,'United Data'!$C$3:$C$2150,$A253)&gt;0,1,0)</f>
        <v>0</v>
      </c>
      <c r="I253">
        <f>IF(COUNTIFS('United Data'!$A$3:$A$2150,I$1,'United Data'!$C$3:$C$2150,$A253)&gt;0,1,0)</f>
        <v>0</v>
      </c>
      <c r="J253">
        <f>IF(COUNTIFS('United Data'!$A$3:$A$2150,J$1,'United Data'!$C$3:$C$2150,$A253)&gt;0,1,0)</f>
        <v>0</v>
      </c>
      <c r="K253">
        <f>IF(COUNTIFS('United Data'!$A$3:$A$2150,K$1,'United Data'!$C$3:$C$2150,$A253)&gt;0,1,0)</f>
        <v>0</v>
      </c>
      <c r="L253">
        <f>IF(COUNTIFS('United Data'!$A$3:$A$2150,L$1,'United Data'!$C$3:$C$2150,$A253)&gt;0,1,0)</f>
        <v>0</v>
      </c>
      <c r="M253">
        <f>IF(COUNTIFS('United Data'!$A$3:$A$2150,M$1,'United Data'!$C$3:$C$2150,$A253)&gt;0,1,0)</f>
        <v>0</v>
      </c>
      <c r="N253">
        <f>IF(COUNTIFS('United Data'!$A$3:$A$2150,N$1,'United Data'!$C$3:$C$2150,$A253)&gt;0,1,0)</f>
        <v>0</v>
      </c>
      <c r="O253">
        <f>IF(COUNTIFS('United Data'!$A$3:$A$2150,O$1,'United Data'!$C$3:$C$2150,$A253)&gt;0,1,0)</f>
        <v>0</v>
      </c>
      <c r="P253">
        <f>IF(COUNTIFS('United Data'!$A$3:$A$2150,P$1,'United Data'!$C$3:$C$2150,$A253)&gt;0,1,0)</f>
        <v>0</v>
      </c>
      <c r="Q253">
        <f>IF(COUNTIFS('United Data'!$A$3:$A$2150,Q$1,'United Data'!$C$3:$C$2150,$A253)&gt;0,1,0)</f>
        <v>0</v>
      </c>
      <c r="R253">
        <f>IF(COUNTIFS('United Data'!$A$3:$A$2150,R$1,'United Data'!$C$3:$C$2150,$A253)&gt;0,1,0)</f>
        <v>0</v>
      </c>
      <c r="S253">
        <f t="shared" si="6"/>
        <v>1</v>
      </c>
      <c r="T253">
        <f t="shared" si="7"/>
        <v>1</v>
      </c>
    </row>
    <row r="254" spans="1:20" x14ac:dyDescent="0.2">
      <c r="A254" t="s">
        <v>978</v>
      </c>
      <c r="B254">
        <f>IF(COUNTIFS('United Data'!$A$3:$A$2150,B$1,'United Data'!$C$3:$C$2150,$A254)&gt;0,1,0)</f>
        <v>0</v>
      </c>
      <c r="C254">
        <f>IF(COUNTIFS('United Data'!$A$3:$A$2150,C$1,'United Data'!$C$3:$C$2150,$A254)&gt;0,1,0)</f>
        <v>0</v>
      </c>
      <c r="D254">
        <f>IF(COUNTIFS('United Data'!$A$3:$A$2150,D$1,'United Data'!$C$3:$C$2150,$A254)&gt;0,1,0)</f>
        <v>0</v>
      </c>
      <c r="E254">
        <f>IF(COUNTIFS('United Data'!$A$3:$A$2150,E$1,'United Data'!$C$3:$C$2150,$A254)&gt;0,1,0)</f>
        <v>0</v>
      </c>
      <c r="F254">
        <f>IF(COUNTIFS('United Data'!$A$3:$A$2150,F$1,'United Data'!$C$3:$C$2150,$A254)&gt;0,1,0)</f>
        <v>1</v>
      </c>
      <c r="G254">
        <f>IF(COUNTIFS('United Data'!$A$3:$A$2150,G$1,'United Data'!$C$3:$C$2150,$A254)&gt;0,1,0)</f>
        <v>0</v>
      </c>
      <c r="H254">
        <f>IF(COUNTIFS('United Data'!$A$3:$A$2150,H$1,'United Data'!$C$3:$C$2150,$A254)&gt;0,1,0)</f>
        <v>0</v>
      </c>
      <c r="I254">
        <f>IF(COUNTIFS('United Data'!$A$3:$A$2150,I$1,'United Data'!$C$3:$C$2150,$A254)&gt;0,1,0)</f>
        <v>0</v>
      </c>
      <c r="J254">
        <f>IF(COUNTIFS('United Data'!$A$3:$A$2150,J$1,'United Data'!$C$3:$C$2150,$A254)&gt;0,1,0)</f>
        <v>0</v>
      </c>
      <c r="K254">
        <f>IF(COUNTIFS('United Data'!$A$3:$A$2150,K$1,'United Data'!$C$3:$C$2150,$A254)&gt;0,1,0)</f>
        <v>0</v>
      </c>
      <c r="L254">
        <f>IF(COUNTIFS('United Data'!$A$3:$A$2150,L$1,'United Data'!$C$3:$C$2150,$A254)&gt;0,1,0)</f>
        <v>0</v>
      </c>
      <c r="M254">
        <f>IF(COUNTIFS('United Data'!$A$3:$A$2150,M$1,'United Data'!$C$3:$C$2150,$A254)&gt;0,1,0)</f>
        <v>0</v>
      </c>
      <c r="N254">
        <f>IF(COUNTIFS('United Data'!$A$3:$A$2150,N$1,'United Data'!$C$3:$C$2150,$A254)&gt;0,1,0)</f>
        <v>0</v>
      </c>
      <c r="O254">
        <f>IF(COUNTIFS('United Data'!$A$3:$A$2150,O$1,'United Data'!$C$3:$C$2150,$A254)&gt;0,1,0)</f>
        <v>0</v>
      </c>
      <c r="P254">
        <f>IF(COUNTIFS('United Data'!$A$3:$A$2150,P$1,'United Data'!$C$3:$C$2150,$A254)&gt;0,1,0)</f>
        <v>0</v>
      </c>
      <c r="Q254">
        <f>IF(COUNTIFS('United Data'!$A$3:$A$2150,Q$1,'United Data'!$C$3:$C$2150,$A254)&gt;0,1,0)</f>
        <v>0</v>
      </c>
      <c r="R254">
        <f>IF(COUNTIFS('United Data'!$A$3:$A$2150,R$1,'United Data'!$C$3:$C$2150,$A254)&gt;0,1,0)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300</v>
      </c>
      <c r="B255">
        <f>IF(COUNTIFS('United Data'!$A$3:$A$2150,B$1,'United Data'!$C$3:$C$2150,$A255)&gt;0,1,0)</f>
        <v>0</v>
      </c>
      <c r="C255">
        <f>IF(COUNTIFS('United Data'!$A$3:$A$2150,C$1,'United Data'!$C$3:$C$2150,$A255)&gt;0,1,0)</f>
        <v>0</v>
      </c>
      <c r="D255">
        <f>IF(COUNTIFS('United Data'!$A$3:$A$2150,D$1,'United Data'!$C$3:$C$2150,$A255)&gt;0,1,0)</f>
        <v>0</v>
      </c>
      <c r="E255">
        <f>IF(COUNTIFS('United Data'!$A$3:$A$2150,E$1,'United Data'!$C$3:$C$2150,$A255)&gt;0,1,0)</f>
        <v>0</v>
      </c>
      <c r="F255">
        <f>IF(COUNTIFS('United Data'!$A$3:$A$2150,F$1,'United Data'!$C$3:$C$2150,$A255)&gt;0,1,0)</f>
        <v>1</v>
      </c>
      <c r="G255">
        <f>IF(COUNTIFS('United Data'!$A$3:$A$2150,G$1,'United Data'!$C$3:$C$2150,$A255)&gt;0,1,0)</f>
        <v>0</v>
      </c>
      <c r="H255">
        <f>IF(COUNTIFS('United Data'!$A$3:$A$2150,H$1,'United Data'!$C$3:$C$2150,$A255)&gt;0,1,0)</f>
        <v>0</v>
      </c>
      <c r="I255">
        <f>IF(COUNTIFS('United Data'!$A$3:$A$2150,I$1,'United Data'!$C$3:$C$2150,$A255)&gt;0,1,0)</f>
        <v>0</v>
      </c>
      <c r="J255">
        <f>IF(COUNTIFS('United Data'!$A$3:$A$2150,J$1,'United Data'!$C$3:$C$2150,$A255)&gt;0,1,0)</f>
        <v>0</v>
      </c>
      <c r="K255">
        <f>IF(COUNTIFS('United Data'!$A$3:$A$2150,K$1,'United Data'!$C$3:$C$2150,$A255)&gt;0,1,0)</f>
        <v>0</v>
      </c>
      <c r="L255">
        <f>IF(COUNTIFS('United Data'!$A$3:$A$2150,L$1,'United Data'!$C$3:$C$2150,$A255)&gt;0,1,0)</f>
        <v>0</v>
      </c>
      <c r="M255">
        <f>IF(COUNTIFS('United Data'!$A$3:$A$2150,M$1,'United Data'!$C$3:$C$2150,$A255)&gt;0,1,0)</f>
        <v>0</v>
      </c>
      <c r="N255">
        <f>IF(COUNTIFS('United Data'!$A$3:$A$2150,N$1,'United Data'!$C$3:$C$2150,$A255)&gt;0,1,0)</f>
        <v>0</v>
      </c>
      <c r="O255">
        <f>IF(COUNTIFS('United Data'!$A$3:$A$2150,O$1,'United Data'!$C$3:$C$2150,$A255)&gt;0,1,0)</f>
        <v>0</v>
      </c>
      <c r="P255">
        <f>IF(COUNTIFS('United Data'!$A$3:$A$2150,P$1,'United Data'!$C$3:$C$2150,$A255)&gt;0,1,0)</f>
        <v>0</v>
      </c>
      <c r="Q255">
        <f>IF(COUNTIFS('United Data'!$A$3:$A$2150,Q$1,'United Data'!$C$3:$C$2150,$A255)&gt;0,1,0)</f>
        <v>0</v>
      </c>
      <c r="R255">
        <f>IF(COUNTIFS('United Data'!$A$3:$A$2150,R$1,'United Data'!$C$3:$C$2150,$A255)&gt;0,1,0)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301</v>
      </c>
      <c r="B256">
        <f>IF(COUNTIFS('United Data'!$A$3:$A$2150,B$1,'United Data'!$C$3:$C$2150,$A256)&gt;0,1,0)</f>
        <v>0</v>
      </c>
      <c r="C256">
        <f>IF(COUNTIFS('United Data'!$A$3:$A$2150,C$1,'United Data'!$C$3:$C$2150,$A256)&gt;0,1,0)</f>
        <v>0</v>
      </c>
      <c r="D256">
        <f>IF(COUNTIFS('United Data'!$A$3:$A$2150,D$1,'United Data'!$C$3:$C$2150,$A256)&gt;0,1,0)</f>
        <v>0</v>
      </c>
      <c r="E256">
        <f>IF(COUNTIFS('United Data'!$A$3:$A$2150,E$1,'United Data'!$C$3:$C$2150,$A256)&gt;0,1,0)</f>
        <v>0</v>
      </c>
      <c r="F256">
        <f>IF(COUNTIFS('United Data'!$A$3:$A$2150,F$1,'United Data'!$C$3:$C$2150,$A256)&gt;0,1,0)</f>
        <v>0</v>
      </c>
      <c r="G256">
        <f>IF(COUNTIFS('United Data'!$A$3:$A$2150,G$1,'United Data'!$C$3:$C$2150,$A256)&gt;0,1,0)</f>
        <v>1</v>
      </c>
      <c r="H256">
        <f>IF(COUNTIFS('United Data'!$A$3:$A$2150,H$1,'United Data'!$C$3:$C$2150,$A256)&gt;0,1,0)</f>
        <v>0</v>
      </c>
      <c r="I256">
        <f>IF(COUNTIFS('United Data'!$A$3:$A$2150,I$1,'United Data'!$C$3:$C$2150,$A256)&gt;0,1,0)</f>
        <v>0</v>
      </c>
      <c r="J256">
        <f>IF(COUNTIFS('United Data'!$A$3:$A$2150,J$1,'United Data'!$C$3:$C$2150,$A256)&gt;0,1,0)</f>
        <v>0</v>
      </c>
      <c r="K256">
        <f>IF(COUNTIFS('United Data'!$A$3:$A$2150,K$1,'United Data'!$C$3:$C$2150,$A256)&gt;0,1,0)</f>
        <v>0</v>
      </c>
      <c r="L256">
        <f>IF(COUNTIFS('United Data'!$A$3:$A$2150,L$1,'United Data'!$C$3:$C$2150,$A256)&gt;0,1,0)</f>
        <v>0</v>
      </c>
      <c r="M256">
        <f>IF(COUNTIFS('United Data'!$A$3:$A$2150,M$1,'United Data'!$C$3:$C$2150,$A256)&gt;0,1,0)</f>
        <v>0</v>
      </c>
      <c r="N256">
        <f>IF(COUNTIFS('United Data'!$A$3:$A$2150,N$1,'United Data'!$C$3:$C$2150,$A256)&gt;0,1,0)</f>
        <v>0</v>
      </c>
      <c r="O256">
        <f>IF(COUNTIFS('United Data'!$A$3:$A$2150,O$1,'United Data'!$C$3:$C$2150,$A256)&gt;0,1,0)</f>
        <v>0</v>
      </c>
      <c r="P256">
        <f>IF(COUNTIFS('United Data'!$A$3:$A$2150,P$1,'United Data'!$C$3:$C$2150,$A256)&gt;0,1,0)</f>
        <v>0</v>
      </c>
      <c r="Q256">
        <f>IF(COUNTIFS('United Data'!$A$3:$A$2150,Q$1,'United Data'!$C$3:$C$2150,$A256)&gt;0,1,0)</f>
        <v>0</v>
      </c>
      <c r="R256">
        <f>IF(COUNTIFS('United Data'!$A$3:$A$2150,R$1,'United Data'!$C$3:$C$2150,$A256)&gt;0,1,0)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302</v>
      </c>
      <c r="B257">
        <f>IF(COUNTIFS('United Data'!$A$3:$A$2150,B$1,'United Data'!$C$3:$C$2150,$A257)&gt;0,1,0)</f>
        <v>0</v>
      </c>
      <c r="C257">
        <f>IF(COUNTIFS('United Data'!$A$3:$A$2150,C$1,'United Data'!$C$3:$C$2150,$A257)&gt;0,1,0)</f>
        <v>0</v>
      </c>
      <c r="D257">
        <f>IF(COUNTIFS('United Data'!$A$3:$A$2150,D$1,'United Data'!$C$3:$C$2150,$A257)&gt;0,1,0)</f>
        <v>0</v>
      </c>
      <c r="E257">
        <f>IF(COUNTIFS('United Data'!$A$3:$A$2150,E$1,'United Data'!$C$3:$C$2150,$A257)&gt;0,1,0)</f>
        <v>0</v>
      </c>
      <c r="F257">
        <f>IF(COUNTIFS('United Data'!$A$3:$A$2150,F$1,'United Data'!$C$3:$C$2150,$A257)&gt;0,1,0)</f>
        <v>0</v>
      </c>
      <c r="G257">
        <f>IF(COUNTIFS('United Data'!$A$3:$A$2150,G$1,'United Data'!$C$3:$C$2150,$A257)&gt;0,1,0)</f>
        <v>0</v>
      </c>
      <c r="H257">
        <f>IF(COUNTIFS('United Data'!$A$3:$A$2150,H$1,'United Data'!$C$3:$C$2150,$A257)&gt;0,1,0)</f>
        <v>1</v>
      </c>
      <c r="I257">
        <f>IF(COUNTIFS('United Data'!$A$3:$A$2150,I$1,'United Data'!$C$3:$C$2150,$A257)&gt;0,1,0)</f>
        <v>0</v>
      </c>
      <c r="J257">
        <f>IF(COUNTIFS('United Data'!$A$3:$A$2150,J$1,'United Data'!$C$3:$C$2150,$A257)&gt;0,1,0)</f>
        <v>0</v>
      </c>
      <c r="K257">
        <f>IF(COUNTIFS('United Data'!$A$3:$A$2150,K$1,'United Data'!$C$3:$C$2150,$A257)&gt;0,1,0)</f>
        <v>0</v>
      </c>
      <c r="L257">
        <f>IF(COUNTIFS('United Data'!$A$3:$A$2150,L$1,'United Data'!$C$3:$C$2150,$A257)&gt;0,1,0)</f>
        <v>0</v>
      </c>
      <c r="M257">
        <f>IF(COUNTIFS('United Data'!$A$3:$A$2150,M$1,'United Data'!$C$3:$C$2150,$A257)&gt;0,1,0)</f>
        <v>0</v>
      </c>
      <c r="N257">
        <f>IF(COUNTIFS('United Data'!$A$3:$A$2150,N$1,'United Data'!$C$3:$C$2150,$A257)&gt;0,1,0)</f>
        <v>0</v>
      </c>
      <c r="O257">
        <f>IF(COUNTIFS('United Data'!$A$3:$A$2150,O$1,'United Data'!$C$3:$C$2150,$A257)&gt;0,1,0)</f>
        <v>0</v>
      </c>
      <c r="P257">
        <f>IF(COUNTIFS('United Data'!$A$3:$A$2150,P$1,'United Data'!$C$3:$C$2150,$A257)&gt;0,1,0)</f>
        <v>0</v>
      </c>
      <c r="Q257">
        <f>IF(COUNTIFS('United Data'!$A$3:$A$2150,Q$1,'United Data'!$C$3:$C$2150,$A257)&gt;0,1,0)</f>
        <v>0</v>
      </c>
      <c r="R257">
        <f>IF(COUNTIFS('United Data'!$A$3:$A$2150,R$1,'United Data'!$C$3:$C$2150,$A257)&gt;0,1,0)</f>
        <v>0</v>
      </c>
      <c r="S257">
        <f t="shared" si="6"/>
        <v>1</v>
      </c>
      <c r="T257">
        <f t="shared" si="7"/>
        <v>1</v>
      </c>
    </row>
    <row r="258" spans="1:20" x14ac:dyDescent="0.2">
      <c r="A258" t="s">
        <v>303</v>
      </c>
      <c r="B258">
        <f>IF(COUNTIFS('United Data'!$A$3:$A$2150,B$1,'United Data'!$C$3:$C$2150,$A258)&gt;0,1,0)</f>
        <v>0</v>
      </c>
      <c r="C258">
        <f>IF(COUNTIFS('United Data'!$A$3:$A$2150,C$1,'United Data'!$C$3:$C$2150,$A258)&gt;0,1,0)</f>
        <v>0</v>
      </c>
      <c r="D258">
        <f>IF(COUNTIFS('United Data'!$A$3:$A$2150,D$1,'United Data'!$C$3:$C$2150,$A258)&gt;0,1,0)</f>
        <v>0</v>
      </c>
      <c r="E258">
        <f>IF(COUNTIFS('United Data'!$A$3:$A$2150,E$1,'United Data'!$C$3:$C$2150,$A258)&gt;0,1,0)</f>
        <v>0</v>
      </c>
      <c r="F258">
        <f>IF(COUNTIFS('United Data'!$A$3:$A$2150,F$1,'United Data'!$C$3:$C$2150,$A258)&gt;0,1,0)</f>
        <v>0</v>
      </c>
      <c r="G258">
        <f>IF(COUNTIFS('United Data'!$A$3:$A$2150,G$1,'United Data'!$C$3:$C$2150,$A258)&gt;0,1,0)</f>
        <v>0</v>
      </c>
      <c r="H258">
        <f>IF(COUNTIFS('United Data'!$A$3:$A$2150,H$1,'United Data'!$C$3:$C$2150,$A258)&gt;0,1,0)</f>
        <v>1</v>
      </c>
      <c r="I258">
        <f>IF(COUNTIFS('United Data'!$A$3:$A$2150,I$1,'United Data'!$C$3:$C$2150,$A258)&gt;0,1,0)</f>
        <v>0</v>
      </c>
      <c r="J258">
        <f>IF(COUNTIFS('United Data'!$A$3:$A$2150,J$1,'United Data'!$C$3:$C$2150,$A258)&gt;0,1,0)</f>
        <v>0</v>
      </c>
      <c r="K258">
        <f>IF(COUNTIFS('United Data'!$A$3:$A$2150,K$1,'United Data'!$C$3:$C$2150,$A258)&gt;0,1,0)</f>
        <v>0</v>
      </c>
      <c r="L258">
        <f>IF(COUNTIFS('United Data'!$A$3:$A$2150,L$1,'United Data'!$C$3:$C$2150,$A258)&gt;0,1,0)</f>
        <v>0</v>
      </c>
      <c r="M258">
        <f>IF(COUNTIFS('United Data'!$A$3:$A$2150,M$1,'United Data'!$C$3:$C$2150,$A258)&gt;0,1,0)</f>
        <v>0</v>
      </c>
      <c r="N258">
        <f>IF(COUNTIFS('United Data'!$A$3:$A$2150,N$1,'United Data'!$C$3:$C$2150,$A258)&gt;0,1,0)</f>
        <v>0</v>
      </c>
      <c r="O258">
        <f>IF(COUNTIFS('United Data'!$A$3:$A$2150,O$1,'United Data'!$C$3:$C$2150,$A258)&gt;0,1,0)</f>
        <v>0</v>
      </c>
      <c r="P258">
        <f>IF(COUNTIFS('United Data'!$A$3:$A$2150,P$1,'United Data'!$C$3:$C$2150,$A258)&gt;0,1,0)</f>
        <v>0</v>
      </c>
      <c r="Q258">
        <f>IF(COUNTIFS('United Data'!$A$3:$A$2150,Q$1,'United Data'!$C$3:$C$2150,$A258)&gt;0,1,0)</f>
        <v>0</v>
      </c>
      <c r="R258">
        <f>IF(COUNTIFS('United Data'!$A$3:$A$2150,R$1,'United Data'!$C$3:$C$2150,$A258)&gt;0,1,0)</f>
        <v>0</v>
      </c>
      <c r="S258">
        <f t="shared" ref="S258:S321" si="8">SUM(B258:R258)</f>
        <v>1</v>
      </c>
      <c r="T258">
        <f t="shared" ref="T258:T321" si="9">B258+SUMPRODUCT(--(C258:R258&gt;B258:Q258))</f>
        <v>1</v>
      </c>
    </row>
    <row r="259" spans="1:20" x14ac:dyDescent="0.2">
      <c r="A259" t="s">
        <v>304</v>
      </c>
      <c r="B259">
        <f>IF(COUNTIFS('United Data'!$A$3:$A$2150,B$1,'United Data'!$C$3:$C$2150,$A259)&gt;0,1,0)</f>
        <v>0</v>
      </c>
      <c r="C259">
        <f>IF(COUNTIFS('United Data'!$A$3:$A$2150,C$1,'United Data'!$C$3:$C$2150,$A259)&gt;0,1,0)</f>
        <v>0</v>
      </c>
      <c r="D259">
        <f>IF(COUNTIFS('United Data'!$A$3:$A$2150,D$1,'United Data'!$C$3:$C$2150,$A259)&gt;0,1,0)</f>
        <v>0</v>
      </c>
      <c r="E259">
        <f>IF(COUNTIFS('United Data'!$A$3:$A$2150,E$1,'United Data'!$C$3:$C$2150,$A259)&gt;0,1,0)</f>
        <v>0</v>
      </c>
      <c r="F259">
        <f>IF(COUNTIFS('United Data'!$A$3:$A$2150,F$1,'United Data'!$C$3:$C$2150,$A259)&gt;0,1,0)</f>
        <v>0</v>
      </c>
      <c r="G259">
        <f>IF(COUNTIFS('United Data'!$A$3:$A$2150,G$1,'United Data'!$C$3:$C$2150,$A259)&gt;0,1,0)</f>
        <v>0</v>
      </c>
      <c r="H259">
        <f>IF(COUNTIFS('United Data'!$A$3:$A$2150,H$1,'United Data'!$C$3:$C$2150,$A259)&gt;0,1,0)</f>
        <v>0</v>
      </c>
      <c r="I259">
        <f>IF(COUNTIFS('United Data'!$A$3:$A$2150,I$1,'United Data'!$C$3:$C$2150,$A259)&gt;0,1,0)</f>
        <v>1</v>
      </c>
      <c r="J259">
        <f>IF(COUNTIFS('United Data'!$A$3:$A$2150,J$1,'United Data'!$C$3:$C$2150,$A259)&gt;0,1,0)</f>
        <v>0</v>
      </c>
      <c r="K259">
        <f>IF(COUNTIFS('United Data'!$A$3:$A$2150,K$1,'United Data'!$C$3:$C$2150,$A259)&gt;0,1,0)</f>
        <v>0</v>
      </c>
      <c r="L259">
        <f>IF(COUNTIFS('United Data'!$A$3:$A$2150,L$1,'United Data'!$C$3:$C$2150,$A259)&gt;0,1,0)</f>
        <v>0</v>
      </c>
      <c r="M259">
        <f>IF(COUNTIFS('United Data'!$A$3:$A$2150,M$1,'United Data'!$C$3:$C$2150,$A259)&gt;0,1,0)</f>
        <v>0</v>
      </c>
      <c r="N259">
        <f>IF(COUNTIFS('United Data'!$A$3:$A$2150,N$1,'United Data'!$C$3:$C$2150,$A259)&gt;0,1,0)</f>
        <v>0</v>
      </c>
      <c r="O259">
        <f>IF(COUNTIFS('United Data'!$A$3:$A$2150,O$1,'United Data'!$C$3:$C$2150,$A259)&gt;0,1,0)</f>
        <v>0</v>
      </c>
      <c r="P259">
        <f>IF(COUNTIFS('United Data'!$A$3:$A$2150,P$1,'United Data'!$C$3:$C$2150,$A259)&gt;0,1,0)</f>
        <v>0</v>
      </c>
      <c r="Q259">
        <f>IF(COUNTIFS('United Data'!$A$3:$A$2150,Q$1,'United Data'!$C$3:$C$2150,$A259)&gt;0,1,0)</f>
        <v>0</v>
      </c>
      <c r="R259">
        <f>IF(COUNTIFS('United Data'!$A$3:$A$2150,R$1,'United Data'!$C$3:$C$2150,$A259)&gt;0,1,0)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305</v>
      </c>
      <c r="B260">
        <f>IF(COUNTIFS('United Data'!$A$3:$A$2150,B$1,'United Data'!$C$3:$C$2150,$A260)&gt;0,1,0)</f>
        <v>0</v>
      </c>
      <c r="C260">
        <f>IF(COUNTIFS('United Data'!$A$3:$A$2150,C$1,'United Data'!$C$3:$C$2150,$A260)&gt;0,1,0)</f>
        <v>0</v>
      </c>
      <c r="D260">
        <f>IF(COUNTIFS('United Data'!$A$3:$A$2150,D$1,'United Data'!$C$3:$C$2150,$A260)&gt;0,1,0)</f>
        <v>0</v>
      </c>
      <c r="E260">
        <f>IF(COUNTIFS('United Data'!$A$3:$A$2150,E$1,'United Data'!$C$3:$C$2150,$A260)&gt;0,1,0)</f>
        <v>0</v>
      </c>
      <c r="F260">
        <f>IF(COUNTIFS('United Data'!$A$3:$A$2150,F$1,'United Data'!$C$3:$C$2150,$A260)&gt;0,1,0)</f>
        <v>0</v>
      </c>
      <c r="G260">
        <f>IF(COUNTIFS('United Data'!$A$3:$A$2150,G$1,'United Data'!$C$3:$C$2150,$A260)&gt;0,1,0)</f>
        <v>0</v>
      </c>
      <c r="H260">
        <f>IF(COUNTIFS('United Data'!$A$3:$A$2150,H$1,'United Data'!$C$3:$C$2150,$A260)&gt;0,1,0)</f>
        <v>0</v>
      </c>
      <c r="I260">
        <f>IF(COUNTIFS('United Data'!$A$3:$A$2150,I$1,'United Data'!$C$3:$C$2150,$A260)&gt;0,1,0)</f>
        <v>1</v>
      </c>
      <c r="J260">
        <f>IF(COUNTIFS('United Data'!$A$3:$A$2150,J$1,'United Data'!$C$3:$C$2150,$A260)&gt;0,1,0)</f>
        <v>0</v>
      </c>
      <c r="K260">
        <f>IF(COUNTIFS('United Data'!$A$3:$A$2150,K$1,'United Data'!$C$3:$C$2150,$A260)&gt;0,1,0)</f>
        <v>1</v>
      </c>
      <c r="L260">
        <f>IF(COUNTIFS('United Data'!$A$3:$A$2150,L$1,'United Data'!$C$3:$C$2150,$A260)&gt;0,1,0)</f>
        <v>0</v>
      </c>
      <c r="M260">
        <f>IF(COUNTIFS('United Data'!$A$3:$A$2150,M$1,'United Data'!$C$3:$C$2150,$A260)&gt;0,1,0)</f>
        <v>0</v>
      </c>
      <c r="N260">
        <f>IF(COUNTIFS('United Data'!$A$3:$A$2150,N$1,'United Data'!$C$3:$C$2150,$A260)&gt;0,1,0)</f>
        <v>0</v>
      </c>
      <c r="O260">
        <f>IF(COUNTIFS('United Data'!$A$3:$A$2150,O$1,'United Data'!$C$3:$C$2150,$A260)&gt;0,1,0)</f>
        <v>0</v>
      </c>
      <c r="P260">
        <f>IF(COUNTIFS('United Data'!$A$3:$A$2150,P$1,'United Data'!$C$3:$C$2150,$A260)&gt;0,1,0)</f>
        <v>0</v>
      </c>
      <c r="Q260">
        <f>IF(COUNTIFS('United Data'!$A$3:$A$2150,Q$1,'United Data'!$C$3:$C$2150,$A260)&gt;0,1,0)</f>
        <v>0</v>
      </c>
      <c r="R260">
        <f>IF(COUNTIFS('United Data'!$A$3:$A$2150,R$1,'United Data'!$C$3:$C$2150,$A260)&gt;0,1,0)</f>
        <v>0</v>
      </c>
      <c r="S260">
        <f t="shared" si="8"/>
        <v>2</v>
      </c>
      <c r="T260">
        <f t="shared" si="9"/>
        <v>2</v>
      </c>
    </row>
    <row r="261" spans="1:20" x14ac:dyDescent="0.2">
      <c r="A261" t="s">
        <v>306</v>
      </c>
      <c r="B261">
        <f>IF(COUNTIFS('United Data'!$A$3:$A$2150,B$1,'United Data'!$C$3:$C$2150,$A261)&gt;0,1,0)</f>
        <v>0</v>
      </c>
      <c r="C261">
        <f>IF(COUNTIFS('United Data'!$A$3:$A$2150,C$1,'United Data'!$C$3:$C$2150,$A261)&gt;0,1,0)</f>
        <v>0</v>
      </c>
      <c r="D261">
        <f>IF(COUNTIFS('United Data'!$A$3:$A$2150,D$1,'United Data'!$C$3:$C$2150,$A261)&gt;0,1,0)</f>
        <v>0</v>
      </c>
      <c r="E261">
        <f>IF(COUNTIFS('United Data'!$A$3:$A$2150,E$1,'United Data'!$C$3:$C$2150,$A261)&gt;0,1,0)</f>
        <v>0</v>
      </c>
      <c r="F261">
        <f>IF(COUNTIFS('United Data'!$A$3:$A$2150,F$1,'United Data'!$C$3:$C$2150,$A261)&gt;0,1,0)</f>
        <v>0</v>
      </c>
      <c r="G261">
        <f>IF(COUNTIFS('United Data'!$A$3:$A$2150,G$1,'United Data'!$C$3:$C$2150,$A261)&gt;0,1,0)</f>
        <v>0</v>
      </c>
      <c r="H261">
        <f>IF(COUNTIFS('United Data'!$A$3:$A$2150,H$1,'United Data'!$C$3:$C$2150,$A261)&gt;0,1,0)</f>
        <v>0</v>
      </c>
      <c r="I261">
        <f>IF(COUNTIFS('United Data'!$A$3:$A$2150,I$1,'United Data'!$C$3:$C$2150,$A261)&gt;0,1,0)</f>
        <v>0</v>
      </c>
      <c r="J261">
        <f>IF(COUNTIFS('United Data'!$A$3:$A$2150,J$1,'United Data'!$C$3:$C$2150,$A261)&gt;0,1,0)</f>
        <v>0</v>
      </c>
      <c r="K261">
        <f>IF(COUNTIFS('United Data'!$A$3:$A$2150,K$1,'United Data'!$C$3:$C$2150,$A261)&gt;0,1,0)</f>
        <v>0</v>
      </c>
      <c r="L261">
        <f>IF(COUNTIFS('United Data'!$A$3:$A$2150,L$1,'United Data'!$C$3:$C$2150,$A261)&gt;0,1,0)</f>
        <v>1</v>
      </c>
      <c r="M261">
        <f>IF(COUNTIFS('United Data'!$A$3:$A$2150,M$1,'United Data'!$C$3:$C$2150,$A261)&gt;0,1,0)</f>
        <v>0</v>
      </c>
      <c r="N261">
        <f>IF(COUNTIFS('United Data'!$A$3:$A$2150,N$1,'United Data'!$C$3:$C$2150,$A261)&gt;0,1,0)</f>
        <v>0</v>
      </c>
      <c r="O261">
        <f>IF(COUNTIFS('United Data'!$A$3:$A$2150,O$1,'United Data'!$C$3:$C$2150,$A261)&gt;0,1,0)</f>
        <v>0</v>
      </c>
      <c r="P261">
        <f>IF(COUNTIFS('United Data'!$A$3:$A$2150,P$1,'United Data'!$C$3:$C$2150,$A261)&gt;0,1,0)</f>
        <v>0</v>
      </c>
      <c r="Q261">
        <f>IF(COUNTIFS('United Data'!$A$3:$A$2150,Q$1,'United Data'!$C$3:$C$2150,$A261)&gt;0,1,0)</f>
        <v>0</v>
      </c>
      <c r="R261">
        <f>IF(COUNTIFS('United Data'!$A$3:$A$2150,R$1,'United Data'!$C$3:$C$2150,$A261)&gt;0,1,0)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307</v>
      </c>
      <c r="B262">
        <f>IF(COUNTIFS('United Data'!$A$3:$A$2150,B$1,'United Data'!$C$3:$C$2150,$A262)&gt;0,1,0)</f>
        <v>0</v>
      </c>
      <c r="C262">
        <f>IF(COUNTIFS('United Data'!$A$3:$A$2150,C$1,'United Data'!$C$3:$C$2150,$A262)&gt;0,1,0)</f>
        <v>0</v>
      </c>
      <c r="D262">
        <f>IF(COUNTIFS('United Data'!$A$3:$A$2150,D$1,'United Data'!$C$3:$C$2150,$A262)&gt;0,1,0)</f>
        <v>0</v>
      </c>
      <c r="E262">
        <f>IF(COUNTIFS('United Data'!$A$3:$A$2150,E$1,'United Data'!$C$3:$C$2150,$A262)&gt;0,1,0)</f>
        <v>0</v>
      </c>
      <c r="F262">
        <f>IF(COUNTIFS('United Data'!$A$3:$A$2150,F$1,'United Data'!$C$3:$C$2150,$A262)&gt;0,1,0)</f>
        <v>0</v>
      </c>
      <c r="G262">
        <f>IF(COUNTIFS('United Data'!$A$3:$A$2150,G$1,'United Data'!$C$3:$C$2150,$A262)&gt;0,1,0)</f>
        <v>0</v>
      </c>
      <c r="H262">
        <f>IF(COUNTIFS('United Data'!$A$3:$A$2150,H$1,'United Data'!$C$3:$C$2150,$A262)&gt;0,1,0)</f>
        <v>0</v>
      </c>
      <c r="I262">
        <f>IF(COUNTIFS('United Data'!$A$3:$A$2150,I$1,'United Data'!$C$3:$C$2150,$A262)&gt;0,1,0)</f>
        <v>0</v>
      </c>
      <c r="J262">
        <f>IF(COUNTIFS('United Data'!$A$3:$A$2150,J$1,'United Data'!$C$3:$C$2150,$A262)&gt;0,1,0)</f>
        <v>0</v>
      </c>
      <c r="K262">
        <f>IF(COUNTIFS('United Data'!$A$3:$A$2150,K$1,'United Data'!$C$3:$C$2150,$A262)&gt;0,1,0)</f>
        <v>0</v>
      </c>
      <c r="L262">
        <f>IF(COUNTIFS('United Data'!$A$3:$A$2150,L$1,'United Data'!$C$3:$C$2150,$A262)&gt;0,1,0)</f>
        <v>0</v>
      </c>
      <c r="M262">
        <f>IF(COUNTIFS('United Data'!$A$3:$A$2150,M$1,'United Data'!$C$3:$C$2150,$A262)&gt;0,1,0)</f>
        <v>1</v>
      </c>
      <c r="N262">
        <f>IF(COUNTIFS('United Data'!$A$3:$A$2150,N$1,'United Data'!$C$3:$C$2150,$A262)&gt;0,1,0)</f>
        <v>0</v>
      </c>
      <c r="O262">
        <f>IF(COUNTIFS('United Data'!$A$3:$A$2150,O$1,'United Data'!$C$3:$C$2150,$A262)&gt;0,1,0)</f>
        <v>0</v>
      </c>
      <c r="P262">
        <f>IF(COUNTIFS('United Data'!$A$3:$A$2150,P$1,'United Data'!$C$3:$C$2150,$A262)&gt;0,1,0)</f>
        <v>0</v>
      </c>
      <c r="Q262">
        <f>IF(COUNTIFS('United Data'!$A$3:$A$2150,Q$1,'United Data'!$C$3:$C$2150,$A262)&gt;0,1,0)</f>
        <v>0</v>
      </c>
      <c r="R262">
        <f>IF(COUNTIFS('United Data'!$A$3:$A$2150,R$1,'United Data'!$C$3:$C$2150,$A262)&gt;0,1,0)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308</v>
      </c>
      <c r="B263">
        <f>IF(COUNTIFS('United Data'!$A$3:$A$2150,B$1,'United Data'!$C$3:$C$2150,$A263)&gt;0,1,0)</f>
        <v>0</v>
      </c>
      <c r="C263">
        <f>IF(COUNTIFS('United Data'!$A$3:$A$2150,C$1,'United Data'!$C$3:$C$2150,$A263)&gt;0,1,0)</f>
        <v>0</v>
      </c>
      <c r="D263">
        <f>IF(COUNTIFS('United Data'!$A$3:$A$2150,D$1,'United Data'!$C$3:$C$2150,$A263)&gt;0,1,0)</f>
        <v>0</v>
      </c>
      <c r="E263">
        <f>IF(COUNTIFS('United Data'!$A$3:$A$2150,E$1,'United Data'!$C$3:$C$2150,$A263)&gt;0,1,0)</f>
        <v>0</v>
      </c>
      <c r="F263">
        <f>IF(COUNTIFS('United Data'!$A$3:$A$2150,F$1,'United Data'!$C$3:$C$2150,$A263)&gt;0,1,0)</f>
        <v>0</v>
      </c>
      <c r="G263">
        <f>IF(COUNTIFS('United Data'!$A$3:$A$2150,G$1,'United Data'!$C$3:$C$2150,$A263)&gt;0,1,0)</f>
        <v>0</v>
      </c>
      <c r="H263">
        <f>IF(COUNTIFS('United Data'!$A$3:$A$2150,H$1,'United Data'!$C$3:$C$2150,$A263)&gt;0,1,0)</f>
        <v>0</v>
      </c>
      <c r="I263">
        <f>IF(COUNTIFS('United Data'!$A$3:$A$2150,I$1,'United Data'!$C$3:$C$2150,$A263)&gt;0,1,0)</f>
        <v>0</v>
      </c>
      <c r="J263">
        <f>IF(COUNTIFS('United Data'!$A$3:$A$2150,J$1,'United Data'!$C$3:$C$2150,$A263)&gt;0,1,0)</f>
        <v>0</v>
      </c>
      <c r="K263">
        <f>IF(COUNTIFS('United Data'!$A$3:$A$2150,K$1,'United Data'!$C$3:$C$2150,$A263)&gt;0,1,0)</f>
        <v>0</v>
      </c>
      <c r="L263">
        <f>IF(COUNTIFS('United Data'!$A$3:$A$2150,L$1,'United Data'!$C$3:$C$2150,$A263)&gt;0,1,0)</f>
        <v>0</v>
      </c>
      <c r="M263">
        <f>IF(COUNTIFS('United Data'!$A$3:$A$2150,M$1,'United Data'!$C$3:$C$2150,$A263)&gt;0,1,0)</f>
        <v>1</v>
      </c>
      <c r="N263">
        <f>IF(COUNTIFS('United Data'!$A$3:$A$2150,N$1,'United Data'!$C$3:$C$2150,$A263)&gt;0,1,0)</f>
        <v>0</v>
      </c>
      <c r="O263">
        <f>IF(COUNTIFS('United Data'!$A$3:$A$2150,O$1,'United Data'!$C$3:$C$2150,$A263)&gt;0,1,0)</f>
        <v>0</v>
      </c>
      <c r="P263">
        <f>IF(COUNTIFS('United Data'!$A$3:$A$2150,P$1,'United Data'!$C$3:$C$2150,$A263)&gt;0,1,0)</f>
        <v>0</v>
      </c>
      <c r="Q263">
        <f>IF(COUNTIFS('United Data'!$A$3:$A$2150,Q$1,'United Data'!$C$3:$C$2150,$A263)&gt;0,1,0)</f>
        <v>0</v>
      </c>
      <c r="R263">
        <f>IF(COUNTIFS('United Data'!$A$3:$A$2150,R$1,'United Data'!$C$3:$C$2150,$A263)&gt;0,1,0)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309</v>
      </c>
      <c r="B264">
        <f>IF(COUNTIFS('United Data'!$A$3:$A$2150,B$1,'United Data'!$C$3:$C$2150,$A264)&gt;0,1,0)</f>
        <v>0</v>
      </c>
      <c r="C264">
        <f>IF(COUNTIFS('United Data'!$A$3:$A$2150,C$1,'United Data'!$C$3:$C$2150,$A264)&gt;0,1,0)</f>
        <v>0</v>
      </c>
      <c r="D264">
        <f>IF(COUNTIFS('United Data'!$A$3:$A$2150,D$1,'United Data'!$C$3:$C$2150,$A264)&gt;0,1,0)</f>
        <v>0</v>
      </c>
      <c r="E264">
        <f>IF(COUNTIFS('United Data'!$A$3:$A$2150,E$1,'United Data'!$C$3:$C$2150,$A264)&gt;0,1,0)</f>
        <v>0</v>
      </c>
      <c r="F264">
        <f>IF(COUNTIFS('United Data'!$A$3:$A$2150,F$1,'United Data'!$C$3:$C$2150,$A264)&gt;0,1,0)</f>
        <v>0</v>
      </c>
      <c r="G264">
        <f>IF(COUNTIFS('United Data'!$A$3:$A$2150,G$1,'United Data'!$C$3:$C$2150,$A264)&gt;0,1,0)</f>
        <v>0</v>
      </c>
      <c r="H264">
        <f>IF(COUNTIFS('United Data'!$A$3:$A$2150,H$1,'United Data'!$C$3:$C$2150,$A264)&gt;0,1,0)</f>
        <v>0</v>
      </c>
      <c r="I264">
        <f>IF(COUNTIFS('United Data'!$A$3:$A$2150,I$1,'United Data'!$C$3:$C$2150,$A264)&gt;0,1,0)</f>
        <v>0</v>
      </c>
      <c r="J264">
        <f>IF(COUNTIFS('United Data'!$A$3:$A$2150,J$1,'United Data'!$C$3:$C$2150,$A264)&gt;0,1,0)</f>
        <v>0</v>
      </c>
      <c r="K264">
        <f>IF(COUNTIFS('United Data'!$A$3:$A$2150,K$1,'United Data'!$C$3:$C$2150,$A264)&gt;0,1,0)</f>
        <v>0</v>
      </c>
      <c r="L264">
        <f>IF(COUNTIFS('United Data'!$A$3:$A$2150,L$1,'United Data'!$C$3:$C$2150,$A264)&gt;0,1,0)</f>
        <v>0</v>
      </c>
      <c r="M264">
        <f>IF(COUNTIFS('United Data'!$A$3:$A$2150,M$1,'United Data'!$C$3:$C$2150,$A264)&gt;0,1,0)</f>
        <v>0</v>
      </c>
      <c r="N264">
        <f>IF(COUNTIFS('United Data'!$A$3:$A$2150,N$1,'United Data'!$C$3:$C$2150,$A264)&gt;0,1,0)</f>
        <v>0</v>
      </c>
      <c r="O264">
        <f>IF(COUNTIFS('United Data'!$A$3:$A$2150,O$1,'United Data'!$C$3:$C$2150,$A264)&gt;0,1,0)</f>
        <v>0</v>
      </c>
      <c r="P264">
        <f>IF(COUNTIFS('United Data'!$A$3:$A$2150,P$1,'United Data'!$C$3:$C$2150,$A264)&gt;0,1,0)</f>
        <v>1</v>
      </c>
      <c r="Q264">
        <f>IF(COUNTIFS('United Data'!$A$3:$A$2150,Q$1,'United Data'!$C$3:$C$2150,$A264)&gt;0,1,0)</f>
        <v>0</v>
      </c>
      <c r="R264">
        <f>IF(COUNTIFS('United Data'!$A$3:$A$2150,R$1,'United Data'!$C$3:$C$2150,$A264)&gt;0,1,0)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310</v>
      </c>
      <c r="B265">
        <f>IF(COUNTIFS('United Data'!$A$3:$A$2150,B$1,'United Data'!$C$3:$C$2150,$A265)&gt;0,1,0)</f>
        <v>0</v>
      </c>
      <c r="C265">
        <f>IF(COUNTIFS('United Data'!$A$3:$A$2150,C$1,'United Data'!$C$3:$C$2150,$A265)&gt;0,1,0)</f>
        <v>0</v>
      </c>
      <c r="D265">
        <f>IF(COUNTIFS('United Data'!$A$3:$A$2150,D$1,'United Data'!$C$3:$C$2150,$A265)&gt;0,1,0)</f>
        <v>0</v>
      </c>
      <c r="E265">
        <f>IF(COUNTIFS('United Data'!$A$3:$A$2150,E$1,'United Data'!$C$3:$C$2150,$A265)&gt;0,1,0)</f>
        <v>0</v>
      </c>
      <c r="F265">
        <f>IF(COUNTIFS('United Data'!$A$3:$A$2150,F$1,'United Data'!$C$3:$C$2150,$A265)&gt;0,1,0)</f>
        <v>0</v>
      </c>
      <c r="G265">
        <f>IF(COUNTIFS('United Data'!$A$3:$A$2150,G$1,'United Data'!$C$3:$C$2150,$A265)&gt;0,1,0)</f>
        <v>0</v>
      </c>
      <c r="H265">
        <f>IF(COUNTIFS('United Data'!$A$3:$A$2150,H$1,'United Data'!$C$3:$C$2150,$A265)&gt;0,1,0)</f>
        <v>0</v>
      </c>
      <c r="I265">
        <f>IF(COUNTIFS('United Data'!$A$3:$A$2150,I$1,'United Data'!$C$3:$C$2150,$A265)&gt;0,1,0)</f>
        <v>0</v>
      </c>
      <c r="J265">
        <f>IF(COUNTIFS('United Data'!$A$3:$A$2150,J$1,'United Data'!$C$3:$C$2150,$A265)&gt;0,1,0)</f>
        <v>0</v>
      </c>
      <c r="K265">
        <f>IF(COUNTIFS('United Data'!$A$3:$A$2150,K$1,'United Data'!$C$3:$C$2150,$A265)&gt;0,1,0)</f>
        <v>0</v>
      </c>
      <c r="L265">
        <f>IF(COUNTIFS('United Data'!$A$3:$A$2150,L$1,'United Data'!$C$3:$C$2150,$A265)&gt;0,1,0)</f>
        <v>0</v>
      </c>
      <c r="M265">
        <f>IF(COUNTIFS('United Data'!$A$3:$A$2150,M$1,'United Data'!$C$3:$C$2150,$A265)&gt;0,1,0)</f>
        <v>0</v>
      </c>
      <c r="N265">
        <f>IF(COUNTIFS('United Data'!$A$3:$A$2150,N$1,'United Data'!$C$3:$C$2150,$A265)&gt;0,1,0)</f>
        <v>0</v>
      </c>
      <c r="O265">
        <f>IF(COUNTIFS('United Data'!$A$3:$A$2150,O$1,'United Data'!$C$3:$C$2150,$A265)&gt;0,1,0)</f>
        <v>0</v>
      </c>
      <c r="P265">
        <f>IF(COUNTIFS('United Data'!$A$3:$A$2150,P$1,'United Data'!$C$3:$C$2150,$A265)&gt;0,1,0)</f>
        <v>1</v>
      </c>
      <c r="Q265">
        <f>IF(COUNTIFS('United Data'!$A$3:$A$2150,Q$1,'United Data'!$C$3:$C$2150,$A265)&gt;0,1,0)</f>
        <v>0</v>
      </c>
      <c r="R265">
        <f>IF(COUNTIFS('United Data'!$A$3:$A$2150,R$1,'United Data'!$C$3:$C$2150,$A265)&gt;0,1,0)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311</v>
      </c>
      <c r="B266">
        <f>IF(COUNTIFS('United Data'!$A$3:$A$2150,B$1,'United Data'!$C$3:$C$2150,$A266)&gt;0,1,0)</f>
        <v>0</v>
      </c>
      <c r="C266">
        <f>IF(COUNTIFS('United Data'!$A$3:$A$2150,C$1,'United Data'!$C$3:$C$2150,$A266)&gt;0,1,0)</f>
        <v>0</v>
      </c>
      <c r="D266">
        <f>IF(COUNTIFS('United Data'!$A$3:$A$2150,D$1,'United Data'!$C$3:$C$2150,$A266)&gt;0,1,0)</f>
        <v>0</v>
      </c>
      <c r="E266">
        <f>IF(COUNTIFS('United Data'!$A$3:$A$2150,E$1,'United Data'!$C$3:$C$2150,$A266)&gt;0,1,0)</f>
        <v>0</v>
      </c>
      <c r="F266">
        <f>IF(COUNTIFS('United Data'!$A$3:$A$2150,F$1,'United Data'!$C$3:$C$2150,$A266)&gt;0,1,0)</f>
        <v>0</v>
      </c>
      <c r="G266">
        <f>IF(COUNTIFS('United Data'!$A$3:$A$2150,G$1,'United Data'!$C$3:$C$2150,$A266)&gt;0,1,0)</f>
        <v>0</v>
      </c>
      <c r="H266">
        <f>IF(COUNTIFS('United Data'!$A$3:$A$2150,H$1,'United Data'!$C$3:$C$2150,$A266)&gt;0,1,0)</f>
        <v>0</v>
      </c>
      <c r="I266">
        <f>IF(COUNTIFS('United Data'!$A$3:$A$2150,I$1,'United Data'!$C$3:$C$2150,$A266)&gt;0,1,0)</f>
        <v>0</v>
      </c>
      <c r="J266">
        <f>IF(COUNTIFS('United Data'!$A$3:$A$2150,J$1,'United Data'!$C$3:$C$2150,$A266)&gt;0,1,0)</f>
        <v>0</v>
      </c>
      <c r="K266">
        <f>IF(COUNTIFS('United Data'!$A$3:$A$2150,K$1,'United Data'!$C$3:$C$2150,$A266)&gt;0,1,0)</f>
        <v>0</v>
      </c>
      <c r="L266">
        <f>IF(COUNTIFS('United Data'!$A$3:$A$2150,L$1,'United Data'!$C$3:$C$2150,$A266)&gt;0,1,0)</f>
        <v>0</v>
      </c>
      <c r="M266">
        <f>IF(COUNTIFS('United Data'!$A$3:$A$2150,M$1,'United Data'!$C$3:$C$2150,$A266)&gt;0,1,0)</f>
        <v>0</v>
      </c>
      <c r="N266">
        <f>IF(COUNTIFS('United Data'!$A$3:$A$2150,N$1,'United Data'!$C$3:$C$2150,$A266)&gt;0,1,0)</f>
        <v>0</v>
      </c>
      <c r="O266">
        <f>IF(COUNTIFS('United Data'!$A$3:$A$2150,O$1,'United Data'!$C$3:$C$2150,$A266)&gt;0,1,0)</f>
        <v>0</v>
      </c>
      <c r="P266">
        <f>IF(COUNTIFS('United Data'!$A$3:$A$2150,P$1,'United Data'!$C$3:$C$2150,$A266)&gt;0,1,0)</f>
        <v>0</v>
      </c>
      <c r="Q266">
        <f>IF(COUNTIFS('United Data'!$A$3:$A$2150,Q$1,'United Data'!$C$3:$C$2150,$A266)&gt;0,1,0)</f>
        <v>1</v>
      </c>
      <c r="R266">
        <f>IF(COUNTIFS('United Data'!$A$3:$A$2150,R$1,'United Data'!$C$3:$C$2150,$A266)&gt;0,1,0)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312</v>
      </c>
      <c r="B267">
        <f>IF(COUNTIFS('United Data'!$A$3:$A$2150,B$1,'United Data'!$C$3:$C$2150,$A267)&gt;0,1,0)</f>
        <v>0</v>
      </c>
      <c r="C267">
        <f>IF(COUNTIFS('United Data'!$A$3:$A$2150,C$1,'United Data'!$C$3:$C$2150,$A267)&gt;0,1,0)</f>
        <v>1</v>
      </c>
      <c r="D267">
        <f>IF(COUNTIFS('United Data'!$A$3:$A$2150,D$1,'United Data'!$C$3:$C$2150,$A267)&gt;0,1,0)</f>
        <v>0</v>
      </c>
      <c r="E267">
        <f>IF(COUNTIFS('United Data'!$A$3:$A$2150,E$1,'United Data'!$C$3:$C$2150,$A267)&gt;0,1,0)</f>
        <v>0</v>
      </c>
      <c r="F267">
        <f>IF(COUNTIFS('United Data'!$A$3:$A$2150,F$1,'United Data'!$C$3:$C$2150,$A267)&gt;0,1,0)</f>
        <v>0</v>
      </c>
      <c r="G267">
        <f>IF(COUNTIFS('United Data'!$A$3:$A$2150,G$1,'United Data'!$C$3:$C$2150,$A267)&gt;0,1,0)</f>
        <v>0</v>
      </c>
      <c r="H267">
        <f>IF(COUNTIFS('United Data'!$A$3:$A$2150,H$1,'United Data'!$C$3:$C$2150,$A267)&gt;0,1,0)</f>
        <v>0</v>
      </c>
      <c r="I267">
        <f>IF(COUNTIFS('United Data'!$A$3:$A$2150,I$1,'United Data'!$C$3:$C$2150,$A267)&gt;0,1,0)</f>
        <v>0</v>
      </c>
      <c r="J267">
        <f>IF(COUNTIFS('United Data'!$A$3:$A$2150,J$1,'United Data'!$C$3:$C$2150,$A267)&gt;0,1,0)</f>
        <v>0</v>
      </c>
      <c r="K267">
        <f>IF(COUNTIFS('United Data'!$A$3:$A$2150,K$1,'United Data'!$C$3:$C$2150,$A267)&gt;0,1,0)</f>
        <v>0</v>
      </c>
      <c r="L267">
        <f>IF(COUNTIFS('United Data'!$A$3:$A$2150,L$1,'United Data'!$C$3:$C$2150,$A267)&gt;0,1,0)</f>
        <v>0</v>
      </c>
      <c r="M267">
        <f>IF(COUNTIFS('United Data'!$A$3:$A$2150,M$1,'United Data'!$C$3:$C$2150,$A267)&gt;0,1,0)</f>
        <v>0</v>
      </c>
      <c r="N267">
        <f>IF(COUNTIFS('United Data'!$A$3:$A$2150,N$1,'United Data'!$C$3:$C$2150,$A267)&gt;0,1,0)</f>
        <v>0</v>
      </c>
      <c r="O267">
        <f>IF(COUNTIFS('United Data'!$A$3:$A$2150,O$1,'United Data'!$C$3:$C$2150,$A267)&gt;0,1,0)</f>
        <v>0</v>
      </c>
      <c r="P267">
        <f>IF(COUNTIFS('United Data'!$A$3:$A$2150,P$1,'United Data'!$C$3:$C$2150,$A267)&gt;0,1,0)</f>
        <v>0</v>
      </c>
      <c r="Q267">
        <f>IF(COUNTIFS('United Data'!$A$3:$A$2150,Q$1,'United Data'!$C$3:$C$2150,$A267)&gt;0,1,0)</f>
        <v>0</v>
      </c>
      <c r="R267">
        <f>IF(COUNTIFS('United Data'!$A$3:$A$2150,R$1,'United Data'!$C$3:$C$2150,$A267)&gt;0,1,0)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313</v>
      </c>
      <c r="B268">
        <f>IF(COUNTIFS('United Data'!$A$3:$A$2150,B$1,'United Data'!$C$3:$C$2150,$A268)&gt;0,1,0)</f>
        <v>0</v>
      </c>
      <c r="C268">
        <f>IF(COUNTIFS('United Data'!$A$3:$A$2150,C$1,'United Data'!$C$3:$C$2150,$A268)&gt;0,1,0)</f>
        <v>1</v>
      </c>
      <c r="D268">
        <f>IF(COUNTIFS('United Data'!$A$3:$A$2150,D$1,'United Data'!$C$3:$C$2150,$A268)&gt;0,1,0)</f>
        <v>0</v>
      </c>
      <c r="E268">
        <f>IF(COUNTIFS('United Data'!$A$3:$A$2150,E$1,'United Data'!$C$3:$C$2150,$A268)&gt;0,1,0)</f>
        <v>0</v>
      </c>
      <c r="F268">
        <f>IF(COUNTIFS('United Data'!$A$3:$A$2150,F$1,'United Data'!$C$3:$C$2150,$A268)&gt;0,1,0)</f>
        <v>0</v>
      </c>
      <c r="G268">
        <f>IF(COUNTIFS('United Data'!$A$3:$A$2150,G$1,'United Data'!$C$3:$C$2150,$A268)&gt;0,1,0)</f>
        <v>0</v>
      </c>
      <c r="H268">
        <f>IF(COUNTIFS('United Data'!$A$3:$A$2150,H$1,'United Data'!$C$3:$C$2150,$A268)&gt;0,1,0)</f>
        <v>0</v>
      </c>
      <c r="I268">
        <f>IF(COUNTIFS('United Data'!$A$3:$A$2150,I$1,'United Data'!$C$3:$C$2150,$A268)&gt;0,1,0)</f>
        <v>0</v>
      </c>
      <c r="J268">
        <f>IF(COUNTIFS('United Data'!$A$3:$A$2150,J$1,'United Data'!$C$3:$C$2150,$A268)&gt;0,1,0)</f>
        <v>0</v>
      </c>
      <c r="K268">
        <f>IF(COUNTIFS('United Data'!$A$3:$A$2150,K$1,'United Data'!$C$3:$C$2150,$A268)&gt;0,1,0)</f>
        <v>0</v>
      </c>
      <c r="L268">
        <f>IF(COUNTIFS('United Data'!$A$3:$A$2150,L$1,'United Data'!$C$3:$C$2150,$A268)&gt;0,1,0)</f>
        <v>0</v>
      </c>
      <c r="M268">
        <f>IF(COUNTIFS('United Data'!$A$3:$A$2150,M$1,'United Data'!$C$3:$C$2150,$A268)&gt;0,1,0)</f>
        <v>0</v>
      </c>
      <c r="N268">
        <f>IF(COUNTIFS('United Data'!$A$3:$A$2150,N$1,'United Data'!$C$3:$C$2150,$A268)&gt;0,1,0)</f>
        <v>0</v>
      </c>
      <c r="O268">
        <f>IF(COUNTIFS('United Data'!$A$3:$A$2150,O$1,'United Data'!$C$3:$C$2150,$A268)&gt;0,1,0)</f>
        <v>0</v>
      </c>
      <c r="P268">
        <f>IF(COUNTIFS('United Data'!$A$3:$A$2150,P$1,'United Data'!$C$3:$C$2150,$A268)&gt;0,1,0)</f>
        <v>0</v>
      </c>
      <c r="Q268">
        <f>IF(COUNTIFS('United Data'!$A$3:$A$2150,Q$1,'United Data'!$C$3:$C$2150,$A268)&gt;0,1,0)</f>
        <v>0</v>
      </c>
      <c r="R268">
        <f>IF(COUNTIFS('United Data'!$A$3:$A$2150,R$1,'United Data'!$C$3:$C$2150,$A268)&gt;0,1,0)</f>
        <v>0</v>
      </c>
      <c r="S268">
        <f t="shared" si="8"/>
        <v>1</v>
      </c>
      <c r="T268">
        <f t="shared" si="9"/>
        <v>1</v>
      </c>
    </row>
    <row r="269" spans="1:20" x14ac:dyDescent="0.2">
      <c r="A269" t="s">
        <v>314</v>
      </c>
      <c r="B269">
        <f>IF(COUNTIFS('United Data'!$A$3:$A$2150,B$1,'United Data'!$C$3:$C$2150,$A269)&gt;0,1,0)</f>
        <v>0</v>
      </c>
      <c r="C269">
        <f>IF(COUNTIFS('United Data'!$A$3:$A$2150,C$1,'United Data'!$C$3:$C$2150,$A269)&gt;0,1,0)</f>
        <v>0</v>
      </c>
      <c r="D269">
        <f>IF(COUNTIFS('United Data'!$A$3:$A$2150,D$1,'United Data'!$C$3:$C$2150,$A269)&gt;0,1,0)</f>
        <v>1</v>
      </c>
      <c r="E269">
        <f>IF(COUNTIFS('United Data'!$A$3:$A$2150,E$1,'United Data'!$C$3:$C$2150,$A269)&gt;0,1,0)</f>
        <v>1</v>
      </c>
      <c r="F269">
        <f>IF(COUNTIFS('United Data'!$A$3:$A$2150,F$1,'United Data'!$C$3:$C$2150,$A269)&gt;0,1,0)</f>
        <v>1</v>
      </c>
      <c r="G269">
        <f>IF(COUNTIFS('United Data'!$A$3:$A$2150,G$1,'United Data'!$C$3:$C$2150,$A269)&gt;0,1,0)</f>
        <v>1</v>
      </c>
      <c r="H269">
        <f>IF(COUNTIFS('United Data'!$A$3:$A$2150,H$1,'United Data'!$C$3:$C$2150,$A269)&gt;0,1,0)</f>
        <v>0</v>
      </c>
      <c r="I269">
        <f>IF(COUNTIFS('United Data'!$A$3:$A$2150,I$1,'United Data'!$C$3:$C$2150,$A269)&gt;0,1,0)</f>
        <v>0</v>
      </c>
      <c r="J269">
        <f>IF(COUNTIFS('United Data'!$A$3:$A$2150,J$1,'United Data'!$C$3:$C$2150,$A269)&gt;0,1,0)</f>
        <v>0</v>
      </c>
      <c r="K269">
        <f>IF(COUNTIFS('United Data'!$A$3:$A$2150,K$1,'United Data'!$C$3:$C$2150,$A269)&gt;0,1,0)</f>
        <v>0</v>
      </c>
      <c r="L269">
        <f>IF(COUNTIFS('United Data'!$A$3:$A$2150,L$1,'United Data'!$C$3:$C$2150,$A269)&gt;0,1,0)</f>
        <v>0</v>
      </c>
      <c r="M269">
        <f>IF(COUNTIFS('United Data'!$A$3:$A$2150,M$1,'United Data'!$C$3:$C$2150,$A269)&gt;0,1,0)</f>
        <v>0</v>
      </c>
      <c r="N269">
        <f>IF(COUNTIFS('United Data'!$A$3:$A$2150,N$1,'United Data'!$C$3:$C$2150,$A269)&gt;0,1,0)</f>
        <v>0</v>
      </c>
      <c r="O269">
        <f>IF(COUNTIFS('United Data'!$A$3:$A$2150,O$1,'United Data'!$C$3:$C$2150,$A269)&gt;0,1,0)</f>
        <v>0</v>
      </c>
      <c r="P269">
        <f>IF(COUNTIFS('United Data'!$A$3:$A$2150,P$1,'United Data'!$C$3:$C$2150,$A269)&gt;0,1,0)</f>
        <v>0</v>
      </c>
      <c r="Q269">
        <f>IF(COUNTIFS('United Data'!$A$3:$A$2150,Q$1,'United Data'!$C$3:$C$2150,$A269)&gt;0,1,0)</f>
        <v>0</v>
      </c>
      <c r="R269">
        <f>IF(COUNTIFS('United Data'!$A$3:$A$2150,R$1,'United Data'!$C$3:$C$2150,$A269)&gt;0,1,0)</f>
        <v>0</v>
      </c>
      <c r="S269">
        <f t="shared" si="8"/>
        <v>4</v>
      </c>
      <c r="T269">
        <f t="shared" si="9"/>
        <v>1</v>
      </c>
    </row>
    <row r="270" spans="1:20" x14ac:dyDescent="0.2">
      <c r="A270" t="s">
        <v>315</v>
      </c>
      <c r="B270">
        <f>IF(COUNTIFS('United Data'!$A$3:$A$2150,B$1,'United Data'!$C$3:$C$2150,$A270)&gt;0,1,0)</f>
        <v>0</v>
      </c>
      <c r="C270">
        <f>IF(COUNTIFS('United Data'!$A$3:$A$2150,C$1,'United Data'!$C$3:$C$2150,$A270)&gt;0,1,0)</f>
        <v>0</v>
      </c>
      <c r="D270">
        <f>IF(COUNTIFS('United Data'!$A$3:$A$2150,D$1,'United Data'!$C$3:$C$2150,$A270)&gt;0,1,0)</f>
        <v>1</v>
      </c>
      <c r="E270">
        <f>IF(COUNTIFS('United Data'!$A$3:$A$2150,E$1,'United Data'!$C$3:$C$2150,$A270)&gt;0,1,0)</f>
        <v>0</v>
      </c>
      <c r="F270">
        <f>IF(COUNTIFS('United Data'!$A$3:$A$2150,F$1,'United Data'!$C$3:$C$2150,$A270)&gt;0,1,0)</f>
        <v>0</v>
      </c>
      <c r="G270">
        <f>IF(COUNTIFS('United Data'!$A$3:$A$2150,G$1,'United Data'!$C$3:$C$2150,$A270)&gt;0,1,0)</f>
        <v>0</v>
      </c>
      <c r="H270">
        <f>IF(COUNTIFS('United Data'!$A$3:$A$2150,H$1,'United Data'!$C$3:$C$2150,$A270)&gt;0,1,0)</f>
        <v>0</v>
      </c>
      <c r="I270">
        <f>IF(COUNTIFS('United Data'!$A$3:$A$2150,I$1,'United Data'!$C$3:$C$2150,$A270)&gt;0,1,0)</f>
        <v>0</v>
      </c>
      <c r="J270">
        <f>IF(COUNTIFS('United Data'!$A$3:$A$2150,J$1,'United Data'!$C$3:$C$2150,$A270)&gt;0,1,0)</f>
        <v>0</v>
      </c>
      <c r="K270">
        <f>IF(COUNTIFS('United Data'!$A$3:$A$2150,K$1,'United Data'!$C$3:$C$2150,$A270)&gt;0,1,0)</f>
        <v>0</v>
      </c>
      <c r="L270">
        <f>IF(COUNTIFS('United Data'!$A$3:$A$2150,L$1,'United Data'!$C$3:$C$2150,$A270)&gt;0,1,0)</f>
        <v>0</v>
      </c>
      <c r="M270">
        <f>IF(COUNTIFS('United Data'!$A$3:$A$2150,M$1,'United Data'!$C$3:$C$2150,$A270)&gt;0,1,0)</f>
        <v>0</v>
      </c>
      <c r="N270">
        <f>IF(COUNTIFS('United Data'!$A$3:$A$2150,N$1,'United Data'!$C$3:$C$2150,$A270)&gt;0,1,0)</f>
        <v>0</v>
      </c>
      <c r="O270">
        <f>IF(COUNTIFS('United Data'!$A$3:$A$2150,O$1,'United Data'!$C$3:$C$2150,$A270)&gt;0,1,0)</f>
        <v>0</v>
      </c>
      <c r="P270">
        <f>IF(COUNTIFS('United Data'!$A$3:$A$2150,P$1,'United Data'!$C$3:$C$2150,$A270)&gt;0,1,0)</f>
        <v>0</v>
      </c>
      <c r="Q270">
        <f>IF(COUNTIFS('United Data'!$A$3:$A$2150,Q$1,'United Data'!$C$3:$C$2150,$A270)&gt;0,1,0)</f>
        <v>0</v>
      </c>
      <c r="R270">
        <f>IF(COUNTIFS('United Data'!$A$3:$A$2150,R$1,'United Data'!$C$3:$C$2150,$A270)&gt;0,1,0)</f>
        <v>0</v>
      </c>
      <c r="S270">
        <f t="shared" si="8"/>
        <v>1</v>
      </c>
      <c r="T270">
        <f t="shared" si="9"/>
        <v>1</v>
      </c>
    </row>
    <row r="271" spans="1:20" x14ac:dyDescent="0.2">
      <c r="A271" t="s">
        <v>316</v>
      </c>
      <c r="B271">
        <f>IF(COUNTIFS('United Data'!$A$3:$A$2150,B$1,'United Data'!$C$3:$C$2150,$A271)&gt;0,1,0)</f>
        <v>0</v>
      </c>
      <c r="C271">
        <f>IF(COUNTIFS('United Data'!$A$3:$A$2150,C$1,'United Data'!$C$3:$C$2150,$A271)&gt;0,1,0)</f>
        <v>0</v>
      </c>
      <c r="D271">
        <f>IF(COUNTIFS('United Data'!$A$3:$A$2150,D$1,'United Data'!$C$3:$C$2150,$A271)&gt;0,1,0)</f>
        <v>1</v>
      </c>
      <c r="E271">
        <f>IF(COUNTIFS('United Data'!$A$3:$A$2150,E$1,'United Data'!$C$3:$C$2150,$A271)&gt;0,1,0)</f>
        <v>0</v>
      </c>
      <c r="F271">
        <f>IF(COUNTIFS('United Data'!$A$3:$A$2150,F$1,'United Data'!$C$3:$C$2150,$A271)&gt;0,1,0)</f>
        <v>0</v>
      </c>
      <c r="G271">
        <f>IF(COUNTIFS('United Data'!$A$3:$A$2150,G$1,'United Data'!$C$3:$C$2150,$A271)&gt;0,1,0)</f>
        <v>0</v>
      </c>
      <c r="H271">
        <f>IF(COUNTIFS('United Data'!$A$3:$A$2150,H$1,'United Data'!$C$3:$C$2150,$A271)&gt;0,1,0)</f>
        <v>0</v>
      </c>
      <c r="I271">
        <f>IF(COUNTIFS('United Data'!$A$3:$A$2150,I$1,'United Data'!$C$3:$C$2150,$A271)&gt;0,1,0)</f>
        <v>0</v>
      </c>
      <c r="J271">
        <f>IF(COUNTIFS('United Data'!$A$3:$A$2150,J$1,'United Data'!$C$3:$C$2150,$A271)&gt;0,1,0)</f>
        <v>0</v>
      </c>
      <c r="K271">
        <f>IF(COUNTIFS('United Data'!$A$3:$A$2150,K$1,'United Data'!$C$3:$C$2150,$A271)&gt;0,1,0)</f>
        <v>0</v>
      </c>
      <c r="L271">
        <f>IF(COUNTIFS('United Data'!$A$3:$A$2150,L$1,'United Data'!$C$3:$C$2150,$A271)&gt;0,1,0)</f>
        <v>0</v>
      </c>
      <c r="M271">
        <f>IF(COUNTIFS('United Data'!$A$3:$A$2150,M$1,'United Data'!$C$3:$C$2150,$A271)&gt;0,1,0)</f>
        <v>0</v>
      </c>
      <c r="N271">
        <f>IF(COUNTIFS('United Data'!$A$3:$A$2150,N$1,'United Data'!$C$3:$C$2150,$A271)&gt;0,1,0)</f>
        <v>0</v>
      </c>
      <c r="O271">
        <f>IF(COUNTIFS('United Data'!$A$3:$A$2150,O$1,'United Data'!$C$3:$C$2150,$A271)&gt;0,1,0)</f>
        <v>0</v>
      </c>
      <c r="P271">
        <f>IF(COUNTIFS('United Data'!$A$3:$A$2150,P$1,'United Data'!$C$3:$C$2150,$A271)&gt;0,1,0)</f>
        <v>0</v>
      </c>
      <c r="Q271">
        <f>IF(COUNTIFS('United Data'!$A$3:$A$2150,Q$1,'United Data'!$C$3:$C$2150,$A271)&gt;0,1,0)</f>
        <v>0</v>
      </c>
      <c r="R271">
        <f>IF(COUNTIFS('United Data'!$A$3:$A$2150,R$1,'United Data'!$C$3:$C$2150,$A271)&gt;0,1,0)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317</v>
      </c>
      <c r="B272">
        <f>IF(COUNTIFS('United Data'!$A$3:$A$2150,B$1,'United Data'!$C$3:$C$2150,$A272)&gt;0,1,0)</f>
        <v>1</v>
      </c>
      <c r="C272">
        <f>IF(COUNTIFS('United Data'!$A$3:$A$2150,C$1,'United Data'!$C$3:$C$2150,$A272)&gt;0,1,0)</f>
        <v>1</v>
      </c>
      <c r="D272">
        <f>IF(COUNTIFS('United Data'!$A$3:$A$2150,D$1,'United Data'!$C$3:$C$2150,$A272)&gt;0,1,0)</f>
        <v>1</v>
      </c>
      <c r="E272">
        <f>IF(COUNTIFS('United Data'!$A$3:$A$2150,E$1,'United Data'!$C$3:$C$2150,$A272)&gt;0,1,0)</f>
        <v>0</v>
      </c>
      <c r="F272">
        <f>IF(COUNTIFS('United Data'!$A$3:$A$2150,F$1,'United Data'!$C$3:$C$2150,$A272)&gt;0,1,0)</f>
        <v>0</v>
      </c>
      <c r="G272">
        <f>IF(COUNTIFS('United Data'!$A$3:$A$2150,G$1,'United Data'!$C$3:$C$2150,$A272)&gt;0,1,0)</f>
        <v>0</v>
      </c>
      <c r="H272">
        <f>IF(COUNTIFS('United Data'!$A$3:$A$2150,H$1,'United Data'!$C$3:$C$2150,$A272)&gt;0,1,0)</f>
        <v>0</v>
      </c>
      <c r="I272">
        <f>IF(COUNTIFS('United Data'!$A$3:$A$2150,I$1,'United Data'!$C$3:$C$2150,$A272)&gt;0,1,0)</f>
        <v>0</v>
      </c>
      <c r="J272">
        <f>IF(COUNTIFS('United Data'!$A$3:$A$2150,J$1,'United Data'!$C$3:$C$2150,$A272)&gt;0,1,0)</f>
        <v>0</v>
      </c>
      <c r="K272">
        <f>IF(COUNTIFS('United Data'!$A$3:$A$2150,K$1,'United Data'!$C$3:$C$2150,$A272)&gt;0,1,0)</f>
        <v>1</v>
      </c>
      <c r="L272">
        <f>IF(COUNTIFS('United Data'!$A$3:$A$2150,L$1,'United Data'!$C$3:$C$2150,$A272)&gt;0,1,0)</f>
        <v>0</v>
      </c>
      <c r="M272">
        <f>IF(COUNTIFS('United Data'!$A$3:$A$2150,M$1,'United Data'!$C$3:$C$2150,$A272)&gt;0,1,0)</f>
        <v>1</v>
      </c>
      <c r="N272">
        <f>IF(COUNTIFS('United Data'!$A$3:$A$2150,N$1,'United Data'!$C$3:$C$2150,$A272)&gt;0,1,0)</f>
        <v>0</v>
      </c>
      <c r="O272">
        <f>IF(COUNTIFS('United Data'!$A$3:$A$2150,O$1,'United Data'!$C$3:$C$2150,$A272)&gt;0,1,0)</f>
        <v>0</v>
      </c>
      <c r="P272">
        <f>IF(COUNTIFS('United Data'!$A$3:$A$2150,P$1,'United Data'!$C$3:$C$2150,$A272)&gt;0,1,0)</f>
        <v>1</v>
      </c>
      <c r="Q272">
        <f>IF(COUNTIFS('United Data'!$A$3:$A$2150,Q$1,'United Data'!$C$3:$C$2150,$A272)&gt;0,1,0)</f>
        <v>1</v>
      </c>
      <c r="R272">
        <f>IF(COUNTIFS('United Data'!$A$3:$A$2150,R$1,'United Data'!$C$3:$C$2150,$A272)&gt;0,1,0)</f>
        <v>0</v>
      </c>
      <c r="S272">
        <f t="shared" si="8"/>
        <v>7</v>
      </c>
      <c r="T272">
        <f t="shared" si="9"/>
        <v>4</v>
      </c>
    </row>
    <row r="273" spans="1:20" x14ac:dyDescent="0.2">
      <c r="A273" t="s">
        <v>318</v>
      </c>
      <c r="B273">
        <f>IF(COUNTIFS('United Data'!$A$3:$A$2150,B$1,'United Data'!$C$3:$C$2150,$A273)&gt;0,1,0)</f>
        <v>0</v>
      </c>
      <c r="C273">
        <f>IF(COUNTIFS('United Data'!$A$3:$A$2150,C$1,'United Data'!$C$3:$C$2150,$A273)&gt;0,1,0)</f>
        <v>0</v>
      </c>
      <c r="D273">
        <f>IF(COUNTIFS('United Data'!$A$3:$A$2150,D$1,'United Data'!$C$3:$C$2150,$A273)&gt;0,1,0)</f>
        <v>0</v>
      </c>
      <c r="E273">
        <f>IF(COUNTIFS('United Data'!$A$3:$A$2150,E$1,'United Data'!$C$3:$C$2150,$A273)&gt;0,1,0)</f>
        <v>1</v>
      </c>
      <c r="F273">
        <f>IF(COUNTIFS('United Data'!$A$3:$A$2150,F$1,'United Data'!$C$3:$C$2150,$A273)&gt;0,1,0)</f>
        <v>1</v>
      </c>
      <c r="G273">
        <f>IF(COUNTIFS('United Data'!$A$3:$A$2150,G$1,'United Data'!$C$3:$C$2150,$A273)&gt;0,1,0)</f>
        <v>1</v>
      </c>
      <c r="H273">
        <f>IF(COUNTIFS('United Data'!$A$3:$A$2150,H$1,'United Data'!$C$3:$C$2150,$A273)&gt;0,1,0)</f>
        <v>1</v>
      </c>
      <c r="I273">
        <f>IF(COUNTIFS('United Data'!$A$3:$A$2150,I$1,'United Data'!$C$3:$C$2150,$A273)&gt;0,1,0)</f>
        <v>0</v>
      </c>
      <c r="J273">
        <f>IF(COUNTIFS('United Data'!$A$3:$A$2150,J$1,'United Data'!$C$3:$C$2150,$A273)&gt;0,1,0)</f>
        <v>0</v>
      </c>
      <c r="K273">
        <f>IF(COUNTIFS('United Data'!$A$3:$A$2150,K$1,'United Data'!$C$3:$C$2150,$A273)&gt;0,1,0)</f>
        <v>0</v>
      </c>
      <c r="L273">
        <f>IF(COUNTIFS('United Data'!$A$3:$A$2150,L$1,'United Data'!$C$3:$C$2150,$A273)&gt;0,1,0)</f>
        <v>0</v>
      </c>
      <c r="M273">
        <f>IF(COUNTIFS('United Data'!$A$3:$A$2150,M$1,'United Data'!$C$3:$C$2150,$A273)&gt;0,1,0)</f>
        <v>0</v>
      </c>
      <c r="N273">
        <f>IF(COUNTIFS('United Data'!$A$3:$A$2150,N$1,'United Data'!$C$3:$C$2150,$A273)&gt;0,1,0)</f>
        <v>0</v>
      </c>
      <c r="O273">
        <f>IF(COUNTIFS('United Data'!$A$3:$A$2150,O$1,'United Data'!$C$3:$C$2150,$A273)&gt;0,1,0)</f>
        <v>0</v>
      </c>
      <c r="P273">
        <f>IF(COUNTIFS('United Data'!$A$3:$A$2150,P$1,'United Data'!$C$3:$C$2150,$A273)&gt;0,1,0)</f>
        <v>0</v>
      </c>
      <c r="Q273">
        <f>IF(COUNTIFS('United Data'!$A$3:$A$2150,Q$1,'United Data'!$C$3:$C$2150,$A273)&gt;0,1,0)</f>
        <v>0</v>
      </c>
      <c r="R273">
        <f>IF(COUNTIFS('United Data'!$A$3:$A$2150,R$1,'United Data'!$C$3:$C$2150,$A273)&gt;0,1,0)</f>
        <v>0</v>
      </c>
      <c r="S273">
        <f t="shared" si="8"/>
        <v>4</v>
      </c>
      <c r="T273">
        <f t="shared" si="9"/>
        <v>1</v>
      </c>
    </row>
    <row r="274" spans="1:20" x14ac:dyDescent="0.2">
      <c r="A274" t="s">
        <v>319</v>
      </c>
      <c r="B274">
        <f>IF(COUNTIFS('United Data'!$A$3:$A$2150,B$1,'United Data'!$C$3:$C$2150,$A274)&gt;0,1,0)</f>
        <v>0</v>
      </c>
      <c r="C274">
        <f>IF(COUNTIFS('United Data'!$A$3:$A$2150,C$1,'United Data'!$C$3:$C$2150,$A274)&gt;0,1,0)</f>
        <v>0</v>
      </c>
      <c r="D274">
        <f>IF(COUNTIFS('United Data'!$A$3:$A$2150,D$1,'United Data'!$C$3:$C$2150,$A274)&gt;0,1,0)</f>
        <v>0</v>
      </c>
      <c r="E274">
        <f>IF(COUNTIFS('United Data'!$A$3:$A$2150,E$1,'United Data'!$C$3:$C$2150,$A274)&gt;0,1,0)</f>
        <v>1</v>
      </c>
      <c r="F274">
        <f>IF(COUNTIFS('United Data'!$A$3:$A$2150,F$1,'United Data'!$C$3:$C$2150,$A274)&gt;0,1,0)</f>
        <v>0</v>
      </c>
      <c r="G274">
        <f>IF(COUNTIFS('United Data'!$A$3:$A$2150,G$1,'United Data'!$C$3:$C$2150,$A274)&gt;0,1,0)</f>
        <v>0</v>
      </c>
      <c r="H274">
        <f>IF(COUNTIFS('United Data'!$A$3:$A$2150,H$1,'United Data'!$C$3:$C$2150,$A274)&gt;0,1,0)</f>
        <v>0</v>
      </c>
      <c r="I274">
        <f>IF(COUNTIFS('United Data'!$A$3:$A$2150,I$1,'United Data'!$C$3:$C$2150,$A274)&gt;0,1,0)</f>
        <v>0</v>
      </c>
      <c r="J274">
        <f>IF(COUNTIFS('United Data'!$A$3:$A$2150,J$1,'United Data'!$C$3:$C$2150,$A274)&gt;0,1,0)</f>
        <v>0</v>
      </c>
      <c r="K274">
        <f>IF(COUNTIFS('United Data'!$A$3:$A$2150,K$1,'United Data'!$C$3:$C$2150,$A274)&gt;0,1,0)</f>
        <v>0</v>
      </c>
      <c r="L274">
        <f>IF(COUNTIFS('United Data'!$A$3:$A$2150,L$1,'United Data'!$C$3:$C$2150,$A274)&gt;0,1,0)</f>
        <v>0</v>
      </c>
      <c r="M274">
        <f>IF(COUNTIFS('United Data'!$A$3:$A$2150,M$1,'United Data'!$C$3:$C$2150,$A274)&gt;0,1,0)</f>
        <v>0</v>
      </c>
      <c r="N274">
        <f>IF(COUNTIFS('United Data'!$A$3:$A$2150,N$1,'United Data'!$C$3:$C$2150,$A274)&gt;0,1,0)</f>
        <v>0</v>
      </c>
      <c r="O274">
        <f>IF(COUNTIFS('United Data'!$A$3:$A$2150,O$1,'United Data'!$C$3:$C$2150,$A274)&gt;0,1,0)</f>
        <v>0</v>
      </c>
      <c r="P274">
        <f>IF(COUNTIFS('United Data'!$A$3:$A$2150,P$1,'United Data'!$C$3:$C$2150,$A274)&gt;0,1,0)</f>
        <v>1</v>
      </c>
      <c r="Q274">
        <f>IF(COUNTIFS('United Data'!$A$3:$A$2150,Q$1,'United Data'!$C$3:$C$2150,$A274)&gt;0,1,0)</f>
        <v>0</v>
      </c>
      <c r="R274">
        <f>IF(COUNTIFS('United Data'!$A$3:$A$2150,R$1,'United Data'!$C$3:$C$2150,$A274)&gt;0,1,0)</f>
        <v>0</v>
      </c>
      <c r="S274">
        <f t="shared" si="8"/>
        <v>2</v>
      </c>
      <c r="T274">
        <f t="shared" si="9"/>
        <v>2</v>
      </c>
    </row>
    <row r="275" spans="1:20" x14ac:dyDescent="0.2">
      <c r="A275" t="s">
        <v>320</v>
      </c>
      <c r="B275">
        <f>IF(COUNTIFS('United Data'!$A$3:$A$2150,B$1,'United Data'!$C$3:$C$2150,$A275)&gt;0,1,0)</f>
        <v>0</v>
      </c>
      <c r="C275">
        <f>IF(COUNTIFS('United Data'!$A$3:$A$2150,C$1,'United Data'!$C$3:$C$2150,$A275)&gt;0,1,0)</f>
        <v>0</v>
      </c>
      <c r="D275">
        <f>IF(COUNTIFS('United Data'!$A$3:$A$2150,D$1,'United Data'!$C$3:$C$2150,$A275)&gt;0,1,0)</f>
        <v>1</v>
      </c>
      <c r="E275">
        <f>IF(COUNTIFS('United Data'!$A$3:$A$2150,E$1,'United Data'!$C$3:$C$2150,$A275)&gt;0,1,0)</f>
        <v>1</v>
      </c>
      <c r="F275">
        <f>IF(COUNTIFS('United Data'!$A$3:$A$2150,F$1,'United Data'!$C$3:$C$2150,$A275)&gt;0,1,0)</f>
        <v>1</v>
      </c>
      <c r="G275">
        <f>IF(COUNTIFS('United Data'!$A$3:$A$2150,G$1,'United Data'!$C$3:$C$2150,$A275)&gt;0,1,0)</f>
        <v>1</v>
      </c>
      <c r="H275">
        <f>IF(COUNTIFS('United Data'!$A$3:$A$2150,H$1,'United Data'!$C$3:$C$2150,$A275)&gt;0,1,0)</f>
        <v>0</v>
      </c>
      <c r="I275">
        <f>IF(COUNTIFS('United Data'!$A$3:$A$2150,I$1,'United Data'!$C$3:$C$2150,$A275)&gt;0,1,0)</f>
        <v>1</v>
      </c>
      <c r="J275">
        <f>IF(COUNTIFS('United Data'!$A$3:$A$2150,J$1,'United Data'!$C$3:$C$2150,$A275)&gt;0,1,0)</f>
        <v>0</v>
      </c>
      <c r="K275">
        <f>IF(COUNTIFS('United Data'!$A$3:$A$2150,K$1,'United Data'!$C$3:$C$2150,$A275)&gt;0,1,0)</f>
        <v>0</v>
      </c>
      <c r="L275">
        <f>IF(COUNTIFS('United Data'!$A$3:$A$2150,L$1,'United Data'!$C$3:$C$2150,$A275)&gt;0,1,0)</f>
        <v>0</v>
      </c>
      <c r="M275">
        <f>IF(COUNTIFS('United Data'!$A$3:$A$2150,M$1,'United Data'!$C$3:$C$2150,$A275)&gt;0,1,0)</f>
        <v>0</v>
      </c>
      <c r="N275">
        <f>IF(COUNTIFS('United Data'!$A$3:$A$2150,N$1,'United Data'!$C$3:$C$2150,$A275)&gt;0,1,0)</f>
        <v>0</v>
      </c>
      <c r="O275">
        <f>IF(COUNTIFS('United Data'!$A$3:$A$2150,O$1,'United Data'!$C$3:$C$2150,$A275)&gt;0,1,0)</f>
        <v>0</v>
      </c>
      <c r="P275">
        <f>IF(COUNTIFS('United Data'!$A$3:$A$2150,P$1,'United Data'!$C$3:$C$2150,$A275)&gt;0,1,0)</f>
        <v>0</v>
      </c>
      <c r="Q275">
        <f>IF(COUNTIFS('United Data'!$A$3:$A$2150,Q$1,'United Data'!$C$3:$C$2150,$A275)&gt;0,1,0)</f>
        <v>0</v>
      </c>
      <c r="R275">
        <f>IF(COUNTIFS('United Data'!$A$3:$A$2150,R$1,'United Data'!$C$3:$C$2150,$A275)&gt;0,1,0)</f>
        <v>0</v>
      </c>
      <c r="S275">
        <f t="shared" si="8"/>
        <v>5</v>
      </c>
      <c r="T275">
        <f t="shared" si="9"/>
        <v>2</v>
      </c>
    </row>
    <row r="276" spans="1:20" x14ac:dyDescent="0.2">
      <c r="A276" t="s">
        <v>321</v>
      </c>
      <c r="B276">
        <f>IF(COUNTIFS('United Data'!$A$3:$A$2150,B$1,'United Data'!$C$3:$C$2150,$A276)&gt;0,1,0)</f>
        <v>0</v>
      </c>
      <c r="C276">
        <f>IF(COUNTIFS('United Data'!$A$3:$A$2150,C$1,'United Data'!$C$3:$C$2150,$A276)&gt;0,1,0)</f>
        <v>0</v>
      </c>
      <c r="D276">
        <f>IF(COUNTIFS('United Data'!$A$3:$A$2150,D$1,'United Data'!$C$3:$C$2150,$A276)&gt;0,1,0)</f>
        <v>0</v>
      </c>
      <c r="E276">
        <f>IF(COUNTIFS('United Data'!$A$3:$A$2150,E$1,'United Data'!$C$3:$C$2150,$A276)&gt;0,1,0)</f>
        <v>1</v>
      </c>
      <c r="F276">
        <f>IF(COUNTIFS('United Data'!$A$3:$A$2150,F$1,'United Data'!$C$3:$C$2150,$A276)&gt;0,1,0)</f>
        <v>1</v>
      </c>
      <c r="G276">
        <f>IF(COUNTIFS('United Data'!$A$3:$A$2150,G$1,'United Data'!$C$3:$C$2150,$A276)&gt;0,1,0)</f>
        <v>1</v>
      </c>
      <c r="H276">
        <f>IF(COUNTIFS('United Data'!$A$3:$A$2150,H$1,'United Data'!$C$3:$C$2150,$A276)&gt;0,1,0)</f>
        <v>0</v>
      </c>
      <c r="I276">
        <f>IF(COUNTIFS('United Data'!$A$3:$A$2150,I$1,'United Data'!$C$3:$C$2150,$A276)&gt;0,1,0)</f>
        <v>1</v>
      </c>
      <c r="J276">
        <f>IF(COUNTIFS('United Data'!$A$3:$A$2150,J$1,'United Data'!$C$3:$C$2150,$A276)&gt;0,1,0)</f>
        <v>0</v>
      </c>
      <c r="K276">
        <f>IF(COUNTIFS('United Data'!$A$3:$A$2150,K$1,'United Data'!$C$3:$C$2150,$A276)&gt;0,1,0)</f>
        <v>0</v>
      </c>
      <c r="L276">
        <f>IF(COUNTIFS('United Data'!$A$3:$A$2150,L$1,'United Data'!$C$3:$C$2150,$A276)&gt;0,1,0)</f>
        <v>0</v>
      </c>
      <c r="M276">
        <f>IF(COUNTIFS('United Data'!$A$3:$A$2150,M$1,'United Data'!$C$3:$C$2150,$A276)&gt;0,1,0)</f>
        <v>0</v>
      </c>
      <c r="N276">
        <f>IF(COUNTIFS('United Data'!$A$3:$A$2150,N$1,'United Data'!$C$3:$C$2150,$A276)&gt;0,1,0)</f>
        <v>0</v>
      </c>
      <c r="O276">
        <f>IF(COUNTIFS('United Data'!$A$3:$A$2150,O$1,'United Data'!$C$3:$C$2150,$A276)&gt;0,1,0)</f>
        <v>0</v>
      </c>
      <c r="P276">
        <f>IF(COUNTIFS('United Data'!$A$3:$A$2150,P$1,'United Data'!$C$3:$C$2150,$A276)&gt;0,1,0)</f>
        <v>0</v>
      </c>
      <c r="Q276">
        <f>IF(COUNTIFS('United Data'!$A$3:$A$2150,Q$1,'United Data'!$C$3:$C$2150,$A276)&gt;0,1,0)</f>
        <v>0</v>
      </c>
      <c r="R276">
        <f>IF(COUNTIFS('United Data'!$A$3:$A$2150,R$1,'United Data'!$C$3:$C$2150,$A276)&gt;0,1,0)</f>
        <v>0</v>
      </c>
      <c r="S276">
        <f t="shared" si="8"/>
        <v>4</v>
      </c>
      <c r="T276">
        <f t="shared" si="9"/>
        <v>2</v>
      </c>
    </row>
    <row r="277" spans="1:20" x14ac:dyDescent="0.2">
      <c r="A277" t="s">
        <v>322</v>
      </c>
      <c r="B277">
        <f>IF(COUNTIFS('United Data'!$A$3:$A$2150,B$1,'United Data'!$C$3:$C$2150,$A277)&gt;0,1,0)</f>
        <v>0</v>
      </c>
      <c r="C277">
        <f>IF(COUNTIFS('United Data'!$A$3:$A$2150,C$1,'United Data'!$C$3:$C$2150,$A277)&gt;0,1,0)</f>
        <v>0</v>
      </c>
      <c r="D277">
        <f>IF(COUNTIFS('United Data'!$A$3:$A$2150,D$1,'United Data'!$C$3:$C$2150,$A277)&gt;0,1,0)</f>
        <v>0</v>
      </c>
      <c r="E277">
        <f>IF(COUNTIFS('United Data'!$A$3:$A$2150,E$1,'United Data'!$C$3:$C$2150,$A277)&gt;0,1,0)</f>
        <v>1</v>
      </c>
      <c r="F277">
        <f>IF(COUNTIFS('United Data'!$A$3:$A$2150,F$1,'United Data'!$C$3:$C$2150,$A277)&gt;0,1,0)</f>
        <v>1</v>
      </c>
      <c r="G277">
        <f>IF(COUNTIFS('United Data'!$A$3:$A$2150,G$1,'United Data'!$C$3:$C$2150,$A277)&gt;0,1,0)</f>
        <v>1</v>
      </c>
      <c r="H277">
        <f>IF(COUNTIFS('United Data'!$A$3:$A$2150,H$1,'United Data'!$C$3:$C$2150,$A277)&gt;0,1,0)</f>
        <v>0</v>
      </c>
      <c r="I277">
        <f>IF(COUNTIFS('United Data'!$A$3:$A$2150,I$1,'United Data'!$C$3:$C$2150,$A277)&gt;0,1,0)</f>
        <v>1</v>
      </c>
      <c r="J277">
        <f>IF(COUNTIFS('United Data'!$A$3:$A$2150,J$1,'United Data'!$C$3:$C$2150,$A277)&gt;0,1,0)</f>
        <v>0</v>
      </c>
      <c r="K277">
        <f>IF(COUNTIFS('United Data'!$A$3:$A$2150,K$1,'United Data'!$C$3:$C$2150,$A277)&gt;0,1,0)</f>
        <v>1</v>
      </c>
      <c r="L277">
        <f>IF(COUNTIFS('United Data'!$A$3:$A$2150,L$1,'United Data'!$C$3:$C$2150,$A277)&gt;0,1,0)</f>
        <v>0</v>
      </c>
      <c r="M277">
        <f>IF(COUNTIFS('United Data'!$A$3:$A$2150,M$1,'United Data'!$C$3:$C$2150,$A277)&gt;0,1,0)</f>
        <v>1</v>
      </c>
      <c r="N277">
        <f>IF(COUNTIFS('United Data'!$A$3:$A$2150,N$1,'United Data'!$C$3:$C$2150,$A277)&gt;0,1,0)</f>
        <v>0</v>
      </c>
      <c r="O277">
        <f>IF(COUNTIFS('United Data'!$A$3:$A$2150,O$1,'United Data'!$C$3:$C$2150,$A277)&gt;0,1,0)</f>
        <v>0</v>
      </c>
      <c r="P277">
        <f>IF(COUNTIFS('United Data'!$A$3:$A$2150,P$1,'United Data'!$C$3:$C$2150,$A277)&gt;0,1,0)</f>
        <v>1</v>
      </c>
      <c r="Q277">
        <f>IF(COUNTIFS('United Data'!$A$3:$A$2150,Q$1,'United Data'!$C$3:$C$2150,$A277)&gt;0,1,0)</f>
        <v>1</v>
      </c>
      <c r="R277">
        <f>IF(COUNTIFS('United Data'!$A$3:$A$2150,R$1,'United Data'!$C$3:$C$2150,$A277)&gt;0,1,0)</f>
        <v>0</v>
      </c>
      <c r="S277">
        <f t="shared" si="8"/>
        <v>8</v>
      </c>
      <c r="T277">
        <f t="shared" si="9"/>
        <v>5</v>
      </c>
    </row>
    <row r="278" spans="1:20" x14ac:dyDescent="0.2">
      <c r="A278" t="s">
        <v>323</v>
      </c>
      <c r="B278">
        <f>IF(COUNTIFS('United Data'!$A$3:$A$2150,B$1,'United Data'!$C$3:$C$2150,$A278)&gt;0,1,0)</f>
        <v>0</v>
      </c>
      <c r="C278">
        <f>IF(COUNTIFS('United Data'!$A$3:$A$2150,C$1,'United Data'!$C$3:$C$2150,$A278)&gt;0,1,0)</f>
        <v>0</v>
      </c>
      <c r="D278">
        <f>IF(COUNTIFS('United Data'!$A$3:$A$2150,D$1,'United Data'!$C$3:$C$2150,$A278)&gt;0,1,0)</f>
        <v>0</v>
      </c>
      <c r="E278">
        <f>IF(COUNTIFS('United Data'!$A$3:$A$2150,E$1,'United Data'!$C$3:$C$2150,$A278)&gt;0,1,0)</f>
        <v>0</v>
      </c>
      <c r="F278">
        <f>IF(COUNTIFS('United Data'!$A$3:$A$2150,F$1,'United Data'!$C$3:$C$2150,$A278)&gt;0,1,0)</f>
        <v>1</v>
      </c>
      <c r="G278">
        <f>IF(COUNTIFS('United Data'!$A$3:$A$2150,G$1,'United Data'!$C$3:$C$2150,$A278)&gt;0,1,0)</f>
        <v>0</v>
      </c>
      <c r="H278">
        <f>IF(COUNTIFS('United Data'!$A$3:$A$2150,H$1,'United Data'!$C$3:$C$2150,$A278)&gt;0,1,0)</f>
        <v>0</v>
      </c>
      <c r="I278">
        <f>IF(COUNTIFS('United Data'!$A$3:$A$2150,I$1,'United Data'!$C$3:$C$2150,$A278)&gt;0,1,0)</f>
        <v>0</v>
      </c>
      <c r="J278">
        <f>IF(COUNTIFS('United Data'!$A$3:$A$2150,J$1,'United Data'!$C$3:$C$2150,$A278)&gt;0,1,0)</f>
        <v>0</v>
      </c>
      <c r="K278">
        <f>IF(COUNTIFS('United Data'!$A$3:$A$2150,K$1,'United Data'!$C$3:$C$2150,$A278)&gt;0,1,0)</f>
        <v>0</v>
      </c>
      <c r="L278">
        <f>IF(COUNTIFS('United Data'!$A$3:$A$2150,L$1,'United Data'!$C$3:$C$2150,$A278)&gt;0,1,0)</f>
        <v>0</v>
      </c>
      <c r="M278">
        <f>IF(COUNTIFS('United Data'!$A$3:$A$2150,M$1,'United Data'!$C$3:$C$2150,$A278)&gt;0,1,0)</f>
        <v>0</v>
      </c>
      <c r="N278">
        <f>IF(COUNTIFS('United Data'!$A$3:$A$2150,N$1,'United Data'!$C$3:$C$2150,$A278)&gt;0,1,0)</f>
        <v>0</v>
      </c>
      <c r="O278">
        <f>IF(COUNTIFS('United Data'!$A$3:$A$2150,O$1,'United Data'!$C$3:$C$2150,$A278)&gt;0,1,0)</f>
        <v>0</v>
      </c>
      <c r="P278">
        <f>IF(COUNTIFS('United Data'!$A$3:$A$2150,P$1,'United Data'!$C$3:$C$2150,$A278)&gt;0,1,0)</f>
        <v>0</v>
      </c>
      <c r="Q278">
        <f>IF(COUNTIFS('United Data'!$A$3:$A$2150,Q$1,'United Data'!$C$3:$C$2150,$A278)&gt;0,1,0)</f>
        <v>0</v>
      </c>
      <c r="R278">
        <f>IF(COUNTIFS('United Data'!$A$3:$A$2150,R$1,'United Data'!$C$3:$C$2150,$A278)&gt;0,1,0)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324</v>
      </c>
      <c r="B279">
        <f>IF(COUNTIFS('United Data'!$A$3:$A$2150,B$1,'United Data'!$C$3:$C$2150,$A279)&gt;0,1,0)</f>
        <v>0</v>
      </c>
      <c r="C279">
        <f>IF(COUNTIFS('United Data'!$A$3:$A$2150,C$1,'United Data'!$C$3:$C$2150,$A279)&gt;0,1,0)</f>
        <v>0</v>
      </c>
      <c r="D279">
        <f>IF(COUNTIFS('United Data'!$A$3:$A$2150,D$1,'United Data'!$C$3:$C$2150,$A279)&gt;0,1,0)</f>
        <v>0</v>
      </c>
      <c r="E279">
        <f>IF(COUNTIFS('United Data'!$A$3:$A$2150,E$1,'United Data'!$C$3:$C$2150,$A279)&gt;0,1,0)</f>
        <v>0</v>
      </c>
      <c r="F279">
        <f>IF(COUNTIFS('United Data'!$A$3:$A$2150,F$1,'United Data'!$C$3:$C$2150,$A279)&gt;0,1,0)</f>
        <v>1</v>
      </c>
      <c r="G279">
        <f>IF(COUNTIFS('United Data'!$A$3:$A$2150,G$1,'United Data'!$C$3:$C$2150,$A279)&gt;0,1,0)</f>
        <v>0</v>
      </c>
      <c r="H279">
        <f>IF(COUNTIFS('United Data'!$A$3:$A$2150,H$1,'United Data'!$C$3:$C$2150,$A279)&gt;0,1,0)</f>
        <v>0</v>
      </c>
      <c r="I279">
        <f>IF(COUNTIFS('United Data'!$A$3:$A$2150,I$1,'United Data'!$C$3:$C$2150,$A279)&gt;0,1,0)</f>
        <v>0</v>
      </c>
      <c r="J279">
        <f>IF(COUNTIFS('United Data'!$A$3:$A$2150,J$1,'United Data'!$C$3:$C$2150,$A279)&gt;0,1,0)</f>
        <v>0</v>
      </c>
      <c r="K279">
        <f>IF(COUNTIFS('United Data'!$A$3:$A$2150,K$1,'United Data'!$C$3:$C$2150,$A279)&gt;0,1,0)</f>
        <v>0</v>
      </c>
      <c r="L279">
        <f>IF(COUNTIFS('United Data'!$A$3:$A$2150,L$1,'United Data'!$C$3:$C$2150,$A279)&gt;0,1,0)</f>
        <v>0</v>
      </c>
      <c r="M279">
        <f>IF(COUNTIFS('United Data'!$A$3:$A$2150,M$1,'United Data'!$C$3:$C$2150,$A279)&gt;0,1,0)</f>
        <v>0</v>
      </c>
      <c r="N279">
        <f>IF(COUNTIFS('United Data'!$A$3:$A$2150,N$1,'United Data'!$C$3:$C$2150,$A279)&gt;0,1,0)</f>
        <v>0</v>
      </c>
      <c r="O279">
        <f>IF(COUNTIFS('United Data'!$A$3:$A$2150,O$1,'United Data'!$C$3:$C$2150,$A279)&gt;0,1,0)</f>
        <v>0</v>
      </c>
      <c r="P279">
        <f>IF(COUNTIFS('United Data'!$A$3:$A$2150,P$1,'United Data'!$C$3:$C$2150,$A279)&gt;0,1,0)</f>
        <v>0</v>
      </c>
      <c r="Q279">
        <f>IF(COUNTIFS('United Data'!$A$3:$A$2150,Q$1,'United Data'!$C$3:$C$2150,$A279)&gt;0,1,0)</f>
        <v>0</v>
      </c>
      <c r="R279">
        <f>IF(COUNTIFS('United Data'!$A$3:$A$2150,R$1,'United Data'!$C$3:$C$2150,$A279)&gt;0,1,0)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325</v>
      </c>
      <c r="B280">
        <f>IF(COUNTIFS('United Data'!$A$3:$A$2150,B$1,'United Data'!$C$3:$C$2150,$A280)&gt;0,1,0)</f>
        <v>0</v>
      </c>
      <c r="C280">
        <f>IF(COUNTIFS('United Data'!$A$3:$A$2150,C$1,'United Data'!$C$3:$C$2150,$A280)&gt;0,1,0)</f>
        <v>0</v>
      </c>
      <c r="D280">
        <f>IF(COUNTIFS('United Data'!$A$3:$A$2150,D$1,'United Data'!$C$3:$C$2150,$A280)&gt;0,1,0)</f>
        <v>0</v>
      </c>
      <c r="E280">
        <f>IF(COUNTIFS('United Data'!$A$3:$A$2150,E$1,'United Data'!$C$3:$C$2150,$A280)&gt;0,1,0)</f>
        <v>0</v>
      </c>
      <c r="F280">
        <f>IF(COUNTIFS('United Data'!$A$3:$A$2150,F$1,'United Data'!$C$3:$C$2150,$A280)&gt;0,1,0)</f>
        <v>1</v>
      </c>
      <c r="G280">
        <f>IF(COUNTIFS('United Data'!$A$3:$A$2150,G$1,'United Data'!$C$3:$C$2150,$A280)&gt;0,1,0)</f>
        <v>0</v>
      </c>
      <c r="H280">
        <f>IF(COUNTIFS('United Data'!$A$3:$A$2150,H$1,'United Data'!$C$3:$C$2150,$A280)&gt;0,1,0)</f>
        <v>0</v>
      </c>
      <c r="I280">
        <f>IF(COUNTIFS('United Data'!$A$3:$A$2150,I$1,'United Data'!$C$3:$C$2150,$A280)&gt;0,1,0)</f>
        <v>0</v>
      </c>
      <c r="J280">
        <f>IF(COUNTIFS('United Data'!$A$3:$A$2150,J$1,'United Data'!$C$3:$C$2150,$A280)&gt;0,1,0)</f>
        <v>0</v>
      </c>
      <c r="K280">
        <f>IF(COUNTIFS('United Data'!$A$3:$A$2150,K$1,'United Data'!$C$3:$C$2150,$A280)&gt;0,1,0)</f>
        <v>0</v>
      </c>
      <c r="L280">
        <f>IF(COUNTIFS('United Data'!$A$3:$A$2150,L$1,'United Data'!$C$3:$C$2150,$A280)&gt;0,1,0)</f>
        <v>0</v>
      </c>
      <c r="M280">
        <f>IF(COUNTIFS('United Data'!$A$3:$A$2150,M$1,'United Data'!$C$3:$C$2150,$A280)&gt;0,1,0)</f>
        <v>0</v>
      </c>
      <c r="N280">
        <f>IF(COUNTIFS('United Data'!$A$3:$A$2150,N$1,'United Data'!$C$3:$C$2150,$A280)&gt;0,1,0)</f>
        <v>0</v>
      </c>
      <c r="O280">
        <f>IF(COUNTIFS('United Data'!$A$3:$A$2150,O$1,'United Data'!$C$3:$C$2150,$A280)&gt;0,1,0)</f>
        <v>0</v>
      </c>
      <c r="P280">
        <f>IF(COUNTIFS('United Data'!$A$3:$A$2150,P$1,'United Data'!$C$3:$C$2150,$A280)&gt;0,1,0)</f>
        <v>0</v>
      </c>
      <c r="Q280">
        <f>IF(COUNTIFS('United Data'!$A$3:$A$2150,Q$1,'United Data'!$C$3:$C$2150,$A280)&gt;0,1,0)</f>
        <v>0</v>
      </c>
      <c r="R280">
        <f>IF(COUNTIFS('United Data'!$A$3:$A$2150,R$1,'United Data'!$C$3:$C$2150,$A280)&gt;0,1,0)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326</v>
      </c>
      <c r="B281">
        <f>IF(COUNTIFS('United Data'!$A$3:$A$2150,B$1,'United Data'!$C$3:$C$2150,$A281)&gt;0,1,0)</f>
        <v>0</v>
      </c>
      <c r="C281">
        <f>IF(COUNTIFS('United Data'!$A$3:$A$2150,C$1,'United Data'!$C$3:$C$2150,$A281)&gt;0,1,0)</f>
        <v>0</v>
      </c>
      <c r="D281">
        <f>IF(COUNTIFS('United Data'!$A$3:$A$2150,D$1,'United Data'!$C$3:$C$2150,$A281)&gt;0,1,0)</f>
        <v>0</v>
      </c>
      <c r="E281">
        <f>IF(COUNTIFS('United Data'!$A$3:$A$2150,E$1,'United Data'!$C$3:$C$2150,$A281)&gt;0,1,0)</f>
        <v>0</v>
      </c>
      <c r="F281">
        <f>IF(COUNTIFS('United Data'!$A$3:$A$2150,F$1,'United Data'!$C$3:$C$2150,$A281)&gt;0,1,0)</f>
        <v>1</v>
      </c>
      <c r="G281">
        <f>IF(COUNTIFS('United Data'!$A$3:$A$2150,G$1,'United Data'!$C$3:$C$2150,$A281)&gt;0,1,0)</f>
        <v>0</v>
      </c>
      <c r="H281">
        <f>IF(COUNTIFS('United Data'!$A$3:$A$2150,H$1,'United Data'!$C$3:$C$2150,$A281)&gt;0,1,0)</f>
        <v>0</v>
      </c>
      <c r="I281">
        <f>IF(COUNTIFS('United Data'!$A$3:$A$2150,I$1,'United Data'!$C$3:$C$2150,$A281)&gt;0,1,0)</f>
        <v>0</v>
      </c>
      <c r="J281">
        <f>IF(COUNTIFS('United Data'!$A$3:$A$2150,J$1,'United Data'!$C$3:$C$2150,$A281)&gt;0,1,0)</f>
        <v>0</v>
      </c>
      <c r="K281">
        <f>IF(COUNTIFS('United Data'!$A$3:$A$2150,K$1,'United Data'!$C$3:$C$2150,$A281)&gt;0,1,0)</f>
        <v>0</v>
      </c>
      <c r="L281">
        <f>IF(COUNTIFS('United Data'!$A$3:$A$2150,L$1,'United Data'!$C$3:$C$2150,$A281)&gt;0,1,0)</f>
        <v>0</v>
      </c>
      <c r="M281">
        <f>IF(COUNTIFS('United Data'!$A$3:$A$2150,M$1,'United Data'!$C$3:$C$2150,$A281)&gt;0,1,0)</f>
        <v>0</v>
      </c>
      <c r="N281">
        <f>IF(COUNTIFS('United Data'!$A$3:$A$2150,N$1,'United Data'!$C$3:$C$2150,$A281)&gt;0,1,0)</f>
        <v>0</v>
      </c>
      <c r="O281">
        <f>IF(COUNTIFS('United Data'!$A$3:$A$2150,O$1,'United Data'!$C$3:$C$2150,$A281)&gt;0,1,0)</f>
        <v>0</v>
      </c>
      <c r="P281">
        <f>IF(COUNTIFS('United Data'!$A$3:$A$2150,P$1,'United Data'!$C$3:$C$2150,$A281)&gt;0,1,0)</f>
        <v>0</v>
      </c>
      <c r="Q281">
        <f>IF(COUNTIFS('United Data'!$A$3:$A$2150,Q$1,'United Data'!$C$3:$C$2150,$A281)&gt;0,1,0)</f>
        <v>0</v>
      </c>
      <c r="R281">
        <f>IF(COUNTIFS('United Data'!$A$3:$A$2150,R$1,'United Data'!$C$3:$C$2150,$A281)&gt;0,1,0)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327</v>
      </c>
      <c r="B282">
        <f>IF(COUNTIFS('United Data'!$A$3:$A$2150,B$1,'United Data'!$C$3:$C$2150,$A282)&gt;0,1,0)</f>
        <v>0</v>
      </c>
      <c r="C282">
        <f>IF(COUNTIFS('United Data'!$A$3:$A$2150,C$1,'United Data'!$C$3:$C$2150,$A282)&gt;0,1,0)</f>
        <v>0</v>
      </c>
      <c r="D282">
        <f>IF(COUNTIFS('United Data'!$A$3:$A$2150,D$1,'United Data'!$C$3:$C$2150,$A282)&gt;0,1,0)</f>
        <v>0</v>
      </c>
      <c r="E282">
        <f>IF(COUNTIFS('United Data'!$A$3:$A$2150,E$1,'United Data'!$C$3:$C$2150,$A282)&gt;0,1,0)</f>
        <v>0</v>
      </c>
      <c r="F282">
        <f>IF(COUNTIFS('United Data'!$A$3:$A$2150,F$1,'United Data'!$C$3:$C$2150,$A282)&gt;0,1,0)</f>
        <v>1</v>
      </c>
      <c r="G282">
        <f>IF(COUNTIFS('United Data'!$A$3:$A$2150,G$1,'United Data'!$C$3:$C$2150,$A282)&gt;0,1,0)</f>
        <v>1</v>
      </c>
      <c r="H282">
        <f>IF(COUNTIFS('United Data'!$A$3:$A$2150,H$1,'United Data'!$C$3:$C$2150,$A282)&gt;0,1,0)</f>
        <v>0</v>
      </c>
      <c r="I282">
        <f>IF(COUNTIFS('United Data'!$A$3:$A$2150,I$1,'United Data'!$C$3:$C$2150,$A282)&gt;0,1,0)</f>
        <v>0</v>
      </c>
      <c r="J282">
        <f>IF(COUNTIFS('United Data'!$A$3:$A$2150,J$1,'United Data'!$C$3:$C$2150,$A282)&gt;0,1,0)</f>
        <v>0</v>
      </c>
      <c r="K282">
        <f>IF(COUNTIFS('United Data'!$A$3:$A$2150,K$1,'United Data'!$C$3:$C$2150,$A282)&gt;0,1,0)</f>
        <v>0</v>
      </c>
      <c r="L282">
        <f>IF(COUNTIFS('United Data'!$A$3:$A$2150,L$1,'United Data'!$C$3:$C$2150,$A282)&gt;0,1,0)</f>
        <v>0</v>
      </c>
      <c r="M282">
        <f>IF(COUNTIFS('United Data'!$A$3:$A$2150,M$1,'United Data'!$C$3:$C$2150,$A282)&gt;0,1,0)</f>
        <v>0</v>
      </c>
      <c r="N282">
        <f>IF(COUNTIFS('United Data'!$A$3:$A$2150,N$1,'United Data'!$C$3:$C$2150,$A282)&gt;0,1,0)</f>
        <v>0</v>
      </c>
      <c r="O282">
        <f>IF(COUNTIFS('United Data'!$A$3:$A$2150,O$1,'United Data'!$C$3:$C$2150,$A282)&gt;0,1,0)</f>
        <v>0</v>
      </c>
      <c r="P282">
        <f>IF(COUNTIFS('United Data'!$A$3:$A$2150,P$1,'United Data'!$C$3:$C$2150,$A282)&gt;0,1,0)</f>
        <v>0</v>
      </c>
      <c r="Q282">
        <f>IF(COUNTIFS('United Data'!$A$3:$A$2150,Q$1,'United Data'!$C$3:$C$2150,$A282)&gt;0,1,0)</f>
        <v>0</v>
      </c>
      <c r="R282">
        <f>IF(COUNTIFS('United Data'!$A$3:$A$2150,R$1,'United Data'!$C$3:$C$2150,$A282)&gt;0,1,0)</f>
        <v>0</v>
      </c>
      <c r="S282">
        <f t="shared" si="8"/>
        <v>2</v>
      </c>
      <c r="T282">
        <f t="shared" si="9"/>
        <v>1</v>
      </c>
    </row>
    <row r="283" spans="1:20" x14ac:dyDescent="0.2">
      <c r="A283" t="s">
        <v>328</v>
      </c>
      <c r="B283">
        <f>IF(COUNTIFS('United Data'!$A$3:$A$2150,B$1,'United Data'!$C$3:$C$2150,$A283)&gt;0,1,0)</f>
        <v>0</v>
      </c>
      <c r="C283">
        <f>IF(COUNTIFS('United Data'!$A$3:$A$2150,C$1,'United Data'!$C$3:$C$2150,$A283)&gt;0,1,0)</f>
        <v>0</v>
      </c>
      <c r="D283">
        <f>IF(COUNTIFS('United Data'!$A$3:$A$2150,D$1,'United Data'!$C$3:$C$2150,$A283)&gt;0,1,0)</f>
        <v>0</v>
      </c>
      <c r="E283">
        <f>IF(COUNTIFS('United Data'!$A$3:$A$2150,E$1,'United Data'!$C$3:$C$2150,$A283)&gt;0,1,0)</f>
        <v>0</v>
      </c>
      <c r="F283">
        <f>IF(COUNTIFS('United Data'!$A$3:$A$2150,F$1,'United Data'!$C$3:$C$2150,$A283)&gt;0,1,0)</f>
        <v>0</v>
      </c>
      <c r="G283">
        <f>IF(COUNTIFS('United Data'!$A$3:$A$2150,G$1,'United Data'!$C$3:$C$2150,$A283)&gt;0,1,0)</f>
        <v>1</v>
      </c>
      <c r="H283">
        <f>IF(COUNTIFS('United Data'!$A$3:$A$2150,H$1,'United Data'!$C$3:$C$2150,$A283)&gt;0,1,0)</f>
        <v>0</v>
      </c>
      <c r="I283">
        <f>IF(COUNTIFS('United Data'!$A$3:$A$2150,I$1,'United Data'!$C$3:$C$2150,$A283)&gt;0,1,0)</f>
        <v>0</v>
      </c>
      <c r="J283">
        <f>IF(COUNTIFS('United Data'!$A$3:$A$2150,J$1,'United Data'!$C$3:$C$2150,$A283)&gt;0,1,0)</f>
        <v>0</v>
      </c>
      <c r="K283">
        <f>IF(COUNTIFS('United Data'!$A$3:$A$2150,K$1,'United Data'!$C$3:$C$2150,$A283)&gt;0,1,0)</f>
        <v>0</v>
      </c>
      <c r="L283">
        <f>IF(COUNTIFS('United Data'!$A$3:$A$2150,L$1,'United Data'!$C$3:$C$2150,$A283)&gt;0,1,0)</f>
        <v>0</v>
      </c>
      <c r="M283">
        <f>IF(COUNTIFS('United Data'!$A$3:$A$2150,M$1,'United Data'!$C$3:$C$2150,$A283)&gt;0,1,0)</f>
        <v>0</v>
      </c>
      <c r="N283">
        <f>IF(COUNTIFS('United Data'!$A$3:$A$2150,N$1,'United Data'!$C$3:$C$2150,$A283)&gt;0,1,0)</f>
        <v>0</v>
      </c>
      <c r="O283">
        <f>IF(COUNTIFS('United Data'!$A$3:$A$2150,O$1,'United Data'!$C$3:$C$2150,$A283)&gt;0,1,0)</f>
        <v>0</v>
      </c>
      <c r="P283">
        <f>IF(COUNTIFS('United Data'!$A$3:$A$2150,P$1,'United Data'!$C$3:$C$2150,$A283)&gt;0,1,0)</f>
        <v>0</v>
      </c>
      <c r="Q283">
        <f>IF(COUNTIFS('United Data'!$A$3:$A$2150,Q$1,'United Data'!$C$3:$C$2150,$A283)&gt;0,1,0)</f>
        <v>0</v>
      </c>
      <c r="R283">
        <f>IF(COUNTIFS('United Data'!$A$3:$A$2150,R$1,'United Data'!$C$3:$C$2150,$A283)&gt;0,1,0)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329</v>
      </c>
      <c r="B284">
        <f>IF(COUNTIFS('United Data'!$A$3:$A$2150,B$1,'United Data'!$C$3:$C$2150,$A284)&gt;0,1,0)</f>
        <v>0</v>
      </c>
      <c r="C284">
        <f>IF(COUNTIFS('United Data'!$A$3:$A$2150,C$1,'United Data'!$C$3:$C$2150,$A284)&gt;0,1,0)</f>
        <v>0</v>
      </c>
      <c r="D284">
        <f>IF(COUNTIFS('United Data'!$A$3:$A$2150,D$1,'United Data'!$C$3:$C$2150,$A284)&gt;0,1,0)</f>
        <v>0</v>
      </c>
      <c r="E284">
        <f>IF(COUNTIFS('United Data'!$A$3:$A$2150,E$1,'United Data'!$C$3:$C$2150,$A284)&gt;0,1,0)</f>
        <v>0</v>
      </c>
      <c r="F284">
        <f>IF(COUNTIFS('United Data'!$A$3:$A$2150,F$1,'United Data'!$C$3:$C$2150,$A284)&gt;0,1,0)</f>
        <v>0</v>
      </c>
      <c r="G284">
        <f>IF(COUNTIFS('United Data'!$A$3:$A$2150,G$1,'United Data'!$C$3:$C$2150,$A284)&gt;0,1,0)</f>
        <v>0</v>
      </c>
      <c r="H284">
        <f>IF(COUNTIFS('United Data'!$A$3:$A$2150,H$1,'United Data'!$C$3:$C$2150,$A284)&gt;0,1,0)</f>
        <v>1</v>
      </c>
      <c r="I284">
        <f>IF(COUNTIFS('United Data'!$A$3:$A$2150,I$1,'United Data'!$C$3:$C$2150,$A284)&gt;0,1,0)</f>
        <v>0</v>
      </c>
      <c r="J284">
        <f>IF(COUNTIFS('United Data'!$A$3:$A$2150,J$1,'United Data'!$C$3:$C$2150,$A284)&gt;0,1,0)</f>
        <v>0</v>
      </c>
      <c r="K284">
        <f>IF(COUNTIFS('United Data'!$A$3:$A$2150,K$1,'United Data'!$C$3:$C$2150,$A284)&gt;0,1,0)</f>
        <v>0</v>
      </c>
      <c r="L284">
        <f>IF(COUNTIFS('United Data'!$A$3:$A$2150,L$1,'United Data'!$C$3:$C$2150,$A284)&gt;0,1,0)</f>
        <v>0</v>
      </c>
      <c r="M284">
        <f>IF(COUNTIFS('United Data'!$A$3:$A$2150,M$1,'United Data'!$C$3:$C$2150,$A284)&gt;0,1,0)</f>
        <v>0</v>
      </c>
      <c r="N284">
        <f>IF(COUNTIFS('United Data'!$A$3:$A$2150,N$1,'United Data'!$C$3:$C$2150,$A284)&gt;0,1,0)</f>
        <v>0</v>
      </c>
      <c r="O284">
        <f>IF(COUNTIFS('United Data'!$A$3:$A$2150,O$1,'United Data'!$C$3:$C$2150,$A284)&gt;0,1,0)</f>
        <v>0</v>
      </c>
      <c r="P284">
        <f>IF(COUNTIFS('United Data'!$A$3:$A$2150,P$1,'United Data'!$C$3:$C$2150,$A284)&gt;0,1,0)</f>
        <v>0</v>
      </c>
      <c r="Q284">
        <f>IF(COUNTIFS('United Data'!$A$3:$A$2150,Q$1,'United Data'!$C$3:$C$2150,$A284)&gt;0,1,0)</f>
        <v>0</v>
      </c>
      <c r="R284">
        <f>IF(COUNTIFS('United Data'!$A$3:$A$2150,R$1,'United Data'!$C$3:$C$2150,$A284)&gt;0,1,0)</f>
        <v>0</v>
      </c>
      <c r="S284">
        <f t="shared" si="8"/>
        <v>1</v>
      </c>
      <c r="T284">
        <f t="shared" si="9"/>
        <v>1</v>
      </c>
    </row>
    <row r="285" spans="1:20" x14ac:dyDescent="0.2">
      <c r="A285" t="s">
        <v>330</v>
      </c>
      <c r="B285">
        <f>IF(COUNTIFS('United Data'!$A$3:$A$2150,B$1,'United Data'!$C$3:$C$2150,$A285)&gt;0,1,0)</f>
        <v>0</v>
      </c>
      <c r="C285">
        <f>IF(COUNTIFS('United Data'!$A$3:$A$2150,C$1,'United Data'!$C$3:$C$2150,$A285)&gt;0,1,0)</f>
        <v>0</v>
      </c>
      <c r="D285">
        <f>IF(COUNTIFS('United Data'!$A$3:$A$2150,D$1,'United Data'!$C$3:$C$2150,$A285)&gt;0,1,0)</f>
        <v>0</v>
      </c>
      <c r="E285">
        <f>IF(COUNTIFS('United Data'!$A$3:$A$2150,E$1,'United Data'!$C$3:$C$2150,$A285)&gt;0,1,0)</f>
        <v>0</v>
      </c>
      <c r="F285">
        <f>IF(COUNTIFS('United Data'!$A$3:$A$2150,F$1,'United Data'!$C$3:$C$2150,$A285)&gt;0,1,0)</f>
        <v>0</v>
      </c>
      <c r="G285">
        <f>IF(COUNTIFS('United Data'!$A$3:$A$2150,G$1,'United Data'!$C$3:$C$2150,$A285)&gt;0,1,0)</f>
        <v>0</v>
      </c>
      <c r="H285">
        <f>IF(COUNTIFS('United Data'!$A$3:$A$2150,H$1,'United Data'!$C$3:$C$2150,$A285)&gt;0,1,0)</f>
        <v>1</v>
      </c>
      <c r="I285">
        <f>IF(COUNTIFS('United Data'!$A$3:$A$2150,I$1,'United Data'!$C$3:$C$2150,$A285)&gt;0,1,0)</f>
        <v>0</v>
      </c>
      <c r="J285">
        <f>IF(COUNTIFS('United Data'!$A$3:$A$2150,J$1,'United Data'!$C$3:$C$2150,$A285)&gt;0,1,0)</f>
        <v>0</v>
      </c>
      <c r="K285">
        <f>IF(COUNTIFS('United Data'!$A$3:$A$2150,K$1,'United Data'!$C$3:$C$2150,$A285)&gt;0,1,0)</f>
        <v>0</v>
      </c>
      <c r="L285">
        <f>IF(COUNTIFS('United Data'!$A$3:$A$2150,L$1,'United Data'!$C$3:$C$2150,$A285)&gt;0,1,0)</f>
        <v>0</v>
      </c>
      <c r="M285">
        <f>IF(COUNTIFS('United Data'!$A$3:$A$2150,M$1,'United Data'!$C$3:$C$2150,$A285)&gt;0,1,0)</f>
        <v>0</v>
      </c>
      <c r="N285">
        <f>IF(COUNTIFS('United Data'!$A$3:$A$2150,N$1,'United Data'!$C$3:$C$2150,$A285)&gt;0,1,0)</f>
        <v>0</v>
      </c>
      <c r="O285">
        <f>IF(COUNTIFS('United Data'!$A$3:$A$2150,O$1,'United Data'!$C$3:$C$2150,$A285)&gt;0,1,0)</f>
        <v>0</v>
      </c>
      <c r="P285">
        <f>IF(COUNTIFS('United Data'!$A$3:$A$2150,P$1,'United Data'!$C$3:$C$2150,$A285)&gt;0,1,0)</f>
        <v>0</v>
      </c>
      <c r="Q285">
        <f>IF(COUNTIFS('United Data'!$A$3:$A$2150,Q$1,'United Data'!$C$3:$C$2150,$A285)&gt;0,1,0)</f>
        <v>0</v>
      </c>
      <c r="R285">
        <f>IF(COUNTIFS('United Data'!$A$3:$A$2150,R$1,'United Data'!$C$3:$C$2150,$A285)&gt;0,1,0)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331</v>
      </c>
      <c r="B286">
        <f>IF(COUNTIFS('United Data'!$A$3:$A$2150,B$1,'United Data'!$C$3:$C$2150,$A286)&gt;0,1,0)</f>
        <v>0</v>
      </c>
      <c r="C286">
        <f>IF(COUNTIFS('United Data'!$A$3:$A$2150,C$1,'United Data'!$C$3:$C$2150,$A286)&gt;0,1,0)</f>
        <v>0</v>
      </c>
      <c r="D286">
        <f>IF(COUNTIFS('United Data'!$A$3:$A$2150,D$1,'United Data'!$C$3:$C$2150,$A286)&gt;0,1,0)</f>
        <v>0</v>
      </c>
      <c r="E286">
        <f>IF(COUNTIFS('United Data'!$A$3:$A$2150,E$1,'United Data'!$C$3:$C$2150,$A286)&gt;0,1,0)</f>
        <v>0</v>
      </c>
      <c r="F286">
        <f>IF(COUNTIFS('United Data'!$A$3:$A$2150,F$1,'United Data'!$C$3:$C$2150,$A286)&gt;0,1,0)</f>
        <v>0</v>
      </c>
      <c r="G286">
        <f>IF(COUNTIFS('United Data'!$A$3:$A$2150,G$1,'United Data'!$C$3:$C$2150,$A286)&gt;0,1,0)</f>
        <v>0</v>
      </c>
      <c r="H286">
        <f>IF(COUNTIFS('United Data'!$A$3:$A$2150,H$1,'United Data'!$C$3:$C$2150,$A286)&gt;0,1,0)</f>
        <v>1</v>
      </c>
      <c r="I286">
        <f>IF(COUNTIFS('United Data'!$A$3:$A$2150,I$1,'United Data'!$C$3:$C$2150,$A286)&gt;0,1,0)</f>
        <v>0</v>
      </c>
      <c r="J286">
        <f>IF(COUNTIFS('United Data'!$A$3:$A$2150,J$1,'United Data'!$C$3:$C$2150,$A286)&gt;0,1,0)</f>
        <v>0</v>
      </c>
      <c r="K286">
        <f>IF(COUNTIFS('United Data'!$A$3:$A$2150,K$1,'United Data'!$C$3:$C$2150,$A286)&gt;0,1,0)</f>
        <v>0</v>
      </c>
      <c r="L286">
        <f>IF(COUNTIFS('United Data'!$A$3:$A$2150,L$1,'United Data'!$C$3:$C$2150,$A286)&gt;0,1,0)</f>
        <v>0</v>
      </c>
      <c r="M286">
        <f>IF(COUNTIFS('United Data'!$A$3:$A$2150,M$1,'United Data'!$C$3:$C$2150,$A286)&gt;0,1,0)</f>
        <v>0</v>
      </c>
      <c r="N286">
        <f>IF(COUNTIFS('United Data'!$A$3:$A$2150,N$1,'United Data'!$C$3:$C$2150,$A286)&gt;0,1,0)</f>
        <v>0</v>
      </c>
      <c r="O286">
        <f>IF(COUNTIFS('United Data'!$A$3:$A$2150,O$1,'United Data'!$C$3:$C$2150,$A286)&gt;0,1,0)</f>
        <v>0</v>
      </c>
      <c r="P286">
        <f>IF(COUNTIFS('United Data'!$A$3:$A$2150,P$1,'United Data'!$C$3:$C$2150,$A286)&gt;0,1,0)</f>
        <v>0</v>
      </c>
      <c r="Q286">
        <f>IF(COUNTIFS('United Data'!$A$3:$A$2150,Q$1,'United Data'!$C$3:$C$2150,$A286)&gt;0,1,0)</f>
        <v>0</v>
      </c>
      <c r="R286">
        <f>IF(COUNTIFS('United Data'!$A$3:$A$2150,R$1,'United Data'!$C$3:$C$2150,$A286)&gt;0,1,0)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332</v>
      </c>
      <c r="B287">
        <f>IF(COUNTIFS('United Data'!$A$3:$A$2150,B$1,'United Data'!$C$3:$C$2150,$A287)&gt;0,1,0)</f>
        <v>0</v>
      </c>
      <c r="C287">
        <f>IF(COUNTIFS('United Data'!$A$3:$A$2150,C$1,'United Data'!$C$3:$C$2150,$A287)&gt;0,1,0)</f>
        <v>0</v>
      </c>
      <c r="D287">
        <f>IF(COUNTIFS('United Data'!$A$3:$A$2150,D$1,'United Data'!$C$3:$C$2150,$A287)&gt;0,1,0)</f>
        <v>0</v>
      </c>
      <c r="E287">
        <f>IF(COUNTIFS('United Data'!$A$3:$A$2150,E$1,'United Data'!$C$3:$C$2150,$A287)&gt;0,1,0)</f>
        <v>0</v>
      </c>
      <c r="F287">
        <f>IF(COUNTIFS('United Data'!$A$3:$A$2150,F$1,'United Data'!$C$3:$C$2150,$A287)&gt;0,1,0)</f>
        <v>0</v>
      </c>
      <c r="G287">
        <f>IF(COUNTIFS('United Data'!$A$3:$A$2150,G$1,'United Data'!$C$3:$C$2150,$A287)&gt;0,1,0)</f>
        <v>0</v>
      </c>
      <c r="H287">
        <f>IF(COUNTIFS('United Data'!$A$3:$A$2150,H$1,'United Data'!$C$3:$C$2150,$A287)&gt;0,1,0)</f>
        <v>1</v>
      </c>
      <c r="I287">
        <f>IF(COUNTIFS('United Data'!$A$3:$A$2150,I$1,'United Data'!$C$3:$C$2150,$A287)&gt;0,1,0)</f>
        <v>0</v>
      </c>
      <c r="J287">
        <f>IF(COUNTIFS('United Data'!$A$3:$A$2150,J$1,'United Data'!$C$3:$C$2150,$A287)&gt;0,1,0)</f>
        <v>0</v>
      </c>
      <c r="K287">
        <f>IF(COUNTIFS('United Data'!$A$3:$A$2150,K$1,'United Data'!$C$3:$C$2150,$A287)&gt;0,1,0)</f>
        <v>0</v>
      </c>
      <c r="L287">
        <f>IF(COUNTIFS('United Data'!$A$3:$A$2150,L$1,'United Data'!$C$3:$C$2150,$A287)&gt;0,1,0)</f>
        <v>0</v>
      </c>
      <c r="M287">
        <f>IF(COUNTIFS('United Data'!$A$3:$A$2150,M$1,'United Data'!$C$3:$C$2150,$A287)&gt;0,1,0)</f>
        <v>0</v>
      </c>
      <c r="N287">
        <f>IF(COUNTIFS('United Data'!$A$3:$A$2150,N$1,'United Data'!$C$3:$C$2150,$A287)&gt;0,1,0)</f>
        <v>0</v>
      </c>
      <c r="O287">
        <f>IF(COUNTIFS('United Data'!$A$3:$A$2150,O$1,'United Data'!$C$3:$C$2150,$A287)&gt;0,1,0)</f>
        <v>0</v>
      </c>
      <c r="P287">
        <f>IF(COUNTIFS('United Data'!$A$3:$A$2150,P$1,'United Data'!$C$3:$C$2150,$A287)&gt;0,1,0)</f>
        <v>0</v>
      </c>
      <c r="Q287">
        <f>IF(COUNTIFS('United Data'!$A$3:$A$2150,Q$1,'United Data'!$C$3:$C$2150,$A287)&gt;0,1,0)</f>
        <v>0</v>
      </c>
      <c r="R287">
        <f>IF(COUNTIFS('United Data'!$A$3:$A$2150,R$1,'United Data'!$C$3:$C$2150,$A287)&gt;0,1,0)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333</v>
      </c>
      <c r="B288">
        <f>IF(COUNTIFS('United Data'!$A$3:$A$2150,B$1,'United Data'!$C$3:$C$2150,$A288)&gt;0,1,0)</f>
        <v>0</v>
      </c>
      <c r="C288">
        <f>IF(COUNTIFS('United Data'!$A$3:$A$2150,C$1,'United Data'!$C$3:$C$2150,$A288)&gt;0,1,0)</f>
        <v>0</v>
      </c>
      <c r="D288">
        <f>IF(COUNTIFS('United Data'!$A$3:$A$2150,D$1,'United Data'!$C$3:$C$2150,$A288)&gt;0,1,0)</f>
        <v>0</v>
      </c>
      <c r="E288">
        <f>IF(COUNTIFS('United Data'!$A$3:$A$2150,E$1,'United Data'!$C$3:$C$2150,$A288)&gt;0,1,0)</f>
        <v>0</v>
      </c>
      <c r="F288">
        <f>IF(COUNTIFS('United Data'!$A$3:$A$2150,F$1,'United Data'!$C$3:$C$2150,$A288)&gt;0,1,0)</f>
        <v>0</v>
      </c>
      <c r="G288">
        <f>IF(COUNTIFS('United Data'!$A$3:$A$2150,G$1,'United Data'!$C$3:$C$2150,$A288)&gt;0,1,0)</f>
        <v>0</v>
      </c>
      <c r="H288">
        <f>IF(COUNTIFS('United Data'!$A$3:$A$2150,H$1,'United Data'!$C$3:$C$2150,$A288)&gt;0,1,0)</f>
        <v>0</v>
      </c>
      <c r="I288">
        <f>IF(COUNTIFS('United Data'!$A$3:$A$2150,I$1,'United Data'!$C$3:$C$2150,$A288)&gt;0,1,0)</f>
        <v>1</v>
      </c>
      <c r="J288">
        <f>IF(COUNTIFS('United Data'!$A$3:$A$2150,J$1,'United Data'!$C$3:$C$2150,$A288)&gt;0,1,0)</f>
        <v>0</v>
      </c>
      <c r="K288">
        <f>IF(COUNTIFS('United Data'!$A$3:$A$2150,K$1,'United Data'!$C$3:$C$2150,$A288)&gt;0,1,0)</f>
        <v>0</v>
      </c>
      <c r="L288">
        <f>IF(COUNTIFS('United Data'!$A$3:$A$2150,L$1,'United Data'!$C$3:$C$2150,$A288)&gt;0,1,0)</f>
        <v>0</v>
      </c>
      <c r="M288">
        <f>IF(COUNTIFS('United Data'!$A$3:$A$2150,M$1,'United Data'!$C$3:$C$2150,$A288)&gt;0,1,0)</f>
        <v>0</v>
      </c>
      <c r="N288">
        <f>IF(COUNTIFS('United Data'!$A$3:$A$2150,N$1,'United Data'!$C$3:$C$2150,$A288)&gt;0,1,0)</f>
        <v>0</v>
      </c>
      <c r="O288">
        <f>IF(COUNTIFS('United Data'!$A$3:$A$2150,O$1,'United Data'!$C$3:$C$2150,$A288)&gt;0,1,0)</f>
        <v>0</v>
      </c>
      <c r="P288">
        <f>IF(COUNTIFS('United Data'!$A$3:$A$2150,P$1,'United Data'!$C$3:$C$2150,$A288)&gt;0,1,0)</f>
        <v>0</v>
      </c>
      <c r="Q288">
        <f>IF(COUNTIFS('United Data'!$A$3:$A$2150,Q$1,'United Data'!$C$3:$C$2150,$A288)&gt;0,1,0)</f>
        <v>0</v>
      </c>
      <c r="R288">
        <f>IF(COUNTIFS('United Data'!$A$3:$A$2150,R$1,'United Data'!$C$3:$C$2150,$A288)&gt;0,1,0)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334</v>
      </c>
      <c r="B289">
        <f>IF(COUNTIFS('United Data'!$A$3:$A$2150,B$1,'United Data'!$C$3:$C$2150,$A289)&gt;0,1,0)</f>
        <v>0</v>
      </c>
      <c r="C289">
        <f>IF(COUNTIFS('United Data'!$A$3:$A$2150,C$1,'United Data'!$C$3:$C$2150,$A289)&gt;0,1,0)</f>
        <v>0</v>
      </c>
      <c r="D289">
        <f>IF(COUNTIFS('United Data'!$A$3:$A$2150,D$1,'United Data'!$C$3:$C$2150,$A289)&gt;0,1,0)</f>
        <v>0</v>
      </c>
      <c r="E289">
        <f>IF(COUNTIFS('United Data'!$A$3:$A$2150,E$1,'United Data'!$C$3:$C$2150,$A289)&gt;0,1,0)</f>
        <v>0</v>
      </c>
      <c r="F289">
        <f>IF(COUNTIFS('United Data'!$A$3:$A$2150,F$1,'United Data'!$C$3:$C$2150,$A289)&gt;0,1,0)</f>
        <v>0</v>
      </c>
      <c r="G289">
        <f>IF(COUNTIFS('United Data'!$A$3:$A$2150,G$1,'United Data'!$C$3:$C$2150,$A289)&gt;0,1,0)</f>
        <v>0</v>
      </c>
      <c r="H289">
        <f>IF(COUNTIFS('United Data'!$A$3:$A$2150,H$1,'United Data'!$C$3:$C$2150,$A289)&gt;0,1,0)</f>
        <v>0</v>
      </c>
      <c r="I289">
        <f>IF(COUNTIFS('United Data'!$A$3:$A$2150,I$1,'United Data'!$C$3:$C$2150,$A289)&gt;0,1,0)</f>
        <v>1</v>
      </c>
      <c r="J289">
        <f>IF(COUNTIFS('United Data'!$A$3:$A$2150,J$1,'United Data'!$C$3:$C$2150,$A289)&gt;0,1,0)</f>
        <v>0</v>
      </c>
      <c r="K289">
        <f>IF(COUNTIFS('United Data'!$A$3:$A$2150,K$1,'United Data'!$C$3:$C$2150,$A289)&gt;0,1,0)</f>
        <v>0</v>
      </c>
      <c r="L289">
        <f>IF(COUNTIFS('United Data'!$A$3:$A$2150,L$1,'United Data'!$C$3:$C$2150,$A289)&gt;0,1,0)</f>
        <v>0</v>
      </c>
      <c r="M289">
        <f>IF(COUNTIFS('United Data'!$A$3:$A$2150,M$1,'United Data'!$C$3:$C$2150,$A289)&gt;0,1,0)</f>
        <v>0</v>
      </c>
      <c r="N289">
        <f>IF(COUNTIFS('United Data'!$A$3:$A$2150,N$1,'United Data'!$C$3:$C$2150,$A289)&gt;0,1,0)</f>
        <v>0</v>
      </c>
      <c r="O289">
        <f>IF(COUNTIFS('United Data'!$A$3:$A$2150,O$1,'United Data'!$C$3:$C$2150,$A289)&gt;0,1,0)</f>
        <v>0</v>
      </c>
      <c r="P289">
        <f>IF(COUNTIFS('United Data'!$A$3:$A$2150,P$1,'United Data'!$C$3:$C$2150,$A289)&gt;0,1,0)</f>
        <v>0</v>
      </c>
      <c r="Q289">
        <f>IF(COUNTIFS('United Data'!$A$3:$A$2150,Q$1,'United Data'!$C$3:$C$2150,$A289)&gt;0,1,0)</f>
        <v>0</v>
      </c>
      <c r="R289">
        <f>IF(COUNTIFS('United Data'!$A$3:$A$2150,R$1,'United Data'!$C$3:$C$2150,$A289)&gt;0,1,0)</f>
        <v>0</v>
      </c>
      <c r="S289">
        <f t="shared" si="8"/>
        <v>1</v>
      </c>
      <c r="T289">
        <f t="shared" si="9"/>
        <v>1</v>
      </c>
    </row>
    <row r="290" spans="1:20" x14ac:dyDescent="0.2">
      <c r="A290" t="s">
        <v>335</v>
      </c>
      <c r="B290">
        <f>IF(COUNTIFS('United Data'!$A$3:$A$2150,B$1,'United Data'!$C$3:$C$2150,$A290)&gt;0,1,0)</f>
        <v>0</v>
      </c>
      <c r="C290">
        <f>IF(COUNTIFS('United Data'!$A$3:$A$2150,C$1,'United Data'!$C$3:$C$2150,$A290)&gt;0,1,0)</f>
        <v>0</v>
      </c>
      <c r="D290">
        <f>IF(COUNTIFS('United Data'!$A$3:$A$2150,D$1,'United Data'!$C$3:$C$2150,$A290)&gt;0,1,0)</f>
        <v>0</v>
      </c>
      <c r="E290">
        <f>IF(COUNTIFS('United Data'!$A$3:$A$2150,E$1,'United Data'!$C$3:$C$2150,$A290)&gt;0,1,0)</f>
        <v>0</v>
      </c>
      <c r="F290">
        <f>IF(COUNTIFS('United Data'!$A$3:$A$2150,F$1,'United Data'!$C$3:$C$2150,$A290)&gt;0,1,0)</f>
        <v>0</v>
      </c>
      <c r="G290">
        <f>IF(COUNTIFS('United Data'!$A$3:$A$2150,G$1,'United Data'!$C$3:$C$2150,$A290)&gt;0,1,0)</f>
        <v>0</v>
      </c>
      <c r="H290">
        <f>IF(COUNTIFS('United Data'!$A$3:$A$2150,H$1,'United Data'!$C$3:$C$2150,$A290)&gt;0,1,0)</f>
        <v>0</v>
      </c>
      <c r="I290">
        <f>IF(COUNTIFS('United Data'!$A$3:$A$2150,I$1,'United Data'!$C$3:$C$2150,$A290)&gt;0,1,0)</f>
        <v>1</v>
      </c>
      <c r="J290">
        <f>IF(COUNTIFS('United Data'!$A$3:$A$2150,J$1,'United Data'!$C$3:$C$2150,$A290)&gt;0,1,0)</f>
        <v>0</v>
      </c>
      <c r="K290">
        <f>IF(COUNTIFS('United Data'!$A$3:$A$2150,K$1,'United Data'!$C$3:$C$2150,$A290)&gt;0,1,0)</f>
        <v>0</v>
      </c>
      <c r="L290">
        <f>IF(COUNTIFS('United Data'!$A$3:$A$2150,L$1,'United Data'!$C$3:$C$2150,$A290)&gt;0,1,0)</f>
        <v>0</v>
      </c>
      <c r="M290">
        <f>IF(COUNTIFS('United Data'!$A$3:$A$2150,M$1,'United Data'!$C$3:$C$2150,$A290)&gt;0,1,0)</f>
        <v>0</v>
      </c>
      <c r="N290">
        <f>IF(COUNTIFS('United Data'!$A$3:$A$2150,N$1,'United Data'!$C$3:$C$2150,$A290)&gt;0,1,0)</f>
        <v>0</v>
      </c>
      <c r="O290">
        <f>IF(COUNTIFS('United Data'!$A$3:$A$2150,O$1,'United Data'!$C$3:$C$2150,$A290)&gt;0,1,0)</f>
        <v>0</v>
      </c>
      <c r="P290">
        <f>IF(COUNTIFS('United Data'!$A$3:$A$2150,P$1,'United Data'!$C$3:$C$2150,$A290)&gt;0,1,0)</f>
        <v>0</v>
      </c>
      <c r="Q290">
        <f>IF(COUNTIFS('United Data'!$A$3:$A$2150,Q$1,'United Data'!$C$3:$C$2150,$A290)&gt;0,1,0)</f>
        <v>0</v>
      </c>
      <c r="R290">
        <f>IF(COUNTIFS('United Data'!$A$3:$A$2150,R$1,'United Data'!$C$3:$C$2150,$A290)&gt;0,1,0)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336</v>
      </c>
      <c r="B291">
        <f>IF(COUNTIFS('United Data'!$A$3:$A$2150,B$1,'United Data'!$C$3:$C$2150,$A291)&gt;0,1,0)</f>
        <v>0</v>
      </c>
      <c r="C291">
        <f>IF(COUNTIFS('United Data'!$A$3:$A$2150,C$1,'United Data'!$C$3:$C$2150,$A291)&gt;0,1,0)</f>
        <v>0</v>
      </c>
      <c r="D291">
        <f>IF(COUNTIFS('United Data'!$A$3:$A$2150,D$1,'United Data'!$C$3:$C$2150,$A291)&gt;0,1,0)</f>
        <v>0</v>
      </c>
      <c r="E291">
        <f>IF(COUNTIFS('United Data'!$A$3:$A$2150,E$1,'United Data'!$C$3:$C$2150,$A291)&gt;0,1,0)</f>
        <v>0</v>
      </c>
      <c r="F291">
        <f>IF(COUNTIFS('United Data'!$A$3:$A$2150,F$1,'United Data'!$C$3:$C$2150,$A291)&gt;0,1,0)</f>
        <v>0</v>
      </c>
      <c r="G291">
        <f>IF(COUNTIFS('United Data'!$A$3:$A$2150,G$1,'United Data'!$C$3:$C$2150,$A291)&gt;0,1,0)</f>
        <v>0</v>
      </c>
      <c r="H291">
        <f>IF(COUNTIFS('United Data'!$A$3:$A$2150,H$1,'United Data'!$C$3:$C$2150,$A291)&gt;0,1,0)</f>
        <v>0</v>
      </c>
      <c r="I291">
        <f>IF(COUNTIFS('United Data'!$A$3:$A$2150,I$1,'United Data'!$C$3:$C$2150,$A291)&gt;0,1,0)</f>
        <v>1</v>
      </c>
      <c r="J291">
        <f>IF(COUNTIFS('United Data'!$A$3:$A$2150,J$1,'United Data'!$C$3:$C$2150,$A291)&gt;0,1,0)</f>
        <v>0</v>
      </c>
      <c r="K291">
        <f>IF(COUNTIFS('United Data'!$A$3:$A$2150,K$1,'United Data'!$C$3:$C$2150,$A291)&gt;0,1,0)</f>
        <v>0</v>
      </c>
      <c r="L291">
        <f>IF(COUNTIFS('United Data'!$A$3:$A$2150,L$1,'United Data'!$C$3:$C$2150,$A291)&gt;0,1,0)</f>
        <v>0</v>
      </c>
      <c r="M291">
        <f>IF(COUNTIFS('United Data'!$A$3:$A$2150,M$1,'United Data'!$C$3:$C$2150,$A291)&gt;0,1,0)</f>
        <v>0</v>
      </c>
      <c r="N291">
        <f>IF(COUNTIFS('United Data'!$A$3:$A$2150,N$1,'United Data'!$C$3:$C$2150,$A291)&gt;0,1,0)</f>
        <v>0</v>
      </c>
      <c r="O291">
        <f>IF(COUNTIFS('United Data'!$A$3:$A$2150,O$1,'United Data'!$C$3:$C$2150,$A291)&gt;0,1,0)</f>
        <v>0</v>
      </c>
      <c r="P291">
        <f>IF(COUNTIFS('United Data'!$A$3:$A$2150,P$1,'United Data'!$C$3:$C$2150,$A291)&gt;0,1,0)</f>
        <v>0</v>
      </c>
      <c r="Q291">
        <f>IF(COUNTIFS('United Data'!$A$3:$A$2150,Q$1,'United Data'!$C$3:$C$2150,$A291)&gt;0,1,0)</f>
        <v>0</v>
      </c>
      <c r="R291">
        <f>IF(COUNTIFS('United Data'!$A$3:$A$2150,R$1,'United Data'!$C$3:$C$2150,$A291)&gt;0,1,0)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337</v>
      </c>
      <c r="B292">
        <f>IF(COUNTIFS('United Data'!$A$3:$A$2150,B$1,'United Data'!$C$3:$C$2150,$A292)&gt;0,1,0)</f>
        <v>0</v>
      </c>
      <c r="C292">
        <f>IF(COUNTIFS('United Data'!$A$3:$A$2150,C$1,'United Data'!$C$3:$C$2150,$A292)&gt;0,1,0)</f>
        <v>0</v>
      </c>
      <c r="D292">
        <f>IF(COUNTIFS('United Data'!$A$3:$A$2150,D$1,'United Data'!$C$3:$C$2150,$A292)&gt;0,1,0)</f>
        <v>0</v>
      </c>
      <c r="E292">
        <f>IF(COUNTIFS('United Data'!$A$3:$A$2150,E$1,'United Data'!$C$3:$C$2150,$A292)&gt;0,1,0)</f>
        <v>0</v>
      </c>
      <c r="F292">
        <f>IF(COUNTIFS('United Data'!$A$3:$A$2150,F$1,'United Data'!$C$3:$C$2150,$A292)&gt;0,1,0)</f>
        <v>0</v>
      </c>
      <c r="G292">
        <f>IF(COUNTIFS('United Data'!$A$3:$A$2150,G$1,'United Data'!$C$3:$C$2150,$A292)&gt;0,1,0)</f>
        <v>0</v>
      </c>
      <c r="H292">
        <f>IF(COUNTIFS('United Data'!$A$3:$A$2150,H$1,'United Data'!$C$3:$C$2150,$A292)&gt;0,1,0)</f>
        <v>0</v>
      </c>
      <c r="I292">
        <f>IF(COUNTIFS('United Data'!$A$3:$A$2150,I$1,'United Data'!$C$3:$C$2150,$A292)&gt;0,1,0)</f>
        <v>1</v>
      </c>
      <c r="J292">
        <f>IF(COUNTIFS('United Data'!$A$3:$A$2150,J$1,'United Data'!$C$3:$C$2150,$A292)&gt;0,1,0)</f>
        <v>0</v>
      </c>
      <c r="K292">
        <f>IF(COUNTIFS('United Data'!$A$3:$A$2150,K$1,'United Data'!$C$3:$C$2150,$A292)&gt;0,1,0)</f>
        <v>0</v>
      </c>
      <c r="L292">
        <f>IF(COUNTIFS('United Data'!$A$3:$A$2150,L$1,'United Data'!$C$3:$C$2150,$A292)&gt;0,1,0)</f>
        <v>0</v>
      </c>
      <c r="M292">
        <f>IF(COUNTIFS('United Data'!$A$3:$A$2150,M$1,'United Data'!$C$3:$C$2150,$A292)&gt;0,1,0)</f>
        <v>0</v>
      </c>
      <c r="N292">
        <f>IF(COUNTIFS('United Data'!$A$3:$A$2150,N$1,'United Data'!$C$3:$C$2150,$A292)&gt;0,1,0)</f>
        <v>0</v>
      </c>
      <c r="O292">
        <f>IF(COUNTIFS('United Data'!$A$3:$A$2150,O$1,'United Data'!$C$3:$C$2150,$A292)&gt;0,1,0)</f>
        <v>0</v>
      </c>
      <c r="P292">
        <f>IF(COUNTIFS('United Data'!$A$3:$A$2150,P$1,'United Data'!$C$3:$C$2150,$A292)&gt;0,1,0)</f>
        <v>0</v>
      </c>
      <c r="Q292">
        <f>IF(COUNTIFS('United Data'!$A$3:$A$2150,Q$1,'United Data'!$C$3:$C$2150,$A292)&gt;0,1,0)</f>
        <v>0</v>
      </c>
      <c r="R292">
        <f>IF(COUNTIFS('United Data'!$A$3:$A$2150,R$1,'United Data'!$C$3:$C$2150,$A292)&gt;0,1,0)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338</v>
      </c>
      <c r="B293">
        <f>IF(COUNTIFS('United Data'!$A$3:$A$2150,B$1,'United Data'!$C$3:$C$2150,$A293)&gt;0,1,0)</f>
        <v>0</v>
      </c>
      <c r="C293">
        <f>IF(COUNTIFS('United Data'!$A$3:$A$2150,C$1,'United Data'!$C$3:$C$2150,$A293)&gt;0,1,0)</f>
        <v>0</v>
      </c>
      <c r="D293">
        <f>IF(COUNTIFS('United Data'!$A$3:$A$2150,D$1,'United Data'!$C$3:$C$2150,$A293)&gt;0,1,0)</f>
        <v>0</v>
      </c>
      <c r="E293">
        <f>IF(COUNTIFS('United Data'!$A$3:$A$2150,E$1,'United Data'!$C$3:$C$2150,$A293)&gt;0,1,0)</f>
        <v>0</v>
      </c>
      <c r="F293">
        <f>IF(COUNTIFS('United Data'!$A$3:$A$2150,F$1,'United Data'!$C$3:$C$2150,$A293)&gt;0,1,0)</f>
        <v>0</v>
      </c>
      <c r="G293">
        <f>IF(COUNTIFS('United Data'!$A$3:$A$2150,G$1,'United Data'!$C$3:$C$2150,$A293)&gt;0,1,0)</f>
        <v>0</v>
      </c>
      <c r="H293">
        <f>IF(COUNTIFS('United Data'!$A$3:$A$2150,H$1,'United Data'!$C$3:$C$2150,$A293)&gt;0,1,0)</f>
        <v>0</v>
      </c>
      <c r="I293">
        <f>IF(COUNTIFS('United Data'!$A$3:$A$2150,I$1,'United Data'!$C$3:$C$2150,$A293)&gt;0,1,0)</f>
        <v>0</v>
      </c>
      <c r="J293">
        <f>IF(COUNTIFS('United Data'!$A$3:$A$2150,J$1,'United Data'!$C$3:$C$2150,$A293)&gt;0,1,0)</f>
        <v>1</v>
      </c>
      <c r="K293">
        <f>IF(COUNTIFS('United Data'!$A$3:$A$2150,K$1,'United Data'!$C$3:$C$2150,$A293)&gt;0,1,0)</f>
        <v>0</v>
      </c>
      <c r="L293">
        <f>IF(COUNTIFS('United Data'!$A$3:$A$2150,L$1,'United Data'!$C$3:$C$2150,$A293)&gt;0,1,0)</f>
        <v>0</v>
      </c>
      <c r="M293">
        <f>IF(COUNTIFS('United Data'!$A$3:$A$2150,M$1,'United Data'!$C$3:$C$2150,$A293)&gt;0,1,0)</f>
        <v>0</v>
      </c>
      <c r="N293">
        <f>IF(COUNTIFS('United Data'!$A$3:$A$2150,N$1,'United Data'!$C$3:$C$2150,$A293)&gt;0,1,0)</f>
        <v>0</v>
      </c>
      <c r="O293">
        <f>IF(COUNTIFS('United Data'!$A$3:$A$2150,O$1,'United Data'!$C$3:$C$2150,$A293)&gt;0,1,0)</f>
        <v>0</v>
      </c>
      <c r="P293">
        <f>IF(COUNTIFS('United Data'!$A$3:$A$2150,P$1,'United Data'!$C$3:$C$2150,$A293)&gt;0,1,0)</f>
        <v>0</v>
      </c>
      <c r="Q293">
        <f>IF(COUNTIFS('United Data'!$A$3:$A$2150,Q$1,'United Data'!$C$3:$C$2150,$A293)&gt;0,1,0)</f>
        <v>0</v>
      </c>
      <c r="R293">
        <f>IF(COUNTIFS('United Data'!$A$3:$A$2150,R$1,'United Data'!$C$3:$C$2150,$A293)&gt;0,1,0)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339</v>
      </c>
      <c r="B294">
        <f>IF(COUNTIFS('United Data'!$A$3:$A$2150,B$1,'United Data'!$C$3:$C$2150,$A294)&gt;0,1,0)</f>
        <v>0</v>
      </c>
      <c r="C294">
        <f>IF(COUNTIFS('United Data'!$A$3:$A$2150,C$1,'United Data'!$C$3:$C$2150,$A294)&gt;0,1,0)</f>
        <v>0</v>
      </c>
      <c r="D294">
        <f>IF(COUNTIFS('United Data'!$A$3:$A$2150,D$1,'United Data'!$C$3:$C$2150,$A294)&gt;0,1,0)</f>
        <v>0</v>
      </c>
      <c r="E294">
        <f>IF(COUNTIFS('United Data'!$A$3:$A$2150,E$1,'United Data'!$C$3:$C$2150,$A294)&gt;0,1,0)</f>
        <v>0</v>
      </c>
      <c r="F294">
        <f>IF(COUNTIFS('United Data'!$A$3:$A$2150,F$1,'United Data'!$C$3:$C$2150,$A294)&gt;0,1,0)</f>
        <v>0</v>
      </c>
      <c r="G294">
        <f>IF(COUNTIFS('United Data'!$A$3:$A$2150,G$1,'United Data'!$C$3:$C$2150,$A294)&gt;0,1,0)</f>
        <v>0</v>
      </c>
      <c r="H294">
        <f>IF(COUNTIFS('United Data'!$A$3:$A$2150,H$1,'United Data'!$C$3:$C$2150,$A294)&gt;0,1,0)</f>
        <v>0</v>
      </c>
      <c r="I294">
        <f>IF(COUNTIFS('United Data'!$A$3:$A$2150,I$1,'United Data'!$C$3:$C$2150,$A294)&gt;0,1,0)</f>
        <v>0</v>
      </c>
      <c r="J294">
        <f>IF(COUNTIFS('United Data'!$A$3:$A$2150,J$1,'United Data'!$C$3:$C$2150,$A294)&gt;0,1,0)</f>
        <v>1</v>
      </c>
      <c r="K294">
        <f>IF(COUNTIFS('United Data'!$A$3:$A$2150,K$1,'United Data'!$C$3:$C$2150,$A294)&gt;0,1,0)</f>
        <v>0</v>
      </c>
      <c r="L294">
        <f>IF(COUNTIFS('United Data'!$A$3:$A$2150,L$1,'United Data'!$C$3:$C$2150,$A294)&gt;0,1,0)</f>
        <v>0</v>
      </c>
      <c r="M294">
        <f>IF(COUNTIFS('United Data'!$A$3:$A$2150,M$1,'United Data'!$C$3:$C$2150,$A294)&gt;0,1,0)</f>
        <v>0</v>
      </c>
      <c r="N294">
        <f>IF(COUNTIFS('United Data'!$A$3:$A$2150,N$1,'United Data'!$C$3:$C$2150,$A294)&gt;0,1,0)</f>
        <v>0</v>
      </c>
      <c r="O294">
        <f>IF(COUNTIFS('United Data'!$A$3:$A$2150,O$1,'United Data'!$C$3:$C$2150,$A294)&gt;0,1,0)</f>
        <v>0</v>
      </c>
      <c r="P294">
        <f>IF(COUNTIFS('United Data'!$A$3:$A$2150,P$1,'United Data'!$C$3:$C$2150,$A294)&gt;0,1,0)</f>
        <v>0</v>
      </c>
      <c r="Q294">
        <f>IF(COUNTIFS('United Data'!$A$3:$A$2150,Q$1,'United Data'!$C$3:$C$2150,$A294)&gt;0,1,0)</f>
        <v>0</v>
      </c>
      <c r="R294">
        <f>IF(COUNTIFS('United Data'!$A$3:$A$2150,R$1,'United Data'!$C$3:$C$2150,$A294)&gt;0,1,0)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340</v>
      </c>
      <c r="B295">
        <f>IF(COUNTIFS('United Data'!$A$3:$A$2150,B$1,'United Data'!$C$3:$C$2150,$A295)&gt;0,1,0)</f>
        <v>0</v>
      </c>
      <c r="C295">
        <f>IF(COUNTIFS('United Data'!$A$3:$A$2150,C$1,'United Data'!$C$3:$C$2150,$A295)&gt;0,1,0)</f>
        <v>0</v>
      </c>
      <c r="D295">
        <f>IF(COUNTIFS('United Data'!$A$3:$A$2150,D$1,'United Data'!$C$3:$C$2150,$A295)&gt;0,1,0)</f>
        <v>0</v>
      </c>
      <c r="E295">
        <f>IF(COUNTIFS('United Data'!$A$3:$A$2150,E$1,'United Data'!$C$3:$C$2150,$A295)&gt;0,1,0)</f>
        <v>0</v>
      </c>
      <c r="F295">
        <f>IF(COUNTIFS('United Data'!$A$3:$A$2150,F$1,'United Data'!$C$3:$C$2150,$A295)&gt;0,1,0)</f>
        <v>0</v>
      </c>
      <c r="G295">
        <f>IF(COUNTIFS('United Data'!$A$3:$A$2150,G$1,'United Data'!$C$3:$C$2150,$A295)&gt;0,1,0)</f>
        <v>0</v>
      </c>
      <c r="H295">
        <f>IF(COUNTIFS('United Data'!$A$3:$A$2150,H$1,'United Data'!$C$3:$C$2150,$A295)&gt;0,1,0)</f>
        <v>0</v>
      </c>
      <c r="I295">
        <f>IF(COUNTIFS('United Data'!$A$3:$A$2150,I$1,'United Data'!$C$3:$C$2150,$A295)&gt;0,1,0)</f>
        <v>0</v>
      </c>
      <c r="J295">
        <f>IF(COUNTIFS('United Data'!$A$3:$A$2150,J$1,'United Data'!$C$3:$C$2150,$A295)&gt;0,1,0)</f>
        <v>1</v>
      </c>
      <c r="K295">
        <f>IF(COUNTIFS('United Data'!$A$3:$A$2150,K$1,'United Data'!$C$3:$C$2150,$A295)&gt;0,1,0)</f>
        <v>0</v>
      </c>
      <c r="L295">
        <f>IF(COUNTIFS('United Data'!$A$3:$A$2150,L$1,'United Data'!$C$3:$C$2150,$A295)&gt;0,1,0)</f>
        <v>0</v>
      </c>
      <c r="M295">
        <f>IF(COUNTIFS('United Data'!$A$3:$A$2150,M$1,'United Data'!$C$3:$C$2150,$A295)&gt;0,1,0)</f>
        <v>0</v>
      </c>
      <c r="N295">
        <f>IF(COUNTIFS('United Data'!$A$3:$A$2150,N$1,'United Data'!$C$3:$C$2150,$A295)&gt;0,1,0)</f>
        <v>0</v>
      </c>
      <c r="O295">
        <f>IF(COUNTIFS('United Data'!$A$3:$A$2150,O$1,'United Data'!$C$3:$C$2150,$A295)&gt;0,1,0)</f>
        <v>0</v>
      </c>
      <c r="P295">
        <f>IF(COUNTIFS('United Data'!$A$3:$A$2150,P$1,'United Data'!$C$3:$C$2150,$A295)&gt;0,1,0)</f>
        <v>0</v>
      </c>
      <c r="Q295">
        <f>IF(COUNTIFS('United Data'!$A$3:$A$2150,Q$1,'United Data'!$C$3:$C$2150,$A295)&gt;0,1,0)</f>
        <v>0</v>
      </c>
      <c r="R295">
        <f>IF(COUNTIFS('United Data'!$A$3:$A$2150,R$1,'United Data'!$C$3:$C$2150,$A295)&gt;0,1,0)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341</v>
      </c>
      <c r="B296">
        <f>IF(COUNTIFS('United Data'!$A$3:$A$2150,B$1,'United Data'!$C$3:$C$2150,$A296)&gt;0,1,0)</f>
        <v>0</v>
      </c>
      <c r="C296">
        <f>IF(COUNTIFS('United Data'!$A$3:$A$2150,C$1,'United Data'!$C$3:$C$2150,$A296)&gt;0,1,0)</f>
        <v>0</v>
      </c>
      <c r="D296">
        <f>IF(COUNTIFS('United Data'!$A$3:$A$2150,D$1,'United Data'!$C$3:$C$2150,$A296)&gt;0,1,0)</f>
        <v>0</v>
      </c>
      <c r="E296">
        <f>IF(COUNTIFS('United Data'!$A$3:$A$2150,E$1,'United Data'!$C$3:$C$2150,$A296)&gt;0,1,0)</f>
        <v>0</v>
      </c>
      <c r="F296">
        <f>IF(COUNTIFS('United Data'!$A$3:$A$2150,F$1,'United Data'!$C$3:$C$2150,$A296)&gt;0,1,0)</f>
        <v>0</v>
      </c>
      <c r="G296">
        <f>IF(COUNTIFS('United Data'!$A$3:$A$2150,G$1,'United Data'!$C$3:$C$2150,$A296)&gt;0,1,0)</f>
        <v>0</v>
      </c>
      <c r="H296">
        <f>IF(COUNTIFS('United Data'!$A$3:$A$2150,H$1,'United Data'!$C$3:$C$2150,$A296)&gt;0,1,0)</f>
        <v>0</v>
      </c>
      <c r="I296">
        <f>IF(COUNTIFS('United Data'!$A$3:$A$2150,I$1,'United Data'!$C$3:$C$2150,$A296)&gt;0,1,0)</f>
        <v>0</v>
      </c>
      <c r="J296">
        <f>IF(COUNTIFS('United Data'!$A$3:$A$2150,J$1,'United Data'!$C$3:$C$2150,$A296)&gt;0,1,0)</f>
        <v>1</v>
      </c>
      <c r="K296">
        <f>IF(COUNTIFS('United Data'!$A$3:$A$2150,K$1,'United Data'!$C$3:$C$2150,$A296)&gt;0,1,0)</f>
        <v>0</v>
      </c>
      <c r="L296">
        <f>IF(COUNTIFS('United Data'!$A$3:$A$2150,L$1,'United Data'!$C$3:$C$2150,$A296)&gt;0,1,0)</f>
        <v>0</v>
      </c>
      <c r="M296">
        <f>IF(COUNTIFS('United Data'!$A$3:$A$2150,M$1,'United Data'!$C$3:$C$2150,$A296)&gt;0,1,0)</f>
        <v>0</v>
      </c>
      <c r="N296">
        <f>IF(COUNTIFS('United Data'!$A$3:$A$2150,N$1,'United Data'!$C$3:$C$2150,$A296)&gt;0,1,0)</f>
        <v>0</v>
      </c>
      <c r="O296">
        <f>IF(COUNTIFS('United Data'!$A$3:$A$2150,O$1,'United Data'!$C$3:$C$2150,$A296)&gt;0,1,0)</f>
        <v>0</v>
      </c>
      <c r="P296">
        <f>IF(COUNTIFS('United Data'!$A$3:$A$2150,P$1,'United Data'!$C$3:$C$2150,$A296)&gt;0,1,0)</f>
        <v>0</v>
      </c>
      <c r="Q296">
        <f>IF(COUNTIFS('United Data'!$A$3:$A$2150,Q$1,'United Data'!$C$3:$C$2150,$A296)&gt;0,1,0)</f>
        <v>0</v>
      </c>
      <c r="R296">
        <f>IF(COUNTIFS('United Data'!$A$3:$A$2150,R$1,'United Data'!$C$3:$C$2150,$A296)&gt;0,1,0)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342</v>
      </c>
      <c r="B297">
        <f>IF(COUNTIFS('United Data'!$A$3:$A$2150,B$1,'United Data'!$C$3:$C$2150,$A297)&gt;0,1,0)</f>
        <v>0</v>
      </c>
      <c r="C297">
        <f>IF(COUNTIFS('United Data'!$A$3:$A$2150,C$1,'United Data'!$C$3:$C$2150,$A297)&gt;0,1,0)</f>
        <v>0</v>
      </c>
      <c r="D297">
        <f>IF(COUNTIFS('United Data'!$A$3:$A$2150,D$1,'United Data'!$C$3:$C$2150,$A297)&gt;0,1,0)</f>
        <v>0</v>
      </c>
      <c r="E297">
        <f>IF(COUNTIFS('United Data'!$A$3:$A$2150,E$1,'United Data'!$C$3:$C$2150,$A297)&gt;0,1,0)</f>
        <v>0</v>
      </c>
      <c r="F297">
        <f>IF(COUNTIFS('United Data'!$A$3:$A$2150,F$1,'United Data'!$C$3:$C$2150,$A297)&gt;0,1,0)</f>
        <v>0</v>
      </c>
      <c r="G297">
        <f>IF(COUNTIFS('United Data'!$A$3:$A$2150,G$1,'United Data'!$C$3:$C$2150,$A297)&gt;0,1,0)</f>
        <v>0</v>
      </c>
      <c r="H297">
        <f>IF(COUNTIFS('United Data'!$A$3:$A$2150,H$1,'United Data'!$C$3:$C$2150,$A297)&gt;0,1,0)</f>
        <v>0</v>
      </c>
      <c r="I297">
        <f>IF(COUNTIFS('United Data'!$A$3:$A$2150,I$1,'United Data'!$C$3:$C$2150,$A297)&gt;0,1,0)</f>
        <v>0</v>
      </c>
      <c r="J297">
        <f>IF(COUNTIFS('United Data'!$A$3:$A$2150,J$1,'United Data'!$C$3:$C$2150,$A297)&gt;0,1,0)</f>
        <v>1</v>
      </c>
      <c r="K297">
        <f>IF(COUNTIFS('United Data'!$A$3:$A$2150,K$1,'United Data'!$C$3:$C$2150,$A297)&gt;0,1,0)</f>
        <v>0</v>
      </c>
      <c r="L297">
        <f>IF(COUNTIFS('United Data'!$A$3:$A$2150,L$1,'United Data'!$C$3:$C$2150,$A297)&gt;0,1,0)</f>
        <v>0</v>
      </c>
      <c r="M297">
        <f>IF(COUNTIFS('United Data'!$A$3:$A$2150,M$1,'United Data'!$C$3:$C$2150,$A297)&gt;0,1,0)</f>
        <v>0</v>
      </c>
      <c r="N297">
        <f>IF(COUNTIFS('United Data'!$A$3:$A$2150,N$1,'United Data'!$C$3:$C$2150,$A297)&gt;0,1,0)</f>
        <v>0</v>
      </c>
      <c r="O297">
        <f>IF(COUNTIFS('United Data'!$A$3:$A$2150,O$1,'United Data'!$C$3:$C$2150,$A297)&gt;0,1,0)</f>
        <v>0</v>
      </c>
      <c r="P297">
        <f>IF(COUNTIFS('United Data'!$A$3:$A$2150,P$1,'United Data'!$C$3:$C$2150,$A297)&gt;0,1,0)</f>
        <v>0</v>
      </c>
      <c r="Q297">
        <f>IF(COUNTIFS('United Data'!$A$3:$A$2150,Q$1,'United Data'!$C$3:$C$2150,$A297)&gt;0,1,0)</f>
        <v>0</v>
      </c>
      <c r="R297">
        <f>IF(COUNTIFS('United Data'!$A$3:$A$2150,R$1,'United Data'!$C$3:$C$2150,$A297)&gt;0,1,0)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343</v>
      </c>
      <c r="B298">
        <f>IF(COUNTIFS('United Data'!$A$3:$A$2150,B$1,'United Data'!$C$3:$C$2150,$A298)&gt;0,1,0)</f>
        <v>0</v>
      </c>
      <c r="C298">
        <f>IF(COUNTIFS('United Data'!$A$3:$A$2150,C$1,'United Data'!$C$3:$C$2150,$A298)&gt;0,1,0)</f>
        <v>0</v>
      </c>
      <c r="D298">
        <f>IF(COUNTIFS('United Data'!$A$3:$A$2150,D$1,'United Data'!$C$3:$C$2150,$A298)&gt;0,1,0)</f>
        <v>0</v>
      </c>
      <c r="E298">
        <f>IF(COUNTIFS('United Data'!$A$3:$A$2150,E$1,'United Data'!$C$3:$C$2150,$A298)&gt;0,1,0)</f>
        <v>0</v>
      </c>
      <c r="F298">
        <f>IF(COUNTIFS('United Data'!$A$3:$A$2150,F$1,'United Data'!$C$3:$C$2150,$A298)&gt;0,1,0)</f>
        <v>0</v>
      </c>
      <c r="G298">
        <f>IF(COUNTIFS('United Data'!$A$3:$A$2150,G$1,'United Data'!$C$3:$C$2150,$A298)&gt;0,1,0)</f>
        <v>0</v>
      </c>
      <c r="H298">
        <f>IF(COUNTIFS('United Data'!$A$3:$A$2150,H$1,'United Data'!$C$3:$C$2150,$A298)&gt;0,1,0)</f>
        <v>0</v>
      </c>
      <c r="I298">
        <f>IF(COUNTIFS('United Data'!$A$3:$A$2150,I$1,'United Data'!$C$3:$C$2150,$A298)&gt;0,1,0)</f>
        <v>0</v>
      </c>
      <c r="J298">
        <f>IF(COUNTIFS('United Data'!$A$3:$A$2150,J$1,'United Data'!$C$3:$C$2150,$A298)&gt;0,1,0)</f>
        <v>1</v>
      </c>
      <c r="K298">
        <f>IF(COUNTIFS('United Data'!$A$3:$A$2150,K$1,'United Data'!$C$3:$C$2150,$A298)&gt;0,1,0)</f>
        <v>0</v>
      </c>
      <c r="L298">
        <f>IF(COUNTIFS('United Data'!$A$3:$A$2150,L$1,'United Data'!$C$3:$C$2150,$A298)&gt;0,1,0)</f>
        <v>0</v>
      </c>
      <c r="M298">
        <f>IF(COUNTIFS('United Data'!$A$3:$A$2150,M$1,'United Data'!$C$3:$C$2150,$A298)&gt;0,1,0)</f>
        <v>0</v>
      </c>
      <c r="N298">
        <f>IF(COUNTIFS('United Data'!$A$3:$A$2150,N$1,'United Data'!$C$3:$C$2150,$A298)&gt;0,1,0)</f>
        <v>0</v>
      </c>
      <c r="O298">
        <f>IF(COUNTIFS('United Data'!$A$3:$A$2150,O$1,'United Data'!$C$3:$C$2150,$A298)&gt;0,1,0)</f>
        <v>0</v>
      </c>
      <c r="P298">
        <f>IF(COUNTIFS('United Data'!$A$3:$A$2150,P$1,'United Data'!$C$3:$C$2150,$A298)&gt;0,1,0)</f>
        <v>0</v>
      </c>
      <c r="Q298">
        <f>IF(COUNTIFS('United Data'!$A$3:$A$2150,Q$1,'United Data'!$C$3:$C$2150,$A298)&gt;0,1,0)</f>
        <v>0</v>
      </c>
      <c r="R298">
        <f>IF(COUNTIFS('United Data'!$A$3:$A$2150,R$1,'United Data'!$C$3:$C$2150,$A298)&gt;0,1,0)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344</v>
      </c>
      <c r="B299">
        <f>IF(COUNTIFS('United Data'!$A$3:$A$2150,B$1,'United Data'!$C$3:$C$2150,$A299)&gt;0,1,0)</f>
        <v>0</v>
      </c>
      <c r="C299">
        <f>IF(COUNTIFS('United Data'!$A$3:$A$2150,C$1,'United Data'!$C$3:$C$2150,$A299)&gt;0,1,0)</f>
        <v>0</v>
      </c>
      <c r="D299">
        <f>IF(COUNTIFS('United Data'!$A$3:$A$2150,D$1,'United Data'!$C$3:$C$2150,$A299)&gt;0,1,0)</f>
        <v>0</v>
      </c>
      <c r="E299">
        <f>IF(COUNTIFS('United Data'!$A$3:$A$2150,E$1,'United Data'!$C$3:$C$2150,$A299)&gt;0,1,0)</f>
        <v>0</v>
      </c>
      <c r="F299">
        <f>IF(COUNTIFS('United Data'!$A$3:$A$2150,F$1,'United Data'!$C$3:$C$2150,$A299)&gt;0,1,0)</f>
        <v>0</v>
      </c>
      <c r="G299">
        <f>IF(COUNTIFS('United Data'!$A$3:$A$2150,G$1,'United Data'!$C$3:$C$2150,$A299)&gt;0,1,0)</f>
        <v>0</v>
      </c>
      <c r="H299">
        <f>IF(COUNTIFS('United Data'!$A$3:$A$2150,H$1,'United Data'!$C$3:$C$2150,$A299)&gt;0,1,0)</f>
        <v>0</v>
      </c>
      <c r="I299">
        <f>IF(COUNTIFS('United Data'!$A$3:$A$2150,I$1,'United Data'!$C$3:$C$2150,$A299)&gt;0,1,0)</f>
        <v>0</v>
      </c>
      <c r="J299">
        <f>IF(COUNTIFS('United Data'!$A$3:$A$2150,J$1,'United Data'!$C$3:$C$2150,$A299)&gt;0,1,0)</f>
        <v>0</v>
      </c>
      <c r="K299">
        <f>IF(COUNTIFS('United Data'!$A$3:$A$2150,K$1,'United Data'!$C$3:$C$2150,$A299)&gt;0,1,0)</f>
        <v>1</v>
      </c>
      <c r="L299">
        <f>IF(COUNTIFS('United Data'!$A$3:$A$2150,L$1,'United Data'!$C$3:$C$2150,$A299)&gt;0,1,0)</f>
        <v>0</v>
      </c>
      <c r="M299">
        <f>IF(COUNTIFS('United Data'!$A$3:$A$2150,M$1,'United Data'!$C$3:$C$2150,$A299)&gt;0,1,0)</f>
        <v>0</v>
      </c>
      <c r="N299">
        <f>IF(COUNTIFS('United Data'!$A$3:$A$2150,N$1,'United Data'!$C$3:$C$2150,$A299)&gt;0,1,0)</f>
        <v>0</v>
      </c>
      <c r="O299">
        <f>IF(COUNTIFS('United Data'!$A$3:$A$2150,O$1,'United Data'!$C$3:$C$2150,$A299)&gt;0,1,0)</f>
        <v>0</v>
      </c>
      <c r="P299">
        <f>IF(COUNTIFS('United Data'!$A$3:$A$2150,P$1,'United Data'!$C$3:$C$2150,$A299)&gt;0,1,0)</f>
        <v>0</v>
      </c>
      <c r="Q299">
        <f>IF(COUNTIFS('United Data'!$A$3:$A$2150,Q$1,'United Data'!$C$3:$C$2150,$A299)&gt;0,1,0)</f>
        <v>0</v>
      </c>
      <c r="R299">
        <f>IF(COUNTIFS('United Data'!$A$3:$A$2150,R$1,'United Data'!$C$3:$C$2150,$A299)&gt;0,1,0)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345</v>
      </c>
      <c r="B300">
        <f>IF(COUNTIFS('United Data'!$A$3:$A$2150,B$1,'United Data'!$C$3:$C$2150,$A300)&gt;0,1,0)</f>
        <v>0</v>
      </c>
      <c r="C300">
        <f>IF(COUNTIFS('United Data'!$A$3:$A$2150,C$1,'United Data'!$C$3:$C$2150,$A300)&gt;0,1,0)</f>
        <v>0</v>
      </c>
      <c r="D300">
        <f>IF(COUNTIFS('United Data'!$A$3:$A$2150,D$1,'United Data'!$C$3:$C$2150,$A300)&gt;0,1,0)</f>
        <v>0</v>
      </c>
      <c r="E300">
        <f>IF(COUNTIFS('United Data'!$A$3:$A$2150,E$1,'United Data'!$C$3:$C$2150,$A300)&gt;0,1,0)</f>
        <v>0</v>
      </c>
      <c r="F300">
        <f>IF(COUNTIFS('United Data'!$A$3:$A$2150,F$1,'United Data'!$C$3:$C$2150,$A300)&gt;0,1,0)</f>
        <v>0</v>
      </c>
      <c r="G300">
        <f>IF(COUNTIFS('United Data'!$A$3:$A$2150,G$1,'United Data'!$C$3:$C$2150,$A300)&gt;0,1,0)</f>
        <v>0</v>
      </c>
      <c r="H300">
        <f>IF(COUNTIFS('United Data'!$A$3:$A$2150,H$1,'United Data'!$C$3:$C$2150,$A300)&gt;0,1,0)</f>
        <v>0</v>
      </c>
      <c r="I300">
        <f>IF(COUNTIFS('United Data'!$A$3:$A$2150,I$1,'United Data'!$C$3:$C$2150,$A300)&gt;0,1,0)</f>
        <v>0</v>
      </c>
      <c r="J300">
        <f>IF(COUNTIFS('United Data'!$A$3:$A$2150,J$1,'United Data'!$C$3:$C$2150,$A300)&gt;0,1,0)</f>
        <v>0</v>
      </c>
      <c r="K300">
        <f>IF(COUNTIFS('United Data'!$A$3:$A$2150,K$1,'United Data'!$C$3:$C$2150,$A300)&gt;0,1,0)</f>
        <v>1</v>
      </c>
      <c r="L300">
        <f>IF(COUNTIFS('United Data'!$A$3:$A$2150,L$1,'United Data'!$C$3:$C$2150,$A300)&gt;0,1,0)</f>
        <v>0</v>
      </c>
      <c r="M300">
        <f>IF(COUNTIFS('United Data'!$A$3:$A$2150,M$1,'United Data'!$C$3:$C$2150,$A300)&gt;0,1,0)</f>
        <v>0</v>
      </c>
      <c r="N300">
        <f>IF(COUNTIFS('United Data'!$A$3:$A$2150,N$1,'United Data'!$C$3:$C$2150,$A300)&gt;0,1,0)</f>
        <v>0</v>
      </c>
      <c r="O300">
        <f>IF(COUNTIFS('United Data'!$A$3:$A$2150,O$1,'United Data'!$C$3:$C$2150,$A300)&gt;0,1,0)</f>
        <v>0</v>
      </c>
      <c r="P300">
        <f>IF(COUNTIFS('United Data'!$A$3:$A$2150,P$1,'United Data'!$C$3:$C$2150,$A300)&gt;0,1,0)</f>
        <v>0</v>
      </c>
      <c r="Q300">
        <f>IF(COUNTIFS('United Data'!$A$3:$A$2150,Q$1,'United Data'!$C$3:$C$2150,$A300)&gt;0,1,0)</f>
        <v>0</v>
      </c>
      <c r="R300">
        <f>IF(COUNTIFS('United Data'!$A$3:$A$2150,R$1,'United Data'!$C$3:$C$2150,$A300)&gt;0,1,0)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346</v>
      </c>
      <c r="B301">
        <f>IF(COUNTIFS('United Data'!$A$3:$A$2150,B$1,'United Data'!$C$3:$C$2150,$A301)&gt;0,1,0)</f>
        <v>0</v>
      </c>
      <c r="C301">
        <f>IF(COUNTIFS('United Data'!$A$3:$A$2150,C$1,'United Data'!$C$3:$C$2150,$A301)&gt;0,1,0)</f>
        <v>0</v>
      </c>
      <c r="D301">
        <f>IF(COUNTIFS('United Data'!$A$3:$A$2150,D$1,'United Data'!$C$3:$C$2150,$A301)&gt;0,1,0)</f>
        <v>0</v>
      </c>
      <c r="E301">
        <f>IF(COUNTIFS('United Data'!$A$3:$A$2150,E$1,'United Data'!$C$3:$C$2150,$A301)&gt;0,1,0)</f>
        <v>0</v>
      </c>
      <c r="F301">
        <f>IF(COUNTIFS('United Data'!$A$3:$A$2150,F$1,'United Data'!$C$3:$C$2150,$A301)&gt;0,1,0)</f>
        <v>0</v>
      </c>
      <c r="G301">
        <f>IF(COUNTIFS('United Data'!$A$3:$A$2150,G$1,'United Data'!$C$3:$C$2150,$A301)&gt;0,1,0)</f>
        <v>0</v>
      </c>
      <c r="H301">
        <f>IF(COUNTIFS('United Data'!$A$3:$A$2150,H$1,'United Data'!$C$3:$C$2150,$A301)&gt;0,1,0)</f>
        <v>0</v>
      </c>
      <c r="I301">
        <f>IF(COUNTIFS('United Data'!$A$3:$A$2150,I$1,'United Data'!$C$3:$C$2150,$A301)&gt;0,1,0)</f>
        <v>0</v>
      </c>
      <c r="J301">
        <f>IF(COUNTIFS('United Data'!$A$3:$A$2150,J$1,'United Data'!$C$3:$C$2150,$A301)&gt;0,1,0)</f>
        <v>0</v>
      </c>
      <c r="K301">
        <f>IF(COUNTIFS('United Data'!$A$3:$A$2150,K$1,'United Data'!$C$3:$C$2150,$A301)&gt;0,1,0)</f>
        <v>1</v>
      </c>
      <c r="L301">
        <f>IF(COUNTIFS('United Data'!$A$3:$A$2150,L$1,'United Data'!$C$3:$C$2150,$A301)&gt;0,1,0)</f>
        <v>0</v>
      </c>
      <c r="M301">
        <f>IF(COUNTIFS('United Data'!$A$3:$A$2150,M$1,'United Data'!$C$3:$C$2150,$A301)&gt;0,1,0)</f>
        <v>0</v>
      </c>
      <c r="N301">
        <f>IF(COUNTIFS('United Data'!$A$3:$A$2150,N$1,'United Data'!$C$3:$C$2150,$A301)&gt;0,1,0)</f>
        <v>0</v>
      </c>
      <c r="O301">
        <f>IF(COUNTIFS('United Data'!$A$3:$A$2150,O$1,'United Data'!$C$3:$C$2150,$A301)&gt;0,1,0)</f>
        <v>0</v>
      </c>
      <c r="P301">
        <f>IF(COUNTIFS('United Data'!$A$3:$A$2150,P$1,'United Data'!$C$3:$C$2150,$A301)&gt;0,1,0)</f>
        <v>0</v>
      </c>
      <c r="Q301">
        <f>IF(COUNTIFS('United Data'!$A$3:$A$2150,Q$1,'United Data'!$C$3:$C$2150,$A301)&gt;0,1,0)</f>
        <v>0</v>
      </c>
      <c r="R301">
        <f>IF(COUNTIFS('United Data'!$A$3:$A$2150,R$1,'United Data'!$C$3:$C$2150,$A301)&gt;0,1,0)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347</v>
      </c>
      <c r="B302">
        <f>IF(COUNTIFS('United Data'!$A$3:$A$2150,B$1,'United Data'!$C$3:$C$2150,$A302)&gt;0,1,0)</f>
        <v>0</v>
      </c>
      <c r="C302">
        <f>IF(COUNTIFS('United Data'!$A$3:$A$2150,C$1,'United Data'!$C$3:$C$2150,$A302)&gt;0,1,0)</f>
        <v>0</v>
      </c>
      <c r="D302">
        <f>IF(COUNTIFS('United Data'!$A$3:$A$2150,D$1,'United Data'!$C$3:$C$2150,$A302)&gt;0,1,0)</f>
        <v>0</v>
      </c>
      <c r="E302">
        <f>IF(COUNTIFS('United Data'!$A$3:$A$2150,E$1,'United Data'!$C$3:$C$2150,$A302)&gt;0,1,0)</f>
        <v>0</v>
      </c>
      <c r="F302">
        <f>IF(COUNTIFS('United Data'!$A$3:$A$2150,F$1,'United Data'!$C$3:$C$2150,$A302)&gt;0,1,0)</f>
        <v>0</v>
      </c>
      <c r="G302">
        <f>IF(COUNTIFS('United Data'!$A$3:$A$2150,G$1,'United Data'!$C$3:$C$2150,$A302)&gt;0,1,0)</f>
        <v>0</v>
      </c>
      <c r="H302">
        <f>IF(COUNTIFS('United Data'!$A$3:$A$2150,H$1,'United Data'!$C$3:$C$2150,$A302)&gt;0,1,0)</f>
        <v>0</v>
      </c>
      <c r="I302">
        <f>IF(COUNTIFS('United Data'!$A$3:$A$2150,I$1,'United Data'!$C$3:$C$2150,$A302)&gt;0,1,0)</f>
        <v>0</v>
      </c>
      <c r="J302">
        <f>IF(COUNTIFS('United Data'!$A$3:$A$2150,J$1,'United Data'!$C$3:$C$2150,$A302)&gt;0,1,0)</f>
        <v>0</v>
      </c>
      <c r="K302">
        <f>IF(COUNTIFS('United Data'!$A$3:$A$2150,K$1,'United Data'!$C$3:$C$2150,$A302)&gt;0,1,0)</f>
        <v>1</v>
      </c>
      <c r="L302">
        <f>IF(COUNTIFS('United Data'!$A$3:$A$2150,L$1,'United Data'!$C$3:$C$2150,$A302)&gt;0,1,0)</f>
        <v>0</v>
      </c>
      <c r="M302">
        <f>IF(COUNTIFS('United Data'!$A$3:$A$2150,M$1,'United Data'!$C$3:$C$2150,$A302)&gt;0,1,0)</f>
        <v>0</v>
      </c>
      <c r="N302">
        <f>IF(COUNTIFS('United Data'!$A$3:$A$2150,N$1,'United Data'!$C$3:$C$2150,$A302)&gt;0,1,0)</f>
        <v>0</v>
      </c>
      <c r="O302">
        <f>IF(COUNTIFS('United Data'!$A$3:$A$2150,O$1,'United Data'!$C$3:$C$2150,$A302)&gt;0,1,0)</f>
        <v>0</v>
      </c>
      <c r="P302">
        <f>IF(COUNTIFS('United Data'!$A$3:$A$2150,P$1,'United Data'!$C$3:$C$2150,$A302)&gt;0,1,0)</f>
        <v>0</v>
      </c>
      <c r="Q302">
        <f>IF(COUNTIFS('United Data'!$A$3:$A$2150,Q$1,'United Data'!$C$3:$C$2150,$A302)&gt;0,1,0)</f>
        <v>0</v>
      </c>
      <c r="R302">
        <f>IF(COUNTIFS('United Data'!$A$3:$A$2150,R$1,'United Data'!$C$3:$C$2150,$A302)&gt;0,1,0)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348</v>
      </c>
      <c r="B303">
        <f>IF(COUNTIFS('United Data'!$A$3:$A$2150,B$1,'United Data'!$C$3:$C$2150,$A303)&gt;0,1,0)</f>
        <v>0</v>
      </c>
      <c r="C303">
        <f>IF(COUNTIFS('United Data'!$A$3:$A$2150,C$1,'United Data'!$C$3:$C$2150,$A303)&gt;0,1,0)</f>
        <v>0</v>
      </c>
      <c r="D303">
        <f>IF(COUNTIFS('United Data'!$A$3:$A$2150,D$1,'United Data'!$C$3:$C$2150,$A303)&gt;0,1,0)</f>
        <v>0</v>
      </c>
      <c r="E303">
        <f>IF(COUNTIFS('United Data'!$A$3:$A$2150,E$1,'United Data'!$C$3:$C$2150,$A303)&gt;0,1,0)</f>
        <v>0</v>
      </c>
      <c r="F303">
        <f>IF(COUNTIFS('United Data'!$A$3:$A$2150,F$1,'United Data'!$C$3:$C$2150,$A303)&gt;0,1,0)</f>
        <v>0</v>
      </c>
      <c r="G303">
        <f>IF(COUNTIFS('United Data'!$A$3:$A$2150,G$1,'United Data'!$C$3:$C$2150,$A303)&gt;0,1,0)</f>
        <v>0</v>
      </c>
      <c r="H303">
        <f>IF(COUNTIFS('United Data'!$A$3:$A$2150,H$1,'United Data'!$C$3:$C$2150,$A303)&gt;0,1,0)</f>
        <v>0</v>
      </c>
      <c r="I303">
        <f>IF(COUNTIFS('United Data'!$A$3:$A$2150,I$1,'United Data'!$C$3:$C$2150,$A303)&gt;0,1,0)</f>
        <v>0</v>
      </c>
      <c r="J303">
        <f>IF(COUNTIFS('United Data'!$A$3:$A$2150,J$1,'United Data'!$C$3:$C$2150,$A303)&gt;0,1,0)</f>
        <v>0</v>
      </c>
      <c r="K303">
        <f>IF(COUNTIFS('United Data'!$A$3:$A$2150,K$1,'United Data'!$C$3:$C$2150,$A303)&gt;0,1,0)</f>
        <v>1</v>
      </c>
      <c r="L303">
        <f>IF(COUNTIFS('United Data'!$A$3:$A$2150,L$1,'United Data'!$C$3:$C$2150,$A303)&gt;0,1,0)</f>
        <v>0</v>
      </c>
      <c r="M303">
        <f>IF(COUNTIFS('United Data'!$A$3:$A$2150,M$1,'United Data'!$C$3:$C$2150,$A303)&gt;0,1,0)</f>
        <v>0</v>
      </c>
      <c r="N303">
        <f>IF(COUNTIFS('United Data'!$A$3:$A$2150,N$1,'United Data'!$C$3:$C$2150,$A303)&gt;0,1,0)</f>
        <v>0</v>
      </c>
      <c r="O303">
        <f>IF(COUNTIFS('United Data'!$A$3:$A$2150,O$1,'United Data'!$C$3:$C$2150,$A303)&gt;0,1,0)</f>
        <v>0</v>
      </c>
      <c r="P303">
        <f>IF(COUNTIFS('United Data'!$A$3:$A$2150,P$1,'United Data'!$C$3:$C$2150,$A303)&gt;0,1,0)</f>
        <v>0</v>
      </c>
      <c r="Q303">
        <f>IF(COUNTIFS('United Data'!$A$3:$A$2150,Q$1,'United Data'!$C$3:$C$2150,$A303)&gt;0,1,0)</f>
        <v>0</v>
      </c>
      <c r="R303">
        <f>IF(COUNTIFS('United Data'!$A$3:$A$2150,R$1,'United Data'!$C$3:$C$2150,$A303)&gt;0,1,0)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349</v>
      </c>
      <c r="B304">
        <f>IF(COUNTIFS('United Data'!$A$3:$A$2150,B$1,'United Data'!$C$3:$C$2150,$A304)&gt;0,1,0)</f>
        <v>0</v>
      </c>
      <c r="C304">
        <f>IF(COUNTIFS('United Data'!$A$3:$A$2150,C$1,'United Data'!$C$3:$C$2150,$A304)&gt;0,1,0)</f>
        <v>0</v>
      </c>
      <c r="D304">
        <f>IF(COUNTIFS('United Data'!$A$3:$A$2150,D$1,'United Data'!$C$3:$C$2150,$A304)&gt;0,1,0)</f>
        <v>0</v>
      </c>
      <c r="E304">
        <f>IF(COUNTIFS('United Data'!$A$3:$A$2150,E$1,'United Data'!$C$3:$C$2150,$A304)&gt;0,1,0)</f>
        <v>0</v>
      </c>
      <c r="F304">
        <f>IF(COUNTIFS('United Data'!$A$3:$A$2150,F$1,'United Data'!$C$3:$C$2150,$A304)&gt;0,1,0)</f>
        <v>0</v>
      </c>
      <c r="G304">
        <f>IF(COUNTIFS('United Data'!$A$3:$A$2150,G$1,'United Data'!$C$3:$C$2150,$A304)&gt;0,1,0)</f>
        <v>0</v>
      </c>
      <c r="H304">
        <f>IF(COUNTIFS('United Data'!$A$3:$A$2150,H$1,'United Data'!$C$3:$C$2150,$A304)&gt;0,1,0)</f>
        <v>0</v>
      </c>
      <c r="I304">
        <f>IF(COUNTIFS('United Data'!$A$3:$A$2150,I$1,'United Data'!$C$3:$C$2150,$A304)&gt;0,1,0)</f>
        <v>0</v>
      </c>
      <c r="J304">
        <f>IF(COUNTIFS('United Data'!$A$3:$A$2150,J$1,'United Data'!$C$3:$C$2150,$A304)&gt;0,1,0)</f>
        <v>0</v>
      </c>
      <c r="K304">
        <f>IF(COUNTIFS('United Data'!$A$3:$A$2150,K$1,'United Data'!$C$3:$C$2150,$A304)&gt;0,1,0)</f>
        <v>0</v>
      </c>
      <c r="L304">
        <f>IF(COUNTIFS('United Data'!$A$3:$A$2150,L$1,'United Data'!$C$3:$C$2150,$A304)&gt;0,1,0)</f>
        <v>1</v>
      </c>
      <c r="M304">
        <f>IF(COUNTIFS('United Data'!$A$3:$A$2150,M$1,'United Data'!$C$3:$C$2150,$A304)&gt;0,1,0)</f>
        <v>0</v>
      </c>
      <c r="N304">
        <f>IF(COUNTIFS('United Data'!$A$3:$A$2150,N$1,'United Data'!$C$3:$C$2150,$A304)&gt;0,1,0)</f>
        <v>0</v>
      </c>
      <c r="O304">
        <f>IF(COUNTIFS('United Data'!$A$3:$A$2150,O$1,'United Data'!$C$3:$C$2150,$A304)&gt;0,1,0)</f>
        <v>0</v>
      </c>
      <c r="P304">
        <f>IF(COUNTIFS('United Data'!$A$3:$A$2150,P$1,'United Data'!$C$3:$C$2150,$A304)&gt;0,1,0)</f>
        <v>0</v>
      </c>
      <c r="Q304">
        <f>IF(COUNTIFS('United Data'!$A$3:$A$2150,Q$1,'United Data'!$C$3:$C$2150,$A304)&gt;0,1,0)</f>
        <v>0</v>
      </c>
      <c r="R304">
        <f>IF(COUNTIFS('United Data'!$A$3:$A$2150,R$1,'United Data'!$C$3:$C$2150,$A304)&gt;0,1,0)</f>
        <v>0</v>
      </c>
      <c r="S304">
        <f t="shared" si="8"/>
        <v>1</v>
      </c>
      <c r="T304">
        <f t="shared" si="9"/>
        <v>1</v>
      </c>
    </row>
    <row r="305" spans="1:20" x14ac:dyDescent="0.2">
      <c r="A305" t="s">
        <v>350</v>
      </c>
      <c r="B305">
        <f>IF(COUNTIFS('United Data'!$A$3:$A$2150,B$1,'United Data'!$C$3:$C$2150,$A305)&gt;0,1,0)</f>
        <v>0</v>
      </c>
      <c r="C305">
        <f>IF(COUNTIFS('United Data'!$A$3:$A$2150,C$1,'United Data'!$C$3:$C$2150,$A305)&gt;0,1,0)</f>
        <v>0</v>
      </c>
      <c r="D305">
        <f>IF(COUNTIFS('United Data'!$A$3:$A$2150,D$1,'United Data'!$C$3:$C$2150,$A305)&gt;0,1,0)</f>
        <v>0</v>
      </c>
      <c r="E305">
        <f>IF(COUNTIFS('United Data'!$A$3:$A$2150,E$1,'United Data'!$C$3:$C$2150,$A305)&gt;0,1,0)</f>
        <v>0</v>
      </c>
      <c r="F305">
        <f>IF(COUNTIFS('United Data'!$A$3:$A$2150,F$1,'United Data'!$C$3:$C$2150,$A305)&gt;0,1,0)</f>
        <v>0</v>
      </c>
      <c r="G305">
        <f>IF(COUNTIFS('United Data'!$A$3:$A$2150,G$1,'United Data'!$C$3:$C$2150,$A305)&gt;0,1,0)</f>
        <v>0</v>
      </c>
      <c r="H305">
        <f>IF(COUNTIFS('United Data'!$A$3:$A$2150,H$1,'United Data'!$C$3:$C$2150,$A305)&gt;0,1,0)</f>
        <v>0</v>
      </c>
      <c r="I305">
        <f>IF(COUNTIFS('United Data'!$A$3:$A$2150,I$1,'United Data'!$C$3:$C$2150,$A305)&gt;0,1,0)</f>
        <v>0</v>
      </c>
      <c r="J305">
        <f>IF(COUNTIFS('United Data'!$A$3:$A$2150,J$1,'United Data'!$C$3:$C$2150,$A305)&gt;0,1,0)</f>
        <v>0</v>
      </c>
      <c r="K305">
        <f>IF(COUNTIFS('United Data'!$A$3:$A$2150,K$1,'United Data'!$C$3:$C$2150,$A305)&gt;0,1,0)</f>
        <v>0</v>
      </c>
      <c r="L305">
        <f>IF(COUNTIFS('United Data'!$A$3:$A$2150,L$1,'United Data'!$C$3:$C$2150,$A305)&gt;0,1,0)</f>
        <v>1</v>
      </c>
      <c r="M305">
        <f>IF(COUNTIFS('United Data'!$A$3:$A$2150,M$1,'United Data'!$C$3:$C$2150,$A305)&gt;0,1,0)</f>
        <v>1</v>
      </c>
      <c r="N305">
        <f>IF(COUNTIFS('United Data'!$A$3:$A$2150,N$1,'United Data'!$C$3:$C$2150,$A305)&gt;0,1,0)</f>
        <v>0</v>
      </c>
      <c r="O305">
        <f>IF(COUNTIFS('United Data'!$A$3:$A$2150,O$1,'United Data'!$C$3:$C$2150,$A305)&gt;0,1,0)</f>
        <v>0</v>
      </c>
      <c r="P305">
        <f>IF(COUNTIFS('United Data'!$A$3:$A$2150,P$1,'United Data'!$C$3:$C$2150,$A305)&gt;0,1,0)</f>
        <v>0</v>
      </c>
      <c r="Q305">
        <f>IF(COUNTIFS('United Data'!$A$3:$A$2150,Q$1,'United Data'!$C$3:$C$2150,$A305)&gt;0,1,0)</f>
        <v>0</v>
      </c>
      <c r="R305">
        <f>IF(COUNTIFS('United Data'!$A$3:$A$2150,R$1,'United Data'!$C$3:$C$2150,$A305)&gt;0,1,0)</f>
        <v>0</v>
      </c>
      <c r="S305">
        <f t="shared" si="8"/>
        <v>2</v>
      </c>
      <c r="T305">
        <f t="shared" si="9"/>
        <v>1</v>
      </c>
    </row>
    <row r="306" spans="1:20" x14ac:dyDescent="0.2">
      <c r="A306" t="s">
        <v>351</v>
      </c>
      <c r="B306">
        <f>IF(COUNTIFS('United Data'!$A$3:$A$2150,B$1,'United Data'!$C$3:$C$2150,$A306)&gt;0,1,0)</f>
        <v>0</v>
      </c>
      <c r="C306">
        <f>IF(COUNTIFS('United Data'!$A$3:$A$2150,C$1,'United Data'!$C$3:$C$2150,$A306)&gt;0,1,0)</f>
        <v>0</v>
      </c>
      <c r="D306">
        <f>IF(COUNTIFS('United Data'!$A$3:$A$2150,D$1,'United Data'!$C$3:$C$2150,$A306)&gt;0,1,0)</f>
        <v>0</v>
      </c>
      <c r="E306">
        <f>IF(COUNTIFS('United Data'!$A$3:$A$2150,E$1,'United Data'!$C$3:$C$2150,$A306)&gt;0,1,0)</f>
        <v>0</v>
      </c>
      <c r="F306">
        <f>IF(COUNTIFS('United Data'!$A$3:$A$2150,F$1,'United Data'!$C$3:$C$2150,$A306)&gt;0,1,0)</f>
        <v>0</v>
      </c>
      <c r="G306">
        <f>IF(COUNTIFS('United Data'!$A$3:$A$2150,G$1,'United Data'!$C$3:$C$2150,$A306)&gt;0,1,0)</f>
        <v>0</v>
      </c>
      <c r="H306">
        <f>IF(COUNTIFS('United Data'!$A$3:$A$2150,H$1,'United Data'!$C$3:$C$2150,$A306)&gt;0,1,0)</f>
        <v>0</v>
      </c>
      <c r="I306">
        <f>IF(COUNTIFS('United Data'!$A$3:$A$2150,I$1,'United Data'!$C$3:$C$2150,$A306)&gt;0,1,0)</f>
        <v>0</v>
      </c>
      <c r="J306">
        <f>IF(COUNTIFS('United Data'!$A$3:$A$2150,J$1,'United Data'!$C$3:$C$2150,$A306)&gt;0,1,0)</f>
        <v>0</v>
      </c>
      <c r="K306">
        <f>IF(COUNTIFS('United Data'!$A$3:$A$2150,K$1,'United Data'!$C$3:$C$2150,$A306)&gt;0,1,0)</f>
        <v>0</v>
      </c>
      <c r="L306">
        <f>IF(COUNTIFS('United Data'!$A$3:$A$2150,L$1,'United Data'!$C$3:$C$2150,$A306)&gt;0,1,0)</f>
        <v>1</v>
      </c>
      <c r="M306">
        <f>IF(COUNTIFS('United Data'!$A$3:$A$2150,M$1,'United Data'!$C$3:$C$2150,$A306)&gt;0,1,0)</f>
        <v>0</v>
      </c>
      <c r="N306">
        <f>IF(COUNTIFS('United Data'!$A$3:$A$2150,N$1,'United Data'!$C$3:$C$2150,$A306)&gt;0,1,0)</f>
        <v>0</v>
      </c>
      <c r="O306">
        <f>IF(COUNTIFS('United Data'!$A$3:$A$2150,O$1,'United Data'!$C$3:$C$2150,$A306)&gt;0,1,0)</f>
        <v>0</v>
      </c>
      <c r="P306">
        <f>IF(COUNTIFS('United Data'!$A$3:$A$2150,P$1,'United Data'!$C$3:$C$2150,$A306)&gt;0,1,0)</f>
        <v>0</v>
      </c>
      <c r="Q306">
        <f>IF(COUNTIFS('United Data'!$A$3:$A$2150,Q$1,'United Data'!$C$3:$C$2150,$A306)&gt;0,1,0)</f>
        <v>0</v>
      </c>
      <c r="R306">
        <f>IF(COUNTIFS('United Data'!$A$3:$A$2150,R$1,'United Data'!$C$3:$C$2150,$A306)&gt;0,1,0)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352</v>
      </c>
      <c r="B307">
        <f>IF(COUNTIFS('United Data'!$A$3:$A$2150,B$1,'United Data'!$C$3:$C$2150,$A307)&gt;0,1,0)</f>
        <v>0</v>
      </c>
      <c r="C307">
        <f>IF(COUNTIFS('United Data'!$A$3:$A$2150,C$1,'United Data'!$C$3:$C$2150,$A307)&gt;0,1,0)</f>
        <v>0</v>
      </c>
      <c r="D307">
        <f>IF(COUNTIFS('United Data'!$A$3:$A$2150,D$1,'United Data'!$C$3:$C$2150,$A307)&gt;0,1,0)</f>
        <v>0</v>
      </c>
      <c r="E307">
        <f>IF(COUNTIFS('United Data'!$A$3:$A$2150,E$1,'United Data'!$C$3:$C$2150,$A307)&gt;0,1,0)</f>
        <v>0</v>
      </c>
      <c r="F307">
        <f>IF(COUNTIFS('United Data'!$A$3:$A$2150,F$1,'United Data'!$C$3:$C$2150,$A307)&gt;0,1,0)</f>
        <v>0</v>
      </c>
      <c r="G307">
        <f>IF(COUNTIFS('United Data'!$A$3:$A$2150,G$1,'United Data'!$C$3:$C$2150,$A307)&gt;0,1,0)</f>
        <v>0</v>
      </c>
      <c r="H307">
        <f>IF(COUNTIFS('United Data'!$A$3:$A$2150,H$1,'United Data'!$C$3:$C$2150,$A307)&gt;0,1,0)</f>
        <v>0</v>
      </c>
      <c r="I307">
        <f>IF(COUNTIFS('United Data'!$A$3:$A$2150,I$1,'United Data'!$C$3:$C$2150,$A307)&gt;0,1,0)</f>
        <v>0</v>
      </c>
      <c r="J307">
        <f>IF(COUNTIFS('United Data'!$A$3:$A$2150,J$1,'United Data'!$C$3:$C$2150,$A307)&gt;0,1,0)</f>
        <v>0</v>
      </c>
      <c r="K307">
        <f>IF(COUNTIFS('United Data'!$A$3:$A$2150,K$1,'United Data'!$C$3:$C$2150,$A307)&gt;0,1,0)</f>
        <v>0</v>
      </c>
      <c r="L307">
        <f>IF(COUNTIFS('United Data'!$A$3:$A$2150,L$1,'United Data'!$C$3:$C$2150,$A307)&gt;0,1,0)</f>
        <v>1</v>
      </c>
      <c r="M307">
        <f>IF(COUNTIFS('United Data'!$A$3:$A$2150,M$1,'United Data'!$C$3:$C$2150,$A307)&gt;0,1,0)</f>
        <v>0</v>
      </c>
      <c r="N307">
        <f>IF(COUNTIFS('United Data'!$A$3:$A$2150,N$1,'United Data'!$C$3:$C$2150,$A307)&gt;0,1,0)</f>
        <v>0</v>
      </c>
      <c r="O307">
        <f>IF(COUNTIFS('United Data'!$A$3:$A$2150,O$1,'United Data'!$C$3:$C$2150,$A307)&gt;0,1,0)</f>
        <v>0</v>
      </c>
      <c r="P307">
        <f>IF(COUNTIFS('United Data'!$A$3:$A$2150,P$1,'United Data'!$C$3:$C$2150,$A307)&gt;0,1,0)</f>
        <v>0</v>
      </c>
      <c r="Q307">
        <f>IF(COUNTIFS('United Data'!$A$3:$A$2150,Q$1,'United Data'!$C$3:$C$2150,$A307)&gt;0,1,0)</f>
        <v>0</v>
      </c>
      <c r="R307">
        <f>IF(COUNTIFS('United Data'!$A$3:$A$2150,R$1,'United Data'!$C$3:$C$2150,$A307)&gt;0,1,0)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353</v>
      </c>
      <c r="B308">
        <f>IF(COUNTIFS('United Data'!$A$3:$A$2150,B$1,'United Data'!$C$3:$C$2150,$A308)&gt;0,1,0)</f>
        <v>0</v>
      </c>
      <c r="C308">
        <f>IF(COUNTIFS('United Data'!$A$3:$A$2150,C$1,'United Data'!$C$3:$C$2150,$A308)&gt;0,1,0)</f>
        <v>0</v>
      </c>
      <c r="D308">
        <f>IF(COUNTIFS('United Data'!$A$3:$A$2150,D$1,'United Data'!$C$3:$C$2150,$A308)&gt;0,1,0)</f>
        <v>0</v>
      </c>
      <c r="E308">
        <f>IF(COUNTIFS('United Data'!$A$3:$A$2150,E$1,'United Data'!$C$3:$C$2150,$A308)&gt;0,1,0)</f>
        <v>0</v>
      </c>
      <c r="F308">
        <f>IF(COUNTIFS('United Data'!$A$3:$A$2150,F$1,'United Data'!$C$3:$C$2150,$A308)&gt;0,1,0)</f>
        <v>0</v>
      </c>
      <c r="G308">
        <f>IF(COUNTIFS('United Data'!$A$3:$A$2150,G$1,'United Data'!$C$3:$C$2150,$A308)&gt;0,1,0)</f>
        <v>0</v>
      </c>
      <c r="H308">
        <f>IF(COUNTIFS('United Data'!$A$3:$A$2150,H$1,'United Data'!$C$3:$C$2150,$A308)&gt;0,1,0)</f>
        <v>0</v>
      </c>
      <c r="I308">
        <f>IF(COUNTIFS('United Data'!$A$3:$A$2150,I$1,'United Data'!$C$3:$C$2150,$A308)&gt;0,1,0)</f>
        <v>0</v>
      </c>
      <c r="J308">
        <f>IF(COUNTIFS('United Data'!$A$3:$A$2150,J$1,'United Data'!$C$3:$C$2150,$A308)&gt;0,1,0)</f>
        <v>0</v>
      </c>
      <c r="K308">
        <f>IF(COUNTIFS('United Data'!$A$3:$A$2150,K$1,'United Data'!$C$3:$C$2150,$A308)&gt;0,1,0)</f>
        <v>0</v>
      </c>
      <c r="L308">
        <f>IF(COUNTIFS('United Data'!$A$3:$A$2150,L$1,'United Data'!$C$3:$C$2150,$A308)&gt;0,1,0)</f>
        <v>0</v>
      </c>
      <c r="M308">
        <f>IF(COUNTIFS('United Data'!$A$3:$A$2150,M$1,'United Data'!$C$3:$C$2150,$A308)&gt;0,1,0)</f>
        <v>1</v>
      </c>
      <c r="N308">
        <f>IF(COUNTIFS('United Data'!$A$3:$A$2150,N$1,'United Data'!$C$3:$C$2150,$A308)&gt;0,1,0)</f>
        <v>0</v>
      </c>
      <c r="O308">
        <f>IF(COUNTIFS('United Data'!$A$3:$A$2150,O$1,'United Data'!$C$3:$C$2150,$A308)&gt;0,1,0)</f>
        <v>0</v>
      </c>
      <c r="P308">
        <f>IF(COUNTIFS('United Data'!$A$3:$A$2150,P$1,'United Data'!$C$3:$C$2150,$A308)&gt;0,1,0)</f>
        <v>0</v>
      </c>
      <c r="Q308">
        <f>IF(COUNTIFS('United Data'!$A$3:$A$2150,Q$1,'United Data'!$C$3:$C$2150,$A308)&gt;0,1,0)</f>
        <v>0</v>
      </c>
      <c r="R308">
        <f>IF(COUNTIFS('United Data'!$A$3:$A$2150,R$1,'United Data'!$C$3:$C$2150,$A308)&gt;0,1,0)</f>
        <v>0</v>
      </c>
      <c r="S308">
        <f t="shared" si="8"/>
        <v>1</v>
      </c>
      <c r="T308">
        <f t="shared" si="9"/>
        <v>1</v>
      </c>
    </row>
    <row r="309" spans="1:20" x14ac:dyDescent="0.2">
      <c r="A309" t="s">
        <v>354</v>
      </c>
      <c r="B309">
        <f>IF(COUNTIFS('United Data'!$A$3:$A$2150,B$1,'United Data'!$C$3:$C$2150,$A309)&gt;0,1,0)</f>
        <v>0</v>
      </c>
      <c r="C309">
        <f>IF(COUNTIFS('United Data'!$A$3:$A$2150,C$1,'United Data'!$C$3:$C$2150,$A309)&gt;0,1,0)</f>
        <v>0</v>
      </c>
      <c r="D309">
        <f>IF(COUNTIFS('United Data'!$A$3:$A$2150,D$1,'United Data'!$C$3:$C$2150,$A309)&gt;0,1,0)</f>
        <v>0</v>
      </c>
      <c r="E309">
        <f>IF(COUNTIFS('United Data'!$A$3:$A$2150,E$1,'United Data'!$C$3:$C$2150,$A309)&gt;0,1,0)</f>
        <v>0</v>
      </c>
      <c r="F309">
        <f>IF(COUNTIFS('United Data'!$A$3:$A$2150,F$1,'United Data'!$C$3:$C$2150,$A309)&gt;0,1,0)</f>
        <v>0</v>
      </c>
      <c r="G309">
        <f>IF(COUNTIFS('United Data'!$A$3:$A$2150,G$1,'United Data'!$C$3:$C$2150,$A309)&gt;0,1,0)</f>
        <v>0</v>
      </c>
      <c r="H309">
        <f>IF(COUNTIFS('United Data'!$A$3:$A$2150,H$1,'United Data'!$C$3:$C$2150,$A309)&gt;0,1,0)</f>
        <v>0</v>
      </c>
      <c r="I309">
        <f>IF(COUNTIFS('United Data'!$A$3:$A$2150,I$1,'United Data'!$C$3:$C$2150,$A309)&gt;0,1,0)</f>
        <v>0</v>
      </c>
      <c r="J309">
        <f>IF(COUNTIFS('United Data'!$A$3:$A$2150,J$1,'United Data'!$C$3:$C$2150,$A309)&gt;0,1,0)</f>
        <v>0</v>
      </c>
      <c r="K309">
        <f>IF(COUNTIFS('United Data'!$A$3:$A$2150,K$1,'United Data'!$C$3:$C$2150,$A309)&gt;0,1,0)</f>
        <v>0</v>
      </c>
      <c r="L309">
        <f>IF(COUNTIFS('United Data'!$A$3:$A$2150,L$1,'United Data'!$C$3:$C$2150,$A309)&gt;0,1,0)</f>
        <v>0</v>
      </c>
      <c r="M309">
        <f>IF(COUNTIFS('United Data'!$A$3:$A$2150,M$1,'United Data'!$C$3:$C$2150,$A309)&gt;0,1,0)</f>
        <v>0</v>
      </c>
      <c r="N309">
        <f>IF(COUNTIFS('United Data'!$A$3:$A$2150,N$1,'United Data'!$C$3:$C$2150,$A309)&gt;0,1,0)</f>
        <v>1</v>
      </c>
      <c r="O309">
        <f>IF(COUNTIFS('United Data'!$A$3:$A$2150,O$1,'United Data'!$C$3:$C$2150,$A309)&gt;0,1,0)</f>
        <v>0</v>
      </c>
      <c r="P309">
        <f>IF(COUNTIFS('United Data'!$A$3:$A$2150,P$1,'United Data'!$C$3:$C$2150,$A309)&gt;0,1,0)</f>
        <v>0</v>
      </c>
      <c r="Q309">
        <f>IF(COUNTIFS('United Data'!$A$3:$A$2150,Q$1,'United Data'!$C$3:$C$2150,$A309)&gt;0,1,0)</f>
        <v>0</v>
      </c>
      <c r="R309">
        <f>IF(COUNTIFS('United Data'!$A$3:$A$2150,R$1,'United Data'!$C$3:$C$2150,$A309)&gt;0,1,0)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355</v>
      </c>
      <c r="B310">
        <f>IF(COUNTIFS('United Data'!$A$3:$A$2150,B$1,'United Data'!$C$3:$C$2150,$A310)&gt;0,1,0)</f>
        <v>0</v>
      </c>
      <c r="C310">
        <f>IF(COUNTIFS('United Data'!$A$3:$A$2150,C$1,'United Data'!$C$3:$C$2150,$A310)&gt;0,1,0)</f>
        <v>0</v>
      </c>
      <c r="D310">
        <f>IF(COUNTIFS('United Data'!$A$3:$A$2150,D$1,'United Data'!$C$3:$C$2150,$A310)&gt;0,1,0)</f>
        <v>0</v>
      </c>
      <c r="E310">
        <f>IF(COUNTIFS('United Data'!$A$3:$A$2150,E$1,'United Data'!$C$3:$C$2150,$A310)&gt;0,1,0)</f>
        <v>0</v>
      </c>
      <c r="F310">
        <f>IF(COUNTIFS('United Data'!$A$3:$A$2150,F$1,'United Data'!$C$3:$C$2150,$A310)&gt;0,1,0)</f>
        <v>0</v>
      </c>
      <c r="G310">
        <f>IF(COUNTIFS('United Data'!$A$3:$A$2150,G$1,'United Data'!$C$3:$C$2150,$A310)&gt;0,1,0)</f>
        <v>0</v>
      </c>
      <c r="H310">
        <f>IF(COUNTIFS('United Data'!$A$3:$A$2150,H$1,'United Data'!$C$3:$C$2150,$A310)&gt;0,1,0)</f>
        <v>0</v>
      </c>
      <c r="I310">
        <f>IF(COUNTIFS('United Data'!$A$3:$A$2150,I$1,'United Data'!$C$3:$C$2150,$A310)&gt;0,1,0)</f>
        <v>0</v>
      </c>
      <c r="J310">
        <f>IF(COUNTIFS('United Data'!$A$3:$A$2150,J$1,'United Data'!$C$3:$C$2150,$A310)&gt;0,1,0)</f>
        <v>0</v>
      </c>
      <c r="K310">
        <f>IF(COUNTIFS('United Data'!$A$3:$A$2150,K$1,'United Data'!$C$3:$C$2150,$A310)&gt;0,1,0)</f>
        <v>0</v>
      </c>
      <c r="L310">
        <f>IF(COUNTIFS('United Data'!$A$3:$A$2150,L$1,'United Data'!$C$3:$C$2150,$A310)&gt;0,1,0)</f>
        <v>0</v>
      </c>
      <c r="M310">
        <f>IF(COUNTIFS('United Data'!$A$3:$A$2150,M$1,'United Data'!$C$3:$C$2150,$A310)&gt;0,1,0)</f>
        <v>0</v>
      </c>
      <c r="N310">
        <f>IF(COUNTIFS('United Data'!$A$3:$A$2150,N$1,'United Data'!$C$3:$C$2150,$A310)&gt;0,1,0)</f>
        <v>1</v>
      </c>
      <c r="O310">
        <f>IF(COUNTIFS('United Data'!$A$3:$A$2150,O$1,'United Data'!$C$3:$C$2150,$A310)&gt;0,1,0)</f>
        <v>1</v>
      </c>
      <c r="P310">
        <f>IF(COUNTIFS('United Data'!$A$3:$A$2150,P$1,'United Data'!$C$3:$C$2150,$A310)&gt;0,1,0)</f>
        <v>0</v>
      </c>
      <c r="Q310">
        <f>IF(COUNTIFS('United Data'!$A$3:$A$2150,Q$1,'United Data'!$C$3:$C$2150,$A310)&gt;0,1,0)</f>
        <v>0</v>
      </c>
      <c r="R310">
        <f>IF(COUNTIFS('United Data'!$A$3:$A$2150,R$1,'United Data'!$C$3:$C$2150,$A310)&gt;0,1,0)</f>
        <v>0</v>
      </c>
      <c r="S310">
        <f t="shared" si="8"/>
        <v>2</v>
      </c>
      <c r="T310">
        <f t="shared" si="9"/>
        <v>1</v>
      </c>
    </row>
    <row r="311" spans="1:20" x14ac:dyDescent="0.2">
      <c r="A311" t="s">
        <v>356</v>
      </c>
      <c r="B311">
        <f>IF(COUNTIFS('United Data'!$A$3:$A$2150,B$1,'United Data'!$C$3:$C$2150,$A311)&gt;0,1,0)</f>
        <v>0</v>
      </c>
      <c r="C311">
        <f>IF(COUNTIFS('United Data'!$A$3:$A$2150,C$1,'United Data'!$C$3:$C$2150,$A311)&gt;0,1,0)</f>
        <v>0</v>
      </c>
      <c r="D311">
        <f>IF(COUNTIFS('United Data'!$A$3:$A$2150,D$1,'United Data'!$C$3:$C$2150,$A311)&gt;0,1,0)</f>
        <v>0</v>
      </c>
      <c r="E311">
        <f>IF(COUNTIFS('United Data'!$A$3:$A$2150,E$1,'United Data'!$C$3:$C$2150,$A311)&gt;0,1,0)</f>
        <v>0</v>
      </c>
      <c r="F311">
        <f>IF(COUNTIFS('United Data'!$A$3:$A$2150,F$1,'United Data'!$C$3:$C$2150,$A311)&gt;0,1,0)</f>
        <v>0</v>
      </c>
      <c r="G311">
        <f>IF(COUNTIFS('United Data'!$A$3:$A$2150,G$1,'United Data'!$C$3:$C$2150,$A311)&gt;0,1,0)</f>
        <v>0</v>
      </c>
      <c r="H311">
        <f>IF(COUNTIFS('United Data'!$A$3:$A$2150,H$1,'United Data'!$C$3:$C$2150,$A311)&gt;0,1,0)</f>
        <v>0</v>
      </c>
      <c r="I311">
        <f>IF(COUNTIFS('United Data'!$A$3:$A$2150,I$1,'United Data'!$C$3:$C$2150,$A311)&gt;0,1,0)</f>
        <v>0</v>
      </c>
      <c r="J311">
        <f>IF(COUNTIFS('United Data'!$A$3:$A$2150,J$1,'United Data'!$C$3:$C$2150,$A311)&gt;0,1,0)</f>
        <v>0</v>
      </c>
      <c r="K311">
        <f>IF(COUNTIFS('United Data'!$A$3:$A$2150,K$1,'United Data'!$C$3:$C$2150,$A311)&gt;0,1,0)</f>
        <v>0</v>
      </c>
      <c r="L311">
        <f>IF(COUNTIFS('United Data'!$A$3:$A$2150,L$1,'United Data'!$C$3:$C$2150,$A311)&gt;0,1,0)</f>
        <v>0</v>
      </c>
      <c r="M311">
        <f>IF(COUNTIFS('United Data'!$A$3:$A$2150,M$1,'United Data'!$C$3:$C$2150,$A311)&gt;0,1,0)</f>
        <v>0</v>
      </c>
      <c r="N311">
        <f>IF(COUNTIFS('United Data'!$A$3:$A$2150,N$1,'United Data'!$C$3:$C$2150,$A311)&gt;0,1,0)</f>
        <v>1</v>
      </c>
      <c r="O311">
        <f>IF(COUNTIFS('United Data'!$A$3:$A$2150,O$1,'United Data'!$C$3:$C$2150,$A311)&gt;0,1,0)</f>
        <v>0</v>
      </c>
      <c r="P311">
        <f>IF(COUNTIFS('United Data'!$A$3:$A$2150,P$1,'United Data'!$C$3:$C$2150,$A311)&gt;0,1,0)</f>
        <v>0</v>
      </c>
      <c r="Q311">
        <f>IF(COUNTIFS('United Data'!$A$3:$A$2150,Q$1,'United Data'!$C$3:$C$2150,$A311)&gt;0,1,0)</f>
        <v>0</v>
      </c>
      <c r="R311">
        <f>IF(COUNTIFS('United Data'!$A$3:$A$2150,R$1,'United Data'!$C$3:$C$2150,$A311)&gt;0,1,0)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357</v>
      </c>
      <c r="B312">
        <f>IF(COUNTIFS('United Data'!$A$3:$A$2150,B$1,'United Data'!$C$3:$C$2150,$A312)&gt;0,1,0)</f>
        <v>0</v>
      </c>
      <c r="C312">
        <f>IF(COUNTIFS('United Data'!$A$3:$A$2150,C$1,'United Data'!$C$3:$C$2150,$A312)&gt;0,1,0)</f>
        <v>0</v>
      </c>
      <c r="D312">
        <f>IF(COUNTIFS('United Data'!$A$3:$A$2150,D$1,'United Data'!$C$3:$C$2150,$A312)&gt;0,1,0)</f>
        <v>0</v>
      </c>
      <c r="E312">
        <f>IF(COUNTIFS('United Data'!$A$3:$A$2150,E$1,'United Data'!$C$3:$C$2150,$A312)&gt;0,1,0)</f>
        <v>0</v>
      </c>
      <c r="F312">
        <f>IF(COUNTIFS('United Data'!$A$3:$A$2150,F$1,'United Data'!$C$3:$C$2150,$A312)&gt;0,1,0)</f>
        <v>0</v>
      </c>
      <c r="G312">
        <f>IF(COUNTIFS('United Data'!$A$3:$A$2150,G$1,'United Data'!$C$3:$C$2150,$A312)&gt;0,1,0)</f>
        <v>0</v>
      </c>
      <c r="H312">
        <f>IF(COUNTIFS('United Data'!$A$3:$A$2150,H$1,'United Data'!$C$3:$C$2150,$A312)&gt;0,1,0)</f>
        <v>0</v>
      </c>
      <c r="I312">
        <f>IF(COUNTIFS('United Data'!$A$3:$A$2150,I$1,'United Data'!$C$3:$C$2150,$A312)&gt;0,1,0)</f>
        <v>0</v>
      </c>
      <c r="J312">
        <f>IF(COUNTIFS('United Data'!$A$3:$A$2150,J$1,'United Data'!$C$3:$C$2150,$A312)&gt;0,1,0)</f>
        <v>0</v>
      </c>
      <c r="K312">
        <f>IF(COUNTIFS('United Data'!$A$3:$A$2150,K$1,'United Data'!$C$3:$C$2150,$A312)&gt;0,1,0)</f>
        <v>0</v>
      </c>
      <c r="L312">
        <f>IF(COUNTIFS('United Data'!$A$3:$A$2150,L$1,'United Data'!$C$3:$C$2150,$A312)&gt;0,1,0)</f>
        <v>0</v>
      </c>
      <c r="M312">
        <f>IF(COUNTIFS('United Data'!$A$3:$A$2150,M$1,'United Data'!$C$3:$C$2150,$A312)&gt;0,1,0)</f>
        <v>0</v>
      </c>
      <c r="N312">
        <f>IF(COUNTIFS('United Data'!$A$3:$A$2150,N$1,'United Data'!$C$3:$C$2150,$A312)&gt;0,1,0)</f>
        <v>1</v>
      </c>
      <c r="O312">
        <f>IF(COUNTIFS('United Data'!$A$3:$A$2150,O$1,'United Data'!$C$3:$C$2150,$A312)&gt;0,1,0)</f>
        <v>0</v>
      </c>
      <c r="P312">
        <f>IF(COUNTIFS('United Data'!$A$3:$A$2150,P$1,'United Data'!$C$3:$C$2150,$A312)&gt;0,1,0)</f>
        <v>0</v>
      </c>
      <c r="Q312">
        <f>IF(COUNTIFS('United Data'!$A$3:$A$2150,Q$1,'United Data'!$C$3:$C$2150,$A312)&gt;0,1,0)</f>
        <v>0</v>
      </c>
      <c r="R312">
        <f>IF(COUNTIFS('United Data'!$A$3:$A$2150,R$1,'United Data'!$C$3:$C$2150,$A312)&gt;0,1,0)</f>
        <v>0</v>
      </c>
      <c r="S312">
        <f t="shared" si="8"/>
        <v>1</v>
      </c>
      <c r="T312">
        <f t="shared" si="9"/>
        <v>1</v>
      </c>
    </row>
    <row r="313" spans="1:20" x14ac:dyDescent="0.2">
      <c r="A313" t="s">
        <v>358</v>
      </c>
      <c r="B313">
        <f>IF(COUNTIFS('United Data'!$A$3:$A$2150,B$1,'United Data'!$C$3:$C$2150,$A313)&gt;0,1,0)</f>
        <v>0</v>
      </c>
      <c r="C313">
        <f>IF(COUNTIFS('United Data'!$A$3:$A$2150,C$1,'United Data'!$C$3:$C$2150,$A313)&gt;0,1,0)</f>
        <v>0</v>
      </c>
      <c r="D313">
        <f>IF(COUNTIFS('United Data'!$A$3:$A$2150,D$1,'United Data'!$C$3:$C$2150,$A313)&gt;0,1,0)</f>
        <v>0</v>
      </c>
      <c r="E313">
        <f>IF(COUNTIFS('United Data'!$A$3:$A$2150,E$1,'United Data'!$C$3:$C$2150,$A313)&gt;0,1,0)</f>
        <v>0</v>
      </c>
      <c r="F313">
        <f>IF(COUNTIFS('United Data'!$A$3:$A$2150,F$1,'United Data'!$C$3:$C$2150,$A313)&gt;0,1,0)</f>
        <v>0</v>
      </c>
      <c r="G313">
        <f>IF(COUNTIFS('United Data'!$A$3:$A$2150,G$1,'United Data'!$C$3:$C$2150,$A313)&gt;0,1,0)</f>
        <v>0</v>
      </c>
      <c r="H313">
        <f>IF(COUNTIFS('United Data'!$A$3:$A$2150,H$1,'United Data'!$C$3:$C$2150,$A313)&gt;0,1,0)</f>
        <v>0</v>
      </c>
      <c r="I313">
        <f>IF(COUNTIFS('United Data'!$A$3:$A$2150,I$1,'United Data'!$C$3:$C$2150,$A313)&gt;0,1,0)</f>
        <v>0</v>
      </c>
      <c r="J313">
        <f>IF(COUNTIFS('United Data'!$A$3:$A$2150,J$1,'United Data'!$C$3:$C$2150,$A313)&gt;0,1,0)</f>
        <v>0</v>
      </c>
      <c r="K313">
        <f>IF(COUNTIFS('United Data'!$A$3:$A$2150,K$1,'United Data'!$C$3:$C$2150,$A313)&gt;0,1,0)</f>
        <v>0</v>
      </c>
      <c r="L313">
        <f>IF(COUNTIFS('United Data'!$A$3:$A$2150,L$1,'United Data'!$C$3:$C$2150,$A313)&gt;0,1,0)</f>
        <v>0</v>
      </c>
      <c r="M313">
        <f>IF(COUNTIFS('United Data'!$A$3:$A$2150,M$1,'United Data'!$C$3:$C$2150,$A313)&gt;0,1,0)</f>
        <v>0</v>
      </c>
      <c r="N313">
        <f>IF(COUNTIFS('United Data'!$A$3:$A$2150,N$1,'United Data'!$C$3:$C$2150,$A313)&gt;0,1,0)</f>
        <v>1</v>
      </c>
      <c r="O313">
        <f>IF(COUNTIFS('United Data'!$A$3:$A$2150,O$1,'United Data'!$C$3:$C$2150,$A313)&gt;0,1,0)</f>
        <v>0</v>
      </c>
      <c r="P313">
        <f>IF(COUNTIFS('United Data'!$A$3:$A$2150,P$1,'United Data'!$C$3:$C$2150,$A313)&gt;0,1,0)</f>
        <v>0</v>
      </c>
      <c r="Q313">
        <f>IF(COUNTIFS('United Data'!$A$3:$A$2150,Q$1,'United Data'!$C$3:$C$2150,$A313)&gt;0,1,0)</f>
        <v>0</v>
      </c>
      <c r="R313">
        <f>IF(COUNTIFS('United Data'!$A$3:$A$2150,R$1,'United Data'!$C$3:$C$2150,$A313)&gt;0,1,0)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359</v>
      </c>
      <c r="B314">
        <f>IF(COUNTIFS('United Data'!$A$3:$A$2150,B$1,'United Data'!$C$3:$C$2150,$A314)&gt;0,1,0)</f>
        <v>0</v>
      </c>
      <c r="C314">
        <f>IF(COUNTIFS('United Data'!$A$3:$A$2150,C$1,'United Data'!$C$3:$C$2150,$A314)&gt;0,1,0)</f>
        <v>0</v>
      </c>
      <c r="D314">
        <f>IF(COUNTIFS('United Data'!$A$3:$A$2150,D$1,'United Data'!$C$3:$C$2150,$A314)&gt;0,1,0)</f>
        <v>0</v>
      </c>
      <c r="E314">
        <f>IF(COUNTIFS('United Data'!$A$3:$A$2150,E$1,'United Data'!$C$3:$C$2150,$A314)&gt;0,1,0)</f>
        <v>0</v>
      </c>
      <c r="F314">
        <f>IF(COUNTIFS('United Data'!$A$3:$A$2150,F$1,'United Data'!$C$3:$C$2150,$A314)&gt;0,1,0)</f>
        <v>0</v>
      </c>
      <c r="G314">
        <f>IF(COUNTIFS('United Data'!$A$3:$A$2150,G$1,'United Data'!$C$3:$C$2150,$A314)&gt;0,1,0)</f>
        <v>0</v>
      </c>
      <c r="H314">
        <f>IF(COUNTIFS('United Data'!$A$3:$A$2150,H$1,'United Data'!$C$3:$C$2150,$A314)&gt;0,1,0)</f>
        <v>1</v>
      </c>
      <c r="I314">
        <f>IF(COUNTIFS('United Data'!$A$3:$A$2150,I$1,'United Data'!$C$3:$C$2150,$A314)&gt;0,1,0)</f>
        <v>0</v>
      </c>
      <c r="J314">
        <f>IF(COUNTIFS('United Data'!$A$3:$A$2150,J$1,'United Data'!$C$3:$C$2150,$A314)&gt;0,1,0)</f>
        <v>0</v>
      </c>
      <c r="K314">
        <f>IF(COUNTIFS('United Data'!$A$3:$A$2150,K$1,'United Data'!$C$3:$C$2150,$A314)&gt;0,1,0)</f>
        <v>0</v>
      </c>
      <c r="L314">
        <f>IF(COUNTIFS('United Data'!$A$3:$A$2150,L$1,'United Data'!$C$3:$C$2150,$A314)&gt;0,1,0)</f>
        <v>0</v>
      </c>
      <c r="M314">
        <f>IF(COUNTIFS('United Data'!$A$3:$A$2150,M$1,'United Data'!$C$3:$C$2150,$A314)&gt;0,1,0)</f>
        <v>0</v>
      </c>
      <c r="N314">
        <f>IF(COUNTIFS('United Data'!$A$3:$A$2150,N$1,'United Data'!$C$3:$C$2150,$A314)&gt;0,1,0)</f>
        <v>0</v>
      </c>
      <c r="O314">
        <f>IF(COUNTIFS('United Data'!$A$3:$A$2150,O$1,'United Data'!$C$3:$C$2150,$A314)&gt;0,1,0)</f>
        <v>1</v>
      </c>
      <c r="P314">
        <f>IF(COUNTIFS('United Data'!$A$3:$A$2150,P$1,'United Data'!$C$3:$C$2150,$A314)&gt;0,1,0)</f>
        <v>0</v>
      </c>
      <c r="Q314">
        <f>IF(COUNTIFS('United Data'!$A$3:$A$2150,Q$1,'United Data'!$C$3:$C$2150,$A314)&gt;0,1,0)</f>
        <v>0</v>
      </c>
      <c r="R314">
        <f>IF(COUNTIFS('United Data'!$A$3:$A$2150,R$1,'United Data'!$C$3:$C$2150,$A314)&gt;0,1,0)</f>
        <v>0</v>
      </c>
      <c r="S314">
        <f t="shared" si="8"/>
        <v>2</v>
      </c>
      <c r="T314">
        <f t="shared" si="9"/>
        <v>2</v>
      </c>
    </row>
    <row r="315" spans="1:20" x14ac:dyDescent="0.2">
      <c r="A315" t="s">
        <v>360</v>
      </c>
      <c r="B315">
        <f>IF(COUNTIFS('United Data'!$A$3:$A$2150,B$1,'United Data'!$C$3:$C$2150,$A315)&gt;0,1,0)</f>
        <v>0</v>
      </c>
      <c r="C315">
        <f>IF(COUNTIFS('United Data'!$A$3:$A$2150,C$1,'United Data'!$C$3:$C$2150,$A315)&gt;0,1,0)</f>
        <v>0</v>
      </c>
      <c r="D315">
        <f>IF(COUNTIFS('United Data'!$A$3:$A$2150,D$1,'United Data'!$C$3:$C$2150,$A315)&gt;0,1,0)</f>
        <v>0</v>
      </c>
      <c r="E315">
        <f>IF(COUNTIFS('United Data'!$A$3:$A$2150,E$1,'United Data'!$C$3:$C$2150,$A315)&gt;0,1,0)</f>
        <v>0</v>
      </c>
      <c r="F315">
        <f>IF(COUNTIFS('United Data'!$A$3:$A$2150,F$1,'United Data'!$C$3:$C$2150,$A315)&gt;0,1,0)</f>
        <v>0</v>
      </c>
      <c r="G315">
        <f>IF(COUNTIFS('United Data'!$A$3:$A$2150,G$1,'United Data'!$C$3:$C$2150,$A315)&gt;0,1,0)</f>
        <v>0</v>
      </c>
      <c r="H315">
        <f>IF(COUNTIFS('United Data'!$A$3:$A$2150,H$1,'United Data'!$C$3:$C$2150,$A315)&gt;0,1,0)</f>
        <v>0</v>
      </c>
      <c r="I315">
        <f>IF(COUNTIFS('United Data'!$A$3:$A$2150,I$1,'United Data'!$C$3:$C$2150,$A315)&gt;0,1,0)</f>
        <v>0</v>
      </c>
      <c r="J315">
        <f>IF(COUNTIFS('United Data'!$A$3:$A$2150,J$1,'United Data'!$C$3:$C$2150,$A315)&gt;0,1,0)</f>
        <v>0</v>
      </c>
      <c r="K315">
        <f>IF(COUNTIFS('United Data'!$A$3:$A$2150,K$1,'United Data'!$C$3:$C$2150,$A315)&gt;0,1,0)</f>
        <v>0</v>
      </c>
      <c r="L315">
        <f>IF(COUNTIFS('United Data'!$A$3:$A$2150,L$1,'United Data'!$C$3:$C$2150,$A315)&gt;0,1,0)</f>
        <v>0</v>
      </c>
      <c r="M315">
        <f>IF(COUNTIFS('United Data'!$A$3:$A$2150,M$1,'United Data'!$C$3:$C$2150,$A315)&gt;0,1,0)</f>
        <v>0</v>
      </c>
      <c r="N315">
        <f>IF(COUNTIFS('United Data'!$A$3:$A$2150,N$1,'United Data'!$C$3:$C$2150,$A315)&gt;0,1,0)</f>
        <v>0</v>
      </c>
      <c r="O315">
        <f>IF(COUNTIFS('United Data'!$A$3:$A$2150,O$1,'United Data'!$C$3:$C$2150,$A315)&gt;0,1,0)</f>
        <v>1</v>
      </c>
      <c r="P315">
        <f>IF(COUNTIFS('United Data'!$A$3:$A$2150,P$1,'United Data'!$C$3:$C$2150,$A315)&gt;0,1,0)</f>
        <v>0</v>
      </c>
      <c r="Q315">
        <f>IF(COUNTIFS('United Data'!$A$3:$A$2150,Q$1,'United Data'!$C$3:$C$2150,$A315)&gt;0,1,0)</f>
        <v>0</v>
      </c>
      <c r="R315">
        <f>IF(COUNTIFS('United Data'!$A$3:$A$2150,R$1,'United Data'!$C$3:$C$2150,$A315)&gt;0,1,0)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361</v>
      </c>
      <c r="B316">
        <f>IF(COUNTIFS('United Data'!$A$3:$A$2150,B$1,'United Data'!$C$3:$C$2150,$A316)&gt;0,1,0)</f>
        <v>0</v>
      </c>
      <c r="C316">
        <f>IF(COUNTIFS('United Data'!$A$3:$A$2150,C$1,'United Data'!$C$3:$C$2150,$A316)&gt;0,1,0)</f>
        <v>0</v>
      </c>
      <c r="D316">
        <f>IF(COUNTIFS('United Data'!$A$3:$A$2150,D$1,'United Data'!$C$3:$C$2150,$A316)&gt;0,1,0)</f>
        <v>0</v>
      </c>
      <c r="E316">
        <f>IF(COUNTIFS('United Data'!$A$3:$A$2150,E$1,'United Data'!$C$3:$C$2150,$A316)&gt;0,1,0)</f>
        <v>0</v>
      </c>
      <c r="F316">
        <f>IF(COUNTIFS('United Data'!$A$3:$A$2150,F$1,'United Data'!$C$3:$C$2150,$A316)&gt;0,1,0)</f>
        <v>0</v>
      </c>
      <c r="G316">
        <f>IF(COUNTIFS('United Data'!$A$3:$A$2150,G$1,'United Data'!$C$3:$C$2150,$A316)&gt;0,1,0)</f>
        <v>0</v>
      </c>
      <c r="H316">
        <f>IF(COUNTIFS('United Data'!$A$3:$A$2150,H$1,'United Data'!$C$3:$C$2150,$A316)&gt;0,1,0)</f>
        <v>0</v>
      </c>
      <c r="I316">
        <f>IF(COUNTIFS('United Data'!$A$3:$A$2150,I$1,'United Data'!$C$3:$C$2150,$A316)&gt;0,1,0)</f>
        <v>0</v>
      </c>
      <c r="J316">
        <f>IF(COUNTIFS('United Data'!$A$3:$A$2150,J$1,'United Data'!$C$3:$C$2150,$A316)&gt;0,1,0)</f>
        <v>0</v>
      </c>
      <c r="K316">
        <f>IF(COUNTIFS('United Data'!$A$3:$A$2150,K$1,'United Data'!$C$3:$C$2150,$A316)&gt;0,1,0)</f>
        <v>0</v>
      </c>
      <c r="L316">
        <f>IF(COUNTIFS('United Data'!$A$3:$A$2150,L$1,'United Data'!$C$3:$C$2150,$A316)&gt;0,1,0)</f>
        <v>0</v>
      </c>
      <c r="M316">
        <f>IF(COUNTIFS('United Data'!$A$3:$A$2150,M$1,'United Data'!$C$3:$C$2150,$A316)&gt;0,1,0)</f>
        <v>0</v>
      </c>
      <c r="N316">
        <f>IF(COUNTIFS('United Data'!$A$3:$A$2150,N$1,'United Data'!$C$3:$C$2150,$A316)&gt;0,1,0)</f>
        <v>0</v>
      </c>
      <c r="O316">
        <f>IF(COUNTIFS('United Data'!$A$3:$A$2150,O$1,'United Data'!$C$3:$C$2150,$A316)&gt;0,1,0)</f>
        <v>1</v>
      </c>
      <c r="P316">
        <f>IF(COUNTIFS('United Data'!$A$3:$A$2150,P$1,'United Data'!$C$3:$C$2150,$A316)&gt;0,1,0)</f>
        <v>0</v>
      </c>
      <c r="Q316">
        <f>IF(COUNTIFS('United Data'!$A$3:$A$2150,Q$1,'United Data'!$C$3:$C$2150,$A316)&gt;0,1,0)</f>
        <v>0</v>
      </c>
      <c r="R316">
        <f>IF(COUNTIFS('United Data'!$A$3:$A$2150,R$1,'United Data'!$C$3:$C$2150,$A316)&gt;0,1,0)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362</v>
      </c>
      <c r="B317">
        <f>IF(COUNTIFS('United Data'!$A$3:$A$2150,B$1,'United Data'!$C$3:$C$2150,$A317)&gt;0,1,0)</f>
        <v>0</v>
      </c>
      <c r="C317">
        <f>IF(COUNTIFS('United Data'!$A$3:$A$2150,C$1,'United Data'!$C$3:$C$2150,$A317)&gt;0,1,0)</f>
        <v>0</v>
      </c>
      <c r="D317">
        <f>IF(COUNTIFS('United Data'!$A$3:$A$2150,D$1,'United Data'!$C$3:$C$2150,$A317)&gt;0,1,0)</f>
        <v>0</v>
      </c>
      <c r="E317">
        <f>IF(COUNTIFS('United Data'!$A$3:$A$2150,E$1,'United Data'!$C$3:$C$2150,$A317)&gt;0,1,0)</f>
        <v>0</v>
      </c>
      <c r="F317">
        <f>IF(COUNTIFS('United Data'!$A$3:$A$2150,F$1,'United Data'!$C$3:$C$2150,$A317)&gt;0,1,0)</f>
        <v>0</v>
      </c>
      <c r="G317">
        <f>IF(COUNTIFS('United Data'!$A$3:$A$2150,G$1,'United Data'!$C$3:$C$2150,$A317)&gt;0,1,0)</f>
        <v>0</v>
      </c>
      <c r="H317">
        <f>IF(COUNTIFS('United Data'!$A$3:$A$2150,H$1,'United Data'!$C$3:$C$2150,$A317)&gt;0,1,0)</f>
        <v>0</v>
      </c>
      <c r="I317">
        <f>IF(COUNTIFS('United Data'!$A$3:$A$2150,I$1,'United Data'!$C$3:$C$2150,$A317)&gt;0,1,0)</f>
        <v>0</v>
      </c>
      <c r="J317">
        <f>IF(COUNTIFS('United Data'!$A$3:$A$2150,J$1,'United Data'!$C$3:$C$2150,$A317)&gt;0,1,0)</f>
        <v>0</v>
      </c>
      <c r="K317">
        <f>IF(COUNTIFS('United Data'!$A$3:$A$2150,K$1,'United Data'!$C$3:$C$2150,$A317)&gt;0,1,0)</f>
        <v>0</v>
      </c>
      <c r="L317">
        <f>IF(COUNTIFS('United Data'!$A$3:$A$2150,L$1,'United Data'!$C$3:$C$2150,$A317)&gt;0,1,0)</f>
        <v>0</v>
      </c>
      <c r="M317">
        <f>IF(COUNTIFS('United Data'!$A$3:$A$2150,M$1,'United Data'!$C$3:$C$2150,$A317)&gt;0,1,0)</f>
        <v>0</v>
      </c>
      <c r="N317">
        <f>IF(COUNTIFS('United Data'!$A$3:$A$2150,N$1,'United Data'!$C$3:$C$2150,$A317)&gt;0,1,0)</f>
        <v>0</v>
      </c>
      <c r="O317">
        <f>IF(COUNTIFS('United Data'!$A$3:$A$2150,O$1,'United Data'!$C$3:$C$2150,$A317)&gt;0,1,0)</f>
        <v>1</v>
      </c>
      <c r="P317">
        <f>IF(COUNTIFS('United Data'!$A$3:$A$2150,P$1,'United Data'!$C$3:$C$2150,$A317)&gt;0,1,0)</f>
        <v>1</v>
      </c>
      <c r="Q317">
        <f>IF(COUNTIFS('United Data'!$A$3:$A$2150,Q$1,'United Data'!$C$3:$C$2150,$A317)&gt;0,1,0)</f>
        <v>0</v>
      </c>
      <c r="R317">
        <f>IF(COUNTIFS('United Data'!$A$3:$A$2150,R$1,'United Data'!$C$3:$C$2150,$A317)&gt;0,1,0)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363</v>
      </c>
      <c r="B318">
        <f>IF(COUNTIFS('United Data'!$A$3:$A$2150,B$1,'United Data'!$C$3:$C$2150,$A318)&gt;0,1,0)</f>
        <v>0</v>
      </c>
      <c r="C318">
        <f>IF(COUNTIFS('United Data'!$A$3:$A$2150,C$1,'United Data'!$C$3:$C$2150,$A318)&gt;0,1,0)</f>
        <v>0</v>
      </c>
      <c r="D318">
        <f>IF(COUNTIFS('United Data'!$A$3:$A$2150,D$1,'United Data'!$C$3:$C$2150,$A318)&gt;0,1,0)</f>
        <v>0</v>
      </c>
      <c r="E318">
        <f>IF(COUNTIFS('United Data'!$A$3:$A$2150,E$1,'United Data'!$C$3:$C$2150,$A318)&gt;0,1,0)</f>
        <v>0</v>
      </c>
      <c r="F318">
        <f>IF(COUNTIFS('United Data'!$A$3:$A$2150,F$1,'United Data'!$C$3:$C$2150,$A318)&gt;0,1,0)</f>
        <v>0</v>
      </c>
      <c r="G318">
        <f>IF(COUNTIFS('United Data'!$A$3:$A$2150,G$1,'United Data'!$C$3:$C$2150,$A318)&gt;0,1,0)</f>
        <v>0</v>
      </c>
      <c r="H318">
        <f>IF(COUNTIFS('United Data'!$A$3:$A$2150,H$1,'United Data'!$C$3:$C$2150,$A318)&gt;0,1,0)</f>
        <v>0</v>
      </c>
      <c r="I318">
        <f>IF(COUNTIFS('United Data'!$A$3:$A$2150,I$1,'United Data'!$C$3:$C$2150,$A318)&gt;0,1,0)</f>
        <v>0</v>
      </c>
      <c r="J318">
        <f>IF(COUNTIFS('United Data'!$A$3:$A$2150,J$1,'United Data'!$C$3:$C$2150,$A318)&gt;0,1,0)</f>
        <v>0</v>
      </c>
      <c r="K318">
        <f>IF(COUNTIFS('United Data'!$A$3:$A$2150,K$1,'United Data'!$C$3:$C$2150,$A318)&gt;0,1,0)</f>
        <v>0</v>
      </c>
      <c r="L318">
        <f>IF(COUNTIFS('United Data'!$A$3:$A$2150,L$1,'United Data'!$C$3:$C$2150,$A318)&gt;0,1,0)</f>
        <v>0</v>
      </c>
      <c r="M318">
        <f>IF(COUNTIFS('United Data'!$A$3:$A$2150,M$1,'United Data'!$C$3:$C$2150,$A318)&gt;0,1,0)</f>
        <v>0</v>
      </c>
      <c r="N318">
        <f>IF(COUNTIFS('United Data'!$A$3:$A$2150,N$1,'United Data'!$C$3:$C$2150,$A318)&gt;0,1,0)</f>
        <v>0</v>
      </c>
      <c r="O318">
        <f>IF(COUNTIFS('United Data'!$A$3:$A$2150,O$1,'United Data'!$C$3:$C$2150,$A318)&gt;0,1,0)</f>
        <v>1</v>
      </c>
      <c r="P318">
        <f>IF(COUNTIFS('United Data'!$A$3:$A$2150,P$1,'United Data'!$C$3:$C$2150,$A318)&gt;0,1,0)</f>
        <v>0</v>
      </c>
      <c r="Q318">
        <f>IF(COUNTIFS('United Data'!$A$3:$A$2150,Q$1,'United Data'!$C$3:$C$2150,$A318)&gt;0,1,0)</f>
        <v>0</v>
      </c>
      <c r="R318">
        <f>IF(COUNTIFS('United Data'!$A$3:$A$2150,R$1,'United Data'!$C$3:$C$2150,$A318)&gt;0,1,0)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364</v>
      </c>
      <c r="B319">
        <f>IF(COUNTIFS('United Data'!$A$3:$A$2150,B$1,'United Data'!$C$3:$C$2150,$A319)&gt;0,1,0)</f>
        <v>0</v>
      </c>
      <c r="C319">
        <f>IF(COUNTIFS('United Data'!$A$3:$A$2150,C$1,'United Data'!$C$3:$C$2150,$A319)&gt;0,1,0)</f>
        <v>0</v>
      </c>
      <c r="D319">
        <f>IF(COUNTIFS('United Data'!$A$3:$A$2150,D$1,'United Data'!$C$3:$C$2150,$A319)&gt;0,1,0)</f>
        <v>0</v>
      </c>
      <c r="E319">
        <f>IF(COUNTIFS('United Data'!$A$3:$A$2150,E$1,'United Data'!$C$3:$C$2150,$A319)&gt;0,1,0)</f>
        <v>0</v>
      </c>
      <c r="F319">
        <f>IF(COUNTIFS('United Data'!$A$3:$A$2150,F$1,'United Data'!$C$3:$C$2150,$A319)&gt;0,1,0)</f>
        <v>0</v>
      </c>
      <c r="G319">
        <f>IF(COUNTIFS('United Data'!$A$3:$A$2150,G$1,'United Data'!$C$3:$C$2150,$A319)&gt;0,1,0)</f>
        <v>0</v>
      </c>
      <c r="H319">
        <f>IF(COUNTIFS('United Data'!$A$3:$A$2150,H$1,'United Data'!$C$3:$C$2150,$A319)&gt;0,1,0)</f>
        <v>0</v>
      </c>
      <c r="I319">
        <f>IF(COUNTIFS('United Data'!$A$3:$A$2150,I$1,'United Data'!$C$3:$C$2150,$A319)&gt;0,1,0)</f>
        <v>0</v>
      </c>
      <c r="J319">
        <f>IF(COUNTIFS('United Data'!$A$3:$A$2150,J$1,'United Data'!$C$3:$C$2150,$A319)&gt;0,1,0)</f>
        <v>0</v>
      </c>
      <c r="K319">
        <f>IF(COUNTIFS('United Data'!$A$3:$A$2150,K$1,'United Data'!$C$3:$C$2150,$A319)&gt;0,1,0)</f>
        <v>0</v>
      </c>
      <c r="L319">
        <f>IF(COUNTIFS('United Data'!$A$3:$A$2150,L$1,'United Data'!$C$3:$C$2150,$A319)&gt;0,1,0)</f>
        <v>0</v>
      </c>
      <c r="M319">
        <f>IF(COUNTIFS('United Data'!$A$3:$A$2150,M$1,'United Data'!$C$3:$C$2150,$A319)&gt;0,1,0)</f>
        <v>0</v>
      </c>
      <c r="N319">
        <f>IF(COUNTIFS('United Data'!$A$3:$A$2150,N$1,'United Data'!$C$3:$C$2150,$A319)&gt;0,1,0)</f>
        <v>0</v>
      </c>
      <c r="O319">
        <f>IF(COUNTIFS('United Data'!$A$3:$A$2150,O$1,'United Data'!$C$3:$C$2150,$A319)&gt;0,1,0)</f>
        <v>0</v>
      </c>
      <c r="P319">
        <f>IF(COUNTIFS('United Data'!$A$3:$A$2150,P$1,'United Data'!$C$3:$C$2150,$A319)&gt;0,1,0)</f>
        <v>1</v>
      </c>
      <c r="Q319">
        <f>IF(COUNTIFS('United Data'!$A$3:$A$2150,Q$1,'United Data'!$C$3:$C$2150,$A319)&gt;0,1,0)</f>
        <v>1</v>
      </c>
      <c r="R319">
        <f>IF(COUNTIFS('United Data'!$A$3:$A$2150,R$1,'United Data'!$C$3:$C$2150,$A319)&gt;0,1,0)</f>
        <v>0</v>
      </c>
      <c r="S319">
        <f t="shared" si="8"/>
        <v>2</v>
      </c>
      <c r="T319">
        <f t="shared" si="9"/>
        <v>1</v>
      </c>
    </row>
    <row r="320" spans="1:20" x14ac:dyDescent="0.2">
      <c r="A320" t="s">
        <v>365</v>
      </c>
      <c r="B320">
        <f>IF(COUNTIFS('United Data'!$A$3:$A$2150,B$1,'United Data'!$C$3:$C$2150,$A320)&gt;0,1,0)</f>
        <v>0</v>
      </c>
      <c r="C320">
        <f>IF(COUNTIFS('United Data'!$A$3:$A$2150,C$1,'United Data'!$C$3:$C$2150,$A320)&gt;0,1,0)</f>
        <v>0</v>
      </c>
      <c r="D320">
        <f>IF(COUNTIFS('United Data'!$A$3:$A$2150,D$1,'United Data'!$C$3:$C$2150,$A320)&gt;0,1,0)</f>
        <v>0</v>
      </c>
      <c r="E320">
        <f>IF(COUNTIFS('United Data'!$A$3:$A$2150,E$1,'United Data'!$C$3:$C$2150,$A320)&gt;0,1,0)</f>
        <v>0</v>
      </c>
      <c r="F320">
        <f>IF(COUNTIFS('United Data'!$A$3:$A$2150,F$1,'United Data'!$C$3:$C$2150,$A320)&gt;0,1,0)</f>
        <v>0</v>
      </c>
      <c r="G320">
        <f>IF(COUNTIFS('United Data'!$A$3:$A$2150,G$1,'United Data'!$C$3:$C$2150,$A320)&gt;0,1,0)</f>
        <v>0</v>
      </c>
      <c r="H320">
        <f>IF(COUNTIFS('United Data'!$A$3:$A$2150,H$1,'United Data'!$C$3:$C$2150,$A320)&gt;0,1,0)</f>
        <v>0</v>
      </c>
      <c r="I320">
        <f>IF(COUNTIFS('United Data'!$A$3:$A$2150,I$1,'United Data'!$C$3:$C$2150,$A320)&gt;0,1,0)</f>
        <v>0</v>
      </c>
      <c r="J320">
        <f>IF(COUNTIFS('United Data'!$A$3:$A$2150,J$1,'United Data'!$C$3:$C$2150,$A320)&gt;0,1,0)</f>
        <v>0</v>
      </c>
      <c r="K320">
        <f>IF(COUNTIFS('United Data'!$A$3:$A$2150,K$1,'United Data'!$C$3:$C$2150,$A320)&gt;0,1,0)</f>
        <v>0</v>
      </c>
      <c r="L320">
        <f>IF(COUNTIFS('United Data'!$A$3:$A$2150,L$1,'United Data'!$C$3:$C$2150,$A320)&gt;0,1,0)</f>
        <v>0</v>
      </c>
      <c r="M320">
        <f>IF(COUNTIFS('United Data'!$A$3:$A$2150,M$1,'United Data'!$C$3:$C$2150,$A320)&gt;0,1,0)</f>
        <v>0</v>
      </c>
      <c r="N320">
        <f>IF(COUNTIFS('United Data'!$A$3:$A$2150,N$1,'United Data'!$C$3:$C$2150,$A320)&gt;0,1,0)</f>
        <v>0</v>
      </c>
      <c r="O320">
        <f>IF(COUNTIFS('United Data'!$A$3:$A$2150,O$1,'United Data'!$C$3:$C$2150,$A320)&gt;0,1,0)</f>
        <v>0</v>
      </c>
      <c r="P320">
        <f>IF(COUNTIFS('United Data'!$A$3:$A$2150,P$1,'United Data'!$C$3:$C$2150,$A320)&gt;0,1,0)</f>
        <v>1</v>
      </c>
      <c r="Q320">
        <f>IF(COUNTIFS('United Data'!$A$3:$A$2150,Q$1,'United Data'!$C$3:$C$2150,$A320)&gt;0,1,0)</f>
        <v>0</v>
      </c>
      <c r="R320">
        <f>IF(COUNTIFS('United Data'!$A$3:$A$2150,R$1,'United Data'!$C$3:$C$2150,$A320)&gt;0,1,0)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366</v>
      </c>
      <c r="B321">
        <f>IF(COUNTIFS('United Data'!$A$3:$A$2150,B$1,'United Data'!$C$3:$C$2150,$A321)&gt;0,1,0)</f>
        <v>0</v>
      </c>
      <c r="C321">
        <f>IF(COUNTIFS('United Data'!$A$3:$A$2150,C$1,'United Data'!$C$3:$C$2150,$A321)&gt;0,1,0)</f>
        <v>0</v>
      </c>
      <c r="D321">
        <f>IF(COUNTIFS('United Data'!$A$3:$A$2150,D$1,'United Data'!$C$3:$C$2150,$A321)&gt;0,1,0)</f>
        <v>0</v>
      </c>
      <c r="E321">
        <f>IF(COUNTIFS('United Data'!$A$3:$A$2150,E$1,'United Data'!$C$3:$C$2150,$A321)&gt;0,1,0)</f>
        <v>0</v>
      </c>
      <c r="F321">
        <f>IF(COUNTIFS('United Data'!$A$3:$A$2150,F$1,'United Data'!$C$3:$C$2150,$A321)&gt;0,1,0)</f>
        <v>0</v>
      </c>
      <c r="G321">
        <f>IF(COUNTIFS('United Data'!$A$3:$A$2150,G$1,'United Data'!$C$3:$C$2150,$A321)&gt;0,1,0)</f>
        <v>0</v>
      </c>
      <c r="H321">
        <f>IF(COUNTIFS('United Data'!$A$3:$A$2150,H$1,'United Data'!$C$3:$C$2150,$A321)&gt;0,1,0)</f>
        <v>0</v>
      </c>
      <c r="I321">
        <f>IF(COUNTIFS('United Data'!$A$3:$A$2150,I$1,'United Data'!$C$3:$C$2150,$A321)&gt;0,1,0)</f>
        <v>0</v>
      </c>
      <c r="J321">
        <f>IF(COUNTIFS('United Data'!$A$3:$A$2150,J$1,'United Data'!$C$3:$C$2150,$A321)&gt;0,1,0)</f>
        <v>0</v>
      </c>
      <c r="K321">
        <f>IF(COUNTIFS('United Data'!$A$3:$A$2150,K$1,'United Data'!$C$3:$C$2150,$A321)&gt;0,1,0)</f>
        <v>0</v>
      </c>
      <c r="L321">
        <f>IF(COUNTIFS('United Data'!$A$3:$A$2150,L$1,'United Data'!$C$3:$C$2150,$A321)&gt;0,1,0)</f>
        <v>0</v>
      </c>
      <c r="M321">
        <f>IF(COUNTIFS('United Data'!$A$3:$A$2150,M$1,'United Data'!$C$3:$C$2150,$A321)&gt;0,1,0)</f>
        <v>0</v>
      </c>
      <c r="N321">
        <f>IF(COUNTIFS('United Data'!$A$3:$A$2150,N$1,'United Data'!$C$3:$C$2150,$A321)&gt;0,1,0)</f>
        <v>0</v>
      </c>
      <c r="O321">
        <f>IF(COUNTIFS('United Data'!$A$3:$A$2150,O$1,'United Data'!$C$3:$C$2150,$A321)&gt;0,1,0)</f>
        <v>0</v>
      </c>
      <c r="P321">
        <f>IF(COUNTIFS('United Data'!$A$3:$A$2150,P$1,'United Data'!$C$3:$C$2150,$A321)&gt;0,1,0)</f>
        <v>1</v>
      </c>
      <c r="Q321">
        <f>IF(COUNTIFS('United Data'!$A$3:$A$2150,Q$1,'United Data'!$C$3:$C$2150,$A321)&gt;0,1,0)</f>
        <v>0</v>
      </c>
      <c r="R321">
        <f>IF(COUNTIFS('United Data'!$A$3:$A$2150,R$1,'United Data'!$C$3:$C$2150,$A321)&gt;0,1,0)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367</v>
      </c>
      <c r="B322">
        <f>IF(COUNTIFS('United Data'!$A$3:$A$2150,B$1,'United Data'!$C$3:$C$2150,$A322)&gt;0,1,0)</f>
        <v>0</v>
      </c>
      <c r="C322">
        <f>IF(COUNTIFS('United Data'!$A$3:$A$2150,C$1,'United Data'!$C$3:$C$2150,$A322)&gt;0,1,0)</f>
        <v>0</v>
      </c>
      <c r="D322">
        <f>IF(COUNTIFS('United Data'!$A$3:$A$2150,D$1,'United Data'!$C$3:$C$2150,$A322)&gt;0,1,0)</f>
        <v>0</v>
      </c>
      <c r="E322">
        <f>IF(COUNTIFS('United Data'!$A$3:$A$2150,E$1,'United Data'!$C$3:$C$2150,$A322)&gt;0,1,0)</f>
        <v>0</v>
      </c>
      <c r="F322">
        <f>IF(COUNTIFS('United Data'!$A$3:$A$2150,F$1,'United Data'!$C$3:$C$2150,$A322)&gt;0,1,0)</f>
        <v>0</v>
      </c>
      <c r="G322">
        <f>IF(COUNTIFS('United Data'!$A$3:$A$2150,G$1,'United Data'!$C$3:$C$2150,$A322)&gt;0,1,0)</f>
        <v>0</v>
      </c>
      <c r="H322">
        <f>IF(COUNTIFS('United Data'!$A$3:$A$2150,H$1,'United Data'!$C$3:$C$2150,$A322)&gt;0,1,0)</f>
        <v>0</v>
      </c>
      <c r="I322">
        <f>IF(COUNTIFS('United Data'!$A$3:$A$2150,I$1,'United Data'!$C$3:$C$2150,$A322)&gt;0,1,0)</f>
        <v>0</v>
      </c>
      <c r="J322">
        <f>IF(COUNTIFS('United Data'!$A$3:$A$2150,J$1,'United Data'!$C$3:$C$2150,$A322)&gt;0,1,0)</f>
        <v>0</v>
      </c>
      <c r="K322">
        <f>IF(COUNTIFS('United Data'!$A$3:$A$2150,K$1,'United Data'!$C$3:$C$2150,$A322)&gt;0,1,0)</f>
        <v>0</v>
      </c>
      <c r="L322">
        <f>IF(COUNTIFS('United Data'!$A$3:$A$2150,L$1,'United Data'!$C$3:$C$2150,$A322)&gt;0,1,0)</f>
        <v>0</v>
      </c>
      <c r="M322">
        <f>IF(COUNTIFS('United Data'!$A$3:$A$2150,M$1,'United Data'!$C$3:$C$2150,$A322)&gt;0,1,0)</f>
        <v>0</v>
      </c>
      <c r="N322">
        <f>IF(COUNTIFS('United Data'!$A$3:$A$2150,N$1,'United Data'!$C$3:$C$2150,$A322)&gt;0,1,0)</f>
        <v>0</v>
      </c>
      <c r="O322">
        <f>IF(COUNTIFS('United Data'!$A$3:$A$2150,O$1,'United Data'!$C$3:$C$2150,$A322)&gt;0,1,0)</f>
        <v>0</v>
      </c>
      <c r="P322">
        <f>IF(COUNTIFS('United Data'!$A$3:$A$2150,P$1,'United Data'!$C$3:$C$2150,$A322)&gt;0,1,0)</f>
        <v>1</v>
      </c>
      <c r="Q322">
        <f>IF(COUNTIFS('United Data'!$A$3:$A$2150,Q$1,'United Data'!$C$3:$C$2150,$A322)&gt;0,1,0)</f>
        <v>0</v>
      </c>
      <c r="R322">
        <f>IF(COUNTIFS('United Data'!$A$3:$A$2150,R$1,'United Data'!$C$3:$C$2150,$A322)&gt;0,1,0)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368</v>
      </c>
      <c r="B323">
        <f>IF(COUNTIFS('United Data'!$A$3:$A$2150,B$1,'United Data'!$C$3:$C$2150,$A323)&gt;0,1,0)</f>
        <v>0</v>
      </c>
      <c r="C323">
        <f>IF(COUNTIFS('United Data'!$A$3:$A$2150,C$1,'United Data'!$C$3:$C$2150,$A323)&gt;0,1,0)</f>
        <v>0</v>
      </c>
      <c r="D323">
        <f>IF(COUNTIFS('United Data'!$A$3:$A$2150,D$1,'United Data'!$C$3:$C$2150,$A323)&gt;0,1,0)</f>
        <v>0</v>
      </c>
      <c r="E323">
        <f>IF(COUNTIFS('United Data'!$A$3:$A$2150,E$1,'United Data'!$C$3:$C$2150,$A323)&gt;0,1,0)</f>
        <v>0</v>
      </c>
      <c r="F323">
        <f>IF(COUNTIFS('United Data'!$A$3:$A$2150,F$1,'United Data'!$C$3:$C$2150,$A323)&gt;0,1,0)</f>
        <v>0</v>
      </c>
      <c r="G323">
        <f>IF(COUNTIFS('United Data'!$A$3:$A$2150,G$1,'United Data'!$C$3:$C$2150,$A323)&gt;0,1,0)</f>
        <v>0</v>
      </c>
      <c r="H323">
        <f>IF(COUNTIFS('United Data'!$A$3:$A$2150,H$1,'United Data'!$C$3:$C$2150,$A323)&gt;0,1,0)</f>
        <v>0</v>
      </c>
      <c r="I323">
        <f>IF(COUNTIFS('United Data'!$A$3:$A$2150,I$1,'United Data'!$C$3:$C$2150,$A323)&gt;0,1,0)</f>
        <v>0</v>
      </c>
      <c r="J323">
        <f>IF(COUNTIFS('United Data'!$A$3:$A$2150,J$1,'United Data'!$C$3:$C$2150,$A323)&gt;0,1,0)</f>
        <v>0</v>
      </c>
      <c r="K323">
        <f>IF(COUNTIFS('United Data'!$A$3:$A$2150,K$1,'United Data'!$C$3:$C$2150,$A323)&gt;0,1,0)</f>
        <v>0</v>
      </c>
      <c r="L323">
        <f>IF(COUNTIFS('United Data'!$A$3:$A$2150,L$1,'United Data'!$C$3:$C$2150,$A323)&gt;0,1,0)</f>
        <v>0</v>
      </c>
      <c r="M323">
        <f>IF(COUNTIFS('United Data'!$A$3:$A$2150,M$1,'United Data'!$C$3:$C$2150,$A323)&gt;0,1,0)</f>
        <v>0</v>
      </c>
      <c r="N323">
        <f>IF(COUNTIFS('United Data'!$A$3:$A$2150,N$1,'United Data'!$C$3:$C$2150,$A323)&gt;0,1,0)</f>
        <v>0</v>
      </c>
      <c r="O323">
        <f>IF(COUNTIFS('United Data'!$A$3:$A$2150,O$1,'United Data'!$C$3:$C$2150,$A323)&gt;0,1,0)</f>
        <v>0</v>
      </c>
      <c r="P323">
        <f>IF(COUNTIFS('United Data'!$A$3:$A$2150,P$1,'United Data'!$C$3:$C$2150,$A323)&gt;0,1,0)</f>
        <v>0</v>
      </c>
      <c r="Q323">
        <f>IF(COUNTIFS('United Data'!$A$3:$A$2150,Q$1,'United Data'!$C$3:$C$2150,$A323)&gt;0,1,0)</f>
        <v>1</v>
      </c>
      <c r="R323">
        <f>IF(COUNTIFS('United Data'!$A$3:$A$2150,R$1,'United Data'!$C$3:$C$2150,$A323)&gt;0,1,0)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369</v>
      </c>
      <c r="B324">
        <f>IF(COUNTIFS('United Data'!$A$3:$A$2150,B$1,'United Data'!$C$3:$C$2150,$A324)&gt;0,1,0)</f>
        <v>0</v>
      </c>
      <c r="C324">
        <f>IF(COUNTIFS('United Data'!$A$3:$A$2150,C$1,'United Data'!$C$3:$C$2150,$A324)&gt;0,1,0)</f>
        <v>0</v>
      </c>
      <c r="D324">
        <f>IF(COUNTIFS('United Data'!$A$3:$A$2150,D$1,'United Data'!$C$3:$C$2150,$A324)&gt;0,1,0)</f>
        <v>0</v>
      </c>
      <c r="E324">
        <f>IF(COUNTIFS('United Data'!$A$3:$A$2150,E$1,'United Data'!$C$3:$C$2150,$A324)&gt;0,1,0)</f>
        <v>0</v>
      </c>
      <c r="F324">
        <f>IF(COUNTIFS('United Data'!$A$3:$A$2150,F$1,'United Data'!$C$3:$C$2150,$A324)&gt;0,1,0)</f>
        <v>0</v>
      </c>
      <c r="G324">
        <f>IF(COUNTIFS('United Data'!$A$3:$A$2150,G$1,'United Data'!$C$3:$C$2150,$A324)&gt;0,1,0)</f>
        <v>0</v>
      </c>
      <c r="H324">
        <f>IF(COUNTIFS('United Data'!$A$3:$A$2150,H$1,'United Data'!$C$3:$C$2150,$A324)&gt;0,1,0)</f>
        <v>0</v>
      </c>
      <c r="I324">
        <f>IF(COUNTIFS('United Data'!$A$3:$A$2150,I$1,'United Data'!$C$3:$C$2150,$A324)&gt;0,1,0)</f>
        <v>0</v>
      </c>
      <c r="J324">
        <f>IF(COUNTIFS('United Data'!$A$3:$A$2150,J$1,'United Data'!$C$3:$C$2150,$A324)&gt;0,1,0)</f>
        <v>0</v>
      </c>
      <c r="K324">
        <f>IF(COUNTIFS('United Data'!$A$3:$A$2150,K$1,'United Data'!$C$3:$C$2150,$A324)&gt;0,1,0)</f>
        <v>0</v>
      </c>
      <c r="L324">
        <f>IF(COUNTIFS('United Data'!$A$3:$A$2150,L$1,'United Data'!$C$3:$C$2150,$A324)&gt;0,1,0)</f>
        <v>0</v>
      </c>
      <c r="M324">
        <f>IF(COUNTIFS('United Data'!$A$3:$A$2150,M$1,'United Data'!$C$3:$C$2150,$A324)&gt;0,1,0)</f>
        <v>0</v>
      </c>
      <c r="N324">
        <f>IF(COUNTIFS('United Data'!$A$3:$A$2150,N$1,'United Data'!$C$3:$C$2150,$A324)&gt;0,1,0)</f>
        <v>0</v>
      </c>
      <c r="O324">
        <f>IF(COUNTIFS('United Data'!$A$3:$A$2150,O$1,'United Data'!$C$3:$C$2150,$A324)&gt;0,1,0)</f>
        <v>0</v>
      </c>
      <c r="P324">
        <f>IF(COUNTIFS('United Data'!$A$3:$A$2150,P$1,'United Data'!$C$3:$C$2150,$A324)&gt;0,1,0)</f>
        <v>1</v>
      </c>
      <c r="Q324">
        <f>IF(COUNTIFS('United Data'!$A$3:$A$2150,Q$1,'United Data'!$C$3:$C$2150,$A324)&gt;0,1,0)</f>
        <v>1</v>
      </c>
      <c r="R324">
        <f>IF(COUNTIFS('United Data'!$A$3:$A$2150,R$1,'United Data'!$C$3:$C$2150,$A324)&gt;0,1,0)</f>
        <v>0</v>
      </c>
      <c r="S324">
        <f t="shared" si="10"/>
        <v>2</v>
      </c>
      <c r="T324">
        <f t="shared" si="11"/>
        <v>1</v>
      </c>
    </row>
    <row r="325" spans="1:20" x14ac:dyDescent="0.2">
      <c r="A325" t="s">
        <v>370</v>
      </c>
      <c r="B325">
        <f>IF(COUNTIFS('United Data'!$A$3:$A$2150,B$1,'United Data'!$C$3:$C$2150,$A325)&gt;0,1,0)</f>
        <v>0</v>
      </c>
      <c r="C325">
        <f>IF(COUNTIFS('United Data'!$A$3:$A$2150,C$1,'United Data'!$C$3:$C$2150,$A325)&gt;0,1,0)</f>
        <v>0</v>
      </c>
      <c r="D325">
        <f>IF(COUNTIFS('United Data'!$A$3:$A$2150,D$1,'United Data'!$C$3:$C$2150,$A325)&gt;0,1,0)</f>
        <v>0</v>
      </c>
      <c r="E325">
        <f>IF(COUNTIFS('United Data'!$A$3:$A$2150,E$1,'United Data'!$C$3:$C$2150,$A325)&gt;0,1,0)</f>
        <v>0</v>
      </c>
      <c r="F325">
        <f>IF(COUNTIFS('United Data'!$A$3:$A$2150,F$1,'United Data'!$C$3:$C$2150,$A325)&gt;0,1,0)</f>
        <v>0</v>
      </c>
      <c r="G325">
        <f>IF(COUNTIFS('United Data'!$A$3:$A$2150,G$1,'United Data'!$C$3:$C$2150,$A325)&gt;0,1,0)</f>
        <v>0</v>
      </c>
      <c r="H325">
        <f>IF(COUNTIFS('United Data'!$A$3:$A$2150,H$1,'United Data'!$C$3:$C$2150,$A325)&gt;0,1,0)</f>
        <v>0</v>
      </c>
      <c r="I325">
        <f>IF(COUNTIFS('United Data'!$A$3:$A$2150,I$1,'United Data'!$C$3:$C$2150,$A325)&gt;0,1,0)</f>
        <v>0</v>
      </c>
      <c r="J325">
        <f>IF(COUNTIFS('United Data'!$A$3:$A$2150,J$1,'United Data'!$C$3:$C$2150,$A325)&gt;0,1,0)</f>
        <v>0</v>
      </c>
      <c r="K325">
        <f>IF(COUNTIFS('United Data'!$A$3:$A$2150,K$1,'United Data'!$C$3:$C$2150,$A325)&gt;0,1,0)</f>
        <v>0</v>
      </c>
      <c r="L325">
        <f>IF(COUNTIFS('United Data'!$A$3:$A$2150,L$1,'United Data'!$C$3:$C$2150,$A325)&gt;0,1,0)</f>
        <v>0</v>
      </c>
      <c r="M325">
        <f>IF(COUNTIFS('United Data'!$A$3:$A$2150,M$1,'United Data'!$C$3:$C$2150,$A325)&gt;0,1,0)</f>
        <v>0</v>
      </c>
      <c r="N325">
        <f>IF(COUNTIFS('United Data'!$A$3:$A$2150,N$1,'United Data'!$C$3:$C$2150,$A325)&gt;0,1,0)</f>
        <v>0</v>
      </c>
      <c r="O325">
        <f>IF(COUNTIFS('United Data'!$A$3:$A$2150,O$1,'United Data'!$C$3:$C$2150,$A325)&gt;0,1,0)</f>
        <v>0</v>
      </c>
      <c r="P325">
        <f>IF(COUNTIFS('United Data'!$A$3:$A$2150,P$1,'United Data'!$C$3:$C$2150,$A325)&gt;0,1,0)</f>
        <v>0</v>
      </c>
      <c r="Q325">
        <f>IF(COUNTIFS('United Data'!$A$3:$A$2150,Q$1,'United Data'!$C$3:$C$2150,$A325)&gt;0,1,0)</f>
        <v>1</v>
      </c>
      <c r="R325">
        <f>IF(COUNTIFS('United Data'!$A$3:$A$2150,R$1,'United Data'!$C$3:$C$2150,$A325)&gt;0,1,0)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371</v>
      </c>
      <c r="B326">
        <f>IF(COUNTIFS('United Data'!$A$3:$A$2150,B$1,'United Data'!$C$3:$C$2150,$A326)&gt;0,1,0)</f>
        <v>0</v>
      </c>
      <c r="C326">
        <f>IF(COUNTIFS('United Data'!$A$3:$A$2150,C$1,'United Data'!$C$3:$C$2150,$A326)&gt;0,1,0)</f>
        <v>0</v>
      </c>
      <c r="D326">
        <f>IF(COUNTIFS('United Data'!$A$3:$A$2150,D$1,'United Data'!$C$3:$C$2150,$A326)&gt;0,1,0)</f>
        <v>0</v>
      </c>
      <c r="E326">
        <f>IF(COUNTIFS('United Data'!$A$3:$A$2150,E$1,'United Data'!$C$3:$C$2150,$A326)&gt;0,1,0)</f>
        <v>0</v>
      </c>
      <c r="F326">
        <f>IF(COUNTIFS('United Data'!$A$3:$A$2150,F$1,'United Data'!$C$3:$C$2150,$A326)&gt;0,1,0)</f>
        <v>0</v>
      </c>
      <c r="G326">
        <f>IF(COUNTIFS('United Data'!$A$3:$A$2150,G$1,'United Data'!$C$3:$C$2150,$A326)&gt;0,1,0)</f>
        <v>0</v>
      </c>
      <c r="H326">
        <f>IF(COUNTIFS('United Data'!$A$3:$A$2150,H$1,'United Data'!$C$3:$C$2150,$A326)&gt;0,1,0)</f>
        <v>0</v>
      </c>
      <c r="I326">
        <f>IF(COUNTIFS('United Data'!$A$3:$A$2150,I$1,'United Data'!$C$3:$C$2150,$A326)&gt;0,1,0)</f>
        <v>0</v>
      </c>
      <c r="J326">
        <f>IF(COUNTIFS('United Data'!$A$3:$A$2150,J$1,'United Data'!$C$3:$C$2150,$A326)&gt;0,1,0)</f>
        <v>0</v>
      </c>
      <c r="K326">
        <f>IF(COUNTIFS('United Data'!$A$3:$A$2150,K$1,'United Data'!$C$3:$C$2150,$A326)&gt;0,1,0)</f>
        <v>0</v>
      </c>
      <c r="L326">
        <f>IF(COUNTIFS('United Data'!$A$3:$A$2150,L$1,'United Data'!$C$3:$C$2150,$A326)&gt;0,1,0)</f>
        <v>0</v>
      </c>
      <c r="M326">
        <f>IF(COUNTIFS('United Data'!$A$3:$A$2150,M$1,'United Data'!$C$3:$C$2150,$A326)&gt;0,1,0)</f>
        <v>0</v>
      </c>
      <c r="N326">
        <f>IF(COUNTIFS('United Data'!$A$3:$A$2150,N$1,'United Data'!$C$3:$C$2150,$A326)&gt;0,1,0)</f>
        <v>0</v>
      </c>
      <c r="O326">
        <f>IF(COUNTIFS('United Data'!$A$3:$A$2150,O$1,'United Data'!$C$3:$C$2150,$A326)&gt;0,1,0)</f>
        <v>0</v>
      </c>
      <c r="P326">
        <f>IF(COUNTIFS('United Data'!$A$3:$A$2150,P$1,'United Data'!$C$3:$C$2150,$A326)&gt;0,1,0)</f>
        <v>0</v>
      </c>
      <c r="Q326">
        <f>IF(COUNTIFS('United Data'!$A$3:$A$2150,Q$1,'United Data'!$C$3:$C$2150,$A326)&gt;0,1,0)</f>
        <v>1</v>
      </c>
      <c r="R326">
        <f>IF(COUNTIFS('United Data'!$A$3:$A$2150,R$1,'United Data'!$C$3:$C$2150,$A326)&gt;0,1,0)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372</v>
      </c>
      <c r="B327">
        <f>IF(COUNTIFS('United Data'!$A$3:$A$2150,B$1,'United Data'!$C$3:$C$2150,$A327)&gt;0,1,0)</f>
        <v>0</v>
      </c>
      <c r="C327">
        <f>IF(COUNTIFS('United Data'!$A$3:$A$2150,C$1,'United Data'!$C$3:$C$2150,$A327)&gt;0,1,0)</f>
        <v>0</v>
      </c>
      <c r="D327">
        <f>IF(COUNTIFS('United Data'!$A$3:$A$2150,D$1,'United Data'!$C$3:$C$2150,$A327)&gt;0,1,0)</f>
        <v>0</v>
      </c>
      <c r="E327">
        <f>IF(COUNTIFS('United Data'!$A$3:$A$2150,E$1,'United Data'!$C$3:$C$2150,$A327)&gt;0,1,0)</f>
        <v>0</v>
      </c>
      <c r="F327">
        <f>IF(COUNTIFS('United Data'!$A$3:$A$2150,F$1,'United Data'!$C$3:$C$2150,$A327)&gt;0,1,0)</f>
        <v>0</v>
      </c>
      <c r="G327">
        <f>IF(COUNTIFS('United Data'!$A$3:$A$2150,G$1,'United Data'!$C$3:$C$2150,$A327)&gt;0,1,0)</f>
        <v>0</v>
      </c>
      <c r="H327">
        <f>IF(COUNTIFS('United Data'!$A$3:$A$2150,H$1,'United Data'!$C$3:$C$2150,$A327)&gt;0,1,0)</f>
        <v>0</v>
      </c>
      <c r="I327">
        <f>IF(COUNTIFS('United Data'!$A$3:$A$2150,I$1,'United Data'!$C$3:$C$2150,$A327)&gt;0,1,0)</f>
        <v>0</v>
      </c>
      <c r="J327">
        <f>IF(COUNTIFS('United Data'!$A$3:$A$2150,J$1,'United Data'!$C$3:$C$2150,$A327)&gt;0,1,0)</f>
        <v>0</v>
      </c>
      <c r="K327">
        <f>IF(COUNTIFS('United Data'!$A$3:$A$2150,K$1,'United Data'!$C$3:$C$2150,$A327)&gt;0,1,0)</f>
        <v>0</v>
      </c>
      <c r="L327">
        <f>IF(COUNTIFS('United Data'!$A$3:$A$2150,L$1,'United Data'!$C$3:$C$2150,$A327)&gt;0,1,0)</f>
        <v>0</v>
      </c>
      <c r="M327">
        <f>IF(COUNTIFS('United Data'!$A$3:$A$2150,M$1,'United Data'!$C$3:$C$2150,$A327)&gt;0,1,0)</f>
        <v>0</v>
      </c>
      <c r="N327">
        <f>IF(COUNTIFS('United Data'!$A$3:$A$2150,N$1,'United Data'!$C$3:$C$2150,$A327)&gt;0,1,0)</f>
        <v>0</v>
      </c>
      <c r="O327">
        <f>IF(COUNTIFS('United Data'!$A$3:$A$2150,O$1,'United Data'!$C$3:$C$2150,$A327)&gt;0,1,0)</f>
        <v>0</v>
      </c>
      <c r="P327">
        <f>IF(COUNTIFS('United Data'!$A$3:$A$2150,P$1,'United Data'!$C$3:$C$2150,$A327)&gt;0,1,0)</f>
        <v>0</v>
      </c>
      <c r="Q327">
        <f>IF(COUNTIFS('United Data'!$A$3:$A$2150,Q$1,'United Data'!$C$3:$C$2150,$A327)&gt;0,1,0)</f>
        <v>1</v>
      </c>
      <c r="R327">
        <f>IF(COUNTIFS('United Data'!$A$3:$A$2150,R$1,'United Data'!$C$3:$C$2150,$A327)&gt;0,1,0)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373</v>
      </c>
      <c r="B328">
        <f>IF(COUNTIFS('United Data'!$A$3:$A$2150,B$1,'United Data'!$C$3:$C$2150,$A328)&gt;0,1,0)</f>
        <v>1</v>
      </c>
      <c r="C328">
        <f>IF(COUNTIFS('United Data'!$A$3:$A$2150,C$1,'United Data'!$C$3:$C$2150,$A328)&gt;0,1,0)</f>
        <v>1</v>
      </c>
      <c r="D328">
        <f>IF(COUNTIFS('United Data'!$A$3:$A$2150,D$1,'United Data'!$C$3:$C$2150,$A328)&gt;0,1,0)</f>
        <v>1</v>
      </c>
      <c r="E328">
        <f>IF(COUNTIFS('United Data'!$A$3:$A$2150,E$1,'United Data'!$C$3:$C$2150,$A328)&gt;0,1,0)</f>
        <v>1</v>
      </c>
      <c r="F328">
        <f>IF(COUNTIFS('United Data'!$A$3:$A$2150,F$1,'United Data'!$C$3:$C$2150,$A328)&gt;0,1,0)</f>
        <v>1</v>
      </c>
      <c r="G328">
        <f>IF(COUNTIFS('United Data'!$A$3:$A$2150,G$1,'United Data'!$C$3:$C$2150,$A328)&gt;0,1,0)</f>
        <v>1</v>
      </c>
      <c r="H328">
        <f>IF(COUNTIFS('United Data'!$A$3:$A$2150,H$1,'United Data'!$C$3:$C$2150,$A328)&gt;0,1,0)</f>
        <v>1</v>
      </c>
      <c r="I328">
        <f>IF(COUNTIFS('United Data'!$A$3:$A$2150,I$1,'United Data'!$C$3:$C$2150,$A328)&gt;0,1,0)</f>
        <v>1</v>
      </c>
      <c r="J328">
        <f>IF(COUNTIFS('United Data'!$A$3:$A$2150,J$1,'United Data'!$C$3:$C$2150,$A328)&gt;0,1,0)</f>
        <v>1</v>
      </c>
      <c r="K328">
        <f>IF(COUNTIFS('United Data'!$A$3:$A$2150,K$1,'United Data'!$C$3:$C$2150,$A328)&gt;0,1,0)</f>
        <v>1</v>
      </c>
      <c r="L328">
        <f>IF(COUNTIFS('United Data'!$A$3:$A$2150,L$1,'United Data'!$C$3:$C$2150,$A328)&gt;0,1,0)</f>
        <v>1</v>
      </c>
      <c r="M328">
        <f>IF(COUNTIFS('United Data'!$A$3:$A$2150,M$1,'United Data'!$C$3:$C$2150,$A328)&gt;0,1,0)</f>
        <v>1</v>
      </c>
      <c r="N328">
        <f>IF(COUNTIFS('United Data'!$A$3:$A$2150,N$1,'United Data'!$C$3:$C$2150,$A328)&gt;0,1,0)</f>
        <v>1</v>
      </c>
      <c r="O328">
        <f>IF(COUNTIFS('United Data'!$A$3:$A$2150,O$1,'United Data'!$C$3:$C$2150,$A328)&gt;0,1,0)</f>
        <v>1</v>
      </c>
      <c r="P328">
        <f>IF(COUNTIFS('United Data'!$A$3:$A$2150,P$1,'United Data'!$C$3:$C$2150,$A328)&gt;0,1,0)</f>
        <v>1</v>
      </c>
      <c r="Q328">
        <f>IF(COUNTIFS('United Data'!$A$3:$A$2150,Q$1,'United Data'!$C$3:$C$2150,$A328)&gt;0,1,0)</f>
        <v>1</v>
      </c>
      <c r="R328">
        <f>IF(COUNTIFS('United Data'!$A$3:$A$2150,R$1,'United Data'!$C$3:$C$2150,$A328)&gt;0,1,0)</f>
        <v>0</v>
      </c>
      <c r="S328">
        <f t="shared" si="10"/>
        <v>16</v>
      </c>
      <c r="T328">
        <f t="shared" si="11"/>
        <v>1</v>
      </c>
    </row>
    <row r="329" spans="1:20" x14ac:dyDescent="0.2">
      <c r="A329" t="s">
        <v>374</v>
      </c>
      <c r="B329">
        <f>IF(COUNTIFS('United Data'!$A$3:$A$2150,B$1,'United Data'!$C$3:$C$2150,$A329)&gt;0,1,0)</f>
        <v>0</v>
      </c>
      <c r="C329">
        <f>IF(COUNTIFS('United Data'!$A$3:$A$2150,C$1,'United Data'!$C$3:$C$2150,$A329)&gt;0,1,0)</f>
        <v>0</v>
      </c>
      <c r="D329">
        <f>IF(COUNTIFS('United Data'!$A$3:$A$2150,D$1,'United Data'!$C$3:$C$2150,$A329)&gt;0,1,0)</f>
        <v>1</v>
      </c>
      <c r="E329">
        <f>IF(COUNTIFS('United Data'!$A$3:$A$2150,E$1,'United Data'!$C$3:$C$2150,$A329)&gt;0,1,0)</f>
        <v>0</v>
      </c>
      <c r="F329">
        <f>IF(COUNTIFS('United Data'!$A$3:$A$2150,F$1,'United Data'!$C$3:$C$2150,$A329)&gt;0,1,0)</f>
        <v>0</v>
      </c>
      <c r="G329">
        <f>IF(COUNTIFS('United Data'!$A$3:$A$2150,G$1,'United Data'!$C$3:$C$2150,$A329)&gt;0,1,0)</f>
        <v>0</v>
      </c>
      <c r="H329">
        <f>IF(COUNTIFS('United Data'!$A$3:$A$2150,H$1,'United Data'!$C$3:$C$2150,$A329)&gt;0,1,0)</f>
        <v>0</v>
      </c>
      <c r="I329">
        <f>IF(COUNTIFS('United Data'!$A$3:$A$2150,I$1,'United Data'!$C$3:$C$2150,$A329)&gt;0,1,0)</f>
        <v>0</v>
      </c>
      <c r="J329">
        <f>IF(COUNTIFS('United Data'!$A$3:$A$2150,J$1,'United Data'!$C$3:$C$2150,$A329)&gt;0,1,0)</f>
        <v>0</v>
      </c>
      <c r="K329">
        <f>IF(COUNTIFS('United Data'!$A$3:$A$2150,K$1,'United Data'!$C$3:$C$2150,$A329)&gt;0,1,0)</f>
        <v>0</v>
      </c>
      <c r="L329">
        <f>IF(COUNTIFS('United Data'!$A$3:$A$2150,L$1,'United Data'!$C$3:$C$2150,$A329)&gt;0,1,0)</f>
        <v>0</v>
      </c>
      <c r="M329">
        <f>IF(COUNTIFS('United Data'!$A$3:$A$2150,M$1,'United Data'!$C$3:$C$2150,$A329)&gt;0,1,0)</f>
        <v>0</v>
      </c>
      <c r="N329">
        <f>IF(COUNTIFS('United Data'!$A$3:$A$2150,N$1,'United Data'!$C$3:$C$2150,$A329)&gt;0,1,0)</f>
        <v>0</v>
      </c>
      <c r="O329">
        <f>IF(COUNTIFS('United Data'!$A$3:$A$2150,O$1,'United Data'!$C$3:$C$2150,$A329)&gt;0,1,0)</f>
        <v>0</v>
      </c>
      <c r="P329">
        <f>IF(COUNTIFS('United Data'!$A$3:$A$2150,P$1,'United Data'!$C$3:$C$2150,$A329)&gt;0,1,0)</f>
        <v>0</v>
      </c>
      <c r="Q329">
        <f>IF(COUNTIFS('United Data'!$A$3:$A$2150,Q$1,'United Data'!$C$3:$C$2150,$A329)&gt;0,1,0)</f>
        <v>0</v>
      </c>
      <c r="R329">
        <f>IF(COUNTIFS('United Data'!$A$3:$A$2150,R$1,'United Data'!$C$3:$C$2150,$A329)&gt;0,1,0)</f>
        <v>0</v>
      </c>
      <c r="S329">
        <f t="shared" si="10"/>
        <v>1</v>
      </c>
      <c r="T329">
        <f t="shared" si="11"/>
        <v>1</v>
      </c>
    </row>
    <row r="330" spans="1:20" x14ac:dyDescent="0.2">
      <c r="A330" t="s">
        <v>375</v>
      </c>
      <c r="B330">
        <f>IF(COUNTIFS('United Data'!$A$3:$A$2150,B$1,'United Data'!$C$3:$C$2150,$A330)&gt;0,1,0)</f>
        <v>0</v>
      </c>
      <c r="C330">
        <f>IF(COUNTIFS('United Data'!$A$3:$A$2150,C$1,'United Data'!$C$3:$C$2150,$A330)&gt;0,1,0)</f>
        <v>0</v>
      </c>
      <c r="D330">
        <f>IF(COUNTIFS('United Data'!$A$3:$A$2150,D$1,'United Data'!$C$3:$C$2150,$A330)&gt;0,1,0)</f>
        <v>1</v>
      </c>
      <c r="E330">
        <f>IF(COUNTIFS('United Data'!$A$3:$A$2150,E$1,'United Data'!$C$3:$C$2150,$A330)&gt;0,1,0)</f>
        <v>1</v>
      </c>
      <c r="F330">
        <f>IF(COUNTIFS('United Data'!$A$3:$A$2150,F$1,'United Data'!$C$3:$C$2150,$A330)&gt;0,1,0)</f>
        <v>1</v>
      </c>
      <c r="G330">
        <f>IF(COUNTIFS('United Data'!$A$3:$A$2150,G$1,'United Data'!$C$3:$C$2150,$A330)&gt;0,1,0)</f>
        <v>1</v>
      </c>
      <c r="H330">
        <f>IF(COUNTIFS('United Data'!$A$3:$A$2150,H$1,'United Data'!$C$3:$C$2150,$A330)&gt;0,1,0)</f>
        <v>1</v>
      </c>
      <c r="I330">
        <f>IF(COUNTIFS('United Data'!$A$3:$A$2150,I$1,'United Data'!$C$3:$C$2150,$A330)&gt;0,1,0)</f>
        <v>1</v>
      </c>
      <c r="J330">
        <f>IF(COUNTIFS('United Data'!$A$3:$A$2150,J$1,'United Data'!$C$3:$C$2150,$A330)&gt;0,1,0)</f>
        <v>1</v>
      </c>
      <c r="K330">
        <f>IF(COUNTIFS('United Data'!$A$3:$A$2150,K$1,'United Data'!$C$3:$C$2150,$A330)&gt;0,1,0)</f>
        <v>0</v>
      </c>
      <c r="L330">
        <f>IF(COUNTIFS('United Data'!$A$3:$A$2150,L$1,'United Data'!$C$3:$C$2150,$A330)&gt;0,1,0)</f>
        <v>1</v>
      </c>
      <c r="M330">
        <f>IF(COUNTIFS('United Data'!$A$3:$A$2150,M$1,'United Data'!$C$3:$C$2150,$A330)&gt;0,1,0)</f>
        <v>1</v>
      </c>
      <c r="N330">
        <f>IF(COUNTIFS('United Data'!$A$3:$A$2150,N$1,'United Data'!$C$3:$C$2150,$A330)&gt;0,1,0)</f>
        <v>0</v>
      </c>
      <c r="O330">
        <f>IF(COUNTIFS('United Data'!$A$3:$A$2150,O$1,'United Data'!$C$3:$C$2150,$A330)&gt;0,1,0)</f>
        <v>0</v>
      </c>
      <c r="P330">
        <f>IF(COUNTIFS('United Data'!$A$3:$A$2150,P$1,'United Data'!$C$3:$C$2150,$A330)&gt;0,1,0)</f>
        <v>0</v>
      </c>
      <c r="Q330">
        <f>IF(COUNTIFS('United Data'!$A$3:$A$2150,Q$1,'United Data'!$C$3:$C$2150,$A330)&gt;0,1,0)</f>
        <v>0</v>
      </c>
      <c r="R330">
        <f>IF(COUNTIFS('United Data'!$A$3:$A$2150,R$1,'United Data'!$C$3:$C$2150,$A330)&gt;0,1,0)</f>
        <v>0</v>
      </c>
      <c r="S330">
        <f t="shared" si="10"/>
        <v>9</v>
      </c>
      <c r="T330">
        <f t="shared" si="11"/>
        <v>2</v>
      </c>
    </row>
    <row r="331" spans="1:20" x14ac:dyDescent="0.2">
      <c r="A331" t="s">
        <v>376</v>
      </c>
      <c r="B331">
        <f>IF(COUNTIFS('United Data'!$A$3:$A$2150,B$1,'United Data'!$C$3:$C$2150,$A331)&gt;0,1,0)</f>
        <v>0</v>
      </c>
      <c r="C331">
        <f>IF(COUNTIFS('United Data'!$A$3:$A$2150,C$1,'United Data'!$C$3:$C$2150,$A331)&gt;0,1,0)</f>
        <v>0</v>
      </c>
      <c r="D331">
        <f>IF(COUNTIFS('United Data'!$A$3:$A$2150,D$1,'United Data'!$C$3:$C$2150,$A331)&gt;0,1,0)</f>
        <v>1</v>
      </c>
      <c r="E331">
        <f>IF(COUNTIFS('United Data'!$A$3:$A$2150,E$1,'United Data'!$C$3:$C$2150,$A331)&gt;0,1,0)</f>
        <v>1</v>
      </c>
      <c r="F331">
        <f>IF(COUNTIFS('United Data'!$A$3:$A$2150,F$1,'United Data'!$C$3:$C$2150,$A331)&gt;0,1,0)</f>
        <v>1</v>
      </c>
      <c r="G331">
        <f>IF(COUNTIFS('United Data'!$A$3:$A$2150,G$1,'United Data'!$C$3:$C$2150,$A331)&gt;0,1,0)</f>
        <v>1</v>
      </c>
      <c r="H331">
        <f>IF(COUNTIFS('United Data'!$A$3:$A$2150,H$1,'United Data'!$C$3:$C$2150,$A331)&gt;0,1,0)</f>
        <v>1</v>
      </c>
      <c r="I331">
        <f>IF(COUNTIFS('United Data'!$A$3:$A$2150,I$1,'United Data'!$C$3:$C$2150,$A331)&gt;0,1,0)</f>
        <v>0</v>
      </c>
      <c r="J331">
        <f>IF(COUNTIFS('United Data'!$A$3:$A$2150,J$1,'United Data'!$C$3:$C$2150,$A331)&gt;0,1,0)</f>
        <v>1</v>
      </c>
      <c r="K331">
        <f>IF(COUNTIFS('United Data'!$A$3:$A$2150,K$1,'United Data'!$C$3:$C$2150,$A331)&gt;0,1,0)</f>
        <v>1</v>
      </c>
      <c r="L331">
        <f>IF(COUNTIFS('United Data'!$A$3:$A$2150,L$1,'United Data'!$C$3:$C$2150,$A331)&gt;0,1,0)</f>
        <v>1</v>
      </c>
      <c r="M331">
        <f>IF(COUNTIFS('United Data'!$A$3:$A$2150,M$1,'United Data'!$C$3:$C$2150,$A331)&gt;0,1,0)</f>
        <v>0</v>
      </c>
      <c r="N331">
        <f>IF(COUNTIFS('United Data'!$A$3:$A$2150,N$1,'United Data'!$C$3:$C$2150,$A331)&gt;0,1,0)</f>
        <v>0</v>
      </c>
      <c r="O331">
        <f>IF(COUNTIFS('United Data'!$A$3:$A$2150,O$1,'United Data'!$C$3:$C$2150,$A331)&gt;0,1,0)</f>
        <v>0</v>
      </c>
      <c r="P331">
        <f>IF(COUNTIFS('United Data'!$A$3:$A$2150,P$1,'United Data'!$C$3:$C$2150,$A331)&gt;0,1,0)</f>
        <v>0</v>
      </c>
      <c r="Q331">
        <f>IF(COUNTIFS('United Data'!$A$3:$A$2150,Q$1,'United Data'!$C$3:$C$2150,$A331)&gt;0,1,0)</f>
        <v>0</v>
      </c>
      <c r="R331">
        <f>IF(COUNTIFS('United Data'!$A$3:$A$2150,R$1,'United Data'!$C$3:$C$2150,$A331)&gt;0,1,0)</f>
        <v>0</v>
      </c>
      <c r="S331">
        <f t="shared" si="10"/>
        <v>8</v>
      </c>
      <c r="T331">
        <f t="shared" si="11"/>
        <v>2</v>
      </c>
    </row>
    <row r="332" spans="1:20" x14ac:dyDescent="0.2">
      <c r="A332" t="s">
        <v>377</v>
      </c>
      <c r="B332">
        <f>IF(COUNTIFS('United Data'!$A$3:$A$2150,B$1,'United Data'!$C$3:$C$2150,$A332)&gt;0,1,0)</f>
        <v>0</v>
      </c>
      <c r="C332">
        <f>IF(COUNTIFS('United Data'!$A$3:$A$2150,C$1,'United Data'!$C$3:$C$2150,$A332)&gt;0,1,0)</f>
        <v>0</v>
      </c>
      <c r="D332">
        <f>IF(COUNTIFS('United Data'!$A$3:$A$2150,D$1,'United Data'!$C$3:$C$2150,$A332)&gt;0,1,0)</f>
        <v>1</v>
      </c>
      <c r="E332">
        <f>IF(COUNTIFS('United Data'!$A$3:$A$2150,E$1,'United Data'!$C$3:$C$2150,$A332)&gt;0,1,0)</f>
        <v>0</v>
      </c>
      <c r="F332">
        <f>IF(COUNTIFS('United Data'!$A$3:$A$2150,F$1,'United Data'!$C$3:$C$2150,$A332)&gt;0,1,0)</f>
        <v>0</v>
      </c>
      <c r="G332">
        <f>IF(COUNTIFS('United Data'!$A$3:$A$2150,G$1,'United Data'!$C$3:$C$2150,$A332)&gt;0,1,0)</f>
        <v>0</v>
      </c>
      <c r="H332">
        <f>IF(COUNTIFS('United Data'!$A$3:$A$2150,H$1,'United Data'!$C$3:$C$2150,$A332)&gt;0,1,0)</f>
        <v>0</v>
      </c>
      <c r="I332">
        <f>IF(COUNTIFS('United Data'!$A$3:$A$2150,I$1,'United Data'!$C$3:$C$2150,$A332)&gt;0,1,0)</f>
        <v>0</v>
      </c>
      <c r="J332">
        <f>IF(COUNTIFS('United Data'!$A$3:$A$2150,J$1,'United Data'!$C$3:$C$2150,$A332)&gt;0,1,0)</f>
        <v>0</v>
      </c>
      <c r="K332">
        <f>IF(COUNTIFS('United Data'!$A$3:$A$2150,K$1,'United Data'!$C$3:$C$2150,$A332)&gt;0,1,0)</f>
        <v>0</v>
      </c>
      <c r="L332">
        <f>IF(COUNTIFS('United Data'!$A$3:$A$2150,L$1,'United Data'!$C$3:$C$2150,$A332)&gt;0,1,0)</f>
        <v>0</v>
      </c>
      <c r="M332">
        <f>IF(COUNTIFS('United Data'!$A$3:$A$2150,M$1,'United Data'!$C$3:$C$2150,$A332)&gt;0,1,0)</f>
        <v>0</v>
      </c>
      <c r="N332">
        <f>IF(COUNTIFS('United Data'!$A$3:$A$2150,N$1,'United Data'!$C$3:$C$2150,$A332)&gt;0,1,0)</f>
        <v>0</v>
      </c>
      <c r="O332">
        <f>IF(COUNTIFS('United Data'!$A$3:$A$2150,O$1,'United Data'!$C$3:$C$2150,$A332)&gt;0,1,0)</f>
        <v>0</v>
      </c>
      <c r="P332">
        <f>IF(COUNTIFS('United Data'!$A$3:$A$2150,P$1,'United Data'!$C$3:$C$2150,$A332)&gt;0,1,0)</f>
        <v>0</v>
      </c>
      <c r="Q332">
        <f>IF(COUNTIFS('United Data'!$A$3:$A$2150,Q$1,'United Data'!$C$3:$C$2150,$A332)&gt;0,1,0)</f>
        <v>0</v>
      </c>
      <c r="R332">
        <f>IF(COUNTIFS('United Data'!$A$3:$A$2150,R$1,'United Data'!$C$3:$C$2150,$A332)&gt;0,1,0)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378</v>
      </c>
      <c r="B333">
        <f>IF(COUNTIFS('United Data'!$A$3:$A$2150,B$1,'United Data'!$C$3:$C$2150,$A333)&gt;0,1,0)</f>
        <v>0</v>
      </c>
      <c r="C333">
        <f>IF(COUNTIFS('United Data'!$A$3:$A$2150,C$1,'United Data'!$C$3:$C$2150,$A333)&gt;0,1,0)</f>
        <v>0</v>
      </c>
      <c r="D333">
        <f>IF(COUNTIFS('United Data'!$A$3:$A$2150,D$1,'United Data'!$C$3:$C$2150,$A333)&gt;0,1,0)</f>
        <v>1</v>
      </c>
      <c r="E333">
        <f>IF(COUNTIFS('United Data'!$A$3:$A$2150,E$1,'United Data'!$C$3:$C$2150,$A333)&gt;0,1,0)</f>
        <v>0</v>
      </c>
      <c r="F333">
        <f>IF(COUNTIFS('United Data'!$A$3:$A$2150,F$1,'United Data'!$C$3:$C$2150,$A333)&gt;0,1,0)</f>
        <v>0</v>
      </c>
      <c r="G333">
        <f>IF(COUNTIFS('United Data'!$A$3:$A$2150,G$1,'United Data'!$C$3:$C$2150,$A333)&gt;0,1,0)</f>
        <v>0</v>
      </c>
      <c r="H333">
        <f>IF(COUNTIFS('United Data'!$A$3:$A$2150,H$1,'United Data'!$C$3:$C$2150,$A333)&gt;0,1,0)</f>
        <v>0</v>
      </c>
      <c r="I333">
        <f>IF(COUNTIFS('United Data'!$A$3:$A$2150,I$1,'United Data'!$C$3:$C$2150,$A333)&gt;0,1,0)</f>
        <v>0</v>
      </c>
      <c r="J333">
        <f>IF(COUNTIFS('United Data'!$A$3:$A$2150,J$1,'United Data'!$C$3:$C$2150,$A333)&gt;0,1,0)</f>
        <v>0</v>
      </c>
      <c r="K333">
        <f>IF(COUNTIFS('United Data'!$A$3:$A$2150,K$1,'United Data'!$C$3:$C$2150,$A333)&gt;0,1,0)</f>
        <v>0</v>
      </c>
      <c r="L333">
        <f>IF(COUNTIFS('United Data'!$A$3:$A$2150,L$1,'United Data'!$C$3:$C$2150,$A333)&gt;0,1,0)</f>
        <v>0</v>
      </c>
      <c r="M333">
        <f>IF(COUNTIFS('United Data'!$A$3:$A$2150,M$1,'United Data'!$C$3:$C$2150,$A333)&gt;0,1,0)</f>
        <v>0</v>
      </c>
      <c r="N333">
        <f>IF(COUNTIFS('United Data'!$A$3:$A$2150,N$1,'United Data'!$C$3:$C$2150,$A333)&gt;0,1,0)</f>
        <v>0</v>
      </c>
      <c r="O333">
        <f>IF(COUNTIFS('United Data'!$A$3:$A$2150,O$1,'United Data'!$C$3:$C$2150,$A333)&gt;0,1,0)</f>
        <v>0</v>
      </c>
      <c r="P333">
        <f>IF(COUNTIFS('United Data'!$A$3:$A$2150,P$1,'United Data'!$C$3:$C$2150,$A333)&gt;0,1,0)</f>
        <v>0</v>
      </c>
      <c r="Q333">
        <f>IF(COUNTIFS('United Data'!$A$3:$A$2150,Q$1,'United Data'!$C$3:$C$2150,$A333)&gt;0,1,0)</f>
        <v>0</v>
      </c>
      <c r="R333">
        <f>IF(COUNTIFS('United Data'!$A$3:$A$2150,R$1,'United Data'!$C$3:$C$2150,$A333)&gt;0,1,0)</f>
        <v>0</v>
      </c>
      <c r="S333">
        <f t="shared" si="10"/>
        <v>1</v>
      </c>
      <c r="T333">
        <f t="shared" si="11"/>
        <v>1</v>
      </c>
    </row>
    <row r="334" spans="1:20" x14ac:dyDescent="0.2">
      <c r="A334" t="s">
        <v>379</v>
      </c>
      <c r="B334">
        <f>IF(COUNTIFS('United Data'!$A$3:$A$2150,B$1,'United Data'!$C$3:$C$2150,$A334)&gt;0,1,0)</f>
        <v>0</v>
      </c>
      <c r="C334">
        <f>IF(COUNTIFS('United Data'!$A$3:$A$2150,C$1,'United Data'!$C$3:$C$2150,$A334)&gt;0,1,0)</f>
        <v>0</v>
      </c>
      <c r="D334">
        <f>IF(COUNTIFS('United Data'!$A$3:$A$2150,D$1,'United Data'!$C$3:$C$2150,$A334)&gt;0,1,0)</f>
        <v>1</v>
      </c>
      <c r="E334">
        <f>IF(COUNTIFS('United Data'!$A$3:$A$2150,E$1,'United Data'!$C$3:$C$2150,$A334)&gt;0,1,0)</f>
        <v>0</v>
      </c>
      <c r="F334">
        <f>IF(COUNTIFS('United Data'!$A$3:$A$2150,F$1,'United Data'!$C$3:$C$2150,$A334)&gt;0,1,0)</f>
        <v>0</v>
      </c>
      <c r="G334">
        <f>IF(COUNTIFS('United Data'!$A$3:$A$2150,G$1,'United Data'!$C$3:$C$2150,$A334)&gt;0,1,0)</f>
        <v>0</v>
      </c>
      <c r="H334">
        <f>IF(COUNTIFS('United Data'!$A$3:$A$2150,H$1,'United Data'!$C$3:$C$2150,$A334)&gt;0,1,0)</f>
        <v>0</v>
      </c>
      <c r="I334">
        <f>IF(COUNTIFS('United Data'!$A$3:$A$2150,I$1,'United Data'!$C$3:$C$2150,$A334)&gt;0,1,0)</f>
        <v>0</v>
      </c>
      <c r="J334">
        <f>IF(COUNTIFS('United Data'!$A$3:$A$2150,J$1,'United Data'!$C$3:$C$2150,$A334)&gt;0,1,0)</f>
        <v>0</v>
      </c>
      <c r="K334">
        <f>IF(COUNTIFS('United Data'!$A$3:$A$2150,K$1,'United Data'!$C$3:$C$2150,$A334)&gt;0,1,0)</f>
        <v>0</v>
      </c>
      <c r="L334">
        <f>IF(COUNTIFS('United Data'!$A$3:$A$2150,L$1,'United Data'!$C$3:$C$2150,$A334)&gt;0,1,0)</f>
        <v>0</v>
      </c>
      <c r="M334">
        <f>IF(COUNTIFS('United Data'!$A$3:$A$2150,M$1,'United Data'!$C$3:$C$2150,$A334)&gt;0,1,0)</f>
        <v>0</v>
      </c>
      <c r="N334">
        <f>IF(COUNTIFS('United Data'!$A$3:$A$2150,N$1,'United Data'!$C$3:$C$2150,$A334)&gt;0,1,0)</f>
        <v>0</v>
      </c>
      <c r="O334">
        <f>IF(COUNTIFS('United Data'!$A$3:$A$2150,O$1,'United Data'!$C$3:$C$2150,$A334)&gt;0,1,0)</f>
        <v>0</v>
      </c>
      <c r="P334">
        <f>IF(COUNTIFS('United Data'!$A$3:$A$2150,P$1,'United Data'!$C$3:$C$2150,$A334)&gt;0,1,0)</f>
        <v>0</v>
      </c>
      <c r="Q334">
        <f>IF(COUNTIFS('United Data'!$A$3:$A$2150,Q$1,'United Data'!$C$3:$C$2150,$A334)&gt;0,1,0)</f>
        <v>0</v>
      </c>
      <c r="R334">
        <f>IF(COUNTIFS('United Data'!$A$3:$A$2150,R$1,'United Data'!$C$3:$C$2150,$A334)&gt;0,1,0)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380</v>
      </c>
      <c r="B335">
        <f>IF(COUNTIFS('United Data'!$A$3:$A$2150,B$1,'United Data'!$C$3:$C$2150,$A335)&gt;0,1,0)</f>
        <v>0</v>
      </c>
      <c r="C335">
        <f>IF(COUNTIFS('United Data'!$A$3:$A$2150,C$1,'United Data'!$C$3:$C$2150,$A335)&gt;0,1,0)</f>
        <v>0</v>
      </c>
      <c r="D335">
        <f>IF(COUNTIFS('United Data'!$A$3:$A$2150,D$1,'United Data'!$C$3:$C$2150,$A335)&gt;0,1,0)</f>
        <v>1</v>
      </c>
      <c r="E335">
        <f>IF(COUNTIFS('United Data'!$A$3:$A$2150,E$1,'United Data'!$C$3:$C$2150,$A335)&gt;0,1,0)</f>
        <v>0</v>
      </c>
      <c r="F335">
        <f>IF(COUNTIFS('United Data'!$A$3:$A$2150,F$1,'United Data'!$C$3:$C$2150,$A335)&gt;0,1,0)</f>
        <v>0</v>
      </c>
      <c r="G335">
        <f>IF(COUNTIFS('United Data'!$A$3:$A$2150,G$1,'United Data'!$C$3:$C$2150,$A335)&gt;0,1,0)</f>
        <v>0</v>
      </c>
      <c r="H335">
        <f>IF(COUNTIFS('United Data'!$A$3:$A$2150,H$1,'United Data'!$C$3:$C$2150,$A335)&gt;0,1,0)</f>
        <v>0</v>
      </c>
      <c r="I335">
        <f>IF(COUNTIFS('United Data'!$A$3:$A$2150,I$1,'United Data'!$C$3:$C$2150,$A335)&gt;0,1,0)</f>
        <v>0</v>
      </c>
      <c r="J335">
        <f>IF(COUNTIFS('United Data'!$A$3:$A$2150,J$1,'United Data'!$C$3:$C$2150,$A335)&gt;0,1,0)</f>
        <v>0</v>
      </c>
      <c r="K335">
        <f>IF(COUNTIFS('United Data'!$A$3:$A$2150,K$1,'United Data'!$C$3:$C$2150,$A335)&gt;0,1,0)</f>
        <v>0</v>
      </c>
      <c r="L335">
        <f>IF(COUNTIFS('United Data'!$A$3:$A$2150,L$1,'United Data'!$C$3:$C$2150,$A335)&gt;0,1,0)</f>
        <v>0</v>
      </c>
      <c r="M335">
        <f>IF(COUNTIFS('United Data'!$A$3:$A$2150,M$1,'United Data'!$C$3:$C$2150,$A335)&gt;0,1,0)</f>
        <v>0</v>
      </c>
      <c r="N335">
        <f>IF(COUNTIFS('United Data'!$A$3:$A$2150,N$1,'United Data'!$C$3:$C$2150,$A335)&gt;0,1,0)</f>
        <v>0</v>
      </c>
      <c r="O335">
        <f>IF(COUNTIFS('United Data'!$A$3:$A$2150,O$1,'United Data'!$C$3:$C$2150,$A335)&gt;0,1,0)</f>
        <v>0</v>
      </c>
      <c r="P335">
        <f>IF(COUNTIFS('United Data'!$A$3:$A$2150,P$1,'United Data'!$C$3:$C$2150,$A335)&gt;0,1,0)</f>
        <v>0</v>
      </c>
      <c r="Q335">
        <f>IF(COUNTIFS('United Data'!$A$3:$A$2150,Q$1,'United Data'!$C$3:$C$2150,$A335)&gt;0,1,0)</f>
        <v>0</v>
      </c>
      <c r="R335">
        <f>IF(COUNTIFS('United Data'!$A$3:$A$2150,R$1,'United Data'!$C$3:$C$2150,$A335)&gt;0,1,0)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381</v>
      </c>
      <c r="B336">
        <f>IF(COUNTIFS('United Data'!$A$3:$A$2150,B$1,'United Data'!$C$3:$C$2150,$A336)&gt;0,1,0)</f>
        <v>0</v>
      </c>
      <c r="C336">
        <f>IF(COUNTIFS('United Data'!$A$3:$A$2150,C$1,'United Data'!$C$3:$C$2150,$A336)&gt;0,1,0)</f>
        <v>0</v>
      </c>
      <c r="D336">
        <f>IF(COUNTIFS('United Data'!$A$3:$A$2150,D$1,'United Data'!$C$3:$C$2150,$A336)&gt;0,1,0)</f>
        <v>0</v>
      </c>
      <c r="E336">
        <f>IF(COUNTIFS('United Data'!$A$3:$A$2150,E$1,'United Data'!$C$3:$C$2150,$A336)&gt;0,1,0)</f>
        <v>1</v>
      </c>
      <c r="F336">
        <f>IF(COUNTIFS('United Data'!$A$3:$A$2150,F$1,'United Data'!$C$3:$C$2150,$A336)&gt;0,1,0)</f>
        <v>0</v>
      </c>
      <c r="G336">
        <f>IF(COUNTIFS('United Data'!$A$3:$A$2150,G$1,'United Data'!$C$3:$C$2150,$A336)&gt;0,1,0)</f>
        <v>0</v>
      </c>
      <c r="H336">
        <f>IF(COUNTIFS('United Data'!$A$3:$A$2150,H$1,'United Data'!$C$3:$C$2150,$A336)&gt;0,1,0)</f>
        <v>0</v>
      </c>
      <c r="I336">
        <f>IF(COUNTIFS('United Data'!$A$3:$A$2150,I$1,'United Data'!$C$3:$C$2150,$A336)&gt;0,1,0)</f>
        <v>0</v>
      </c>
      <c r="J336">
        <f>IF(COUNTIFS('United Data'!$A$3:$A$2150,J$1,'United Data'!$C$3:$C$2150,$A336)&gt;0,1,0)</f>
        <v>0</v>
      </c>
      <c r="K336">
        <f>IF(COUNTIFS('United Data'!$A$3:$A$2150,K$1,'United Data'!$C$3:$C$2150,$A336)&gt;0,1,0)</f>
        <v>0</v>
      </c>
      <c r="L336">
        <f>IF(COUNTIFS('United Data'!$A$3:$A$2150,L$1,'United Data'!$C$3:$C$2150,$A336)&gt;0,1,0)</f>
        <v>0</v>
      </c>
      <c r="M336">
        <f>IF(COUNTIFS('United Data'!$A$3:$A$2150,M$1,'United Data'!$C$3:$C$2150,$A336)&gt;0,1,0)</f>
        <v>0</v>
      </c>
      <c r="N336">
        <f>IF(COUNTIFS('United Data'!$A$3:$A$2150,N$1,'United Data'!$C$3:$C$2150,$A336)&gt;0,1,0)</f>
        <v>0</v>
      </c>
      <c r="O336">
        <f>IF(COUNTIFS('United Data'!$A$3:$A$2150,O$1,'United Data'!$C$3:$C$2150,$A336)&gt;0,1,0)</f>
        <v>0</v>
      </c>
      <c r="P336">
        <f>IF(COUNTIFS('United Data'!$A$3:$A$2150,P$1,'United Data'!$C$3:$C$2150,$A336)&gt;0,1,0)</f>
        <v>0</v>
      </c>
      <c r="Q336">
        <f>IF(COUNTIFS('United Data'!$A$3:$A$2150,Q$1,'United Data'!$C$3:$C$2150,$A336)&gt;0,1,0)</f>
        <v>0</v>
      </c>
      <c r="R336">
        <f>IF(COUNTIFS('United Data'!$A$3:$A$2150,R$1,'United Data'!$C$3:$C$2150,$A336)&gt;0,1,0)</f>
        <v>0</v>
      </c>
      <c r="S336">
        <f t="shared" si="10"/>
        <v>1</v>
      </c>
      <c r="T336">
        <f t="shared" si="11"/>
        <v>1</v>
      </c>
    </row>
    <row r="337" spans="1:20" x14ac:dyDescent="0.2">
      <c r="A337" t="s">
        <v>382</v>
      </c>
      <c r="B337">
        <f>IF(COUNTIFS('United Data'!$A$3:$A$2150,B$1,'United Data'!$C$3:$C$2150,$A337)&gt;0,1,0)</f>
        <v>0</v>
      </c>
      <c r="C337">
        <f>IF(COUNTIFS('United Data'!$A$3:$A$2150,C$1,'United Data'!$C$3:$C$2150,$A337)&gt;0,1,0)</f>
        <v>0</v>
      </c>
      <c r="D337">
        <f>IF(COUNTIFS('United Data'!$A$3:$A$2150,D$1,'United Data'!$C$3:$C$2150,$A337)&gt;0,1,0)</f>
        <v>0</v>
      </c>
      <c r="E337">
        <f>IF(COUNTIFS('United Data'!$A$3:$A$2150,E$1,'United Data'!$C$3:$C$2150,$A337)&gt;0,1,0)</f>
        <v>1</v>
      </c>
      <c r="F337">
        <f>IF(COUNTIFS('United Data'!$A$3:$A$2150,F$1,'United Data'!$C$3:$C$2150,$A337)&gt;0,1,0)</f>
        <v>0</v>
      </c>
      <c r="G337">
        <f>IF(COUNTIFS('United Data'!$A$3:$A$2150,G$1,'United Data'!$C$3:$C$2150,$A337)&gt;0,1,0)</f>
        <v>0</v>
      </c>
      <c r="H337">
        <f>IF(COUNTIFS('United Data'!$A$3:$A$2150,H$1,'United Data'!$C$3:$C$2150,$A337)&gt;0,1,0)</f>
        <v>0</v>
      </c>
      <c r="I337">
        <f>IF(COUNTIFS('United Data'!$A$3:$A$2150,I$1,'United Data'!$C$3:$C$2150,$A337)&gt;0,1,0)</f>
        <v>0</v>
      </c>
      <c r="J337">
        <f>IF(COUNTIFS('United Data'!$A$3:$A$2150,J$1,'United Data'!$C$3:$C$2150,$A337)&gt;0,1,0)</f>
        <v>0</v>
      </c>
      <c r="K337">
        <f>IF(COUNTIFS('United Data'!$A$3:$A$2150,K$1,'United Data'!$C$3:$C$2150,$A337)&gt;0,1,0)</f>
        <v>0</v>
      </c>
      <c r="L337">
        <f>IF(COUNTIFS('United Data'!$A$3:$A$2150,L$1,'United Data'!$C$3:$C$2150,$A337)&gt;0,1,0)</f>
        <v>0</v>
      </c>
      <c r="M337">
        <f>IF(COUNTIFS('United Data'!$A$3:$A$2150,M$1,'United Data'!$C$3:$C$2150,$A337)&gt;0,1,0)</f>
        <v>0</v>
      </c>
      <c r="N337">
        <f>IF(COUNTIFS('United Data'!$A$3:$A$2150,N$1,'United Data'!$C$3:$C$2150,$A337)&gt;0,1,0)</f>
        <v>0</v>
      </c>
      <c r="O337">
        <f>IF(COUNTIFS('United Data'!$A$3:$A$2150,O$1,'United Data'!$C$3:$C$2150,$A337)&gt;0,1,0)</f>
        <v>0</v>
      </c>
      <c r="P337">
        <f>IF(COUNTIFS('United Data'!$A$3:$A$2150,P$1,'United Data'!$C$3:$C$2150,$A337)&gt;0,1,0)</f>
        <v>0</v>
      </c>
      <c r="Q337">
        <f>IF(COUNTIFS('United Data'!$A$3:$A$2150,Q$1,'United Data'!$C$3:$C$2150,$A337)&gt;0,1,0)</f>
        <v>0</v>
      </c>
      <c r="R337">
        <f>IF(COUNTIFS('United Data'!$A$3:$A$2150,R$1,'United Data'!$C$3:$C$2150,$A337)&gt;0,1,0)</f>
        <v>0</v>
      </c>
      <c r="S337">
        <f t="shared" si="10"/>
        <v>1</v>
      </c>
      <c r="T337">
        <f t="shared" si="11"/>
        <v>1</v>
      </c>
    </row>
    <row r="338" spans="1:20" x14ac:dyDescent="0.2">
      <c r="A338" t="s">
        <v>383</v>
      </c>
      <c r="B338">
        <f>IF(COUNTIFS('United Data'!$A$3:$A$2150,B$1,'United Data'!$C$3:$C$2150,$A338)&gt;0,1,0)</f>
        <v>0</v>
      </c>
      <c r="C338">
        <f>IF(COUNTIFS('United Data'!$A$3:$A$2150,C$1,'United Data'!$C$3:$C$2150,$A338)&gt;0,1,0)</f>
        <v>0</v>
      </c>
      <c r="D338">
        <f>IF(COUNTIFS('United Data'!$A$3:$A$2150,D$1,'United Data'!$C$3:$C$2150,$A338)&gt;0,1,0)</f>
        <v>0</v>
      </c>
      <c r="E338">
        <f>IF(COUNTIFS('United Data'!$A$3:$A$2150,E$1,'United Data'!$C$3:$C$2150,$A338)&gt;0,1,0)</f>
        <v>1</v>
      </c>
      <c r="F338">
        <f>IF(COUNTIFS('United Data'!$A$3:$A$2150,F$1,'United Data'!$C$3:$C$2150,$A338)&gt;0,1,0)</f>
        <v>0</v>
      </c>
      <c r="G338">
        <f>IF(COUNTIFS('United Data'!$A$3:$A$2150,G$1,'United Data'!$C$3:$C$2150,$A338)&gt;0,1,0)</f>
        <v>0</v>
      </c>
      <c r="H338">
        <f>IF(COUNTIFS('United Data'!$A$3:$A$2150,H$1,'United Data'!$C$3:$C$2150,$A338)&gt;0,1,0)</f>
        <v>0</v>
      </c>
      <c r="I338">
        <f>IF(COUNTIFS('United Data'!$A$3:$A$2150,I$1,'United Data'!$C$3:$C$2150,$A338)&gt;0,1,0)</f>
        <v>0</v>
      </c>
      <c r="J338">
        <f>IF(COUNTIFS('United Data'!$A$3:$A$2150,J$1,'United Data'!$C$3:$C$2150,$A338)&gt;0,1,0)</f>
        <v>0</v>
      </c>
      <c r="K338">
        <f>IF(COUNTIFS('United Data'!$A$3:$A$2150,K$1,'United Data'!$C$3:$C$2150,$A338)&gt;0,1,0)</f>
        <v>0</v>
      </c>
      <c r="L338">
        <f>IF(COUNTIFS('United Data'!$A$3:$A$2150,L$1,'United Data'!$C$3:$C$2150,$A338)&gt;0,1,0)</f>
        <v>0</v>
      </c>
      <c r="M338">
        <f>IF(COUNTIFS('United Data'!$A$3:$A$2150,M$1,'United Data'!$C$3:$C$2150,$A338)&gt;0,1,0)</f>
        <v>0</v>
      </c>
      <c r="N338">
        <f>IF(COUNTIFS('United Data'!$A$3:$A$2150,N$1,'United Data'!$C$3:$C$2150,$A338)&gt;0,1,0)</f>
        <v>0</v>
      </c>
      <c r="O338">
        <f>IF(COUNTIFS('United Data'!$A$3:$A$2150,O$1,'United Data'!$C$3:$C$2150,$A338)&gt;0,1,0)</f>
        <v>0</v>
      </c>
      <c r="P338">
        <f>IF(COUNTIFS('United Data'!$A$3:$A$2150,P$1,'United Data'!$C$3:$C$2150,$A338)&gt;0,1,0)</f>
        <v>0</v>
      </c>
      <c r="Q338">
        <f>IF(COUNTIFS('United Data'!$A$3:$A$2150,Q$1,'United Data'!$C$3:$C$2150,$A338)&gt;0,1,0)</f>
        <v>0</v>
      </c>
      <c r="R338">
        <f>IF(COUNTIFS('United Data'!$A$3:$A$2150,R$1,'United Data'!$C$3:$C$2150,$A338)&gt;0,1,0)</f>
        <v>0</v>
      </c>
      <c r="S338">
        <f t="shared" si="10"/>
        <v>1</v>
      </c>
      <c r="T338">
        <f t="shared" si="11"/>
        <v>1</v>
      </c>
    </row>
    <row r="339" spans="1:20" x14ac:dyDescent="0.2">
      <c r="A339" t="s">
        <v>384</v>
      </c>
      <c r="B339">
        <f>IF(COUNTIFS('United Data'!$A$3:$A$2150,B$1,'United Data'!$C$3:$C$2150,$A339)&gt;0,1,0)</f>
        <v>0</v>
      </c>
      <c r="C339">
        <f>IF(COUNTIFS('United Data'!$A$3:$A$2150,C$1,'United Data'!$C$3:$C$2150,$A339)&gt;0,1,0)</f>
        <v>0</v>
      </c>
      <c r="D339">
        <f>IF(COUNTIFS('United Data'!$A$3:$A$2150,D$1,'United Data'!$C$3:$C$2150,$A339)&gt;0,1,0)</f>
        <v>0</v>
      </c>
      <c r="E339">
        <f>IF(COUNTIFS('United Data'!$A$3:$A$2150,E$1,'United Data'!$C$3:$C$2150,$A339)&gt;0,1,0)</f>
        <v>1</v>
      </c>
      <c r="F339">
        <f>IF(COUNTIFS('United Data'!$A$3:$A$2150,F$1,'United Data'!$C$3:$C$2150,$A339)&gt;0,1,0)</f>
        <v>0</v>
      </c>
      <c r="G339">
        <f>IF(COUNTIFS('United Data'!$A$3:$A$2150,G$1,'United Data'!$C$3:$C$2150,$A339)&gt;0,1,0)</f>
        <v>0</v>
      </c>
      <c r="H339">
        <f>IF(COUNTIFS('United Data'!$A$3:$A$2150,H$1,'United Data'!$C$3:$C$2150,$A339)&gt;0,1,0)</f>
        <v>0</v>
      </c>
      <c r="I339">
        <f>IF(COUNTIFS('United Data'!$A$3:$A$2150,I$1,'United Data'!$C$3:$C$2150,$A339)&gt;0,1,0)</f>
        <v>0</v>
      </c>
      <c r="J339">
        <f>IF(COUNTIFS('United Data'!$A$3:$A$2150,J$1,'United Data'!$C$3:$C$2150,$A339)&gt;0,1,0)</f>
        <v>0</v>
      </c>
      <c r="K339">
        <f>IF(COUNTIFS('United Data'!$A$3:$A$2150,K$1,'United Data'!$C$3:$C$2150,$A339)&gt;0,1,0)</f>
        <v>0</v>
      </c>
      <c r="L339">
        <f>IF(COUNTIFS('United Data'!$A$3:$A$2150,L$1,'United Data'!$C$3:$C$2150,$A339)&gt;0,1,0)</f>
        <v>0</v>
      </c>
      <c r="M339">
        <f>IF(COUNTIFS('United Data'!$A$3:$A$2150,M$1,'United Data'!$C$3:$C$2150,$A339)&gt;0,1,0)</f>
        <v>0</v>
      </c>
      <c r="N339">
        <f>IF(COUNTIFS('United Data'!$A$3:$A$2150,N$1,'United Data'!$C$3:$C$2150,$A339)&gt;0,1,0)</f>
        <v>0</v>
      </c>
      <c r="O339">
        <f>IF(COUNTIFS('United Data'!$A$3:$A$2150,O$1,'United Data'!$C$3:$C$2150,$A339)&gt;0,1,0)</f>
        <v>0</v>
      </c>
      <c r="P339">
        <f>IF(COUNTIFS('United Data'!$A$3:$A$2150,P$1,'United Data'!$C$3:$C$2150,$A339)&gt;0,1,0)</f>
        <v>0</v>
      </c>
      <c r="Q339">
        <f>IF(COUNTIFS('United Data'!$A$3:$A$2150,Q$1,'United Data'!$C$3:$C$2150,$A339)&gt;0,1,0)</f>
        <v>0</v>
      </c>
      <c r="R339">
        <f>IF(COUNTIFS('United Data'!$A$3:$A$2150,R$1,'United Data'!$C$3:$C$2150,$A339)&gt;0,1,0)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385</v>
      </c>
      <c r="B340">
        <f>IF(COUNTIFS('United Data'!$A$3:$A$2150,B$1,'United Data'!$C$3:$C$2150,$A340)&gt;0,1,0)</f>
        <v>0</v>
      </c>
      <c r="C340">
        <f>IF(COUNTIFS('United Data'!$A$3:$A$2150,C$1,'United Data'!$C$3:$C$2150,$A340)&gt;0,1,0)</f>
        <v>0</v>
      </c>
      <c r="D340">
        <f>IF(COUNTIFS('United Data'!$A$3:$A$2150,D$1,'United Data'!$C$3:$C$2150,$A340)&gt;0,1,0)</f>
        <v>0</v>
      </c>
      <c r="E340">
        <f>IF(COUNTIFS('United Data'!$A$3:$A$2150,E$1,'United Data'!$C$3:$C$2150,$A340)&gt;0,1,0)</f>
        <v>1</v>
      </c>
      <c r="F340">
        <f>IF(COUNTIFS('United Data'!$A$3:$A$2150,F$1,'United Data'!$C$3:$C$2150,$A340)&gt;0,1,0)</f>
        <v>0</v>
      </c>
      <c r="G340">
        <f>IF(COUNTIFS('United Data'!$A$3:$A$2150,G$1,'United Data'!$C$3:$C$2150,$A340)&gt;0,1,0)</f>
        <v>0</v>
      </c>
      <c r="H340">
        <f>IF(COUNTIFS('United Data'!$A$3:$A$2150,H$1,'United Data'!$C$3:$C$2150,$A340)&gt;0,1,0)</f>
        <v>0</v>
      </c>
      <c r="I340">
        <f>IF(COUNTIFS('United Data'!$A$3:$A$2150,I$1,'United Data'!$C$3:$C$2150,$A340)&gt;0,1,0)</f>
        <v>0</v>
      </c>
      <c r="J340">
        <f>IF(COUNTIFS('United Data'!$A$3:$A$2150,J$1,'United Data'!$C$3:$C$2150,$A340)&gt;0,1,0)</f>
        <v>0</v>
      </c>
      <c r="K340">
        <f>IF(COUNTIFS('United Data'!$A$3:$A$2150,K$1,'United Data'!$C$3:$C$2150,$A340)&gt;0,1,0)</f>
        <v>0</v>
      </c>
      <c r="L340">
        <f>IF(COUNTIFS('United Data'!$A$3:$A$2150,L$1,'United Data'!$C$3:$C$2150,$A340)&gt;0,1,0)</f>
        <v>0</v>
      </c>
      <c r="M340">
        <f>IF(COUNTIFS('United Data'!$A$3:$A$2150,M$1,'United Data'!$C$3:$C$2150,$A340)&gt;0,1,0)</f>
        <v>0</v>
      </c>
      <c r="N340">
        <f>IF(COUNTIFS('United Data'!$A$3:$A$2150,N$1,'United Data'!$C$3:$C$2150,$A340)&gt;0,1,0)</f>
        <v>0</v>
      </c>
      <c r="O340">
        <f>IF(COUNTIFS('United Data'!$A$3:$A$2150,O$1,'United Data'!$C$3:$C$2150,$A340)&gt;0,1,0)</f>
        <v>0</v>
      </c>
      <c r="P340">
        <f>IF(COUNTIFS('United Data'!$A$3:$A$2150,P$1,'United Data'!$C$3:$C$2150,$A340)&gt;0,1,0)</f>
        <v>0</v>
      </c>
      <c r="Q340">
        <f>IF(COUNTIFS('United Data'!$A$3:$A$2150,Q$1,'United Data'!$C$3:$C$2150,$A340)&gt;0,1,0)</f>
        <v>0</v>
      </c>
      <c r="R340">
        <f>IF(COUNTIFS('United Data'!$A$3:$A$2150,R$1,'United Data'!$C$3:$C$2150,$A340)&gt;0,1,0)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386</v>
      </c>
      <c r="B341">
        <f>IF(COUNTIFS('United Data'!$A$3:$A$2150,B$1,'United Data'!$C$3:$C$2150,$A341)&gt;0,1,0)</f>
        <v>0</v>
      </c>
      <c r="C341">
        <f>IF(COUNTIFS('United Data'!$A$3:$A$2150,C$1,'United Data'!$C$3:$C$2150,$A341)&gt;0,1,0)</f>
        <v>0</v>
      </c>
      <c r="D341">
        <f>IF(COUNTIFS('United Data'!$A$3:$A$2150,D$1,'United Data'!$C$3:$C$2150,$A341)&gt;0,1,0)</f>
        <v>0</v>
      </c>
      <c r="E341">
        <f>IF(COUNTIFS('United Data'!$A$3:$A$2150,E$1,'United Data'!$C$3:$C$2150,$A341)&gt;0,1,0)</f>
        <v>1</v>
      </c>
      <c r="F341">
        <f>IF(COUNTIFS('United Data'!$A$3:$A$2150,F$1,'United Data'!$C$3:$C$2150,$A341)&gt;0,1,0)</f>
        <v>0</v>
      </c>
      <c r="G341">
        <f>IF(COUNTIFS('United Data'!$A$3:$A$2150,G$1,'United Data'!$C$3:$C$2150,$A341)&gt;0,1,0)</f>
        <v>1</v>
      </c>
      <c r="H341">
        <f>IF(COUNTIFS('United Data'!$A$3:$A$2150,H$1,'United Data'!$C$3:$C$2150,$A341)&gt;0,1,0)</f>
        <v>0</v>
      </c>
      <c r="I341">
        <f>IF(COUNTIFS('United Data'!$A$3:$A$2150,I$1,'United Data'!$C$3:$C$2150,$A341)&gt;0,1,0)</f>
        <v>0</v>
      </c>
      <c r="J341">
        <f>IF(COUNTIFS('United Data'!$A$3:$A$2150,J$1,'United Data'!$C$3:$C$2150,$A341)&gt;0,1,0)</f>
        <v>0</v>
      </c>
      <c r="K341">
        <f>IF(COUNTIFS('United Data'!$A$3:$A$2150,K$1,'United Data'!$C$3:$C$2150,$A341)&gt;0,1,0)</f>
        <v>0</v>
      </c>
      <c r="L341">
        <f>IF(COUNTIFS('United Data'!$A$3:$A$2150,L$1,'United Data'!$C$3:$C$2150,$A341)&gt;0,1,0)</f>
        <v>0</v>
      </c>
      <c r="M341">
        <f>IF(COUNTIFS('United Data'!$A$3:$A$2150,M$1,'United Data'!$C$3:$C$2150,$A341)&gt;0,1,0)</f>
        <v>0</v>
      </c>
      <c r="N341">
        <f>IF(COUNTIFS('United Data'!$A$3:$A$2150,N$1,'United Data'!$C$3:$C$2150,$A341)&gt;0,1,0)</f>
        <v>0</v>
      </c>
      <c r="O341">
        <f>IF(COUNTIFS('United Data'!$A$3:$A$2150,O$1,'United Data'!$C$3:$C$2150,$A341)&gt;0,1,0)</f>
        <v>0</v>
      </c>
      <c r="P341">
        <f>IF(COUNTIFS('United Data'!$A$3:$A$2150,P$1,'United Data'!$C$3:$C$2150,$A341)&gt;0,1,0)</f>
        <v>0</v>
      </c>
      <c r="Q341">
        <f>IF(COUNTIFS('United Data'!$A$3:$A$2150,Q$1,'United Data'!$C$3:$C$2150,$A341)&gt;0,1,0)</f>
        <v>0</v>
      </c>
      <c r="R341">
        <f>IF(COUNTIFS('United Data'!$A$3:$A$2150,R$1,'United Data'!$C$3:$C$2150,$A341)&gt;0,1,0)</f>
        <v>0</v>
      </c>
      <c r="S341">
        <f t="shared" si="10"/>
        <v>2</v>
      </c>
      <c r="T341">
        <f t="shared" si="11"/>
        <v>2</v>
      </c>
    </row>
    <row r="342" spans="1:20" x14ac:dyDescent="0.2">
      <c r="A342" t="s">
        <v>387</v>
      </c>
      <c r="B342">
        <f>IF(COUNTIFS('United Data'!$A$3:$A$2150,B$1,'United Data'!$C$3:$C$2150,$A342)&gt;0,1,0)</f>
        <v>0</v>
      </c>
      <c r="C342">
        <f>IF(COUNTIFS('United Data'!$A$3:$A$2150,C$1,'United Data'!$C$3:$C$2150,$A342)&gt;0,1,0)</f>
        <v>0</v>
      </c>
      <c r="D342">
        <f>IF(COUNTIFS('United Data'!$A$3:$A$2150,D$1,'United Data'!$C$3:$C$2150,$A342)&gt;0,1,0)</f>
        <v>0</v>
      </c>
      <c r="E342">
        <f>IF(COUNTIFS('United Data'!$A$3:$A$2150,E$1,'United Data'!$C$3:$C$2150,$A342)&gt;0,1,0)</f>
        <v>1</v>
      </c>
      <c r="F342">
        <f>IF(COUNTIFS('United Data'!$A$3:$A$2150,F$1,'United Data'!$C$3:$C$2150,$A342)&gt;0,1,0)</f>
        <v>0</v>
      </c>
      <c r="G342">
        <f>IF(COUNTIFS('United Data'!$A$3:$A$2150,G$1,'United Data'!$C$3:$C$2150,$A342)&gt;0,1,0)</f>
        <v>0</v>
      </c>
      <c r="H342">
        <f>IF(COUNTIFS('United Data'!$A$3:$A$2150,H$1,'United Data'!$C$3:$C$2150,$A342)&gt;0,1,0)</f>
        <v>0</v>
      </c>
      <c r="I342">
        <f>IF(COUNTIFS('United Data'!$A$3:$A$2150,I$1,'United Data'!$C$3:$C$2150,$A342)&gt;0,1,0)</f>
        <v>0</v>
      </c>
      <c r="J342">
        <f>IF(COUNTIFS('United Data'!$A$3:$A$2150,J$1,'United Data'!$C$3:$C$2150,$A342)&gt;0,1,0)</f>
        <v>0</v>
      </c>
      <c r="K342">
        <f>IF(COUNTIFS('United Data'!$A$3:$A$2150,K$1,'United Data'!$C$3:$C$2150,$A342)&gt;0,1,0)</f>
        <v>0</v>
      </c>
      <c r="L342">
        <f>IF(COUNTIFS('United Data'!$A$3:$A$2150,L$1,'United Data'!$C$3:$C$2150,$A342)&gt;0,1,0)</f>
        <v>0</v>
      </c>
      <c r="M342">
        <f>IF(COUNTIFS('United Data'!$A$3:$A$2150,M$1,'United Data'!$C$3:$C$2150,$A342)&gt;0,1,0)</f>
        <v>0</v>
      </c>
      <c r="N342">
        <f>IF(COUNTIFS('United Data'!$A$3:$A$2150,N$1,'United Data'!$C$3:$C$2150,$A342)&gt;0,1,0)</f>
        <v>0</v>
      </c>
      <c r="O342">
        <f>IF(COUNTIFS('United Data'!$A$3:$A$2150,O$1,'United Data'!$C$3:$C$2150,$A342)&gt;0,1,0)</f>
        <v>0</v>
      </c>
      <c r="P342">
        <f>IF(COUNTIFS('United Data'!$A$3:$A$2150,P$1,'United Data'!$C$3:$C$2150,$A342)&gt;0,1,0)</f>
        <v>0</v>
      </c>
      <c r="Q342">
        <f>IF(COUNTIFS('United Data'!$A$3:$A$2150,Q$1,'United Data'!$C$3:$C$2150,$A342)&gt;0,1,0)</f>
        <v>0</v>
      </c>
      <c r="R342">
        <f>IF(COUNTIFS('United Data'!$A$3:$A$2150,R$1,'United Data'!$C$3:$C$2150,$A342)&gt;0,1,0)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388</v>
      </c>
      <c r="B343">
        <f>IF(COUNTIFS('United Data'!$A$3:$A$2150,B$1,'United Data'!$C$3:$C$2150,$A343)&gt;0,1,0)</f>
        <v>0</v>
      </c>
      <c r="C343">
        <f>IF(COUNTIFS('United Data'!$A$3:$A$2150,C$1,'United Data'!$C$3:$C$2150,$A343)&gt;0,1,0)</f>
        <v>0</v>
      </c>
      <c r="D343">
        <f>IF(COUNTIFS('United Data'!$A$3:$A$2150,D$1,'United Data'!$C$3:$C$2150,$A343)&gt;0,1,0)</f>
        <v>0</v>
      </c>
      <c r="E343">
        <f>IF(COUNTIFS('United Data'!$A$3:$A$2150,E$1,'United Data'!$C$3:$C$2150,$A343)&gt;0,1,0)</f>
        <v>1</v>
      </c>
      <c r="F343">
        <f>IF(COUNTIFS('United Data'!$A$3:$A$2150,F$1,'United Data'!$C$3:$C$2150,$A343)&gt;0,1,0)</f>
        <v>1</v>
      </c>
      <c r="G343">
        <f>IF(COUNTIFS('United Data'!$A$3:$A$2150,G$1,'United Data'!$C$3:$C$2150,$A343)&gt;0,1,0)</f>
        <v>1</v>
      </c>
      <c r="H343">
        <f>IF(COUNTIFS('United Data'!$A$3:$A$2150,H$1,'United Data'!$C$3:$C$2150,$A343)&gt;0,1,0)</f>
        <v>1</v>
      </c>
      <c r="I343">
        <f>IF(COUNTIFS('United Data'!$A$3:$A$2150,I$1,'United Data'!$C$3:$C$2150,$A343)&gt;0,1,0)</f>
        <v>1</v>
      </c>
      <c r="J343">
        <f>IF(COUNTIFS('United Data'!$A$3:$A$2150,J$1,'United Data'!$C$3:$C$2150,$A343)&gt;0,1,0)</f>
        <v>1</v>
      </c>
      <c r="K343">
        <f>IF(COUNTIFS('United Data'!$A$3:$A$2150,K$1,'United Data'!$C$3:$C$2150,$A343)&gt;0,1,0)</f>
        <v>1</v>
      </c>
      <c r="L343">
        <f>IF(COUNTIFS('United Data'!$A$3:$A$2150,L$1,'United Data'!$C$3:$C$2150,$A343)&gt;0,1,0)</f>
        <v>1</v>
      </c>
      <c r="M343">
        <f>IF(COUNTIFS('United Data'!$A$3:$A$2150,M$1,'United Data'!$C$3:$C$2150,$A343)&gt;0,1,0)</f>
        <v>1</v>
      </c>
      <c r="N343">
        <f>IF(COUNTIFS('United Data'!$A$3:$A$2150,N$1,'United Data'!$C$3:$C$2150,$A343)&gt;0,1,0)</f>
        <v>1</v>
      </c>
      <c r="O343">
        <f>IF(COUNTIFS('United Data'!$A$3:$A$2150,O$1,'United Data'!$C$3:$C$2150,$A343)&gt;0,1,0)</f>
        <v>1</v>
      </c>
      <c r="P343">
        <f>IF(COUNTIFS('United Data'!$A$3:$A$2150,P$1,'United Data'!$C$3:$C$2150,$A343)&gt;0,1,0)</f>
        <v>1</v>
      </c>
      <c r="Q343">
        <f>IF(COUNTIFS('United Data'!$A$3:$A$2150,Q$1,'United Data'!$C$3:$C$2150,$A343)&gt;0,1,0)</f>
        <v>0</v>
      </c>
      <c r="R343">
        <f>IF(COUNTIFS('United Data'!$A$3:$A$2150,R$1,'United Data'!$C$3:$C$2150,$A343)&gt;0,1,0)</f>
        <v>0</v>
      </c>
      <c r="S343">
        <f t="shared" si="10"/>
        <v>12</v>
      </c>
      <c r="T343">
        <f t="shared" si="11"/>
        <v>1</v>
      </c>
    </row>
    <row r="344" spans="1:20" x14ac:dyDescent="0.2">
      <c r="A344" t="s">
        <v>389</v>
      </c>
      <c r="B344">
        <f>IF(COUNTIFS('United Data'!$A$3:$A$2150,B$1,'United Data'!$C$3:$C$2150,$A344)&gt;0,1,0)</f>
        <v>0</v>
      </c>
      <c r="C344">
        <f>IF(COUNTIFS('United Data'!$A$3:$A$2150,C$1,'United Data'!$C$3:$C$2150,$A344)&gt;0,1,0)</f>
        <v>0</v>
      </c>
      <c r="D344">
        <f>IF(COUNTIFS('United Data'!$A$3:$A$2150,D$1,'United Data'!$C$3:$C$2150,$A344)&gt;0,1,0)</f>
        <v>0</v>
      </c>
      <c r="E344">
        <f>IF(COUNTIFS('United Data'!$A$3:$A$2150,E$1,'United Data'!$C$3:$C$2150,$A344)&gt;0,1,0)</f>
        <v>0</v>
      </c>
      <c r="F344">
        <f>IF(COUNTIFS('United Data'!$A$3:$A$2150,F$1,'United Data'!$C$3:$C$2150,$A344)&gt;0,1,0)</f>
        <v>1</v>
      </c>
      <c r="G344">
        <f>IF(COUNTIFS('United Data'!$A$3:$A$2150,G$1,'United Data'!$C$3:$C$2150,$A344)&gt;0,1,0)</f>
        <v>1</v>
      </c>
      <c r="H344">
        <f>IF(COUNTIFS('United Data'!$A$3:$A$2150,H$1,'United Data'!$C$3:$C$2150,$A344)&gt;0,1,0)</f>
        <v>0</v>
      </c>
      <c r="I344">
        <f>IF(COUNTIFS('United Data'!$A$3:$A$2150,I$1,'United Data'!$C$3:$C$2150,$A344)&gt;0,1,0)</f>
        <v>0</v>
      </c>
      <c r="J344">
        <f>IF(COUNTIFS('United Data'!$A$3:$A$2150,J$1,'United Data'!$C$3:$C$2150,$A344)&gt;0,1,0)</f>
        <v>0</v>
      </c>
      <c r="K344">
        <f>IF(COUNTIFS('United Data'!$A$3:$A$2150,K$1,'United Data'!$C$3:$C$2150,$A344)&gt;0,1,0)</f>
        <v>0</v>
      </c>
      <c r="L344">
        <f>IF(COUNTIFS('United Data'!$A$3:$A$2150,L$1,'United Data'!$C$3:$C$2150,$A344)&gt;0,1,0)</f>
        <v>0</v>
      </c>
      <c r="M344">
        <f>IF(COUNTIFS('United Data'!$A$3:$A$2150,M$1,'United Data'!$C$3:$C$2150,$A344)&gt;0,1,0)</f>
        <v>0</v>
      </c>
      <c r="N344">
        <f>IF(COUNTIFS('United Data'!$A$3:$A$2150,N$1,'United Data'!$C$3:$C$2150,$A344)&gt;0,1,0)</f>
        <v>0</v>
      </c>
      <c r="O344">
        <f>IF(COUNTIFS('United Data'!$A$3:$A$2150,O$1,'United Data'!$C$3:$C$2150,$A344)&gt;0,1,0)</f>
        <v>0</v>
      </c>
      <c r="P344">
        <f>IF(COUNTIFS('United Data'!$A$3:$A$2150,P$1,'United Data'!$C$3:$C$2150,$A344)&gt;0,1,0)</f>
        <v>0</v>
      </c>
      <c r="Q344">
        <f>IF(COUNTIFS('United Data'!$A$3:$A$2150,Q$1,'United Data'!$C$3:$C$2150,$A344)&gt;0,1,0)</f>
        <v>0</v>
      </c>
      <c r="R344">
        <f>IF(COUNTIFS('United Data'!$A$3:$A$2150,R$1,'United Data'!$C$3:$C$2150,$A344)&gt;0,1,0)</f>
        <v>0</v>
      </c>
      <c r="S344">
        <f t="shared" si="10"/>
        <v>2</v>
      </c>
      <c r="T344">
        <f t="shared" si="11"/>
        <v>1</v>
      </c>
    </row>
    <row r="345" spans="1:20" x14ac:dyDescent="0.2">
      <c r="A345" t="s">
        <v>390</v>
      </c>
      <c r="B345">
        <f>IF(COUNTIFS('United Data'!$A$3:$A$2150,B$1,'United Data'!$C$3:$C$2150,$A345)&gt;0,1,0)</f>
        <v>0</v>
      </c>
      <c r="C345">
        <f>IF(COUNTIFS('United Data'!$A$3:$A$2150,C$1,'United Data'!$C$3:$C$2150,$A345)&gt;0,1,0)</f>
        <v>0</v>
      </c>
      <c r="D345">
        <f>IF(COUNTIFS('United Data'!$A$3:$A$2150,D$1,'United Data'!$C$3:$C$2150,$A345)&gt;0,1,0)</f>
        <v>0</v>
      </c>
      <c r="E345">
        <f>IF(COUNTIFS('United Data'!$A$3:$A$2150,E$1,'United Data'!$C$3:$C$2150,$A345)&gt;0,1,0)</f>
        <v>0</v>
      </c>
      <c r="F345">
        <f>IF(COUNTIFS('United Data'!$A$3:$A$2150,F$1,'United Data'!$C$3:$C$2150,$A345)&gt;0,1,0)</f>
        <v>1</v>
      </c>
      <c r="G345">
        <f>IF(COUNTIFS('United Data'!$A$3:$A$2150,G$1,'United Data'!$C$3:$C$2150,$A345)&gt;0,1,0)</f>
        <v>0</v>
      </c>
      <c r="H345">
        <f>IF(COUNTIFS('United Data'!$A$3:$A$2150,H$1,'United Data'!$C$3:$C$2150,$A345)&gt;0,1,0)</f>
        <v>0</v>
      </c>
      <c r="I345">
        <f>IF(COUNTIFS('United Data'!$A$3:$A$2150,I$1,'United Data'!$C$3:$C$2150,$A345)&gt;0,1,0)</f>
        <v>0</v>
      </c>
      <c r="J345">
        <f>IF(COUNTIFS('United Data'!$A$3:$A$2150,J$1,'United Data'!$C$3:$C$2150,$A345)&gt;0,1,0)</f>
        <v>0</v>
      </c>
      <c r="K345">
        <f>IF(COUNTIFS('United Data'!$A$3:$A$2150,K$1,'United Data'!$C$3:$C$2150,$A345)&gt;0,1,0)</f>
        <v>0</v>
      </c>
      <c r="L345">
        <f>IF(COUNTIFS('United Data'!$A$3:$A$2150,L$1,'United Data'!$C$3:$C$2150,$A345)&gt;0,1,0)</f>
        <v>0</v>
      </c>
      <c r="M345">
        <f>IF(COUNTIFS('United Data'!$A$3:$A$2150,M$1,'United Data'!$C$3:$C$2150,$A345)&gt;0,1,0)</f>
        <v>0</v>
      </c>
      <c r="N345">
        <f>IF(COUNTIFS('United Data'!$A$3:$A$2150,N$1,'United Data'!$C$3:$C$2150,$A345)&gt;0,1,0)</f>
        <v>0</v>
      </c>
      <c r="O345">
        <f>IF(COUNTIFS('United Data'!$A$3:$A$2150,O$1,'United Data'!$C$3:$C$2150,$A345)&gt;0,1,0)</f>
        <v>0</v>
      </c>
      <c r="P345">
        <f>IF(COUNTIFS('United Data'!$A$3:$A$2150,P$1,'United Data'!$C$3:$C$2150,$A345)&gt;0,1,0)</f>
        <v>0</v>
      </c>
      <c r="Q345">
        <f>IF(COUNTIFS('United Data'!$A$3:$A$2150,Q$1,'United Data'!$C$3:$C$2150,$A345)&gt;0,1,0)</f>
        <v>0</v>
      </c>
      <c r="R345">
        <f>IF(COUNTIFS('United Data'!$A$3:$A$2150,R$1,'United Data'!$C$3:$C$2150,$A345)&gt;0,1,0)</f>
        <v>0</v>
      </c>
      <c r="S345">
        <f t="shared" si="10"/>
        <v>1</v>
      </c>
      <c r="T345">
        <f t="shared" si="11"/>
        <v>1</v>
      </c>
    </row>
    <row r="346" spans="1:20" x14ac:dyDescent="0.2">
      <c r="A346" t="s">
        <v>391</v>
      </c>
      <c r="B346">
        <f>IF(COUNTIFS('United Data'!$A$3:$A$2150,B$1,'United Data'!$C$3:$C$2150,$A346)&gt;0,1,0)</f>
        <v>0</v>
      </c>
      <c r="C346">
        <f>IF(COUNTIFS('United Data'!$A$3:$A$2150,C$1,'United Data'!$C$3:$C$2150,$A346)&gt;0,1,0)</f>
        <v>0</v>
      </c>
      <c r="D346">
        <f>IF(COUNTIFS('United Data'!$A$3:$A$2150,D$1,'United Data'!$C$3:$C$2150,$A346)&gt;0,1,0)</f>
        <v>0</v>
      </c>
      <c r="E346">
        <f>IF(COUNTIFS('United Data'!$A$3:$A$2150,E$1,'United Data'!$C$3:$C$2150,$A346)&gt;0,1,0)</f>
        <v>0</v>
      </c>
      <c r="F346">
        <f>IF(COUNTIFS('United Data'!$A$3:$A$2150,F$1,'United Data'!$C$3:$C$2150,$A346)&gt;0,1,0)</f>
        <v>1</v>
      </c>
      <c r="G346">
        <f>IF(COUNTIFS('United Data'!$A$3:$A$2150,G$1,'United Data'!$C$3:$C$2150,$A346)&gt;0,1,0)</f>
        <v>0</v>
      </c>
      <c r="H346">
        <f>IF(COUNTIFS('United Data'!$A$3:$A$2150,H$1,'United Data'!$C$3:$C$2150,$A346)&gt;0,1,0)</f>
        <v>1</v>
      </c>
      <c r="I346">
        <f>IF(COUNTIFS('United Data'!$A$3:$A$2150,I$1,'United Data'!$C$3:$C$2150,$A346)&gt;0,1,0)</f>
        <v>1</v>
      </c>
      <c r="J346">
        <f>IF(COUNTIFS('United Data'!$A$3:$A$2150,J$1,'United Data'!$C$3:$C$2150,$A346)&gt;0,1,0)</f>
        <v>1</v>
      </c>
      <c r="K346">
        <f>IF(COUNTIFS('United Data'!$A$3:$A$2150,K$1,'United Data'!$C$3:$C$2150,$A346)&gt;0,1,0)</f>
        <v>0</v>
      </c>
      <c r="L346">
        <f>IF(COUNTIFS('United Data'!$A$3:$A$2150,L$1,'United Data'!$C$3:$C$2150,$A346)&gt;0,1,0)</f>
        <v>0</v>
      </c>
      <c r="M346">
        <f>IF(COUNTIFS('United Data'!$A$3:$A$2150,M$1,'United Data'!$C$3:$C$2150,$A346)&gt;0,1,0)</f>
        <v>0</v>
      </c>
      <c r="N346">
        <f>IF(COUNTIFS('United Data'!$A$3:$A$2150,N$1,'United Data'!$C$3:$C$2150,$A346)&gt;0,1,0)</f>
        <v>0</v>
      </c>
      <c r="O346">
        <f>IF(COUNTIFS('United Data'!$A$3:$A$2150,O$1,'United Data'!$C$3:$C$2150,$A346)&gt;0,1,0)</f>
        <v>0</v>
      </c>
      <c r="P346">
        <f>IF(COUNTIFS('United Data'!$A$3:$A$2150,P$1,'United Data'!$C$3:$C$2150,$A346)&gt;0,1,0)</f>
        <v>0</v>
      </c>
      <c r="Q346">
        <f>IF(COUNTIFS('United Data'!$A$3:$A$2150,Q$1,'United Data'!$C$3:$C$2150,$A346)&gt;0,1,0)</f>
        <v>0</v>
      </c>
      <c r="R346">
        <f>IF(COUNTIFS('United Data'!$A$3:$A$2150,R$1,'United Data'!$C$3:$C$2150,$A346)&gt;0,1,0)</f>
        <v>0</v>
      </c>
      <c r="S346">
        <f t="shared" si="10"/>
        <v>4</v>
      </c>
      <c r="T346">
        <f t="shared" si="11"/>
        <v>2</v>
      </c>
    </row>
    <row r="347" spans="1:20" x14ac:dyDescent="0.2">
      <c r="A347" t="s">
        <v>392</v>
      </c>
      <c r="B347">
        <f>IF(COUNTIFS('United Data'!$A$3:$A$2150,B$1,'United Data'!$C$3:$C$2150,$A347)&gt;0,1,0)</f>
        <v>0</v>
      </c>
      <c r="C347">
        <f>IF(COUNTIFS('United Data'!$A$3:$A$2150,C$1,'United Data'!$C$3:$C$2150,$A347)&gt;0,1,0)</f>
        <v>0</v>
      </c>
      <c r="D347">
        <f>IF(COUNTIFS('United Data'!$A$3:$A$2150,D$1,'United Data'!$C$3:$C$2150,$A347)&gt;0,1,0)</f>
        <v>0</v>
      </c>
      <c r="E347">
        <f>IF(COUNTIFS('United Data'!$A$3:$A$2150,E$1,'United Data'!$C$3:$C$2150,$A347)&gt;0,1,0)</f>
        <v>0</v>
      </c>
      <c r="F347">
        <f>IF(COUNTIFS('United Data'!$A$3:$A$2150,F$1,'United Data'!$C$3:$C$2150,$A347)&gt;0,1,0)</f>
        <v>1</v>
      </c>
      <c r="G347">
        <f>IF(COUNTIFS('United Data'!$A$3:$A$2150,G$1,'United Data'!$C$3:$C$2150,$A347)&gt;0,1,0)</f>
        <v>0</v>
      </c>
      <c r="H347">
        <f>IF(COUNTIFS('United Data'!$A$3:$A$2150,H$1,'United Data'!$C$3:$C$2150,$A347)&gt;0,1,0)</f>
        <v>0</v>
      </c>
      <c r="I347">
        <f>IF(COUNTIFS('United Data'!$A$3:$A$2150,I$1,'United Data'!$C$3:$C$2150,$A347)&gt;0,1,0)</f>
        <v>0</v>
      </c>
      <c r="J347">
        <f>IF(COUNTIFS('United Data'!$A$3:$A$2150,J$1,'United Data'!$C$3:$C$2150,$A347)&gt;0,1,0)</f>
        <v>0</v>
      </c>
      <c r="K347">
        <f>IF(COUNTIFS('United Data'!$A$3:$A$2150,K$1,'United Data'!$C$3:$C$2150,$A347)&gt;0,1,0)</f>
        <v>0</v>
      </c>
      <c r="L347">
        <f>IF(COUNTIFS('United Data'!$A$3:$A$2150,L$1,'United Data'!$C$3:$C$2150,$A347)&gt;0,1,0)</f>
        <v>0</v>
      </c>
      <c r="M347">
        <f>IF(COUNTIFS('United Data'!$A$3:$A$2150,M$1,'United Data'!$C$3:$C$2150,$A347)&gt;0,1,0)</f>
        <v>0</v>
      </c>
      <c r="N347">
        <f>IF(COUNTIFS('United Data'!$A$3:$A$2150,N$1,'United Data'!$C$3:$C$2150,$A347)&gt;0,1,0)</f>
        <v>0</v>
      </c>
      <c r="O347">
        <f>IF(COUNTIFS('United Data'!$A$3:$A$2150,O$1,'United Data'!$C$3:$C$2150,$A347)&gt;0,1,0)</f>
        <v>0</v>
      </c>
      <c r="P347">
        <f>IF(COUNTIFS('United Data'!$A$3:$A$2150,P$1,'United Data'!$C$3:$C$2150,$A347)&gt;0,1,0)</f>
        <v>0</v>
      </c>
      <c r="Q347">
        <f>IF(COUNTIFS('United Data'!$A$3:$A$2150,Q$1,'United Data'!$C$3:$C$2150,$A347)&gt;0,1,0)</f>
        <v>0</v>
      </c>
      <c r="R347">
        <f>IF(COUNTIFS('United Data'!$A$3:$A$2150,R$1,'United Data'!$C$3:$C$2150,$A347)&gt;0,1,0)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393</v>
      </c>
      <c r="B348">
        <f>IF(COUNTIFS('United Data'!$A$3:$A$2150,B$1,'United Data'!$C$3:$C$2150,$A348)&gt;0,1,0)</f>
        <v>0</v>
      </c>
      <c r="C348">
        <f>IF(COUNTIFS('United Data'!$A$3:$A$2150,C$1,'United Data'!$C$3:$C$2150,$A348)&gt;0,1,0)</f>
        <v>0</v>
      </c>
      <c r="D348">
        <f>IF(COUNTIFS('United Data'!$A$3:$A$2150,D$1,'United Data'!$C$3:$C$2150,$A348)&gt;0,1,0)</f>
        <v>0</v>
      </c>
      <c r="E348">
        <f>IF(COUNTIFS('United Data'!$A$3:$A$2150,E$1,'United Data'!$C$3:$C$2150,$A348)&gt;0,1,0)</f>
        <v>0</v>
      </c>
      <c r="F348">
        <f>IF(COUNTIFS('United Data'!$A$3:$A$2150,F$1,'United Data'!$C$3:$C$2150,$A348)&gt;0,1,0)</f>
        <v>1</v>
      </c>
      <c r="G348">
        <f>IF(COUNTIFS('United Data'!$A$3:$A$2150,G$1,'United Data'!$C$3:$C$2150,$A348)&gt;0,1,0)</f>
        <v>0</v>
      </c>
      <c r="H348">
        <f>IF(COUNTIFS('United Data'!$A$3:$A$2150,H$1,'United Data'!$C$3:$C$2150,$A348)&gt;0,1,0)</f>
        <v>0</v>
      </c>
      <c r="I348">
        <f>IF(COUNTIFS('United Data'!$A$3:$A$2150,I$1,'United Data'!$C$3:$C$2150,$A348)&gt;0,1,0)</f>
        <v>0</v>
      </c>
      <c r="J348">
        <f>IF(COUNTIFS('United Data'!$A$3:$A$2150,J$1,'United Data'!$C$3:$C$2150,$A348)&gt;0,1,0)</f>
        <v>0</v>
      </c>
      <c r="K348">
        <f>IF(COUNTIFS('United Data'!$A$3:$A$2150,K$1,'United Data'!$C$3:$C$2150,$A348)&gt;0,1,0)</f>
        <v>0</v>
      </c>
      <c r="L348">
        <f>IF(COUNTIFS('United Data'!$A$3:$A$2150,L$1,'United Data'!$C$3:$C$2150,$A348)&gt;0,1,0)</f>
        <v>0</v>
      </c>
      <c r="M348">
        <f>IF(COUNTIFS('United Data'!$A$3:$A$2150,M$1,'United Data'!$C$3:$C$2150,$A348)&gt;0,1,0)</f>
        <v>0</v>
      </c>
      <c r="N348">
        <f>IF(COUNTIFS('United Data'!$A$3:$A$2150,N$1,'United Data'!$C$3:$C$2150,$A348)&gt;0,1,0)</f>
        <v>0</v>
      </c>
      <c r="O348">
        <f>IF(COUNTIFS('United Data'!$A$3:$A$2150,O$1,'United Data'!$C$3:$C$2150,$A348)&gt;0,1,0)</f>
        <v>0</v>
      </c>
      <c r="P348">
        <f>IF(COUNTIFS('United Data'!$A$3:$A$2150,P$1,'United Data'!$C$3:$C$2150,$A348)&gt;0,1,0)</f>
        <v>0</v>
      </c>
      <c r="Q348">
        <f>IF(COUNTIFS('United Data'!$A$3:$A$2150,Q$1,'United Data'!$C$3:$C$2150,$A348)&gt;0,1,0)</f>
        <v>0</v>
      </c>
      <c r="R348">
        <f>IF(COUNTIFS('United Data'!$A$3:$A$2150,R$1,'United Data'!$C$3:$C$2150,$A348)&gt;0,1,0)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394</v>
      </c>
      <c r="B349">
        <f>IF(COUNTIFS('United Data'!$A$3:$A$2150,B$1,'United Data'!$C$3:$C$2150,$A349)&gt;0,1,0)</f>
        <v>0</v>
      </c>
      <c r="C349">
        <f>IF(COUNTIFS('United Data'!$A$3:$A$2150,C$1,'United Data'!$C$3:$C$2150,$A349)&gt;0,1,0)</f>
        <v>0</v>
      </c>
      <c r="D349">
        <f>IF(COUNTIFS('United Data'!$A$3:$A$2150,D$1,'United Data'!$C$3:$C$2150,$A349)&gt;0,1,0)</f>
        <v>0</v>
      </c>
      <c r="E349">
        <f>IF(COUNTIFS('United Data'!$A$3:$A$2150,E$1,'United Data'!$C$3:$C$2150,$A349)&gt;0,1,0)</f>
        <v>1</v>
      </c>
      <c r="F349">
        <f>IF(COUNTIFS('United Data'!$A$3:$A$2150,F$1,'United Data'!$C$3:$C$2150,$A349)&gt;0,1,0)</f>
        <v>1</v>
      </c>
      <c r="G349">
        <f>IF(COUNTIFS('United Data'!$A$3:$A$2150,G$1,'United Data'!$C$3:$C$2150,$A349)&gt;0,1,0)</f>
        <v>1</v>
      </c>
      <c r="H349">
        <f>IF(COUNTIFS('United Data'!$A$3:$A$2150,H$1,'United Data'!$C$3:$C$2150,$A349)&gt;0,1,0)</f>
        <v>0</v>
      </c>
      <c r="I349">
        <f>IF(COUNTIFS('United Data'!$A$3:$A$2150,I$1,'United Data'!$C$3:$C$2150,$A349)&gt;0,1,0)</f>
        <v>0</v>
      </c>
      <c r="J349">
        <f>IF(COUNTIFS('United Data'!$A$3:$A$2150,J$1,'United Data'!$C$3:$C$2150,$A349)&gt;0,1,0)</f>
        <v>0</v>
      </c>
      <c r="K349">
        <f>IF(COUNTIFS('United Data'!$A$3:$A$2150,K$1,'United Data'!$C$3:$C$2150,$A349)&gt;0,1,0)</f>
        <v>0</v>
      </c>
      <c r="L349">
        <f>IF(COUNTIFS('United Data'!$A$3:$A$2150,L$1,'United Data'!$C$3:$C$2150,$A349)&gt;0,1,0)</f>
        <v>0</v>
      </c>
      <c r="M349">
        <f>IF(COUNTIFS('United Data'!$A$3:$A$2150,M$1,'United Data'!$C$3:$C$2150,$A349)&gt;0,1,0)</f>
        <v>0</v>
      </c>
      <c r="N349">
        <f>IF(COUNTIFS('United Data'!$A$3:$A$2150,N$1,'United Data'!$C$3:$C$2150,$A349)&gt;0,1,0)</f>
        <v>0</v>
      </c>
      <c r="O349">
        <f>IF(COUNTIFS('United Data'!$A$3:$A$2150,O$1,'United Data'!$C$3:$C$2150,$A349)&gt;0,1,0)</f>
        <v>0</v>
      </c>
      <c r="P349">
        <f>IF(COUNTIFS('United Data'!$A$3:$A$2150,P$1,'United Data'!$C$3:$C$2150,$A349)&gt;0,1,0)</f>
        <v>0</v>
      </c>
      <c r="Q349">
        <f>IF(COUNTIFS('United Data'!$A$3:$A$2150,Q$1,'United Data'!$C$3:$C$2150,$A349)&gt;0,1,0)</f>
        <v>0</v>
      </c>
      <c r="R349">
        <f>IF(COUNTIFS('United Data'!$A$3:$A$2150,R$1,'United Data'!$C$3:$C$2150,$A349)&gt;0,1,0)</f>
        <v>0</v>
      </c>
      <c r="S349">
        <f t="shared" si="10"/>
        <v>3</v>
      </c>
      <c r="T349">
        <f t="shared" si="11"/>
        <v>1</v>
      </c>
    </row>
    <row r="350" spans="1:20" x14ac:dyDescent="0.2">
      <c r="A350" t="s">
        <v>395</v>
      </c>
      <c r="B350">
        <f>IF(COUNTIFS('United Data'!$A$3:$A$2150,B$1,'United Data'!$C$3:$C$2150,$A350)&gt;0,1,0)</f>
        <v>0</v>
      </c>
      <c r="C350">
        <f>IF(COUNTIFS('United Data'!$A$3:$A$2150,C$1,'United Data'!$C$3:$C$2150,$A350)&gt;0,1,0)</f>
        <v>0</v>
      </c>
      <c r="D350">
        <f>IF(COUNTIFS('United Data'!$A$3:$A$2150,D$1,'United Data'!$C$3:$C$2150,$A350)&gt;0,1,0)</f>
        <v>0</v>
      </c>
      <c r="E350">
        <f>IF(COUNTIFS('United Data'!$A$3:$A$2150,E$1,'United Data'!$C$3:$C$2150,$A350)&gt;0,1,0)</f>
        <v>0</v>
      </c>
      <c r="F350">
        <f>IF(COUNTIFS('United Data'!$A$3:$A$2150,F$1,'United Data'!$C$3:$C$2150,$A350)&gt;0,1,0)</f>
        <v>0</v>
      </c>
      <c r="G350">
        <f>IF(COUNTIFS('United Data'!$A$3:$A$2150,G$1,'United Data'!$C$3:$C$2150,$A350)&gt;0,1,0)</f>
        <v>1</v>
      </c>
      <c r="H350">
        <f>IF(COUNTIFS('United Data'!$A$3:$A$2150,H$1,'United Data'!$C$3:$C$2150,$A350)&gt;0,1,0)</f>
        <v>0</v>
      </c>
      <c r="I350">
        <f>IF(COUNTIFS('United Data'!$A$3:$A$2150,I$1,'United Data'!$C$3:$C$2150,$A350)&gt;0,1,0)</f>
        <v>0</v>
      </c>
      <c r="J350">
        <f>IF(COUNTIFS('United Data'!$A$3:$A$2150,J$1,'United Data'!$C$3:$C$2150,$A350)&gt;0,1,0)</f>
        <v>0</v>
      </c>
      <c r="K350">
        <f>IF(COUNTIFS('United Data'!$A$3:$A$2150,K$1,'United Data'!$C$3:$C$2150,$A350)&gt;0,1,0)</f>
        <v>0</v>
      </c>
      <c r="L350">
        <f>IF(COUNTIFS('United Data'!$A$3:$A$2150,L$1,'United Data'!$C$3:$C$2150,$A350)&gt;0,1,0)</f>
        <v>0</v>
      </c>
      <c r="M350">
        <f>IF(COUNTIFS('United Data'!$A$3:$A$2150,M$1,'United Data'!$C$3:$C$2150,$A350)&gt;0,1,0)</f>
        <v>0</v>
      </c>
      <c r="N350">
        <f>IF(COUNTIFS('United Data'!$A$3:$A$2150,N$1,'United Data'!$C$3:$C$2150,$A350)&gt;0,1,0)</f>
        <v>0</v>
      </c>
      <c r="O350">
        <f>IF(COUNTIFS('United Data'!$A$3:$A$2150,O$1,'United Data'!$C$3:$C$2150,$A350)&gt;0,1,0)</f>
        <v>0</v>
      </c>
      <c r="P350">
        <f>IF(COUNTIFS('United Data'!$A$3:$A$2150,P$1,'United Data'!$C$3:$C$2150,$A350)&gt;0,1,0)</f>
        <v>0</v>
      </c>
      <c r="Q350">
        <f>IF(COUNTIFS('United Data'!$A$3:$A$2150,Q$1,'United Data'!$C$3:$C$2150,$A350)&gt;0,1,0)</f>
        <v>0</v>
      </c>
      <c r="R350">
        <f>IF(COUNTIFS('United Data'!$A$3:$A$2150,R$1,'United Data'!$C$3:$C$2150,$A350)&gt;0,1,0)</f>
        <v>0</v>
      </c>
      <c r="S350">
        <f t="shared" si="10"/>
        <v>1</v>
      </c>
      <c r="T350">
        <f t="shared" si="11"/>
        <v>1</v>
      </c>
    </row>
    <row r="351" spans="1:20" x14ac:dyDescent="0.2">
      <c r="A351" t="s">
        <v>396</v>
      </c>
      <c r="B351">
        <f>IF(COUNTIFS('United Data'!$A$3:$A$2150,B$1,'United Data'!$C$3:$C$2150,$A351)&gt;0,1,0)</f>
        <v>0</v>
      </c>
      <c r="C351">
        <f>IF(COUNTIFS('United Data'!$A$3:$A$2150,C$1,'United Data'!$C$3:$C$2150,$A351)&gt;0,1,0)</f>
        <v>0</v>
      </c>
      <c r="D351">
        <f>IF(COUNTIFS('United Data'!$A$3:$A$2150,D$1,'United Data'!$C$3:$C$2150,$A351)&gt;0,1,0)</f>
        <v>0</v>
      </c>
      <c r="E351">
        <f>IF(COUNTIFS('United Data'!$A$3:$A$2150,E$1,'United Data'!$C$3:$C$2150,$A351)&gt;0,1,0)</f>
        <v>0</v>
      </c>
      <c r="F351">
        <f>IF(COUNTIFS('United Data'!$A$3:$A$2150,F$1,'United Data'!$C$3:$C$2150,$A351)&gt;0,1,0)</f>
        <v>0</v>
      </c>
      <c r="G351">
        <f>IF(COUNTIFS('United Data'!$A$3:$A$2150,G$1,'United Data'!$C$3:$C$2150,$A351)&gt;0,1,0)</f>
        <v>1</v>
      </c>
      <c r="H351">
        <f>IF(COUNTIFS('United Data'!$A$3:$A$2150,H$1,'United Data'!$C$3:$C$2150,$A351)&gt;0,1,0)</f>
        <v>0</v>
      </c>
      <c r="I351">
        <f>IF(COUNTIFS('United Data'!$A$3:$A$2150,I$1,'United Data'!$C$3:$C$2150,$A351)&gt;0,1,0)</f>
        <v>0</v>
      </c>
      <c r="J351">
        <f>IF(COUNTIFS('United Data'!$A$3:$A$2150,J$1,'United Data'!$C$3:$C$2150,$A351)&gt;0,1,0)</f>
        <v>0</v>
      </c>
      <c r="K351">
        <f>IF(COUNTIFS('United Data'!$A$3:$A$2150,K$1,'United Data'!$C$3:$C$2150,$A351)&gt;0,1,0)</f>
        <v>0</v>
      </c>
      <c r="L351">
        <f>IF(COUNTIFS('United Data'!$A$3:$A$2150,L$1,'United Data'!$C$3:$C$2150,$A351)&gt;0,1,0)</f>
        <v>0</v>
      </c>
      <c r="M351">
        <f>IF(COUNTIFS('United Data'!$A$3:$A$2150,M$1,'United Data'!$C$3:$C$2150,$A351)&gt;0,1,0)</f>
        <v>0</v>
      </c>
      <c r="N351">
        <f>IF(COUNTIFS('United Data'!$A$3:$A$2150,N$1,'United Data'!$C$3:$C$2150,$A351)&gt;0,1,0)</f>
        <v>0</v>
      </c>
      <c r="O351">
        <f>IF(COUNTIFS('United Data'!$A$3:$A$2150,O$1,'United Data'!$C$3:$C$2150,$A351)&gt;0,1,0)</f>
        <v>0</v>
      </c>
      <c r="P351">
        <f>IF(COUNTIFS('United Data'!$A$3:$A$2150,P$1,'United Data'!$C$3:$C$2150,$A351)&gt;0,1,0)</f>
        <v>0</v>
      </c>
      <c r="Q351">
        <f>IF(COUNTIFS('United Data'!$A$3:$A$2150,Q$1,'United Data'!$C$3:$C$2150,$A351)&gt;0,1,0)</f>
        <v>0</v>
      </c>
      <c r="R351">
        <f>IF(COUNTIFS('United Data'!$A$3:$A$2150,R$1,'United Data'!$C$3:$C$2150,$A351)&gt;0,1,0)</f>
        <v>0</v>
      </c>
      <c r="S351">
        <f t="shared" si="10"/>
        <v>1</v>
      </c>
      <c r="T351">
        <f t="shared" si="11"/>
        <v>1</v>
      </c>
    </row>
    <row r="352" spans="1:20" x14ac:dyDescent="0.2">
      <c r="A352" t="s">
        <v>397</v>
      </c>
      <c r="B352">
        <f>IF(COUNTIFS('United Data'!$A$3:$A$2150,B$1,'United Data'!$C$3:$C$2150,$A352)&gt;0,1,0)</f>
        <v>0</v>
      </c>
      <c r="C352">
        <f>IF(COUNTIFS('United Data'!$A$3:$A$2150,C$1,'United Data'!$C$3:$C$2150,$A352)&gt;0,1,0)</f>
        <v>0</v>
      </c>
      <c r="D352">
        <f>IF(COUNTIFS('United Data'!$A$3:$A$2150,D$1,'United Data'!$C$3:$C$2150,$A352)&gt;0,1,0)</f>
        <v>0</v>
      </c>
      <c r="E352">
        <f>IF(COUNTIFS('United Data'!$A$3:$A$2150,E$1,'United Data'!$C$3:$C$2150,$A352)&gt;0,1,0)</f>
        <v>0</v>
      </c>
      <c r="F352">
        <f>IF(COUNTIFS('United Data'!$A$3:$A$2150,F$1,'United Data'!$C$3:$C$2150,$A352)&gt;0,1,0)</f>
        <v>0</v>
      </c>
      <c r="G352">
        <f>IF(COUNTIFS('United Data'!$A$3:$A$2150,G$1,'United Data'!$C$3:$C$2150,$A352)&gt;0,1,0)</f>
        <v>1</v>
      </c>
      <c r="H352">
        <f>IF(COUNTIFS('United Data'!$A$3:$A$2150,H$1,'United Data'!$C$3:$C$2150,$A352)&gt;0,1,0)</f>
        <v>0</v>
      </c>
      <c r="I352">
        <f>IF(COUNTIFS('United Data'!$A$3:$A$2150,I$1,'United Data'!$C$3:$C$2150,$A352)&gt;0,1,0)</f>
        <v>0</v>
      </c>
      <c r="J352">
        <f>IF(COUNTIFS('United Data'!$A$3:$A$2150,J$1,'United Data'!$C$3:$C$2150,$A352)&gt;0,1,0)</f>
        <v>0</v>
      </c>
      <c r="K352">
        <f>IF(COUNTIFS('United Data'!$A$3:$A$2150,K$1,'United Data'!$C$3:$C$2150,$A352)&gt;0,1,0)</f>
        <v>0</v>
      </c>
      <c r="L352">
        <f>IF(COUNTIFS('United Data'!$A$3:$A$2150,L$1,'United Data'!$C$3:$C$2150,$A352)&gt;0,1,0)</f>
        <v>0</v>
      </c>
      <c r="M352">
        <f>IF(COUNTIFS('United Data'!$A$3:$A$2150,M$1,'United Data'!$C$3:$C$2150,$A352)&gt;0,1,0)</f>
        <v>0</v>
      </c>
      <c r="N352">
        <f>IF(COUNTIFS('United Data'!$A$3:$A$2150,N$1,'United Data'!$C$3:$C$2150,$A352)&gt;0,1,0)</f>
        <v>0</v>
      </c>
      <c r="O352">
        <f>IF(COUNTIFS('United Data'!$A$3:$A$2150,O$1,'United Data'!$C$3:$C$2150,$A352)&gt;0,1,0)</f>
        <v>0</v>
      </c>
      <c r="P352">
        <f>IF(COUNTIFS('United Data'!$A$3:$A$2150,P$1,'United Data'!$C$3:$C$2150,$A352)&gt;0,1,0)</f>
        <v>0</v>
      </c>
      <c r="Q352">
        <f>IF(COUNTIFS('United Data'!$A$3:$A$2150,Q$1,'United Data'!$C$3:$C$2150,$A352)&gt;0,1,0)</f>
        <v>0</v>
      </c>
      <c r="R352">
        <f>IF(COUNTIFS('United Data'!$A$3:$A$2150,R$1,'United Data'!$C$3:$C$2150,$A352)&gt;0,1,0)</f>
        <v>0</v>
      </c>
      <c r="S352">
        <f t="shared" si="10"/>
        <v>1</v>
      </c>
      <c r="T352">
        <f t="shared" si="11"/>
        <v>1</v>
      </c>
    </row>
    <row r="353" spans="1:20" x14ac:dyDescent="0.2">
      <c r="A353" t="s">
        <v>398</v>
      </c>
      <c r="B353">
        <f>IF(COUNTIFS('United Data'!$A$3:$A$2150,B$1,'United Data'!$C$3:$C$2150,$A353)&gt;0,1,0)</f>
        <v>0</v>
      </c>
      <c r="C353">
        <f>IF(COUNTIFS('United Data'!$A$3:$A$2150,C$1,'United Data'!$C$3:$C$2150,$A353)&gt;0,1,0)</f>
        <v>0</v>
      </c>
      <c r="D353">
        <f>IF(COUNTIFS('United Data'!$A$3:$A$2150,D$1,'United Data'!$C$3:$C$2150,$A353)&gt;0,1,0)</f>
        <v>0</v>
      </c>
      <c r="E353">
        <f>IF(COUNTIFS('United Data'!$A$3:$A$2150,E$1,'United Data'!$C$3:$C$2150,$A353)&gt;0,1,0)</f>
        <v>0</v>
      </c>
      <c r="F353">
        <f>IF(COUNTIFS('United Data'!$A$3:$A$2150,F$1,'United Data'!$C$3:$C$2150,$A353)&gt;0,1,0)</f>
        <v>0</v>
      </c>
      <c r="G353">
        <f>IF(COUNTIFS('United Data'!$A$3:$A$2150,G$1,'United Data'!$C$3:$C$2150,$A353)&gt;0,1,0)</f>
        <v>1</v>
      </c>
      <c r="H353">
        <f>IF(COUNTIFS('United Data'!$A$3:$A$2150,H$1,'United Data'!$C$3:$C$2150,$A353)&gt;0,1,0)</f>
        <v>0</v>
      </c>
      <c r="I353">
        <f>IF(COUNTIFS('United Data'!$A$3:$A$2150,I$1,'United Data'!$C$3:$C$2150,$A353)&gt;0,1,0)</f>
        <v>1</v>
      </c>
      <c r="J353">
        <f>IF(COUNTIFS('United Data'!$A$3:$A$2150,J$1,'United Data'!$C$3:$C$2150,$A353)&gt;0,1,0)</f>
        <v>0</v>
      </c>
      <c r="K353">
        <f>IF(COUNTIFS('United Data'!$A$3:$A$2150,K$1,'United Data'!$C$3:$C$2150,$A353)&gt;0,1,0)</f>
        <v>0</v>
      </c>
      <c r="L353">
        <f>IF(COUNTIFS('United Data'!$A$3:$A$2150,L$1,'United Data'!$C$3:$C$2150,$A353)&gt;0,1,0)</f>
        <v>0</v>
      </c>
      <c r="M353">
        <f>IF(COUNTIFS('United Data'!$A$3:$A$2150,M$1,'United Data'!$C$3:$C$2150,$A353)&gt;0,1,0)</f>
        <v>0</v>
      </c>
      <c r="N353">
        <f>IF(COUNTIFS('United Data'!$A$3:$A$2150,N$1,'United Data'!$C$3:$C$2150,$A353)&gt;0,1,0)</f>
        <v>0</v>
      </c>
      <c r="O353">
        <f>IF(COUNTIFS('United Data'!$A$3:$A$2150,O$1,'United Data'!$C$3:$C$2150,$A353)&gt;0,1,0)</f>
        <v>0</v>
      </c>
      <c r="P353">
        <f>IF(COUNTIFS('United Data'!$A$3:$A$2150,P$1,'United Data'!$C$3:$C$2150,$A353)&gt;0,1,0)</f>
        <v>0</v>
      </c>
      <c r="Q353">
        <f>IF(COUNTIFS('United Data'!$A$3:$A$2150,Q$1,'United Data'!$C$3:$C$2150,$A353)&gt;0,1,0)</f>
        <v>0</v>
      </c>
      <c r="R353">
        <f>IF(COUNTIFS('United Data'!$A$3:$A$2150,R$1,'United Data'!$C$3:$C$2150,$A353)&gt;0,1,0)</f>
        <v>0</v>
      </c>
      <c r="S353">
        <f t="shared" si="10"/>
        <v>2</v>
      </c>
      <c r="T353">
        <f t="shared" si="11"/>
        <v>2</v>
      </c>
    </row>
    <row r="354" spans="1:20" x14ac:dyDescent="0.2">
      <c r="A354" t="s">
        <v>399</v>
      </c>
      <c r="B354">
        <f>IF(COUNTIFS('United Data'!$A$3:$A$2150,B$1,'United Data'!$C$3:$C$2150,$A354)&gt;0,1,0)</f>
        <v>0</v>
      </c>
      <c r="C354">
        <f>IF(COUNTIFS('United Data'!$A$3:$A$2150,C$1,'United Data'!$C$3:$C$2150,$A354)&gt;0,1,0)</f>
        <v>0</v>
      </c>
      <c r="D354">
        <f>IF(COUNTIFS('United Data'!$A$3:$A$2150,D$1,'United Data'!$C$3:$C$2150,$A354)&gt;0,1,0)</f>
        <v>0</v>
      </c>
      <c r="E354">
        <f>IF(COUNTIFS('United Data'!$A$3:$A$2150,E$1,'United Data'!$C$3:$C$2150,$A354)&gt;0,1,0)</f>
        <v>0</v>
      </c>
      <c r="F354">
        <f>IF(COUNTIFS('United Data'!$A$3:$A$2150,F$1,'United Data'!$C$3:$C$2150,$A354)&gt;0,1,0)</f>
        <v>0</v>
      </c>
      <c r="G354">
        <f>IF(COUNTIFS('United Data'!$A$3:$A$2150,G$1,'United Data'!$C$3:$C$2150,$A354)&gt;0,1,0)</f>
        <v>0</v>
      </c>
      <c r="H354">
        <f>IF(COUNTIFS('United Data'!$A$3:$A$2150,H$1,'United Data'!$C$3:$C$2150,$A354)&gt;0,1,0)</f>
        <v>1</v>
      </c>
      <c r="I354">
        <f>IF(COUNTIFS('United Data'!$A$3:$A$2150,I$1,'United Data'!$C$3:$C$2150,$A354)&gt;0,1,0)</f>
        <v>1</v>
      </c>
      <c r="J354">
        <f>IF(COUNTIFS('United Data'!$A$3:$A$2150,J$1,'United Data'!$C$3:$C$2150,$A354)&gt;0,1,0)</f>
        <v>0</v>
      </c>
      <c r="K354">
        <f>IF(COUNTIFS('United Data'!$A$3:$A$2150,K$1,'United Data'!$C$3:$C$2150,$A354)&gt;0,1,0)</f>
        <v>0</v>
      </c>
      <c r="L354">
        <f>IF(COUNTIFS('United Data'!$A$3:$A$2150,L$1,'United Data'!$C$3:$C$2150,$A354)&gt;0,1,0)</f>
        <v>0</v>
      </c>
      <c r="M354">
        <f>IF(COUNTIFS('United Data'!$A$3:$A$2150,M$1,'United Data'!$C$3:$C$2150,$A354)&gt;0,1,0)</f>
        <v>0</v>
      </c>
      <c r="N354">
        <f>IF(COUNTIFS('United Data'!$A$3:$A$2150,N$1,'United Data'!$C$3:$C$2150,$A354)&gt;0,1,0)</f>
        <v>0</v>
      </c>
      <c r="O354">
        <f>IF(COUNTIFS('United Data'!$A$3:$A$2150,O$1,'United Data'!$C$3:$C$2150,$A354)&gt;0,1,0)</f>
        <v>0</v>
      </c>
      <c r="P354">
        <f>IF(COUNTIFS('United Data'!$A$3:$A$2150,P$1,'United Data'!$C$3:$C$2150,$A354)&gt;0,1,0)</f>
        <v>0</v>
      </c>
      <c r="Q354">
        <f>IF(COUNTIFS('United Data'!$A$3:$A$2150,Q$1,'United Data'!$C$3:$C$2150,$A354)&gt;0,1,0)</f>
        <v>0</v>
      </c>
      <c r="R354">
        <f>IF(COUNTIFS('United Data'!$A$3:$A$2150,R$1,'United Data'!$C$3:$C$2150,$A354)&gt;0,1,0)</f>
        <v>0</v>
      </c>
      <c r="S354">
        <f t="shared" si="10"/>
        <v>2</v>
      </c>
      <c r="T354">
        <f t="shared" si="11"/>
        <v>1</v>
      </c>
    </row>
    <row r="355" spans="1:20" x14ac:dyDescent="0.2">
      <c r="A355" t="s">
        <v>400</v>
      </c>
      <c r="B355">
        <f>IF(COUNTIFS('United Data'!$A$3:$A$2150,B$1,'United Data'!$C$3:$C$2150,$A355)&gt;0,1,0)</f>
        <v>0</v>
      </c>
      <c r="C355">
        <f>IF(COUNTIFS('United Data'!$A$3:$A$2150,C$1,'United Data'!$C$3:$C$2150,$A355)&gt;0,1,0)</f>
        <v>0</v>
      </c>
      <c r="D355">
        <f>IF(COUNTIFS('United Data'!$A$3:$A$2150,D$1,'United Data'!$C$3:$C$2150,$A355)&gt;0,1,0)</f>
        <v>0</v>
      </c>
      <c r="E355">
        <f>IF(COUNTIFS('United Data'!$A$3:$A$2150,E$1,'United Data'!$C$3:$C$2150,$A355)&gt;0,1,0)</f>
        <v>0</v>
      </c>
      <c r="F355">
        <f>IF(COUNTIFS('United Data'!$A$3:$A$2150,F$1,'United Data'!$C$3:$C$2150,$A355)&gt;0,1,0)</f>
        <v>0</v>
      </c>
      <c r="G355">
        <f>IF(COUNTIFS('United Data'!$A$3:$A$2150,G$1,'United Data'!$C$3:$C$2150,$A355)&gt;0,1,0)</f>
        <v>0</v>
      </c>
      <c r="H355">
        <f>IF(COUNTIFS('United Data'!$A$3:$A$2150,H$1,'United Data'!$C$3:$C$2150,$A355)&gt;0,1,0)</f>
        <v>1</v>
      </c>
      <c r="I355">
        <f>IF(COUNTIFS('United Data'!$A$3:$A$2150,I$1,'United Data'!$C$3:$C$2150,$A355)&gt;0,1,0)</f>
        <v>0</v>
      </c>
      <c r="J355">
        <f>IF(COUNTIFS('United Data'!$A$3:$A$2150,J$1,'United Data'!$C$3:$C$2150,$A355)&gt;0,1,0)</f>
        <v>0</v>
      </c>
      <c r="K355">
        <f>IF(COUNTIFS('United Data'!$A$3:$A$2150,K$1,'United Data'!$C$3:$C$2150,$A355)&gt;0,1,0)</f>
        <v>0</v>
      </c>
      <c r="L355">
        <f>IF(COUNTIFS('United Data'!$A$3:$A$2150,L$1,'United Data'!$C$3:$C$2150,$A355)&gt;0,1,0)</f>
        <v>0</v>
      </c>
      <c r="M355">
        <f>IF(COUNTIFS('United Data'!$A$3:$A$2150,M$1,'United Data'!$C$3:$C$2150,$A355)&gt;0,1,0)</f>
        <v>0</v>
      </c>
      <c r="N355">
        <f>IF(COUNTIFS('United Data'!$A$3:$A$2150,N$1,'United Data'!$C$3:$C$2150,$A355)&gt;0,1,0)</f>
        <v>0</v>
      </c>
      <c r="O355">
        <f>IF(COUNTIFS('United Data'!$A$3:$A$2150,O$1,'United Data'!$C$3:$C$2150,$A355)&gt;0,1,0)</f>
        <v>0</v>
      </c>
      <c r="P355">
        <f>IF(COUNTIFS('United Data'!$A$3:$A$2150,P$1,'United Data'!$C$3:$C$2150,$A355)&gt;0,1,0)</f>
        <v>0</v>
      </c>
      <c r="Q355">
        <f>IF(COUNTIFS('United Data'!$A$3:$A$2150,Q$1,'United Data'!$C$3:$C$2150,$A355)&gt;0,1,0)</f>
        <v>0</v>
      </c>
      <c r="R355">
        <f>IF(COUNTIFS('United Data'!$A$3:$A$2150,R$1,'United Data'!$C$3:$C$2150,$A355)&gt;0,1,0)</f>
        <v>0</v>
      </c>
      <c r="S355">
        <f t="shared" si="10"/>
        <v>1</v>
      </c>
      <c r="T355">
        <f t="shared" si="11"/>
        <v>1</v>
      </c>
    </row>
    <row r="356" spans="1:20" x14ac:dyDescent="0.2">
      <c r="A356" t="s">
        <v>401</v>
      </c>
      <c r="B356">
        <f>IF(COUNTIFS('United Data'!$A$3:$A$2150,B$1,'United Data'!$C$3:$C$2150,$A356)&gt;0,1,0)</f>
        <v>0</v>
      </c>
      <c r="C356">
        <f>IF(COUNTIFS('United Data'!$A$3:$A$2150,C$1,'United Data'!$C$3:$C$2150,$A356)&gt;0,1,0)</f>
        <v>0</v>
      </c>
      <c r="D356">
        <f>IF(COUNTIFS('United Data'!$A$3:$A$2150,D$1,'United Data'!$C$3:$C$2150,$A356)&gt;0,1,0)</f>
        <v>0</v>
      </c>
      <c r="E356">
        <f>IF(COUNTIFS('United Data'!$A$3:$A$2150,E$1,'United Data'!$C$3:$C$2150,$A356)&gt;0,1,0)</f>
        <v>0</v>
      </c>
      <c r="F356">
        <f>IF(COUNTIFS('United Data'!$A$3:$A$2150,F$1,'United Data'!$C$3:$C$2150,$A356)&gt;0,1,0)</f>
        <v>0</v>
      </c>
      <c r="G356">
        <f>IF(COUNTIFS('United Data'!$A$3:$A$2150,G$1,'United Data'!$C$3:$C$2150,$A356)&gt;0,1,0)</f>
        <v>0</v>
      </c>
      <c r="H356">
        <f>IF(COUNTIFS('United Data'!$A$3:$A$2150,H$1,'United Data'!$C$3:$C$2150,$A356)&gt;0,1,0)</f>
        <v>1</v>
      </c>
      <c r="I356">
        <f>IF(COUNTIFS('United Data'!$A$3:$A$2150,I$1,'United Data'!$C$3:$C$2150,$A356)&gt;0,1,0)</f>
        <v>0</v>
      </c>
      <c r="J356">
        <f>IF(COUNTIFS('United Data'!$A$3:$A$2150,J$1,'United Data'!$C$3:$C$2150,$A356)&gt;0,1,0)</f>
        <v>0</v>
      </c>
      <c r="K356">
        <f>IF(COUNTIFS('United Data'!$A$3:$A$2150,K$1,'United Data'!$C$3:$C$2150,$A356)&gt;0,1,0)</f>
        <v>0</v>
      </c>
      <c r="L356">
        <f>IF(COUNTIFS('United Data'!$A$3:$A$2150,L$1,'United Data'!$C$3:$C$2150,$A356)&gt;0,1,0)</f>
        <v>0</v>
      </c>
      <c r="M356">
        <f>IF(COUNTIFS('United Data'!$A$3:$A$2150,M$1,'United Data'!$C$3:$C$2150,$A356)&gt;0,1,0)</f>
        <v>0</v>
      </c>
      <c r="N356">
        <f>IF(COUNTIFS('United Data'!$A$3:$A$2150,N$1,'United Data'!$C$3:$C$2150,$A356)&gt;0,1,0)</f>
        <v>0</v>
      </c>
      <c r="O356">
        <f>IF(COUNTIFS('United Data'!$A$3:$A$2150,O$1,'United Data'!$C$3:$C$2150,$A356)&gt;0,1,0)</f>
        <v>0</v>
      </c>
      <c r="P356">
        <f>IF(COUNTIFS('United Data'!$A$3:$A$2150,P$1,'United Data'!$C$3:$C$2150,$A356)&gt;0,1,0)</f>
        <v>0</v>
      </c>
      <c r="Q356">
        <f>IF(COUNTIFS('United Data'!$A$3:$A$2150,Q$1,'United Data'!$C$3:$C$2150,$A356)&gt;0,1,0)</f>
        <v>0</v>
      </c>
      <c r="R356">
        <f>IF(COUNTIFS('United Data'!$A$3:$A$2150,R$1,'United Data'!$C$3:$C$2150,$A356)&gt;0,1,0)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402</v>
      </c>
      <c r="B357">
        <f>IF(COUNTIFS('United Data'!$A$3:$A$2150,B$1,'United Data'!$C$3:$C$2150,$A357)&gt;0,1,0)</f>
        <v>0</v>
      </c>
      <c r="C357">
        <f>IF(COUNTIFS('United Data'!$A$3:$A$2150,C$1,'United Data'!$C$3:$C$2150,$A357)&gt;0,1,0)</f>
        <v>0</v>
      </c>
      <c r="D357">
        <f>IF(COUNTIFS('United Data'!$A$3:$A$2150,D$1,'United Data'!$C$3:$C$2150,$A357)&gt;0,1,0)</f>
        <v>0</v>
      </c>
      <c r="E357">
        <f>IF(COUNTIFS('United Data'!$A$3:$A$2150,E$1,'United Data'!$C$3:$C$2150,$A357)&gt;0,1,0)</f>
        <v>0</v>
      </c>
      <c r="F357">
        <f>IF(COUNTIFS('United Data'!$A$3:$A$2150,F$1,'United Data'!$C$3:$C$2150,$A357)&gt;0,1,0)</f>
        <v>0</v>
      </c>
      <c r="G357">
        <f>IF(COUNTIFS('United Data'!$A$3:$A$2150,G$1,'United Data'!$C$3:$C$2150,$A357)&gt;0,1,0)</f>
        <v>0</v>
      </c>
      <c r="H357">
        <f>IF(COUNTIFS('United Data'!$A$3:$A$2150,H$1,'United Data'!$C$3:$C$2150,$A357)&gt;0,1,0)</f>
        <v>1</v>
      </c>
      <c r="I357">
        <f>IF(COUNTIFS('United Data'!$A$3:$A$2150,I$1,'United Data'!$C$3:$C$2150,$A357)&gt;0,1,0)</f>
        <v>1</v>
      </c>
      <c r="J357">
        <f>IF(COUNTIFS('United Data'!$A$3:$A$2150,J$1,'United Data'!$C$3:$C$2150,$A357)&gt;0,1,0)</f>
        <v>0</v>
      </c>
      <c r="K357">
        <f>IF(COUNTIFS('United Data'!$A$3:$A$2150,K$1,'United Data'!$C$3:$C$2150,$A357)&gt;0,1,0)</f>
        <v>0</v>
      </c>
      <c r="L357">
        <f>IF(COUNTIFS('United Data'!$A$3:$A$2150,L$1,'United Data'!$C$3:$C$2150,$A357)&gt;0,1,0)</f>
        <v>0</v>
      </c>
      <c r="M357">
        <f>IF(COUNTIFS('United Data'!$A$3:$A$2150,M$1,'United Data'!$C$3:$C$2150,$A357)&gt;0,1,0)</f>
        <v>0</v>
      </c>
      <c r="N357">
        <f>IF(COUNTIFS('United Data'!$A$3:$A$2150,N$1,'United Data'!$C$3:$C$2150,$A357)&gt;0,1,0)</f>
        <v>0</v>
      </c>
      <c r="O357">
        <f>IF(COUNTIFS('United Data'!$A$3:$A$2150,O$1,'United Data'!$C$3:$C$2150,$A357)&gt;0,1,0)</f>
        <v>0</v>
      </c>
      <c r="P357">
        <f>IF(COUNTIFS('United Data'!$A$3:$A$2150,P$1,'United Data'!$C$3:$C$2150,$A357)&gt;0,1,0)</f>
        <v>0</v>
      </c>
      <c r="Q357">
        <f>IF(COUNTIFS('United Data'!$A$3:$A$2150,Q$1,'United Data'!$C$3:$C$2150,$A357)&gt;0,1,0)</f>
        <v>0</v>
      </c>
      <c r="R357">
        <f>IF(COUNTIFS('United Data'!$A$3:$A$2150,R$1,'United Data'!$C$3:$C$2150,$A357)&gt;0,1,0)</f>
        <v>0</v>
      </c>
      <c r="S357">
        <f t="shared" si="10"/>
        <v>2</v>
      </c>
      <c r="T357">
        <f t="shared" si="11"/>
        <v>1</v>
      </c>
    </row>
    <row r="358" spans="1:20" x14ac:dyDescent="0.2">
      <c r="A358" t="s">
        <v>403</v>
      </c>
      <c r="B358">
        <f>IF(COUNTIFS('United Data'!$A$3:$A$2150,B$1,'United Data'!$C$3:$C$2150,$A358)&gt;0,1,0)</f>
        <v>0</v>
      </c>
      <c r="C358">
        <f>IF(COUNTIFS('United Data'!$A$3:$A$2150,C$1,'United Data'!$C$3:$C$2150,$A358)&gt;0,1,0)</f>
        <v>0</v>
      </c>
      <c r="D358">
        <f>IF(COUNTIFS('United Data'!$A$3:$A$2150,D$1,'United Data'!$C$3:$C$2150,$A358)&gt;0,1,0)</f>
        <v>0</v>
      </c>
      <c r="E358">
        <f>IF(COUNTIFS('United Data'!$A$3:$A$2150,E$1,'United Data'!$C$3:$C$2150,$A358)&gt;0,1,0)</f>
        <v>0</v>
      </c>
      <c r="F358">
        <f>IF(COUNTIFS('United Data'!$A$3:$A$2150,F$1,'United Data'!$C$3:$C$2150,$A358)&gt;0,1,0)</f>
        <v>0</v>
      </c>
      <c r="G358">
        <f>IF(COUNTIFS('United Data'!$A$3:$A$2150,G$1,'United Data'!$C$3:$C$2150,$A358)&gt;0,1,0)</f>
        <v>0</v>
      </c>
      <c r="H358">
        <f>IF(COUNTIFS('United Data'!$A$3:$A$2150,H$1,'United Data'!$C$3:$C$2150,$A358)&gt;0,1,0)</f>
        <v>1</v>
      </c>
      <c r="I358">
        <f>IF(COUNTIFS('United Data'!$A$3:$A$2150,I$1,'United Data'!$C$3:$C$2150,$A358)&gt;0,1,0)</f>
        <v>0</v>
      </c>
      <c r="J358">
        <f>IF(COUNTIFS('United Data'!$A$3:$A$2150,J$1,'United Data'!$C$3:$C$2150,$A358)&gt;0,1,0)</f>
        <v>1</v>
      </c>
      <c r="K358">
        <f>IF(COUNTIFS('United Data'!$A$3:$A$2150,K$1,'United Data'!$C$3:$C$2150,$A358)&gt;0,1,0)</f>
        <v>0</v>
      </c>
      <c r="L358">
        <f>IF(COUNTIFS('United Data'!$A$3:$A$2150,L$1,'United Data'!$C$3:$C$2150,$A358)&gt;0,1,0)</f>
        <v>0</v>
      </c>
      <c r="M358">
        <f>IF(COUNTIFS('United Data'!$A$3:$A$2150,M$1,'United Data'!$C$3:$C$2150,$A358)&gt;0,1,0)</f>
        <v>0</v>
      </c>
      <c r="N358">
        <f>IF(COUNTIFS('United Data'!$A$3:$A$2150,N$1,'United Data'!$C$3:$C$2150,$A358)&gt;0,1,0)</f>
        <v>0</v>
      </c>
      <c r="O358">
        <f>IF(COUNTIFS('United Data'!$A$3:$A$2150,O$1,'United Data'!$C$3:$C$2150,$A358)&gt;0,1,0)</f>
        <v>0</v>
      </c>
      <c r="P358">
        <f>IF(COUNTIFS('United Data'!$A$3:$A$2150,P$1,'United Data'!$C$3:$C$2150,$A358)&gt;0,1,0)</f>
        <v>0</v>
      </c>
      <c r="Q358">
        <f>IF(COUNTIFS('United Data'!$A$3:$A$2150,Q$1,'United Data'!$C$3:$C$2150,$A358)&gt;0,1,0)</f>
        <v>0</v>
      </c>
      <c r="R358">
        <f>IF(COUNTIFS('United Data'!$A$3:$A$2150,R$1,'United Data'!$C$3:$C$2150,$A358)&gt;0,1,0)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404</v>
      </c>
      <c r="B359">
        <f>IF(COUNTIFS('United Data'!$A$3:$A$2150,B$1,'United Data'!$C$3:$C$2150,$A359)&gt;0,1,0)</f>
        <v>0</v>
      </c>
      <c r="C359">
        <f>IF(COUNTIFS('United Data'!$A$3:$A$2150,C$1,'United Data'!$C$3:$C$2150,$A359)&gt;0,1,0)</f>
        <v>0</v>
      </c>
      <c r="D359">
        <f>IF(COUNTIFS('United Data'!$A$3:$A$2150,D$1,'United Data'!$C$3:$C$2150,$A359)&gt;0,1,0)</f>
        <v>0</v>
      </c>
      <c r="E359">
        <f>IF(COUNTIFS('United Data'!$A$3:$A$2150,E$1,'United Data'!$C$3:$C$2150,$A359)&gt;0,1,0)</f>
        <v>0</v>
      </c>
      <c r="F359">
        <f>IF(COUNTIFS('United Data'!$A$3:$A$2150,F$1,'United Data'!$C$3:$C$2150,$A359)&gt;0,1,0)</f>
        <v>0</v>
      </c>
      <c r="G359">
        <f>IF(COUNTIFS('United Data'!$A$3:$A$2150,G$1,'United Data'!$C$3:$C$2150,$A359)&gt;0,1,0)</f>
        <v>0</v>
      </c>
      <c r="H359">
        <f>IF(COUNTIFS('United Data'!$A$3:$A$2150,H$1,'United Data'!$C$3:$C$2150,$A359)&gt;0,1,0)</f>
        <v>1</v>
      </c>
      <c r="I359">
        <f>IF(COUNTIFS('United Data'!$A$3:$A$2150,I$1,'United Data'!$C$3:$C$2150,$A359)&gt;0,1,0)</f>
        <v>1</v>
      </c>
      <c r="J359">
        <f>IF(COUNTIFS('United Data'!$A$3:$A$2150,J$1,'United Data'!$C$3:$C$2150,$A359)&gt;0,1,0)</f>
        <v>1</v>
      </c>
      <c r="K359">
        <f>IF(COUNTIFS('United Data'!$A$3:$A$2150,K$1,'United Data'!$C$3:$C$2150,$A359)&gt;0,1,0)</f>
        <v>0</v>
      </c>
      <c r="L359">
        <f>IF(COUNTIFS('United Data'!$A$3:$A$2150,L$1,'United Data'!$C$3:$C$2150,$A359)&gt;0,1,0)</f>
        <v>0</v>
      </c>
      <c r="M359">
        <f>IF(COUNTIFS('United Data'!$A$3:$A$2150,M$1,'United Data'!$C$3:$C$2150,$A359)&gt;0,1,0)</f>
        <v>0</v>
      </c>
      <c r="N359">
        <f>IF(COUNTIFS('United Data'!$A$3:$A$2150,N$1,'United Data'!$C$3:$C$2150,$A359)&gt;0,1,0)</f>
        <v>0</v>
      </c>
      <c r="O359">
        <f>IF(COUNTIFS('United Data'!$A$3:$A$2150,O$1,'United Data'!$C$3:$C$2150,$A359)&gt;0,1,0)</f>
        <v>0</v>
      </c>
      <c r="P359">
        <f>IF(COUNTIFS('United Data'!$A$3:$A$2150,P$1,'United Data'!$C$3:$C$2150,$A359)&gt;0,1,0)</f>
        <v>0</v>
      </c>
      <c r="Q359">
        <f>IF(COUNTIFS('United Data'!$A$3:$A$2150,Q$1,'United Data'!$C$3:$C$2150,$A359)&gt;0,1,0)</f>
        <v>0</v>
      </c>
      <c r="R359">
        <f>IF(COUNTIFS('United Data'!$A$3:$A$2150,R$1,'United Data'!$C$3:$C$2150,$A359)&gt;0,1,0)</f>
        <v>0</v>
      </c>
      <c r="S359">
        <f t="shared" si="10"/>
        <v>3</v>
      </c>
      <c r="T359">
        <f t="shared" si="11"/>
        <v>1</v>
      </c>
    </row>
    <row r="360" spans="1:20" x14ac:dyDescent="0.2">
      <c r="A360" t="s">
        <v>405</v>
      </c>
      <c r="B360">
        <f>IF(COUNTIFS('United Data'!$A$3:$A$2150,B$1,'United Data'!$C$3:$C$2150,$A360)&gt;0,1,0)</f>
        <v>0</v>
      </c>
      <c r="C360">
        <f>IF(COUNTIFS('United Data'!$A$3:$A$2150,C$1,'United Data'!$C$3:$C$2150,$A360)&gt;0,1,0)</f>
        <v>0</v>
      </c>
      <c r="D360">
        <f>IF(COUNTIFS('United Data'!$A$3:$A$2150,D$1,'United Data'!$C$3:$C$2150,$A360)&gt;0,1,0)</f>
        <v>0</v>
      </c>
      <c r="E360">
        <f>IF(COUNTIFS('United Data'!$A$3:$A$2150,E$1,'United Data'!$C$3:$C$2150,$A360)&gt;0,1,0)</f>
        <v>0</v>
      </c>
      <c r="F360">
        <f>IF(COUNTIFS('United Data'!$A$3:$A$2150,F$1,'United Data'!$C$3:$C$2150,$A360)&gt;0,1,0)</f>
        <v>0</v>
      </c>
      <c r="G360">
        <f>IF(COUNTIFS('United Data'!$A$3:$A$2150,G$1,'United Data'!$C$3:$C$2150,$A360)&gt;0,1,0)</f>
        <v>0</v>
      </c>
      <c r="H360">
        <f>IF(COUNTIFS('United Data'!$A$3:$A$2150,H$1,'United Data'!$C$3:$C$2150,$A360)&gt;0,1,0)</f>
        <v>1</v>
      </c>
      <c r="I360">
        <f>IF(COUNTIFS('United Data'!$A$3:$A$2150,I$1,'United Data'!$C$3:$C$2150,$A360)&gt;0,1,0)</f>
        <v>0</v>
      </c>
      <c r="J360">
        <f>IF(COUNTIFS('United Data'!$A$3:$A$2150,J$1,'United Data'!$C$3:$C$2150,$A360)&gt;0,1,0)</f>
        <v>0</v>
      </c>
      <c r="K360">
        <f>IF(COUNTIFS('United Data'!$A$3:$A$2150,K$1,'United Data'!$C$3:$C$2150,$A360)&gt;0,1,0)</f>
        <v>0</v>
      </c>
      <c r="L360">
        <f>IF(COUNTIFS('United Data'!$A$3:$A$2150,L$1,'United Data'!$C$3:$C$2150,$A360)&gt;0,1,0)</f>
        <v>0</v>
      </c>
      <c r="M360">
        <f>IF(COUNTIFS('United Data'!$A$3:$A$2150,M$1,'United Data'!$C$3:$C$2150,$A360)&gt;0,1,0)</f>
        <v>0</v>
      </c>
      <c r="N360">
        <f>IF(COUNTIFS('United Data'!$A$3:$A$2150,N$1,'United Data'!$C$3:$C$2150,$A360)&gt;0,1,0)</f>
        <v>0</v>
      </c>
      <c r="O360">
        <f>IF(COUNTIFS('United Data'!$A$3:$A$2150,O$1,'United Data'!$C$3:$C$2150,$A360)&gt;0,1,0)</f>
        <v>0</v>
      </c>
      <c r="P360">
        <f>IF(COUNTIFS('United Data'!$A$3:$A$2150,P$1,'United Data'!$C$3:$C$2150,$A360)&gt;0,1,0)</f>
        <v>0</v>
      </c>
      <c r="Q360">
        <f>IF(COUNTIFS('United Data'!$A$3:$A$2150,Q$1,'United Data'!$C$3:$C$2150,$A360)&gt;0,1,0)</f>
        <v>0</v>
      </c>
      <c r="R360">
        <f>IF(COUNTIFS('United Data'!$A$3:$A$2150,R$1,'United Data'!$C$3:$C$2150,$A360)&gt;0,1,0)</f>
        <v>0</v>
      </c>
      <c r="S360">
        <f t="shared" si="10"/>
        <v>1</v>
      </c>
      <c r="T360">
        <f t="shared" si="11"/>
        <v>1</v>
      </c>
    </row>
    <row r="361" spans="1:20" x14ac:dyDescent="0.2">
      <c r="A361" t="s">
        <v>406</v>
      </c>
      <c r="B361">
        <f>IF(COUNTIFS('United Data'!$A$3:$A$2150,B$1,'United Data'!$C$3:$C$2150,$A361)&gt;0,1,0)</f>
        <v>0</v>
      </c>
      <c r="C361">
        <f>IF(COUNTIFS('United Data'!$A$3:$A$2150,C$1,'United Data'!$C$3:$C$2150,$A361)&gt;0,1,0)</f>
        <v>0</v>
      </c>
      <c r="D361">
        <f>IF(COUNTIFS('United Data'!$A$3:$A$2150,D$1,'United Data'!$C$3:$C$2150,$A361)&gt;0,1,0)</f>
        <v>0</v>
      </c>
      <c r="E361">
        <f>IF(COUNTIFS('United Data'!$A$3:$A$2150,E$1,'United Data'!$C$3:$C$2150,$A361)&gt;0,1,0)</f>
        <v>0</v>
      </c>
      <c r="F361">
        <f>IF(COUNTIFS('United Data'!$A$3:$A$2150,F$1,'United Data'!$C$3:$C$2150,$A361)&gt;0,1,0)</f>
        <v>0</v>
      </c>
      <c r="G361">
        <f>IF(COUNTIFS('United Data'!$A$3:$A$2150,G$1,'United Data'!$C$3:$C$2150,$A361)&gt;0,1,0)</f>
        <v>0</v>
      </c>
      <c r="H361">
        <f>IF(COUNTIFS('United Data'!$A$3:$A$2150,H$1,'United Data'!$C$3:$C$2150,$A361)&gt;0,1,0)</f>
        <v>1</v>
      </c>
      <c r="I361">
        <f>IF(COUNTIFS('United Data'!$A$3:$A$2150,I$1,'United Data'!$C$3:$C$2150,$A361)&gt;0,1,0)</f>
        <v>0</v>
      </c>
      <c r="J361">
        <f>IF(COUNTIFS('United Data'!$A$3:$A$2150,J$1,'United Data'!$C$3:$C$2150,$A361)&gt;0,1,0)</f>
        <v>0</v>
      </c>
      <c r="K361">
        <f>IF(COUNTIFS('United Data'!$A$3:$A$2150,K$1,'United Data'!$C$3:$C$2150,$A361)&gt;0,1,0)</f>
        <v>0</v>
      </c>
      <c r="L361">
        <f>IF(COUNTIFS('United Data'!$A$3:$A$2150,L$1,'United Data'!$C$3:$C$2150,$A361)&gt;0,1,0)</f>
        <v>0</v>
      </c>
      <c r="M361">
        <f>IF(COUNTIFS('United Data'!$A$3:$A$2150,M$1,'United Data'!$C$3:$C$2150,$A361)&gt;0,1,0)</f>
        <v>0</v>
      </c>
      <c r="N361">
        <f>IF(COUNTIFS('United Data'!$A$3:$A$2150,N$1,'United Data'!$C$3:$C$2150,$A361)&gt;0,1,0)</f>
        <v>0</v>
      </c>
      <c r="O361">
        <f>IF(COUNTIFS('United Data'!$A$3:$A$2150,O$1,'United Data'!$C$3:$C$2150,$A361)&gt;0,1,0)</f>
        <v>0</v>
      </c>
      <c r="P361">
        <f>IF(COUNTIFS('United Data'!$A$3:$A$2150,P$1,'United Data'!$C$3:$C$2150,$A361)&gt;0,1,0)</f>
        <v>0</v>
      </c>
      <c r="Q361">
        <f>IF(COUNTIFS('United Data'!$A$3:$A$2150,Q$1,'United Data'!$C$3:$C$2150,$A361)&gt;0,1,0)</f>
        <v>0</v>
      </c>
      <c r="R361">
        <f>IF(COUNTIFS('United Data'!$A$3:$A$2150,R$1,'United Data'!$C$3:$C$2150,$A361)&gt;0,1,0)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407</v>
      </c>
      <c r="B362">
        <f>IF(COUNTIFS('United Data'!$A$3:$A$2150,B$1,'United Data'!$C$3:$C$2150,$A362)&gt;0,1,0)</f>
        <v>0</v>
      </c>
      <c r="C362">
        <f>IF(COUNTIFS('United Data'!$A$3:$A$2150,C$1,'United Data'!$C$3:$C$2150,$A362)&gt;0,1,0)</f>
        <v>0</v>
      </c>
      <c r="D362">
        <f>IF(COUNTIFS('United Data'!$A$3:$A$2150,D$1,'United Data'!$C$3:$C$2150,$A362)&gt;0,1,0)</f>
        <v>0</v>
      </c>
      <c r="E362">
        <f>IF(COUNTIFS('United Data'!$A$3:$A$2150,E$1,'United Data'!$C$3:$C$2150,$A362)&gt;0,1,0)</f>
        <v>0</v>
      </c>
      <c r="F362">
        <f>IF(COUNTIFS('United Data'!$A$3:$A$2150,F$1,'United Data'!$C$3:$C$2150,$A362)&gt;0,1,0)</f>
        <v>0</v>
      </c>
      <c r="G362">
        <f>IF(COUNTIFS('United Data'!$A$3:$A$2150,G$1,'United Data'!$C$3:$C$2150,$A362)&gt;0,1,0)</f>
        <v>0</v>
      </c>
      <c r="H362">
        <f>IF(COUNTIFS('United Data'!$A$3:$A$2150,H$1,'United Data'!$C$3:$C$2150,$A362)&gt;0,1,0)</f>
        <v>1</v>
      </c>
      <c r="I362">
        <f>IF(COUNTIFS('United Data'!$A$3:$A$2150,I$1,'United Data'!$C$3:$C$2150,$A362)&gt;0,1,0)</f>
        <v>0</v>
      </c>
      <c r="J362">
        <f>IF(COUNTIFS('United Data'!$A$3:$A$2150,J$1,'United Data'!$C$3:$C$2150,$A362)&gt;0,1,0)</f>
        <v>0</v>
      </c>
      <c r="K362">
        <f>IF(COUNTIFS('United Data'!$A$3:$A$2150,K$1,'United Data'!$C$3:$C$2150,$A362)&gt;0,1,0)</f>
        <v>0</v>
      </c>
      <c r="L362">
        <f>IF(COUNTIFS('United Data'!$A$3:$A$2150,L$1,'United Data'!$C$3:$C$2150,$A362)&gt;0,1,0)</f>
        <v>0</v>
      </c>
      <c r="M362">
        <f>IF(COUNTIFS('United Data'!$A$3:$A$2150,M$1,'United Data'!$C$3:$C$2150,$A362)&gt;0,1,0)</f>
        <v>0</v>
      </c>
      <c r="N362">
        <f>IF(COUNTIFS('United Data'!$A$3:$A$2150,N$1,'United Data'!$C$3:$C$2150,$A362)&gt;0,1,0)</f>
        <v>0</v>
      </c>
      <c r="O362">
        <f>IF(COUNTIFS('United Data'!$A$3:$A$2150,O$1,'United Data'!$C$3:$C$2150,$A362)&gt;0,1,0)</f>
        <v>0</v>
      </c>
      <c r="P362">
        <f>IF(COUNTIFS('United Data'!$A$3:$A$2150,P$1,'United Data'!$C$3:$C$2150,$A362)&gt;0,1,0)</f>
        <v>0</v>
      </c>
      <c r="Q362">
        <f>IF(COUNTIFS('United Data'!$A$3:$A$2150,Q$1,'United Data'!$C$3:$C$2150,$A362)&gt;0,1,0)</f>
        <v>0</v>
      </c>
      <c r="R362">
        <f>IF(COUNTIFS('United Data'!$A$3:$A$2150,R$1,'United Data'!$C$3:$C$2150,$A362)&gt;0,1,0)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408</v>
      </c>
      <c r="B363">
        <f>IF(COUNTIFS('United Data'!$A$3:$A$2150,B$1,'United Data'!$C$3:$C$2150,$A363)&gt;0,1,0)</f>
        <v>0</v>
      </c>
      <c r="C363">
        <f>IF(COUNTIFS('United Data'!$A$3:$A$2150,C$1,'United Data'!$C$3:$C$2150,$A363)&gt;0,1,0)</f>
        <v>0</v>
      </c>
      <c r="D363">
        <f>IF(COUNTIFS('United Data'!$A$3:$A$2150,D$1,'United Data'!$C$3:$C$2150,$A363)&gt;0,1,0)</f>
        <v>0</v>
      </c>
      <c r="E363">
        <f>IF(COUNTIFS('United Data'!$A$3:$A$2150,E$1,'United Data'!$C$3:$C$2150,$A363)&gt;0,1,0)</f>
        <v>0</v>
      </c>
      <c r="F363">
        <f>IF(COUNTIFS('United Data'!$A$3:$A$2150,F$1,'United Data'!$C$3:$C$2150,$A363)&gt;0,1,0)</f>
        <v>0</v>
      </c>
      <c r="G363">
        <f>IF(COUNTIFS('United Data'!$A$3:$A$2150,G$1,'United Data'!$C$3:$C$2150,$A363)&gt;0,1,0)</f>
        <v>0</v>
      </c>
      <c r="H363">
        <f>IF(COUNTIFS('United Data'!$A$3:$A$2150,H$1,'United Data'!$C$3:$C$2150,$A363)&gt;0,1,0)</f>
        <v>1</v>
      </c>
      <c r="I363">
        <f>IF(COUNTIFS('United Data'!$A$3:$A$2150,I$1,'United Data'!$C$3:$C$2150,$A363)&gt;0,1,0)</f>
        <v>0</v>
      </c>
      <c r="J363">
        <f>IF(COUNTIFS('United Data'!$A$3:$A$2150,J$1,'United Data'!$C$3:$C$2150,$A363)&gt;0,1,0)</f>
        <v>0</v>
      </c>
      <c r="K363">
        <f>IF(COUNTIFS('United Data'!$A$3:$A$2150,K$1,'United Data'!$C$3:$C$2150,$A363)&gt;0,1,0)</f>
        <v>0</v>
      </c>
      <c r="L363">
        <f>IF(COUNTIFS('United Data'!$A$3:$A$2150,L$1,'United Data'!$C$3:$C$2150,$A363)&gt;0,1,0)</f>
        <v>0</v>
      </c>
      <c r="M363">
        <f>IF(COUNTIFS('United Data'!$A$3:$A$2150,M$1,'United Data'!$C$3:$C$2150,$A363)&gt;0,1,0)</f>
        <v>0</v>
      </c>
      <c r="N363">
        <f>IF(COUNTIFS('United Data'!$A$3:$A$2150,N$1,'United Data'!$C$3:$C$2150,$A363)&gt;0,1,0)</f>
        <v>0</v>
      </c>
      <c r="O363">
        <f>IF(COUNTIFS('United Data'!$A$3:$A$2150,O$1,'United Data'!$C$3:$C$2150,$A363)&gt;0,1,0)</f>
        <v>0</v>
      </c>
      <c r="P363">
        <f>IF(COUNTIFS('United Data'!$A$3:$A$2150,P$1,'United Data'!$C$3:$C$2150,$A363)&gt;0,1,0)</f>
        <v>0</v>
      </c>
      <c r="Q363">
        <f>IF(COUNTIFS('United Data'!$A$3:$A$2150,Q$1,'United Data'!$C$3:$C$2150,$A363)&gt;0,1,0)</f>
        <v>0</v>
      </c>
      <c r="R363">
        <f>IF(COUNTIFS('United Data'!$A$3:$A$2150,R$1,'United Data'!$C$3:$C$2150,$A363)&gt;0,1,0)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409</v>
      </c>
      <c r="B364">
        <f>IF(COUNTIFS('United Data'!$A$3:$A$2150,B$1,'United Data'!$C$3:$C$2150,$A364)&gt;0,1,0)</f>
        <v>0</v>
      </c>
      <c r="C364">
        <f>IF(COUNTIFS('United Data'!$A$3:$A$2150,C$1,'United Data'!$C$3:$C$2150,$A364)&gt;0,1,0)</f>
        <v>0</v>
      </c>
      <c r="D364">
        <f>IF(COUNTIFS('United Data'!$A$3:$A$2150,D$1,'United Data'!$C$3:$C$2150,$A364)&gt;0,1,0)</f>
        <v>0</v>
      </c>
      <c r="E364">
        <f>IF(COUNTIFS('United Data'!$A$3:$A$2150,E$1,'United Data'!$C$3:$C$2150,$A364)&gt;0,1,0)</f>
        <v>0</v>
      </c>
      <c r="F364">
        <f>IF(COUNTIFS('United Data'!$A$3:$A$2150,F$1,'United Data'!$C$3:$C$2150,$A364)&gt;0,1,0)</f>
        <v>0</v>
      </c>
      <c r="G364">
        <f>IF(COUNTIFS('United Data'!$A$3:$A$2150,G$1,'United Data'!$C$3:$C$2150,$A364)&gt;0,1,0)</f>
        <v>0</v>
      </c>
      <c r="H364">
        <f>IF(COUNTIFS('United Data'!$A$3:$A$2150,H$1,'United Data'!$C$3:$C$2150,$A364)&gt;0,1,0)</f>
        <v>1</v>
      </c>
      <c r="I364">
        <f>IF(COUNTIFS('United Data'!$A$3:$A$2150,I$1,'United Data'!$C$3:$C$2150,$A364)&gt;0,1,0)</f>
        <v>0</v>
      </c>
      <c r="J364">
        <f>IF(COUNTIFS('United Data'!$A$3:$A$2150,J$1,'United Data'!$C$3:$C$2150,$A364)&gt;0,1,0)</f>
        <v>0</v>
      </c>
      <c r="K364">
        <f>IF(COUNTIFS('United Data'!$A$3:$A$2150,K$1,'United Data'!$C$3:$C$2150,$A364)&gt;0,1,0)</f>
        <v>0</v>
      </c>
      <c r="L364">
        <f>IF(COUNTIFS('United Data'!$A$3:$A$2150,L$1,'United Data'!$C$3:$C$2150,$A364)&gt;0,1,0)</f>
        <v>0</v>
      </c>
      <c r="M364">
        <f>IF(COUNTIFS('United Data'!$A$3:$A$2150,M$1,'United Data'!$C$3:$C$2150,$A364)&gt;0,1,0)</f>
        <v>0</v>
      </c>
      <c r="N364">
        <f>IF(COUNTIFS('United Data'!$A$3:$A$2150,N$1,'United Data'!$C$3:$C$2150,$A364)&gt;0,1,0)</f>
        <v>0</v>
      </c>
      <c r="O364">
        <f>IF(COUNTIFS('United Data'!$A$3:$A$2150,O$1,'United Data'!$C$3:$C$2150,$A364)&gt;0,1,0)</f>
        <v>0</v>
      </c>
      <c r="P364">
        <f>IF(COUNTIFS('United Data'!$A$3:$A$2150,P$1,'United Data'!$C$3:$C$2150,$A364)&gt;0,1,0)</f>
        <v>0</v>
      </c>
      <c r="Q364">
        <f>IF(COUNTIFS('United Data'!$A$3:$A$2150,Q$1,'United Data'!$C$3:$C$2150,$A364)&gt;0,1,0)</f>
        <v>0</v>
      </c>
      <c r="R364">
        <f>IF(COUNTIFS('United Data'!$A$3:$A$2150,R$1,'United Data'!$C$3:$C$2150,$A364)&gt;0,1,0)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410</v>
      </c>
      <c r="B365">
        <f>IF(COUNTIFS('United Data'!$A$3:$A$2150,B$1,'United Data'!$C$3:$C$2150,$A365)&gt;0,1,0)</f>
        <v>0</v>
      </c>
      <c r="C365">
        <f>IF(COUNTIFS('United Data'!$A$3:$A$2150,C$1,'United Data'!$C$3:$C$2150,$A365)&gt;0,1,0)</f>
        <v>0</v>
      </c>
      <c r="D365">
        <f>IF(COUNTIFS('United Data'!$A$3:$A$2150,D$1,'United Data'!$C$3:$C$2150,$A365)&gt;0,1,0)</f>
        <v>0</v>
      </c>
      <c r="E365">
        <f>IF(COUNTIFS('United Data'!$A$3:$A$2150,E$1,'United Data'!$C$3:$C$2150,$A365)&gt;0,1,0)</f>
        <v>0</v>
      </c>
      <c r="F365">
        <f>IF(COUNTIFS('United Data'!$A$3:$A$2150,F$1,'United Data'!$C$3:$C$2150,$A365)&gt;0,1,0)</f>
        <v>0</v>
      </c>
      <c r="G365">
        <f>IF(COUNTIFS('United Data'!$A$3:$A$2150,G$1,'United Data'!$C$3:$C$2150,$A365)&gt;0,1,0)</f>
        <v>0</v>
      </c>
      <c r="H365">
        <f>IF(COUNTIFS('United Data'!$A$3:$A$2150,H$1,'United Data'!$C$3:$C$2150,$A365)&gt;0,1,0)</f>
        <v>1</v>
      </c>
      <c r="I365">
        <f>IF(COUNTIFS('United Data'!$A$3:$A$2150,I$1,'United Data'!$C$3:$C$2150,$A365)&gt;0,1,0)</f>
        <v>0</v>
      </c>
      <c r="J365">
        <f>IF(COUNTIFS('United Data'!$A$3:$A$2150,J$1,'United Data'!$C$3:$C$2150,$A365)&gt;0,1,0)</f>
        <v>0</v>
      </c>
      <c r="K365">
        <f>IF(COUNTIFS('United Data'!$A$3:$A$2150,K$1,'United Data'!$C$3:$C$2150,$A365)&gt;0,1,0)</f>
        <v>0</v>
      </c>
      <c r="L365">
        <f>IF(COUNTIFS('United Data'!$A$3:$A$2150,L$1,'United Data'!$C$3:$C$2150,$A365)&gt;0,1,0)</f>
        <v>0</v>
      </c>
      <c r="M365">
        <f>IF(COUNTIFS('United Data'!$A$3:$A$2150,M$1,'United Data'!$C$3:$C$2150,$A365)&gt;0,1,0)</f>
        <v>0</v>
      </c>
      <c r="N365">
        <f>IF(COUNTIFS('United Data'!$A$3:$A$2150,N$1,'United Data'!$C$3:$C$2150,$A365)&gt;0,1,0)</f>
        <v>0</v>
      </c>
      <c r="O365">
        <f>IF(COUNTIFS('United Data'!$A$3:$A$2150,O$1,'United Data'!$C$3:$C$2150,$A365)&gt;0,1,0)</f>
        <v>0</v>
      </c>
      <c r="P365">
        <f>IF(COUNTIFS('United Data'!$A$3:$A$2150,P$1,'United Data'!$C$3:$C$2150,$A365)&gt;0,1,0)</f>
        <v>0</v>
      </c>
      <c r="Q365">
        <f>IF(COUNTIFS('United Data'!$A$3:$A$2150,Q$1,'United Data'!$C$3:$C$2150,$A365)&gt;0,1,0)</f>
        <v>0</v>
      </c>
      <c r="R365">
        <f>IF(COUNTIFS('United Data'!$A$3:$A$2150,R$1,'United Data'!$C$3:$C$2150,$A365)&gt;0,1,0)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411</v>
      </c>
      <c r="B366">
        <f>IF(COUNTIFS('United Data'!$A$3:$A$2150,B$1,'United Data'!$C$3:$C$2150,$A366)&gt;0,1,0)</f>
        <v>0</v>
      </c>
      <c r="C366">
        <f>IF(COUNTIFS('United Data'!$A$3:$A$2150,C$1,'United Data'!$C$3:$C$2150,$A366)&gt;0,1,0)</f>
        <v>0</v>
      </c>
      <c r="D366">
        <f>IF(COUNTIFS('United Data'!$A$3:$A$2150,D$1,'United Data'!$C$3:$C$2150,$A366)&gt;0,1,0)</f>
        <v>0</v>
      </c>
      <c r="E366">
        <f>IF(COUNTIFS('United Data'!$A$3:$A$2150,E$1,'United Data'!$C$3:$C$2150,$A366)&gt;0,1,0)</f>
        <v>0</v>
      </c>
      <c r="F366">
        <f>IF(COUNTIFS('United Data'!$A$3:$A$2150,F$1,'United Data'!$C$3:$C$2150,$A366)&gt;0,1,0)</f>
        <v>0</v>
      </c>
      <c r="G366">
        <f>IF(COUNTIFS('United Data'!$A$3:$A$2150,G$1,'United Data'!$C$3:$C$2150,$A366)&gt;0,1,0)</f>
        <v>0</v>
      </c>
      <c r="H366">
        <f>IF(COUNTIFS('United Data'!$A$3:$A$2150,H$1,'United Data'!$C$3:$C$2150,$A366)&gt;0,1,0)</f>
        <v>1</v>
      </c>
      <c r="I366">
        <f>IF(COUNTIFS('United Data'!$A$3:$A$2150,I$1,'United Data'!$C$3:$C$2150,$A366)&gt;0,1,0)</f>
        <v>0</v>
      </c>
      <c r="J366">
        <f>IF(COUNTIFS('United Data'!$A$3:$A$2150,J$1,'United Data'!$C$3:$C$2150,$A366)&gt;0,1,0)</f>
        <v>0</v>
      </c>
      <c r="K366">
        <f>IF(COUNTIFS('United Data'!$A$3:$A$2150,K$1,'United Data'!$C$3:$C$2150,$A366)&gt;0,1,0)</f>
        <v>0</v>
      </c>
      <c r="L366">
        <f>IF(COUNTIFS('United Data'!$A$3:$A$2150,L$1,'United Data'!$C$3:$C$2150,$A366)&gt;0,1,0)</f>
        <v>0</v>
      </c>
      <c r="M366">
        <f>IF(COUNTIFS('United Data'!$A$3:$A$2150,M$1,'United Data'!$C$3:$C$2150,$A366)&gt;0,1,0)</f>
        <v>0</v>
      </c>
      <c r="N366">
        <f>IF(COUNTIFS('United Data'!$A$3:$A$2150,N$1,'United Data'!$C$3:$C$2150,$A366)&gt;0,1,0)</f>
        <v>0</v>
      </c>
      <c r="O366">
        <f>IF(COUNTIFS('United Data'!$A$3:$A$2150,O$1,'United Data'!$C$3:$C$2150,$A366)&gt;0,1,0)</f>
        <v>0</v>
      </c>
      <c r="P366">
        <f>IF(COUNTIFS('United Data'!$A$3:$A$2150,P$1,'United Data'!$C$3:$C$2150,$A366)&gt;0,1,0)</f>
        <v>0</v>
      </c>
      <c r="Q366">
        <f>IF(COUNTIFS('United Data'!$A$3:$A$2150,Q$1,'United Data'!$C$3:$C$2150,$A366)&gt;0,1,0)</f>
        <v>0</v>
      </c>
      <c r="R366">
        <f>IF(COUNTIFS('United Data'!$A$3:$A$2150,R$1,'United Data'!$C$3:$C$2150,$A366)&gt;0,1,0)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412</v>
      </c>
      <c r="B367">
        <f>IF(COUNTIFS('United Data'!$A$3:$A$2150,B$1,'United Data'!$C$3:$C$2150,$A367)&gt;0,1,0)</f>
        <v>0</v>
      </c>
      <c r="C367">
        <f>IF(COUNTIFS('United Data'!$A$3:$A$2150,C$1,'United Data'!$C$3:$C$2150,$A367)&gt;0,1,0)</f>
        <v>0</v>
      </c>
      <c r="D367">
        <f>IF(COUNTIFS('United Data'!$A$3:$A$2150,D$1,'United Data'!$C$3:$C$2150,$A367)&gt;0,1,0)</f>
        <v>0</v>
      </c>
      <c r="E367">
        <f>IF(COUNTIFS('United Data'!$A$3:$A$2150,E$1,'United Data'!$C$3:$C$2150,$A367)&gt;0,1,0)</f>
        <v>0</v>
      </c>
      <c r="F367">
        <f>IF(COUNTIFS('United Data'!$A$3:$A$2150,F$1,'United Data'!$C$3:$C$2150,$A367)&gt;0,1,0)</f>
        <v>0</v>
      </c>
      <c r="G367">
        <f>IF(COUNTIFS('United Data'!$A$3:$A$2150,G$1,'United Data'!$C$3:$C$2150,$A367)&gt;0,1,0)</f>
        <v>0</v>
      </c>
      <c r="H367">
        <f>IF(COUNTIFS('United Data'!$A$3:$A$2150,H$1,'United Data'!$C$3:$C$2150,$A367)&gt;0,1,0)</f>
        <v>1</v>
      </c>
      <c r="I367">
        <f>IF(COUNTIFS('United Data'!$A$3:$A$2150,I$1,'United Data'!$C$3:$C$2150,$A367)&gt;0,1,0)</f>
        <v>0</v>
      </c>
      <c r="J367">
        <f>IF(COUNTIFS('United Data'!$A$3:$A$2150,J$1,'United Data'!$C$3:$C$2150,$A367)&gt;0,1,0)</f>
        <v>0</v>
      </c>
      <c r="K367">
        <f>IF(COUNTIFS('United Data'!$A$3:$A$2150,K$1,'United Data'!$C$3:$C$2150,$A367)&gt;0,1,0)</f>
        <v>0</v>
      </c>
      <c r="L367">
        <f>IF(COUNTIFS('United Data'!$A$3:$A$2150,L$1,'United Data'!$C$3:$C$2150,$A367)&gt;0,1,0)</f>
        <v>0</v>
      </c>
      <c r="M367">
        <f>IF(COUNTIFS('United Data'!$A$3:$A$2150,M$1,'United Data'!$C$3:$C$2150,$A367)&gt;0,1,0)</f>
        <v>0</v>
      </c>
      <c r="N367">
        <f>IF(COUNTIFS('United Data'!$A$3:$A$2150,N$1,'United Data'!$C$3:$C$2150,$A367)&gt;0,1,0)</f>
        <v>0</v>
      </c>
      <c r="O367">
        <f>IF(COUNTIFS('United Data'!$A$3:$A$2150,O$1,'United Data'!$C$3:$C$2150,$A367)&gt;0,1,0)</f>
        <v>0</v>
      </c>
      <c r="P367">
        <f>IF(COUNTIFS('United Data'!$A$3:$A$2150,P$1,'United Data'!$C$3:$C$2150,$A367)&gt;0,1,0)</f>
        <v>0</v>
      </c>
      <c r="Q367">
        <f>IF(COUNTIFS('United Data'!$A$3:$A$2150,Q$1,'United Data'!$C$3:$C$2150,$A367)&gt;0,1,0)</f>
        <v>0</v>
      </c>
      <c r="R367">
        <f>IF(COUNTIFS('United Data'!$A$3:$A$2150,R$1,'United Data'!$C$3:$C$2150,$A367)&gt;0,1,0)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413</v>
      </c>
      <c r="B368">
        <f>IF(COUNTIFS('United Data'!$A$3:$A$2150,B$1,'United Data'!$C$3:$C$2150,$A368)&gt;0,1,0)</f>
        <v>0</v>
      </c>
      <c r="C368">
        <f>IF(COUNTIFS('United Data'!$A$3:$A$2150,C$1,'United Data'!$C$3:$C$2150,$A368)&gt;0,1,0)</f>
        <v>0</v>
      </c>
      <c r="D368">
        <f>IF(COUNTIFS('United Data'!$A$3:$A$2150,D$1,'United Data'!$C$3:$C$2150,$A368)&gt;0,1,0)</f>
        <v>0</v>
      </c>
      <c r="E368">
        <f>IF(COUNTIFS('United Data'!$A$3:$A$2150,E$1,'United Data'!$C$3:$C$2150,$A368)&gt;0,1,0)</f>
        <v>0</v>
      </c>
      <c r="F368">
        <f>IF(COUNTIFS('United Data'!$A$3:$A$2150,F$1,'United Data'!$C$3:$C$2150,$A368)&gt;0,1,0)</f>
        <v>0</v>
      </c>
      <c r="G368">
        <f>IF(COUNTIFS('United Data'!$A$3:$A$2150,G$1,'United Data'!$C$3:$C$2150,$A368)&gt;0,1,0)</f>
        <v>0</v>
      </c>
      <c r="H368">
        <f>IF(COUNTIFS('United Data'!$A$3:$A$2150,H$1,'United Data'!$C$3:$C$2150,$A368)&gt;0,1,0)</f>
        <v>1</v>
      </c>
      <c r="I368">
        <f>IF(COUNTIFS('United Data'!$A$3:$A$2150,I$1,'United Data'!$C$3:$C$2150,$A368)&gt;0,1,0)</f>
        <v>0</v>
      </c>
      <c r="J368">
        <f>IF(COUNTIFS('United Data'!$A$3:$A$2150,J$1,'United Data'!$C$3:$C$2150,$A368)&gt;0,1,0)</f>
        <v>0</v>
      </c>
      <c r="K368">
        <f>IF(COUNTIFS('United Data'!$A$3:$A$2150,K$1,'United Data'!$C$3:$C$2150,$A368)&gt;0,1,0)</f>
        <v>0</v>
      </c>
      <c r="L368">
        <f>IF(COUNTIFS('United Data'!$A$3:$A$2150,L$1,'United Data'!$C$3:$C$2150,$A368)&gt;0,1,0)</f>
        <v>0</v>
      </c>
      <c r="M368">
        <f>IF(COUNTIFS('United Data'!$A$3:$A$2150,M$1,'United Data'!$C$3:$C$2150,$A368)&gt;0,1,0)</f>
        <v>0</v>
      </c>
      <c r="N368">
        <f>IF(COUNTIFS('United Data'!$A$3:$A$2150,N$1,'United Data'!$C$3:$C$2150,$A368)&gt;0,1,0)</f>
        <v>0</v>
      </c>
      <c r="O368">
        <f>IF(COUNTIFS('United Data'!$A$3:$A$2150,O$1,'United Data'!$C$3:$C$2150,$A368)&gt;0,1,0)</f>
        <v>0</v>
      </c>
      <c r="P368">
        <f>IF(COUNTIFS('United Data'!$A$3:$A$2150,P$1,'United Data'!$C$3:$C$2150,$A368)&gt;0,1,0)</f>
        <v>0</v>
      </c>
      <c r="Q368">
        <f>IF(COUNTIFS('United Data'!$A$3:$A$2150,Q$1,'United Data'!$C$3:$C$2150,$A368)&gt;0,1,0)</f>
        <v>0</v>
      </c>
      <c r="R368">
        <f>IF(COUNTIFS('United Data'!$A$3:$A$2150,R$1,'United Data'!$C$3:$C$2150,$A368)&gt;0,1,0)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414</v>
      </c>
      <c r="B369">
        <f>IF(COUNTIFS('United Data'!$A$3:$A$2150,B$1,'United Data'!$C$3:$C$2150,$A369)&gt;0,1,0)</f>
        <v>0</v>
      </c>
      <c r="C369">
        <f>IF(COUNTIFS('United Data'!$A$3:$A$2150,C$1,'United Data'!$C$3:$C$2150,$A369)&gt;0,1,0)</f>
        <v>0</v>
      </c>
      <c r="D369">
        <f>IF(COUNTIFS('United Data'!$A$3:$A$2150,D$1,'United Data'!$C$3:$C$2150,$A369)&gt;0,1,0)</f>
        <v>0</v>
      </c>
      <c r="E369">
        <f>IF(COUNTIFS('United Data'!$A$3:$A$2150,E$1,'United Data'!$C$3:$C$2150,$A369)&gt;0,1,0)</f>
        <v>0</v>
      </c>
      <c r="F369">
        <f>IF(COUNTIFS('United Data'!$A$3:$A$2150,F$1,'United Data'!$C$3:$C$2150,$A369)&gt;0,1,0)</f>
        <v>0</v>
      </c>
      <c r="G369">
        <f>IF(COUNTIFS('United Data'!$A$3:$A$2150,G$1,'United Data'!$C$3:$C$2150,$A369)&gt;0,1,0)</f>
        <v>0</v>
      </c>
      <c r="H369">
        <f>IF(COUNTIFS('United Data'!$A$3:$A$2150,H$1,'United Data'!$C$3:$C$2150,$A369)&gt;0,1,0)</f>
        <v>0</v>
      </c>
      <c r="I369">
        <f>IF(COUNTIFS('United Data'!$A$3:$A$2150,I$1,'United Data'!$C$3:$C$2150,$A369)&gt;0,1,0)</f>
        <v>1</v>
      </c>
      <c r="J369">
        <f>IF(COUNTIFS('United Data'!$A$3:$A$2150,J$1,'United Data'!$C$3:$C$2150,$A369)&gt;0,1,0)</f>
        <v>0</v>
      </c>
      <c r="K369">
        <f>IF(COUNTIFS('United Data'!$A$3:$A$2150,K$1,'United Data'!$C$3:$C$2150,$A369)&gt;0,1,0)</f>
        <v>0</v>
      </c>
      <c r="L369">
        <f>IF(COUNTIFS('United Data'!$A$3:$A$2150,L$1,'United Data'!$C$3:$C$2150,$A369)&gt;0,1,0)</f>
        <v>0</v>
      </c>
      <c r="M369">
        <f>IF(COUNTIFS('United Data'!$A$3:$A$2150,M$1,'United Data'!$C$3:$C$2150,$A369)&gt;0,1,0)</f>
        <v>0</v>
      </c>
      <c r="N369">
        <f>IF(COUNTIFS('United Data'!$A$3:$A$2150,N$1,'United Data'!$C$3:$C$2150,$A369)&gt;0,1,0)</f>
        <v>0</v>
      </c>
      <c r="O369">
        <f>IF(COUNTIFS('United Data'!$A$3:$A$2150,O$1,'United Data'!$C$3:$C$2150,$A369)&gt;0,1,0)</f>
        <v>0</v>
      </c>
      <c r="P369">
        <f>IF(COUNTIFS('United Data'!$A$3:$A$2150,P$1,'United Data'!$C$3:$C$2150,$A369)&gt;0,1,0)</f>
        <v>0</v>
      </c>
      <c r="Q369">
        <f>IF(COUNTIFS('United Data'!$A$3:$A$2150,Q$1,'United Data'!$C$3:$C$2150,$A369)&gt;0,1,0)</f>
        <v>0</v>
      </c>
      <c r="R369">
        <f>IF(COUNTIFS('United Data'!$A$3:$A$2150,R$1,'United Data'!$C$3:$C$2150,$A369)&gt;0,1,0)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415</v>
      </c>
      <c r="B370">
        <f>IF(COUNTIFS('United Data'!$A$3:$A$2150,B$1,'United Data'!$C$3:$C$2150,$A370)&gt;0,1,0)</f>
        <v>0</v>
      </c>
      <c r="C370">
        <f>IF(COUNTIFS('United Data'!$A$3:$A$2150,C$1,'United Data'!$C$3:$C$2150,$A370)&gt;0,1,0)</f>
        <v>0</v>
      </c>
      <c r="D370">
        <f>IF(COUNTIFS('United Data'!$A$3:$A$2150,D$1,'United Data'!$C$3:$C$2150,$A370)&gt;0,1,0)</f>
        <v>0</v>
      </c>
      <c r="E370">
        <f>IF(COUNTIFS('United Data'!$A$3:$A$2150,E$1,'United Data'!$C$3:$C$2150,$A370)&gt;0,1,0)</f>
        <v>0</v>
      </c>
      <c r="F370">
        <f>IF(COUNTIFS('United Data'!$A$3:$A$2150,F$1,'United Data'!$C$3:$C$2150,$A370)&gt;0,1,0)</f>
        <v>0</v>
      </c>
      <c r="G370">
        <f>IF(COUNTIFS('United Data'!$A$3:$A$2150,G$1,'United Data'!$C$3:$C$2150,$A370)&gt;0,1,0)</f>
        <v>0</v>
      </c>
      <c r="H370">
        <f>IF(COUNTIFS('United Data'!$A$3:$A$2150,H$1,'United Data'!$C$3:$C$2150,$A370)&gt;0,1,0)</f>
        <v>0</v>
      </c>
      <c r="I370">
        <f>IF(COUNTIFS('United Data'!$A$3:$A$2150,I$1,'United Data'!$C$3:$C$2150,$A370)&gt;0,1,0)</f>
        <v>1</v>
      </c>
      <c r="J370">
        <f>IF(COUNTIFS('United Data'!$A$3:$A$2150,J$1,'United Data'!$C$3:$C$2150,$A370)&gt;0,1,0)</f>
        <v>0</v>
      </c>
      <c r="K370">
        <f>IF(COUNTIFS('United Data'!$A$3:$A$2150,K$1,'United Data'!$C$3:$C$2150,$A370)&gt;0,1,0)</f>
        <v>0</v>
      </c>
      <c r="L370">
        <f>IF(COUNTIFS('United Data'!$A$3:$A$2150,L$1,'United Data'!$C$3:$C$2150,$A370)&gt;0,1,0)</f>
        <v>0</v>
      </c>
      <c r="M370">
        <f>IF(COUNTIFS('United Data'!$A$3:$A$2150,M$1,'United Data'!$C$3:$C$2150,$A370)&gt;0,1,0)</f>
        <v>0</v>
      </c>
      <c r="N370">
        <f>IF(COUNTIFS('United Data'!$A$3:$A$2150,N$1,'United Data'!$C$3:$C$2150,$A370)&gt;0,1,0)</f>
        <v>0</v>
      </c>
      <c r="O370">
        <f>IF(COUNTIFS('United Data'!$A$3:$A$2150,O$1,'United Data'!$C$3:$C$2150,$A370)&gt;0,1,0)</f>
        <v>0</v>
      </c>
      <c r="P370">
        <f>IF(COUNTIFS('United Data'!$A$3:$A$2150,P$1,'United Data'!$C$3:$C$2150,$A370)&gt;0,1,0)</f>
        <v>0</v>
      </c>
      <c r="Q370">
        <f>IF(COUNTIFS('United Data'!$A$3:$A$2150,Q$1,'United Data'!$C$3:$C$2150,$A370)&gt;0,1,0)</f>
        <v>0</v>
      </c>
      <c r="R370">
        <f>IF(COUNTIFS('United Data'!$A$3:$A$2150,R$1,'United Data'!$C$3:$C$2150,$A370)&gt;0,1,0)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416</v>
      </c>
      <c r="B371">
        <f>IF(COUNTIFS('United Data'!$A$3:$A$2150,B$1,'United Data'!$C$3:$C$2150,$A371)&gt;0,1,0)</f>
        <v>0</v>
      </c>
      <c r="C371">
        <f>IF(COUNTIFS('United Data'!$A$3:$A$2150,C$1,'United Data'!$C$3:$C$2150,$A371)&gt;0,1,0)</f>
        <v>0</v>
      </c>
      <c r="D371">
        <f>IF(COUNTIFS('United Data'!$A$3:$A$2150,D$1,'United Data'!$C$3:$C$2150,$A371)&gt;0,1,0)</f>
        <v>0</v>
      </c>
      <c r="E371">
        <f>IF(COUNTIFS('United Data'!$A$3:$A$2150,E$1,'United Data'!$C$3:$C$2150,$A371)&gt;0,1,0)</f>
        <v>0</v>
      </c>
      <c r="F371">
        <f>IF(COUNTIFS('United Data'!$A$3:$A$2150,F$1,'United Data'!$C$3:$C$2150,$A371)&gt;0,1,0)</f>
        <v>0</v>
      </c>
      <c r="G371">
        <f>IF(COUNTIFS('United Data'!$A$3:$A$2150,G$1,'United Data'!$C$3:$C$2150,$A371)&gt;0,1,0)</f>
        <v>0</v>
      </c>
      <c r="H371">
        <f>IF(COUNTIFS('United Data'!$A$3:$A$2150,H$1,'United Data'!$C$3:$C$2150,$A371)&gt;0,1,0)</f>
        <v>0</v>
      </c>
      <c r="I371">
        <f>IF(COUNTIFS('United Data'!$A$3:$A$2150,I$1,'United Data'!$C$3:$C$2150,$A371)&gt;0,1,0)</f>
        <v>1</v>
      </c>
      <c r="J371">
        <f>IF(COUNTIFS('United Data'!$A$3:$A$2150,J$1,'United Data'!$C$3:$C$2150,$A371)&gt;0,1,0)</f>
        <v>0</v>
      </c>
      <c r="K371">
        <f>IF(COUNTIFS('United Data'!$A$3:$A$2150,K$1,'United Data'!$C$3:$C$2150,$A371)&gt;0,1,0)</f>
        <v>0</v>
      </c>
      <c r="L371">
        <f>IF(COUNTIFS('United Data'!$A$3:$A$2150,L$1,'United Data'!$C$3:$C$2150,$A371)&gt;0,1,0)</f>
        <v>0</v>
      </c>
      <c r="M371">
        <f>IF(COUNTIFS('United Data'!$A$3:$A$2150,M$1,'United Data'!$C$3:$C$2150,$A371)&gt;0,1,0)</f>
        <v>0</v>
      </c>
      <c r="N371">
        <f>IF(COUNTIFS('United Data'!$A$3:$A$2150,N$1,'United Data'!$C$3:$C$2150,$A371)&gt;0,1,0)</f>
        <v>0</v>
      </c>
      <c r="O371">
        <f>IF(COUNTIFS('United Data'!$A$3:$A$2150,O$1,'United Data'!$C$3:$C$2150,$A371)&gt;0,1,0)</f>
        <v>0</v>
      </c>
      <c r="P371">
        <f>IF(COUNTIFS('United Data'!$A$3:$A$2150,P$1,'United Data'!$C$3:$C$2150,$A371)&gt;0,1,0)</f>
        <v>0</v>
      </c>
      <c r="Q371">
        <f>IF(COUNTIFS('United Data'!$A$3:$A$2150,Q$1,'United Data'!$C$3:$C$2150,$A371)&gt;0,1,0)</f>
        <v>0</v>
      </c>
      <c r="R371">
        <f>IF(COUNTIFS('United Data'!$A$3:$A$2150,R$1,'United Data'!$C$3:$C$2150,$A371)&gt;0,1,0)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417</v>
      </c>
      <c r="B372">
        <f>IF(COUNTIFS('United Data'!$A$3:$A$2150,B$1,'United Data'!$C$3:$C$2150,$A372)&gt;0,1,0)</f>
        <v>0</v>
      </c>
      <c r="C372">
        <f>IF(COUNTIFS('United Data'!$A$3:$A$2150,C$1,'United Data'!$C$3:$C$2150,$A372)&gt;0,1,0)</f>
        <v>0</v>
      </c>
      <c r="D372">
        <f>IF(COUNTIFS('United Data'!$A$3:$A$2150,D$1,'United Data'!$C$3:$C$2150,$A372)&gt;0,1,0)</f>
        <v>0</v>
      </c>
      <c r="E372">
        <f>IF(COUNTIFS('United Data'!$A$3:$A$2150,E$1,'United Data'!$C$3:$C$2150,$A372)&gt;0,1,0)</f>
        <v>0</v>
      </c>
      <c r="F372">
        <f>IF(COUNTIFS('United Data'!$A$3:$A$2150,F$1,'United Data'!$C$3:$C$2150,$A372)&gt;0,1,0)</f>
        <v>0</v>
      </c>
      <c r="G372">
        <f>IF(COUNTIFS('United Data'!$A$3:$A$2150,G$1,'United Data'!$C$3:$C$2150,$A372)&gt;0,1,0)</f>
        <v>0</v>
      </c>
      <c r="H372">
        <f>IF(COUNTIFS('United Data'!$A$3:$A$2150,H$1,'United Data'!$C$3:$C$2150,$A372)&gt;0,1,0)</f>
        <v>0</v>
      </c>
      <c r="I372">
        <f>IF(COUNTIFS('United Data'!$A$3:$A$2150,I$1,'United Data'!$C$3:$C$2150,$A372)&gt;0,1,0)</f>
        <v>1</v>
      </c>
      <c r="J372">
        <f>IF(COUNTIFS('United Data'!$A$3:$A$2150,J$1,'United Data'!$C$3:$C$2150,$A372)&gt;0,1,0)</f>
        <v>0</v>
      </c>
      <c r="K372">
        <f>IF(COUNTIFS('United Data'!$A$3:$A$2150,K$1,'United Data'!$C$3:$C$2150,$A372)&gt;0,1,0)</f>
        <v>0</v>
      </c>
      <c r="L372">
        <f>IF(COUNTIFS('United Data'!$A$3:$A$2150,L$1,'United Data'!$C$3:$C$2150,$A372)&gt;0,1,0)</f>
        <v>0</v>
      </c>
      <c r="M372">
        <f>IF(COUNTIFS('United Data'!$A$3:$A$2150,M$1,'United Data'!$C$3:$C$2150,$A372)&gt;0,1,0)</f>
        <v>0</v>
      </c>
      <c r="N372">
        <f>IF(COUNTIFS('United Data'!$A$3:$A$2150,N$1,'United Data'!$C$3:$C$2150,$A372)&gt;0,1,0)</f>
        <v>0</v>
      </c>
      <c r="O372">
        <f>IF(COUNTIFS('United Data'!$A$3:$A$2150,O$1,'United Data'!$C$3:$C$2150,$A372)&gt;0,1,0)</f>
        <v>0</v>
      </c>
      <c r="P372">
        <f>IF(COUNTIFS('United Data'!$A$3:$A$2150,P$1,'United Data'!$C$3:$C$2150,$A372)&gt;0,1,0)</f>
        <v>0</v>
      </c>
      <c r="Q372">
        <f>IF(COUNTIFS('United Data'!$A$3:$A$2150,Q$1,'United Data'!$C$3:$C$2150,$A372)&gt;0,1,0)</f>
        <v>0</v>
      </c>
      <c r="R372">
        <f>IF(COUNTIFS('United Data'!$A$3:$A$2150,R$1,'United Data'!$C$3:$C$2150,$A372)&gt;0,1,0)</f>
        <v>0</v>
      </c>
      <c r="S372">
        <f t="shared" si="10"/>
        <v>1</v>
      </c>
      <c r="T372">
        <f t="shared" si="11"/>
        <v>1</v>
      </c>
    </row>
    <row r="373" spans="1:20" x14ac:dyDescent="0.2">
      <c r="A373" t="s">
        <v>418</v>
      </c>
      <c r="B373">
        <f>IF(COUNTIFS('United Data'!$A$3:$A$2150,B$1,'United Data'!$C$3:$C$2150,$A373)&gt;0,1,0)</f>
        <v>0</v>
      </c>
      <c r="C373">
        <f>IF(COUNTIFS('United Data'!$A$3:$A$2150,C$1,'United Data'!$C$3:$C$2150,$A373)&gt;0,1,0)</f>
        <v>0</v>
      </c>
      <c r="D373">
        <f>IF(COUNTIFS('United Data'!$A$3:$A$2150,D$1,'United Data'!$C$3:$C$2150,$A373)&gt;0,1,0)</f>
        <v>0</v>
      </c>
      <c r="E373">
        <f>IF(COUNTIFS('United Data'!$A$3:$A$2150,E$1,'United Data'!$C$3:$C$2150,$A373)&gt;0,1,0)</f>
        <v>0</v>
      </c>
      <c r="F373">
        <f>IF(COUNTIFS('United Data'!$A$3:$A$2150,F$1,'United Data'!$C$3:$C$2150,$A373)&gt;0,1,0)</f>
        <v>0</v>
      </c>
      <c r="G373">
        <f>IF(COUNTIFS('United Data'!$A$3:$A$2150,G$1,'United Data'!$C$3:$C$2150,$A373)&gt;0,1,0)</f>
        <v>0</v>
      </c>
      <c r="H373">
        <f>IF(COUNTIFS('United Data'!$A$3:$A$2150,H$1,'United Data'!$C$3:$C$2150,$A373)&gt;0,1,0)</f>
        <v>0</v>
      </c>
      <c r="I373">
        <f>IF(COUNTIFS('United Data'!$A$3:$A$2150,I$1,'United Data'!$C$3:$C$2150,$A373)&gt;0,1,0)</f>
        <v>1</v>
      </c>
      <c r="J373">
        <f>IF(COUNTIFS('United Data'!$A$3:$A$2150,J$1,'United Data'!$C$3:$C$2150,$A373)&gt;0,1,0)</f>
        <v>0</v>
      </c>
      <c r="K373">
        <f>IF(COUNTIFS('United Data'!$A$3:$A$2150,K$1,'United Data'!$C$3:$C$2150,$A373)&gt;0,1,0)</f>
        <v>0</v>
      </c>
      <c r="L373">
        <f>IF(COUNTIFS('United Data'!$A$3:$A$2150,L$1,'United Data'!$C$3:$C$2150,$A373)&gt;0,1,0)</f>
        <v>0</v>
      </c>
      <c r="M373">
        <f>IF(COUNTIFS('United Data'!$A$3:$A$2150,M$1,'United Data'!$C$3:$C$2150,$A373)&gt;0,1,0)</f>
        <v>0</v>
      </c>
      <c r="N373">
        <f>IF(COUNTIFS('United Data'!$A$3:$A$2150,N$1,'United Data'!$C$3:$C$2150,$A373)&gt;0,1,0)</f>
        <v>0</v>
      </c>
      <c r="O373">
        <f>IF(COUNTIFS('United Data'!$A$3:$A$2150,O$1,'United Data'!$C$3:$C$2150,$A373)&gt;0,1,0)</f>
        <v>0</v>
      </c>
      <c r="P373">
        <f>IF(COUNTIFS('United Data'!$A$3:$A$2150,P$1,'United Data'!$C$3:$C$2150,$A373)&gt;0,1,0)</f>
        <v>0</v>
      </c>
      <c r="Q373">
        <f>IF(COUNTIFS('United Data'!$A$3:$A$2150,Q$1,'United Data'!$C$3:$C$2150,$A373)&gt;0,1,0)</f>
        <v>0</v>
      </c>
      <c r="R373">
        <f>IF(COUNTIFS('United Data'!$A$3:$A$2150,R$1,'United Data'!$C$3:$C$2150,$A373)&gt;0,1,0)</f>
        <v>0</v>
      </c>
      <c r="S373">
        <f t="shared" si="10"/>
        <v>1</v>
      </c>
      <c r="T373">
        <f t="shared" si="11"/>
        <v>1</v>
      </c>
    </row>
    <row r="374" spans="1:20" x14ac:dyDescent="0.2">
      <c r="A374" t="s">
        <v>419</v>
      </c>
      <c r="B374">
        <f>IF(COUNTIFS('United Data'!$A$3:$A$2150,B$1,'United Data'!$C$3:$C$2150,$A374)&gt;0,1,0)</f>
        <v>0</v>
      </c>
      <c r="C374">
        <f>IF(COUNTIFS('United Data'!$A$3:$A$2150,C$1,'United Data'!$C$3:$C$2150,$A374)&gt;0,1,0)</f>
        <v>0</v>
      </c>
      <c r="D374">
        <f>IF(COUNTIFS('United Data'!$A$3:$A$2150,D$1,'United Data'!$C$3:$C$2150,$A374)&gt;0,1,0)</f>
        <v>0</v>
      </c>
      <c r="E374">
        <f>IF(COUNTIFS('United Data'!$A$3:$A$2150,E$1,'United Data'!$C$3:$C$2150,$A374)&gt;0,1,0)</f>
        <v>0</v>
      </c>
      <c r="F374">
        <f>IF(COUNTIFS('United Data'!$A$3:$A$2150,F$1,'United Data'!$C$3:$C$2150,$A374)&gt;0,1,0)</f>
        <v>0</v>
      </c>
      <c r="G374">
        <f>IF(COUNTIFS('United Data'!$A$3:$A$2150,G$1,'United Data'!$C$3:$C$2150,$A374)&gt;0,1,0)</f>
        <v>0</v>
      </c>
      <c r="H374">
        <f>IF(COUNTIFS('United Data'!$A$3:$A$2150,H$1,'United Data'!$C$3:$C$2150,$A374)&gt;0,1,0)</f>
        <v>0</v>
      </c>
      <c r="I374">
        <f>IF(COUNTIFS('United Data'!$A$3:$A$2150,I$1,'United Data'!$C$3:$C$2150,$A374)&gt;0,1,0)</f>
        <v>1</v>
      </c>
      <c r="J374">
        <f>IF(COUNTIFS('United Data'!$A$3:$A$2150,J$1,'United Data'!$C$3:$C$2150,$A374)&gt;0,1,0)</f>
        <v>0</v>
      </c>
      <c r="K374">
        <f>IF(COUNTIFS('United Data'!$A$3:$A$2150,K$1,'United Data'!$C$3:$C$2150,$A374)&gt;0,1,0)</f>
        <v>0</v>
      </c>
      <c r="L374">
        <f>IF(COUNTIFS('United Data'!$A$3:$A$2150,L$1,'United Data'!$C$3:$C$2150,$A374)&gt;0,1,0)</f>
        <v>0</v>
      </c>
      <c r="M374">
        <f>IF(COUNTIFS('United Data'!$A$3:$A$2150,M$1,'United Data'!$C$3:$C$2150,$A374)&gt;0,1,0)</f>
        <v>0</v>
      </c>
      <c r="N374">
        <f>IF(COUNTIFS('United Data'!$A$3:$A$2150,N$1,'United Data'!$C$3:$C$2150,$A374)&gt;0,1,0)</f>
        <v>0</v>
      </c>
      <c r="O374">
        <f>IF(COUNTIFS('United Data'!$A$3:$A$2150,O$1,'United Data'!$C$3:$C$2150,$A374)&gt;0,1,0)</f>
        <v>0</v>
      </c>
      <c r="P374">
        <f>IF(COUNTIFS('United Data'!$A$3:$A$2150,P$1,'United Data'!$C$3:$C$2150,$A374)&gt;0,1,0)</f>
        <v>0</v>
      </c>
      <c r="Q374">
        <f>IF(COUNTIFS('United Data'!$A$3:$A$2150,Q$1,'United Data'!$C$3:$C$2150,$A374)&gt;0,1,0)</f>
        <v>0</v>
      </c>
      <c r="R374">
        <f>IF(COUNTIFS('United Data'!$A$3:$A$2150,R$1,'United Data'!$C$3:$C$2150,$A374)&gt;0,1,0)</f>
        <v>0</v>
      </c>
      <c r="S374">
        <f t="shared" si="10"/>
        <v>1</v>
      </c>
      <c r="T374">
        <f t="shared" si="11"/>
        <v>1</v>
      </c>
    </row>
    <row r="375" spans="1:20" x14ac:dyDescent="0.2">
      <c r="A375" t="s">
        <v>420</v>
      </c>
      <c r="B375">
        <f>IF(COUNTIFS('United Data'!$A$3:$A$2150,B$1,'United Data'!$C$3:$C$2150,$A375)&gt;0,1,0)</f>
        <v>0</v>
      </c>
      <c r="C375">
        <f>IF(COUNTIFS('United Data'!$A$3:$A$2150,C$1,'United Data'!$C$3:$C$2150,$A375)&gt;0,1,0)</f>
        <v>0</v>
      </c>
      <c r="D375">
        <f>IF(COUNTIFS('United Data'!$A$3:$A$2150,D$1,'United Data'!$C$3:$C$2150,$A375)&gt;0,1,0)</f>
        <v>0</v>
      </c>
      <c r="E375">
        <f>IF(COUNTIFS('United Data'!$A$3:$A$2150,E$1,'United Data'!$C$3:$C$2150,$A375)&gt;0,1,0)</f>
        <v>0</v>
      </c>
      <c r="F375">
        <f>IF(COUNTIFS('United Data'!$A$3:$A$2150,F$1,'United Data'!$C$3:$C$2150,$A375)&gt;0,1,0)</f>
        <v>0</v>
      </c>
      <c r="G375">
        <f>IF(COUNTIFS('United Data'!$A$3:$A$2150,G$1,'United Data'!$C$3:$C$2150,$A375)&gt;0,1,0)</f>
        <v>0</v>
      </c>
      <c r="H375">
        <f>IF(COUNTIFS('United Data'!$A$3:$A$2150,H$1,'United Data'!$C$3:$C$2150,$A375)&gt;0,1,0)</f>
        <v>0</v>
      </c>
      <c r="I375">
        <f>IF(COUNTIFS('United Data'!$A$3:$A$2150,I$1,'United Data'!$C$3:$C$2150,$A375)&gt;0,1,0)</f>
        <v>0</v>
      </c>
      <c r="J375">
        <f>IF(COUNTIFS('United Data'!$A$3:$A$2150,J$1,'United Data'!$C$3:$C$2150,$A375)&gt;0,1,0)</f>
        <v>1</v>
      </c>
      <c r="K375">
        <f>IF(COUNTIFS('United Data'!$A$3:$A$2150,K$1,'United Data'!$C$3:$C$2150,$A375)&gt;0,1,0)</f>
        <v>0</v>
      </c>
      <c r="L375">
        <f>IF(COUNTIFS('United Data'!$A$3:$A$2150,L$1,'United Data'!$C$3:$C$2150,$A375)&gt;0,1,0)</f>
        <v>0</v>
      </c>
      <c r="M375">
        <f>IF(COUNTIFS('United Data'!$A$3:$A$2150,M$1,'United Data'!$C$3:$C$2150,$A375)&gt;0,1,0)</f>
        <v>0</v>
      </c>
      <c r="N375">
        <f>IF(COUNTIFS('United Data'!$A$3:$A$2150,N$1,'United Data'!$C$3:$C$2150,$A375)&gt;0,1,0)</f>
        <v>0</v>
      </c>
      <c r="O375">
        <f>IF(COUNTIFS('United Data'!$A$3:$A$2150,O$1,'United Data'!$C$3:$C$2150,$A375)&gt;0,1,0)</f>
        <v>0</v>
      </c>
      <c r="P375">
        <f>IF(COUNTIFS('United Data'!$A$3:$A$2150,P$1,'United Data'!$C$3:$C$2150,$A375)&gt;0,1,0)</f>
        <v>0</v>
      </c>
      <c r="Q375">
        <f>IF(COUNTIFS('United Data'!$A$3:$A$2150,Q$1,'United Data'!$C$3:$C$2150,$A375)&gt;0,1,0)</f>
        <v>0</v>
      </c>
      <c r="R375">
        <f>IF(COUNTIFS('United Data'!$A$3:$A$2150,R$1,'United Data'!$C$3:$C$2150,$A375)&gt;0,1,0)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421</v>
      </c>
      <c r="B376">
        <f>IF(COUNTIFS('United Data'!$A$3:$A$2150,B$1,'United Data'!$C$3:$C$2150,$A376)&gt;0,1,0)</f>
        <v>0</v>
      </c>
      <c r="C376">
        <f>IF(COUNTIFS('United Data'!$A$3:$A$2150,C$1,'United Data'!$C$3:$C$2150,$A376)&gt;0,1,0)</f>
        <v>0</v>
      </c>
      <c r="D376">
        <f>IF(COUNTIFS('United Data'!$A$3:$A$2150,D$1,'United Data'!$C$3:$C$2150,$A376)&gt;0,1,0)</f>
        <v>0</v>
      </c>
      <c r="E376">
        <f>IF(COUNTIFS('United Data'!$A$3:$A$2150,E$1,'United Data'!$C$3:$C$2150,$A376)&gt;0,1,0)</f>
        <v>0</v>
      </c>
      <c r="F376">
        <f>IF(COUNTIFS('United Data'!$A$3:$A$2150,F$1,'United Data'!$C$3:$C$2150,$A376)&gt;0,1,0)</f>
        <v>0</v>
      </c>
      <c r="G376">
        <f>IF(COUNTIFS('United Data'!$A$3:$A$2150,G$1,'United Data'!$C$3:$C$2150,$A376)&gt;0,1,0)</f>
        <v>0</v>
      </c>
      <c r="H376">
        <f>IF(COUNTIFS('United Data'!$A$3:$A$2150,H$1,'United Data'!$C$3:$C$2150,$A376)&gt;0,1,0)</f>
        <v>0</v>
      </c>
      <c r="I376">
        <f>IF(COUNTIFS('United Data'!$A$3:$A$2150,I$1,'United Data'!$C$3:$C$2150,$A376)&gt;0,1,0)</f>
        <v>0</v>
      </c>
      <c r="J376">
        <f>IF(COUNTIFS('United Data'!$A$3:$A$2150,J$1,'United Data'!$C$3:$C$2150,$A376)&gt;0,1,0)</f>
        <v>1</v>
      </c>
      <c r="K376">
        <f>IF(COUNTIFS('United Data'!$A$3:$A$2150,K$1,'United Data'!$C$3:$C$2150,$A376)&gt;0,1,0)</f>
        <v>1</v>
      </c>
      <c r="L376">
        <f>IF(COUNTIFS('United Data'!$A$3:$A$2150,L$1,'United Data'!$C$3:$C$2150,$A376)&gt;0,1,0)</f>
        <v>0</v>
      </c>
      <c r="M376">
        <f>IF(COUNTIFS('United Data'!$A$3:$A$2150,M$1,'United Data'!$C$3:$C$2150,$A376)&gt;0,1,0)</f>
        <v>0</v>
      </c>
      <c r="N376">
        <f>IF(COUNTIFS('United Data'!$A$3:$A$2150,N$1,'United Data'!$C$3:$C$2150,$A376)&gt;0,1,0)</f>
        <v>0</v>
      </c>
      <c r="O376">
        <f>IF(COUNTIFS('United Data'!$A$3:$A$2150,O$1,'United Data'!$C$3:$C$2150,$A376)&gt;0,1,0)</f>
        <v>0</v>
      </c>
      <c r="P376">
        <f>IF(COUNTIFS('United Data'!$A$3:$A$2150,P$1,'United Data'!$C$3:$C$2150,$A376)&gt;0,1,0)</f>
        <v>0</v>
      </c>
      <c r="Q376">
        <f>IF(COUNTIFS('United Data'!$A$3:$A$2150,Q$1,'United Data'!$C$3:$C$2150,$A376)&gt;0,1,0)</f>
        <v>0</v>
      </c>
      <c r="R376">
        <f>IF(COUNTIFS('United Data'!$A$3:$A$2150,R$1,'United Data'!$C$3:$C$2150,$A376)&gt;0,1,0)</f>
        <v>0</v>
      </c>
      <c r="S376">
        <f t="shared" si="10"/>
        <v>2</v>
      </c>
      <c r="T376">
        <f t="shared" si="11"/>
        <v>1</v>
      </c>
    </row>
    <row r="377" spans="1:20" x14ac:dyDescent="0.2">
      <c r="A377" t="s">
        <v>422</v>
      </c>
      <c r="B377">
        <f>IF(COUNTIFS('United Data'!$A$3:$A$2150,B$1,'United Data'!$C$3:$C$2150,$A377)&gt;0,1,0)</f>
        <v>0</v>
      </c>
      <c r="C377">
        <f>IF(COUNTIFS('United Data'!$A$3:$A$2150,C$1,'United Data'!$C$3:$C$2150,$A377)&gt;0,1,0)</f>
        <v>0</v>
      </c>
      <c r="D377">
        <f>IF(COUNTIFS('United Data'!$A$3:$A$2150,D$1,'United Data'!$C$3:$C$2150,$A377)&gt;0,1,0)</f>
        <v>0</v>
      </c>
      <c r="E377">
        <f>IF(COUNTIFS('United Data'!$A$3:$A$2150,E$1,'United Data'!$C$3:$C$2150,$A377)&gt;0,1,0)</f>
        <v>0</v>
      </c>
      <c r="F377">
        <f>IF(COUNTIFS('United Data'!$A$3:$A$2150,F$1,'United Data'!$C$3:$C$2150,$A377)&gt;0,1,0)</f>
        <v>0</v>
      </c>
      <c r="G377">
        <f>IF(COUNTIFS('United Data'!$A$3:$A$2150,G$1,'United Data'!$C$3:$C$2150,$A377)&gt;0,1,0)</f>
        <v>0</v>
      </c>
      <c r="H377">
        <f>IF(COUNTIFS('United Data'!$A$3:$A$2150,H$1,'United Data'!$C$3:$C$2150,$A377)&gt;0,1,0)</f>
        <v>0</v>
      </c>
      <c r="I377">
        <f>IF(COUNTIFS('United Data'!$A$3:$A$2150,I$1,'United Data'!$C$3:$C$2150,$A377)&gt;0,1,0)</f>
        <v>0</v>
      </c>
      <c r="J377">
        <f>IF(COUNTIFS('United Data'!$A$3:$A$2150,J$1,'United Data'!$C$3:$C$2150,$A377)&gt;0,1,0)</f>
        <v>1</v>
      </c>
      <c r="K377">
        <f>IF(COUNTIFS('United Data'!$A$3:$A$2150,K$1,'United Data'!$C$3:$C$2150,$A377)&gt;0,1,0)</f>
        <v>0</v>
      </c>
      <c r="L377">
        <f>IF(COUNTIFS('United Data'!$A$3:$A$2150,L$1,'United Data'!$C$3:$C$2150,$A377)&gt;0,1,0)</f>
        <v>0</v>
      </c>
      <c r="M377">
        <f>IF(COUNTIFS('United Data'!$A$3:$A$2150,M$1,'United Data'!$C$3:$C$2150,$A377)&gt;0,1,0)</f>
        <v>0</v>
      </c>
      <c r="N377">
        <f>IF(COUNTIFS('United Data'!$A$3:$A$2150,N$1,'United Data'!$C$3:$C$2150,$A377)&gt;0,1,0)</f>
        <v>0</v>
      </c>
      <c r="O377">
        <f>IF(COUNTIFS('United Data'!$A$3:$A$2150,O$1,'United Data'!$C$3:$C$2150,$A377)&gt;0,1,0)</f>
        <v>0</v>
      </c>
      <c r="P377">
        <f>IF(COUNTIFS('United Data'!$A$3:$A$2150,P$1,'United Data'!$C$3:$C$2150,$A377)&gt;0,1,0)</f>
        <v>0</v>
      </c>
      <c r="Q377">
        <f>IF(COUNTIFS('United Data'!$A$3:$A$2150,Q$1,'United Data'!$C$3:$C$2150,$A377)&gt;0,1,0)</f>
        <v>0</v>
      </c>
      <c r="R377">
        <f>IF(COUNTIFS('United Data'!$A$3:$A$2150,R$1,'United Data'!$C$3:$C$2150,$A377)&gt;0,1,0)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423</v>
      </c>
      <c r="B378">
        <f>IF(COUNTIFS('United Data'!$A$3:$A$2150,B$1,'United Data'!$C$3:$C$2150,$A378)&gt;0,1,0)</f>
        <v>0</v>
      </c>
      <c r="C378">
        <f>IF(COUNTIFS('United Data'!$A$3:$A$2150,C$1,'United Data'!$C$3:$C$2150,$A378)&gt;0,1,0)</f>
        <v>0</v>
      </c>
      <c r="D378">
        <f>IF(COUNTIFS('United Data'!$A$3:$A$2150,D$1,'United Data'!$C$3:$C$2150,$A378)&gt;0,1,0)</f>
        <v>0</v>
      </c>
      <c r="E378">
        <f>IF(COUNTIFS('United Data'!$A$3:$A$2150,E$1,'United Data'!$C$3:$C$2150,$A378)&gt;0,1,0)</f>
        <v>0</v>
      </c>
      <c r="F378">
        <f>IF(COUNTIFS('United Data'!$A$3:$A$2150,F$1,'United Data'!$C$3:$C$2150,$A378)&gt;0,1,0)</f>
        <v>0</v>
      </c>
      <c r="G378">
        <f>IF(COUNTIFS('United Data'!$A$3:$A$2150,G$1,'United Data'!$C$3:$C$2150,$A378)&gt;0,1,0)</f>
        <v>0</v>
      </c>
      <c r="H378">
        <f>IF(COUNTIFS('United Data'!$A$3:$A$2150,H$1,'United Data'!$C$3:$C$2150,$A378)&gt;0,1,0)</f>
        <v>0</v>
      </c>
      <c r="I378">
        <f>IF(COUNTIFS('United Data'!$A$3:$A$2150,I$1,'United Data'!$C$3:$C$2150,$A378)&gt;0,1,0)</f>
        <v>0</v>
      </c>
      <c r="J378">
        <f>IF(COUNTIFS('United Data'!$A$3:$A$2150,J$1,'United Data'!$C$3:$C$2150,$A378)&gt;0,1,0)</f>
        <v>1</v>
      </c>
      <c r="K378">
        <f>IF(COUNTIFS('United Data'!$A$3:$A$2150,K$1,'United Data'!$C$3:$C$2150,$A378)&gt;0,1,0)</f>
        <v>1</v>
      </c>
      <c r="L378">
        <f>IF(COUNTIFS('United Data'!$A$3:$A$2150,L$1,'United Data'!$C$3:$C$2150,$A378)&gt;0,1,0)</f>
        <v>0</v>
      </c>
      <c r="M378">
        <f>IF(COUNTIFS('United Data'!$A$3:$A$2150,M$1,'United Data'!$C$3:$C$2150,$A378)&gt;0,1,0)</f>
        <v>0</v>
      </c>
      <c r="N378">
        <f>IF(COUNTIFS('United Data'!$A$3:$A$2150,N$1,'United Data'!$C$3:$C$2150,$A378)&gt;0,1,0)</f>
        <v>0</v>
      </c>
      <c r="O378">
        <f>IF(COUNTIFS('United Data'!$A$3:$A$2150,O$1,'United Data'!$C$3:$C$2150,$A378)&gt;0,1,0)</f>
        <v>0</v>
      </c>
      <c r="P378">
        <f>IF(COUNTIFS('United Data'!$A$3:$A$2150,P$1,'United Data'!$C$3:$C$2150,$A378)&gt;0,1,0)</f>
        <v>0</v>
      </c>
      <c r="Q378">
        <f>IF(COUNTIFS('United Data'!$A$3:$A$2150,Q$1,'United Data'!$C$3:$C$2150,$A378)&gt;0,1,0)</f>
        <v>0</v>
      </c>
      <c r="R378">
        <f>IF(COUNTIFS('United Data'!$A$3:$A$2150,R$1,'United Data'!$C$3:$C$2150,$A378)&gt;0,1,0)</f>
        <v>0</v>
      </c>
      <c r="S378">
        <f t="shared" si="10"/>
        <v>2</v>
      </c>
      <c r="T378">
        <f t="shared" si="11"/>
        <v>1</v>
      </c>
    </row>
    <row r="379" spans="1:20" x14ac:dyDescent="0.2">
      <c r="A379" t="s">
        <v>424</v>
      </c>
      <c r="B379">
        <f>IF(COUNTIFS('United Data'!$A$3:$A$2150,B$1,'United Data'!$C$3:$C$2150,$A379)&gt;0,1,0)</f>
        <v>0</v>
      </c>
      <c r="C379">
        <f>IF(COUNTIFS('United Data'!$A$3:$A$2150,C$1,'United Data'!$C$3:$C$2150,$A379)&gt;0,1,0)</f>
        <v>0</v>
      </c>
      <c r="D379">
        <f>IF(COUNTIFS('United Data'!$A$3:$A$2150,D$1,'United Data'!$C$3:$C$2150,$A379)&gt;0,1,0)</f>
        <v>0</v>
      </c>
      <c r="E379">
        <f>IF(COUNTIFS('United Data'!$A$3:$A$2150,E$1,'United Data'!$C$3:$C$2150,$A379)&gt;0,1,0)</f>
        <v>0</v>
      </c>
      <c r="F379">
        <f>IF(COUNTIFS('United Data'!$A$3:$A$2150,F$1,'United Data'!$C$3:$C$2150,$A379)&gt;0,1,0)</f>
        <v>0</v>
      </c>
      <c r="G379">
        <f>IF(COUNTIFS('United Data'!$A$3:$A$2150,G$1,'United Data'!$C$3:$C$2150,$A379)&gt;0,1,0)</f>
        <v>0</v>
      </c>
      <c r="H379">
        <f>IF(COUNTIFS('United Data'!$A$3:$A$2150,H$1,'United Data'!$C$3:$C$2150,$A379)&gt;0,1,0)</f>
        <v>0</v>
      </c>
      <c r="I379">
        <f>IF(COUNTIFS('United Data'!$A$3:$A$2150,I$1,'United Data'!$C$3:$C$2150,$A379)&gt;0,1,0)</f>
        <v>0</v>
      </c>
      <c r="J379">
        <f>IF(COUNTIFS('United Data'!$A$3:$A$2150,J$1,'United Data'!$C$3:$C$2150,$A379)&gt;0,1,0)</f>
        <v>1</v>
      </c>
      <c r="K379">
        <f>IF(COUNTIFS('United Data'!$A$3:$A$2150,K$1,'United Data'!$C$3:$C$2150,$A379)&gt;0,1,0)</f>
        <v>0</v>
      </c>
      <c r="L379">
        <f>IF(COUNTIFS('United Data'!$A$3:$A$2150,L$1,'United Data'!$C$3:$C$2150,$A379)&gt;0,1,0)</f>
        <v>0</v>
      </c>
      <c r="M379">
        <f>IF(COUNTIFS('United Data'!$A$3:$A$2150,M$1,'United Data'!$C$3:$C$2150,$A379)&gt;0,1,0)</f>
        <v>0</v>
      </c>
      <c r="N379">
        <f>IF(COUNTIFS('United Data'!$A$3:$A$2150,N$1,'United Data'!$C$3:$C$2150,$A379)&gt;0,1,0)</f>
        <v>0</v>
      </c>
      <c r="O379">
        <f>IF(COUNTIFS('United Data'!$A$3:$A$2150,O$1,'United Data'!$C$3:$C$2150,$A379)&gt;0,1,0)</f>
        <v>0</v>
      </c>
      <c r="P379">
        <f>IF(COUNTIFS('United Data'!$A$3:$A$2150,P$1,'United Data'!$C$3:$C$2150,$A379)&gt;0,1,0)</f>
        <v>0</v>
      </c>
      <c r="Q379">
        <f>IF(COUNTIFS('United Data'!$A$3:$A$2150,Q$1,'United Data'!$C$3:$C$2150,$A379)&gt;0,1,0)</f>
        <v>0</v>
      </c>
      <c r="R379">
        <f>IF(COUNTIFS('United Data'!$A$3:$A$2150,R$1,'United Data'!$C$3:$C$2150,$A379)&gt;0,1,0)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425</v>
      </c>
      <c r="B380">
        <f>IF(COUNTIFS('United Data'!$A$3:$A$2150,B$1,'United Data'!$C$3:$C$2150,$A380)&gt;0,1,0)</f>
        <v>0</v>
      </c>
      <c r="C380">
        <f>IF(COUNTIFS('United Data'!$A$3:$A$2150,C$1,'United Data'!$C$3:$C$2150,$A380)&gt;0,1,0)</f>
        <v>0</v>
      </c>
      <c r="D380">
        <f>IF(COUNTIFS('United Data'!$A$3:$A$2150,D$1,'United Data'!$C$3:$C$2150,$A380)&gt;0,1,0)</f>
        <v>0</v>
      </c>
      <c r="E380">
        <f>IF(COUNTIFS('United Data'!$A$3:$A$2150,E$1,'United Data'!$C$3:$C$2150,$A380)&gt;0,1,0)</f>
        <v>0</v>
      </c>
      <c r="F380">
        <f>IF(COUNTIFS('United Data'!$A$3:$A$2150,F$1,'United Data'!$C$3:$C$2150,$A380)&gt;0,1,0)</f>
        <v>0</v>
      </c>
      <c r="G380">
        <f>IF(COUNTIFS('United Data'!$A$3:$A$2150,G$1,'United Data'!$C$3:$C$2150,$A380)&gt;0,1,0)</f>
        <v>0</v>
      </c>
      <c r="H380">
        <f>IF(COUNTIFS('United Data'!$A$3:$A$2150,H$1,'United Data'!$C$3:$C$2150,$A380)&gt;0,1,0)</f>
        <v>0</v>
      </c>
      <c r="I380">
        <f>IF(COUNTIFS('United Data'!$A$3:$A$2150,I$1,'United Data'!$C$3:$C$2150,$A380)&gt;0,1,0)</f>
        <v>0</v>
      </c>
      <c r="J380">
        <f>IF(COUNTIFS('United Data'!$A$3:$A$2150,J$1,'United Data'!$C$3:$C$2150,$A380)&gt;0,1,0)</f>
        <v>0</v>
      </c>
      <c r="K380">
        <f>IF(COUNTIFS('United Data'!$A$3:$A$2150,K$1,'United Data'!$C$3:$C$2150,$A380)&gt;0,1,0)</f>
        <v>1</v>
      </c>
      <c r="L380">
        <f>IF(COUNTIFS('United Data'!$A$3:$A$2150,L$1,'United Data'!$C$3:$C$2150,$A380)&gt;0,1,0)</f>
        <v>0</v>
      </c>
      <c r="M380">
        <f>IF(COUNTIFS('United Data'!$A$3:$A$2150,M$1,'United Data'!$C$3:$C$2150,$A380)&gt;0,1,0)</f>
        <v>0</v>
      </c>
      <c r="N380">
        <f>IF(COUNTIFS('United Data'!$A$3:$A$2150,N$1,'United Data'!$C$3:$C$2150,$A380)&gt;0,1,0)</f>
        <v>0</v>
      </c>
      <c r="O380">
        <f>IF(COUNTIFS('United Data'!$A$3:$A$2150,O$1,'United Data'!$C$3:$C$2150,$A380)&gt;0,1,0)</f>
        <v>0</v>
      </c>
      <c r="P380">
        <f>IF(COUNTIFS('United Data'!$A$3:$A$2150,P$1,'United Data'!$C$3:$C$2150,$A380)&gt;0,1,0)</f>
        <v>0</v>
      </c>
      <c r="Q380">
        <f>IF(COUNTIFS('United Data'!$A$3:$A$2150,Q$1,'United Data'!$C$3:$C$2150,$A380)&gt;0,1,0)</f>
        <v>0</v>
      </c>
      <c r="R380">
        <f>IF(COUNTIFS('United Data'!$A$3:$A$2150,R$1,'United Data'!$C$3:$C$2150,$A380)&gt;0,1,0)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426</v>
      </c>
      <c r="B381">
        <f>IF(COUNTIFS('United Data'!$A$3:$A$2150,B$1,'United Data'!$C$3:$C$2150,$A381)&gt;0,1,0)</f>
        <v>0</v>
      </c>
      <c r="C381">
        <f>IF(COUNTIFS('United Data'!$A$3:$A$2150,C$1,'United Data'!$C$3:$C$2150,$A381)&gt;0,1,0)</f>
        <v>0</v>
      </c>
      <c r="D381">
        <f>IF(COUNTIFS('United Data'!$A$3:$A$2150,D$1,'United Data'!$C$3:$C$2150,$A381)&gt;0,1,0)</f>
        <v>0</v>
      </c>
      <c r="E381">
        <f>IF(COUNTIFS('United Data'!$A$3:$A$2150,E$1,'United Data'!$C$3:$C$2150,$A381)&gt;0,1,0)</f>
        <v>0</v>
      </c>
      <c r="F381">
        <f>IF(COUNTIFS('United Data'!$A$3:$A$2150,F$1,'United Data'!$C$3:$C$2150,$A381)&gt;0,1,0)</f>
        <v>0</v>
      </c>
      <c r="G381">
        <f>IF(COUNTIFS('United Data'!$A$3:$A$2150,G$1,'United Data'!$C$3:$C$2150,$A381)&gt;0,1,0)</f>
        <v>0</v>
      </c>
      <c r="H381">
        <f>IF(COUNTIFS('United Data'!$A$3:$A$2150,H$1,'United Data'!$C$3:$C$2150,$A381)&gt;0,1,0)</f>
        <v>0</v>
      </c>
      <c r="I381">
        <f>IF(COUNTIFS('United Data'!$A$3:$A$2150,I$1,'United Data'!$C$3:$C$2150,$A381)&gt;0,1,0)</f>
        <v>0</v>
      </c>
      <c r="J381">
        <f>IF(COUNTIFS('United Data'!$A$3:$A$2150,J$1,'United Data'!$C$3:$C$2150,$A381)&gt;0,1,0)</f>
        <v>0</v>
      </c>
      <c r="K381">
        <f>IF(COUNTIFS('United Data'!$A$3:$A$2150,K$1,'United Data'!$C$3:$C$2150,$A381)&gt;0,1,0)</f>
        <v>1</v>
      </c>
      <c r="L381">
        <f>IF(COUNTIFS('United Data'!$A$3:$A$2150,L$1,'United Data'!$C$3:$C$2150,$A381)&gt;0,1,0)</f>
        <v>0</v>
      </c>
      <c r="M381">
        <f>IF(COUNTIFS('United Data'!$A$3:$A$2150,M$1,'United Data'!$C$3:$C$2150,$A381)&gt;0,1,0)</f>
        <v>0</v>
      </c>
      <c r="N381">
        <f>IF(COUNTIFS('United Data'!$A$3:$A$2150,N$1,'United Data'!$C$3:$C$2150,$A381)&gt;0,1,0)</f>
        <v>0</v>
      </c>
      <c r="O381">
        <f>IF(COUNTIFS('United Data'!$A$3:$A$2150,O$1,'United Data'!$C$3:$C$2150,$A381)&gt;0,1,0)</f>
        <v>0</v>
      </c>
      <c r="P381">
        <f>IF(COUNTIFS('United Data'!$A$3:$A$2150,P$1,'United Data'!$C$3:$C$2150,$A381)&gt;0,1,0)</f>
        <v>0</v>
      </c>
      <c r="Q381">
        <f>IF(COUNTIFS('United Data'!$A$3:$A$2150,Q$1,'United Data'!$C$3:$C$2150,$A381)&gt;0,1,0)</f>
        <v>0</v>
      </c>
      <c r="R381">
        <f>IF(COUNTIFS('United Data'!$A$3:$A$2150,R$1,'United Data'!$C$3:$C$2150,$A381)&gt;0,1,0)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427</v>
      </c>
      <c r="B382">
        <f>IF(COUNTIFS('United Data'!$A$3:$A$2150,B$1,'United Data'!$C$3:$C$2150,$A382)&gt;0,1,0)</f>
        <v>0</v>
      </c>
      <c r="C382">
        <f>IF(COUNTIFS('United Data'!$A$3:$A$2150,C$1,'United Data'!$C$3:$C$2150,$A382)&gt;0,1,0)</f>
        <v>0</v>
      </c>
      <c r="D382">
        <f>IF(COUNTIFS('United Data'!$A$3:$A$2150,D$1,'United Data'!$C$3:$C$2150,$A382)&gt;0,1,0)</f>
        <v>0</v>
      </c>
      <c r="E382">
        <f>IF(COUNTIFS('United Data'!$A$3:$A$2150,E$1,'United Data'!$C$3:$C$2150,$A382)&gt;0,1,0)</f>
        <v>0</v>
      </c>
      <c r="F382">
        <f>IF(COUNTIFS('United Data'!$A$3:$A$2150,F$1,'United Data'!$C$3:$C$2150,$A382)&gt;0,1,0)</f>
        <v>0</v>
      </c>
      <c r="G382">
        <f>IF(COUNTIFS('United Data'!$A$3:$A$2150,G$1,'United Data'!$C$3:$C$2150,$A382)&gt;0,1,0)</f>
        <v>0</v>
      </c>
      <c r="H382">
        <f>IF(COUNTIFS('United Data'!$A$3:$A$2150,H$1,'United Data'!$C$3:$C$2150,$A382)&gt;0,1,0)</f>
        <v>0</v>
      </c>
      <c r="I382">
        <f>IF(COUNTIFS('United Data'!$A$3:$A$2150,I$1,'United Data'!$C$3:$C$2150,$A382)&gt;0,1,0)</f>
        <v>0</v>
      </c>
      <c r="J382">
        <f>IF(COUNTIFS('United Data'!$A$3:$A$2150,J$1,'United Data'!$C$3:$C$2150,$A382)&gt;0,1,0)</f>
        <v>0</v>
      </c>
      <c r="K382">
        <f>IF(COUNTIFS('United Data'!$A$3:$A$2150,K$1,'United Data'!$C$3:$C$2150,$A382)&gt;0,1,0)</f>
        <v>1</v>
      </c>
      <c r="L382">
        <f>IF(COUNTIFS('United Data'!$A$3:$A$2150,L$1,'United Data'!$C$3:$C$2150,$A382)&gt;0,1,0)</f>
        <v>0</v>
      </c>
      <c r="M382">
        <f>IF(COUNTIFS('United Data'!$A$3:$A$2150,M$1,'United Data'!$C$3:$C$2150,$A382)&gt;0,1,0)</f>
        <v>0</v>
      </c>
      <c r="N382">
        <f>IF(COUNTIFS('United Data'!$A$3:$A$2150,N$1,'United Data'!$C$3:$C$2150,$A382)&gt;0,1,0)</f>
        <v>0</v>
      </c>
      <c r="O382">
        <f>IF(COUNTIFS('United Data'!$A$3:$A$2150,O$1,'United Data'!$C$3:$C$2150,$A382)&gt;0,1,0)</f>
        <v>0</v>
      </c>
      <c r="P382">
        <f>IF(COUNTIFS('United Data'!$A$3:$A$2150,P$1,'United Data'!$C$3:$C$2150,$A382)&gt;0,1,0)</f>
        <v>0</v>
      </c>
      <c r="Q382">
        <f>IF(COUNTIFS('United Data'!$A$3:$A$2150,Q$1,'United Data'!$C$3:$C$2150,$A382)&gt;0,1,0)</f>
        <v>0</v>
      </c>
      <c r="R382">
        <f>IF(COUNTIFS('United Data'!$A$3:$A$2150,R$1,'United Data'!$C$3:$C$2150,$A382)&gt;0,1,0)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428</v>
      </c>
      <c r="B383">
        <f>IF(COUNTIFS('United Data'!$A$3:$A$2150,B$1,'United Data'!$C$3:$C$2150,$A383)&gt;0,1,0)</f>
        <v>0</v>
      </c>
      <c r="C383">
        <f>IF(COUNTIFS('United Data'!$A$3:$A$2150,C$1,'United Data'!$C$3:$C$2150,$A383)&gt;0,1,0)</f>
        <v>0</v>
      </c>
      <c r="D383">
        <f>IF(COUNTIFS('United Data'!$A$3:$A$2150,D$1,'United Data'!$C$3:$C$2150,$A383)&gt;0,1,0)</f>
        <v>0</v>
      </c>
      <c r="E383">
        <f>IF(COUNTIFS('United Data'!$A$3:$A$2150,E$1,'United Data'!$C$3:$C$2150,$A383)&gt;0,1,0)</f>
        <v>0</v>
      </c>
      <c r="F383">
        <f>IF(COUNTIFS('United Data'!$A$3:$A$2150,F$1,'United Data'!$C$3:$C$2150,$A383)&gt;0,1,0)</f>
        <v>0</v>
      </c>
      <c r="G383">
        <f>IF(COUNTIFS('United Data'!$A$3:$A$2150,G$1,'United Data'!$C$3:$C$2150,$A383)&gt;0,1,0)</f>
        <v>0</v>
      </c>
      <c r="H383">
        <f>IF(COUNTIFS('United Data'!$A$3:$A$2150,H$1,'United Data'!$C$3:$C$2150,$A383)&gt;0,1,0)</f>
        <v>0</v>
      </c>
      <c r="I383">
        <f>IF(COUNTIFS('United Data'!$A$3:$A$2150,I$1,'United Data'!$C$3:$C$2150,$A383)&gt;0,1,0)</f>
        <v>0</v>
      </c>
      <c r="J383">
        <f>IF(COUNTIFS('United Data'!$A$3:$A$2150,J$1,'United Data'!$C$3:$C$2150,$A383)&gt;0,1,0)</f>
        <v>0</v>
      </c>
      <c r="K383">
        <f>IF(COUNTIFS('United Data'!$A$3:$A$2150,K$1,'United Data'!$C$3:$C$2150,$A383)&gt;0,1,0)</f>
        <v>1</v>
      </c>
      <c r="L383">
        <f>IF(COUNTIFS('United Data'!$A$3:$A$2150,L$1,'United Data'!$C$3:$C$2150,$A383)&gt;0,1,0)</f>
        <v>0</v>
      </c>
      <c r="M383">
        <f>IF(COUNTIFS('United Data'!$A$3:$A$2150,M$1,'United Data'!$C$3:$C$2150,$A383)&gt;0,1,0)</f>
        <v>0</v>
      </c>
      <c r="N383">
        <f>IF(COUNTIFS('United Data'!$A$3:$A$2150,N$1,'United Data'!$C$3:$C$2150,$A383)&gt;0,1,0)</f>
        <v>0</v>
      </c>
      <c r="O383">
        <f>IF(COUNTIFS('United Data'!$A$3:$A$2150,O$1,'United Data'!$C$3:$C$2150,$A383)&gt;0,1,0)</f>
        <v>0</v>
      </c>
      <c r="P383">
        <f>IF(COUNTIFS('United Data'!$A$3:$A$2150,P$1,'United Data'!$C$3:$C$2150,$A383)&gt;0,1,0)</f>
        <v>0</v>
      </c>
      <c r="Q383">
        <f>IF(COUNTIFS('United Data'!$A$3:$A$2150,Q$1,'United Data'!$C$3:$C$2150,$A383)&gt;0,1,0)</f>
        <v>0</v>
      </c>
      <c r="R383">
        <f>IF(COUNTIFS('United Data'!$A$3:$A$2150,R$1,'United Data'!$C$3:$C$2150,$A383)&gt;0,1,0)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429</v>
      </c>
      <c r="B384">
        <f>IF(COUNTIFS('United Data'!$A$3:$A$2150,B$1,'United Data'!$C$3:$C$2150,$A384)&gt;0,1,0)</f>
        <v>0</v>
      </c>
      <c r="C384">
        <f>IF(COUNTIFS('United Data'!$A$3:$A$2150,C$1,'United Data'!$C$3:$C$2150,$A384)&gt;0,1,0)</f>
        <v>0</v>
      </c>
      <c r="D384">
        <f>IF(COUNTIFS('United Data'!$A$3:$A$2150,D$1,'United Data'!$C$3:$C$2150,$A384)&gt;0,1,0)</f>
        <v>0</v>
      </c>
      <c r="E384">
        <f>IF(COUNTIFS('United Data'!$A$3:$A$2150,E$1,'United Data'!$C$3:$C$2150,$A384)&gt;0,1,0)</f>
        <v>0</v>
      </c>
      <c r="F384">
        <f>IF(COUNTIFS('United Data'!$A$3:$A$2150,F$1,'United Data'!$C$3:$C$2150,$A384)&gt;0,1,0)</f>
        <v>0</v>
      </c>
      <c r="G384">
        <f>IF(COUNTIFS('United Data'!$A$3:$A$2150,G$1,'United Data'!$C$3:$C$2150,$A384)&gt;0,1,0)</f>
        <v>0</v>
      </c>
      <c r="H384">
        <f>IF(COUNTIFS('United Data'!$A$3:$A$2150,H$1,'United Data'!$C$3:$C$2150,$A384)&gt;0,1,0)</f>
        <v>0</v>
      </c>
      <c r="I384">
        <f>IF(COUNTIFS('United Data'!$A$3:$A$2150,I$1,'United Data'!$C$3:$C$2150,$A384)&gt;0,1,0)</f>
        <v>0</v>
      </c>
      <c r="J384">
        <f>IF(COUNTIFS('United Data'!$A$3:$A$2150,J$1,'United Data'!$C$3:$C$2150,$A384)&gt;0,1,0)</f>
        <v>0</v>
      </c>
      <c r="K384">
        <f>IF(COUNTIFS('United Data'!$A$3:$A$2150,K$1,'United Data'!$C$3:$C$2150,$A384)&gt;0,1,0)</f>
        <v>1</v>
      </c>
      <c r="L384">
        <f>IF(COUNTIFS('United Data'!$A$3:$A$2150,L$1,'United Data'!$C$3:$C$2150,$A384)&gt;0,1,0)</f>
        <v>0</v>
      </c>
      <c r="M384">
        <f>IF(COUNTIFS('United Data'!$A$3:$A$2150,M$1,'United Data'!$C$3:$C$2150,$A384)&gt;0,1,0)</f>
        <v>0</v>
      </c>
      <c r="N384">
        <f>IF(COUNTIFS('United Data'!$A$3:$A$2150,N$1,'United Data'!$C$3:$C$2150,$A384)&gt;0,1,0)</f>
        <v>0</v>
      </c>
      <c r="O384">
        <f>IF(COUNTIFS('United Data'!$A$3:$A$2150,O$1,'United Data'!$C$3:$C$2150,$A384)&gt;0,1,0)</f>
        <v>0</v>
      </c>
      <c r="P384">
        <f>IF(COUNTIFS('United Data'!$A$3:$A$2150,P$1,'United Data'!$C$3:$C$2150,$A384)&gt;0,1,0)</f>
        <v>0</v>
      </c>
      <c r="Q384">
        <f>IF(COUNTIFS('United Data'!$A$3:$A$2150,Q$1,'United Data'!$C$3:$C$2150,$A384)&gt;0,1,0)</f>
        <v>0</v>
      </c>
      <c r="R384">
        <f>IF(COUNTIFS('United Data'!$A$3:$A$2150,R$1,'United Data'!$C$3:$C$2150,$A384)&gt;0,1,0)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430</v>
      </c>
      <c r="B385">
        <f>IF(COUNTIFS('United Data'!$A$3:$A$2150,B$1,'United Data'!$C$3:$C$2150,$A385)&gt;0,1,0)</f>
        <v>0</v>
      </c>
      <c r="C385">
        <f>IF(COUNTIFS('United Data'!$A$3:$A$2150,C$1,'United Data'!$C$3:$C$2150,$A385)&gt;0,1,0)</f>
        <v>0</v>
      </c>
      <c r="D385">
        <f>IF(COUNTIFS('United Data'!$A$3:$A$2150,D$1,'United Data'!$C$3:$C$2150,$A385)&gt;0,1,0)</f>
        <v>0</v>
      </c>
      <c r="E385">
        <f>IF(COUNTIFS('United Data'!$A$3:$A$2150,E$1,'United Data'!$C$3:$C$2150,$A385)&gt;0,1,0)</f>
        <v>0</v>
      </c>
      <c r="F385">
        <f>IF(COUNTIFS('United Data'!$A$3:$A$2150,F$1,'United Data'!$C$3:$C$2150,$A385)&gt;0,1,0)</f>
        <v>0</v>
      </c>
      <c r="G385">
        <f>IF(COUNTIFS('United Data'!$A$3:$A$2150,G$1,'United Data'!$C$3:$C$2150,$A385)&gt;0,1,0)</f>
        <v>0</v>
      </c>
      <c r="H385">
        <f>IF(COUNTIFS('United Data'!$A$3:$A$2150,H$1,'United Data'!$C$3:$C$2150,$A385)&gt;0,1,0)</f>
        <v>0</v>
      </c>
      <c r="I385">
        <f>IF(COUNTIFS('United Data'!$A$3:$A$2150,I$1,'United Data'!$C$3:$C$2150,$A385)&gt;0,1,0)</f>
        <v>0</v>
      </c>
      <c r="J385">
        <f>IF(COUNTIFS('United Data'!$A$3:$A$2150,J$1,'United Data'!$C$3:$C$2150,$A385)&gt;0,1,0)</f>
        <v>0</v>
      </c>
      <c r="K385">
        <f>IF(COUNTIFS('United Data'!$A$3:$A$2150,K$1,'United Data'!$C$3:$C$2150,$A385)&gt;0,1,0)</f>
        <v>1</v>
      </c>
      <c r="L385">
        <f>IF(COUNTIFS('United Data'!$A$3:$A$2150,L$1,'United Data'!$C$3:$C$2150,$A385)&gt;0,1,0)</f>
        <v>0</v>
      </c>
      <c r="M385">
        <f>IF(COUNTIFS('United Data'!$A$3:$A$2150,M$1,'United Data'!$C$3:$C$2150,$A385)&gt;0,1,0)</f>
        <v>0</v>
      </c>
      <c r="N385">
        <f>IF(COUNTIFS('United Data'!$A$3:$A$2150,N$1,'United Data'!$C$3:$C$2150,$A385)&gt;0,1,0)</f>
        <v>0</v>
      </c>
      <c r="O385">
        <f>IF(COUNTIFS('United Data'!$A$3:$A$2150,O$1,'United Data'!$C$3:$C$2150,$A385)&gt;0,1,0)</f>
        <v>0</v>
      </c>
      <c r="P385">
        <f>IF(COUNTIFS('United Data'!$A$3:$A$2150,P$1,'United Data'!$C$3:$C$2150,$A385)&gt;0,1,0)</f>
        <v>0</v>
      </c>
      <c r="Q385">
        <f>IF(COUNTIFS('United Data'!$A$3:$A$2150,Q$1,'United Data'!$C$3:$C$2150,$A385)&gt;0,1,0)</f>
        <v>0</v>
      </c>
      <c r="R385">
        <f>IF(COUNTIFS('United Data'!$A$3:$A$2150,R$1,'United Data'!$C$3:$C$2150,$A385)&gt;0,1,0)</f>
        <v>0</v>
      </c>
      <c r="S385">
        <f t="shared" si="10"/>
        <v>1</v>
      </c>
      <c r="T385">
        <f t="shared" si="11"/>
        <v>1</v>
      </c>
    </row>
    <row r="386" spans="1:20" x14ac:dyDescent="0.2">
      <c r="A386" t="s">
        <v>431</v>
      </c>
      <c r="B386">
        <f>IF(COUNTIFS('United Data'!$A$3:$A$2150,B$1,'United Data'!$C$3:$C$2150,$A386)&gt;0,1,0)</f>
        <v>0</v>
      </c>
      <c r="C386">
        <f>IF(COUNTIFS('United Data'!$A$3:$A$2150,C$1,'United Data'!$C$3:$C$2150,$A386)&gt;0,1,0)</f>
        <v>0</v>
      </c>
      <c r="D386">
        <f>IF(COUNTIFS('United Data'!$A$3:$A$2150,D$1,'United Data'!$C$3:$C$2150,$A386)&gt;0,1,0)</f>
        <v>0</v>
      </c>
      <c r="E386">
        <f>IF(COUNTIFS('United Data'!$A$3:$A$2150,E$1,'United Data'!$C$3:$C$2150,$A386)&gt;0,1,0)</f>
        <v>0</v>
      </c>
      <c r="F386">
        <f>IF(COUNTIFS('United Data'!$A$3:$A$2150,F$1,'United Data'!$C$3:$C$2150,$A386)&gt;0,1,0)</f>
        <v>0</v>
      </c>
      <c r="G386">
        <f>IF(COUNTIFS('United Data'!$A$3:$A$2150,G$1,'United Data'!$C$3:$C$2150,$A386)&gt;0,1,0)</f>
        <v>0</v>
      </c>
      <c r="H386">
        <f>IF(COUNTIFS('United Data'!$A$3:$A$2150,H$1,'United Data'!$C$3:$C$2150,$A386)&gt;0,1,0)</f>
        <v>0</v>
      </c>
      <c r="I386">
        <f>IF(COUNTIFS('United Data'!$A$3:$A$2150,I$1,'United Data'!$C$3:$C$2150,$A386)&gt;0,1,0)</f>
        <v>0</v>
      </c>
      <c r="J386">
        <f>IF(COUNTIFS('United Data'!$A$3:$A$2150,J$1,'United Data'!$C$3:$C$2150,$A386)&gt;0,1,0)</f>
        <v>0</v>
      </c>
      <c r="K386">
        <f>IF(COUNTIFS('United Data'!$A$3:$A$2150,K$1,'United Data'!$C$3:$C$2150,$A386)&gt;0,1,0)</f>
        <v>0</v>
      </c>
      <c r="L386">
        <f>IF(COUNTIFS('United Data'!$A$3:$A$2150,L$1,'United Data'!$C$3:$C$2150,$A386)&gt;0,1,0)</f>
        <v>1</v>
      </c>
      <c r="M386">
        <f>IF(COUNTIFS('United Data'!$A$3:$A$2150,M$1,'United Data'!$C$3:$C$2150,$A386)&gt;0,1,0)</f>
        <v>1</v>
      </c>
      <c r="N386">
        <f>IF(COUNTIFS('United Data'!$A$3:$A$2150,N$1,'United Data'!$C$3:$C$2150,$A386)&gt;0,1,0)</f>
        <v>0</v>
      </c>
      <c r="O386">
        <f>IF(COUNTIFS('United Data'!$A$3:$A$2150,O$1,'United Data'!$C$3:$C$2150,$A386)&gt;0,1,0)</f>
        <v>0</v>
      </c>
      <c r="P386">
        <f>IF(COUNTIFS('United Data'!$A$3:$A$2150,P$1,'United Data'!$C$3:$C$2150,$A386)&gt;0,1,0)</f>
        <v>0</v>
      </c>
      <c r="Q386">
        <f>IF(COUNTIFS('United Data'!$A$3:$A$2150,Q$1,'United Data'!$C$3:$C$2150,$A386)&gt;0,1,0)</f>
        <v>0</v>
      </c>
      <c r="R386">
        <f>IF(COUNTIFS('United Data'!$A$3:$A$2150,R$1,'United Data'!$C$3:$C$2150,$A386)&gt;0,1,0)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1</v>
      </c>
    </row>
    <row r="387" spans="1:20" x14ac:dyDescent="0.2">
      <c r="A387" t="s">
        <v>432</v>
      </c>
      <c r="B387">
        <f>IF(COUNTIFS('United Data'!$A$3:$A$2150,B$1,'United Data'!$C$3:$C$2150,$A387)&gt;0,1,0)</f>
        <v>0</v>
      </c>
      <c r="C387">
        <f>IF(COUNTIFS('United Data'!$A$3:$A$2150,C$1,'United Data'!$C$3:$C$2150,$A387)&gt;0,1,0)</f>
        <v>0</v>
      </c>
      <c r="D387">
        <f>IF(COUNTIFS('United Data'!$A$3:$A$2150,D$1,'United Data'!$C$3:$C$2150,$A387)&gt;0,1,0)</f>
        <v>0</v>
      </c>
      <c r="E387">
        <f>IF(COUNTIFS('United Data'!$A$3:$A$2150,E$1,'United Data'!$C$3:$C$2150,$A387)&gt;0,1,0)</f>
        <v>0</v>
      </c>
      <c r="F387">
        <f>IF(COUNTIFS('United Data'!$A$3:$A$2150,F$1,'United Data'!$C$3:$C$2150,$A387)&gt;0,1,0)</f>
        <v>0</v>
      </c>
      <c r="G387">
        <f>IF(COUNTIFS('United Data'!$A$3:$A$2150,G$1,'United Data'!$C$3:$C$2150,$A387)&gt;0,1,0)</f>
        <v>0</v>
      </c>
      <c r="H387">
        <f>IF(COUNTIFS('United Data'!$A$3:$A$2150,H$1,'United Data'!$C$3:$C$2150,$A387)&gt;0,1,0)</f>
        <v>0</v>
      </c>
      <c r="I387">
        <f>IF(COUNTIFS('United Data'!$A$3:$A$2150,I$1,'United Data'!$C$3:$C$2150,$A387)&gt;0,1,0)</f>
        <v>0</v>
      </c>
      <c r="J387">
        <f>IF(COUNTIFS('United Data'!$A$3:$A$2150,J$1,'United Data'!$C$3:$C$2150,$A387)&gt;0,1,0)</f>
        <v>0</v>
      </c>
      <c r="K387">
        <f>IF(COUNTIFS('United Data'!$A$3:$A$2150,K$1,'United Data'!$C$3:$C$2150,$A387)&gt;0,1,0)</f>
        <v>0</v>
      </c>
      <c r="L387">
        <f>IF(COUNTIFS('United Data'!$A$3:$A$2150,L$1,'United Data'!$C$3:$C$2150,$A387)&gt;0,1,0)</f>
        <v>1</v>
      </c>
      <c r="M387">
        <f>IF(COUNTIFS('United Data'!$A$3:$A$2150,M$1,'United Data'!$C$3:$C$2150,$A387)&gt;0,1,0)</f>
        <v>0</v>
      </c>
      <c r="N387">
        <f>IF(COUNTIFS('United Data'!$A$3:$A$2150,N$1,'United Data'!$C$3:$C$2150,$A387)&gt;0,1,0)</f>
        <v>0</v>
      </c>
      <c r="O387">
        <f>IF(COUNTIFS('United Data'!$A$3:$A$2150,O$1,'United Data'!$C$3:$C$2150,$A387)&gt;0,1,0)</f>
        <v>0</v>
      </c>
      <c r="P387">
        <f>IF(COUNTIFS('United Data'!$A$3:$A$2150,P$1,'United Data'!$C$3:$C$2150,$A387)&gt;0,1,0)</f>
        <v>0</v>
      </c>
      <c r="Q387">
        <f>IF(COUNTIFS('United Data'!$A$3:$A$2150,Q$1,'United Data'!$C$3:$C$2150,$A387)&gt;0,1,0)</f>
        <v>0</v>
      </c>
      <c r="R387">
        <f>IF(COUNTIFS('United Data'!$A$3:$A$2150,R$1,'United Data'!$C$3:$C$2150,$A387)&gt;0,1,0)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433</v>
      </c>
      <c r="B388">
        <f>IF(COUNTIFS('United Data'!$A$3:$A$2150,B$1,'United Data'!$C$3:$C$2150,$A388)&gt;0,1,0)</f>
        <v>0</v>
      </c>
      <c r="C388">
        <f>IF(COUNTIFS('United Data'!$A$3:$A$2150,C$1,'United Data'!$C$3:$C$2150,$A388)&gt;0,1,0)</f>
        <v>0</v>
      </c>
      <c r="D388">
        <f>IF(COUNTIFS('United Data'!$A$3:$A$2150,D$1,'United Data'!$C$3:$C$2150,$A388)&gt;0,1,0)</f>
        <v>0</v>
      </c>
      <c r="E388">
        <f>IF(COUNTIFS('United Data'!$A$3:$A$2150,E$1,'United Data'!$C$3:$C$2150,$A388)&gt;0,1,0)</f>
        <v>0</v>
      </c>
      <c r="F388">
        <f>IF(COUNTIFS('United Data'!$A$3:$A$2150,F$1,'United Data'!$C$3:$C$2150,$A388)&gt;0,1,0)</f>
        <v>0</v>
      </c>
      <c r="G388">
        <f>IF(COUNTIFS('United Data'!$A$3:$A$2150,G$1,'United Data'!$C$3:$C$2150,$A388)&gt;0,1,0)</f>
        <v>0</v>
      </c>
      <c r="H388">
        <f>IF(COUNTIFS('United Data'!$A$3:$A$2150,H$1,'United Data'!$C$3:$C$2150,$A388)&gt;0,1,0)</f>
        <v>0</v>
      </c>
      <c r="I388">
        <f>IF(COUNTIFS('United Data'!$A$3:$A$2150,I$1,'United Data'!$C$3:$C$2150,$A388)&gt;0,1,0)</f>
        <v>0</v>
      </c>
      <c r="J388">
        <f>IF(COUNTIFS('United Data'!$A$3:$A$2150,J$1,'United Data'!$C$3:$C$2150,$A388)&gt;0,1,0)</f>
        <v>0</v>
      </c>
      <c r="K388">
        <f>IF(COUNTIFS('United Data'!$A$3:$A$2150,K$1,'United Data'!$C$3:$C$2150,$A388)&gt;0,1,0)</f>
        <v>0</v>
      </c>
      <c r="L388">
        <f>IF(COUNTIFS('United Data'!$A$3:$A$2150,L$1,'United Data'!$C$3:$C$2150,$A388)&gt;0,1,0)</f>
        <v>1</v>
      </c>
      <c r="M388">
        <f>IF(COUNTIFS('United Data'!$A$3:$A$2150,M$1,'United Data'!$C$3:$C$2150,$A388)&gt;0,1,0)</f>
        <v>1</v>
      </c>
      <c r="N388">
        <f>IF(COUNTIFS('United Data'!$A$3:$A$2150,N$1,'United Data'!$C$3:$C$2150,$A388)&gt;0,1,0)</f>
        <v>1</v>
      </c>
      <c r="O388">
        <f>IF(COUNTIFS('United Data'!$A$3:$A$2150,O$1,'United Data'!$C$3:$C$2150,$A388)&gt;0,1,0)</f>
        <v>1</v>
      </c>
      <c r="P388">
        <f>IF(COUNTIFS('United Data'!$A$3:$A$2150,P$1,'United Data'!$C$3:$C$2150,$A388)&gt;0,1,0)</f>
        <v>1</v>
      </c>
      <c r="Q388">
        <f>IF(COUNTIFS('United Data'!$A$3:$A$2150,Q$1,'United Data'!$C$3:$C$2150,$A388)&gt;0,1,0)</f>
        <v>0</v>
      </c>
      <c r="R388">
        <f>IF(COUNTIFS('United Data'!$A$3:$A$2150,R$1,'United Data'!$C$3:$C$2150,$A388)&gt;0,1,0)</f>
        <v>0</v>
      </c>
      <c r="S388">
        <f t="shared" si="12"/>
        <v>5</v>
      </c>
      <c r="T388">
        <f t="shared" si="13"/>
        <v>1</v>
      </c>
    </row>
    <row r="389" spans="1:20" x14ac:dyDescent="0.2">
      <c r="A389" t="s">
        <v>434</v>
      </c>
      <c r="B389">
        <f>IF(COUNTIFS('United Data'!$A$3:$A$2150,B$1,'United Data'!$C$3:$C$2150,$A389)&gt;0,1,0)</f>
        <v>0</v>
      </c>
      <c r="C389">
        <f>IF(COUNTIFS('United Data'!$A$3:$A$2150,C$1,'United Data'!$C$3:$C$2150,$A389)&gt;0,1,0)</f>
        <v>0</v>
      </c>
      <c r="D389">
        <f>IF(COUNTIFS('United Data'!$A$3:$A$2150,D$1,'United Data'!$C$3:$C$2150,$A389)&gt;0,1,0)</f>
        <v>0</v>
      </c>
      <c r="E389">
        <f>IF(COUNTIFS('United Data'!$A$3:$A$2150,E$1,'United Data'!$C$3:$C$2150,$A389)&gt;0,1,0)</f>
        <v>0</v>
      </c>
      <c r="F389">
        <f>IF(COUNTIFS('United Data'!$A$3:$A$2150,F$1,'United Data'!$C$3:$C$2150,$A389)&gt;0,1,0)</f>
        <v>0</v>
      </c>
      <c r="G389">
        <f>IF(COUNTIFS('United Data'!$A$3:$A$2150,G$1,'United Data'!$C$3:$C$2150,$A389)&gt;0,1,0)</f>
        <v>0</v>
      </c>
      <c r="H389">
        <f>IF(COUNTIFS('United Data'!$A$3:$A$2150,H$1,'United Data'!$C$3:$C$2150,$A389)&gt;0,1,0)</f>
        <v>0</v>
      </c>
      <c r="I389">
        <f>IF(COUNTIFS('United Data'!$A$3:$A$2150,I$1,'United Data'!$C$3:$C$2150,$A389)&gt;0,1,0)</f>
        <v>0</v>
      </c>
      <c r="J389">
        <f>IF(COUNTIFS('United Data'!$A$3:$A$2150,J$1,'United Data'!$C$3:$C$2150,$A389)&gt;0,1,0)</f>
        <v>0</v>
      </c>
      <c r="K389">
        <f>IF(COUNTIFS('United Data'!$A$3:$A$2150,K$1,'United Data'!$C$3:$C$2150,$A389)&gt;0,1,0)</f>
        <v>0</v>
      </c>
      <c r="L389">
        <f>IF(COUNTIFS('United Data'!$A$3:$A$2150,L$1,'United Data'!$C$3:$C$2150,$A389)&gt;0,1,0)</f>
        <v>1</v>
      </c>
      <c r="M389">
        <f>IF(COUNTIFS('United Data'!$A$3:$A$2150,M$1,'United Data'!$C$3:$C$2150,$A389)&gt;0,1,0)</f>
        <v>0</v>
      </c>
      <c r="N389">
        <f>IF(COUNTIFS('United Data'!$A$3:$A$2150,N$1,'United Data'!$C$3:$C$2150,$A389)&gt;0,1,0)</f>
        <v>0</v>
      </c>
      <c r="O389">
        <f>IF(COUNTIFS('United Data'!$A$3:$A$2150,O$1,'United Data'!$C$3:$C$2150,$A389)&gt;0,1,0)</f>
        <v>0</v>
      </c>
      <c r="P389">
        <f>IF(COUNTIFS('United Data'!$A$3:$A$2150,P$1,'United Data'!$C$3:$C$2150,$A389)&gt;0,1,0)</f>
        <v>0</v>
      </c>
      <c r="Q389">
        <f>IF(COUNTIFS('United Data'!$A$3:$A$2150,Q$1,'United Data'!$C$3:$C$2150,$A389)&gt;0,1,0)</f>
        <v>0</v>
      </c>
      <c r="R389">
        <f>IF(COUNTIFS('United Data'!$A$3:$A$2150,R$1,'United Data'!$C$3:$C$2150,$A389)&gt;0,1,0)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435</v>
      </c>
      <c r="B390">
        <f>IF(COUNTIFS('United Data'!$A$3:$A$2150,B$1,'United Data'!$C$3:$C$2150,$A390)&gt;0,1,0)</f>
        <v>0</v>
      </c>
      <c r="C390">
        <f>IF(COUNTIFS('United Data'!$A$3:$A$2150,C$1,'United Data'!$C$3:$C$2150,$A390)&gt;0,1,0)</f>
        <v>0</v>
      </c>
      <c r="D390">
        <f>IF(COUNTIFS('United Data'!$A$3:$A$2150,D$1,'United Data'!$C$3:$C$2150,$A390)&gt;0,1,0)</f>
        <v>0</v>
      </c>
      <c r="E390">
        <f>IF(COUNTIFS('United Data'!$A$3:$A$2150,E$1,'United Data'!$C$3:$C$2150,$A390)&gt;0,1,0)</f>
        <v>0</v>
      </c>
      <c r="F390">
        <f>IF(COUNTIFS('United Data'!$A$3:$A$2150,F$1,'United Data'!$C$3:$C$2150,$A390)&gt;0,1,0)</f>
        <v>0</v>
      </c>
      <c r="G390">
        <f>IF(COUNTIFS('United Data'!$A$3:$A$2150,G$1,'United Data'!$C$3:$C$2150,$A390)&gt;0,1,0)</f>
        <v>0</v>
      </c>
      <c r="H390">
        <f>IF(COUNTIFS('United Data'!$A$3:$A$2150,H$1,'United Data'!$C$3:$C$2150,$A390)&gt;0,1,0)</f>
        <v>0</v>
      </c>
      <c r="I390">
        <f>IF(COUNTIFS('United Data'!$A$3:$A$2150,I$1,'United Data'!$C$3:$C$2150,$A390)&gt;0,1,0)</f>
        <v>0</v>
      </c>
      <c r="J390">
        <f>IF(COUNTIFS('United Data'!$A$3:$A$2150,J$1,'United Data'!$C$3:$C$2150,$A390)&gt;0,1,0)</f>
        <v>0</v>
      </c>
      <c r="K390">
        <f>IF(COUNTIFS('United Data'!$A$3:$A$2150,K$1,'United Data'!$C$3:$C$2150,$A390)&gt;0,1,0)</f>
        <v>0</v>
      </c>
      <c r="L390">
        <f>IF(COUNTIFS('United Data'!$A$3:$A$2150,L$1,'United Data'!$C$3:$C$2150,$A390)&gt;0,1,0)</f>
        <v>1</v>
      </c>
      <c r="M390">
        <f>IF(COUNTIFS('United Data'!$A$3:$A$2150,M$1,'United Data'!$C$3:$C$2150,$A390)&gt;0,1,0)</f>
        <v>1</v>
      </c>
      <c r="N390">
        <f>IF(COUNTIFS('United Data'!$A$3:$A$2150,N$1,'United Data'!$C$3:$C$2150,$A390)&gt;0,1,0)</f>
        <v>1</v>
      </c>
      <c r="O390">
        <f>IF(COUNTIFS('United Data'!$A$3:$A$2150,O$1,'United Data'!$C$3:$C$2150,$A390)&gt;0,1,0)</f>
        <v>1</v>
      </c>
      <c r="P390">
        <f>IF(COUNTIFS('United Data'!$A$3:$A$2150,P$1,'United Data'!$C$3:$C$2150,$A390)&gt;0,1,0)</f>
        <v>0</v>
      </c>
      <c r="Q390">
        <f>IF(COUNTIFS('United Data'!$A$3:$A$2150,Q$1,'United Data'!$C$3:$C$2150,$A390)&gt;0,1,0)</f>
        <v>0</v>
      </c>
      <c r="R390">
        <f>IF(COUNTIFS('United Data'!$A$3:$A$2150,R$1,'United Data'!$C$3:$C$2150,$A390)&gt;0,1,0)</f>
        <v>0</v>
      </c>
      <c r="S390">
        <f t="shared" si="12"/>
        <v>4</v>
      </c>
      <c r="T390">
        <f t="shared" si="13"/>
        <v>1</v>
      </c>
    </row>
    <row r="391" spans="1:20" x14ac:dyDescent="0.2">
      <c r="A391" t="s">
        <v>436</v>
      </c>
      <c r="B391">
        <f>IF(COUNTIFS('United Data'!$A$3:$A$2150,B$1,'United Data'!$C$3:$C$2150,$A391)&gt;0,1,0)</f>
        <v>0</v>
      </c>
      <c r="C391">
        <f>IF(COUNTIFS('United Data'!$A$3:$A$2150,C$1,'United Data'!$C$3:$C$2150,$A391)&gt;0,1,0)</f>
        <v>0</v>
      </c>
      <c r="D391">
        <f>IF(COUNTIFS('United Data'!$A$3:$A$2150,D$1,'United Data'!$C$3:$C$2150,$A391)&gt;0,1,0)</f>
        <v>0</v>
      </c>
      <c r="E391">
        <f>IF(COUNTIFS('United Data'!$A$3:$A$2150,E$1,'United Data'!$C$3:$C$2150,$A391)&gt;0,1,0)</f>
        <v>0</v>
      </c>
      <c r="F391">
        <f>IF(COUNTIFS('United Data'!$A$3:$A$2150,F$1,'United Data'!$C$3:$C$2150,$A391)&gt;0,1,0)</f>
        <v>0</v>
      </c>
      <c r="G391">
        <f>IF(COUNTIFS('United Data'!$A$3:$A$2150,G$1,'United Data'!$C$3:$C$2150,$A391)&gt;0,1,0)</f>
        <v>0</v>
      </c>
      <c r="H391">
        <f>IF(COUNTIFS('United Data'!$A$3:$A$2150,H$1,'United Data'!$C$3:$C$2150,$A391)&gt;0,1,0)</f>
        <v>0</v>
      </c>
      <c r="I391">
        <f>IF(COUNTIFS('United Data'!$A$3:$A$2150,I$1,'United Data'!$C$3:$C$2150,$A391)&gt;0,1,0)</f>
        <v>0</v>
      </c>
      <c r="J391">
        <f>IF(COUNTIFS('United Data'!$A$3:$A$2150,J$1,'United Data'!$C$3:$C$2150,$A391)&gt;0,1,0)</f>
        <v>0</v>
      </c>
      <c r="K391">
        <f>IF(COUNTIFS('United Data'!$A$3:$A$2150,K$1,'United Data'!$C$3:$C$2150,$A391)&gt;0,1,0)</f>
        <v>0</v>
      </c>
      <c r="L391">
        <f>IF(COUNTIFS('United Data'!$A$3:$A$2150,L$1,'United Data'!$C$3:$C$2150,$A391)&gt;0,1,0)</f>
        <v>1</v>
      </c>
      <c r="M391">
        <f>IF(COUNTIFS('United Data'!$A$3:$A$2150,M$1,'United Data'!$C$3:$C$2150,$A391)&gt;0,1,0)</f>
        <v>0</v>
      </c>
      <c r="N391">
        <f>IF(COUNTIFS('United Data'!$A$3:$A$2150,N$1,'United Data'!$C$3:$C$2150,$A391)&gt;0,1,0)</f>
        <v>0</v>
      </c>
      <c r="O391">
        <f>IF(COUNTIFS('United Data'!$A$3:$A$2150,O$1,'United Data'!$C$3:$C$2150,$A391)&gt;0,1,0)</f>
        <v>0</v>
      </c>
      <c r="P391">
        <f>IF(COUNTIFS('United Data'!$A$3:$A$2150,P$1,'United Data'!$C$3:$C$2150,$A391)&gt;0,1,0)</f>
        <v>0</v>
      </c>
      <c r="Q391">
        <f>IF(COUNTIFS('United Data'!$A$3:$A$2150,Q$1,'United Data'!$C$3:$C$2150,$A391)&gt;0,1,0)</f>
        <v>0</v>
      </c>
      <c r="R391">
        <f>IF(COUNTIFS('United Data'!$A$3:$A$2150,R$1,'United Data'!$C$3:$C$2150,$A391)&gt;0,1,0)</f>
        <v>0</v>
      </c>
      <c r="S391">
        <f t="shared" si="12"/>
        <v>1</v>
      </c>
      <c r="T391">
        <f t="shared" si="13"/>
        <v>1</v>
      </c>
    </row>
    <row r="392" spans="1:20" x14ac:dyDescent="0.2">
      <c r="A392" t="s">
        <v>437</v>
      </c>
      <c r="B392">
        <f>IF(COUNTIFS('United Data'!$A$3:$A$2150,B$1,'United Data'!$C$3:$C$2150,$A392)&gt;0,1,0)</f>
        <v>0</v>
      </c>
      <c r="C392">
        <f>IF(COUNTIFS('United Data'!$A$3:$A$2150,C$1,'United Data'!$C$3:$C$2150,$A392)&gt;0,1,0)</f>
        <v>0</v>
      </c>
      <c r="D392">
        <f>IF(COUNTIFS('United Data'!$A$3:$A$2150,D$1,'United Data'!$C$3:$C$2150,$A392)&gt;0,1,0)</f>
        <v>0</v>
      </c>
      <c r="E392">
        <f>IF(COUNTIFS('United Data'!$A$3:$A$2150,E$1,'United Data'!$C$3:$C$2150,$A392)&gt;0,1,0)</f>
        <v>0</v>
      </c>
      <c r="F392">
        <f>IF(COUNTIFS('United Data'!$A$3:$A$2150,F$1,'United Data'!$C$3:$C$2150,$A392)&gt;0,1,0)</f>
        <v>0</v>
      </c>
      <c r="G392">
        <f>IF(COUNTIFS('United Data'!$A$3:$A$2150,G$1,'United Data'!$C$3:$C$2150,$A392)&gt;0,1,0)</f>
        <v>0</v>
      </c>
      <c r="H392">
        <f>IF(COUNTIFS('United Data'!$A$3:$A$2150,H$1,'United Data'!$C$3:$C$2150,$A392)&gt;0,1,0)</f>
        <v>0</v>
      </c>
      <c r="I392">
        <f>IF(COUNTIFS('United Data'!$A$3:$A$2150,I$1,'United Data'!$C$3:$C$2150,$A392)&gt;0,1,0)</f>
        <v>0</v>
      </c>
      <c r="J392">
        <f>IF(COUNTIFS('United Data'!$A$3:$A$2150,J$1,'United Data'!$C$3:$C$2150,$A392)&gt;0,1,0)</f>
        <v>0</v>
      </c>
      <c r="K392">
        <f>IF(COUNTIFS('United Data'!$A$3:$A$2150,K$1,'United Data'!$C$3:$C$2150,$A392)&gt;0,1,0)</f>
        <v>0</v>
      </c>
      <c r="L392">
        <f>IF(COUNTIFS('United Data'!$A$3:$A$2150,L$1,'United Data'!$C$3:$C$2150,$A392)&gt;0,1,0)</f>
        <v>1</v>
      </c>
      <c r="M392">
        <f>IF(COUNTIFS('United Data'!$A$3:$A$2150,M$1,'United Data'!$C$3:$C$2150,$A392)&gt;0,1,0)</f>
        <v>1</v>
      </c>
      <c r="N392">
        <f>IF(COUNTIFS('United Data'!$A$3:$A$2150,N$1,'United Data'!$C$3:$C$2150,$A392)&gt;0,1,0)</f>
        <v>1</v>
      </c>
      <c r="O392">
        <f>IF(COUNTIFS('United Data'!$A$3:$A$2150,O$1,'United Data'!$C$3:$C$2150,$A392)&gt;0,1,0)</f>
        <v>1</v>
      </c>
      <c r="P392">
        <f>IF(COUNTIFS('United Data'!$A$3:$A$2150,P$1,'United Data'!$C$3:$C$2150,$A392)&gt;0,1,0)</f>
        <v>0</v>
      </c>
      <c r="Q392">
        <f>IF(COUNTIFS('United Data'!$A$3:$A$2150,Q$1,'United Data'!$C$3:$C$2150,$A392)&gt;0,1,0)</f>
        <v>0</v>
      </c>
      <c r="R392">
        <f>IF(COUNTIFS('United Data'!$A$3:$A$2150,R$1,'United Data'!$C$3:$C$2150,$A392)&gt;0,1,0)</f>
        <v>0</v>
      </c>
      <c r="S392">
        <f t="shared" si="12"/>
        <v>4</v>
      </c>
      <c r="T392">
        <f t="shared" si="13"/>
        <v>1</v>
      </c>
    </row>
    <row r="393" spans="1:20" x14ac:dyDescent="0.2">
      <c r="A393" t="s">
        <v>438</v>
      </c>
      <c r="B393">
        <f>IF(COUNTIFS('United Data'!$A$3:$A$2150,B$1,'United Data'!$C$3:$C$2150,$A393)&gt;0,1,0)</f>
        <v>0</v>
      </c>
      <c r="C393">
        <f>IF(COUNTIFS('United Data'!$A$3:$A$2150,C$1,'United Data'!$C$3:$C$2150,$A393)&gt;0,1,0)</f>
        <v>0</v>
      </c>
      <c r="D393">
        <f>IF(COUNTIFS('United Data'!$A$3:$A$2150,D$1,'United Data'!$C$3:$C$2150,$A393)&gt;0,1,0)</f>
        <v>0</v>
      </c>
      <c r="E393">
        <f>IF(COUNTIFS('United Data'!$A$3:$A$2150,E$1,'United Data'!$C$3:$C$2150,$A393)&gt;0,1,0)</f>
        <v>0</v>
      </c>
      <c r="F393">
        <f>IF(COUNTIFS('United Data'!$A$3:$A$2150,F$1,'United Data'!$C$3:$C$2150,$A393)&gt;0,1,0)</f>
        <v>0</v>
      </c>
      <c r="G393">
        <f>IF(COUNTIFS('United Data'!$A$3:$A$2150,G$1,'United Data'!$C$3:$C$2150,$A393)&gt;0,1,0)</f>
        <v>0</v>
      </c>
      <c r="H393">
        <f>IF(COUNTIFS('United Data'!$A$3:$A$2150,H$1,'United Data'!$C$3:$C$2150,$A393)&gt;0,1,0)</f>
        <v>0</v>
      </c>
      <c r="I393">
        <f>IF(COUNTIFS('United Data'!$A$3:$A$2150,I$1,'United Data'!$C$3:$C$2150,$A393)&gt;0,1,0)</f>
        <v>0</v>
      </c>
      <c r="J393">
        <f>IF(COUNTIFS('United Data'!$A$3:$A$2150,J$1,'United Data'!$C$3:$C$2150,$A393)&gt;0,1,0)</f>
        <v>0</v>
      </c>
      <c r="K393">
        <f>IF(COUNTIFS('United Data'!$A$3:$A$2150,K$1,'United Data'!$C$3:$C$2150,$A393)&gt;0,1,0)</f>
        <v>0</v>
      </c>
      <c r="L393">
        <f>IF(COUNTIFS('United Data'!$A$3:$A$2150,L$1,'United Data'!$C$3:$C$2150,$A393)&gt;0,1,0)</f>
        <v>0</v>
      </c>
      <c r="M393">
        <f>IF(COUNTIFS('United Data'!$A$3:$A$2150,M$1,'United Data'!$C$3:$C$2150,$A393)&gt;0,1,0)</f>
        <v>1</v>
      </c>
      <c r="N393">
        <f>IF(COUNTIFS('United Data'!$A$3:$A$2150,N$1,'United Data'!$C$3:$C$2150,$A393)&gt;0,1,0)</f>
        <v>0</v>
      </c>
      <c r="O393">
        <f>IF(COUNTIFS('United Data'!$A$3:$A$2150,O$1,'United Data'!$C$3:$C$2150,$A393)&gt;0,1,0)</f>
        <v>0</v>
      </c>
      <c r="P393">
        <f>IF(COUNTIFS('United Data'!$A$3:$A$2150,P$1,'United Data'!$C$3:$C$2150,$A393)&gt;0,1,0)</f>
        <v>0</v>
      </c>
      <c r="Q393">
        <f>IF(COUNTIFS('United Data'!$A$3:$A$2150,Q$1,'United Data'!$C$3:$C$2150,$A393)&gt;0,1,0)</f>
        <v>0</v>
      </c>
      <c r="R393">
        <f>IF(COUNTIFS('United Data'!$A$3:$A$2150,R$1,'United Data'!$C$3:$C$2150,$A393)&gt;0,1,0)</f>
        <v>0</v>
      </c>
      <c r="S393">
        <f t="shared" si="12"/>
        <v>1</v>
      </c>
      <c r="T393">
        <f t="shared" si="13"/>
        <v>1</v>
      </c>
    </row>
    <row r="394" spans="1:20" x14ac:dyDescent="0.2">
      <c r="A394" t="s">
        <v>439</v>
      </c>
      <c r="B394">
        <f>IF(COUNTIFS('United Data'!$A$3:$A$2150,B$1,'United Data'!$C$3:$C$2150,$A394)&gt;0,1,0)</f>
        <v>0</v>
      </c>
      <c r="C394">
        <f>IF(COUNTIFS('United Data'!$A$3:$A$2150,C$1,'United Data'!$C$3:$C$2150,$A394)&gt;0,1,0)</f>
        <v>0</v>
      </c>
      <c r="D394">
        <f>IF(COUNTIFS('United Data'!$A$3:$A$2150,D$1,'United Data'!$C$3:$C$2150,$A394)&gt;0,1,0)</f>
        <v>0</v>
      </c>
      <c r="E394">
        <f>IF(COUNTIFS('United Data'!$A$3:$A$2150,E$1,'United Data'!$C$3:$C$2150,$A394)&gt;0,1,0)</f>
        <v>0</v>
      </c>
      <c r="F394">
        <f>IF(COUNTIFS('United Data'!$A$3:$A$2150,F$1,'United Data'!$C$3:$C$2150,$A394)&gt;0,1,0)</f>
        <v>0</v>
      </c>
      <c r="G394">
        <f>IF(COUNTIFS('United Data'!$A$3:$A$2150,G$1,'United Data'!$C$3:$C$2150,$A394)&gt;0,1,0)</f>
        <v>0</v>
      </c>
      <c r="H394">
        <f>IF(COUNTIFS('United Data'!$A$3:$A$2150,H$1,'United Data'!$C$3:$C$2150,$A394)&gt;0,1,0)</f>
        <v>0</v>
      </c>
      <c r="I394">
        <f>IF(COUNTIFS('United Data'!$A$3:$A$2150,I$1,'United Data'!$C$3:$C$2150,$A394)&gt;0,1,0)</f>
        <v>0</v>
      </c>
      <c r="J394">
        <f>IF(COUNTIFS('United Data'!$A$3:$A$2150,J$1,'United Data'!$C$3:$C$2150,$A394)&gt;0,1,0)</f>
        <v>0</v>
      </c>
      <c r="K394">
        <f>IF(COUNTIFS('United Data'!$A$3:$A$2150,K$1,'United Data'!$C$3:$C$2150,$A394)&gt;0,1,0)</f>
        <v>0</v>
      </c>
      <c r="L394">
        <f>IF(COUNTIFS('United Data'!$A$3:$A$2150,L$1,'United Data'!$C$3:$C$2150,$A394)&gt;0,1,0)</f>
        <v>0</v>
      </c>
      <c r="M394">
        <f>IF(COUNTIFS('United Data'!$A$3:$A$2150,M$1,'United Data'!$C$3:$C$2150,$A394)&gt;0,1,0)</f>
        <v>1</v>
      </c>
      <c r="N394">
        <f>IF(COUNTIFS('United Data'!$A$3:$A$2150,N$1,'United Data'!$C$3:$C$2150,$A394)&gt;0,1,0)</f>
        <v>0</v>
      </c>
      <c r="O394">
        <f>IF(COUNTIFS('United Data'!$A$3:$A$2150,O$1,'United Data'!$C$3:$C$2150,$A394)&gt;0,1,0)</f>
        <v>0</v>
      </c>
      <c r="P394">
        <f>IF(COUNTIFS('United Data'!$A$3:$A$2150,P$1,'United Data'!$C$3:$C$2150,$A394)&gt;0,1,0)</f>
        <v>1</v>
      </c>
      <c r="Q394">
        <f>IF(COUNTIFS('United Data'!$A$3:$A$2150,Q$1,'United Data'!$C$3:$C$2150,$A394)&gt;0,1,0)</f>
        <v>0</v>
      </c>
      <c r="R394">
        <f>IF(COUNTIFS('United Data'!$A$3:$A$2150,R$1,'United Data'!$C$3:$C$2150,$A394)&gt;0,1,0)</f>
        <v>0</v>
      </c>
      <c r="S394">
        <f t="shared" si="12"/>
        <v>2</v>
      </c>
      <c r="T394">
        <f t="shared" si="13"/>
        <v>2</v>
      </c>
    </row>
    <row r="395" spans="1:20" x14ac:dyDescent="0.2">
      <c r="A395" t="s">
        <v>440</v>
      </c>
      <c r="B395">
        <f>IF(COUNTIFS('United Data'!$A$3:$A$2150,B$1,'United Data'!$C$3:$C$2150,$A395)&gt;0,1,0)</f>
        <v>0</v>
      </c>
      <c r="C395">
        <f>IF(COUNTIFS('United Data'!$A$3:$A$2150,C$1,'United Data'!$C$3:$C$2150,$A395)&gt;0,1,0)</f>
        <v>0</v>
      </c>
      <c r="D395">
        <f>IF(COUNTIFS('United Data'!$A$3:$A$2150,D$1,'United Data'!$C$3:$C$2150,$A395)&gt;0,1,0)</f>
        <v>0</v>
      </c>
      <c r="E395">
        <f>IF(COUNTIFS('United Data'!$A$3:$A$2150,E$1,'United Data'!$C$3:$C$2150,$A395)&gt;0,1,0)</f>
        <v>0</v>
      </c>
      <c r="F395">
        <f>IF(COUNTIFS('United Data'!$A$3:$A$2150,F$1,'United Data'!$C$3:$C$2150,$A395)&gt;0,1,0)</f>
        <v>0</v>
      </c>
      <c r="G395">
        <f>IF(COUNTIFS('United Data'!$A$3:$A$2150,G$1,'United Data'!$C$3:$C$2150,$A395)&gt;0,1,0)</f>
        <v>0</v>
      </c>
      <c r="H395">
        <f>IF(COUNTIFS('United Data'!$A$3:$A$2150,H$1,'United Data'!$C$3:$C$2150,$A395)&gt;0,1,0)</f>
        <v>0</v>
      </c>
      <c r="I395">
        <f>IF(COUNTIFS('United Data'!$A$3:$A$2150,I$1,'United Data'!$C$3:$C$2150,$A395)&gt;0,1,0)</f>
        <v>0</v>
      </c>
      <c r="J395">
        <f>IF(COUNTIFS('United Data'!$A$3:$A$2150,J$1,'United Data'!$C$3:$C$2150,$A395)&gt;0,1,0)</f>
        <v>0</v>
      </c>
      <c r="K395">
        <f>IF(COUNTIFS('United Data'!$A$3:$A$2150,K$1,'United Data'!$C$3:$C$2150,$A395)&gt;0,1,0)</f>
        <v>0</v>
      </c>
      <c r="L395">
        <f>IF(COUNTIFS('United Data'!$A$3:$A$2150,L$1,'United Data'!$C$3:$C$2150,$A395)&gt;0,1,0)</f>
        <v>0</v>
      </c>
      <c r="M395">
        <f>IF(COUNTIFS('United Data'!$A$3:$A$2150,M$1,'United Data'!$C$3:$C$2150,$A395)&gt;0,1,0)</f>
        <v>1</v>
      </c>
      <c r="N395">
        <f>IF(COUNTIFS('United Data'!$A$3:$A$2150,N$1,'United Data'!$C$3:$C$2150,$A395)&gt;0,1,0)</f>
        <v>0</v>
      </c>
      <c r="O395">
        <f>IF(COUNTIFS('United Data'!$A$3:$A$2150,O$1,'United Data'!$C$3:$C$2150,$A395)&gt;0,1,0)</f>
        <v>0</v>
      </c>
      <c r="P395">
        <f>IF(COUNTIFS('United Data'!$A$3:$A$2150,P$1,'United Data'!$C$3:$C$2150,$A395)&gt;0,1,0)</f>
        <v>0</v>
      </c>
      <c r="Q395">
        <f>IF(COUNTIFS('United Data'!$A$3:$A$2150,Q$1,'United Data'!$C$3:$C$2150,$A395)&gt;0,1,0)</f>
        <v>0</v>
      </c>
      <c r="R395">
        <f>IF(COUNTIFS('United Data'!$A$3:$A$2150,R$1,'United Data'!$C$3:$C$2150,$A395)&gt;0,1,0)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441</v>
      </c>
      <c r="B396">
        <f>IF(COUNTIFS('United Data'!$A$3:$A$2150,B$1,'United Data'!$C$3:$C$2150,$A396)&gt;0,1,0)</f>
        <v>0</v>
      </c>
      <c r="C396">
        <f>IF(COUNTIFS('United Data'!$A$3:$A$2150,C$1,'United Data'!$C$3:$C$2150,$A396)&gt;0,1,0)</f>
        <v>0</v>
      </c>
      <c r="D396">
        <f>IF(COUNTIFS('United Data'!$A$3:$A$2150,D$1,'United Data'!$C$3:$C$2150,$A396)&gt;0,1,0)</f>
        <v>0</v>
      </c>
      <c r="E396">
        <f>IF(COUNTIFS('United Data'!$A$3:$A$2150,E$1,'United Data'!$C$3:$C$2150,$A396)&gt;0,1,0)</f>
        <v>0</v>
      </c>
      <c r="F396">
        <f>IF(COUNTIFS('United Data'!$A$3:$A$2150,F$1,'United Data'!$C$3:$C$2150,$A396)&gt;0,1,0)</f>
        <v>0</v>
      </c>
      <c r="G396">
        <f>IF(COUNTIFS('United Data'!$A$3:$A$2150,G$1,'United Data'!$C$3:$C$2150,$A396)&gt;0,1,0)</f>
        <v>0</v>
      </c>
      <c r="H396">
        <f>IF(COUNTIFS('United Data'!$A$3:$A$2150,H$1,'United Data'!$C$3:$C$2150,$A396)&gt;0,1,0)</f>
        <v>0</v>
      </c>
      <c r="I396">
        <f>IF(COUNTIFS('United Data'!$A$3:$A$2150,I$1,'United Data'!$C$3:$C$2150,$A396)&gt;0,1,0)</f>
        <v>0</v>
      </c>
      <c r="J396">
        <f>IF(COUNTIFS('United Data'!$A$3:$A$2150,J$1,'United Data'!$C$3:$C$2150,$A396)&gt;0,1,0)</f>
        <v>0</v>
      </c>
      <c r="K396">
        <f>IF(COUNTIFS('United Data'!$A$3:$A$2150,K$1,'United Data'!$C$3:$C$2150,$A396)&gt;0,1,0)</f>
        <v>0</v>
      </c>
      <c r="L396">
        <f>IF(COUNTIFS('United Data'!$A$3:$A$2150,L$1,'United Data'!$C$3:$C$2150,$A396)&gt;0,1,0)</f>
        <v>0</v>
      </c>
      <c r="M396">
        <f>IF(COUNTIFS('United Data'!$A$3:$A$2150,M$1,'United Data'!$C$3:$C$2150,$A396)&gt;0,1,0)</f>
        <v>1</v>
      </c>
      <c r="N396">
        <f>IF(COUNTIFS('United Data'!$A$3:$A$2150,N$1,'United Data'!$C$3:$C$2150,$A396)&gt;0,1,0)</f>
        <v>0</v>
      </c>
      <c r="O396">
        <f>IF(COUNTIFS('United Data'!$A$3:$A$2150,O$1,'United Data'!$C$3:$C$2150,$A396)&gt;0,1,0)</f>
        <v>0</v>
      </c>
      <c r="P396">
        <f>IF(COUNTIFS('United Data'!$A$3:$A$2150,P$1,'United Data'!$C$3:$C$2150,$A396)&gt;0,1,0)</f>
        <v>0</v>
      </c>
      <c r="Q396">
        <f>IF(COUNTIFS('United Data'!$A$3:$A$2150,Q$1,'United Data'!$C$3:$C$2150,$A396)&gt;0,1,0)</f>
        <v>0</v>
      </c>
      <c r="R396">
        <f>IF(COUNTIFS('United Data'!$A$3:$A$2150,R$1,'United Data'!$C$3:$C$2150,$A396)&gt;0,1,0)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442</v>
      </c>
      <c r="B397">
        <f>IF(COUNTIFS('United Data'!$A$3:$A$2150,B$1,'United Data'!$C$3:$C$2150,$A397)&gt;0,1,0)</f>
        <v>0</v>
      </c>
      <c r="C397">
        <f>IF(COUNTIFS('United Data'!$A$3:$A$2150,C$1,'United Data'!$C$3:$C$2150,$A397)&gt;0,1,0)</f>
        <v>0</v>
      </c>
      <c r="D397">
        <f>IF(COUNTIFS('United Data'!$A$3:$A$2150,D$1,'United Data'!$C$3:$C$2150,$A397)&gt;0,1,0)</f>
        <v>0</v>
      </c>
      <c r="E397">
        <f>IF(COUNTIFS('United Data'!$A$3:$A$2150,E$1,'United Data'!$C$3:$C$2150,$A397)&gt;0,1,0)</f>
        <v>0</v>
      </c>
      <c r="F397">
        <f>IF(COUNTIFS('United Data'!$A$3:$A$2150,F$1,'United Data'!$C$3:$C$2150,$A397)&gt;0,1,0)</f>
        <v>0</v>
      </c>
      <c r="G397">
        <f>IF(COUNTIFS('United Data'!$A$3:$A$2150,G$1,'United Data'!$C$3:$C$2150,$A397)&gt;0,1,0)</f>
        <v>0</v>
      </c>
      <c r="H397">
        <f>IF(COUNTIFS('United Data'!$A$3:$A$2150,H$1,'United Data'!$C$3:$C$2150,$A397)&gt;0,1,0)</f>
        <v>0</v>
      </c>
      <c r="I397">
        <f>IF(COUNTIFS('United Data'!$A$3:$A$2150,I$1,'United Data'!$C$3:$C$2150,$A397)&gt;0,1,0)</f>
        <v>0</v>
      </c>
      <c r="J397">
        <f>IF(COUNTIFS('United Data'!$A$3:$A$2150,J$1,'United Data'!$C$3:$C$2150,$A397)&gt;0,1,0)</f>
        <v>0</v>
      </c>
      <c r="K397">
        <f>IF(COUNTIFS('United Data'!$A$3:$A$2150,K$1,'United Data'!$C$3:$C$2150,$A397)&gt;0,1,0)</f>
        <v>0</v>
      </c>
      <c r="L397">
        <f>IF(COUNTIFS('United Data'!$A$3:$A$2150,L$1,'United Data'!$C$3:$C$2150,$A397)&gt;0,1,0)</f>
        <v>0</v>
      </c>
      <c r="M397">
        <f>IF(COUNTIFS('United Data'!$A$3:$A$2150,M$1,'United Data'!$C$3:$C$2150,$A397)&gt;0,1,0)</f>
        <v>1</v>
      </c>
      <c r="N397">
        <f>IF(COUNTIFS('United Data'!$A$3:$A$2150,N$1,'United Data'!$C$3:$C$2150,$A397)&gt;0,1,0)</f>
        <v>1</v>
      </c>
      <c r="O397">
        <f>IF(COUNTIFS('United Data'!$A$3:$A$2150,O$1,'United Data'!$C$3:$C$2150,$A397)&gt;0,1,0)</f>
        <v>0</v>
      </c>
      <c r="P397">
        <f>IF(COUNTIFS('United Data'!$A$3:$A$2150,P$1,'United Data'!$C$3:$C$2150,$A397)&gt;0,1,0)</f>
        <v>0</v>
      </c>
      <c r="Q397">
        <f>IF(COUNTIFS('United Data'!$A$3:$A$2150,Q$1,'United Data'!$C$3:$C$2150,$A397)&gt;0,1,0)</f>
        <v>0</v>
      </c>
      <c r="R397">
        <f>IF(COUNTIFS('United Data'!$A$3:$A$2150,R$1,'United Data'!$C$3:$C$2150,$A397)&gt;0,1,0)</f>
        <v>0</v>
      </c>
      <c r="S397">
        <f t="shared" si="12"/>
        <v>2</v>
      </c>
      <c r="T397">
        <f t="shared" si="13"/>
        <v>1</v>
      </c>
    </row>
    <row r="398" spans="1:20" x14ac:dyDescent="0.2">
      <c r="A398" t="s">
        <v>443</v>
      </c>
      <c r="B398">
        <f>IF(COUNTIFS('United Data'!$A$3:$A$2150,B$1,'United Data'!$C$3:$C$2150,$A398)&gt;0,1,0)</f>
        <v>0</v>
      </c>
      <c r="C398">
        <f>IF(COUNTIFS('United Data'!$A$3:$A$2150,C$1,'United Data'!$C$3:$C$2150,$A398)&gt;0,1,0)</f>
        <v>0</v>
      </c>
      <c r="D398">
        <f>IF(COUNTIFS('United Data'!$A$3:$A$2150,D$1,'United Data'!$C$3:$C$2150,$A398)&gt;0,1,0)</f>
        <v>0</v>
      </c>
      <c r="E398">
        <f>IF(COUNTIFS('United Data'!$A$3:$A$2150,E$1,'United Data'!$C$3:$C$2150,$A398)&gt;0,1,0)</f>
        <v>0</v>
      </c>
      <c r="F398">
        <f>IF(COUNTIFS('United Data'!$A$3:$A$2150,F$1,'United Data'!$C$3:$C$2150,$A398)&gt;0,1,0)</f>
        <v>0</v>
      </c>
      <c r="G398">
        <f>IF(COUNTIFS('United Data'!$A$3:$A$2150,G$1,'United Data'!$C$3:$C$2150,$A398)&gt;0,1,0)</f>
        <v>0</v>
      </c>
      <c r="H398">
        <f>IF(COUNTIFS('United Data'!$A$3:$A$2150,H$1,'United Data'!$C$3:$C$2150,$A398)&gt;0,1,0)</f>
        <v>0</v>
      </c>
      <c r="I398">
        <f>IF(COUNTIFS('United Data'!$A$3:$A$2150,I$1,'United Data'!$C$3:$C$2150,$A398)&gt;0,1,0)</f>
        <v>0</v>
      </c>
      <c r="J398">
        <f>IF(COUNTIFS('United Data'!$A$3:$A$2150,J$1,'United Data'!$C$3:$C$2150,$A398)&gt;0,1,0)</f>
        <v>0</v>
      </c>
      <c r="K398">
        <f>IF(COUNTIFS('United Data'!$A$3:$A$2150,K$1,'United Data'!$C$3:$C$2150,$A398)&gt;0,1,0)</f>
        <v>0</v>
      </c>
      <c r="L398">
        <f>IF(COUNTIFS('United Data'!$A$3:$A$2150,L$1,'United Data'!$C$3:$C$2150,$A398)&gt;0,1,0)</f>
        <v>0</v>
      </c>
      <c r="M398">
        <f>IF(COUNTIFS('United Data'!$A$3:$A$2150,M$1,'United Data'!$C$3:$C$2150,$A398)&gt;0,1,0)</f>
        <v>1</v>
      </c>
      <c r="N398">
        <f>IF(COUNTIFS('United Data'!$A$3:$A$2150,N$1,'United Data'!$C$3:$C$2150,$A398)&gt;0,1,0)</f>
        <v>0</v>
      </c>
      <c r="O398">
        <f>IF(COUNTIFS('United Data'!$A$3:$A$2150,O$1,'United Data'!$C$3:$C$2150,$A398)&gt;0,1,0)</f>
        <v>0</v>
      </c>
      <c r="P398">
        <f>IF(COUNTIFS('United Data'!$A$3:$A$2150,P$1,'United Data'!$C$3:$C$2150,$A398)&gt;0,1,0)</f>
        <v>0</v>
      </c>
      <c r="Q398">
        <f>IF(COUNTIFS('United Data'!$A$3:$A$2150,Q$1,'United Data'!$C$3:$C$2150,$A398)&gt;0,1,0)</f>
        <v>0</v>
      </c>
      <c r="R398">
        <f>IF(COUNTIFS('United Data'!$A$3:$A$2150,R$1,'United Data'!$C$3:$C$2150,$A398)&gt;0,1,0)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444</v>
      </c>
      <c r="B399">
        <f>IF(COUNTIFS('United Data'!$A$3:$A$2150,B$1,'United Data'!$C$3:$C$2150,$A399)&gt;0,1,0)</f>
        <v>0</v>
      </c>
      <c r="C399">
        <f>IF(COUNTIFS('United Data'!$A$3:$A$2150,C$1,'United Data'!$C$3:$C$2150,$A399)&gt;0,1,0)</f>
        <v>0</v>
      </c>
      <c r="D399">
        <f>IF(COUNTIFS('United Data'!$A$3:$A$2150,D$1,'United Data'!$C$3:$C$2150,$A399)&gt;0,1,0)</f>
        <v>0</v>
      </c>
      <c r="E399">
        <f>IF(COUNTIFS('United Data'!$A$3:$A$2150,E$1,'United Data'!$C$3:$C$2150,$A399)&gt;0,1,0)</f>
        <v>0</v>
      </c>
      <c r="F399">
        <f>IF(COUNTIFS('United Data'!$A$3:$A$2150,F$1,'United Data'!$C$3:$C$2150,$A399)&gt;0,1,0)</f>
        <v>0</v>
      </c>
      <c r="G399">
        <f>IF(COUNTIFS('United Data'!$A$3:$A$2150,G$1,'United Data'!$C$3:$C$2150,$A399)&gt;0,1,0)</f>
        <v>0</v>
      </c>
      <c r="H399">
        <f>IF(COUNTIFS('United Data'!$A$3:$A$2150,H$1,'United Data'!$C$3:$C$2150,$A399)&gt;0,1,0)</f>
        <v>0</v>
      </c>
      <c r="I399">
        <f>IF(COUNTIFS('United Data'!$A$3:$A$2150,I$1,'United Data'!$C$3:$C$2150,$A399)&gt;0,1,0)</f>
        <v>0</v>
      </c>
      <c r="J399">
        <f>IF(COUNTIFS('United Data'!$A$3:$A$2150,J$1,'United Data'!$C$3:$C$2150,$A399)&gt;0,1,0)</f>
        <v>0</v>
      </c>
      <c r="K399">
        <f>IF(COUNTIFS('United Data'!$A$3:$A$2150,K$1,'United Data'!$C$3:$C$2150,$A399)&gt;0,1,0)</f>
        <v>0</v>
      </c>
      <c r="L399">
        <f>IF(COUNTIFS('United Data'!$A$3:$A$2150,L$1,'United Data'!$C$3:$C$2150,$A399)&gt;0,1,0)</f>
        <v>0</v>
      </c>
      <c r="M399">
        <f>IF(COUNTIFS('United Data'!$A$3:$A$2150,M$1,'United Data'!$C$3:$C$2150,$A399)&gt;0,1,0)</f>
        <v>0</v>
      </c>
      <c r="N399">
        <f>IF(COUNTIFS('United Data'!$A$3:$A$2150,N$1,'United Data'!$C$3:$C$2150,$A399)&gt;0,1,0)</f>
        <v>1</v>
      </c>
      <c r="O399">
        <f>IF(COUNTIFS('United Data'!$A$3:$A$2150,O$1,'United Data'!$C$3:$C$2150,$A399)&gt;0,1,0)</f>
        <v>0</v>
      </c>
      <c r="P399">
        <f>IF(COUNTIFS('United Data'!$A$3:$A$2150,P$1,'United Data'!$C$3:$C$2150,$A399)&gt;0,1,0)</f>
        <v>0</v>
      </c>
      <c r="Q399">
        <f>IF(COUNTIFS('United Data'!$A$3:$A$2150,Q$1,'United Data'!$C$3:$C$2150,$A399)&gt;0,1,0)</f>
        <v>0</v>
      </c>
      <c r="R399">
        <f>IF(COUNTIFS('United Data'!$A$3:$A$2150,R$1,'United Data'!$C$3:$C$2150,$A399)&gt;0,1,0)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445</v>
      </c>
      <c r="B400">
        <f>IF(COUNTIFS('United Data'!$A$3:$A$2150,B$1,'United Data'!$C$3:$C$2150,$A400)&gt;0,1,0)</f>
        <v>0</v>
      </c>
      <c r="C400">
        <f>IF(COUNTIFS('United Data'!$A$3:$A$2150,C$1,'United Data'!$C$3:$C$2150,$A400)&gt;0,1,0)</f>
        <v>0</v>
      </c>
      <c r="D400">
        <f>IF(COUNTIFS('United Data'!$A$3:$A$2150,D$1,'United Data'!$C$3:$C$2150,$A400)&gt;0,1,0)</f>
        <v>0</v>
      </c>
      <c r="E400">
        <f>IF(COUNTIFS('United Data'!$A$3:$A$2150,E$1,'United Data'!$C$3:$C$2150,$A400)&gt;0,1,0)</f>
        <v>0</v>
      </c>
      <c r="F400">
        <f>IF(COUNTIFS('United Data'!$A$3:$A$2150,F$1,'United Data'!$C$3:$C$2150,$A400)&gt;0,1,0)</f>
        <v>0</v>
      </c>
      <c r="G400">
        <f>IF(COUNTIFS('United Data'!$A$3:$A$2150,G$1,'United Data'!$C$3:$C$2150,$A400)&gt;0,1,0)</f>
        <v>0</v>
      </c>
      <c r="H400">
        <f>IF(COUNTIFS('United Data'!$A$3:$A$2150,H$1,'United Data'!$C$3:$C$2150,$A400)&gt;0,1,0)</f>
        <v>0</v>
      </c>
      <c r="I400">
        <f>IF(COUNTIFS('United Data'!$A$3:$A$2150,I$1,'United Data'!$C$3:$C$2150,$A400)&gt;0,1,0)</f>
        <v>0</v>
      </c>
      <c r="J400">
        <f>IF(COUNTIFS('United Data'!$A$3:$A$2150,J$1,'United Data'!$C$3:$C$2150,$A400)&gt;0,1,0)</f>
        <v>0</v>
      </c>
      <c r="K400">
        <f>IF(COUNTIFS('United Data'!$A$3:$A$2150,K$1,'United Data'!$C$3:$C$2150,$A400)&gt;0,1,0)</f>
        <v>0</v>
      </c>
      <c r="L400">
        <f>IF(COUNTIFS('United Data'!$A$3:$A$2150,L$1,'United Data'!$C$3:$C$2150,$A400)&gt;0,1,0)</f>
        <v>0</v>
      </c>
      <c r="M400">
        <f>IF(COUNTIFS('United Data'!$A$3:$A$2150,M$1,'United Data'!$C$3:$C$2150,$A400)&gt;0,1,0)</f>
        <v>0</v>
      </c>
      <c r="N400">
        <f>IF(COUNTIFS('United Data'!$A$3:$A$2150,N$1,'United Data'!$C$3:$C$2150,$A400)&gt;0,1,0)</f>
        <v>1</v>
      </c>
      <c r="O400">
        <f>IF(COUNTIFS('United Data'!$A$3:$A$2150,O$1,'United Data'!$C$3:$C$2150,$A400)&gt;0,1,0)</f>
        <v>0</v>
      </c>
      <c r="P400">
        <f>IF(COUNTIFS('United Data'!$A$3:$A$2150,P$1,'United Data'!$C$3:$C$2150,$A400)&gt;0,1,0)</f>
        <v>0</v>
      </c>
      <c r="Q400">
        <f>IF(COUNTIFS('United Data'!$A$3:$A$2150,Q$1,'United Data'!$C$3:$C$2150,$A400)&gt;0,1,0)</f>
        <v>0</v>
      </c>
      <c r="R400">
        <f>IF(COUNTIFS('United Data'!$A$3:$A$2150,R$1,'United Data'!$C$3:$C$2150,$A400)&gt;0,1,0)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446</v>
      </c>
      <c r="B401">
        <f>IF(COUNTIFS('United Data'!$A$3:$A$2150,B$1,'United Data'!$C$3:$C$2150,$A401)&gt;0,1,0)</f>
        <v>0</v>
      </c>
      <c r="C401">
        <f>IF(COUNTIFS('United Data'!$A$3:$A$2150,C$1,'United Data'!$C$3:$C$2150,$A401)&gt;0,1,0)</f>
        <v>0</v>
      </c>
      <c r="D401">
        <f>IF(COUNTIFS('United Data'!$A$3:$A$2150,D$1,'United Data'!$C$3:$C$2150,$A401)&gt;0,1,0)</f>
        <v>0</v>
      </c>
      <c r="E401">
        <f>IF(COUNTIFS('United Data'!$A$3:$A$2150,E$1,'United Data'!$C$3:$C$2150,$A401)&gt;0,1,0)</f>
        <v>0</v>
      </c>
      <c r="F401">
        <f>IF(COUNTIFS('United Data'!$A$3:$A$2150,F$1,'United Data'!$C$3:$C$2150,$A401)&gt;0,1,0)</f>
        <v>0</v>
      </c>
      <c r="G401">
        <f>IF(COUNTIFS('United Data'!$A$3:$A$2150,G$1,'United Data'!$C$3:$C$2150,$A401)&gt;0,1,0)</f>
        <v>0</v>
      </c>
      <c r="H401">
        <f>IF(COUNTIFS('United Data'!$A$3:$A$2150,H$1,'United Data'!$C$3:$C$2150,$A401)&gt;0,1,0)</f>
        <v>0</v>
      </c>
      <c r="I401">
        <f>IF(COUNTIFS('United Data'!$A$3:$A$2150,I$1,'United Data'!$C$3:$C$2150,$A401)&gt;0,1,0)</f>
        <v>0</v>
      </c>
      <c r="J401">
        <f>IF(COUNTIFS('United Data'!$A$3:$A$2150,J$1,'United Data'!$C$3:$C$2150,$A401)&gt;0,1,0)</f>
        <v>0</v>
      </c>
      <c r="K401">
        <f>IF(COUNTIFS('United Data'!$A$3:$A$2150,K$1,'United Data'!$C$3:$C$2150,$A401)&gt;0,1,0)</f>
        <v>0</v>
      </c>
      <c r="L401">
        <f>IF(COUNTIFS('United Data'!$A$3:$A$2150,L$1,'United Data'!$C$3:$C$2150,$A401)&gt;0,1,0)</f>
        <v>0</v>
      </c>
      <c r="M401">
        <f>IF(COUNTIFS('United Data'!$A$3:$A$2150,M$1,'United Data'!$C$3:$C$2150,$A401)&gt;0,1,0)</f>
        <v>0</v>
      </c>
      <c r="N401">
        <f>IF(COUNTIFS('United Data'!$A$3:$A$2150,N$1,'United Data'!$C$3:$C$2150,$A401)&gt;0,1,0)</f>
        <v>1</v>
      </c>
      <c r="O401">
        <f>IF(COUNTIFS('United Data'!$A$3:$A$2150,O$1,'United Data'!$C$3:$C$2150,$A401)&gt;0,1,0)</f>
        <v>0</v>
      </c>
      <c r="P401">
        <f>IF(COUNTIFS('United Data'!$A$3:$A$2150,P$1,'United Data'!$C$3:$C$2150,$A401)&gt;0,1,0)</f>
        <v>0</v>
      </c>
      <c r="Q401">
        <f>IF(COUNTIFS('United Data'!$A$3:$A$2150,Q$1,'United Data'!$C$3:$C$2150,$A401)&gt;0,1,0)</f>
        <v>0</v>
      </c>
      <c r="R401">
        <f>IF(COUNTIFS('United Data'!$A$3:$A$2150,R$1,'United Data'!$C$3:$C$2150,$A401)&gt;0,1,0)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447</v>
      </c>
      <c r="B402">
        <f>IF(COUNTIFS('United Data'!$A$3:$A$2150,B$1,'United Data'!$C$3:$C$2150,$A402)&gt;0,1,0)</f>
        <v>0</v>
      </c>
      <c r="C402">
        <f>IF(COUNTIFS('United Data'!$A$3:$A$2150,C$1,'United Data'!$C$3:$C$2150,$A402)&gt;0,1,0)</f>
        <v>0</v>
      </c>
      <c r="D402">
        <f>IF(COUNTIFS('United Data'!$A$3:$A$2150,D$1,'United Data'!$C$3:$C$2150,$A402)&gt;0,1,0)</f>
        <v>0</v>
      </c>
      <c r="E402">
        <f>IF(COUNTIFS('United Data'!$A$3:$A$2150,E$1,'United Data'!$C$3:$C$2150,$A402)&gt;0,1,0)</f>
        <v>0</v>
      </c>
      <c r="F402">
        <f>IF(COUNTIFS('United Data'!$A$3:$A$2150,F$1,'United Data'!$C$3:$C$2150,$A402)&gt;0,1,0)</f>
        <v>0</v>
      </c>
      <c r="G402">
        <f>IF(COUNTIFS('United Data'!$A$3:$A$2150,G$1,'United Data'!$C$3:$C$2150,$A402)&gt;0,1,0)</f>
        <v>0</v>
      </c>
      <c r="H402">
        <f>IF(COUNTIFS('United Data'!$A$3:$A$2150,H$1,'United Data'!$C$3:$C$2150,$A402)&gt;0,1,0)</f>
        <v>0</v>
      </c>
      <c r="I402">
        <f>IF(COUNTIFS('United Data'!$A$3:$A$2150,I$1,'United Data'!$C$3:$C$2150,$A402)&gt;0,1,0)</f>
        <v>0</v>
      </c>
      <c r="J402">
        <f>IF(COUNTIFS('United Data'!$A$3:$A$2150,J$1,'United Data'!$C$3:$C$2150,$A402)&gt;0,1,0)</f>
        <v>0</v>
      </c>
      <c r="K402">
        <f>IF(COUNTIFS('United Data'!$A$3:$A$2150,K$1,'United Data'!$C$3:$C$2150,$A402)&gt;0,1,0)</f>
        <v>0</v>
      </c>
      <c r="L402">
        <f>IF(COUNTIFS('United Data'!$A$3:$A$2150,L$1,'United Data'!$C$3:$C$2150,$A402)&gt;0,1,0)</f>
        <v>0</v>
      </c>
      <c r="M402">
        <f>IF(COUNTIFS('United Data'!$A$3:$A$2150,M$1,'United Data'!$C$3:$C$2150,$A402)&gt;0,1,0)</f>
        <v>0</v>
      </c>
      <c r="N402">
        <f>IF(COUNTIFS('United Data'!$A$3:$A$2150,N$1,'United Data'!$C$3:$C$2150,$A402)&gt;0,1,0)</f>
        <v>1</v>
      </c>
      <c r="O402">
        <f>IF(COUNTIFS('United Data'!$A$3:$A$2150,O$1,'United Data'!$C$3:$C$2150,$A402)&gt;0,1,0)</f>
        <v>1</v>
      </c>
      <c r="P402">
        <f>IF(COUNTIFS('United Data'!$A$3:$A$2150,P$1,'United Data'!$C$3:$C$2150,$A402)&gt;0,1,0)</f>
        <v>0</v>
      </c>
      <c r="Q402">
        <f>IF(COUNTIFS('United Data'!$A$3:$A$2150,Q$1,'United Data'!$C$3:$C$2150,$A402)&gt;0,1,0)</f>
        <v>0</v>
      </c>
      <c r="R402">
        <f>IF(COUNTIFS('United Data'!$A$3:$A$2150,R$1,'United Data'!$C$3:$C$2150,$A402)&gt;0,1,0)</f>
        <v>0</v>
      </c>
      <c r="S402">
        <f t="shared" si="12"/>
        <v>2</v>
      </c>
      <c r="T402">
        <f t="shared" si="13"/>
        <v>1</v>
      </c>
    </row>
    <row r="403" spans="1:20" x14ac:dyDescent="0.2">
      <c r="A403" t="s">
        <v>448</v>
      </c>
      <c r="B403">
        <f>IF(COUNTIFS('United Data'!$A$3:$A$2150,B$1,'United Data'!$C$3:$C$2150,$A403)&gt;0,1,0)</f>
        <v>0</v>
      </c>
      <c r="C403">
        <f>IF(COUNTIFS('United Data'!$A$3:$A$2150,C$1,'United Data'!$C$3:$C$2150,$A403)&gt;0,1,0)</f>
        <v>0</v>
      </c>
      <c r="D403">
        <f>IF(COUNTIFS('United Data'!$A$3:$A$2150,D$1,'United Data'!$C$3:$C$2150,$A403)&gt;0,1,0)</f>
        <v>0</v>
      </c>
      <c r="E403">
        <f>IF(COUNTIFS('United Data'!$A$3:$A$2150,E$1,'United Data'!$C$3:$C$2150,$A403)&gt;0,1,0)</f>
        <v>0</v>
      </c>
      <c r="F403">
        <f>IF(COUNTIFS('United Data'!$A$3:$A$2150,F$1,'United Data'!$C$3:$C$2150,$A403)&gt;0,1,0)</f>
        <v>0</v>
      </c>
      <c r="G403">
        <f>IF(COUNTIFS('United Data'!$A$3:$A$2150,G$1,'United Data'!$C$3:$C$2150,$A403)&gt;0,1,0)</f>
        <v>0</v>
      </c>
      <c r="H403">
        <f>IF(COUNTIFS('United Data'!$A$3:$A$2150,H$1,'United Data'!$C$3:$C$2150,$A403)&gt;0,1,0)</f>
        <v>0</v>
      </c>
      <c r="I403">
        <f>IF(COUNTIFS('United Data'!$A$3:$A$2150,I$1,'United Data'!$C$3:$C$2150,$A403)&gt;0,1,0)</f>
        <v>0</v>
      </c>
      <c r="J403">
        <f>IF(COUNTIFS('United Data'!$A$3:$A$2150,J$1,'United Data'!$C$3:$C$2150,$A403)&gt;0,1,0)</f>
        <v>0</v>
      </c>
      <c r="K403">
        <f>IF(COUNTIFS('United Data'!$A$3:$A$2150,K$1,'United Data'!$C$3:$C$2150,$A403)&gt;0,1,0)</f>
        <v>0</v>
      </c>
      <c r="L403">
        <f>IF(COUNTIFS('United Data'!$A$3:$A$2150,L$1,'United Data'!$C$3:$C$2150,$A403)&gt;0,1,0)</f>
        <v>0</v>
      </c>
      <c r="M403">
        <f>IF(COUNTIFS('United Data'!$A$3:$A$2150,M$1,'United Data'!$C$3:$C$2150,$A403)&gt;0,1,0)</f>
        <v>0</v>
      </c>
      <c r="N403">
        <f>IF(COUNTIFS('United Data'!$A$3:$A$2150,N$1,'United Data'!$C$3:$C$2150,$A403)&gt;0,1,0)</f>
        <v>1</v>
      </c>
      <c r="O403">
        <f>IF(COUNTIFS('United Data'!$A$3:$A$2150,O$1,'United Data'!$C$3:$C$2150,$A403)&gt;0,1,0)</f>
        <v>1</v>
      </c>
      <c r="P403">
        <f>IF(COUNTIFS('United Data'!$A$3:$A$2150,P$1,'United Data'!$C$3:$C$2150,$A403)&gt;0,1,0)</f>
        <v>1</v>
      </c>
      <c r="Q403">
        <f>IF(COUNTIFS('United Data'!$A$3:$A$2150,Q$1,'United Data'!$C$3:$C$2150,$A403)&gt;0,1,0)</f>
        <v>0</v>
      </c>
      <c r="R403">
        <f>IF(COUNTIFS('United Data'!$A$3:$A$2150,R$1,'United Data'!$C$3:$C$2150,$A403)&gt;0,1,0)</f>
        <v>0</v>
      </c>
      <c r="S403">
        <f t="shared" si="12"/>
        <v>3</v>
      </c>
      <c r="T403">
        <f t="shared" si="13"/>
        <v>1</v>
      </c>
    </row>
    <row r="404" spans="1:20" x14ac:dyDescent="0.2">
      <c r="A404" t="s">
        <v>449</v>
      </c>
      <c r="B404">
        <f>IF(COUNTIFS('United Data'!$A$3:$A$2150,B$1,'United Data'!$C$3:$C$2150,$A404)&gt;0,1,0)</f>
        <v>0</v>
      </c>
      <c r="C404">
        <f>IF(COUNTIFS('United Data'!$A$3:$A$2150,C$1,'United Data'!$C$3:$C$2150,$A404)&gt;0,1,0)</f>
        <v>0</v>
      </c>
      <c r="D404">
        <f>IF(COUNTIFS('United Data'!$A$3:$A$2150,D$1,'United Data'!$C$3:$C$2150,$A404)&gt;0,1,0)</f>
        <v>0</v>
      </c>
      <c r="E404">
        <f>IF(COUNTIFS('United Data'!$A$3:$A$2150,E$1,'United Data'!$C$3:$C$2150,$A404)&gt;0,1,0)</f>
        <v>0</v>
      </c>
      <c r="F404">
        <f>IF(COUNTIFS('United Data'!$A$3:$A$2150,F$1,'United Data'!$C$3:$C$2150,$A404)&gt;0,1,0)</f>
        <v>0</v>
      </c>
      <c r="G404">
        <f>IF(COUNTIFS('United Data'!$A$3:$A$2150,G$1,'United Data'!$C$3:$C$2150,$A404)&gt;0,1,0)</f>
        <v>0</v>
      </c>
      <c r="H404">
        <f>IF(COUNTIFS('United Data'!$A$3:$A$2150,H$1,'United Data'!$C$3:$C$2150,$A404)&gt;0,1,0)</f>
        <v>0</v>
      </c>
      <c r="I404">
        <f>IF(COUNTIFS('United Data'!$A$3:$A$2150,I$1,'United Data'!$C$3:$C$2150,$A404)&gt;0,1,0)</f>
        <v>0</v>
      </c>
      <c r="J404">
        <f>IF(COUNTIFS('United Data'!$A$3:$A$2150,J$1,'United Data'!$C$3:$C$2150,$A404)&gt;0,1,0)</f>
        <v>0</v>
      </c>
      <c r="K404">
        <f>IF(COUNTIFS('United Data'!$A$3:$A$2150,K$1,'United Data'!$C$3:$C$2150,$A404)&gt;0,1,0)</f>
        <v>0</v>
      </c>
      <c r="L404">
        <f>IF(COUNTIFS('United Data'!$A$3:$A$2150,L$1,'United Data'!$C$3:$C$2150,$A404)&gt;0,1,0)</f>
        <v>0</v>
      </c>
      <c r="M404">
        <f>IF(COUNTIFS('United Data'!$A$3:$A$2150,M$1,'United Data'!$C$3:$C$2150,$A404)&gt;0,1,0)</f>
        <v>0</v>
      </c>
      <c r="N404">
        <f>IF(COUNTIFS('United Data'!$A$3:$A$2150,N$1,'United Data'!$C$3:$C$2150,$A404)&gt;0,1,0)</f>
        <v>1</v>
      </c>
      <c r="O404">
        <f>IF(COUNTIFS('United Data'!$A$3:$A$2150,O$1,'United Data'!$C$3:$C$2150,$A404)&gt;0,1,0)</f>
        <v>0</v>
      </c>
      <c r="P404">
        <f>IF(COUNTIFS('United Data'!$A$3:$A$2150,P$1,'United Data'!$C$3:$C$2150,$A404)&gt;0,1,0)</f>
        <v>0</v>
      </c>
      <c r="Q404">
        <f>IF(COUNTIFS('United Data'!$A$3:$A$2150,Q$1,'United Data'!$C$3:$C$2150,$A404)&gt;0,1,0)</f>
        <v>0</v>
      </c>
      <c r="R404">
        <f>IF(COUNTIFS('United Data'!$A$3:$A$2150,R$1,'United Data'!$C$3:$C$2150,$A404)&gt;0,1,0)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450</v>
      </c>
      <c r="B405">
        <f>IF(COUNTIFS('United Data'!$A$3:$A$2150,B$1,'United Data'!$C$3:$C$2150,$A405)&gt;0,1,0)</f>
        <v>0</v>
      </c>
      <c r="C405">
        <f>IF(COUNTIFS('United Data'!$A$3:$A$2150,C$1,'United Data'!$C$3:$C$2150,$A405)&gt;0,1,0)</f>
        <v>0</v>
      </c>
      <c r="D405">
        <f>IF(COUNTIFS('United Data'!$A$3:$A$2150,D$1,'United Data'!$C$3:$C$2150,$A405)&gt;0,1,0)</f>
        <v>0</v>
      </c>
      <c r="E405">
        <f>IF(COUNTIFS('United Data'!$A$3:$A$2150,E$1,'United Data'!$C$3:$C$2150,$A405)&gt;0,1,0)</f>
        <v>0</v>
      </c>
      <c r="F405">
        <f>IF(COUNTIFS('United Data'!$A$3:$A$2150,F$1,'United Data'!$C$3:$C$2150,$A405)&gt;0,1,0)</f>
        <v>0</v>
      </c>
      <c r="G405">
        <f>IF(COUNTIFS('United Data'!$A$3:$A$2150,G$1,'United Data'!$C$3:$C$2150,$A405)&gt;0,1,0)</f>
        <v>0</v>
      </c>
      <c r="H405">
        <f>IF(COUNTIFS('United Data'!$A$3:$A$2150,H$1,'United Data'!$C$3:$C$2150,$A405)&gt;0,1,0)</f>
        <v>0</v>
      </c>
      <c r="I405">
        <f>IF(COUNTIFS('United Data'!$A$3:$A$2150,I$1,'United Data'!$C$3:$C$2150,$A405)&gt;0,1,0)</f>
        <v>0</v>
      </c>
      <c r="J405">
        <f>IF(COUNTIFS('United Data'!$A$3:$A$2150,J$1,'United Data'!$C$3:$C$2150,$A405)&gt;0,1,0)</f>
        <v>0</v>
      </c>
      <c r="K405">
        <f>IF(COUNTIFS('United Data'!$A$3:$A$2150,K$1,'United Data'!$C$3:$C$2150,$A405)&gt;0,1,0)</f>
        <v>0</v>
      </c>
      <c r="L405">
        <f>IF(COUNTIFS('United Data'!$A$3:$A$2150,L$1,'United Data'!$C$3:$C$2150,$A405)&gt;0,1,0)</f>
        <v>0</v>
      </c>
      <c r="M405">
        <f>IF(COUNTIFS('United Data'!$A$3:$A$2150,M$1,'United Data'!$C$3:$C$2150,$A405)&gt;0,1,0)</f>
        <v>0</v>
      </c>
      <c r="N405">
        <f>IF(COUNTIFS('United Data'!$A$3:$A$2150,N$1,'United Data'!$C$3:$C$2150,$A405)&gt;0,1,0)</f>
        <v>0</v>
      </c>
      <c r="O405">
        <f>IF(COUNTIFS('United Data'!$A$3:$A$2150,O$1,'United Data'!$C$3:$C$2150,$A405)&gt;0,1,0)</f>
        <v>1</v>
      </c>
      <c r="P405">
        <f>IF(COUNTIFS('United Data'!$A$3:$A$2150,P$1,'United Data'!$C$3:$C$2150,$A405)&gt;0,1,0)</f>
        <v>1</v>
      </c>
      <c r="Q405">
        <f>IF(COUNTIFS('United Data'!$A$3:$A$2150,Q$1,'United Data'!$C$3:$C$2150,$A405)&gt;0,1,0)</f>
        <v>0</v>
      </c>
      <c r="R405">
        <f>IF(COUNTIFS('United Data'!$A$3:$A$2150,R$1,'United Data'!$C$3:$C$2150,$A405)&gt;0,1,0)</f>
        <v>0</v>
      </c>
      <c r="S405">
        <f t="shared" si="12"/>
        <v>2</v>
      </c>
      <c r="T405">
        <f t="shared" si="13"/>
        <v>1</v>
      </c>
    </row>
    <row r="406" spans="1:20" x14ac:dyDescent="0.2">
      <c r="A406" t="s">
        <v>451</v>
      </c>
      <c r="B406">
        <f>IF(COUNTIFS('United Data'!$A$3:$A$2150,B$1,'United Data'!$C$3:$C$2150,$A406)&gt;0,1,0)</f>
        <v>0</v>
      </c>
      <c r="C406">
        <f>IF(COUNTIFS('United Data'!$A$3:$A$2150,C$1,'United Data'!$C$3:$C$2150,$A406)&gt;0,1,0)</f>
        <v>0</v>
      </c>
      <c r="D406">
        <f>IF(COUNTIFS('United Data'!$A$3:$A$2150,D$1,'United Data'!$C$3:$C$2150,$A406)&gt;0,1,0)</f>
        <v>0</v>
      </c>
      <c r="E406">
        <f>IF(COUNTIFS('United Data'!$A$3:$A$2150,E$1,'United Data'!$C$3:$C$2150,$A406)&gt;0,1,0)</f>
        <v>0</v>
      </c>
      <c r="F406">
        <f>IF(COUNTIFS('United Data'!$A$3:$A$2150,F$1,'United Data'!$C$3:$C$2150,$A406)&gt;0,1,0)</f>
        <v>0</v>
      </c>
      <c r="G406">
        <f>IF(COUNTIFS('United Data'!$A$3:$A$2150,G$1,'United Data'!$C$3:$C$2150,$A406)&gt;0,1,0)</f>
        <v>0</v>
      </c>
      <c r="H406">
        <f>IF(COUNTIFS('United Data'!$A$3:$A$2150,H$1,'United Data'!$C$3:$C$2150,$A406)&gt;0,1,0)</f>
        <v>0</v>
      </c>
      <c r="I406">
        <f>IF(COUNTIFS('United Data'!$A$3:$A$2150,I$1,'United Data'!$C$3:$C$2150,$A406)&gt;0,1,0)</f>
        <v>0</v>
      </c>
      <c r="J406">
        <f>IF(COUNTIFS('United Data'!$A$3:$A$2150,J$1,'United Data'!$C$3:$C$2150,$A406)&gt;0,1,0)</f>
        <v>0</v>
      </c>
      <c r="K406">
        <f>IF(COUNTIFS('United Data'!$A$3:$A$2150,K$1,'United Data'!$C$3:$C$2150,$A406)&gt;0,1,0)</f>
        <v>0</v>
      </c>
      <c r="L406">
        <f>IF(COUNTIFS('United Data'!$A$3:$A$2150,L$1,'United Data'!$C$3:$C$2150,$A406)&gt;0,1,0)</f>
        <v>0</v>
      </c>
      <c r="M406">
        <f>IF(COUNTIFS('United Data'!$A$3:$A$2150,M$1,'United Data'!$C$3:$C$2150,$A406)&gt;0,1,0)</f>
        <v>0</v>
      </c>
      <c r="N406">
        <f>IF(COUNTIFS('United Data'!$A$3:$A$2150,N$1,'United Data'!$C$3:$C$2150,$A406)&gt;0,1,0)</f>
        <v>0</v>
      </c>
      <c r="O406">
        <f>IF(COUNTIFS('United Data'!$A$3:$A$2150,O$1,'United Data'!$C$3:$C$2150,$A406)&gt;0,1,0)</f>
        <v>1</v>
      </c>
      <c r="P406">
        <f>IF(COUNTIFS('United Data'!$A$3:$A$2150,P$1,'United Data'!$C$3:$C$2150,$A406)&gt;0,1,0)</f>
        <v>1</v>
      </c>
      <c r="Q406">
        <f>IF(COUNTIFS('United Data'!$A$3:$A$2150,Q$1,'United Data'!$C$3:$C$2150,$A406)&gt;0,1,0)</f>
        <v>0</v>
      </c>
      <c r="R406">
        <f>IF(COUNTIFS('United Data'!$A$3:$A$2150,R$1,'United Data'!$C$3:$C$2150,$A406)&gt;0,1,0)</f>
        <v>0</v>
      </c>
      <c r="S406">
        <f t="shared" si="12"/>
        <v>2</v>
      </c>
      <c r="T406">
        <f t="shared" si="13"/>
        <v>1</v>
      </c>
    </row>
    <row r="407" spans="1:20" x14ac:dyDescent="0.2">
      <c r="A407" t="s">
        <v>452</v>
      </c>
      <c r="B407">
        <f>IF(COUNTIFS('United Data'!$A$3:$A$2150,B$1,'United Data'!$C$3:$C$2150,$A407)&gt;0,1,0)</f>
        <v>0</v>
      </c>
      <c r="C407">
        <f>IF(COUNTIFS('United Data'!$A$3:$A$2150,C$1,'United Data'!$C$3:$C$2150,$A407)&gt;0,1,0)</f>
        <v>0</v>
      </c>
      <c r="D407">
        <f>IF(COUNTIFS('United Data'!$A$3:$A$2150,D$1,'United Data'!$C$3:$C$2150,$A407)&gt;0,1,0)</f>
        <v>0</v>
      </c>
      <c r="E407">
        <f>IF(COUNTIFS('United Data'!$A$3:$A$2150,E$1,'United Data'!$C$3:$C$2150,$A407)&gt;0,1,0)</f>
        <v>0</v>
      </c>
      <c r="F407">
        <f>IF(COUNTIFS('United Data'!$A$3:$A$2150,F$1,'United Data'!$C$3:$C$2150,$A407)&gt;0,1,0)</f>
        <v>0</v>
      </c>
      <c r="G407">
        <f>IF(COUNTIFS('United Data'!$A$3:$A$2150,G$1,'United Data'!$C$3:$C$2150,$A407)&gt;0,1,0)</f>
        <v>0</v>
      </c>
      <c r="H407">
        <f>IF(COUNTIFS('United Data'!$A$3:$A$2150,H$1,'United Data'!$C$3:$C$2150,$A407)&gt;0,1,0)</f>
        <v>0</v>
      </c>
      <c r="I407">
        <f>IF(COUNTIFS('United Data'!$A$3:$A$2150,I$1,'United Data'!$C$3:$C$2150,$A407)&gt;0,1,0)</f>
        <v>0</v>
      </c>
      <c r="J407">
        <f>IF(COUNTIFS('United Data'!$A$3:$A$2150,J$1,'United Data'!$C$3:$C$2150,$A407)&gt;0,1,0)</f>
        <v>0</v>
      </c>
      <c r="K407">
        <f>IF(COUNTIFS('United Data'!$A$3:$A$2150,K$1,'United Data'!$C$3:$C$2150,$A407)&gt;0,1,0)</f>
        <v>0</v>
      </c>
      <c r="L407">
        <f>IF(COUNTIFS('United Data'!$A$3:$A$2150,L$1,'United Data'!$C$3:$C$2150,$A407)&gt;0,1,0)</f>
        <v>0</v>
      </c>
      <c r="M407">
        <f>IF(COUNTIFS('United Data'!$A$3:$A$2150,M$1,'United Data'!$C$3:$C$2150,$A407)&gt;0,1,0)</f>
        <v>0</v>
      </c>
      <c r="N407">
        <f>IF(COUNTIFS('United Data'!$A$3:$A$2150,N$1,'United Data'!$C$3:$C$2150,$A407)&gt;0,1,0)</f>
        <v>0</v>
      </c>
      <c r="O407">
        <f>IF(COUNTIFS('United Data'!$A$3:$A$2150,O$1,'United Data'!$C$3:$C$2150,$A407)&gt;0,1,0)</f>
        <v>1</v>
      </c>
      <c r="P407">
        <f>IF(COUNTIFS('United Data'!$A$3:$A$2150,P$1,'United Data'!$C$3:$C$2150,$A407)&gt;0,1,0)</f>
        <v>0</v>
      </c>
      <c r="Q407">
        <f>IF(COUNTIFS('United Data'!$A$3:$A$2150,Q$1,'United Data'!$C$3:$C$2150,$A407)&gt;0,1,0)</f>
        <v>0</v>
      </c>
      <c r="R407">
        <f>IF(COUNTIFS('United Data'!$A$3:$A$2150,R$1,'United Data'!$C$3:$C$2150,$A407)&gt;0,1,0)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453</v>
      </c>
      <c r="B408">
        <f>IF(COUNTIFS('United Data'!$A$3:$A$2150,B$1,'United Data'!$C$3:$C$2150,$A408)&gt;0,1,0)</f>
        <v>0</v>
      </c>
      <c r="C408">
        <f>IF(COUNTIFS('United Data'!$A$3:$A$2150,C$1,'United Data'!$C$3:$C$2150,$A408)&gt;0,1,0)</f>
        <v>0</v>
      </c>
      <c r="D408">
        <f>IF(COUNTIFS('United Data'!$A$3:$A$2150,D$1,'United Data'!$C$3:$C$2150,$A408)&gt;0,1,0)</f>
        <v>0</v>
      </c>
      <c r="E408">
        <f>IF(COUNTIFS('United Data'!$A$3:$A$2150,E$1,'United Data'!$C$3:$C$2150,$A408)&gt;0,1,0)</f>
        <v>0</v>
      </c>
      <c r="F408">
        <f>IF(COUNTIFS('United Data'!$A$3:$A$2150,F$1,'United Data'!$C$3:$C$2150,$A408)&gt;0,1,0)</f>
        <v>0</v>
      </c>
      <c r="G408">
        <f>IF(COUNTIFS('United Data'!$A$3:$A$2150,G$1,'United Data'!$C$3:$C$2150,$A408)&gt;0,1,0)</f>
        <v>0</v>
      </c>
      <c r="H408">
        <f>IF(COUNTIFS('United Data'!$A$3:$A$2150,H$1,'United Data'!$C$3:$C$2150,$A408)&gt;0,1,0)</f>
        <v>0</v>
      </c>
      <c r="I408">
        <f>IF(COUNTIFS('United Data'!$A$3:$A$2150,I$1,'United Data'!$C$3:$C$2150,$A408)&gt;0,1,0)</f>
        <v>0</v>
      </c>
      <c r="J408">
        <f>IF(COUNTIFS('United Data'!$A$3:$A$2150,J$1,'United Data'!$C$3:$C$2150,$A408)&gt;0,1,0)</f>
        <v>0</v>
      </c>
      <c r="K408">
        <f>IF(COUNTIFS('United Data'!$A$3:$A$2150,K$1,'United Data'!$C$3:$C$2150,$A408)&gt;0,1,0)</f>
        <v>0</v>
      </c>
      <c r="L408">
        <f>IF(COUNTIFS('United Data'!$A$3:$A$2150,L$1,'United Data'!$C$3:$C$2150,$A408)&gt;0,1,0)</f>
        <v>0</v>
      </c>
      <c r="M408">
        <f>IF(COUNTIFS('United Data'!$A$3:$A$2150,M$1,'United Data'!$C$3:$C$2150,$A408)&gt;0,1,0)</f>
        <v>0</v>
      </c>
      <c r="N408">
        <f>IF(COUNTIFS('United Data'!$A$3:$A$2150,N$1,'United Data'!$C$3:$C$2150,$A408)&gt;0,1,0)</f>
        <v>0</v>
      </c>
      <c r="O408">
        <f>IF(COUNTIFS('United Data'!$A$3:$A$2150,O$1,'United Data'!$C$3:$C$2150,$A408)&gt;0,1,0)</f>
        <v>1</v>
      </c>
      <c r="P408">
        <f>IF(COUNTIFS('United Data'!$A$3:$A$2150,P$1,'United Data'!$C$3:$C$2150,$A408)&gt;0,1,0)</f>
        <v>0</v>
      </c>
      <c r="Q408">
        <f>IF(COUNTIFS('United Data'!$A$3:$A$2150,Q$1,'United Data'!$C$3:$C$2150,$A408)&gt;0,1,0)</f>
        <v>0</v>
      </c>
      <c r="R408">
        <f>IF(COUNTIFS('United Data'!$A$3:$A$2150,R$1,'United Data'!$C$3:$C$2150,$A408)&gt;0,1,0)</f>
        <v>0</v>
      </c>
      <c r="S408">
        <f t="shared" si="12"/>
        <v>1</v>
      </c>
      <c r="T408">
        <f t="shared" si="13"/>
        <v>1</v>
      </c>
    </row>
    <row r="409" spans="1:20" x14ac:dyDescent="0.2">
      <c r="A409" t="s">
        <v>454</v>
      </c>
      <c r="B409">
        <f>IF(COUNTIFS('United Data'!$A$3:$A$2150,B$1,'United Data'!$C$3:$C$2150,$A409)&gt;0,1,0)</f>
        <v>0</v>
      </c>
      <c r="C409">
        <f>IF(COUNTIFS('United Data'!$A$3:$A$2150,C$1,'United Data'!$C$3:$C$2150,$A409)&gt;0,1,0)</f>
        <v>0</v>
      </c>
      <c r="D409">
        <f>IF(COUNTIFS('United Data'!$A$3:$A$2150,D$1,'United Data'!$C$3:$C$2150,$A409)&gt;0,1,0)</f>
        <v>0</v>
      </c>
      <c r="E409">
        <f>IF(COUNTIFS('United Data'!$A$3:$A$2150,E$1,'United Data'!$C$3:$C$2150,$A409)&gt;0,1,0)</f>
        <v>0</v>
      </c>
      <c r="F409">
        <f>IF(COUNTIFS('United Data'!$A$3:$A$2150,F$1,'United Data'!$C$3:$C$2150,$A409)&gt;0,1,0)</f>
        <v>0</v>
      </c>
      <c r="G409">
        <f>IF(COUNTIFS('United Data'!$A$3:$A$2150,G$1,'United Data'!$C$3:$C$2150,$A409)&gt;0,1,0)</f>
        <v>0</v>
      </c>
      <c r="H409">
        <f>IF(COUNTIFS('United Data'!$A$3:$A$2150,H$1,'United Data'!$C$3:$C$2150,$A409)&gt;0,1,0)</f>
        <v>0</v>
      </c>
      <c r="I409">
        <f>IF(COUNTIFS('United Data'!$A$3:$A$2150,I$1,'United Data'!$C$3:$C$2150,$A409)&gt;0,1,0)</f>
        <v>0</v>
      </c>
      <c r="J409">
        <f>IF(COUNTIFS('United Data'!$A$3:$A$2150,J$1,'United Data'!$C$3:$C$2150,$A409)&gt;0,1,0)</f>
        <v>0</v>
      </c>
      <c r="K409">
        <f>IF(COUNTIFS('United Data'!$A$3:$A$2150,K$1,'United Data'!$C$3:$C$2150,$A409)&gt;0,1,0)</f>
        <v>0</v>
      </c>
      <c r="L409">
        <f>IF(COUNTIFS('United Data'!$A$3:$A$2150,L$1,'United Data'!$C$3:$C$2150,$A409)&gt;0,1,0)</f>
        <v>0</v>
      </c>
      <c r="M409">
        <f>IF(COUNTIFS('United Data'!$A$3:$A$2150,M$1,'United Data'!$C$3:$C$2150,$A409)&gt;0,1,0)</f>
        <v>0</v>
      </c>
      <c r="N409">
        <f>IF(COUNTIFS('United Data'!$A$3:$A$2150,N$1,'United Data'!$C$3:$C$2150,$A409)&gt;0,1,0)</f>
        <v>0</v>
      </c>
      <c r="O409">
        <f>IF(COUNTIFS('United Data'!$A$3:$A$2150,O$1,'United Data'!$C$3:$C$2150,$A409)&gt;0,1,0)</f>
        <v>0</v>
      </c>
      <c r="P409">
        <f>IF(COUNTIFS('United Data'!$A$3:$A$2150,P$1,'United Data'!$C$3:$C$2150,$A409)&gt;0,1,0)</f>
        <v>1</v>
      </c>
      <c r="Q409">
        <f>IF(COUNTIFS('United Data'!$A$3:$A$2150,Q$1,'United Data'!$C$3:$C$2150,$A409)&gt;0,1,0)</f>
        <v>0</v>
      </c>
      <c r="R409">
        <f>IF(COUNTIFS('United Data'!$A$3:$A$2150,R$1,'United Data'!$C$3:$C$2150,$A409)&gt;0,1,0)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455</v>
      </c>
      <c r="B410">
        <f>IF(COUNTIFS('United Data'!$A$3:$A$2150,B$1,'United Data'!$C$3:$C$2150,$A410)&gt;0,1,0)</f>
        <v>0</v>
      </c>
      <c r="C410">
        <f>IF(COUNTIFS('United Data'!$A$3:$A$2150,C$1,'United Data'!$C$3:$C$2150,$A410)&gt;0,1,0)</f>
        <v>0</v>
      </c>
      <c r="D410">
        <f>IF(COUNTIFS('United Data'!$A$3:$A$2150,D$1,'United Data'!$C$3:$C$2150,$A410)&gt;0,1,0)</f>
        <v>0</v>
      </c>
      <c r="E410">
        <f>IF(COUNTIFS('United Data'!$A$3:$A$2150,E$1,'United Data'!$C$3:$C$2150,$A410)&gt;0,1,0)</f>
        <v>0</v>
      </c>
      <c r="F410">
        <f>IF(COUNTIFS('United Data'!$A$3:$A$2150,F$1,'United Data'!$C$3:$C$2150,$A410)&gt;0,1,0)</f>
        <v>0</v>
      </c>
      <c r="G410">
        <f>IF(COUNTIFS('United Data'!$A$3:$A$2150,G$1,'United Data'!$C$3:$C$2150,$A410)&gt;0,1,0)</f>
        <v>0</v>
      </c>
      <c r="H410">
        <f>IF(COUNTIFS('United Data'!$A$3:$A$2150,H$1,'United Data'!$C$3:$C$2150,$A410)&gt;0,1,0)</f>
        <v>0</v>
      </c>
      <c r="I410">
        <f>IF(COUNTIFS('United Data'!$A$3:$A$2150,I$1,'United Data'!$C$3:$C$2150,$A410)&gt;0,1,0)</f>
        <v>0</v>
      </c>
      <c r="J410">
        <f>IF(COUNTIFS('United Data'!$A$3:$A$2150,J$1,'United Data'!$C$3:$C$2150,$A410)&gt;0,1,0)</f>
        <v>0</v>
      </c>
      <c r="K410">
        <f>IF(COUNTIFS('United Data'!$A$3:$A$2150,K$1,'United Data'!$C$3:$C$2150,$A410)&gt;0,1,0)</f>
        <v>0</v>
      </c>
      <c r="L410">
        <f>IF(COUNTIFS('United Data'!$A$3:$A$2150,L$1,'United Data'!$C$3:$C$2150,$A410)&gt;0,1,0)</f>
        <v>0</v>
      </c>
      <c r="M410">
        <f>IF(COUNTIFS('United Data'!$A$3:$A$2150,M$1,'United Data'!$C$3:$C$2150,$A410)&gt;0,1,0)</f>
        <v>0</v>
      </c>
      <c r="N410">
        <f>IF(COUNTIFS('United Data'!$A$3:$A$2150,N$1,'United Data'!$C$3:$C$2150,$A410)&gt;0,1,0)</f>
        <v>0</v>
      </c>
      <c r="O410">
        <f>IF(COUNTIFS('United Data'!$A$3:$A$2150,O$1,'United Data'!$C$3:$C$2150,$A410)&gt;0,1,0)</f>
        <v>0</v>
      </c>
      <c r="P410">
        <f>IF(COUNTIFS('United Data'!$A$3:$A$2150,P$1,'United Data'!$C$3:$C$2150,$A410)&gt;0,1,0)</f>
        <v>1</v>
      </c>
      <c r="Q410">
        <f>IF(COUNTIFS('United Data'!$A$3:$A$2150,Q$1,'United Data'!$C$3:$C$2150,$A410)&gt;0,1,0)</f>
        <v>0</v>
      </c>
      <c r="R410">
        <f>IF(COUNTIFS('United Data'!$A$3:$A$2150,R$1,'United Data'!$C$3:$C$2150,$A410)&gt;0,1,0)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456</v>
      </c>
      <c r="B411">
        <f>IF(COUNTIFS('United Data'!$A$3:$A$2150,B$1,'United Data'!$C$3:$C$2150,$A411)&gt;0,1,0)</f>
        <v>0</v>
      </c>
      <c r="C411">
        <f>IF(COUNTIFS('United Data'!$A$3:$A$2150,C$1,'United Data'!$C$3:$C$2150,$A411)&gt;0,1,0)</f>
        <v>0</v>
      </c>
      <c r="D411">
        <f>IF(COUNTIFS('United Data'!$A$3:$A$2150,D$1,'United Data'!$C$3:$C$2150,$A411)&gt;0,1,0)</f>
        <v>0</v>
      </c>
      <c r="E411">
        <f>IF(COUNTIFS('United Data'!$A$3:$A$2150,E$1,'United Data'!$C$3:$C$2150,$A411)&gt;0,1,0)</f>
        <v>0</v>
      </c>
      <c r="F411">
        <f>IF(COUNTIFS('United Data'!$A$3:$A$2150,F$1,'United Data'!$C$3:$C$2150,$A411)&gt;0,1,0)</f>
        <v>0</v>
      </c>
      <c r="G411">
        <f>IF(COUNTIFS('United Data'!$A$3:$A$2150,G$1,'United Data'!$C$3:$C$2150,$A411)&gt;0,1,0)</f>
        <v>0</v>
      </c>
      <c r="H411">
        <f>IF(COUNTIFS('United Data'!$A$3:$A$2150,H$1,'United Data'!$C$3:$C$2150,$A411)&gt;0,1,0)</f>
        <v>0</v>
      </c>
      <c r="I411">
        <f>IF(COUNTIFS('United Data'!$A$3:$A$2150,I$1,'United Data'!$C$3:$C$2150,$A411)&gt;0,1,0)</f>
        <v>0</v>
      </c>
      <c r="J411">
        <f>IF(COUNTIFS('United Data'!$A$3:$A$2150,J$1,'United Data'!$C$3:$C$2150,$A411)&gt;0,1,0)</f>
        <v>0</v>
      </c>
      <c r="K411">
        <f>IF(COUNTIFS('United Data'!$A$3:$A$2150,K$1,'United Data'!$C$3:$C$2150,$A411)&gt;0,1,0)</f>
        <v>0</v>
      </c>
      <c r="L411">
        <f>IF(COUNTIFS('United Data'!$A$3:$A$2150,L$1,'United Data'!$C$3:$C$2150,$A411)&gt;0,1,0)</f>
        <v>0</v>
      </c>
      <c r="M411">
        <f>IF(COUNTIFS('United Data'!$A$3:$A$2150,M$1,'United Data'!$C$3:$C$2150,$A411)&gt;0,1,0)</f>
        <v>0</v>
      </c>
      <c r="N411">
        <f>IF(COUNTIFS('United Data'!$A$3:$A$2150,N$1,'United Data'!$C$3:$C$2150,$A411)&gt;0,1,0)</f>
        <v>0</v>
      </c>
      <c r="O411">
        <f>IF(COUNTIFS('United Data'!$A$3:$A$2150,O$1,'United Data'!$C$3:$C$2150,$A411)&gt;0,1,0)</f>
        <v>0</v>
      </c>
      <c r="P411">
        <f>IF(COUNTIFS('United Data'!$A$3:$A$2150,P$1,'United Data'!$C$3:$C$2150,$A411)&gt;0,1,0)</f>
        <v>1</v>
      </c>
      <c r="Q411">
        <f>IF(COUNTIFS('United Data'!$A$3:$A$2150,Q$1,'United Data'!$C$3:$C$2150,$A411)&gt;0,1,0)</f>
        <v>1</v>
      </c>
      <c r="R411">
        <f>IF(COUNTIFS('United Data'!$A$3:$A$2150,R$1,'United Data'!$C$3:$C$2150,$A411)&gt;0,1,0)</f>
        <v>0</v>
      </c>
      <c r="S411">
        <f t="shared" si="12"/>
        <v>2</v>
      </c>
      <c r="T411">
        <f t="shared" si="13"/>
        <v>1</v>
      </c>
    </row>
    <row r="412" spans="1:20" x14ac:dyDescent="0.2">
      <c r="A412" t="s">
        <v>457</v>
      </c>
      <c r="B412">
        <f>IF(COUNTIFS('United Data'!$A$3:$A$2150,B$1,'United Data'!$C$3:$C$2150,$A412)&gt;0,1,0)</f>
        <v>0</v>
      </c>
      <c r="C412">
        <f>IF(COUNTIFS('United Data'!$A$3:$A$2150,C$1,'United Data'!$C$3:$C$2150,$A412)&gt;0,1,0)</f>
        <v>0</v>
      </c>
      <c r="D412">
        <f>IF(COUNTIFS('United Data'!$A$3:$A$2150,D$1,'United Data'!$C$3:$C$2150,$A412)&gt;0,1,0)</f>
        <v>0</v>
      </c>
      <c r="E412">
        <f>IF(COUNTIFS('United Data'!$A$3:$A$2150,E$1,'United Data'!$C$3:$C$2150,$A412)&gt;0,1,0)</f>
        <v>0</v>
      </c>
      <c r="F412">
        <f>IF(COUNTIFS('United Data'!$A$3:$A$2150,F$1,'United Data'!$C$3:$C$2150,$A412)&gt;0,1,0)</f>
        <v>0</v>
      </c>
      <c r="G412">
        <f>IF(COUNTIFS('United Data'!$A$3:$A$2150,G$1,'United Data'!$C$3:$C$2150,$A412)&gt;0,1,0)</f>
        <v>0</v>
      </c>
      <c r="H412">
        <f>IF(COUNTIFS('United Data'!$A$3:$A$2150,H$1,'United Data'!$C$3:$C$2150,$A412)&gt;0,1,0)</f>
        <v>0</v>
      </c>
      <c r="I412">
        <f>IF(COUNTIFS('United Data'!$A$3:$A$2150,I$1,'United Data'!$C$3:$C$2150,$A412)&gt;0,1,0)</f>
        <v>0</v>
      </c>
      <c r="J412">
        <f>IF(COUNTIFS('United Data'!$A$3:$A$2150,J$1,'United Data'!$C$3:$C$2150,$A412)&gt;0,1,0)</f>
        <v>0</v>
      </c>
      <c r="K412">
        <f>IF(COUNTIFS('United Data'!$A$3:$A$2150,K$1,'United Data'!$C$3:$C$2150,$A412)&gt;0,1,0)</f>
        <v>0</v>
      </c>
      <c r="L412">
        <f>IF(COUNTIFS('United Data'!$A$3:$A$2150,L$1,'United Data'!$C$3:$C$2150,$A412)&gt;0,1,0)</f>
        <v>0</v>
      </c>
      <c r="M412">
        <f>IF(COUNTIFS('United Data'!$A$3:$A$2150,M$1,'United Data'!$C$3:$C$2150,$A412)&gt;0,1,0)</f>
        <v>0</v>
      </c>
      <c r="N412">
        <f>IF(COUNTIFS('United Data'!$A$3:$A$2150,N$1,'United Data'!$C$3:$C$2150,$A412)&gt;0,1,0)</f>
        <v>0</v>
      </c>
      <c r="O412">
        <f>IF(COUNTIFS('United Data'!$A$3:$A$2150,O$1,'United Data'!$C$3:$C$2150,$A412)&gt;0,1,0)</f>
        <v>0</v>
      </c>
      <c r="P412">
        <f>IF(COUNTIFS('United Data'!$A$3:$A$2150,P$1,'United Data'!$C$3:$C$2150,$A412)&gt;0,1,0)</f>
        <v>1</v>
      </c>
      <c r="Q412">
        <f>IF(COUNTIFS('United Data'!$A$3:$A$2150,Q$1,'United Data'!$C$3:$C$2150,$A412)&gt;0,1,0)</f>
        <v>0</v>
      </c>
      <c r="R412">
        <f>IF(COUNTIFS('United Data'!$A$3:$A$2150,R$1,'United Data'!$C$3:$C$2150,$A412)&gt;0,1,0)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458</v>
      </c>
      <c r="B413">
        <f>IF(COUNTIFS('United Data'!$A$3:$A$2150,B$1,'United Data'!$C$3:$C$2150,$A413)&gt;0,1,0)</f>
        <v>0</v>
      </c>
      <c r="C413">
        <f>IF(COUNTIFS('United Data'!$A$3:$A$2150,C$1,'United Data'!$C$3:$C$2150,$A413)&gt;0,1,0)</f>
        <v>0</v>
      </c>
      <c r="D413">
        <f>IF(COUNTIFS('United Data'!$A$3:$A$2150,D$1,'United Data'!$C$3:$C$2150,$A413)&gt;0,1,0)</f>
        <v>0</v>
      </c>
      <c r="E413">
        <f>IF(COUNTIFS('United Data'!$A$3:$A$2150,E$1,'United Data'!$C$3:$C$2150,$A413)&gt;0,1,0)</f>
        <v>0</v>
      </c>
      <c r="F413">
        <f>IF(COUNTIFS('United Data'!$A$3:$A$2150,F$1,'United Data'!$C$3:$C$2150,$A413)&gt;0,1,0)</f>
        <v>0</v>
      </c>
      <c r="G413">
        <f>IF(COUNTIFS('United Data'!$A$3:$A$2150,G$1,'United Data'!$C$3:$C$2150,$A413)&gt;0,1,0)</f>
        <v>0</v>
      </c>
      <c r="H413">
        <f>IF(COUNTIFS('United Data'!$A$3:$A$2150,H$1,'United Data'!$C$3:$C$2150,$A413)&gt;0,1,0)</f>
        <v>0</v>
      </c>
      <c r="I413">
        <f>IF(COUNTIFS('United Data'!$A$3:$A$2150,I$1,'United Data'!$C$3:$C$2150,$A413)&gt;0,1,0)</f>
        <v>0</v>
      </c>
      <c r="J413">
        <f>IF(COUNTIFS('United Data'!$A$3:$A$2150,J$1,'United Data'!$C$3:$C$2150,$A413)&gt;0,1,0)</f>
        <v>0</v>
      </c>
      <c r="K413">
        <f>IF(COUNTIFS('United Data'!$A$3:$A$2150,K$1,'United Data'!$C$3:$C$2150,$A413)&gt;0,1,0)</f>
        <v>0</v>
      </c>
      <c r="L413">
        <f>IF(COUNTIFS('United Data'!$A$3:$A$2150,L$1,'United Data'!$C$3:$C$2150,$A413)&gt;0,1,0)</f>
        <v>0</v>
      </c>
      <c r="M413">
        <f>IF(COUNTIFS('United Data'!$A$3:$A$2150,M$1,'United Data'!$C$3:$C$2150,$A413)&gt;0,1,0)</f>
        <v>0</v>
      </c>
      <c r="N413">
        <f>IF(COUNTIFS('United Data'!$A$3:$A$2150,N$1,'United Data'!$C$3:$C$2150,$A413)&gt;0,1,0)</f>
        <v>0</v>
      </c>
      <c r="O413">
        <f>IF(COUNTIFS('United Data'!$A$3:$A$2150,O$1,'United Data'!$C$3:$C$2150,$A413)&gt;0,1,0)</f>
        <v>0</v>
      </c>
      <c r="P413">
        <f>IF(COUNTIFS('United Data'!$A$3:$A$2150,P$1,'United Data'!$C$3:$C$2150,$A413)&gt;0,1,0)</f>
        <v>1</v>
      </c>
      <c r="Q413">
        <f>IF(COUNTIFS('United Data'!$A$3:$A$2150,Q$1,'United Data'!$C$3:$C$2150,$A413)&gt;0,1,0)</f>
        <v>0</v>
      </c>
      <c r="R413">
        <f>IF(COUNTIFS('United Data'!$A$3:$A$2150,R$1,'United Data'!$C$3:$C$2150,$A413)&gt;0,1,0)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459</v>
      </c>
      <c r="B414">
        <f>IF(COUNTIFS('United Data'!$A$3:$A$2150,B$1,'United Data'!$C$3:$C$2150,$A414)&gt;0,1,0)</f>
        <v>0</v>
      </c>
      <c r="C414">
        <f>IF(COUNTIFS('United Data'!$A$3:$A$2150,C$1,'United Data'!$C$3:$C$2150,$A414)&gt;0,1,0)</f>
        <v>0</v>
      </c>
      <c r="D414">
        <f>IF(COUNTIFS('United Data'!$A$3:$A$2150,D$1,'United Data'!$C$3:$C$2150,$A414)&gt;0,1,0)</f>
        <v>0</v>
      </c>
      <c r="E414">
        <f>IF(COUNTIFS('United Data'!$A$3:$A$2150,E$1,'United Data'!$C$3:$C$2150,$A414)&gt;0,1,0)</f>
        <v>0</v>
      </c>
      <c r="F414">
        <f>IF(COUNTIFS('United Data'!$A$3:$A$2150,F$1,'United Data'!$C$3:$C$2150,$A414)&gt;0,1,0)</f>
        <v>0</v>
      </c>
      <c r="G414">
        <f>IF(COUNTIFS('United Data'!$A$3:$A$2150,G$1,'United Data'!$C$3:$C$2150,$A414)&gt;0,1,0)</f>
        <v>0</v>
      </c>
      <c r="H414">
        <f>IF(COUNTIFS('United Data'!$A$3:$A$2150,H$1,'United Data'!$C$3:$C$2150,$A414)&gt;0,1,0)</f>
        <v>0</v>
      </c>
      <c r="I414">
        <f>IF(COUNTIFS('United Data'!$A$3:$A$2150,I$1,'United Data'!$C$3:$C$2150,$A414)&gt;0,1,0)</f>
        <v>0</v>
      </c>
      <c r="J414">
        <f>IF(COUNTIFS('United Data'!$A$3:$A$2150,J$1,'United Data'!$C$3:$C$2150,$A414)&gt;0,1,0)</f>
        <v>0</v>
      </c>
      <c r="K414">
        <f>IF(COUNTIFS('United Data'!$A$3:$A$2150,K$1,'United Data'!$C$3:$C$2150,$A414)&gt;0,1,0)</f>
        <v>0</v>
      </c>
      <c r="L414">
        <f>IF(COUNTIFS('United Data'!$A$3:$A$2150,L$1,'United Data'!$C$3:$C$2150,$A414)&gt;0,1,0)</f>
        <v>0</v>
      </c>
      <c r="M414">
        <f>IF(COUNTIFS('United Data'!$A$3:$A$2150,M$1,'United Data'!$C$3:$C$2150,$A414)&gt;0,1,0)</f>
        <v>0</v>
      </c>
      <c r="N414">
        <f>IF(COUNTIFS('United Data'!$A$3:$A$2150,N$1,'United Data'!$C$3:$C$2150,$A414)&gt;0,1,0)</f>
        <v>0</v>
      </c>
      <c r="O414">
        <f>IF(COUNTIFS('United Data'!$A$3:$A$2150,O$1,'United Data'!$C$3:$C$2150,$A414)&gt;0,1,0)</f>
        <v>0</v>
      </c>
      <c r="P414">
        <f>IF(COUNTIFS('United Data'!$A$3:$A$2150,P$1,'United Data'!$C$3:$C$2150,$A414)&gt;0,1,0)</f>
        <v>1</v>
      </c>
      <c r="Q414">
        <f>IF(COUNTIFS('United Data'!$A$3:$A$2150,Q$1,'United Data'!$C$3:$C$2150,$A414)&gt;0,1,0)</f>
        <v>0</v>
      </c>
      <c r="R414">
        <f>IF(COUNTIFS('United Data'!$A$3:$A$2150,R$1,'United Data'!$C$3:$C$2150,$A414)&gt;0,1,0)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460</v>
      </c>
      <c r="B415">
        <f>IF(COUNTIFS('United Data'!$A$3:$A$2150,B$1,'United Data'!$C$3:$C$2150,$A415)&gt;0,1,0)</f>
        <v>0</v>
      </c>
      <c r="C415">
        <f>IF(COUNTIFS('United Data'!$A$3:$A$2150,C$1,'United Data'!$C$3:$C$2150,$A415)&gt;0,1,0)</f>
        <v>0</v>
      </c>
      <c r="D415">
        <f>IF(COUNTIFS('United Data'!$A$3:$A$2150,D$1,'United Data'!$C$3:$C$2150,$A415)&gt;0,1,0)</f>
        <v>0</v>
      </c>
      <c r="E415">
        <f>IF(COUNTIFS('United Data'!$A$3:$A$2150,E$1,'United Data'!$C$3:$C$2150,$A415)&gt;0,1,0)</f>
        <v>0</v>
      </c>
      <c r="F415">
        <f>IF(COUNTIFS('United Data'!$A$3:$A$2150,F$1,'United Data'!$C$3:$C$2150,$A415)&gt;0,1,0)</f>
        <v>0</v>
      </c>
      <c r="G415">
        <f>IF(COUNTIFS('United Data'!$A$3:$A$2150,G$1,'United Data'!$C$3:$C$2150,$A415)&gt;0,1,0)</f>
        <v>0</v>
      </c>
      <c r="H415">
        <f>IF(COUNTIFS('United Data'!$A$3:$A$2150,H$1,'United Data'!$C$3:$C$2150,$A415)&gt;0,1,0)</f>
        <v>0</v>
      </c>
      <c r="I415">
        <f>IF(COUNTIFS('United Data'!$A$3:$A$2150,I$1,'United Data'!$C$3:$C$2150,$A415)&gt;0,1,0)</f>
        <v>0</v>
      </c>
      <c r="J415">
        <f>IF(COUNTIFS('United Data'!$A$3:$A$2150,J$1,'United Data'!$C$3:$C$2150,$A415)&gt;0,1,0)</f>
        <v>0</v>
      </c>
      <c r="K415">
        <f>IF(COUNTIFS('United Data'!$A$3:$A$2150,K$1,'United Data'!$C$3:$C$2150,$A415)&gt;0,1,0)</f>
        <v>0</v>
      </c>
      <c r="L415">
        <f>IF(COUNTIFS('United Data'!$A$3:$A$2150,L$1,'United Data'!$C$3:$C$2150,$A415)&gt;0,1,0)</f>
        <v>0</v>
      </c>
      <c r="M415">
        <f>IF(COUNTIFS('United Data'!$A$3:$A$2150,M$1,'United Data'!$C$3:$C$2150,$A415)&gt;0,1,0)</f>
        <v>0</v>
      </c>
      <c r="N415">
        <f>IF(COUNTIFS('United Data'!$A$3:$A$2150,N$1,'United Data'!$C$3:$C$2150,$A415)&gt;0,1,0)</f>
        <v>0</v>
      </c>
      <c r="O415">
        <f>IF(COUNTIFS('United Data'!$A$3:$A$2150,O$1,'United Data'!$C$3:$C$2150,$A415)&gt;0,1,0)</f>
        <v>0</v>
      </c>
      <c r="P415">
        <f>IF(COUNTIFS('United Data'!$A$3:$A$2150,P$1,'United Data'!$C$3:$C$2150,$A415)&gt;0,1,0)</f>
        <v>1</v>
      </c>
      <c r="Q415">
        <f>IF(COUNTIFS('United Data'!$A$3:$A$2150,Q$1,'United Data'!$C$3:$C$2150,$A415)&gt;0,1,0)</f>
        <v>0</v>
      </c>
      <c r="R415">
        <f>IF(COUNTIFS('United Data'!$A$3:$A$2150,R$1,'United Data'!$C$3:$C$2150,$A415)&gt;0,1,0)</f>
        <v>0</v>
      </c>
      <c r="S415">
        <f t="shared" si="12"/>
        <v>1</v>
      </c>
      <c r="T415">
        <f t="shared" si="13"/>
        <v>1</v>
      </c>
    </row>
    <row r="416" spans="1:20" x14ac:dyDescent="0.2">
      <c r="A416" t="s">
        <v>461</v>
      </c>
      <c r="B416">
        <f>IF(COUNTIFS('United Data'!$A$3:$A$2150,B$1,'United Data'!$C$3:$C$2150,$A416)&gt;0,1,0)</f>
        <v>0</v>
      </c>
      <c r="C416">
        <f>IF(COUNTIFS('United Data'!$A$3:$A$2150,C$1,'United Data'!$C$3:$C$2150,$A416)&gt;0,1,0)</f>
        <v>0</v>
      </c>
      <c r="D416">
        <f>IF(COUNTIFS('United Data'!$A$3:$A$2150,D$1,'United Data'!$C$3:$C$2150,$A416)&gt;0,1,0)</f>
        <v>0</v>
      </c>
      <c r="E416">
        <f>IF(COUNTIFS('United Data'!$A$3:$A$2150,E$1,'United Data'!$C$3:$C$2150,$A416)&gt;0,1,0)</f>
        <v>0</v>
      </c>
      <c r="F416">
        <f>IF(COUNTIFS('United Data'!$A$3:$A$2150,F$1,'United Data'!$C$3:$C$2150,$A416)&gt;0,1,0)</f>
        <v>0</v>
      </c>
      <c r="G416">
        <f>IF(COUNTIFS('United Data'!$A$3:$A$2150,G$1,'United Data'!$C$3:$C$2150,$A416)&gt;0,1,0)</f>
        <v>0</v>
      </c>
      <c r="H416">
        <f>IF(COUNTIFS('United Data'!$A$3:$A$2150,H$1,'United Data'!$C$3:$C$2150,$A416)&gt;0,1,0)</f>
        <v>0</v>
      </c>
      <c r="I416">
        <f>IF(COUNTIFS('United Data'!$A$3:$A$2150,I$1,'United Data'!$C$3:$C$2150,$A416)&gt;0,1,0)</f>
        <v>0</v>
      </c>
      <c r="J416">
        <f>IF(COUNTIFS('United Data'!$A$3:$A$2150,J$1,'United Data'!$C$3:$C$2150,$A416)&gt;0,1,0)</f>
        <v>0</v>
      </c>
      <c r="K416">
        <f>IF(COUNTIFS('United Data'!$A$3:$A$2150,K$1,'United Data'!$C$3:$C$2150,$A416)&gt;0,1,0)</f>
        <v>0</v>
      </c>
      <c r="L416">
        <f>IF(COUNTIFS('United Data'!$A$3:$A$2150,L$1,'United Data'!$C$3:$C$2150,$A416)&gt;0,1,0)</f>
        <v>0</v>
      </c>
      <c r="M416">
        <f>IF(COUNTIFS('United Data'!$A$3:$A$2150,M$1,'United Data'!$C$3:$C$2150,$A416)&gt;0,1,0)</f>
        <v>0</v>
      </c>
      <c r="N416">
        <f>IF(COUNTIFS('United Data'!$A$3:$A$2150,N$1,'United Data'!$C$3:$C$2150,$A416)&gt;0,1,0)</f>
        <v>0</v>
      </c>
      <c r="O416">
        <f>IF(COUNTIFS('United Data'!$A$3:$A$2150,O$1,'United Data'!$C$3:$C$2150,$A416)&gt;0,1,0)</f>
        <v>0</v>
      </c>
      <c r="P416">
        <f>IF(COUNTIFS('United Data'!$A$3:$A$2150,P$1,'United Data'!$C$3:$C$2150,$A416)&gt;0,1,0)</f>
        <v>0</v>
      </c>
      <c r="Q416">
        <f>IF(COUNTIFS('United Data'!$A$3:$A$2150,Q$1,'United Data'!$C$3:$C$2150,$A416)&gt;0,1,0)</f>
        <v>1</v>
      </c>
      <c r="R416">
        <f>IF(COUNTIFS('United Data'!$A$3:$A$2150,R$1,'United Data'!$C$3:$C$2150,$A416)&gt;0,1,0)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462</v>
      </c>
      <c r="B417">
        <f>IF(COUNTIFS('United Data'!$A$3:$A$2150,B$1,'United Data'!$C$3:$C$2150,$A417)&gt;0,1,0)</f>
        <v>0</v>
      </c>
      <c r="C417">
        <f>IF(COUNTIFS('United Data'!$A$3:$A$2150,C$1,'United Data'!$C$3:$C$2150,$A417)&gt;0,1,0)</f>
        <v>0</v>
      </c>
      <c r="D417">
        <f>IF(COUNTIFS('United Data'!$A$3:$A$2150,D$1,'United Data'!$C$3:$C$2150,$A417)&gt;0,1,0)</f>
        <v>0</v>
      </c>
      <c r="E417">
        <f>IF(COUNTIFS('United Data'!$A$3:$A$2150,E$1,'United Data'!$C$3:$C$2150,$A417)&gt;0,1,0)</f>
        <v>0</v>
      </c>
      <c r="F417">
        <f>IF(COUNTIFS('United Data'!$A$3:$A$2150,F$1,'United Data'!$C$3:$C$2150,$A417)&gt;0,1,0)</f>
        <v>0</v>
      </c>
      <c r="G417">
        <f>IF(COUNTIFS('United Data'!$A$3:$A$2150,G$1,'United Data'!$C$3:$C$2150,$A417)&gt;0,1,0)</f>
        <v>0</v>
      </c>
      <c r="H417">
        <f>IF(COUNTIFS('United Data'!$A$3:$A$2150,H$1,'United Data'!$C$3:$C$2150,$A417)&gt;0,1,0)</f>
        <v>0</v>
      </c>
      <c r="I417">
        <f>IF(COUNTIFS('United Data'!$A$3:$A$2150,I$1,'United Data'!$C$3:$C$2150,$A417)&gt;0,1,0)</f>
        <v>0</v>
      </c>
      <c r="J417">
        <f>IF(COUNTIFS('United Data'!$A$3:$A$2150,J$1,'United Data'!$C$3:$C$2150,$A417)&gt;0,1,0)</f>
        <v>0</v>
      </c>
      <c r="K417">
        <f>IF(COUNTIFS('United Data'!$A$3:$A$2150,K$1,'United Data'!$C$3:$C$2150,$A417)&gt;0,1,0)</f>
        <v>0</v>
      </c>
      <c r="L417">
        <f>IF(COUNTIFS('United Data'!$A$3:$A$2150,L$1,'United Data'!$C$3:$C$2150,$A417)&gt;0,1,0)</f>
        <v>0</v>
      </c>
      <c r="M417">
        <f>IF(COUNTIFS('United Data'!$A$3:$A$2150,M$1,'United Data'!$C$3:$C$2150,$A417)&gt;0,1,0)</f>
        <v>0</v>
      </c>
      <c r="N417">
        <f>IF(COUNTIFS('United Data'!$A$3:$A$2150,N$1,'United Data'!$C$3:$C$2150,$A417)&gt;0,1,0)</f>
        <v>0</v>
      </c>
      <c r="O417">
        <f>IF(COUNTIFS('United Data'!$A$3:$A$2150,O$1,'United Data'!$C$3:$C$2150,$A417)&gt;0,1,0)</f>
        <v>0</v>
      </c>
      <c r="P417">
        <f>IF(COUNTIFS('United Data'!$A$3:$A$2150,P$1,'United Data'!$C$3:$C$2150,$A417)&gt;0,1,0)</f>
        <v>0</v>
      </c>
      <c r="Q417">
        <f>IF(COUNTIFS('United Data'!$A$3:$A$2150,Q$1,'United Data'!$C$3:$C$2150,$A417)&gt;0,1,0)</f>
        <v>1</v>
      </c>
      <c r="R417">
        <f>IF(COUNTIFS('United Data'!$A$3:$A$2150,R$1,'United Data'!$C$3:$C$2150,$A417)&gt;0,1,0)</f>
        <v>0</v>
      </c>
      <c r="S417">
        <f t="shared" si="12"/>
        <v>1</v>
      </c>
      <c r="T417">
        <f t="shared" si="13"/>
        <v>1</v>
      </c>
    </row>
    <row r="418" spans="1:20" x14ac:dyDescent="0.2">
      <c r="A418" t="s">
        <v>463</v>
      </c>
      <c r="B418">
        <f>IF(COUNTIFS('United Data'!$A$3:$A$2150,B$1,'United Data'!$C$3:$C$2150,$A418)&gt;0,1,0)</f>
        <v>0</v>
      </c>
      <c r="C418">
        <f>IF(COUNTIFS('United Data'!$A$3:$A$2150,C$1,'United Data'!$C$3:$C$2150,$A418)&gt;0,1,0)</f>
        <v>0</v>
      </c>
      <c r="D418">
        <f>IF(COUNTIFS('United Data'!$A$3:$A$2150,D$1,'United Data'!$C$3:$C$2150,$A418)&gt;0,1,0)</f>
        <v>0</v>
      </c>
      <c r="E418">
        <f>IF(COUNTIFS('United Data'!$A$3:$A$2150,E$1,'United Data'!$C$3:$C$2150,$A418)&gt;0,1,0)</f>
        <v>0</v>
      </c>
      <c r="F418">
        <f>IF(COUNTIFS('United Data'!$A$3:$A$2150,F$1,'United Data'!$C$3:$C$2150,$A418)&gt;0,1,0)</f>
        <v>0</v>
      </c>
      <c r="G418">
        <f>IF(COUNTIFS('United Data'!$A$3:$A$2150,G$1,'United Data'!$C$3:$C$2150,$A418)&gt;0,1,0)</f>
        <v>0</v>
      </c>
      <c r="H418">
        <f>IF(COUNTIFS('United Data'!$A$3:$A$2150,H$1,'United Data'!$C$3:$C$2150,$A418)&gt;0,1,0)</f>
        <v>0</v>
      </c>
      <c r="I418">
        <f>IF(COUNTIFS('United Data'!$A$3:$A$2150,I$1,'United Data'!$C$3:$C$2150,$A418)&gt;0,1,0)</f>
        <v>0</v>
      </c>
      <c r="J418">
        <f>IF(COUNTIFS('United Data'!$A$3:$A$2150,J$1,'United Data'!$C$3:$C$2150,$A418)&gt;0,1,0)</f>
        <v>0</v>
      </c>
      <c r="K418">
        <f>IF(COUNTIFS('United Data'!$A$3:$A$2150,K$1,'United Data'!$C$3:$C$2150,$A418)&gt;0,1,0)</f>
        <v>0</v>
      </c>
      <c r="L418">
        <f>IF(COUNTIFS('United Data'!$A$3:$A$2150,L$1,'United Data'!$C$3:$C$2150,$A418)&gt;0,1,0)</f>
        <v>0</v>
      </c>
      <c r="M418">
        <f>IF(COUNTIFS('United Data'!$A$3:$A$2150,M$1,'United Data'!$C$3:$C$2150,$A418)&gt;0,1,0)</f>
        <v>0</v>
      </c>
      <c r="N418">
        <f>IF(COUNTIFS('United Data'!$A$3:$A$2150,N$1,'United Data'!$C$3:$C$2150,$A418)&gt;0,1,0)</f>
        <v>0</v>
      </c>
      <c r="O418">
        <f>IF(COUNTIFS('United Data'!$A$3:$A$2150,O$1,'United Data'!$C$3:$C$2150,$A418)&gt;0,1,0)</f>
        <v>0</v>
      </c>
      <c r="P418">
        <f>IF(COUNTIFS('United Data'!$A$3:$A$2150,P$1,'United Data'!$C$3:$C$2150,$A418)&gt;0,1,0)</f>
        <v>0</v>
      </c>
      <c r="Q418">
        <f>IF(COUNTIFS('United Data'!$A$3:$A$2150,Q$1,'United Data'!$C$3:$C$2150,$A418)&gt;0,1,0)</f>
        <v>1</v>
      </c>
      <c r="R418">
        <f>IF(COUNTIFS('United Data'!$A$3:$A$2150,R$1,'United Data'!$C$3:$C$2150,$A418)&gt;0,1,0)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464</v>
      </c>
      <c r="B419">
        <f>IF(COUNTIFS('United Data'!$A$3:$A$2150,B$1,'United Data'!$C$3:$C$2150,$A419)&gt;0,1,0)</f>
        <v>0</v>
      </c>
      <c r="C419">
        <f>IF(COUNTIFS('United Data'!$A$3:$A$2150,C$1,'United Data'!$C$3:$C$2150,$A419)&gt;0,1,0)</f>
        <v>0</v>
      </c>
      <c r="D419">
        <f>IF(COUNTIFS('United Data'!$A$3:$A$2150,D$1,'United Data'!$C$3:$C$2150,$A419)&gt;0,1,0)</f>
        <v>0</v>
      </c>
      <c r="E419">
        <f>IF(COUNTIFS('United Data'!$A$3:$A$2150,E$1,'United Data'!$C$3:$C$2150,$A419)&gt;0,1,0)</f>
        <v>0</v>
      </c>
      <c r="F419">
        <f>IF(COUNTIFS('United Data'!$A$3:$A$2150,F$1,'United Data'!$C$3:$C$2150,$A419)&gt;0,1,0)</f>
        <v>0</v>
      </c>
      <c r="G419">
        <f>IF(COUNTIFS('United Data'!$A$3:$A$2150,G$1,'United Data'!$C$3:$C$2150,$A419)&gt;0,1,0)</f>
        <v>0</v>
      </c>
      <c r="H419">
        <f>IF(COUNTIFS('United Data'!$A$3:$A$2150,H$1,'United Data'!$C$3:$C$2150,$A419)&gt;0,1,0)</f>
        <v>0</v>
      </c>
      <c r="I419">
        <f>IF(COUNTIFS('United Data'!$A$3:$A$2150,I$1,'United Data'!$C$3:$C$2150,$A419)&gt;0,1,0)</f>
        <v>0</v>
      </c>
      <c r="J419">
        <f>IF(COUNTIFS('United Data'!$A$3:$A$2150,J$1,'United Data'!$C$3:$C$2150,$A419)&gt;0,1,0)</f>
        <v>0</v>
      </c>
      <c r="K419">
        <f>IF(COUNTIFS('United Data'!$A$3:$A$2150,K$1,'United Data'!$C$3:$C$2150,$A419)&gt;0,1,0)</f>
        <v>0</v>
      </c>
      <c r="L419">
        <f>IF(COUNTIFS('United Data'!$A$3:$A$2150,L$1,'United Data'!$C$3:$C$2150,$A419)&gt;0,1,0)</f>
        <v>0</v>
      </c>
      <c r="M419">
        <f>IF(COUNTIFS('United Data'!$A$3:$A$2150,M$1,'United Data'!$C$3:$C$2150,$A419)&gt;0,1,0)</f>
        <v>0</v>
      </c>
      <c r="N419">
        <f>IF(COUNTIFS('United Data'!$A$3:$A$2150,N$1,'United Data'!$C$3:$C$2150,$A419)&gt;0,1,0)</f>
        <v>0</v>
      </c>
      <c r="O419">
        <f>IF(COUNTIFS('United Data'!$A$3:$A$2150,O$1,'United Data'!$C$3:$C$2150,$A419)&gt;0,1,0)</f>
        <v>0</v>
      </c>
      <c r="P419">
        <f>IF(COUNTIFS('United Data'!$A$3:$A$2150,P$1,'United Data'!$C$3:$C$2150,$A419)&gt;0,1,0)</f>
        <v>0</v>
      </c>
      <c r="Q419">
        <f>IF(COUNTIFS('United Data'!$A$3:$A$2150,Q$1,'United Data'!$C$3:$C$2150,$A419)&gt;0,1,0)</f>
        <v>1</v>
      </c>
      <c r="R419">
        <f>IF(COUNTIFS('United Data'!$A$3:$A$2150,R$1,'United Data'!$C$3:$C$2150,$A419)&gt;0,1,0)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465</v>
      </c>
      <c r="B420">
        <f>IF(COUNTIFS('United Data'!$A$3:$A$2150,B$1,'United Data'!$C$3:$C$2150,$A420)&gt;0,1,0)</f>
        <v>0</v>
      </c>
      <c r="C420">
        <f>IF(COUNTIFS('United Data'!$A$3:$A$2150,C$1,'United Data'!$C$3:$C$2150,$A420)&gt;0,1,0)</f>
        <v>0</v>
      </c>
      <c r="D420">
        <f>IF(COUNTIFS('United Data'!$A$3:$A$2150,D$1,'United Data'!$C$3:$C$2150,$A420)&gt;0,1,0)</f>
        <v>0</v>
      </c>
      <c r="E420">
        <f>IF(COUNTIFS('United Data'!$A$3:$A$2150,E$1,'United Data'!$C$3:$C$2150,$A420)&gt;0,1,0)</f>
        <v>0</v>
      </c>
      <c r="F420">
        <f>IF(COUNTIFS('United Data'!$A$3:$A$2150,F$1,'United Data'!$C$3:$C$2150,$A420)&gt;0,1,0)</f>
        <v>0</v>
      </c>
      <c r="G420">
        <f>IF(COUNTIFS('United Data'!$A$3:$A$2150,G$1,'United Data'!$C$3:$C$2150,$A420)&gt;0,1,0)</f>
        <v>0</v>
      </c>
      <c r="H420">
        <f>IF(COUNTIFS('United Data'!$A$3:$A$2150,H$1,'United Data'!$C$3:$C$2150,$A420)&gt;0,1,0)</f>
        <v>0</v>
      </c>
      <c r="I420">
        <f>IF(COUNTIFS('United Data'!$A$3:$A$2150,I$1,'United Data'!$C$3:$C$2150,$A420)&gt;0,1,0)</f>
        <v>0</v>
      </c>
      <c r="J420">
        <f>IF(COUNTIFS('United Data'!$A$3:$A$2150,J$1,'United Data'!$C$3:$C$2150,$A420)&gt;0,1,0)</f>
        <v>0</v>
      </c>
      <c r="K420">
        <f>IF(COUNTIFS('United Data'!$A$3:$A$2150,K$1,'United Data'!$C$3:$C$2150,$A420)&gt;0,1,0)</f>
        <v>0</v>
      </c>
      <c r="L420">
        <f>IF(COUNTIFS('United Data'!$A$3:$A$2150,L$1,'United Data'!$C$3:$C$2150,$A420)&gt;0,1,0)</f>
        <v>0</v>
      </c>
      <c r="M420">
        <f>IF(COUNTIFS('United Data'!$A$3:$A$2150,M$1,'United Data'!$C$3:$C$2150,$A420)&gt;0,1,0)</f>
        <v>0</v>
      </c>
      <c r="N420">
        <f>IF(COUNTIFS('United Data'!$A$3:$A$2150,N$1,'United Data'!$C$3:$C$2150,$A420)&gt;0,1,0)</f>
        <v>0</v>
      </c>
      <c r="O420">
        <f>IF(COUNTIFS('United Data'!$A$3:$A$2150,O$1,'United Data'!$C$3:$C$2150,$A420)&gt;0,1,0)</f>
        <v>0</v>
      </c>
      <c r="P420">
        <f>IF(COUNTIFS('United Data'!$A$3:$A$2150,P$1,'United Data'!$C$3:$C$2150,$A420)&gt;0,1,0)</f>
        <v>0</v>
      </c>
      <c r="Q420">
        <f>IF(COUNTIFS('United Data'!$A$3:$A$2150,Q$1,'United Data'!$C$3:$C$2150,$A420)&gt;0,1,0)</f>
        <v>1</v>
      </c>
      <c r="R420">
        <f>IF(COUNTIFS('United Data'!$A$3:$A$2150,R$1,'United Data'!$C$3:$C$2150,$A420)&gt;0,1,0)</f>
        <v>0</v>
      </c>
      <c r="S420">
        <f t="shared" si="12"/>
        <v>1</v>
      </c>
      <c r="T420">
        <f t="shared" si="13"/>
        <v>1</v>
      </c>
    </row>
    <row r="421" spans="1:20" x14ac:dyDescent="0.2">
      <c r="A421" t="s">
        <v>466</v>
      </c>
      <c r="B421">
        <f>IF(COUNTIFS('United Data'!$A$3:$A$2150,B$1,'United Data'!$C$3:$C$2150,$A421)&gt;0,1,0)</f>
        <v>0</v>
      </c>
      <c r="C421">
        <f>IF(COUNTIFS('United Data'!$A$3:$A$2150,C$1,'United Data'!$C$3:$C$2150,$A421)&gt;0,1,0)</f>
        <v>0</v>
      </c>
      <c r="D421">
        <f>IF(COUNTIFS('United Data'!$A$3:$A$2150,D$1,'United Data'!$C$3:$C$2150,$A421)&gt;0,1,0)</f>
        <v>0</v>
      </c>
      <c r="E421">
        <f>IF(COUNTIFS('United Data'!$A$3:$A$2150,E$1,'United Data'!$C$3:$C$2150,$A421)&gt;0,1,0)</f>
        <v>0</v>
      </c>
      <c r="F421">
        <f>IF(COUNTIFS('United Data'!$A$3:$A$2150,F$1,'United Data'!$C$3:$C$2150,$A421)&gt;0,1,0)</f>
        <v>0</v>
      </c>
      <c r="G421">
        <f>IF(COUNTIFS('United Data'!$A$3:$A$2150,G$1,'United Data'!$C$3:$C$2150,$A421)&gt;0,1,0)</f>
        <v>0</v>
      </c>
      <c r="H421">
        <f>IF(COUNTIFS('United Data'!$A$3:$A$2150,H$1,'United Data'!$C$3:$C$2150,$A421)&gt;0,1,0)</f>
        <v>0</v>
      </c>
      <c r="I421">
        <f>IF(COUNTIFS('United Data'!$A$3:$A$2150,I$1,'United Data'!$C$3:$C$2150,$A421)&gt;0,1,0)</f>
        <v>0</v>
      </c>
      <c r="J421">
        <f>IF(COUNTIFS('United Data'!$A$3:$A$2150,J$1,'United Data'!$C$3:$C$2150,$A421)&gt;0,1,0)</f>
        <v>0</v>
      </c>
      <c r="K421">
        <f>IF(COUNTIFS('United Data'!$A$3:$A$2150,K$1,'United Data'!$C$3:$C$2150,$A421)&gt;0,1,0)</f>
        <v>0</v>
      </c>
      <c r="L421">
        <f>IF(COUNTIFS('United Data'!$A$3:$A$2150,L$1,'United Data'!$C$3:$C$2150,$A421)&gt;0,1,0)</f>
        <v>0</v>
      </c>
      <c r="M421">
        <f>IF(COUNTIFS('United Data'!$A$3:$A$2150,M$1,'United Data'!$C$3:$C$2150,$A421)&gt;0,1,0)</f>
        <v>0</v>
      </c>
      <c r="N421">
        <f>IF(COUNTIFS('United Data'!$A$3:$A$2150,N$1,'United Data'!$C$3:$C$2150,$A421)&gt;0,1,0)</f>
        <v>0</v>
      </c>
      <c r="O421">
        <f>IF(COUNTIFS('United Data'!$A$3:$A$2150,O$1,'United Data'!$C$3:$C$2150,$A421)&gt;0,1,0)</f>
        <v>0</v>
      </c>
      <c r="P421">
        <f>IF(COUNTIFS('United Data'!$A$3:$A$2150,P$1,'United Data'!$C$3:$C$2150,$A421)&gt;0,1,0)</f>
        <v>0</v>
      </c>
      <c r="Q421">
        <f>IF(COUNTIFS('United Data'!$A$3:$A$2150,Q$1,'United Data'!$C$3:$C$2150,$A421)&gt;0,1,0)</f>
        <v>1</v>
      </c>
      <c r="R421">
        <f>IF(COUNTIFS('United Data'!$A$3:$A$2150,R$1,'United Data'!$C$3:$C$2150,$A421)&gt;0,1,0)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467</v>
      </c>
      <c r="B422">
        <f>IF(COUNTIFS('United Data'!$A$3:$A$2150,B$1,'United Data'!$C$3:$C$2150,$A422)&gt;0,1,0)</f>
        <v>0</v>
      </c>
      <c r="C422">
        <f>IF(COUNTIFS('United Data'!$A$3:$A$2150,C$1,'United Data'!$C$3:$C$2150,$A422)&gt;0,1,0)</f>
        <v>0</v>
      </c>
      <c r="D422">
        <f>IF(COUNTIFS('United Data'!$A$3:$A$2150,D$1,'United Data'!$C$3:$C$2150,$A422)&gt;0,1,0)</f>
        <v>0</v>
      </c>
      <c r="E422">
        <f>IF(COUNTIFS('United Data'!$A$3:$A$2150,E$1,'United Data'!$C$3:$C$2150,$A422)&gt;0,1,0)</f>
        <v>0</v>
      </c>
      <c r="F422">
        <f>IF(COUNTIFS('United Data'!$A$3:$A$2150,F$1,'United Data'!$C$3:$C$2150,$A422)&gt;0,1,0)</f>
        <v>0</v>
      </c>
      <c r="G422">
        <f>IF(COUNTIFS('United Data'!$A$3:$A$2150,G$1,'United Data'!$C$3:$C$2150,$A422)&gt;0,1,0)</f>
        <v>0</v>
      </c>
      <c r="H422">
        <f>IF(COUNTIFS('United Data'!$A$3:$A$2150,H$1,'United Data'!$C$3:$C$2150,$A422)&gt;0,1,0)</f>
        <v>0</v>
      </c>
      <c r="I422">
        <f>IF(COUNTIFS('United Data'!$A$3:$A$2150,I$1,'United Data'!$C$3:$C$2150,$A422)&gt;0,1,0)</f>
        <v>0</v>
      </c>
      <c r="J422">
        <f>IF(COUNTIFS('United Data'!$A$3:$A$2150,J$1,'United Data'!$C$3:$C$2150,$A422)&gt;0,1,0)</f>
        <v>0</v>
      </c>
      <c r="K422">
        <f>IF(COUNTIFS('United Data'!$A$3:$A$2150,K$1,'United Data'!$C$3:$C$2150,$A422)&gt;0,1,0)</f>
        <v>0</v>
      </c>
      <c r="L422">
        <f>IF(COUNTIFS('United Data'!$A$3:$A$2150,L$1,'United Data'!$C$3:$C$2150,$A422)&gt;0,1,0)</f>
        <v>0</v>
      </c>
      <c r="M422">
        <f>IF(COUNTIFS('United Data'!$A$3:$A$2150,M$1,'United Data'!$C$3:$C$2150,$A422)&gt;0,1,0)</f>
        <v>0</v>
      </c>
      <c r="N422">
        <f>IF(COUNTIFS('United Data'!$A$3:$A$2150,N$1,'United Data'!$C$3:$C$2150,$A422)&gt;0,1,0)</f>
        <v>0</v>
      </c>
      <c r="O422">
        <f>IF(COUNTIFS('United Data'!$A$3:$A$2150,O$1,'United Data'!$C$3:$C$2150,$A422)&gt;0,1,0)</f>
        <v>0</v>
      </c>
      <c r="P422">
        <f>IF(COUNTIFS('United Data'!$A$3:$A$2150,P$1,'United Data'!$C$3:$C$2150,$A422)&gt;0,1,0)</f>
        <v>0</v>
      </c>
      <c r="Q422">
        <f>IF(COUNTIFS('United Data'!$A$3:$A$2150,Q$1,'United Data'!$C$3:$C$2150,$A422)&gt;0,1,0)</f>
        <v>1</v>
      </c>
      <c r="R422">
        <f>IF(COUNTIFS('United Data'!$A$3:$A$2150,R$1,'United Data'!$C$3:$C$2150,$A422)&gt;0,1,0)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468</v>
      </c>
      <c r="B423">
        <f>IF(COUNTIFS('United Data'!$A$3:$A$2150,B$1,'United Data'!$C$3:$C$2150,$A423)&gt;0,1,0)</f>
        <v>1</v>
      </c>
      <c r="C423">
        <f>IF(COUNTIFS('United Data'!$A$3:$A$2150,C$1,'United Data'!$C$3:$C$2150,$A423)&gt;0,1,0)</f>
        <v>1</v>
      </c>
      <c r="D423">
        <f>IF(COUNTIFS('United Data'!$A$3:$A$2150,D$1,'United Data'!$C$3:$C$2150,$A423)&gt;0,1,0)</f>
        <v>1</v>
      </c>
      <c r="E423">
        <f>IF(COUNTIFS('United Data'!$A$3:$A$2150,E$1,'United Data'!$C$3:$C$2150,$A423)&gt;0,1,0)</f>
        <v>1</v>
      </c>
      <c r="F423">
        <f>IF(COUNTIFS('United Data'!$A$3:$A$2150,F$1,'United Data'!$C$3:$C$2150,$A423)&gt;0,1,0)</f>
        <v>1</v>
      </c>
      <c r="G423">
        <f>IF(COUNTIFS('United Data'!$A$3:$A$2150,G$1,'United Data'!$C$3:$C$2150,$A423)&gt;0,1,0)</f>
        <v>0</v>
      </c>
      <c r="H423">
        <f>IF(COUNTIFS('United Data'!$A$3:$A$2150,H$1,'United Data'!$C$3:$C$2150,$A423)&gt;0,1,0)</f>
        <v>0</v>
      </c>
      <c r="I423">
        <f>IF(COUNTIFS('United Data'!$A$3:$A$2150,I$1,'United Data'!$C$3:$C$2150,$A423)&gt;0,1,0)</f>
        <v>0</v>
      </c>
      <c r="J423">
        <f>IF(COUNTIFS('United Data'!$A$3:$A$2150,J$1,'United Data'!$C$3:$C$2150,$A423)&gt;0,1,0)</f>
        <v>0</v>
      </c>
      <c r="K423">
        <f>IF(COUNTIFS('United Data'!$A$3:$A$2150,K$1,'United Data'!$C$3:$C$2150,$A423)&gt;0,1,0)</f>
        <v>0</v>
      </c>
      <c r="L423">
        <f>IF(COUNTIFS('United Data'!$A$3:$A$2150,L$1,'United Data'!$C$3:$C$2150,$A423)&gt;0,1,0)</f>
        <v>0</v>
      </c>
      <c r="M423">
        <f>IF(COUNTIFS('United Data'!$A$3:$A$2150,M$1,'United Data'!$C$3:$C$2150,$A423)&gt;0,1,0)</f>
        <v>0</v>
      </c>
      <c r="N423">
        <f>IF(COUNTIFS('United Data'!$A$3:$A$2150,N$1,'United Data'!$C$3:$C$2150,$A423)&gt;0,1,0)</f>
        <v>0</v>
      </c>
      <c r="O423">
        <f>IF(COUNTIFS('United Data'!$A$3:$A$2150,O$1,'United Data'!$C$3:$C$2150,$A423)&gt;0,1,0)</f>
        <v>0</v>
      </c>
      <c r="P423">
        <f>IF(COUNTIFS('United Data'!$A$3:$A$2150,P$1,'United Data'!$C$3:$C$2150,$A423)&gt;0,1,0)</f>
        <v>0</v>
      </c>
      <c r="Q423">
        <f>IF(COUNTIFS('United Data'!$A$3:$A$2150,Q$1,'United Data'!$C$3:$C$2150,$A423)&gt;0,1,0)</f>
        <v>0</v>
      </c>
      <c r="R423">
        <f>IF(COUNTIFS('United Data'!$A$3:$A$2150,R$1,'United Data'!$C$3:$C$2150,$A423)&gt;0,1,0)</f>
        <v>0</v>
      </c>
      <c r="S423">
        <f t="shared" si="12"/>
        <v>5</v>
      </c>
      <c r="T423">
        <f t="shared" si="13"/>
        <v>1</v>
      </c>
    </row>
    <row r="424" spans="1:20" x14ac:dyDescent="0.2">
      <c r="A424" t="s">
        <v>469</v>
      </c>
      <c r="B424">
        <f>IF(COUNTIFS('United Data'!$A$3:$A$2150,B$1,'United Data'!$C$3:$C$2150,$A424)&gt;0,1,0)</f>
        <v>1</v>
      </c>
      <c r="C424">
        <f>IF(COUNTIFS('United Data'!$A$3:$A$2150,C$1,'United Data'!$C$3:$C$2150,$A424)&gt;0,1,0)</f>
        <v>1</v>
      </c>
      <c r="D424">
        <f>IF(COUNTIFS('United Data'!$A$3:$A$2150,D$1,'United Data'!$C$3:$C$2150,$A424)&gt;0,1,0)</f>
        <v>1</v>
      </c>
      <c r="E424">
        <f>IF(COUNTIFS('United Data'!$A$3:$A$2150,E$1,'United Data'!$C$3:$C$2150,$A424)&gt;0,1,0)</f>
        <v>0</v>
      </c>
      <c r="F424">
        <f>IF(COUNTIFS('United Data'!$A$3:$A$2150,F$1,'United Data'!$C$3:$C$2150,$A424)&gt;0,1,0)</f>
        <v>0</v>
      </c>
      <c r="G424">
        <f>IF(COUNTIFS('United Data'!$A$3:$A$2150,G$1,'United Data'!$C$3:$C$2150,$A424)&gt;0,1,0)</f>
        <v>0</v>
      </c>
      <c r="H424">
        <f>IF(COUNTIFS('United Data'!$A$3:$A$2150,H$1,'United Data'!$C$3:$C$2150,$A424)&gt;0,1,0)</f>
        <v>0</v>
      </c>
      <c r="I424">
        <f>IF(COUNTIFS('United Data'!$A$3:$A$2150,I$1,'United Data'!$C$3:$C$2150,$A424)&gt;0,1,0)</f>
        <v>0</v>
      </c>
      <c r="J424">
        <f>IF(COUNTIFS('United Data'!$A$3:$A$2150,J$1,'United Data'!$C$3:$C$2150,$A424)&gt;0,1,0)</f>
        <v>0</v>
      </c>
      <c r="K424">
        <f>IF(COUNTIFS('United Data'!$A$3:$A$2150,K$1,'United Data'!$C$3:$C$2150,$A424)&gt;0,1,0)</f>
        <v>0</v>
      </c>
      <c r="L424">
        <f>IF(COUNTIFS('United Data'!$A$3:$A$2150,L$1,'United Data'!$C$3:$C$2150,$A424)&gt;0,1,0)</f>
        <v>0</v>
      </c>
      <c r="M424">
        <f>IF(COUNTIFS('United Data'!$A$3:$A$2150,M$1,'United Data'!$C$3:$C$2150,$A424)&gt;0,1,0)</f>
        <v>0</v>
      </c>
      <c r="N424">
        <f>IF(COUNTIFS('United Data'!$A$3:$A$2150,N$1,'United Data'!$C$3:$C$2150,$A424)&gt;0,1,0)</f>
        <v>0</v>
      </c>
      <c r="O424">
        <f>IF(COUNTIFS('United Data'!$A$3:$A$2150,O$1,'United Data'!$C$3:$C$2150,$A424)&gt;0,1,0)</f>
        <v>0</v>
      </c>
      <c r="P424">
        <f>IF(COUNTIFS('United Data'!$A$3:$A$2150,P$1,'United Data'!$C$3:$C$2150,$A424)&gt;0,1,0)</f>
        <v>0</v>
      </c>
      <c r="Q424">
        <f>IF(COUNTIFS('United Data'!$A$3:$A$2150,Q$1,'United Data'!$C$3:$C$2150,$A424)&gt;0,1,0)</f>
        <v>0</v>
      </c>
      <c r="R424">
        <f>IF(COUNTIFS('United Data'!$A$3:$A$2150,R$1,'United Data'!$C$3:$C$2150,$A424)&gt;0,1,0)</f>
        <v>0</v>
      </c>
      <c r="S424">
        <f t="shared" si="12"/>
        <v>3</v>
      </c>
      <c r="T424">
        <f t="shared" si="13"/>
        <v>1</v>
      </c>
    </row>
    <row r="425" spans="1:20" x14ac:dyDescent="0.2">
      <c r="A425" t="s">
        <v>470</v>
      </c>
      <c r="B425">
        <f>IF(COUNTIFS('United Data'!$A$3:$A$2150,B$1,'United Data'!$C$3:$C$2150,$A425)&gt;0,1,0)</f>
        <v>1</v>
      </c>
      <c r="C425">
        <f>IF(COUNTIFS('United Data'!$A$3:$A$2150,C$1,'United Data'!$C$3:$C$2150,$A425)&gt;0,1,0)</f>
        <v>1</v>
      </c>
      <c r="D425">
        <f>IF(COUNTIFS('United Data'!$A$3:$A$2150,D$1,'United Data'!$C$3:$C$2150,$A425)&gt;0,1,0)</f>
        <v>1</v>
      </c>
      <c r="E425">
        <f>IF(COUNTIFS('United Data'!$A$3:$A$2150,E$1,'United Data'!$C$3:$C$2150,$A425)&gt;0,1,0)</f>
        <v>1</v>
      </c>
      <c r="F425">
        <f>IF(COUNTIFS('United Data'!$A$3:$A$2150,F$1,'United Data'!$C$3:$C$2150,$A425)&gt;0,1,0)</f>
        <v>1</v>
      </c>
      <c r="G425">
        <f>IF(COUNTIFS('United Data'!$A$3:$A$2150,G$1,'United Data'!$C$3:$C$2150,$A425)&gt;0,1,0)</f>
        <v>0</v>
      </c>
      <c r="H425">
        <f>IF(COUNTIFS('United Data'!$A$3:$A$2150,H$1,'United Data'!$C$3:$C$2150,$A425)&gt;0,1,0)</f>
        <v>0</v>
      </c>
      <c r="I425">
        <f>IF(COUNTIFS('United Data'!$A$3:$A$2150,I$1,'United Data'!$C$3:$C$2150,$A425)&gt;0,1,0)</f>
        <v>0</v>
      </c>
      <c r="J425">
        <f>IF(COUNTIFS('United Data'!$A$3:$A$2150,J$1,'United Data'!$C$3:$C$2150,$A425)&gt;0,1,0)</f>
        <v>0</v>
      </c>
      <c r="K425">
        <f>IF(COUNTIFS('United Data'!$A$3:$A$2150,K$1,'United Data'!$C$3:$C$2150,$A425)&gt;0,1,0)</f>
        <v>0</v>
      </c>
      <c r="L425">
        <f>IF(COUNTIFS('United Data'!$A$3:$A$2150,L$1,'United Data'!$C$3:$C$2150,$A425)&gt;0,1,0)</f>
        <v>0</v>
      </c>
      <c r="M425">
        <f>IF(COUNTIFS('United Data'!$A$3:$A$2150,M$1,'United Data'!$C$3:$C$2150,$A425)&gt;0,1,0)</f>
        <v>0</v>
      </c>
      <c r="N425">
        <f>IF(COUNTIFS('United Data'!$A$3:$A$2150,N$1,'United Data'!$C$3:$C$2150,$A425)&gt;0,1,0)</f>
        <v>0</v>
      </c>
      <c r="O425">
        <f>IF(COUNTIFS('United Data'!$A$3:$A$2150,O$1,'United Data'!$C$3:$C$2150,$A425)&gt;0,1,0)</f>
        <v>0</v>
      </c>
      <c r="P425">
        <f>IF(COUNTIFS('United Data'!$A$3:$A$2150,P$1,'United Data'!$C$3:$C$2150,$A425)&gt;0,1,0)</f>
        <v>0</v>
      </c>
      <c r="Q425">
        <f>IF(COUNTIFS('United Data'!$A$3:$A$2150,Q$1,'United Data'!$C$3:$C$2150,$A425)&gt;0,1,0)</f>
        <v>0</v>
      </c>
      <c r="R425">
        <f>IF(COUNTIFS('United Data'!$A$3:$A$2150,R$1,'United Data'!$C$3:$C$2150,$A425)&gt;0,1,0)</f>
        <v>0</v>
      </c>
      <c r="S425">
        <f t="shared" si="12"/>
        <v>5</v>
      </c>
      <c r="T425">
        <f t="shared" si="13"/>
        <v>1</v>
      </c>
    </row>
    <row r="426" spans="1:20" x14ac:dyDescent="0.2">
      <c r="A426" t="s">
        <v>471</v>
      </c>
      <c r="B426">
        <f>IF(COUNTIFS('United Data'!$A$3:$A$2150,B$1,'United Data'!$C$3:$C$2150,$A426)&gt;0,1,0)</f>
        <v>1</v>
      </c>
      <c r="C426">
        <f>IF(COUNTIFS('United Data'!$A$3:$A$2150,C$1,'United Data'!$C$3:$C$2150,$A426)&gt;0,1,0)</f>
        <v>0</v>
      </c>
      <c r="D426">
        <f>IF(COUNTIFS('United Data'!$A$3:$A$2150,D$1,'United Data'!$C$3:$C$2150,$A426)&gt;0,1,0)</f>
        <v>0</v>
      </c>
      <c r="E426">
        <f>IF(COUNTIFS('United Data'!$A$3:$A$2150,E$1,'United Data'!$C$3:$C$2150,$A426)&gt;0,1,0)</f>
        <v>0</v>
      </c>
      <c r="F426">
        <f>IF(COUNTIFS('United Data'!$A$3:$A$2150,F$1,'United Data'!$C$3:$C$2150,$A426)&gt;0,1,0)</f>
        <v>0</v>
      </c>
      <c r="G426">
        <f>IF(COUNTIFS('United Data'!$A$3:$A$2150,G$1,'United Data'!$C$3:$C$2150,$A426)&gt;0,1,0)</f>
        <v>0</v>
      </c>
      <c r="H426">
        <f>IF(COUNTIFS('United Data'!$A$3:$A$2150,H$1,'United Data'!$C$3:$C$2150,$A426)&gt;0,1,0)</f>
        <v>0</v>
      </c>
      <c r="I426">
        <f>IF(COUNTIFS('United Data'!$A$3:$A$2150,I$1,'United Data'!$C$3:$C$2150,$A426)&gt;0,1,0)</f>
        <v>0</v>
      </c>
      <c r="J426">
        <f>IF(COUNTIFS('United Data'!$A$3:$A$2150,J$1,'United Data'!$C$3:$C$2150,$A426)&gt;0,1,0)</f>
        <v>0</v>
      </c>
      <c r="K426">
        <f>IF(COUNTIFS('United Data'!$A$3:$A$2150,K$1,'United Data'!$C$3:$C$2150,$A426)&gt;0,1,0)</f>
        <v>0</v>
      </c>
      <c r="L426">
        <f>IF(COUNTIFS('United Data'!$A$3:$A$2150,L$1,'United Data'!$C$3:$C$2150,$A426)&gt;0,1,0)</f>
        <v>0</v>
      </c>
      <c r="M426">
        <f>IF(COUNTIFS('United Data'!$A$3:$A$2150,M$1,'United Data'!$C$3:$C$2150,$A426)&gt;0,1,0)</f>
        <v>0</v>
      </c>
      <c r="N426">
        <f>IF(COUNTIFS('United Data'!$A$3:$A$2150,N$1,'United Data'!$C$3:$C$2150,$A426)&gt;0,1,0)</f>
        <v>0</v>
      </c>
      <c r="O426">
        <f>IF(COUNTIFS('United Data'!$A$3:$A$2150,O$1,'United Data'!$C$3:$C$2150,$A426)&gt;0,1,0)</f>
        <v>0</v>
      </c>
      <c r="P426">
        <f>IF(COUNTIFS('United Data'!$A$3:$A$2150,P$1,'United Data'!$C$3:$C$2150,$A426)&gt;0,1,0)</f>
        <v>0</v>
      </c>
      <c r="Q426">
        <f>IF(COUNTIFS('United Data'!$A$3:$A$2150,Q$1,'United Data'!$C$3:$C$2150,$A426)&gt;0,1,0)</f>
        <v>0</v>
      </c>
      <c r="R426">
        <f>IF(COUNTIFS('United Data'!$A$3:$A$2150,R$1,'United Data'!$C$3:$C$2150,$A426)&gt;0,1,0)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472</v>
      </c>
      <c r="B427">
        <f>IF(COUNTIFS('United Data'!$A$3:$A$2150,B$1,'United Data'!$C$3:$C$2150,$A427)&gt;0,1,0)</f>
        <v>1</v>
      </c>
      <c r="C427">
        <f>IF(COUNTIFS('United Data'!$A$3:$A$2150,C$1,'United Data'!$C$3:$C$2150,$A427)&gt;0,1,0)</f>
        <v>0</v>
      </c>
      <c r="D427">
        <f>IF(COUNTIFS('United Data'!$A$3:$A$2150,D$1,'United Data'!$C$3:$C$2150,$A427)&gt;0,1,0)</f>
        <v>0</v>
      </c>
      <c r="E427">
        <f>IF(COUNTIFS('United Data'!$A$3:$A$2150,E$1,'United Data'!$C$3:$C$2150,$A427)&gt;0,1,0)</f>
        <v>0</v>
      </c>
      <c r="F427">
        <f>IF(COUNTIFS('United Data'!$A$3:$A$2150,F$1,'United Data'!$C$3:$C$2150,$A427)&gt;0,1,0)</f>
        <v>0</v>
      </c>
      <c r="G427">
        <f>IF(COUNTIFS('United Data'!$A$3:$A$2150,G$1,'United Data'!$C$3:$C$2150,$A427)&gt;0,1,0)</f>
        <v>0</v>
      </c>
      <c r="H427">
        <f>IF(COUNTIFS('United Data'!$A$3:$A$2150,H$1,'United Data'!$C$3:$C$2150,$A427)&gt;0,1,0)</f>
        <v>0</v>
      </c>
      <c r="I427">
        <f>IF(COUNTIFS('United Data'!$A$3:$A$2150,I$1,'United Data'!$C$3:$C$2150,$A427)&gt;0,1,0)</f>
        <v>0</v>
      </c>
      <c r="J427">
        <f>IF(COUNTIFS('United Data'!$A$3:$A$2150,J$1,'United Data'!$C$3:$C$2150,$A427)&gt;0,1,0)</f>
        <v>0</v>
      </c>
      <c r="K427">
        <f>IF(COUNTIFS('United Data'!$A$3:$A$2150,K$1,'United Data'!$C$3:$C$2150,$A427)&gt;0,1,0)</f>
        <v>0</v>
      </c>
      <c r="L427">
        <f>IF(COUNTIFS('United Data'!$A$3:$A$2150,L$1,'United Data'!$C$3:$C$2150,$A427)&gt;0,1,0)</f>
        <v>0</v>
      </c>
      <c r="M427">
        <f>IF(COUNTIFS('United Data'!$A$3:$A$2150,M$1,'United Data'!$C$3:$C$2150,$A427)&gt;0,1,0)</f>
        <v>0</v>
      </c>
      <c r="N427">
        <f>IF(COUNTIFS('United Data'!$A$3:$A$2150,N$1,'United Data'!$C$3:$C$2150,$A427)&gt;0,1,0)</f>
        <v>0</v>
      </c>
      <c r="O427">
        <f>IF(COUNTIFS('United Data'!$A$3:$A$2150,O$1,'United Data'!$C$3:$C$2150,$A427)&gt;0,1,0)</f>
        <v>0</v>
      </c>
      <c r="P427">
        <f>IF(COUNTIFS('United Data'!$A$3:$A$2150,P$1,'United Data'!$C$3:$C$2150,$A427)&gt;0,1,0)</f>
        <v>0</v>
      </c>
      <c r="Q427">
        <f>IF(COUNTIFS('United Data'!$A$3:$A$2150,Q$1,'United Data'!$C$3:$C$2150,$A427)&gt;0,1,0)</f>
        <v>0</v>
      </c>
      <c r="R427">
        <f>IF(COUNTIFS('United Data'!$A$3:$A$2150,R$1,'United Data'!$C$3:$C$2150,$A427)&gt;0,1,0)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473</v>
      </c>
      <c r="B428">
        <f>IF(COUNTIFS('United Data'!$A$3:$A$2150,B$1,'United Data'!$C$3:$C$2150,$A428)&gt;0,1,0)</f>
        <v>0</v>
      </c>
      <c r="C428">
        <f>IF(COUNTIFS('United Data'!$A$3:$A$2150,C$1,'United Data'!$C$3:$C$2150,$A428)&gt;0,1,0)</f>
        <v>1</v>
      </c>
      <c r="D428">
        <f>IF(COUNTIFS('United Data'!$A$3:$A$2150,D$1,'United Data'!$C$3:$C$2150,$A428)&gt;0,1,0)</f>
        <v>0</v>
      </c>
      <c r="E428">
        <f>IF(COUNTIFS('United Data'!$A$3:$A$2150,E$1,'United Data'!$C$3:$C$2150,$A428)&gt;0,1,0)</f>
        <v>0</v>
      </c>
      <c r="F428">
        <f>IF(COUNTIFS('United Data'!$A$3:$A$2150,F$1,'United Data'!$C$3:$C$2150,$A428)&gt;0,1,0)</f>
        <v>0</v>
      </c>
      <c r="G428">
        <f>IF(COUNTIFS('United Data'!$A$3:$A$2150,G$1,'United Data'!$C$3:$C$2150,$A428)&gt;0,1,0)</f>
        <v>0</v>
      </c>
      <c r="H428">
        <f>IF(COUNTIFS('United Data'!$A$3:$A$2150,H$1,'United Data'!$C$3:$C$2150,$A428)&gt;0,1,0)</f>
        <v>0</v>
      </c>
      <c r="I428">
        <f>IF(COUNTIFS('United Data'!$A$3:$A$2150,I$1,'United Data'!$C$3:$C$2150,$A428)&gt;0,1,0)</f>
        <v>0</v>
      </c>
      <c r="J428">
        <f>IF(COUNTIFS('United Data'!$A$3:$A$2150,J$1,'United Data'!$C$3:$C$2150,$A428)&gt;0,1,0)</f>
        <v>0</v>
      </c>
      <c r="K428">
        <f>IF(COUNTIFS('United Data'!$A$3:$A$2150,K$1,'United Data'!$C$3:$C$2150,$A428)&gt;0,1,0)</f>
        <v>0</v>
      </c>
      <c r="L428">
        <f>IF(COUNTIFS('United Data'!$A$3:$A$2150,L$1,'United Data'!$C$3:$C$2150,$A428)&gt;0,1,0)</f>
        <v>0</v>
      </c>
      <c r="M428">
        <f>IF(COUNTIFS('United Data'!$A$3:$A$2150,M$1,'United Data'!$C$3:$C$2150,$A428)&gt;0,1,0)</f>
        <v>0</v>
      </c>
      <c r="N428">
        <f>IF(COUNTIFS('United Data'!$A$3:$A$2150,N$1,'United Data'!$C$3:$C$2150,$A428)&gt;0,1,0)</f>
        <v>0</v>
      </c>
      <c r="O428">
        <f>IF(COUNTIFS('United Data'!$A$3:$A$2150,O$1,'United Data'!$C$3:$C$2150,$A428)&gt;0,1,0)</f>
        <v>0</v>
      </c>
      <c r="P428">
        <f>IF(COUNTIFS('United Data'!$A$3:$A$2150,P$1,'United Data'!$C$3:$C$2150,$A428)&gt;0,1,0)</f>
        <v>0</v>
      </c>
      <c r="Q428">
        <f>IF(COUNTIFS('United Data'!$A$3:$A$2150,Q$1,'United Data'!$C$3:$C$2150,$A428)&gt;0,1,0)</f>
        <v>0</v>
      </c>
      <c r="R428">
        <f>IF(COUNTIFS('United Data'!$A$3:$A$2150,R$1,'United Data'!$C$3:$C$2150,$A428)&gt;0,1,0)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474</v>
      </c>
      <c r="B429">
        <f>IF(COUNTIFS('United Data'!$A$3:$A$2150,B$1,'United Data'!$C$3:$C$2150,$A429)&gt;0,1,0)</f>
        <v>0</v>
      </c>
      <c r="C429">
        <f>IF(COUNTIFS('United Data'!$A$3:$A$2150,C$1,'United Data'!$C$3:$C$2150,$A429)&gt;0,1,0)</f>
        <v>1</v>
      </c>
      <c r="D429">
        <f>IF(COUNTIFS('United Data'!$A$3:$A$2150,D$1,'United Data'!$C$3:$C$2150,$A429)&gt;0,1,0)</f>
        <v>1</v>
      </c>
      <c r="E429">
        <f>IF(COUNTIFS('United Data'!$A$3:$A$2150,E$1,'United Data'!$C$3:$C$2150,$A429)&gt;0,1,0)</f>
        <v>1</v>
      </c>
      <c r="F429">
        <f>IF(COUNTIFS('United Data'!$A$3:$A$2150,F$1,'United Data'!$C$3:$C$2150,$A429)&gt;0,1,0)</f>
        <v>0</v>
      </c>
      <c r="G429">
        <f>IF(COUNTIFS('United Data'!$A$3:$A$2150,G$1,'United Data'!$C$3:$C$2150,$A429)&gt;0,1,0)</f>
        <v>1</v>
      </c>
      <c r="H429">
        <f>IF(COUNTIFS('United Data'!$A$3:$A$2150,H$1,'United Data'!$C$3:$C$2150,$A429)&gt;0,1,0)</f>
        <v>1</v>
      </c>
      <c r="I429">
        <f>IF(COUNTIFS('United Data'!$A$3:$A$2150,I$1,'United Data'!$C$3:$C$2150,$A429)&gt;0,1,0)</f>
        <v>1</v>
      </c>
      <c r="J429">
        <f>IF(COUNTIFS('United Data'!$A$3:$A$2150,J$1,'United Data'!$C$3:$C$2150,$A429)&gt;0,1,0)</f>
        <v>1</v>
      </c>
      <c r="K429">
        <f>IF(COUNTIFS('United Data'!$A$3:$A$2150,K$1,'United Data'!$C$3:$C$2150,$A429)&gt;0,1,0)</f>
        <v>1</v>
      </c>
      <c r="L429">
        <f>IF(COUNTIFS('United Data'!$A$3:$A$2150,L$1,'United Data'!$C$3:$C$2150,$A429)&gt;0,1,0)</f>
        <v>1</v>
      </c>
      <c r="M429">
        <f>IF(COUNTIFS('United Data'!$A$3:$A$2150,M$1,'United Data'!$C$3:$C$2150,$A429)&gt;0,1,0)</f>
        <v>1</v>
      </c>
      <c r="N429">
        <f>IF(COUNTIFS('United Data'!$A$3:$A$2150,N$1,'United Data'!$C$3:$C$2150,$A429)&gt;0,1,0)</f>
        <v>1</v>
      </c>
      <c r="O429">
        <f>IF(COUNTIFS('United Data'!$A$3:$A$2150,O$1,'United Data'!$C$3:$C$2150,$A429)&gt;0,1,0)</f>
        <v>1</v>
      </c>
      <c r="P429">
        <f>IF(COUNTIFS('United Data'!$A$3:$A$2150,P$1,'United Data'!$C$3:$C$2150,$A429)&gt;0,1,0)</f>
        <v>1</v>
      </c>
      <c r="Q429">
        <f>IF(COUNTIFS('United Data'!$A$3:$A$2150,Q$1,'United Data'!$C$3:$C$2150,$A429)&gt;0,1,0)</f>
        <v>0</v>
      </c>
      <c r="R429">
        <f>IF(COUNTIFS('United Data'!$A$3:$A$2150,R$1,'United Data'!$C$3:$C$2150,$A429)&gt;0,1,0)</f>
        <v>0</v>
      </c>
      <c r="S429">
        <f t="shared" si="12"/>
        <v>13</v>
      </c>
      <c r="T429">
        <f t="shared" si="13"/>
        <v>2</v>
      </c>
    </row>
    <row r="430" spans="1:20" x14ac:dyDescent="0.2">
      <c r="A430" t="s">
        <v>475</v>
      </c>
      <c r="B430">
        <f>IF(COUNTIFS('United Data'!$A$3:$A$2150,B$1,'United Data'!$C$3:$C$2150,$A430)&gt;0,1,0)</f>
        <v>0</v>
      </c>
      <c r="C430">
        <f>IF(COUNTIFS('United Data'!$A$3:$A$2150,C$1,'United Data'!$C$3:$C$2150,$A430)&gt;0,1,0)</f>
        <v>1</v>
      </c>
      <c r="D430">
        <f>IF(COUNTIFS('United Data'!$A$3:$A$2150,D$1,'United Data'!$C$3:$C$2150,$A430)&gt;0,1,0)</f>
        <v>0</v>
      </c>
      <c r="E430">
        <f>IF(COUNTIFS('United Data'!$A$3:$A$2150,E$1,'United Data'!$C$3:$C$2150,$A430)&gt;0,1,0)</f>
        <v>0</v>
      </c>
      <c r="F430">
        <f>IF(COUNTIFS('United Data'!$A$3:$A$2150,F$1,'United Data'!$C$3:$C$2150,$A430)&gt;0,1,0)</f>
        <v>0</v>
      </c>
      <c r="G430">
        <f>IF(COUNTIFS('United Data'!$A$3:$A$2150,G$1,'United Data'!$C$3:$C$2150,$A430)&gt;0,1,0)</f>
        <v>0</v>
      </c>
      <c r="H430">
        <f>IF(COUNTIFS('United Data'!$A$3:$A$2150,H$1,'United Data'!$C$3:$C$2150,$A430)&gt;0,1,0)</f>
        <v>0</v>
      </c>
      <c r="I430">
        <f>IF(COUNTIFS('United Data'!$A$3:$A$2150,I$1,'United Data'!$C$3:$C$2150,$A430)&gt;0,1,0)</f>
        <v>0</v>
      </c>
      <c r="J430">
        <f>IF(COUNTIFS('United Data'!$A$3:$A$2150,J$1,'United Data'!$C$3:$C$2150,$A430)&gt;0,1,0)</f>
        <v>0</v>
      </c>
      <c r="K430">
        <f>IF(COUNTIFS('United Data'!$A$3:$A$2150,K$1,'United Data'!$C$3:$C$2150,$A430)&gt;0,1,0)</f>
        <v>0</v>
      </c>
      <c r="L430">
        <f>IF(COUNTIFS('United Data'!$A$3:$A$2150,L$1,'United Data'!$C$3:$C$2150,$A430)&gt;0,1,0)</f>
        <v>0</v>
      </c>
      <c r="M430">
        <f>IF(COUNTIFS('United Data'!$A$3:$A$2150,M$1,'United Data'!$C$3:$C$2150,$A430)&gt;0,1,0)</f>
        <v>0</v>
      </c>
      <c r="N430">
        <f>IF(COUNTIFS('United Data'!$A$3:$A$2150,N$1,'United Data'!$C$3:$C$2150,$A430)&gt;0,1,0)</f>
        <v>0</v>
      </c>
      <c r="O430">
        <f>IF(COUNTIFS('United Data'!$A$3:$A$2150,O$1,'United Data'!$C$3:$C$2150,$A430)&gt;0,1,0)</f>
        <v>0</v>
      </c>
      <c r="P430">
        <f>IF(COUNTIFS('United Data'!$A$3:$A$2150,P$1,'United Data'!$C$3:$C$2150,$A430)&gt;0,1,0)</f>
        <v>0</v>
      </c>
      <c r="Q430">
        <f>IF(COUNTIFS('United Data'!$A$3:$A$2150,Q$1,'United Data'!$C$3:$C$2150,$A430)&gt;0,1,0)</f>
        <v>0</v>
      </c>
      <c r="R430">
        <f>IF(COUNTIFS('United Data'!$A$3:$A$2150,R$1,'United Data'!$C$3:$C$2150,$A430)&gt;0,1,0)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476</v>
      </c>
      <c r="B431">
        <f>IF(COUNTIFS('United Data'!$A$3:$A$2150,B$1,'United Data'!$C$3:$C$2150,$A431)&gt;0,1,0)</f>
        <v>0</v>
      </c>
      <c r="C431">
        <f>IF(COUNTIFS('United Data'!$A$3:$A$2150,C$1,'United Data'!$C$3:$C$2150,$A431)&gt;0,1,0)</f>
        <v>1</v>
      </c>
      <c r="D431">
        <f>IF(COUNTIFS('United Data'!$A$3:$A$2150,D$1,'United Data'!$C$3:$C$2150,$A431)&gt;0,1,0)</f>
        <v>0</v>
      </c>
      <c r="E431">
        <f>IF(COUNTIFS('United Data'!$A$3:$A$2150,E$1,'United Data'!$C$3:$C$2150,$A431)&gt;0,1,0)</f>
        <v>0</v>
      </c>
      <c r="F431">
        <f>IF(COUNTIFS('United Data'!$A$3:$A$2150,F$1,'United Data'!$C$3:$C$2150,$A431)&gt;0,1,0)</f>
        <v>0</v>
      </c>
      <c r="G431">
        <f>IF(COUNTIFS('United Data'!$A$3:$A$2150,G$1,'United Data'!$C$3:$C$2150,$A431)&gt;0,1,0)</f>
        <v>0</v>
      </c>
      <c r="H431">
        <f>IF(COUNTIFS('United Data'!$A$3:$A$2150,H$1,'United Data'!$C$3:$C$2150,$A431)&gt;0,1,0)</f>
        <v>0</v>
      </c>
      <c r="I431">
        <f>IF(COUNTIFS('United Data'!$A$3:$A$2150,I$1,'United Data'!$C$3:$C$2150,$A431)&gt;0,1,0)</f>
        <v>0</v>
      </c>
      <c r="J431">
        <f>IF(COUNTIFS('United Data'!$A$3:$A$2150,J$1,'United Data'!$C$3:$C$2150,$A431)&gt;0,1,0)</f>
        <v>0</v>
      </c>
      <c r="K431">
        <f>IF(COUNTIFS('United Data'!$A$3:$A$2150,K$1,'United Data'!$C$3:$C$2150,$A431)&gt;0,1,0)</f>
        <v>0</v>
      </c>
      <c r="L431">
        <f>IF(COUNTIFS('United Data'!$A$3:$A$2150,L$1,'United Data'!$C$3:$C$2150,$A431)&gt;0,1,0)</f>
        <v>0</v>
      </c>
      <c r="M431">
        <f>IF(COUNTIFS('United Data'!$A$3:$A$2150,M$1,'United Data'!$C$3:$C$2150,$A431)&gt;0,1,0)</f>
        <v>0</v>
      </c>
      <c r="N431">
        <f>IF(COUNTIFS('United Data'!$A$3:$A$2150,N$1,'United Data'!$C$3:$C$2150,$A431)&gt;0,1,0)</f>
        <v>0</v>
      </c>
      <c r="O431">
        <f>IF(COUNTIFS('United Data'!$A$3:$A$2150,O$1,'United Data'!$C$3:$C$2150,$A431)&gt;0,1,0)</f>
        <v>0</v>
      </c>
      <c r="P431">
        <f>IF(COUNTIFS('United Data'!$A$3:$A$2150,P$1,'United Data'!$C$3:$C$2150,$A431)&gt;0,1,0)</f>
        <v>0</v>
      </c>
      <c r="Q431">
        <f>IF(COUNTIFS('United Data'!$A$3:$A$2150,Q$1,'United Data'!$C$3:$C$2150,$A431)&gt;0,1,0)</f>
        <v>0</v>
      </c>
      <c r="R431">
        <f>IF(COUNTIFS('United Data'!$A$3:$A$2150,R$1,'United Data'!$C$3:$C$2150,$A431)&gt;0,1,0)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477</v>
      </c>
      <c r="B432">
        <f>IF(COUNTIFS('United Data'!$A$3:$A$2150,B$1,'United Data'!$C$3:$C$2150,$A432)&gt;0,1,0)</f>
        <v>0</v>
      </c>
      <c r="C432">
        <f>IF(COUNTIFS('United Data'!$A$3:$A$2150,C$1,'United Data'!$C$3:$C$2150,$A432)&gt;0,1,0)</f>
        <v>1</v>
      </c>
      <c r="D432">
        <f>IF(COUNTIFS('United Data'!$A$3:$A$2150,D$1,'United Data'!$C$3:$C$2150,$A432)&gt;0,1,0)</f>
        <v>1</v>
      </c>
      <c r="E432">
        <f>IF(COUNTIFS('United Data'!$A$3:$A$2150,E$1,'United Data'!$C$3:$C$2150,$A432)&gt;0,1,0)</f>
        <v>0</v>
      </c>
      <c r="F432">
        <f>IF(COUNTIFS('United Data'!$A$3:$A$2150,F$1,'United Data'!$C$3:$C$2150,$A432)&gt;0,1,0)</f>
        <v>0</v>
      </c>
      <c r="G432">
        <f>IF(COUNTIFS('United Data'!$A$3:$A$2150,G$1,'United Data'!$C$3:$C$2150,$A432)&gt;0,1,0)</f>
        <v>0</v>
      </c>
      <c r="H432">
        <f>IF(COUNTIFS('United Data'!$A$3:$A$2150,H$1,'United Data'!$C$3:$C$2150,$A432)&gt;0,1,0)</f>
        <v>0</v>
      </c>
      <c r="I432">
        <f>IF(COUNTIFS('United Data'!$A$3:$A$2150,I$1,'United Data'!$C$3:$C$2150,$A432)&gt;0,1,0)</f>
        <v>0</v>
      </c>
      <c r="J432">
        <f>IF(COUNTIFS('United Data'!$A$3:$A$2150,J$1,'United Data'!$C$3:$C$2150,$A432)&gt;0,1,0)</f>
        <v>0</v>
      </c>
      <c r="K432">
        <f>IF(COUNTIFS('United Data'!$A$3:$A$2150,K$1,'United Data'!$C$3:$C$2150,$A432)&gt;0,1,0)</f>
        <v>0</v>
      </c>
      <c r="L432">
        <f>IF(COUNTIFS('United Data'!$A$3:$A$2150,L$1,'United Data'!$C$3:$C$2150,$A432)&gt;0,1,0)</f>
        <v>0</v>
      </c>
      <c r="M432">
        <f>IF(COUNTIFS('United Data'!$A$3:$A$2150,M$1,'United Data'!$C$3:$C$2150,$A432)&gt;0,1,0)</f>
        <v>0</v>
      </c>
      <c r="N432">
        <f>IF(COUNTIFS('United Data'!$A$3:$A$2150,N$1,'United Data'!$C$3:$C$2150,$A432)&gt;0,1,0)</f>
        <v>0</v>
      </c>
      <c r="O432">
        <f>IF(COUNTIFS('United Data'!$A$3:$A$2150,O$1,'United Data'!$C$3:$C$2150,$A432)&gt;0,1,0)</f>
        <v>0</v>
      </c>
      <c r="P432">
        <f>IF(COUNTIFS('United Data'!$A$3:$A$2150,P$1,'United Data'!$C$3:$C$2150,$A432)&gt;0,1,0)</f>
        <v>0</v>
      </c>
      <c r="Q432">
        <f>IF(COUNTIFS('United Data'!$A$3:$A$2150,Q$1,'United Data'!$C$3:$C$2150,$A432)&gt;0,1,0)</f>
        <v>0</v>
      </c>
      <c r="R432">
        <f>IF(COUNTIFS('United Data'!$A$3:$A$2150,R$1,'United Data'!$C$3:$C$2150,$A432)&gt;0,1,0)</f>
        <v>0</v>
      </c>
      <c r="S432">
        <f t="shared" si="12"/>
        <v>2</v>
      </c>
      <c r="T432">
        <f t="shared" si="13"/>
        <v>1</v>
      </c>
    </row>
    <row r="433" spans="1:20" x14ac:dyDescent="0.2">
      <c r="A433" t="s">
        <v>478</v>
      </c>
      <c r="B433">
        <f>IF(COUNTIFS('United Data'!$A$3:$A$2150,B$1,'United Data'!$C$3:$C$2150,$A433)&gt;0,1,0)</f>
        <v>0</v>
      </c>
      <c r="C433">
        <f>IF(COUNTIFS('United Data'!$A$3:$A$2150,C$1,'United Data'!$C$3:$C$2150,$A433)&gt;0,1,0)</f>
        <v>1</v>
      </c>
      <c r="D433">
        <f>IF(COUNTIFS('United Data'!$A$3:$A$2150,D$1,'United Data'!$C$3:$C$2150,$A433)&gt;0,1,0)</f>
        <v>0</v>
      </c>
      <c r="E433">
        <f>IF(COUNTIFS('United Data'!$A$3:$A$2150,E$1,'United Data'!$C$3:$C$2150,$A433)&gt;0,1,0)</f>
        <v>0</v>
      </c>
      <c r="F433">
        <f>IF(COUNTIFS('United Data'!$A$3:$A$2150,F$1,'United Data'!$C$3:$C$2150,$A433)&gt;0,1,0)</f>
        <v>0</v>
      </c>
      <c r="G433">
        <f>IF(COUNTIFS('United Data'!$A$3:$A$2150,G$1,'United Data'!$C$3:$C$2150,$A433)&gt;0,1,0)</f>
        <v>0</v>
      </c>
      <c r="H433">
        <f>IF(COUNTIFS('United Data'!$A$3:$A$2150,H$1,'United Data'!$C$3:$C$2150,$A433)&gt;0,1,0)</f>
        <v>0</v>
      </c>
      <c r="I433">
        <f>IF(COUNTIFS('United Data'!$A$3:$A$2150,I$1,'United Data'!$C$3:$C$2150,$A433)&gt;0,1,0)</f>
        <v>0</v>
      </c>
      <c r="J433">
        <f>IF(COUNTIFS('United Data'!$A$3:$A$2150,J$1,'United Data'!$C$3:$C$2150,$A433)&gt;0,1,0)</f>
        <v>0</v>
      </c>
      <c r="K433">
        <f>IF(COUNTIFS('United Data'!$A$3:$A$2150,K$1,'United Data'!$C$3:$C$2150,$A433)&gt;0,1,0)</f>
        <v>0</v>
      </c>
      <c r="L433">
        <f>IF(COUNTIFS('United Data'!$A$3:$A$2150,L$1,'United Data'!$C$3:$C$2150,$A433)&gt;0,1,0)</f>
        <v>0</v>
      </c>
      <c r="M433">
        <f>IF(COUNTIFS('United Data'!$A$3:$A$2150,M$1,'United Data'!$C$3:$C$2150,$A433)&gt;0,1,0)</f>
        <v>0</v>
      </c>
      <c r="N433">
        <f>IF(COUNTIFS('United Data'!$A$3:$A$2150,N$1,'United Data'!$C$3:$C$2150,$A433)&gt;0,1,0)</f>
        <v>0</v>
      </c>
      <c r="O433">
        <f>IF(COUNTIFS('United Data'!$A$3:$A$2150,O$1,'United Data'!$C$3:$C$2150,$A433)&gt;0,1,0)</f>
        <v>0</v>
      </c>
      <c r="P433">
        <f>IF(COUNTIFS('United Data'!$A$3:$A$2150,P$1,'United Data'!$C$3:$C$2150,$A433)&gt;0,1,0)</f>
        <v>0</v>
      </c>
      <c r="Q433">
        <f>IF(COUNTIFS('United Data'!$A$3:$A$2150,Q$1,'United Data'!$C$3:$C$2150,$A433)&gt;0,1,0)</f>
        <v>0</v>
      </c>
      <c r="R433">
        <f>IF(COUNTIFS('United Data'!$A$3:$A$2150,R$1,'United Data'!$C$3:$C$2150,$A433)&gt;0,1,0)</f>
        <v>0</v>
      </c>
      <c r="S433">
        <f t="shared" si="12"/>
        <v>1</v>
      </c>
      <c r="T433">
        <f t="shared" si="13"/>
        <v>1</v>
      </c>
    </row>
    <row r="434" spans="1:20" x14ac:dyDescent="0.2">
      <c r="A434" t="s">
        <v>479</v>
      </c>
      <c r="B434">
        <f>IF(COUNTIFS('United Data'!$A$3:$A$2150,B$1,'United Data'!$C$3:$C$2150,$A434)&gt;0,1,0)</f>
        <v>0</v>
      </c>
      <c r="C434">
        <f>IF(COUNTIFS('United Data'!$A$3:$A$2150,C$1,'United Data'!$C$3:$C$2150,$A434)&gt;0,1,0)</f>
        <v>1</v>
      </c>
      <c r="D434">
        <f>IF(COUNTIFS('United Data'!$A$3:$A$2150,D$1,'United Data'!$C$3:$C$2150,$A434)&gt;0,1,0)</f>
        <v>0</v>
      </c>
      <c r="E434">
        <f>IF(COUNTIFS('United Data'!$A$3:$A$2150,E$1,'United Data'!$C$3:$C$2150,$A434)&gt;0,1,0)</f>
        <v>0</v>
      </c>
      <c r="F434">
        <f>IF(COUNTIFS('United Data'!$A$3:$A$2150,F$1,'United Data'!$C$3:$C$2150,$A434)&gt;0,1,0)</f>
        <v>0</v>
      </c>
      <c r="G434">
        <f>IF(COUNTIFS('United Data'!$A$3:$A$2150,G$1,'United Data'!$C$3:$C$2150,$A434)&gt;0,1,0)</f>
        <v>0</v>
      </c>
      <c r="H434">
        <f>IF(COUNTIFS('United Data'!$A$3:$A$2150,H$1,'United Data'!$C$3:$C$2150,$A434)&gt;0,1,0)</f>
        <v>0</v>
      </c>
      <c r="I434">
        <f>IF(COUNTIFS('United Data'!$A$3:$A$2150,I$1,'United Data'!$C$3:$C$2150,$A434)&gt;0,1,0)</f>
        <v>0</v>
      </c>
      <c r="J434">
        <f>IF(COUNTIFS('United Data'!$A$3:$A$2150,J$1,'United Data'!$C$3:$C$2150,$A434)&gt;0,1,0)</f>
        <v>0</v>
      </c>
      <c r="K434">
        <f>IF(COUNTIFS('United Data'!$A$3:$A$2150,K$1,'United Data'!$C$3:$C$2150,$A434)&gt;0,1,0)</f>
        <v>0</v>
      </c>
      <c r="L434">
        <f>IF(COUNTIFS('United Data'!$A$3:$A$2150,L$1,'United Data'!$C$3:$C$2150,$A434)&gt;0,1,0)</f>
        <v>0</v>
      </c>
      <c r="M434">
        <f>IF(COUNTIFS('United Data'!$A$3:$A$2150,M$1,'United Data'!$C$3:$C$2150,$A434)&gt;0,1,0)</f>
        <v>0</v>
      </c>
      <c r="N434">
        <f>IF(COUNTIFS('United Data'!$A$3:$A$2150,N$1,'United Data'!$C$3:$C$2150,$A434)&gt;0,1,0)</f>
        <v>0</v>
      </c>
      <c r="O434">
        <f>IF(COUNTIFS('United Data'!$A$3:$A$2150,O$1,'United Data'!$C$3:$C$2150,$A434)&gt;0,1,0)</f>
        <v>0</v>
      </c>
      <c r="P434">
        <f>IF(COUNTIFS('United Data'!$A$3:$A$2150,P$1,'United Data'!$C$3:$C$2150,$A434)&gt;0,1,0)</f>
        <v>0</v>
      </c>
      <c r="Q434">
        <f>IF(COUNTIFS('United Data'!$A$3:$A$2150,Q$1,'United Data'!$C$3:$C$2150,$A434)&gt;0,1,0)</f>
        <v>0</v>
      </c>
      <c r="R434">
        <f>IF(COUNTIFS('United Data'!$A$3:$A$2150,R$1,'United Data'!$C$3:$C$2150,$A434)&gt;0,1,0)</f>
        <v>0</v>
      </c>
      <c r="S434">
        <f t="shared" si="12"/>
        <v>1</v>
      </c>
      <c r="T434">
        <f t="shared" si="13"/>
        <v>1</v>
      </c>
    </row>
    <row r="435" spans="1:20" x14ac:dyDescent="0.2">
      <c r="A435" t="s">
        <v>480</v>
      </c>
      <c r="B435">
        <f>IF(COUNTIFS('United Data'!$A$3:$A$2150,B$1,'United Data'!$C$3:$C$2150,$A435)&gt;0,1,0)</f>
        <v>0</v>
      </c>
      <c r="C435">
        <f>IF(COUNTIFS('United Data'!$A$3:$A$2150,C$1,'United Data'!$C$3:$C$2150,$A435)&gt;0,1,0)</f>
        <v>1</v>
      </c>
      <c r="D435">
        <f>IF(COUNTIFS('United Data'!$A$3:$A$2150,D$1,'United Data'!$C$3:$C$2150,$A435)&gt;0,1,0)</f>
        <v>1</v>
      </c>
      <c r="E435">
        <f>IF(COUNTIFS('United Data'!$A$3:$A$2150,E$1,'United Data'!$C$3:$C$2150,$A435)&gt;0,1,0)</f>
        <v>1</v>
      </c>
      <c r="F435">
        <f>IF(COUNTIFS('United Data'!$A$3:$A$2150,F$1,'United Data'!$C$3:$C$2150,$A435)&gt;0,1,0)</f>
        <v>1</v>
      </c>
      <c r="G435">
        <f>IF(COUNTIFS('United Data'!$A$3:$A$2150,G$1,'United Data'!$C$3:$C$2150,$A435)&gt;0,1,0)</f>
        <v>1</v>
      </c>
      <c r="H435">
        <f>IF(COUNTIFS('United Data'!$A$3:$A$2150,H$1,'United Data'!$C$3:$C$2150,$A435)&gt;0,1,0)</f>
        <v>1</v>
      </c>
      <c r="I435">
        <f>IF(COUNTIFS('United Data'!$A$3:$A$2150,I$1,'United Data'!$C$3:$C$2150,$A435)&gt;0,1,0)</f>
        <v>0</v>
      </c>
      <c r="J435">
        <f>IF(COUNTIFS('United Data'!$A$3:$A$2150,J$1,'United Data'!$C$3:$C$2150,$A435)&gt;0,1,0)</f>
        <v>1</v>
      </c>
      <c r="K435">
        <f>IF(COUNTIFS('United Data'!$A$3:$A$2150,K$1,'United Data'!$C$3:$C$2150,$A435)&gt;0,1,0)</f>
        <v>1</v>
      </c>
      <c r="L435">
        <f>IF(COUNTIFS('United Data'!$A$3:$A$2150,L$1,'United Data'!$C$3:$C$2150,$A435)&gt;0,1,0)</f>
        <v>0</v>
      </c>
      <c r="M435">
        <f>IF(COUNTIFS('United Data'!$A$3:$A$2150,M$1,'United Data'!$C$3:$C$2150,$A435)&gt;0,1,0)</f>
        <v>1</v>
      </c>
      <c r="N435">
        <f>IF(COUNTIFS('United Data'!$A$3:$A$2150,N$1,'United Data'!$C$3:$C$2150,$A435)&gt;0,1,0)</f>
        <v>0</v>
      </c>
      <c r="O435">
        <f>IF(COUNTIFS('United Data'!$A$3:$A$2150,O$1,'United Data'!$C$3:$C$2150,$A435)&gt;0,1,0)</f>
        <v>0</v>
      </c>
      <c r="P435">
        <f>IF(COUNTIFS('United Data'!$A$3:$A$2150,P$1,'United Data'!$C$3:$C$2150,$A435)&gt;0,1,0)</f>
        <v>0</v>
      </c>
      <c r="Q435">
        <f>IF(COUNTIFS('United Data'!$A$3:$A$2150,Q$1,'United Data'!$C$3:$C$2150,$A435)&gt;0,1,0)</f>
        <v>0</v>
      </c>
      <c r="R435">
        <f>IF(COUNTIFS('United Data'!$A$3:$A$2150,R$1,'United Data'!$C$3:$C$2150,$A435)&gt;0,1,0)</f>
        <v>0</v>
      </c>
      <c r="S435">
        <f t="shared" si="12"/>
        <v>9</v>
      </c>
      <c r="T435">
        <f t="shared" si="13"/>
        <v>3</v>
      </c>
    </row>
    <row r="436" spans="1:20" x14ac:dyDescent="0.2">
      <c r="A436" t="s">
        <v>481</v>
      </c>
      <c r="B436">
        <f>IF(COUNTIFS('United Data'!$A$3:$A$2150,B$1,'United Data'!$C$3:$C$2150,$A436)&gt;0,1,0)</f>
        <v>0</v>
      </c>
      <c r="C436">
        <f>IF(COUNTIFS('United Data'!$A$3:$A$2150,C$1,'United Data'!$C$3:$C$2150,$A436)&gt;0,1,0)</f>
        <v>0</v>
      </c>
      <c r="D436">
        <f>IF(COUNTIFS('United Data'!$A$3:$A$2150,D$1,'United Data'!$C$3:$C$2150,$A436)&gt;0,1,0)</f>
        <v>1</v>
      </c>
      <c r="E436">
        <f>IF(COUNTIFS('United Data'!$A$3:$A$2150,E$1,'United Data'!$C$3:$C$2150,$A436)&gt;0,1,0)</f>
        <v>0</v>
      </c>
      <c r="F436">
        <f>IF(COUNTIFS('United Data'!$A$3:$A$2150,F$1,'United Data'!$C$3:$C$2150,$A436)&gt;0,1,0)</f>
        <v>0</v>
      </c>
      <c r="G436">
        <f>IF(COUNTIFS('United Data'!$A$3:$A$2150,G$1,'United Data'!$C$3:$C$2150,$A436)&gt;0,1,0)</f>
        <v>0</v>
      </c>
      <c r="H436">
        <f>IF(COUNTIFS('United Data'!$A$3:$A$2150,H$1,'United Data'!$C$3:$C$2150,$A436)&gt;0,1,0)</f>
        <v>0</v>
      </c>
      <c r="I436">
        <f>IF(COUNTIFS('United Data'!$A$3:$A$2150,I$1,'United Data'!$C$3:$C$2150,$A436)&gt;0,1,0)</f>
        <v>0</v>
      </c>
      <c r="J436">
        <f>IF(COUNTIFS('United Data'!$A$3:$A$2150,J$1,'United Data'!$C$3:$C$2150,$A436)&gt;0,1,0)</f>
        <v>0</v>
      </c>
      <c r="K436">
        <f>IF(COUNTIFS('United Data'!$A$3:$A$2150,K$1,'United Data'!$C$3:$C$2150,$A436)&gt;0,1,0)</f>
        <v>0</v>
      </c>
      <c r="L436">
        <f>IF(COUNTIFS('United Data'!$A$3:$A$2150,L$1,'United Data'!$C$3:$C$2150,$A436)&gt;0,1,0)</f>
        <v>0</v>
      </c>
      <c r="M436">
        <f>IF(COUNTIFS('United Data'!$A$3:$A$2150,M$1,'United Data'!$C$3:$C$2150,$A436)&gt;0,1,0)</f>
        <v>0</v>
      </c>
      <c r="N436">
        <f>IF(COUNTIFS('United Data'!$A$3:$A$2150,N$1,'United Data'!$C$3:$C$2150,$A436)&gt;0,1,0)</f>
        <v>0</v>
      </c>
      <c r="O436">
        <f>IF(COUNTIFS('United Data'!$A$3:$A$2150,O$1,'United Data'!$C$3:$C$2150,$A436)&gt;0,1,0)</f>
        <v>0</v>
      </c>
      <c r="P436">
        <f>IF(COUNTIFS('United Data'!$A$3:$A$2150,P$1,'United Data'!$C$3:$C$2150,$A436)&gt;0,1,0)</f>
        <v>0</v>
      </c>
      <c r="Q436">
        <f>IF(COUNTIFS('United Data'!$A$3:$A$2150,Q$1,'United Data'!$C$3:$C$2150,$A436)&gt;0,1,0)</f>
        <v>0</v>
      </c>
      <c r="R436">
        <f>IF(COUNTIFS('United Data'!$A$3:$A$2150,R$1,'United Data'!$C$3:$C$2150,$A436)&gt;0,1,0)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482</v>
      </c>
      <c r="B437">
        <f>IF(COUNTIFS('United Data'!$A$3:$A$2150,B$1,'United Data'!$C$3:$C$2150,$A437)&gt;0,1,0)</f>
        <v>0</v>
      </c>
      <c r="C437">
        <f>IF(COUNTIFS('United Data'!$A$3:$A$2150,C$1,'United Data'!$C$3:$C$2150,$A437)&gt;0,1,0)</f>
        <v>0</v>
      </c>
      <c r="D437">
        <f>IF(COUNTIFS('United Data'!$A$3:$A$2150,D$1,'United Data'!$C$3:$C$2150,$A437)&gt;0,1,0)</f>
        <v>1</v>
      </c>
      <c r="E437">
        <f>IF(COUNTIFS('United Data'!$A$3:$A$2150,E$1,'United Data'!$C$3:$C$2150,$A437)&gt;0,1,0)</f>
        <v>0</v>
      </c>
      <c r="F437">
        <f>IF(COUNTIFS('United Data'!$A$3:$A$2150,F$1,'United Data'!$C$3:$C$2150,$A437)&gt;0,1,0)</f>
        <v>0</v>
      </c>
      <c r="G437">
        <f>IF(COUNTIFS('United Data'!$A$3:$A$2150,G$1,'United Data'!$C$3:$C$2150,$A437)&gt;0,1,0)</f>
        <v>0</v>
      </c>
      <c r="H437">
        <f>IF(COUNTIFS('United Data'!$A$3:$A$2150,H$1,'United Data'!$C$3:$C$2150,$A437)&gt;0,1,0)</f>
        <v>0</v>
      </c>
      <c r="I437">
        <f>IF(COUNTIFS('United Data'!$A$3:$A$2150,I$1,'United Data'!$C$3:$C$2150,$A437)&gt;0,1,0)</f>
        <v>0</v>
      </c>
      <c r="J437">
        <f>IF(COUNTIFS('United Data'!$A$3:$A$2150,J$1,'United Data'!$C$3:$C$2150,$A437)&gt;0,1,0)</f>
        <v>0</v>
      </c>
      <c r="K437">
        <f>IF(COUNTIFS('United Data'!$A$3:$A$2150,K$1,'United Data'!$C$3:$C$2150,$A437)&gt;0,1,0)</f>
        <v>0</v>
      </c>
      <c r="L437">
        <f>IF(COUNTIFS('United Data'!$A$3:$A$2150,L$1,'United Data'!$C$3:$C$2150,$A437)&gt;0,1,0)</f>
        <v>0</v>
      </c>
      <c r="M437">
        <f>IF(COUNTIFS('United Data'!$A$3:$A$2150,M$1,'United Data'!$C$3:$C$2150,$A437)&gt;0,1,0)</f>
        <v>0</v>
      </c>
      <c r="N437">
        <f>IF(COUNTIFS('United Data'!$A$3:$A$2150,N$1,'United Data'!$C$3:$C$2150,$A437)&gt;0,1,0)</f>
        <v>0</v>
      </c>
      <c r="O437">
        <f>IF(COUNTIFS('United Data'!$A$3:$A$2150,O$1,'United Data'!$C$3:$C$2150,$A437)&gt;0,1,0)</f>
        <v>0</v>
      </c>
      <c r="P437">
        <f>IF(COUNTIFS('United Data'!$A$3:$A$2150,P$1,'United Data'!$C$3:$C$2150,$A437)&gt;0,1,0)</f>
        <v>0</v>
      </c>
      <c r="Q437">
        <f>IF(COUNTIFS('United Data'!$A$3:$A$2150,Q$1,'United Data'!$C$3:$C$2150,$A437)&gt;0,1,0)</f>
        <v>0</v>
      </c>
      <c r="R437">
        <f>IF(COUNTIFS('United Data'!$A$3:$A$2150,R$1,'United Data'!$C$3:$C$2150,$A437)&gt;0,1,0)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483</v>
      </c>
      <c r="B438">
        <f>IF(COUNTIFS('United Data'!$A$3:$A$2150,B$1,'United Data'!$C$3:$C$2150,$A438)&gt;0,1,0)</f>
        <v>0</v>
      </c>
      <c r="C438">
        <f>IF(COUNTIFS('United Data'!$A$3:$A$2150,C$1,'United Data'!$C$3:$C$2150,$A438)&gt;0,1,0)</f>
        <v>0</v>
      </c>
      <c r="D438">
        <f>IF(COUNTIFS('United Data'!$A$3:$A$2150,D$1,'United Data'!$C$3:$C$2150,$A438)&gt;0,1,0)</f>
        <v>1</v>
      </c>
      <c r="E438">
        <f>IF(COUNTIFS('United Data'!$A$3:$A$2150,E$1,'United Data'!$C$3:$C$2150,$A438)&gt;0,1,0)</f>
        <v>0</v>
      </c>
      <c r="F438">
        <f>IF(COUNTIFS('United Data'!$A$3:$A$2150,F$1,'United Data'!$C$3:$C$2150,$A438)&gt;0,1,0)</f>
        <v>0</v>
      </c>
      <c r="G438">
        <f>IF(COUNTIFS('United Data'!$A$3:$A$2150,G$1,'United Data'!$C$3:$C$2150,$A438)&gt;0,1,0)</f>
        <v>0</v>
      </c>
      <c r="H438">
        <f>IF(COUNTIFS('United Data'!$A$3:$A$2150,H$1,'United Data'!$C$3:$C$2150,$A438)&gt;0,1,0)</f>
        <v>0</v>
      </c>
      <c r="I438">
        <f>IF(COUNTIFS('United Data'!$A$3:$A$2150,I$1,'United Data'!$C$3:$C$2150,$A438)&gt;0,1,0)</f>
        <v>0</v>
      </c>
      <c r="J438">
        <f>IF(COUNTIFS('United Data'!$A$3:$A$2150,J$1,'United Data'!$C$3:$C$2150,$A438)&gt;0,1,0)</f>
        <v>0</v>
      </c>
      <c r="K438">
        <f>IF(COUNTIFS('United Data'!$A$3:$A$2150,K$1,'United Data'!$C$3:$C$2150,$A438)&gt;0,1,0)</f>
        <v>0</v>
      </c>
      <c r="L438">
        <f>IF(COUNTIFS('United Data'!$A$3:$A$2150,L$1,'United Data'!$C$3:$C$2150,$A438)&gt;0,1,0)</f>
        <v>0</v>
      </c>
      <c r="M438">
        <f>IF(COUNTIFS('United Data'!$A$3:$A$2150,M$1,'United Data'!$C$3:$C$2150,$A438)&gt;0,1,0)</f>
        <v>0</v>
      </c>
      <c r="N438">
        <f>IF(COUNTIFS('United Data'!$A$3:$A$2150,N$1,'United Data'!$C$3:$C$2150,$A438)&gt;0,1,0)</f>
        <v>0</v>
      </c>
      <c r="O438">
        <f>IF(COUNTIFS('United Data'!$A$3:$A$2150,O$1,'United Data'!$C$3:$C$2150,$A438)&gt;0,1,0)</f>
        <v>0</v>
      </c>
      <c r="P438">
        <f>IF(COUNTIFS('United Data'!$A$3:$A$2150,P$1,'United Data'!$C$3:$C$2150,$A438)&gt;0,1,0)</f>
        <v>0</v>
      </c>
      <c r="Q438">
        <f>IF(COUNTIFS('United Data'!$A$3:$A$2150,Q$1,'United Data'!$C$3:$C$2150,$A438)&gt;0,1,0)</f>
        <v>0</v>
      </c>
      <c r="R438">
        <f>IF(COUNTIFS('United Data'!$A$3:$A$2150,R$1,'United Data'!$C$3:$C$2150,$A438)&gt;0,1,0)</f>
        <v>0</v>
      </c>
      <c r="S438">
        <f t="shared" si="12"/>
        <v>1</v>
      </c>
      <c r="T438">
        <f t="shared" si="13"/>
        <v>1</v>
      </c>
    </row>
    <row r="439" spans="1:20" x14ac:dyDescent="0.2">
      <c r="A439" t="s">
        <v>484</v>
      </c>
      <c r="B439">
        <f>IF(COUNTIFS('United Data'!$A$3:$A$2150,B$1,'United Data'!$C$3:$C$2150,$A439)&gt;0,1,0)</f>
        <v>0</v>
      </c>
      <c r="C439">
        <f>IF(COUNTIFS('United Data'!$A$3:$A$2150,C$1,'United Data'!$C$3:$C$2150,$A439)&gt;0,1,0)</f>
        <v>0</v>
      </c>
      <c r="D439">
        <f>IF(COUNTIFS('United Data'!$A$3:$A$2150,D$1,'United Data'!$C$3:$C$2150,$A439)&gt;0,1,0)</f>
        <v>1</v>
      </c>
      <c r="E439">
        <f>IF(COUNTIFS('United Data'!$A$3:$A$2150,E$1,'United Data'!$C$3:$C$2150,$A439)&gt;0,1,0)</f>
        <v>1</v>
      </c>
      <c r="F439">
        <f>IF(COUNTIFS('United Data'!$A$3:$A$2150,F$1,'United Data'!$C$3:$C$2150,$A439)&gt;0,1,0)</f>
        <v>1</v>
      </c>
      <c r="G439">
        <f>IF(COUNTIFS('United Data'!$A$3:$A$2150,G$1,'United Data'!$C$3:$C$2150,$A439)&gt;0,1,0)</f>
        <v>1</v>
      </c>
      <c r="H439">
        <f>IF(COUNTIFS('United Data'!$A$3:$A$2150,H$1,'United Data'!$C$3:$C$2150,$A439)&gt;0,1,0)</f>
        <v>1</v>
      </c>
      <c r="I439">
        <f>IF(COUNTIFS('United Data'!$A$3:$A$2150,I$1,'United Data'!$C$3:$C$2150,$A439)&gt;0,1,0)</f>
        <v>1</v>
      </c>
      <c r="J439">
        <f>IF(COUNTIFS('United Data'!$A$3:$A$2150,J$1,'United Data'!$C$3:$C$2150,$A439)&gt;0,1,0)</f>
        <v>0</v>
      </c>
      <c r="K439">
        <f>IF(COUNTIFS('United Data'!$A$3:$A$2150,K$1,'United Data'!$C$3:$C$2150,$A439)&gt;0,1,0)</f>
        <v>1</v>
      </c>
      <c r="L439">
        <f>IF(COUNTIFS('United Data'!$A$3:$A$2150,L$1,'United Data'!$C$3:$C$2150,$A439)&gt;0,1,0)</f>
        <v>1</v>
      </c>
      <c r="M439">
        <f>IF(COUNTIFS('United Data'!$A$3:$A$2150,M$1,'United Data'!$C$3:$C$2150,$A439)&gt;0,1,0)</f>
        <v>1</v>
      </c>
      <c r="N439">
        <f>IF(COUNTIFS('United Data'!$A$3:$A$2150,N$1,'United Data'!$C$3:$C$2150,$A439)&gt;0,1,0)</f>
        <v>1</v>
      </c>
      <c r="O439">
        <f>IF(COUNTIFS('United Data'!$A$3:$A$2150,O$1,'United Data'!$C$3:$C$2150,$A439)&gt;0,1,0)</f>
        <v>1</v>
      </c>
      <c r="P439">
        <f>IF(COUNTIFS('United Data'!$A$3:$A$2150,P$1,'United Data'!$C$3:$C$2150,$A439)&gt;0,1,0)</f>
        <v>1</v>
      </c>
      <c r="Q439">
        <f>IF(COUNTIFS('United Data'!$A$3:$A$2150,Q$1,'United Data'!$C$3:$C$2150,$A439)&gt;0,1,0)</f>
        <v>0</v>
      </c>
      <c r="R439">
        <f>IF(COUNTIFS('United Data'!$A$3:$A$2150,R$1,'United Data'!$C$3:$C$2150,$A439)&gt;0,1,0)</f>
        <v>0</v>
      </c>
      <c r="S439">
        <f t="shared" si="12"/>
        <v>12</v>
      </c>
      <c r="T439">
        <f t="shared" si="13"/>
        <v>2</v>
      </c>
    </row>
    <row r="440" spans="1:20" x14ac:dyDescent="0.2">
      <c r="A440" t="s">
        <v>485</v>
      </c>
      <c r="B440">
        <f>IF(COUNTIFS('United Data'!$A$3:$A$2150,B$1,'United Data'!$C$3:$C$2150,$A440)&gt;0,1,0)</f>
        <v>0</v>
      </c>
      <c r="C440">
        <f>IF(COUNTIFS('United Data'!$A$3:$A$2150,C$1,'United Data'!$C$3:$C$2150,$A440)&gt;0,1,0)</f>
        <v>0</v>
      </c>
      <c r="D440">
        <f>IF(COUNTIFS('United Data'!$A$3:$A$2150,D$1,'United Data'!$C$3:$C$2150,$A440)&gt;0,1,0)</f>
        <v>1</v>
      </c>
      <c r="E440">
        <f>IF(COUNTIFS('United Data'!$A$3:$A$2150,E$1,'United Data'!$C$3:$C$2150,$A440)&gt;0,1,0)</f>
        <v>0</v>
      </c>
      <c r="F440">
        <f>IF(COUNTIFS('United Data'!$A$3:$A$2150,F$1,'United Data'!$C$3:$C$2150,$A440)&gt;0,1,0)</f>
        <v>0</v>
      </c>
      <c r="G440">
        <f>IF(COUNTIFS('United Data'!$A$3:$A$2150,G$1,'United Data'!$C$3:$C$2150,$A440)&gt;0,1,0)</f>
        <v>0</v>
      </c>
      <c r="H440">
        <f>IF(COUNTIFS('United Data'!$A$3:$A$2150,H$1,'United Data'!$C$3:$C$2150,$A440)&gt;0,1,0)</f>
        <v>0</v>
      </c>
      <c r="I440">
        <f>IF(COUNTIFS('United Data'!$A$3:$A$2150,I$1,'United Data'!$C$3:$C$2150,$A440)&gt;0,1,0)</f>
        <v>0</v>
      </c>
      <c r="J440">
        <f>IF(COUNTIFS('United Data'!$A$3:$A$2150,J$1,'United Data'!$C$3:$C$2150,$A440)&gt;0,1,0)</f>
        <v>0</v>
      </c>
      <c r="K440">
        <f>IF(COUNTIFS('United Data'!$A$3:$A$2150,K$1,'United Data'!$C$3:$C$2150,$A440)&gt;0,1,0)</f>
        <v>0</v>
      </c>
      <c r="L440">
        <f>IF(COUNTIFS('United Data'!$A$3:$A$2150,L$1,'United Data'!$C$3:$C$2150,$A440)&gt;0,1,0)</f>
        <v>0</v>
      </c>
      <c r="M440">
        <f>IF(COUNTIFS('United Data'!$A$3:$A$2150,M$1,'United Data'!$C$3:$C$2150,$A440)&gt;0,1,0)</f>
        <v>0</v>
      </c>
      <c r="N440">
        <f>IF(COUNTIFS('United Data'!$A$3:$A$2150,N$1,'United Data'!$C$3:$C$2150,$A440)&gt;0,1,0)</f>
        <v>0</v>
      </c>
      <c r="O440">
        <f>IF(COUNTIFS('United Data'!$A$3:$A$2150,O$1,'United Data'!$C$3:$C$2150,$A440)&gt;0,1,0)</f>
        <v>0</v>
      </c>
      <c r="P440">
        <f>IF(COUNTIFS('United Data'!$A$3:$A$2150,P$1,'United Data'!$C$3:$C$2150,$A440)&gt;0,1,0)</f>
        <v>0</v>
      </c>
      <c r="Q440">
        <f>IF(COUNTIFS('United Data'!$A$3:$A$2150,Q$1,'United Data'!$C$3:$C$2150,$A440)&gt;0,1,0)</f>
        <v>0</v>
      </c>
      <c r="R440">
        <f>IF(COUNTIFS('United Data'!$A$3:$A$2150,R$1,'United Data'!$C$3:$C$2150,$A440)&gt;0,1,0)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486</v>
      </c>
      <c r="B441">
        <f>IF(COUNTIFS('United Data'!$A$3:$A$2150,B$1,'United Data'!$C$3:$C$2150,$A441)&gt;0,1,0)</f>
        <v>0</v>
      </c>
      <c r="C441">
        <f>IF(COUNTIFS('United Data'!$A$3:$A$2150,C$1,'United Data'!$C$3:$C$2150,$A441)&gt;0,1,0)</f>
        <v>0</v>
      </c>
      <c r="D441">
        <f>IF(COUNTIFS('United Data'!$A$3:$A$2150,D$1,'United Data'!$C$3:$C$2150,$A441)&gt;0,1,0)</f>
        <v>1</v>
      </c>
      <c r="E441">
        <f>IF(COUNTIFS('United Data'!$A$3:$A$2150,E$1,'United Data'!$C$3:$C$2150,$A441)&gt;0,1,0)</f>
        <v>1</v>
      </c>
      <c r="F441">
        <f>IF(COUNTIFS('United Data'!$A$3:$A$2150,F$1,'United Data'!$C$3:$C$2150,$A441)&gt;0,1,0)</f>
        <v>1</v>
      </c>
      <c r="G441">
        <f>IF(COUNTIFS('United Data'!$A$3:$A$2150,G$1,'United Data'!$C$3:$C$2150,$A441)&gt;0,1,0)</f>
        <v>0</v>
      </c>
      <c r="H441">
        <f>IF(COUNTIFS('United Data'!$A$3:$A$2150,H$1,'United Data'!$C$3:$C$2150,$A441)&gt;0,1,0)</f>
        <v>1</v>
      </c>
      <c r="I441">
        <f>IF(COUNTIFS('United Data'!$A$3:$A$2150,I$1,'United Data'!$C$3:$C$2150,$A441)&gt;0,1,0)</f>
        <v>1</v>
      </c>
      <c r="J441">
        <f>IF(COUNTIFS('United Data'!$A$3:$A$2150,J$1,'United Data'!$C$3:$C$2150,$A441)&gt;0,1,0)</f>
        <v>1</v>
      </c>
      <c r="K441">
        <f>IF(COUNTIFS('United Data'!$A$3:$A$2150,K$1,'United Data'!$C$3:$C$2150,$A441)&gt;0,1,0)</f>
        <v>1</v>
      </c>
      <c r="L441">
        <f>IF(COUNTIFS('United Data'!$A$3:$A$2150,L$1,'United Data'!$C$3:$C$2150,$A441)&gt;0,1,0)</f>
        <v>0</v>
      </c>
      <c r="M441">
        <f>IF(COUNTIFS('United Data'!$A$3:$A$2150,M$1,'United Data'!$C$3:$C$2150,$A441)&gt;0,1,0)</f>
        <v>0</v>
      </c>
      <c r="N441">
        <f>IF(COUNTIFS('United Data'!$A$3:$A$2150,N$1,'United Data'!$C$3:$C$2150,$A441)&gt;0,1,0)</f>
        <v>0</v>
      </c>
      <c r="O441">
        <f>IF(COUNTIFS('United Data'!$A$3:$A$2150,O$1,'United Data'!$C$3:$C$2150,$A441)&gt;0,1,0)</f>
        <v>0</v>
      </c>
      <c r="P441">
        <f>IF(COUNTIFS('United Data'!$A$3:$A$2150,P$1,'United Data'!$C$3:$C$2150,$A441)&gt;0,1,0)</f>
        <v>0</v>
      </c>
      <c r="Q441">
        <f>IF(COUNTIFS('United Data'!$A$3:$A$2150,Q$1,'United Data'!$C$3:$C$2150,$A441)&gt;0,1,0)</f>
        <v>0</v>
      </c>
      <c r="R441">
        <f>IF(COUNTIFS('United Data'!$A$3:$A$2150,R$1,'United Data'!$C$3:$C$2150,$A441)&gt;0,1,0)</f>
        <v>0</v>
      </c>
      <c r="S441">
        <f t="shared" si="12"/>
        <v>7</v>
      </c>
      <c r="T441">
        <f t="shared" si="13"/>
        <v>2</v>
      </c>
    </row>
    <row r="442" spans="1:20" x14ac:dyDescent="0.2">
      <c r="A442" t="s">
        <v>487</v>
      </c>
      <c r="B442">
        <f>IF(COUNTIFS('United Data'!$A$3:$A$2150,B$1,'United Data'!$C$3:$C$2150,$A442)&gt;0,1,0)</f>
        <v>0</v>
      </c>
      <c r="C442">
        <f>IF(COUNTIFS('United Data'!$A$3:$A$2150,C$1,'United Data'!$C$3:$C$2150,$A442)&gt;0,1,0)</f>
        <v>0</v>
      </c>
      <c r="D442">
        <f>IF(COUNTIFS('United Data'!$A$3:$A$2150,D$1,'United Data'!$C$3:$C$2150,$A442)&gt;0,1,0)</f>
        <v>1</v>
      </c>
      <c r="E442">
        <f>IF(COUNTIFS('United Data'!$A$3:$A$2150,E$1,'United Data'!$C$3:$C$2150,$A442)&gt;0,1,0)</f>
        <v>0</v>
      </c>
      <c r="F442">
        <f>IF(COUNTIFS('United Data'!$A$3:$A$2150,F$1,'United Data'!$C$3:$C$2150,$A442)&gt;0,1,0)</f>
        <v>0</v>
      </c>
      <c r="G442">
        <f>IF(COUNTIFS('United Data'!$A$3:$A$2150,G$1,'United Data'!$C$3:$C$2150,$A442)&gt;0,1,0)</f>
        <v>0</v>
      </c>
      <c r="H442">
        <f>IF(COUNTIFS('United Data'!$A$3:$A$2150,H$1,'United Data'!$C$3:$C$2150,$A442)&gt;0,1,0)</f>
        <v>0</v>
      </c>
      <c r="I442">
        <f>IF(COUNTIFS('United Data'!$A$3:$A$2150,I$1,'United Data'!$C$3:$C$2150,$A442)&gt;0,1,0)</f>
        <v>0</v>
      </c>
      <c r="J442">
        <f>IF(COUNTIFS('United Data'!$A$3:$A$2150,J$1,'United Data'!$C$3:$C$2150,$A442)&gt;0,1,0)</f>
        <v>0</v>
      </c>
      <c r="K442">
        <f>IF(COUNTIFS('United Data'!$A$3:$A$2150,K$1,'United Data'!$C$3:$C$2150,$A442)&gt;0,1,0)</f>
        <v>0</v>
      </c>
      <c r="L442">
        <f>IF(COUNTIFS('United Data'!$A$3:$A$2150,L$1,'United Data'!$C$3:$C$2150,$A442)&gt;0,1,0)</f>
        <v>0</v>
      </c>
      <c r="M442">
        <f>IF(COUNTIFS('United Data'!$A$3:$A$2150,M$1,'United Data'!$C$3:$C$2150,$A442)&gt;0,1,0)</f>
        <v>0</v>
      </c>
      <c r="N442">
        <f>IF(COUNTIFS('United Data'!$A$3:$A$2150,N$1,'United Data'!$C$3:$C$2150,$A442)&gt;0,1,0)</f>
        <v>0</v>
      </c>
      <c r="O442">
        <f>IF(COUNTIFS('United Data'!$A$3:$A$2150,O$1,'United Data'!$C$3:$C$2150,$A442)&gt;0,1,0)</f>
        <v>0</v>
      </c>
      <c r="P442">
        <f>IF(COUNTIFS('United Data'!$A$3:$A$2150,P$1,'United Data'!$C$3:$C$2150,$A442)&gt;0,1,0)</f>
        <v>0</v>
      </c>
      <c r="Q442">
        <f>IF(COUNTIFS('United Data'!$A$3:$A$2150,Q$1,'United Data'!$C$3:$C$2150,$A442)&gt;0,1,0)</f>
        <v>0</v>
      </c>
      <c r="R442">
        <f>IF(COUNTIFS('United Data'!$A$3:$A$2150,R$1,'United Data'!$C$3:$C$2150,$A442)&gt;0,1,0)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488</v>
      </c>
      <c r="B443">
        <f>IF(COUNTIFS('United Data'!$A$3:$A$2150,B$1,'United Data'!$C$3:$C$2150,$A443)&gt;0,1,0)</f>
        <v>0</v>
      </c>
      <c r="C443">
        <f>IF(COUNTIFS('United Data'!$A$3:$A$2150,C$1,'United Data'!$C$3:$C$2150,$A443)&gt;0,1,0)</f>
        <v>0</v>
      </c>
      <c r="D443">
        <f>IF(COUNTIFS('United Data'!$A$3:$A$2150,D$1,'United Data'!$C$3:$C$2150,$A443)&gt;0,1,0)</f>
        <v>1</v>
      </c>
      <c r="E443">
        <f>IF(COUNTIFS('United Data'!$A$3:$A$2150,E$1,'United Data'!$C$3:$C$2150,$A443)&gt;0,1,0)</f>
        <v>0</v>
      </c>
      <c r="F443">
        <f>IF(COUNTIFS('United Data'!$A$3:$A$2150,F$1,'United Data'!$C$3:$C$2150,$A443)&gt;0,1,0)</f>
        <v>0</v>
      </c>
      <c r="G443">
        <f>IF(COUNTIFS('United Data'!$A$3:$A$2150,G$1,'United Data'!$C$3:$C$2150,$A443)&gt;0,1,0)</f>
        <v>0</v>
      </c>
      <c r="H443">
        <f>IF(COUNTIFS('United Data'!$A$3:$A$2150,H$1,'United Data'!$C$3:$C$2150,$A443)&gt;0,1,0)</f>
        <v>0</v>
      </c>
      <c r="I443">
        <f>IF(COUNTIFS('United Data'!$A$3:$A$2150,I$1,'United Data'!$C$3:$C$2150,$A443)&gt;0,1,0)</f>
        <v>0</v>
      </c>
      <c r="J443">
        <f>IF(COUNTIFS('United Data'!$A$3:$A$2150,J$1,'United Data'!$C$3:$C$2150,$A443)&gt;0,1,0)</f>
        <v>0</v>
      </c>
      <c r="K443">
        <f>IF(COUNTIFS('United Data'!$A$3:$A$2150,K$1,'United Data'!$C$3:$C$2150,$A443)&gt;0,1,0)</f>
        <v>0</v>
      </c>
      <c r="L443">
        <f>IF(COUNTIFS('United Data'!$A$3:$A$2150,L$1,'United Data'!$C$3:$C$2150,$A443)&gt;0,1,0)</f>
        <v>0</v>
      </c>
      <c r="M443">
        <f>IF(COUNTIFS('United Data'!$A$3:$A$2150,M$1,'United Data'!$C$3:$C$2150,$A443)&gt;0,1,0)</f>
        <v>0</v>
      </c>
      <c r="N443">
        <f>IF(COUNTIFS('United Data'!$A$3:$A$2150,N$1,'United Data'!$C$3:$C$2150,$A443)&gt;0,1,0)</f>
        <v>0</v>
      </c>
      <c r="O443">
        <f>IF(COUNTIFS('United Data'!$A$3:$A$2150,O$1,'United Data'!$C$3:$C$2150,$A443)&gt;0,1,0)</f>
        <v>0</v>
      </c>
      <c r="P443">
        <f>IF(COUNTIFS('United Data'!$A$3:$A$2150,P$1,'United Data'!$C$3:$C$2150,$A443)&gt;0,1,0)</f>
        <v>0</v>
      </c>
      <c r="Q443">
        <f>IF(COUNTIFS('United Data'!$A$3:$A$2150,Q$1,'United Data'!$C$3:$C$2150,$A443)&gt;0,1,0)</f>
        <v>0</v>
      </c>
      <c r="R443">
        <f>IF(COUNTIFS('United Data'!$A$3:$A$2150,R$1,'United Data'!$C$3:$C$2150,$A443)&gt;0,1,0)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489</v>
      </c>
      <c r="B444">
        <f>IF(COUNTIFS('United Data'!$A$3:$A$2150,B$1,'United Data'!$C$3:$C$2150,$A444)&gt;0,1,0)</f>
        <v>0</v>
      </c>
      <c r="C444">
        <f>IF(COUNTIFS('United Data'!$A$3:$A$2150,C$1,'United Data'!$C$3:$C$2150,$A444)&gt;0,1,0)</f>
        <v>0</v>
      </c>
      <c r="D444">
        <f>IF(COUNTIFS('United Data'!$A$3:$A$2150,D$1,'United Data'!$C$3:$C$2150,$A444)&gt;0,1,0)</f>
        <v>1</v>
      </c>
      <c r="E444">
        <f>IF(COUNTIFS('United Data'!$A$3:$A$2150,E$1,'United Data'!$C$3:$C$2150,$A444)&gt;0,1,0)</f>
        <v>0</v>
      </c>
      <c r="F444">
        <f>IF(COUNTIFS('United Data'!$A$3:$A$2150,F$1,'United Data'!$C$3:$C$2150,$A444)&gt;0,1,0)</f>
        <v>1</v>
      </c>
      <c r="G444">
        <f>IF(COUNTIFS('United Data'!$A$3:$A$2150,G$1,'United Data'!$C$3:$C$2150,$A444)&gt;0,1,0)</f>
        <v>0</v>
      </c>
      <c r="H444">
        <f>IF(COUNTIFS('United Data'!$A$3:$A$2150,H$1,'United Data'!$C$3:$C$2150,$A444)&gt;0,1,0)</f>
        <v>1</v>
      </c>
      <c r="I444">
        <f>IF(COUNTIFS('United Data'!$A$3:$A$2150,I$1,'United Data'!$C$3:$C$2150,$A444)&gt;0,1,0)</f>
        <v>1</v>
      </c>
      <c r="J444">
        <f>IF(COUNTIFS('United Data'!$A$3:$A$2150,J$1,'United Data'!$C$3:$C$2150,$A444)&gt;0,1,0)</f>
        <v>1</v>
      </c>
      <c r="K444">
        <f>IF(COUNTIFS('United Data'!$A$3:$A$2150,K$1,'United Data'!$C$3:$C$2150,$A444)&gt;0,1,0)</f>
        <v>0</v>
      </c>
      <c r="L444">
        <f>IF(COUNTIFS('United Data'!$A$3:$A$2150,L$1,'United Data'!$C$3:$C$2150,$A444)&gt;0,1,0)</f>
        <v>0</v>
      </c>
      <c r="M444">
        <f>IF(COUNTIFS('United Data'!$A$3:$A$2150,M$1,'United Data'!$C$3:$C$2150,$A444)&gt;0,1,0)</f>
        <v>0</v>
      </c>
      <c r="N444">
        <f>IF(COUNTIFS('United Data'!$A$3:$A$2150,N$1,'United Data'!$C$3:$C$2150,$A444)&gt;0,1,0)</f>
        <v>0</v>
      </c>
      <c r="O444">
        <f>IF(COUNTIFS('United Data'!$A$3:$A$2150,O$1,'United Data'!$C$3:$C$2150,$A444)&gt;0,1,0)</f>
        <v>0</v>
      </c>
      <c r="P444">
        <f>IF(COUNTIFS('United Data'!$A$3:$A$2150,P$1,'United Data'!$C$3:$C$2150,$A444)&gt;0,1,0)</f>
        <v>0</v>
      </c>
      <c r="Q444">
        <f>IF(COUNTIFS('United Data'!$A$3:$A$2150,Q$1,'United Data'!$C$3:$C$2150,$A444)&gt;0,1,0)</f>
        <v>0</v>
      </c>
      <c r="R444">
        <f>IF(COUNTIFS('United Data'!$A$3:$A$2150,R$1,'United Data'!$C$3:$C$2150,$A444)&gt;0,1,0)</f>
        <v>0</v>
      </c>
      <c r="S444">
        <f t="shared" si="12"/>
        <v>5</v>
      </c>
      <c r="T444">
        <f t="shared" si="13"/>
        <v>3</v>
      </c>
    </row>
    <row r="445" spans="1:20" x14ac:dyDescent="0.2">
      <c r="A445" t="s">
        <v>490</v>
      </c>
      <c r="B445">
        <f>IF(COUNTIFS('United Data'!$A$3:$A$2150,B$1,'United Data'!$C$3:$C$2150,$A445)&gt;0,1,0)</f>
        <v>0</v>
      </c>
      <c r="C445">
        <f>IF(COUNTIFS('United Data'!$A$3:$A$2150,C$1,'United Data'!$C$3:$C$2150,$A445)&gt;0,1,0)</f>
        <v>0</v>
      </c>
      <c r="D445">
        <f>IF(COUNTIFS('United Data'!$A$3:$A$2150,D$1,'United Data'!$C$3:$C$2150,$A445)&gt;0,1,0)</f>
        <v>1</v>
      </c>
      <c r="E445">
        <f>IF(COUNTIFS('United Data'!$A$3:$A$2150,E$1,'United Data'!$C$3:$C$2150,$A445)&gt;0,1,0)</f>
        <v>0</v>
      </c>
      <c r="F445">
        <f>IF(COUNTIFS('United Data'!$A$3:$A$2150,F$1,'United Data'!$C$3:$C$2150,$A445)&gt;0,1,0)</f>
        <v>1</v>
      </c>
      <c r="G445">
        <f>IF(COUNTIFS('United Data'!$A$3:$A$2150,G$1,'United Data'!$C$3:$C$2150,$A445)&gt;0,1,0)</f>
        <v>0</v>
      </c>
      <c r="H445">
        <f>IF(COUNTIFS('United Data'!$A$3:$A$2150,H$1,'United Data'!$C$3:$C$2150,$A445)&gt;0,1,0)</f>
        <v>0</v>
      </c>
      <c r="I445">
        <f>IF(COUNTIFS('United Data'!$A$3:$A$2150,I$1,'United Data'!$C$3:$C$2150,$A445)&gt;0,1,0)</f>
        <v>0</v>
      </c>
      <c r="J445">
        <f>IF(COUNTIFS('United Data'!$A$3:$A$2150,J$1,'United Data'!$C$3:$C$2150,$A445)&gt;0,1,0)</f>
        <v>0</v>
      </c>
      <c r="K445">
        <f>IF(COUNTIFS('United Data'!$A$3:$A$2150,K$1,'United Data'!$C$3:$C$2150,$A445)&gt;0,1,0)</f>
        <v>0</v>
      </c>
      <c r="L445">
        <f>IF(COUNTIFS('United Data'!$A$3:$A$2150,L$1,'United Data'!$C$3:$C$2150,$A445)&gt;0,1,0)</f>
        <v>0</v>
      </c>
      <c r="M445">
        <f>IF(COUNTIFS('United Data'!$A$3:$A$2150,M$1,'United Data'!$C$3:$C$2150,$A445)&gt;0,1,0)</f>
        <v>0</v>
      </c>
      <c r="N445">
        <f>IF(COUNTIFS('United Data'!$A$3:$A$2150,N$1,'United Data'!$C$3:$C$2150,$A445)&gt;0,1,0)</f>
        <v>0</v>
      </c>
      <c r="O445">
        <f>IF(COUNTIFS('United Data'!$A$3:$A$2150,O$1,'United Data'!$C$3:$C$2150,$A445)&gt;0,1,0)</f>
        <v>0</v>
      </c>
      <c r="P445">
        <f>IF(COUNTIFS('United Data'!$A$3:$A$2150,P$1,'United Data'!$C$3:$C$2150,$A445)&gt;0,1,0)</f>
        <v>0</v>
      </c>
      <c r="Q445">
        <f>IF(COUNTIFS('United Data'!$A$3:$A$2150,Q$1,'United Data'!$C$3:$C$2150,$A445)&gt;0,1,0)</f>
        <v>0</v>
      </c>
      <c r="R445">
        <f>IF(COUNTIFS('United Data'!$A$3:$A$2150,R$1,'United Data'!$C$3:$C$2150,$A445)&gt;0,1,0)</f>
        <v>0</v>
      </c>
      <c r="S445">
        <f t="shared" si="12"/>
        <v>2</v>
      </c>
      <c r="T445">
        <f t="shared" si="13"/>
        <v>2</v>
      </c>
    </row>
    <row r="446" spans="1:20" x14ac:dyDescent="0.2">
      <c r="A446" t="s">
        <v>491</v>
      </c>
      <c r="B446">
        <f>IF(COUNTIFS('United Data'!$A$3:$A$2150,B$1,'United Data'!$C$3:$C$2150,$A446)&gt;0,1,0)</f>
        <v>0</v>
      </c>
      <c r="C446">
        <f>IF(COUNTIFS('United Data'!$A$3:$A$2150,C$1,'United Data'!$C$3:$C$2150,$A446)&gt;0,1,0)</f>
        <v>0</v>
      </c>
      <c r="D446">
        <f>IF(COUNTIFS('United Data'!$A$3:$A$2150,D$1,'United Data'!$C$3:$C$2150,$A446)&gt;0,1,0)</f>
        <v>1</v>
      </c>
      <c r="E446">
        <f>IF(COUNTIFS('United Data'!$A$3:$A$2150,E$1,'United Data'!$C$3:$C$2150,$A446)&gt;0,1,0)</f>
        <v>0</v>
      </c>
      <c r="F446">
        <f>IF(COUNTIFS('United Data'!$A$3:$A$2150,F$1,'United Data'!$C$3:$C$2150,$A446)&gt;0,1,0)</f>
        <v>0</v>
      </c>
      <c r="G446">
        <f>IF(COUNTIFS('United Data'!$A$3:$A$2150,G$1,'United Data'!$C$3:$C$2150,$A446)&gt;0,1,0)</f>
        <v>0</v>
      </c>
      <c r="H446">
        <f>IF(COUNTIFS('United Data'!$A$3:$A$2150,H$1,'United Data'!$C$3:$C$2150,$A446)&gt;0,1,0)</f>
        <v>0</v>
      </c>
      <c r="I446">
        <f>IF(COUNTIFS('United Data'!$A$3:$A$2150,I$1,'United Data'!$C$3:$C$2150,$A446)&gt;0,1,0)</f>
        <v>0</v>
      </c>
      <c r="J446">
        <f>IF(COUNTIFS('United Data'!$A$3:$A$2150,J$1,'United Data'!$C$3:$C$2150,$A446)&gt;0,1,0)</f>
        <v>0</v>
      </c>
      <c r="K446">
        <f>IF(COUNTIFS('United Data'!$A$3:$A$2150,K$1,'United Data'!$C$3:$C$2150,$A446)&gt;0,1,0)</f>
        <v>0</v>
      </c>
      <c r="L446">
        <f>IF(COUNTIFS('United Data'!$A$3:$A$2150,L$1,'United Data'!$C$3:$C$2150,$A446)&gt;0,1,0)</f>
        <v>0</v>
      </c>
      <c r="M446">
        <f>IF(COUNTIFS('United Data'!$A$3:$A$2150,M$1,'United Data'!$C$3:$C$2150,$A446)&gt;0,1,0)</f>
        <v>0</v>
      </c>
      <c r="N446">
        <f>IF(COUNTIFS('United Data'!$A$3:$A$2150,N$1,'United Data'!$C$3:$C$2150,$A446)&gt;0,1,0)</f>
        <v>0</v>
      </c>
      <c r="O446">
        <f>IF(COUNTIFS('United Data'!$A$3:$A$2150,O$1,'United Data'!$C$3:$C$2150,$A446)&gt;0,1,0)</f>
        <v>0</v>
      </c>
      <c r="P446">
        <f>IF(COUNTIFS('United Data'!$A$3:$A$2150,P$1,'United Data'!$C$3:$C$2150,$A446)&gt;0,1,0)</f>
        <v>0</v>
      </c>
      <c r="Q446">
        <f>IF(COUNTIFS('United Data'!$A$3:$A$2150,Q$1,'United Data'!$C$3:$C$2150,$A446)&gt;0,1,0)</f>
        <v>0</v>
      </c>
      <c r="R446">
        <f>IF(COUNTIFS('United Data'!$A$3:$A$2150,R$1,'United Data'!$C$3:$C$2150,$A446)&gt;0,1,0)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492</v>
      </c>
      <c r="B447">
        <f>IF(COUNTIFS('United Data'!$A$3:$A$2150,B$1,'United Data'!$C$3:$C$2150,$A447)&gt;0,1,0)</f>
        <v>0</v>
      </c>
      <c r="C447">
        <f>IF(COUNTIFS('United Data'!$A$3:$A$2150,C$1,'United Data'!$C$3:$C$2150,$A447)&gt;0,1,0)</f>
        <v>0</v>
      </c>
      <c r="D447">
        <f>IF(COUNTIFS('United Data'!$A$3:$A$2150,D$1,'United Data'!$C$3:$C$2150,$A447)&gt;0,1,0)</f>
        <v>1</v>
      </c>
      <c r="E447">
        <f>IF(COUNTIFS('United Data'!$A$3:$A$2150,E$1,'United Data'!$C$3:$C$2150,$A447)&gt;0,1,0)</f>
        <v>1</v>
      </c>
      <c r="F447">
        <f>IF(COUNTIFS('United Data'!$A$3:$A$2150,F$1,'United Data'!$C$3:$C$2150,$A447)&gt;0,1,0)</f>
        <v>0</v>
      </c>
      <c r="G447">
        <f>IF(COUNTIFS('United Data'!$A$3:$A$2150,G$1,'United Data'!$C$3:$C$2150,$A447)&gt;0,1,0)</f>
        <v>0</v>
      </c>
      <c r="H447">
        <f>IF(COUNTIFS('United Data'!$A$3:$A$2150,H$1,'United Data'!$C$3:$C$2150,$A447)&gt;0,1,0)</f>
        <v>0</v>
      </c>
      <c r="I447">
        <f>IF(COUNTIFS('United Data'!$A$3:$A$2150,I$1,'United Data'!$C$3:$C$2150,$A447)&gt;0,1,0)</f>
        <v>0</v>
      </c>
      <c r="J447">
        <f>IF(COUNTIFS('United Data'!$A$3:$A$2150,J$1,'United Data'!$C$3:$C$2150,$A447)&gt;0,1,0)</f>
        <v>0</v>
      </c>
      <c r="K447">
        <f>IF(COUNTIFS('United Data'!$A$3:$A$2150,K$1,'United Data'!$C$3:$C$2150,$A447)&gt;0,1,0)</f>
        <v>0</v>
      </c>
      <c r="L447">
        <f>IF(COUNTIFS('United Data'!$A$3:$A$2150,L$1,'United Data'!$C$3:$C$2150,$A447)&gt;0,1,0)</f>
        <v>0</v>
      </c>
      <c r="M447">
        <f>IF(COUNTIFS('United Data'!$A$3:$A$2150,M$1,'United Data'!$C$3:$C$2150,$A447)&gt;0,1,0)</f>
        <v>0</v>
      </c>
      <c r="N447">
        <f>IF(COUNTIFS('United Data'!$A$3:$A$2150,N$1,'United Data'!$C$3:$C$2150,$A447)&gt;0,1,0)</f>
        <v>0</v>
      </c>
      <c r="O447">
        <f>IF(COUNTIFS('United Data'!$A$3:$A$2150,O$1,'United Data'!$C$3:$C$2150,$A447)&gt;0,1,0)</f>
        <v>0</v>
      </c>
      <c r="P447">
        <f>IF(COUNTIFS('United Data'!$A$3:$A$2150,P$1,'United Data'!$C$3:$C$2150,$A447)&gt;0,1,0)</f>
        <v>0</v>
      </c>
      <c r="Q447">
        <f>IF(COUNTIFS('United Data'!$A$3:$A$2150,Q$1,'United Data'!$C$3:$C$2150,$A447)&gt;0,1,0)</f>
        <v>0</v>
      </c>
      <c r="R447">
        <f>IF(COUNTIFS('United Data'!$A$3:$A$2150,R$1,'United Data'!$C$3:$C$2150,$A447)&gt;0,1,0)</f>
        <v>0</v>
      </c>
      <c r="S447">
        <f t="shared" si="12"/>
        <v>2</v>
      </c>
      <c r="T447">
        <f t="shared" si="13"/>
        <v>1</v>
      </c>
    </row>
    <row r="448" spans="1:20" x14ac:dyDescent="0.2">
      <c r="A448" t="s">
        <v>493</v>
      </c>
      <c r="B448">
        <f>IF(COUNTIFS('United Data'!$A$3:$A$2150,B$1,'United Data'!$C$3:$C$2150,$A448)&gt;0,1,0)</f>
        <v>0</v>
      </c>
      <c r="C448">
        <f>IF(COUNTIFS('United Data'!$A$3:$A$2150,C$1,'United Data'!$C$3:$C$2150,$A448)&gt;0,1,0)</f>
        <v>0</v>
      </c>
      <c r="D448">
        <f>IF(COUNTIFS('United Data'!$A$3:$A$2150,D$1,'United Data'!$C$3:$C$2150,$A448)&gt;0,1,0)</f>
        <v>1</v>
      </c>
      <c r="E448">
        <f>IF(COUNTIFS('United Data'!$A$3:$A$2150,E$1,'United Data'!$C$3:$C$2150,$A448)&gt;0,1,0)</f>
        <v>0</v>
      </c>
      <c r="F448">
        <f>IF(COUNTIFS('United Data'!$A$3:$A$2150,F$1,'United Data'!$C$3:$C$2150,$A448)&gt;0,1,0)</f>
        <v>0</v>
      </c>
      <c r="G448">
        <f>IF(COUNTIFS('United Data'!$A$3:$A$2150,G$1,'United Data'!$C$3:$C$2150,$A448)&gt;0,1,0)</f>
        <v>0</v>
      </c>
      <c r="H448">
        <f>IF(COUNTIFS('United Data'!$A$3:$A$2150,H$1,'United Data'!$C$3:$C$2150,$A448)&gt;0,1,0)</f>
        <v>0</v>
      </c>
      <c r="I448">
        <f>IF(COUNTIFS('United Data'!$A$3:$A$2150,I$1,'United Data'!$C$3:$C$2150,$A448)&gt;0,1,0)</f>
        <v>0</v>
      </c>
      <c r="J448">
        <f>IF(COUNTIFS('United Data'!$A$3:$A$2150,J$1,'United Data'!$C$3:$C$2150,$A448)&gt;0,1,0)</f>
        <v>0</v>
      </c>
      <c r="K448">
        <f>IF(COUNTIFS('United Data'!$A$3:$A$2150,K$1,'United Data'!$C$3:$C$2150,$A448)&gt;0,1,0)</f>
        <v>0</v>
      </c>
      <c r="L448">
        <f>IF(COUNTIFS('United Data'!$A$3:$A$2150,L$1,'United Data'!$C$3:$C$2150,$A448)&gt;0,1,0)</f>
        <v>0</v>
      </c>
      <c r="M448">
        <f>IF(COUNTIFS('United Data'!$A$3:$A$2150,M$1,'United Data'!$C$3:$C$2150,$A448)&gt;0,1,0)</f>
        <v>0</v>
      </c>
      <c r="N448">
        <f>IF(COUNTIFS('United Data'!$A$3:$A$2150,N$1,'United Data'!$C$3:$C$2150,$A448)&gt;0,1,0)</f>
        <v>0</v>
      </c>
      <c r="O448">
        <f>IF(COUNTIFS('United Data'!$A$3:$A$2150,O$1,'United Data'!$C$3:$C$2150,$A448)&gt;0,1,0)</f>
        <v>0</v>
      </c>
      <c r="P448">
        <f>IF(COUNTIFS('United Data'!$A$3:$A$2150,P$1,'United Data'!$C$3:$C$2150,$A448)&gt;0,1,0)</f>
        <v>0</v>
      </c>
      <c r="Q448">
        <f>IF(COUNTIFS('United Data'!$A$3:$A$2150,Q$1,'United Data'!$C$3:$C$2150,$A448)&gt;0,1,0)</f>
        <v>0</v>
      </c>
      <c r="R448">
        <f>IF(COUNTIFS('United Data'!$A$3:$A$2150,R$1,'United Data'!$C$3:$C$2150,$A448)&gt;0,1,0)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495</v>
      </c>
      <c r="B449">
        <f>IF(COUNTIFS('United Data'!$A$3:$A$2150,B$1,'United Data'!$C$3:$C$2150,$A449)&gt;0,1,0)</f>
        <v>0</v>
      </c>
      <c r="C449">
        <f>IF(COUNTIFS('United Data'!$A$3:$A$2150,C$1,'United Data'!$C$3:$C$2150,$A449)&gt;0,1,0)</f>
        <v>0</v>
      </c>
      <c r="D449">
        <f>IF(COUNTIFS('United Data'!$A$3:$A$2150,D$1,'United Data'!$C$3:$C$2150,$A449)&gt;0,1,0)</f>
        <v>1</v>
      </c>
      <c r="E449">
        <f>IF(COUNTIFS('United Data'!$A$3:$A$2150,E$1,'United Data'!$C$3:$C$2150,$A449)&gt;0,1,0)</f>
        <v>0</v>
      </c>
      <c r="F449">
        <f>IF(COUNTIFS('United Data'!$A$3:$A$2150,F$1,'United Data'!$C$3:$C$2150,$A449)&gt;0,1,0)</f>
        <v>0</v>
      </c>
      <c r="G449">
        <f>IF(COUNTIFS('United Data'!$A$3:$A$2150,G$1,'United Data'!$C$3:$C$2150,$A449)&gt;0,1,0)</f>
        <v>0</v>
      </c>
      <c r="H449">
        <f>IF(COUNTIFS('United Data'!$A$3:$A$2150,H$1,'United Data'!$C$3:$C$2150,$A449)&gt;0,1,0)</f>
        <v>0</v>
      </c>
      <c r="I449">
        <f>IF(COUNTIFS('United Data'!$A$3:$A$2150,I$1,'United Data'!$C$3:$C$2150,$A449)&gt;0,1,0)</f>
        <v>0</v>
      </c>
      <c r="J449">
        <f>IF(COUNTIFS('United Data'!$A$3:$A$2150,J$1,'United Data'!$C$3:$C$2150,$A449)&gt;0,1,0)</f>
        <v>0</v>
      </c>
      <c r="K449">
        <f>IF(COUNTIFS('United Data'!$A$3:$A$2150,K$1,'United Data'!$C$3:$C$2150,$A449)&gt;0,1,0)</f>
        <v>0</v>
      </c>
      <c r="L449">
        <f>IF(COUNTIFS('United Data'!$A$3:$A$2150,L$1,'United Data'!$C$3:$C$2150,$A449)&gt;0,1,0)</f>
        <v>0</v>
      </c>
      <c r="M449">
        <f>IF(COUNTIFS('United Data'!$A$3:$A$2150,M$1,'United Data'!$C$3:$C$2150,$A449)&gt;0,1,0)</f>
        <v>0</v>
      </c>
      <c r="N449">
        <f>IF(COUNTIFS('United Data'!$A$3:$A$2150,N$1,'United Data'!$C$3:$C$2150,$A449)&gt;0,1,0)</f>
        <v>0</v>
      </c>
      <c r="O449">
        <f>IF(COUNTIFS('United Data'!$A$3:$A$2150,O$1,'United Data'!$C$3:$C$2150,$A449)&gt;0,1,0)</f>
        <v>0</v>
      </c>
      <c r="P449">
        <f>IF(COUNTIFS('United Data'!$A$3:$A$2150,P$1,'United Data'!$C$3:$C$2150,$A449)&gt;0,1,0)</f>
        <v>0</v>
      </c>
      <c r="Q449">
        <f>IF(COUNTIFS('United Data'!$A$3:$A$2150,Q$1,'United Data'!$C$3:$C$2150,$A449)&gt;0,1,0)</f>
        <v>0</v>
      </c>
      <c r="R449">
        <f>IF(COUNTIFS('United Data'!$A$3:$A$2150,R$1,'United Data'!$C$3:$C$2150,$A449)&gt;0,1,0)</f>
        <v>0</v>
      </c>
      <c r="S449">
        <f t="shared" si="12"/>
        <v>1</v>
      </c>
      <c r="T449">
        <f t="shared" si="13"/>
        <v>1</v>
      </c>
    </row>
    <row r="450" spans="1:20" x14ac:dyDescent="0.2">
      <c r="A450" t="s">
        <v>496</v>
      </c>
      <c r="B450">
        <f>IF(COUNTIFS('United Data'!$A$3:$A$2150,B$1,'United Data'!$C$3:$C$2150,$A450)&gt;0,1,0)</f>
        <v>0</v>
      </c>
      <c r="C450">
        <f>IF(COUNTIFS('United Data'!$A$3:$A$2150,C$1,'United Data'!$C$3:$C$2150,$A450)&gt;0,1,0)</f>
        <v>0</v>
      </c>
      <c r="D450">
        <f>IF(COUNTIFS('United Data'!$A$3:$A$2150,D$1,'United Data'!$C$3:$C$2150,$A450)&gt;0,1,0)</f>
        <v>1</v>
      </c>
      <c r="E450">
        <f>IF(COUNTIFS('United Data'!$A$3:$A$2150,E$1,'United Data'!$C$3:$C$2150,$A450)&gt;0,1,0)</f>
        <v>1</v>
      </c>
      <c r="F450">
        <f>IF(COUNTIFS('United Data'!$A$3:$A$2150,F$1,'United Data'!$C$3:$C$2150,$A450)&gt;0,1,0)</f>
        <v>1</v>
      </c>
      <c r="G450">
        <f>IF(COUNTIFS('United Data'!$A$3:$A$2150,G$1,'United Data'!$C$3:$C$2150,$A450)&gt;0,1,0)</f>
        <v>1</v>
      </c>
      <c r="H450">
        <f>IF(COUNTIFS('United Data'!$A$3:$A$2150,H$1,'United Data'!$C$3:$C$2150,$A450)&gt;0,1,0)</f>
        <v>1</v>
      </c>
      <c r="I450">
        <f>IF(COUNTIFS('United Data'!$A$3:$A$2150,I$1,'United Data'!$C$3:$C$2150,$A450)&gt;0,1,0)</f>
        <v>1</v>
      </c>
      <c r="J450">
        <f>IF(COUNTIFS('United Data'!$A$3:$A$2150,J$1,'United Data'!$C$3:$C$2150,$A450)&gt;0,1,0)</f>
        <v>1</v>
      </c>
      <c r="K450">
        <f>IF(COUNTIFS('United Data'!$A$3:$A$2150,K$1,'United Data'!$C$3:$C$2150,$A450)&gt;0,1,0)</f>
        <v>1</v>
      </c>
      <c r="L450">
        <f>IF(COUNTIFS('United Data'!$A$3:$A$2150,L$1,'United Data'!$C$3:$C$2150,$A450)&gt;0,1,0)</f>
        <v>1</v>
      </c>
      <c r="M450">
        <f>IF(COUNTIFS('United Data'!$A$3:$A$2150,M$1,'United Data'!$C$3:$C$2150,$A450)&gt;0,1,0)</f>
        <v>0</v>
      </c>
      <c r="N450">
        <f>IF(COUNTIFS('United Data'!$A$3:$A$2150,N$1,'United Data'!$C$3:$C$2150,$A450)&gt;0,1,0)</f>
        <v>0</v>
      </c>
      <c r="O450">
        <f>IF(COUNTIFS('United Data'!$A$3:$A$2150,O$1,'United Data'!$C$3:$C$2150,$A450)&gt;0,1,0)</f>
        <v>0</v>
      </c>
      <c r="P450">
        <f>IF(COUNTIFS('United Data'!$A$3:$A$2150,P$1,'United Data'!$C$3:$C$2150,$A450)&gt;0,1,0)</f>
        <v>0</v>
      </c>
      <c r="Q450">
        <f>IF(COUNTIFS('United Data'!$A$3:$A$2150,Q$1,'United Data'!$C$3:$C$2150,$A450)&gt;0,1,0)</f>
        <v>0</v>
      </c>
      <c r="R450">
        <f>IF(COUNTIFS('United Data'!$A$3:$A$2150,R$1,'United Data'!$C$3:$C$2150,$A450)&gt;0,1,0)</f>
        <v>0</v>
      </c>
      <c r="S450">
        <f t="shared" ref="S450:S513" si="14">SUM(B450:R450)</f>
        <v>9</v>
      </c>
      <c r="T450">
        <f t="shared" ref="T450:T513" si="15">B450+SUMPRODUCT(--(C450:R450&gt;B450:Q450))</f>
        <v>1</v>
      </c>
    </row>
    <row r="451" spans="1:20" x14ac:dyDescent="0.2">
      <c r="A451" t="s">
        <v>497</v>
      </c>
      <c r="B451">
        <f>IF(COUNTIFS('United Data'!$A$3:$A$2150,B$1,'United Data'!$C$3:$C$2150,$A451)&gt;0,1,0)</f>
        <v>0</v>
      </c>
      <c r="C451">
        <f>IF(COUNTIFS('United Data'!$A$3:$A$2150,C$1,'United Data'!$C$3:$C$2150,$A451)&gt;0,1,0)</f>
        <v>0</v>
      </c>
      <c r="D451">
        <f>IF(COUNTIFS('United Data'!$A$3:$A$2150,D$1,'United Data'!$C$3:$C$2150,$A451)&gt;0,1,0)</f>
        <v>1</v>
      </c>
      <c r="E451">
        <f>IF(COUNTIFS('United Data'!$A$3:$A$2150,E$1,'United Data'!$C$3:$C$2150,$A451)&gt;0,1,0)</f>
        <v>1</v>
      </c>
      <c r="F451">
        <f>IF(COUNTIFS('United Data'!$A$3:$A$2150,F$1,'United Data'!$C$3:$C$2150,$A451)&gt;0,1,0)</f>
        <v>1</v>
      </c>
      <c r="G451">
        <f>IF(COUNTIFS('United Data'!$A$3:$A$2150,G$1,'United Data'!$C$3:$C$2150,$A451)&gt;0,1,0)</f>
        <v>0</v>
      </c>
      <c r="H451">
        <f>IF(COUNTIFS('United Data'!$A$3:$A$2150,H$1,'United Data'!$C$3:$C$2150,$A451)&gt;0,1,0)</f>
        <v>0</v>
      </c>
      <c r="I451">
        <f>IF(COUNTIFS('United Data'!$A$3:$A$2150,I$1,'United Data'!$C$3:$C$2150,$A451)&gt;0,1,0)</f>
        <v>0</v>
      </c>
      <c r="J451">
        <f>IF(COUNTIFS('United Data'!$A$3:$A$2150,J$1,'United Data'!$C$3:$C$2150,$A451)&gt;0,1,0)</f>
        <v>0</v>
      </c>
      <c r="K451">
        <f>IF(COUNTIFS('United Data'!$A$3:$A$2150,K$1,'United Data'!$C$3:$C$2150,$A451)&gt;0,1,0)</f>
        <v>0</v>
      </c>
      <c r="L451">
        <f>IF(COUNTIFS('United Data'!$A$3:$A$2150,L$1,'United Data'!$C$3:$C$2150,$A451)&gt;0,1,0)</f>
        <v>0</v>
      </c>
      <c r="M451">
        <f>IF(COUNTIFS('United Data'!$A$3:$A$2150,M$1,'United Data'!$C$3:$C$2150,$A451)&gt;0,1,0)</f>
        <v>0</v>
      </c>
      <c r="N451">
        <f>IF(COUNTIFS('United Data'!$A$3:$A$2150,N$1,'United Data'!$C$3:$C$2150,$A451)&gt;0,1,0)</f>
        <v>0</v>
      </c>
      <c r="O451">
        <f>IF(COUNTIFS('United Data'!$A$3:$A$2150,O$1,'United Data'!$C$3:$C$2150,$A451)&gt;0,1,0)</f>
        <v>0</v>
      </c>
      <c r="P451">
        <f>IF(COUNTIFS('United Data'!$A$3:$A$2150,P$1,'United Data'!$C$3:$C$2150,$A451)&gt;0,1,0)</f>
        <v>0</v>
      </c>
      <c r="Q451">
        <f>IF(COUNTIFS('United Data'!$A$3:$A$2150,Q$1,'United Data'!$C$3:$C$2150,$A451)&gt;0,1,0)</f>
        <v>0</v>
      </c>
      <c r="R451">
        <f>IF(COUNTIFS('United Data'!$A$3:$A$2150,R$1,'United Data'!$C$3:$C$2150,$A451)&gt;0,1,0)</f>
        <v>0</v>
      </c>
      <c r="S451">
        <f t="shared" si="14"/>
        <v>3</v>
      </c>
      <c r="T451">
        <f t="shared" si="15"/>
        <v>1</v>
      </c>
    </row>
    <row r="452" spans="1:20" x14ac:dyDescent="0.2">
      <c r="A452" t="s">
        <v>498</v>
      </c>
      <c r="B452">
        <f>IF(COUNTIFS('United Data'!$A$3:$A$2150,B$1,'United Data'!$C$3:$C$2150,$A452)&gt;0,1,0)</f>
        <v>0</v>
      </c>
      <c r="C452">
        <f>IF(COUNTIFS('United Data'!$A$3:$A$2150,C$1,'United Data'!$C$3:$C$2150,$A452)&gt;0,1,0)</f>
        <v>0</v>
      </c>
      <c r="D452">
        <f>IF(COUNTIFS('United Data'!$A$3:$A$2150,D$1,'United Data'!$C$3:$C$2150,$A452)&gt;0,1,0)</f>
        <v>1</v>
      </c>
      <c r="E452">
        <f>IF(COUNTIFS('United Data'!$A$3:$A$2150,E$1,'United Data'!$C$3:$C$2150,$A452)&gt;0,1,0)</f>
        <v>1</v>
      </c>
      <c r="F452">
        <f>IF(COUNTIFS('United Data'!$A$3:$A$2150,F$1,'United Data'!$C$3:$C$2150,$A452)&gt;0,1,0)</f>
        <v>1</v>
      </c>
      <c r="G452">
        <f>IF(COUNTIFS('United Data'!$A$3:$A$2150,G$1,'United Data'!$C$3:$C$2150,$A452)&gt;0,1,0)</f>
        <v>1</v>
      </c>
      <c r="H452">
        <f>IF(COUNTIFS('United Data'!$A$3:$A$2150,H$1,'United Data'!$C$3:$C$2150,$A452)&gt;0,1,0)</f>
        <v>1</v>
      </c>
      <c r="I452">
        <f>IF(COUNTIFS('United Data'!$A$3:$A$2150,I$1,'United Data'!$C$3:$C$2150,$A452)&gt;0,1,0)</f>
        <v>1</v>
      </c>
      <c r="J452">
        <f>IF(COUNTIFS('United Data'!$A$3:$A$2150,J$1,'United Data'!$C$3:$C$2150,$A452)&gt;0,1,0)</f>
        <v>0</v>
      </c>
      <c r="K452">
        <f>IF(COUNTIFS('United Data'!$A$3:$A$2150,K$1,'United Data'!$C$3:$C$2150,$A452)&gt;0,1,0)</f>
        <v>1</v>
      </c>
      <c r="L452">
        <f>IF(COUNTIFS('United Data'!$A$3:$A$2150,L$1,'United Data'!$C$3:$C$2150,$A452)&gt;0,1,0)</f>
        <v>1</v>
      </c>
      <c r="M452">
        <f>IF(COUNTIFS('United Data'!$A$3:$A$2150,M$1,'United Data'!$C$3:$C$2150,$A452)&gt;0,1,0)</f>
        <v>1</v>
      </c>
      <c r="N452">
        <f>IF(COUNTIFS('United Data'!$A$3:$A$2150,N$1,'United Data'!$C$3:$C$2150,$A452)&gt;0,1,0)</f>
        <v>1</v>
      </c>
      <c r="O452">
        <f>IF(COUNTIFS('United Data'!$A$3:$A$2150,O$1,'United Data'!$C$3:$C$2150,$A452)&gt;0,1,0)</f>
        <v>1</v>
      </c>
      <c r="P452">
        <f>IF(COUNTIFS('United Data'!$A$3:$A$2150,P$1,'United Data'!$C$3:$C$2150,$A452)&gt;0,1,0)</f>
        <v>1</v>
      </c>
      <c r="Q452">
        <f>IF(COUNTIFS('United Data'!$A$3:$A$2150,Q$1,'United Data'!$C$3:$C$2150,$A452)&gt;0,1,0)</f>
        <v>0</v>
      </c>
      <c r="R452">
        <f>IF(COUNTIFS('United Data'!$A$3:$A$2150,R$1,'United Data'!$C$3:$C$2150,$A452)&gt;0,1,0)</f>
        <v>0</v>
      </c>
      <c r="S452">
        <f t="shared" si="14"/>
        <v>12</v>
      </c>
      <c r="T452">
        <f t="shared" si="15"/>
        <v>2</v>
      </c>
    </row>
    <row r="453" spans="1:20" x14ac:dyDescent="0.2">
      <c r="A453" t="s">
        <v>499</v>
      </c>
      <c r="B453">
        <f>IF(COUNTIFS('United Data'!$A$3:$A$2150,B$1,'United Data'!$C$3:$C$2150,$A453)&gt;0,1,0)</f>
        <v>0</v>
      </c>
      <c r="C453">
        <f>IF(COUNTIFS('United Data'!$A$3:$A$2150,C$1,'United Data'!$C$3:$C$2150,$A453)&gt;0,1,0)</f>
        <v>0</v>
      </c>
      <c r="D453">
        <f>IF(COUNTIFS('United Data'!$A$3:$A$2150,D$1,'United Data'!$C$3:$C$2150,$A453)&gt;0,1,0)</f>
        <v>0</v>
      </c>
      <c r="E453">
        <f>IF(COUNTIFS('United Data'!$A$3:$A$2150,E$1,'United Data'!$C$3:$C$2150,$A453)&gt;0,1,0)</f>
        <v>1</v>
      </c>
      <c r="F453">
        <f>IF(COUNTIFS('United Data'!$A$3:$A$2150,F$1,'United Data'!$C$3:$C$2150,$A453)&gt;0,1,0)</f>
        <v>0</v>
      </c>
      <c r="G453">
        <f>IF(COUNTIFS('United Data'!$A$3:$A$2150,G$1,'United Data'!$C$3:$C$2150,$A453)&gt;0,1,0)</f>
        <v>1</v>
      </c>
      <c r="H453">
        <f>IF(COUNTIFS('United Data'!$A$3:$A$2150,H$1,'United Data'!$C$3:$C$2150,$A453)&gt;0,1,0)</f>
        <v>1</v>
      </c>
      <c r="I453">
        <f>IF(COUNTIFS('United Data'!$A$3:$A$2150,I$1,'United Data'!$C$3:$C$2150,$A453)&gt;0,1,0)</f>
        <v>1</v>
      </c>
      <c r="J453">
        <f>IF(COUNTIFS('United Data'!$A$3:$A$2150,J$1,'United Data'!$C$3:$C$2150,$A453)&gt;0,1,0)</f>
        <v>0</v>
      </c>
      <c r="K453">
        <f>IF(COUNTIFS('United Data'!$A$3:$A$2150,K$1,'United Data'!$C$3:$C$2150,$A453)&gt;0,1,0)</f>
        <v>1</v>
      </c>
      <c r="L453">
        <f>IF(COUNTIFS('United Data'!$A$3:$A$2150,L$1,'United Data'!$C$3:$C$2150,$A453)&gt;0,1,0)</f>
        <v>0</v>
      </c>
      <c r="M453">
        <f>IF(COUNTIFS('United Data'!$A$3:$A$2150,M$1,'United Data'!$C$3:$C$2150,$A453)&gt;0,1,0)</f>
        <v>1</v>
      </c>
      <c r="N453">
        <f>IF(COUNTIFS('United Data'!$A$3:$A$2150,N$1,'United Data'!$C$3:$C$2150,$A453)&gt;0,1,0)</f>
        <v>0</v>
      </c>
      <c r="O453">
        <f>IF(COUNTIFS('United Data'!$A$3:$A$2150,O$1,'United Data'!$C$3:$C$2150,$A453)&gt;0,1,0)</f>
        <v>0</v>
      </c>
      <c r="P453">
        <f>IF(COUNTIFS('United Data'!$A$3:$A$2150,P$1,'United Data'!$C$3:$C$2150,$A453)&gt;0,1,0)</f>
        <v>0</v>
      </c>
      <c r="Q453">
        <f>IF(COUNTIFS('United Data'!$A$3:$A$2150,Q$1,'United Data'!$C$3:$C$2150,$A453)&gt;0,1,0)</f>
        <v>0</v>
      </c>
      <c r="R453">
        <f>IF(COUNTIFS('United Data'!$A$3:$A$2150,R$1,'United Data'!$C$3:$C$2150,$A453)&gt;0,1,0)</f>
        <v>0</v>
      </c>
      <c r="S453">
        <f t="shared" si="14"/>
        <v>6</v>
      </c>
      <c r="T453">
        <f t="shared" si="15"/>
        <v>4</v>
      </c>
    </row>
    <row r="454" spans="1:20" x14ac:dyDescent="0.2">
      <c r="A454" t="s">
        <v>500</v>
      </c>
      <c r="B454">
        <f>IF(COUNTIFS('United Data'!$A$3:$A$2150,B$1,'United Data'!$C$3:$C$2150,$A454)&gt;0,1,0)</f>
        <v>0</v>
      </c>
      <c r="C454">
        <f>IF(COUNTIFS('United Data'!$A$3:$A$2150,C$1,'United Data'!$C$3:$C$2150,$A454)&gt;0,1,0)</f>
        <v>0</v>
      </c>
      <c r="D454">
        <f>IF(COUNTIFS('United Data'!$A$3:$A$2150,D$1,'United Data'!$C$3:$C$2150,$A454)&gt;0,1,0)</f>
        <v>0</v>
      </c>
      <c r="E454">
        <f>IF(COUNTIFS('United Data'!$A$3:$A$2150,E$1,'United Data'!$C$3:$C$2150,$A454)&gt;0,1,0)</f>
        <v>1</v>
      </c>
      <c r="F454">
        <f>IF(COUNTIFS('United Data'!$A$3:$A$2150,F$1,'United Data'!$C$3:$C$2150,$A454)&gt;0,1,0)</f>
        <v>1</v>
      </c>
      <c r="G454">
        <f>IF(COUNTIFS('United Data'!$A$3:$A$2150,G$1,'United Data'!$C$3:$C$2150,$A454)&gt;0,1,0)</f>
        <v>1</v>
      </c>
      <c r="H454">
        <f>IF(COUNTIFS('United Data'!$A$3:$A$2150,H$1,'United Data'!$C$3:$C$2150,$A454)&gt;0,1,0)</f>
        <v>0</v>
      </c>
      <c r="I454">
        <f>IF(COUNTIFS('United Data'!$A$3:$A$2150,I$1,'United Data'!$C$3:$C$2150,$A454)&gt;0,1,0)</f>
        <v>0</v>
      </c>
      <c r="J454">
        <f>IF(COUNTIFS('United Data'!$A$3:$A$2150,J$1,'United Data'!$C$3:$C$2150,$A454)&gt;0,1,0)</f>
        <v>1</v>
      </c>
      <c r="K454">
        <f>IF(COUNTIFS('United Data'!$A$3:$A$2150,K$1,'United Data'!$C$3:$C$2150,$A454)&gt;0,1,0)</f>
        <v>1</v>
      </c>
      <c r="L454">
        <f>IF(COUNTIFS('United Data'!$A$3:$A$2150,L$1,'United Data'!$C$3:$C$2150,$A454)&gt;0,1,0)</f>
        <v>1</v>
      </c>
      <c r="M454">
        <f>IF(COUNTIFS('United Data'!$A$3:$A$2150,M$1,'United Data'!$C$3:$C$2150,$A454)&gt;0,1,0)</f>
        <v>0</v>
      </c>
      <c r="N454">
        <f>IF(COUNTIFS('United Data'!$A$3:$A$2150,N$1,'United Data'!$C$3:$C$2150,$A454)&gt;0,1,0)</f>
        <v>1</v>
      </c>
      <c r="O454">
        <f>IF(COUNTIFS('United Data'!$A$3:$A$2150,O$1,'United Data'!$C$3:$C$2150,$A454)&gt;0,1,0)</f>
        <v>0</v>
      </c>
      <c r="P454">
        <f>IF(COUNTIFS('United Data'!$A$3:$A$2150,P$1,'United Data'!$C$3:$C$2150,$A454)&gt;0,1,0)</f>
        <v>0</v>
      </c>
      <c r="Q454">
        <f>IF(COUNTIFS('United Data'!$A$3:$A$2150,Q$1,'United Data'!$C$3:$C$2150,$A454)&gt;0,1,0)</f>
        <v>0</v>
      </c>
      <c r="R454">
        <f>IF(COUNTIFS('United Data'!$A$3:$A$2150,R$1,'United Data'!$C$3:$C$2150,$A454)&gt;0,1,0)</f>
        <v>0</v>
      </c>
      <c r="S454">
        <f t="shared" si="14"/>
        <v>7</v>
      </c>
      <c r="T454">
        <f t="shared" si="15"/>
        <v>3</v>
      </c>
    </row>
    <row r="455" spans="1:20" x14ac:dyDescent="0.2">
      <c r="A455" t="s">
        <v>501</v>
      </c>
      <c r="B455">
        <f>IF(COUNTIFS('United Data'!$A$3:$A$2150,B$1,'United Data'!$C$3:$C$2150,$A455)&gt;0,1,0)</f>
        <v>0</v>
      </c>
      <c r="C455">
        <f>IF(COUNTIFS('United Data'!$A$3:$A$2150,C$1,'United Data'!$C$3:$C$2150,$A455)&gt;0,1,0)</f>
        <v>0</v>
      </c>
      <c r="D455">
        <f>IF(COUNTIFS('United Data'!$A$3:$A$2150,D$1,'United Data'!$C$3:$C$2150,$A455)&gt;0,1,0)</f>
        <v>0</v>
      </c>
      <c r="E455">
        <f>IF(COUNTIFS('United Data'!$A$3:$A$2150,E$1,'United Data'!$C$3:$C$2150,$A455)&gt;0,1,0)</f>
        <v>1</v>
      </c>
      <c r="F455">
        <f>IF(COUNTIFS('United Data'!$A$3:$A$2150,F$1,'United Data'!$C$3:$C$2150,$A455)&gt;0,1,0)</f>
        <v>0</v>
      </c>
      <c r="G455">
        <f>IF(COUNTIFS('United Data'!$A$3:$A$2150,G$1,'United Data'!$C$3:$C$2150,$A455)&gt;0,1,0)</f>
        <v>0</v>
      </c>
      <c r="H455">
        <f>IF(COUNTIFS('United Data'!$A$3:$A$2150,H$1,'United Data'!$C$3:$C$2150,$A455)&gt;0,1,0)</f>
        <v>0</v>
      </c>
      <c r="I455">
        <f>IF(COUNTIFS('United Data'!$A$3:$A$2150,I$1,'United Data'!$C$3:$C$2150,$A455)&gt;0,1,0)</f>
        <v>0</v>
      </c>
      <c r="J455">
        <f>IF(COUNTIFS('United Data'!$A$3:$A$2150,J$1,'United Data'!$C$3:$C$2150,$A455)&gt;0,1,0)</f>
        <v>0</v>
      </c>
      <c r="K455">
        <f>IF(COUNTIFS('United Data'!$A$3:$A$2150,K$1,'United Data'!$C$3:$C$2150,$A455)&gt;0,1,0)</f>
        <v>0</v>
      </c>
      <c r="L455">
        <f>IF(COUNTIFS('United Data'!$A$3:$A$2150,L$1,'United Data'!$C$3:$C$2150,$A455)&gt;0,1,0)</f>
        <v>0</v>
      </c>
      <c r="M455">
        <f>IF(COUNTIFS('United Data'!$A$3:$A$2150,M$1,'United Data'!$C$3:$C$2150,$A455)&gt;0,1,0)</f>
        <v>0</v>
      </c>
      <c r="N455">
        <f>IF(COUNTIFS('United Data'!$A$3:$A$2150,N$1,'United Data'!$C$3:$C$2150,$A455)&gt;0,1,0)</f>
        <v>0</v>
      </c>
      <c r="O455">
        <f>IF(COUNTIFS('United Data'!$A$3:$A$2150,O$1,'United Data'!$C$3:$C$2150,$A455)&gt;0,1,0)</f>
        <v>0</v>
      </c>
      <c r="P455">
        <f>IF(COUNTIFS('United Data'!$A$3:$A$2150,P$1,'United Data'!$C$3:$C$2150,$A455)&gt;0,1,0)</f>
        <v>0</v>
      </c>
      <c r="Q455">
        <f>IF(COUNTIFS('United Data'!$A$3:$A$2150,Q$1,'United Data'!$C$3:$C$2150,$A455)&gt;0,1,0)</f>
        <v>0</v>
      </c>
      <c r="R455">
        <f>IF(COUNTIFS('United Data'!$A$3:$A$2150,R$1,'United Data'!$C$3:$C$2150,$A455)&gt;0,1,0)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502</v>
      </c>
      <c r="B456">
        <f>IF(COUNTIFS('United Data'!$A$3:$A$2150,B$1,'United Data'!$C$3:$C$2150,$A456)&gt;0,1,0)</f>
        <v>0</v>
      </c>
      <c r="C456">
        <f>IF(COUNTIFS('United Data'!$A$3:$A$2150,C$1,'United Data'!$C$3:$C$2150,$A456)&gt;0,1,0)</f>
        <v>0</v>
      </c>
      <c r="D456">
        <f>IF(COUNTIFS('United Data'!$A$3:$A$2150,D$1,'United Data'!$C$3:$C$2150,$A456)&gt;0,1,0)</f>
        <v>0</v>
      </c>
      <c r="E456">
        <f>IF(COUNTIFS('United Data'!$A$3:$A$2150,E$1,'United Data'!$C$3:$C$2150,$A456)&gt;0,1,0)</f>
        <v>1</v>
      </c>
      <c r="F456">
        <f>IF(COUNTIFS('United Data'!$A$3:$A$2150,F$1,'United Data'!$C$3:$C$2150,$A456)&gt;0,1,0)</f>
        <v>0</v>
      </c>
      <c r="G456">
        <f>IF(COUNTIFS('United Data'!$A$3:$A$2150,G$1,'United Data'!$C$3:$C$2150,$A456)&gt;0,1,0)</f>
        <v>0</v>
      </c>
      <c r="H456">
        <f>IF(COUNTIFS('United Data'!$A$3:$A$2150,H$1,'United Data'!$C$3:$C$2150,$A456)&gt;0,1,0)</f>
        <v>0</v>
      </c>
      <c r="I456">
        <f>IF(COUNTIFS('United Data'!$A$3:$A$2150,I$1,'United Data'!$C$3:$C$2150,$A456)&gt;0,1,0)</f>
        <v>0</v>
      </c>
      <c r="J456">
        <f>IF(COUNTIFS('United Data'!$A$3:$A$2150,J$1,'United Data'!$C$3:$C$2150,$A456)&gt;0,1,0)</f>
        <v>0</v>
      </c>
      <c r="K456">
        <f>IF(COUNTIFS('United Data'!$A$3:$A$2150,K$1,'United Data'!$C$3:$C$2150,$A456)&gt;0,1,0)</f>
        <v>0</v>
      </c>
      <c r="L456">
        <f>IF(COUNTIFS('United Data'!$A$3:$A$2150,L$1,'United Data'!$C$3:$C$2150,$A456)&gt;0,1,0)</f>
        <v>0</v>
      </c>
      <c r="M456">
        <f>IF(COUNTIFS('United Data'!$A$3:$A$2150,M$1,'United Data'!$C$3:$C$2150,$A456)&gt;0,1,0)</f>
        <v>0</v>
      </c>
      <c r="N456">
        <f>IF(COUNTIFS('United Data'!$A$3:$A$2150,N$1,'United Data'!$C$3:$C$2150,$A456)&gt;0,1,0)</f>
        <v>0</v>
      </c>
      <c r="O456">
        <f>IF(COUNTIFS('United Data'!$A$3:$A$2150,O$1,'United Data'!$C$3:$C$2150,$A456)&gt;0,1,0)</f>
        <v>0</v>
      </c>
      <c r="P456">
        <f>IF(COUNTIFS('United Data'!$A$3:$A$2150,P$1,'United Data'!$C$3:$C$2150,$A456)&gt;0,1,0)</f>
        <v>0</v>
      </c>
      <c r="Q456">
        <f>IF(COUNTIFS('United Data'!$A$3:$A$2150,Q$1,'United Data'!$C$3:$C$2150,$A456)&gt;0,1,0)</f>
        <v>0</v>
      </c>
      <c r="R456">
        <f>IF(COUNTIFS('United Data'!$A$3:$A$2150,R$1,'United Data'!$C$3:$C$2150,$A456)&gt;0,1,0)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503</v>
      </c>
      <c r="B457">
        <f>IF(COUNTIFS('United Data'!$A$3:$A$2150,B$1,'United Data'!$C$3:$C$2150,$A457)&gt;0,1,0)</f>
        <v>0</v>
      </c>
      <c r="C457">
        <f>IF(COUNTIFS('United Data'!$A$3:$A$2150,C$1,'United Data'!$C$3:$C$2150,$A457)&gt;0,1,0)</f>
        <v>0</v>
      </c>
      <c r="D457">
        <f>IF(COUNTIFS('United Data'!$A$3:$A$2150,D$1,'United Data'!$C$3:$C$2150,$A457)&gt;0,1,0)</f>
        <v>0</v>
      </c>
      <c r="E457">
        <f>IF(COUNTIFS('United Data'!$A$3:$A$2150,E$1,'United Data'!$C$3:$C$2150,$A457)&gt;0,1,0)</f>
        <v>1</v>
      </c>
      <c r="F457">
        <f>IF(COUNTIFS('United Data'!$A$3:$A$2150,F$1,'United Data'!$C$3:$C$2150,$A457)&gt;0,1,0)</f>
        <v>1</v>
      </c>
      <c r="G457">
        <f>IF(COUNTIFS('United Data'!$A$3:$A$2150,G$1,'United Data'!$C$3:$C$2150,$A457)&gt;0,1,0)</f>
        <v>0</v>
      </c>
      <c r="H457">
        <f>IF(COUNTIFS('United Data'!$A$3:$A$2150,H$1,'United Data'!$C$3:$C$2150,$A457)&gt;0,1,0)</f>
        <v>0</v>
      </c>
      <c r="I457">
        <f>IF(COUNTIFS('United Data'!$A$3:$A$2150,I$1,'United Data'!$C$3:$C$2150,$A457)&gt;0,1,0)</f>
        <v>0</v>
      </c>
      <c r="J457">
        <f>IF(COUNTIFS('United Data'!$A$3:$A$2150,J$1,'United Data'!$C$3:$C$2150,$A457)&gt;0,1,0)</f>
        <v>0</v>
      </c>
      <c r="K457">
        <f>IF(COUNTIFS('United Data'!$A$3:$A$2150,K$1,'United Data'!$C$3:$C$2150,$A457)&gt;0,1,0)</f>
        <v>0</v>
      </c>
      <c r="L457">
        <f>IF(COUNTIFS('United Data'!$A$3:$A$2150,L$1,'United Data'!$C$3:$C$2150,$A457)&gt;0,1,0)</f>
        <v>0</v>
      </c>
      <c r="M457">
        <f>IF(COUNTIFS('United Data'!$A$3:$A$2150,M$1,'United Data'!$C$3:$C$2150,$A457)&gt;0,1,0)</f>
        <v>0</v>
      </c>
      <c r="N457">
        <f>IF(COUNTIFS('United Data'!$A$3:$A$2150,N$1,'United Data'!$C$3:$C$2150,$A457)&gt;0,1,0)</f>
        <v>0</v>
      </c>
      <c r="O457">
        <f>IF(COUNTIFS('United Data'!$A$3:$A$2150,O$1,'United Data'!$C$3:$C$2150,$A457)&gt;0,1,0)</f>
        <v>0</v>
      </c>
      <c r="P457">
        <f>IF(COUNTIFS('United Data'!$A$3:$A$2150,P$1,'United Data'!$C$3:$C$2150,$A457)&gt;0,1,0)</f>
        <v>0</v>
      </c>
      <c r="Q457">
        <f>IF(COUNTIFS('United Data'!$A$3:$A$2150,Q$1,'United Data'!$C$3:$C$2150,$A457)&gt;0,1,0)</f>
        <v>0</v>
      </c>
      <c r="R457">
        <f>IF(COUNTIFS('United Data'!$A$3:$A$2150,R$1,'United Data'!$C$3:$C$2150,$A457)&gt;0,1,0)</f>
        <v>0</v>
      </c>
      <c r="S457">
        <f t="shared" si="14"/>
        <v>2</v>
      </c>
      <c r="T457">
        <f t="shared" si="15"/>
        <v>1</v>
      </c>
    </row>
    <row r="458" spans="1:20" x14ac:dyDescent="0.2">
      <c r="A458" t="s">
        <v>504</v>
      </c>
      <c r="B458">
        <f>IF(COUNTIFS('United Data'!$A$3:$A$2150,B$1,'United Data'!$C$3:$C$2150,$A458)&gt;0,1,0)</f>
        <v>0</v>
      </c>
      <c r="C458">
        <f>IF(COUNTIFS('United Data'!$A$3:$A$2150,C$1,'United Data'!$C$3:$C$2150,$A458)&gt;0,1,0)</f>
        <v>0</v>
      </c>
      <c r="D458">
        <f>IF(COUNTIFS('United Data'!$A$3:$A$2150,D$1,'United Data'!$C$3:$C$2150,$A458)&gt;0,1,0)</f>
        <v>0</v>
      </c>
      <c r="E458">
        <f>IF(COUNTIFS('United Data'!$A$3:$A$2150,E$1,'United Data'!$C$3:$C$2150,$A458)&gt;0,1,0)</f>
        <v>1</v>
      </c>
      <c r="F458">
        <f>IF(COUNTIFS('United Data'!$A$3:$A$2150,F$1,'United Data'!$C$3:$C$2150,$A458)&gt;0,1,0)</f>
        <v>1</v>
      </c>
      <c r="G458">
        <f>IF(COUNTIFS('United Data'!$A$3:$A$2150,G$1,'United Data'!$C$3:$C$2150,$A458)&gt;0,1,0)</f>
        <v>1</v>
      </c>
      <c r="H458">
        <f>IF(COUNTIFS('United Data'!$A$3:$A$2150,H$1,'United Data'!$C$3:$C$2150,$A458)&gt;0,1,0)</f>
        <v>1</v>
      </c>
      <c r="I458">
        <f>IF(COUNTIFS('United Data'!$A$3:$A$2150,I$1,'United Data'!$C$3:$C$2150,$A458)&gt;0,1,0)</f>
        <v>1</v>
      </c>
      <c r="J458">
        <f>IF(COUNTIFS('United Data'!$A$3:$A$2150,J$1,'United Data'!$C$3:$C$2150,$A458)&gt;0,1,0)</f>
        <v>1</v>
      </c>
      <c r="K458">
        <f>IF(COUNTIFS('United Data'!$A$3:$A$2150,K$1,'United Data'!$C$3:$C$2150,$A458)&gt;0,1,0)</f>
        <v>1</v>
      </c>
      <c r="L458">
        <f>IF(COUNTIFS('United Data'!$A$3:$A$2150,L$1,'United Data'!$C$3:$C$2150,$A458)&gt;0,1,0)</f>
        <v>1</v>
      </c>
      <c r="M458">
        <f>IF(COUNTIFS('United Data'!$A$3:$A$2150,M$1,'United Data'!$C$3:$C$2150,$A458)&gt;0,1,0)</f>
        <v>1</v>
      </c>
      <c r="N458">
        <f>IF(COUNTIFS('United Data'!$A$3:$A$2150,N$1,'United Data'!$C$3:$C$2150,$A458)&gt;0,1,0)</f>
        <v>1</v>
      </c>
      <c r="O458">
        <f>IF(COUNTIFS('United Data'!$A$3:$A$2150,O$1,'United Data'!$C$3:$C$2150,$A458)&gt;0,1,0)</f>
        <v>1</v>
      </c>
      <c r="P458">
        <f>IF(COUNTIFS('United Data'!$A$3:$A$2150,P$1,'United Data'!$C$3:$C$2150,$A458)&gt;0,1,0)</f>
        <v>1</v>
      </c>
      <c r="Q458">
        <f>IF(COUNTIFS('United Data'!$A$3:$A$2150,Q$1,'United Data'!$C$3:$C$2150,$A458)&gt;0,1,0)</f>
        <v>0</v>
      </c>
      <c r="R458">
        <f>IF(COUNTIFS('United Data'!$A$3:$A$2150,R$1,'United Data'!$C$3:$C$2150,$A458)&gt;0,1,0)</f>
        <v>0</v>
      </c>
      <c r="S458">
        <f t="shared" si="14"/>
        <v>12</v>
      </c>
      <c r="T458">
        <f t="shared" si="15"/>
        <v>1</v>
      </c>
    </row>
    <row r="459" spans="1:20" x14ac:dyDescent="0.2">
      <c r="A459" t="s">
        <v>505</v>
      </c>
      <c r="B459">
        <f>IF(COUNTIFS('United Data'!$A$3:$A$2150,B$1,'United Data'!$C$3:$C$2150,$A459)&gt;0,1,0)</f>
        <v>0</v>
      </c>
      <c r="C459">
        <f>IF(COUNTIFS('United Data'!$A$3:$A$2150,C$1,'United Data'!$C$3:$C$2150,$A459)&gt;0,1,0)</f>
        <v>0</v>
      </c>
      <c r="D459">
        <f>IF(COUNTIFS('United Data'!$A$3:$A$2150,D$1,'United Data'!$C$3:$C$2150,$A459)&gt;0,1,0)</f>
        <v>0</v>
      </c>
      <c r="E459">
        <f>IF(COUNTIFS('United Data'!$A$3:$A$2150,E$1,'United Data'!$C$3:$C$2150,$A459)&gt;0,1,0)</f>
        <v>1</v>
      </c>
      <c r="F459">
        <f>IF(COUNTIFS('United Data'!$A$3:$A$2150,F$1,'United Data'!$C$3:$C$2150,$A459)&gt;0,1,0)</f>
        <v>0</v>
      </c>
      <c r="G459">
        <f>IF(COUNTIFS('United Data'!$A$3:$A$2150,G$1,'United Data'!$C$3:$C$2150,$A459)&gt;0,1,0)</f>
        <v>0</v>
      </c>
      <c r="H459">
        <f>IF(COUNTIFS('United Data'!$A$3:$A$2150,H$1,'United Data'!$C$3:$C$2150,$A459)&gt;0,1,0)</f>
        <v>0</v>
      </c>
      <c r="I459">
        <f>IF(COUNTIFS('United Data'!$A$3:$A$2150,I$1,'United Data'!$C$3:$C$2150,$A459)&gt;0,1,0)</f>
        <v>0</v>
      </c>
      <c r="J459">
        <f>IF(COUNTIFS('United Data'!$A$3:$A$2150,J$1,'United Data'!$C$3:$C$2150,$A459)&gt;0,1,0)</f>
        <v>0</v>
      </c>
      <c r="K459">
        <f>IF(COUNTIFS('United Data'!$A$3:$A$2150,K$1,'United Data'!$C$3:$C$2150,$A459)&gt;0,1,0)</f>
        <v>0</v>
      </c>
      <c r="L459">
        <f>IF(COUNTIFS('United Data'!$A$3:$A$2150,L$1,'United Data'!$C$3:$C$2150,$A459)&gt;0,1,0)</f>
        <v>0</v>
      </c>
      <c r="M459">
        <f>IF(COUNTIFS('United Data'!$A$3:$A$2150,M$1,'United Data'!$C$3:$C$2150,$A459)&gt;0,1,0)</f>
        <v>0</v>
      </c>
      <c r="N459">
        <f>IF(COUNTIFS('United Data'!$A$3:$A$2150,N$1,'United Data'!$C$3:$C$2150,$A459)&gt;0,1,0)</f>
        <v>0</v>
      </c>
      <c r="O459">
        <f>IF(COUNTIFS('United Data'!$A$3:$A$2150,O$1,'United Data'!$C$3:$C$2150,$A459)&gt;0,1,0)</f>
        <v>0</v>
      </c>
      <c r="P459">
        <f>IF(COUNTIFS('United Data'!$A$3:$A$2150,P$1,'United Data'!$C$3:$C$2150,$A459)&gt;0,1,0)</f>
        <v>0</v>
      </c>
      <c r="Q459">
        <f>IF(COUNTIFS('United Data'!$A$3:$A$2150,Q$1,'United Data'!$C$3:$C$2150,$A459)&gt;0,1,0)</f>
        <v>0</v>
      </c>
      <c r="R459">
        <f>IF(COUNTIFS('United Data'!$A$3:$A$2150,R$1,'United Data'!$C$3:$C$2150,$A459)&gt;0,1,0)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506</v>
      </c>
      <c r="B460">
        <f>IF(COUNTIFS('United Data'!$A$3:$A$2150,B$1,'United Data'!$C$3:$C$2150,$A460)&gt;0,1,0)</f>
        <v>0</v>
      </c>
      <c r="C460">
        <f>IF(COUNTIFS('United Data'!$A$3:$A$2150,C$1,'United Data'!$C$3:$C$2150,$A460)&gt;0,1,0)</f>
        <v>0</v>
      </c>
      <c r="D460">
        <f>IF(COUNTIFS('United Data'!$A$3:$A$2150,D$1,'United Data'!$C$3:$C$2150,$A460)&gt;0,1,0)</f>
        <v>0</v>
      </c>
      <c r="E460">
        <f>IF(COUNTIFS('United Data'!$A$3:$A$2150,E$1,'United Data'!$C$3:$C$2150,$A460)&gt;0,1,0)</f>
        <v>1</v>
      </c>
      <c r="F460">
        <f>IF(COUNTIFS('United Data'!$A$3:$A$2150,F$1,'United Data'!$C$3:$C$2150,$A460)&gt;0,1,0)</f>
        <v>1</v>
      </c>
      <c r="G460">
        <f>IF(COUNTIFS('United Data'!$A$3:$A$2150,G$1,'United Data'!$C$3:$C$2150,$A460)&gt;0,1,0)</f>
        <v>0</v>
      </c>
      <c r="H460">
        <f>IF(COUNTIFS('United Data'!$A$3:$A$2150,H$1,'United Data'!$C$3:$C$2150,$A460)&gt;0,1,0)</f>
        <v>0</v>
      </c>
      <c r="I460">
        <f>IF(COUNTIFS('United Data'!$A$3:$A$2150,I$1,'United Data'!$C$3:$C$2150,$A460)&gt;0,1,0)</f>
        <v>0</v>
      </c>
      <c r="J460">
        <f>IF(COUNTIFS('United Data'!$A$3:$A$2150,J$1,'United Data'!$C$3:$C$2150,$A460)&gt;0,1,0)</f>
        <v>0</v>
      </c>
      <c r="K460">
        <f>IF(COUNTIFS('United Data'!$A$3:$A$2150,K$1,'United Data'!$C$3:$C$2150,$A460)&gt;0,1,0)</f>
        <v>0</v>
      </c>
      <c r="L460">
        <f>IF(COUNTIFS('United Data'!$A$3:$A$2150,L$1,'United Data'!$C$3:$C$2150,$A460)&gt;0,1,0)</f>
        <v>0</v>
      </c>
      <c r="M460">
        <f>IF(COUNTIFS('United Data'!$A$3:$A$2150,M$1,'United Data'!$C$3:$C$2150,$A460)&gt;0,1,0)</f>
        <v>0</v>
      </c>
      <c r="N460">
        <f>IF(COUNTIFS('United Data'!$A$3:$A$2150,N$1,'United Data'!$C$3:$C$2150,$A460)&gt;0,1,0)</f>
        <v>0</v>
      </c>
      <c r="O460">
        <f>IF(COUNTIFS('United Data'!$A$3:$A$2150,O$1,'United Data'!$C$3:$C$2150,$A460)&gt;0,1,0)</f>
        <v>0</v>
      </c>
      <c r="P460">
        <f>IF(COUNTIFS('United Data'!$A$3:$A$2150,P$1,'United Data'!$C$3:$C$2150,$A460)&gt;0,1,0)</f>
        <v>0</v>
      </c>
      <c r="Q460">
        <f>IF(COUNTIFS('United Data'!$A$3:$A$2150,Q$1,'United Data'!$C$3:$C$2150,$A460)&gt;0,1,0)</f>
        <v>0</v>
      </c>
      <c r="R460">
        <f>IF(COUNTIFS('United Data'!$A$3:$A$2150,R$1,'United Data'!$C$3:$C$2150,$A460)&gt;0,1,0)</f>
        <v>0</v>
      </c>
      <c r="S460">
        <f t="shared" si="14"/>
        <v>2</v>
      </c>
      <c r="T460">
        <f t="shared" si="15"/>
        <v>1</v>
      </c>
    </row>
    <row r="461" spans="1:20" x14ac:dyDescent="0.2">
      <c r="A461" t="s">
        <v>507</v>
      </c>
      <c r="B461">
        <f>IF(COUNTIFS('United Data'!$A$3:$A$2150,B$1,'United Data'!$C$3:$C$2150,$A461)&gt;0,1,0)</f>
        <v>0</v>
      </c>
      <c r="C461">
        <f>IF(COUNTIFS('United Data'!$A$3:$A$2150,C$1,'United Data'!$C$3:$C$2150,$A461)&gt;0,1,0)</f>
        <v>0</v>
      </c>
      <c r="D461">
        <f>IF(COUNTIFS('United Data'!$A$3:$A$2150,D$1,'United Data'!$C$3:$C$2150,$A461)&gt;0,1,0)</f>
        <v>0</v>
      </c>
      <c r="E461">
        <f>IF(COUNTIFS('United Data'!$A$3:$A$2150,E$1,'United Data'!$C$3:$C$2150,$A461)&gt;0,1,0)</f>
        <v>1</v>
      </c>
      <c r="F461">
        <f>IF(COUNTIFS('United Data'!$A$3:$A$2150,F$1,'United Data'!$C$3:$C$2150,$A461)&gt;0,1,0)</f>
        <v>1</v>
      </c>
      <c r="G461">
        <f>IF(COUNTIFS('United Data'!$A$3:$A$2150,G$1,'United Data'!$C$3:$C$2150,$A461)&gt;0,1,0)</f>
        <v>0</v>
      </c>
      <c r="H461">
        <f>IF(COUNTIFS('United Data'!$A$3:$A$2150,H$1,'United Data'!$C$3:$C$2150,$A461)&gt;0,1,0)</f>
        <v>0</v>
      </c>
      <c r="I461">
        <f>IF(COUNTIFS('United Data'!$A$3:$A$2150,I$1,'United Data'!$C$3:$C$2150,$A461)&gt;0,1,0)</f>
        <v>0</v>
      </c>
      <c r="J461">
        <f>IF(COUNTIFS('United Data'!$A$3:$A$2150,J$1,'United Data'!$C$3:$C$2150,$A461)&gt;0,1,0)</f>
        <v>0</v>
      </c>
      <c r="K461">
        <f>IF(COUNTIFS('United Data'!$A$3:$A$2150,K$1,'United Data'!$C$3:$C$2150,$A461)&gt;0,1,0)</f>
        <v>0</v>
      </c>
      <c r="L461">
        <f>IF(COUNTIFS('United Data'!$A$3:$A$2150,L$1,'United Data'!$C$3:$C$2150,$A461)&gt;0,1,0)</f>
        <v>0</v>
      </c>
      <c r="M461">
        <f>IF(COUNTIFS('United Data'!$A$3:$A$2150,M$1,'United Data'!$C$3:$C$2150,$A461)&gt;0,1,0)</f>
        <v>0</v>
      </c>
      <c r="N461">
        <f>IF(COUNTIFS('United Data'!$A$3:$A$2150,N$1,'United Data'!$C$3:$C$2150,$A461)&gt;0,1,0)</f>
        <v>0</v>
      </c>
      <c r="O461">
        <f>IF(COUNTIFS('United Data'!$A$3:$A$2150,O$1,'United Data'!$C$3:$C$2150,$A461)&gt;0,1,0)</f>
        <v>0</v>
      </c>
      <c r="P461">
        <f>IF(COUNTIFS('United Data'!$A$3:$A$2150,P$1,'United Data'!$C$3:$C$2150,$A461)&gt;0,1,0)</f>
        <v>0</v>
      </c>
      <c r="Q461">
        <f>IF(COUNTIFS('United Data'!$A$3:$A$2150,Q$1,'United Data'!$C$3:$C$2150,$A461)&gt;0,1,0)</f>
        <v>0</v>
      </c>
      <c r="R461">
        <f>IF(COUNTIFS('United Data'!$A$3:$A$2150,R$1,'United Data'!$C$3:$C$2150,$A461)&gt;0,1,0)</f>
        <v>0</v>
      </c>
      <c r="S461">
        <f t="shared" si="14"/>
        <v>2</v>
      </c>
      <c r="T461">
        <f t="shared" si="15"/>
        <v>1</v>
      </c>
    </row>
    <row r="462" spans="1:20" x14ac:dyDescent="0.2">
      <c r="A462" t="s">
        <v>508</v>
      </c>
      <c r="B462">
        <f>IF(COUNTIFS('United Data'!$A$3:$A$2150,B$1,'United Data'!$C$3:$C$2150,$A462)&gt;0,1,0)</f>
        <v>0</v>
      </c>
      <c r="C462">
        <f>IF(COUNTIFS('United Data'!$A$3:$A$2150,C$1,'United Data'!$C$3:$C$2150,$A462)&gt;0,1,0)</f>
        <v>0</v>
      </c>
      <c r="D462">
        <f>IF(COUNTIFS('United Data'!$A$3:$A$2150,D$1,'United Data'!$C$3:$C$2150,$A462)&gt;0,1,0)</f>
        <v>0</v>
      </c>
      <c r="E462">
        <f>IF(COUNTIFS('United Data'!$A$3:$A$2150,E$1,'United Data'!$C$3:$C$2150,$A462)&gt;0,1,0)</f>
        <v>1</v>
      </c>
      <c r="F462">
        <f>IF(COUNTIFS('United Data'!$A$3:$A$2150,F$1,'United Data'!$C$3:$C$2150,$A462)&gt;0,1,0)</f>
        <v>1</v>
      </c>
      <c r="G462">
        <f>IF(COUNTIFS('United Data'!$A$3:$A$2150,G$1,'United Data'!$C$3:$C$2150,$A462)&gt;0,1,0)</f>
        <v>1</v>
      </c>
      <c r="H462">
        <f>IF(COUNTIFS('United Data'!$A$3:$A$2150,H$1,'United Data'!$C$3:$C$2150,$A462)&gt;0,1,0)</f>
        <v>0</v>
      </c>
      <c r="I462">
        <f>IF(COUNTIFS('United Data'!$A$3:$A$2150,I$1,'United Data'!$C$3:$C$2150,$A462)&gt;0,1,0)</f>
        <v>0</v>
      </c>
      <c r="J462">
        <f>IF(COUNTIFS('United Data'!$A$3:$A$2150,J$1,'United Data'!$C$3:$C$2150,$A462)&gt;0,1,0)</f>
        <v>0</v>
      </c>
      <c r="K462">
        <f>IF(COUNTIFS('United Data'!$A$3:$A$2150,K$1,'United Data'!$C$3:$C$2150,$A462)&gt;0,1,0)</f>
        <v>0</v>
      </c>
      <c r="L462">
        <f>IF(COUNTIFS('United Data'!$A$3:$A$2150,L$1,'United Data'!$C$3:$C$2150,$A462)&gt;0,1,0)</f>
        <v>0</v>
      </c>
      <c r="M462">
        <f>IF(COUNTIFS('United Data'!$A$3:$A$2150,M$1,'United Data'!$C$3:$C$2150,$A462)&gt;0,1,0)</f>
        <v>0</v>
      </c>
      <c r="N462">
        <f>IF(COUNTIFS('United Data'!$A$3:$A$2150,N$1,'United Data'!$C$3:$C$2150,$A462)&gt;0,1,0)</f>
        <v>0</v>
      </c>
      <c r="O462">
        <f>IF(COUNTIFS('United Data'!$A$3:$A$2150,O$1,'United Data'!$C$3:$C$2150,$A462)&gt;0,1,0)</f>
        <v>0</v>
      </c>
      <c r="P462">
        <f>IF(COUNTIFS('United Data'!$A$3:$A$2150,P$1,'United Data'!$C$3:$C$2150,$A462)&gt;0,1,0)</f>
        <v>0</v>
      </c>
      <c r="Q462">
        <f>IF(COUNTIFS('United Data'!$A$3:$A$2150,Q$1,'United Data'!$C$3:$C$2150,$A462)&gt;0,1,0)</f>
        <v>0</v>
      </c>
      <c r="R462">
        <f>IF(COUNTIFS('United Data'!$A$3:$A$2150,R$1,'United Data'!$C$3:$C$2150,$A462)&gt;0,1,0)</f>
        <v>0</v>
      </c>
      <c r="S462">
        <f t="shared" si="14"/>
        <v>3</v>
      </c>
      <c r="T462">
        <f t="shared" si="15"/>
        <v>1</v>
      </c>
    </row>
    <row r="463" spans="1:20" x14ac:dyDescent="0.2">
      <c r="A463" t="s">
        <v>509</v>
      </c>
      <c r="B463">
        <f>IF(COUNTIFS('United Data'!$A$3:$A$2150,B$1,'United Data'!$C$3:$C$2150,$A463)&gt;0,1,0)</f>
        <v>0</v>
      </c>
      <c r="C463">
        <f>IF(COUNTIFS('United Data'!$A$3:$A$2150,C$1,'United Data'!$C$3:$C$2150,$A463)&gt;0,1,0)</f>
        <v>0</v>
      </c>
      <c r="D463">
        <f>IF(COUNTIFS('United Data'!$A$3:$A$2150,D$1,'United Data'!$C$3:$C$2150,$A463)&gt;0,1,0)</f>
        <v>0</v>
      </c>
      <c r="E463">
        <f>IF(COUNTIFS('United Data'!$A$3:$A$2150,E$1,'United Data'!$C$3:$C$2150,$A463)&gt;0,1,0)</f>
        <v>1</v>
      </c>
      <c r="F463">
        <f>IF(COUNTIFS('United Data'!$A$3:$A$2150,F$1,'United Data'!$C$3:$C$2150,$A463)&gt;0,1,0)</f>
        <v>0</v>
      </c>
      <c r="G463">
        <f>IF(COUNTIFS('United Data'!$A$3:$A$2150,G$1,'United Data'!$C$3:$C$2150,$A463)&gt;0,1,0)</f>
        <v>0</v>
      </c>
      <c r="H463">
        <f>IF(COUNTIFS('United Data'!$A$3:$A$2150,H$1,'United Data'!$C$3:$C$2150,$A463)&gt;0,1,0)</f>
        <v>0</v>
      </c>
      <c r="I463">
        <f>IF(COUNTIFS('United Data'!$A$3:$A$2150,I$1,'United Data'!$C$3:$C$2150,$A463)&gt;0,1,0)</f>
        <v>0</v>
      </c>
      <c r="J463">
        <f>IF(COUNTIFS('United Data'!$A$3:$A$2150,J$1,'United Data'!$C$3:$C$2150,$A463)&gt;0,1,0)</f>
        <v>0</v>
      </c>
      <c r="K463">
        <f>IF(COUNTIFS('United Data'!$A$3:$A$2150,K$1,'United Data'!$C$3:$C$2150,$A463)&gt;0,1,0)</f>
        <v>0</v>
      </c>
      <c r="L463">
        <f>IF(COUNTIFS('United Data'!$A$3:$A$2150,L$1,'United Data'!$C$3:$C$2150,$A463)&gt;0,1,0)</f>
        <v>0</v>
      </c>
      <c r="M463">
        <f>IF(COUNTIFS('United Data'!$A$3:$A$2150,M$1,'United Data'!$C$3:$C$2150,$A463)&gt;0,1,0)</f>
        <v>0</v>
      </c>
      <c r="N463">
        <f>IF(COUNTIFS('United Data'!$A$3:$A$2150,N$1,'United Data'!$C$3:$C$2150,$A463)&gt;0,1,0)</f>
        <v>0</v>
      </c>
      <c r="O463">
        <f>IF(COUNTIFS('United Data'!$A$3:$A$2150,O$1,'United Data'!$C$3:$C$2150,$A463)&gt;0,1,0)</f>
        <v>0</v>
      </c>
      <c r="P463">
        <f>IF(COUNTIFS('United Data'!$A$3:$A$2150,P$1,'United Data'!$C$3:$C$2150,$A463)&gt;0,1,0)</f>
        <v>0</v>
      </c>
      <c r="Q463">
        <f>IF(COUNTIFS('United Data'!$A$3:$A$2150,Q$1,'United Data'!$C$3:$C$2150,$A463)&gt;0,1,0)</f>
        <v>0</v>
      </c>
      <c r="R463">
        <f>IF(COUNTIFS('United Data'!$A$3:$A$2150,R$1,'United Data'!$C$3:$C$2150,$A463)&gt;0,1,0)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510</v>
      </c>
      <c r="B464">
        <f>IF(COUNTIFS('United Data'!$A$3:$A$2150,B$1,'United Data'!$C$3:$C$2150,$A464)&gt;0,1,0)</f>
        <v>0</v>
      </c>
      <c r="C464">
        <f>IF(COUNTIFS('United Data'!$A$3:$A$2150,C$1,'United Data'!$C$3:$C$2150,$A464)&gt;0,1,0)</f>
        <v>0</v>
      </c>
      <c r="D464">
        <f>IF(COUNTIFS('United Data'!$A$3:$A$2150,D$1,'United Data'!$C$3:$C$2150,$A464)&gt;0,1,0)</f>
        <v>0</v>
      </c>
      <c r="E464">
        <f>IF(COUNTIFS('United Data'!$A$3:$A$2150,E$1,'United Data'!$C$3:$C$2150,$A464)&gt;0,1,0)</f>
        <v>0</v>
      </c>
      <c r="F464">
        <f>IF(COUNTIFS('United Data'!$A$3:$A$2150,F$1,'United Data'!$C$3:$C$2150,$A464)&gt;0,1,0)</f>
        <v>1</v>
      </c>
      <c r="G464">
        <f>IF(COUNTIFS('United Data'!$A$3:$A$2150,G$1,'United Data'!$C$3:$C$2150,$A464)&gt;0,1,0)</f>
        <v>0</v>
      </c>
      <c r="H464">
        <f>IF(COUNTIFS('United Data'!$A$3:$A$2150,H$1,'United Data'!$C$3:$C$2150,$A464)&gt;0,1,0)</f>
        <v>0</v>
      </c>
      <c r="I464">
        <f>IF(COUNTIFS('United Data'!$A$3:$A$2150,I$1,'United Data'!$C$3:$C$2150,$A464)&gt;0,1,0)</f>
        <v>0</v>
      </c>
      <c r="J464">
        <f>IF(COUNTIFS('United Data'!$A$3:$A$2150,J$1,'United Data'!$C$3:$C$2150,$A464)&gt;0,1,0)</f>
        <v>0</v>
      </c>
      <c r="K464">
        <f>IF(COUNTIFS('United Data'!$A$3:$A$2150,K$1,'United Data'!$C$3:$C$2150,$A464)&gt;0,1,0)</f>
        <v>0</v>
      </c>
      <c r="L464">
        <f>IF(COUNTIFS('United Data'!$A$3:$A$2150,L$1,'United Data'!$C$3:$C$2150,$A464)&gt;0,1,0)</f>
        <v>0</v>
      </c>
      <c r="M464">
        <f>IF(COUNTIFS('United Data'!$A$3:$A$2150,M$1,'United Data'!$C$3:$C$2150,$A464)&gt;0,1,0)</f>
        <v>0</v>
      </c>
      <c r="N464">
        <f>IF(COUNTIFS('United Data'!$A$3:$A$2150,N$1,'United Data'!$C$3:$C$2150,$A464)&gt;0,1,0)</f>
        <v>0</v>
      </c>
      <c r="O464">
        <f>IF(COUNTIFS('United Data'!$A$3:$A$2150,O$1,'United Data'!$C$3:$C$2150,$A464)&gt;0,1,0)</f>
        <v>0</v>
      </c>
      <c r="P464">
        <f>IF(COUNTIFS('United Data'!$A$3:$A$2150,P$1,'United Data'!$C$3:$C$2150,$A464)&gt;0,1,0)</f>
        <v>0</v>
      </c>
      <c r="Q464">
        <f>IF(COUNTIFS('United Data'!$A$3:$A$2150,Q$1,'United Data'!$C$3:$C$2150,$A464)&gt;0,1,0)</f>
        <v>0</v>
      </c>
      <c r="R464">
        <f>IF(COUNTIFS('United Data'!$A$3:$A$2150,R$1,'United Data'!$C$3:$C$2150,$A464)&gt;0,1,0)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511</v>
      </c>
      <c r="B465">
        <f>IF(COUNTIFS('United Data'!$A$3:$A$2150,B$1,'United Data'!$C$3:$C$2150,$A465)&gt;0,1,0)</f>
        <v>0</v>
      </c>
      <c r="C465">
        <f>IF(COUNTIFS('United Data'!$A$3:$A$2150,C$1,'United Data'!$C$3:$C$2150,$A465)&gt;0,1,0)</f>
        <v>0</v>
      </c>
      <c r="D465">
        <f>IF(COUNTIFS('United Data'!$A$3:$A$2150,D$1,'United Data'!$C$3:$C$2150,$A465)&gt;0,1,0)</f>
        <v>0</v>
      </c>
      <c r="E465">
        <f>IF(COUNTIFS('United Data'!$A$3:$A$2150,E$1,'United Data'!$C$3:$C$2150,$A465)&gt;0,1,0)</f>
        <v>0</v>
      </c>
      <c r="F465">
        <f>IF(COUNTIFS('United Data'!$A$3:$A$2150,F$1,'United Data'!$C$3:$C$2150,$A465)&gt;0,1,0)</f>
        <v>1</v>
      </c>
      <c r="G465">
        <f>IF(COUNTIFS('United Data'!$A$3:$A$2150,G$1,'United Data'!$C$3:$C$2150,$A465)&gt;0,1,0)</f>
        <v>0</v>
      </c>
      <c r="H465">
        <f>IF(COUNTIFS('United Data'!$A$3:$A$2150,H$1,'United Data'!$C$3:$C$2150,$A465)&gt;0,1,0)</f>
        <v>0</v>
      </c>
      <c r="I465">
        <f>IF(COUNTIFS('United Data'!$A$3:$A$2150,I$1,'United Data'!$C$3:$C$2150,$A465)&gt;0,1,0)</f>
        <v>0</v>
      </c>
      <c r="J465">
        <f>IF(COUNTIFS('United Data'!$A$3:$A$2150,J$1,'United Data'!$C$3:$C$2150,$A465)&gt;0,1,0)</f>
        <v>0</v>
      </c>
      <c r="K465">
        <f>IF(COUNTIFS('United Data'!$A$3:$A$2150,K$1,'United Data'!$C$3:$C$2150,$A465)&gt;0,1,0)</f>
        <v>0</v>
      </c>
      <c r="L465">
        <f>IF(COUNTIFS('United Data'!$A$3:$A$2150,L$1,'United Data'!$C$3:$C$2150,$A465)&gt;0,1,0)</f>
        <v>0</v>
      </c>
      <c r="M465">
        <f>IF(COUNTIFS('United Data'!$A$3:$A$2150,M$1,'United Data'!$C$3:$C$2150,$A465)&gt;0,1,0)</f>
        <v>0</v>
      </c>
      <c r="N465">
        <f>IF(COUNTIFS('United Data'!$A$3:$A$2150,N$1,'United Data'!$C$3:$C$2150,$A465)&gt;0,1,0)</f>
        <v>0</v>
      </c>
      <c r="O465">
        <f>IF(COUNTIFS('United Data'!$A$3:$A$2150,O$1,'United Data'!$C$3:$C$2150,$A465)&gt;0,1,0)</f>
        <v>0</v>
      </c>
      <c r="P465">
        <f>IF(COUNTIFS('United Data'!$A$3:$A$2150,P$1,'United Data'!$C$3:$C$2150,$A465)&gt;0,1,0)</f>
        <v>0</v>
      </c>
      <c r="Q465">
        <f>IF(COUNTIFS('United Data'!$A$3:$A$2150,Q$1,'United Data'!$C$3:$C$2150,$A465)&gt;0,1,0)</f>
        <v>0</v>
      </c>
      <c r="R465">
        <f>IF(COUNTIFS('United Data'!$A$3:$A$2150,R$1,'United Data'!$C$3:$C$2150,$A465)&gt;0,1,0)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512</v>
      </c>
      <c r="B466">
        <f>IF(COUNTIFS('United Data'!$A$3:$A$2150,B$1,'United Data'!$C$3:$C$2150,$A466)&gt;0,1,0)</f>
        <v>0</v>
      </c>
      <c r="C466">
        <f>IF(COUNTIFS('United Data'!$A$3:$A$2150,C$1,'United Data'!$C$3:$C$2150,$A466)&gt;0,1,0)</f>
        <v>0</v>
      </c>
      <c r="D466">
        <f>IF(COUNTIFS('United Data'!$A$3:$A$2150,D$1,'United Data'!$C$3:$C$2150,$A466)&gt;0,1,0)</f>
        <v>0</v>
      </c>
      <c r="E466">
        <f>IF(COUNTIFS('United Data'!$A$3:$A$2150,E$1,'United Data'!$C$3:$C$2150,$A466)&gt;0,1,0)</f>
        <v>0</v>
      </c>
      <c r="F466">
        <f>IF(COUNTIFS('United Data'!$A$3:$A$2150,F$1,'United Data'!$C$3:$C$2150,$A466)&gt;0,1,0)</f>
        <v>1</v>
      </c>
      <c r="G466">
        <f>IF(COUNTIFS('United Data'!$A$3:$A$2150,G$1,'United Data'!$C$3:$C$2150,$A466)&gt;0,1,0)</f>
        <v>0</v>
      </c>
      <c r="H466">
        <f>IF(COUNTIFS('United Data'!$A$3:$A$2150,H$1,'United Data'!$C$3:$C$2150,$A466)&gt;0,1,0)</f>
        <v>0</v>
      </c>
      <c r="I466">
        <f>IF(COUNTIFS('United Data'!$A$3:$A$2150,I$1,'United Data'!$C$3:$C$2150,$A466)&gt;0,1,0)</f>
        <v>0</v>
      </c>
      <c r="J466">
        <f>IF(COUNTIFS('United Data'!$A$3:$A$2150,J$1,'United Data'!$C$3:$C$2150,$A466)&gt;0,1,0)</f>
        <v>0</v>
      </c>
      <c r="K466">
        <f>IF(COUNTIFS('United Data'!$A$3:$A$2150,K$1,'United Data'!$C$3:$C$2150,$A466)&gt;0,1,0)</f>
        <v>0</v>
      </c>
      <c r="L466">
        <f>IF(COUNTIFS('United Data'!$A$3:$A$2150,L$1,'United Data'!$C$3:$C$2150,$A466)&gt;0,1,0)</f>
        <v>0</v>
      </c>
      <c r="M466">
        <f>IF(COUNTIFS('United Data'!$A$3:$A$2150,M$1,'United Data'!$C$3:$C$2150,$A466)&gt;0,1,0)</f>
        <v>0</v>
      </c>
      <c r="N466">
        <f>IF(COUNTIFS('United Data'!$A$3:$A$2150,N$1,'United Data'!$C$3:$C$2150,$A466)&gt;0,1,0)</f>
        <v>0</v>
      </c>
      <c r="O466">
        <f>IF(COUNTIFS('United Data'!$A$3:$A$2150,O$1,'United Data'!$C$3:$C$2150,$A466)&gt;0,1,0)</f>
        <v>0</v>
      </c>
      <c r="P466">
        <f>IF(COUNTIFS('United Data'!$A$3:$A$2150,P$1,'United Data'!$C$3:$C$2150,$A466)&gt;0,1,0)</f>
        <v>0</v>
      </c>
      <c r="Q466">
        <f>IF(COUNTIFS('United Data'!$A$3:$A$2150,Q$1,'United Data'!$C$3:$C$2150,$A466)&gt;0,1,0)</f>
        <v>0</v>
      </c>
      <c r="R466">
        <f>IF(COUNTIFS('United Data'!$A$3:$A$2150,R$1,'United Data'!$C$3:$C$2150,$A466)&gt;0,1,0)</f>
        <v>0</v>
      </c>
      <c r="S466">
        <f t="shared" si="14"/>
        <v>1</v>
      </c>
      <c r="T466">
        <f t="shared" si="15"/>
        <v>1</v>
      </c>
    </row>
    <row r="467" spans="1:20" x14ac:dyDescent="0.2">
      <c r="A467" t="s">
        <v>513</v>
      </c>
      <c r="B467">
        <f>IF(COUNTIFS('United Data'!$A$3:$A$2150,B$1,'United Data'!$C$3:$C$2150,$A467)&gt;0,1,0)</f>
        <v>0</v>
      </c>
      <c r="C467">
        <f>IF(COUNTIFS('United Data'!$A$3:$A$2150,C$1,'United Data'!$C$3:$C$2150,$A467)&gt;0,1,0)</f>
        <v>0</v>
      </c>
      <c r="D467">
        <f>IF(COUNTIFS('United Data'!$A$3:$A$2150,D$1,'United Data'!$C$3:$C$2150,$A467)&gt;0,1,0)</f>
        <v>0</v>
      </c>
      <c r="E467">
        <f>IF(COUNTIFS('United Data'!$A$3:$A$2150,E$1,'United Data'!$C$3:$C$2150,$A467)&gt;0,1,0)</f>
        <v>0</v>
      </c>
      <c r="F467">
        <f>IF(COUNTIFS('United Data'!$A$3:$A$2150,F$1,'United Data'!$C$3:$C$2150,$A467)&gt;0,1,0)</f>
        <v>1</v>
      </c>
      <c r="G467">
        <f>IF(COUNTIFS('United Data'!$A$3:$A$2150,G$1,'United Data'!$C$3:$C$2150,$A467)&gt;0,1,0)</f>
        <v>0</v>
      </c>
      <c r="H467">
        <f>IF(COUNTIFS('United Data'!$A$3:$A$2150,H$1,'United Data'!$C$3:$C$2150,$A467)&gt;0,1,0)</f>
        <v>0</v>
      </c>
      <c r="I467">
        <f>IF(COUNTIFS('United Data'!$A$3:$A$2150,I$1,'United Data'!$C$3:$C$2150,$A467)&gt;0,1,0)</f>
        <v>0</v>
      </c>
      <c r="J467">
        <f>IF(COUNTIFS('United Data'!$A$3:$A$2150,J$1,'United Data'!$C$3:$C$2150,$A467)&gt;0,1,0)</f>
        <v>0</v>
      </c>
      <c r="K467">
        <f>IF(COUNTIFS('United Data'!$A$3:$A$2150,K$1,'United Data'!$C$3:$C$2150,$A467)&gt;0,1,0)</f>
        <v>0</v>
      </c>
      <c r="L467">
        <f>IF(COUNTIFS('United Data'!$A$3:$A$2150,L$1,'United Data'!$C$3:$C$2150,$A467)&gt;0,1,0)</f>
        <v>0</v>
      </c>
      <c r="M467">
        <f>IF(COUNTIFS('United Data'!$A$3:$A$2150,M$1,'United Data'!$C$3:$C$2150,$A467)&gt;0,1,0)</f>
        <v>0</v>
      </c>
      <c r="N467">
        <f>IF(COUNTIFS('United Data'!$A$3:$A$2150,N$1,'United Data'!$C$3:$C$2150,$A467)&gt;0,1,0)</f>
        <v>0</v>
      </c>
      <c r="O467">
        <f>IF(COUNTIFS('United Data'!$A$3:$A$2150,O$1,'United Data'!$C$3:$C$2150,$A467)&gt;0,1,0)</f>
        <v>0</v>
      </c>
      <c r="P467">
        <f>IF(COUNTIFS('United Data'!$A$3:$A$2150,P$1,'United Data'!$C$3:$C$2150,$A467)&gt;0,1,0)</f>
        <v>0</v>
      </c>
      <c r="Q467">
        <f>IF(COUNTIFS('United Data'!$A$3:$A$2150,Q$1,'United Data'!$C$3:$C$2150,$A467)&gt;0,1,0)</f>
        <v>0</v>
      </c>
      <c r="R467">
        <f>IF(COUNTIFS('United Data'!$A$3:$A$2150,R$1,'United Data'!$C$3:$C$2150,$A467)&gt;0,1,0)</f>
        <v>0</v>
      </c>
      <c r="S467">
        <f t="shared" si="14"/>
        <v>1</v>
      </c>
      <c r="T467">
        <f t="shared" si="15"/>
        <v>1</v>
      </c>
    </row>
    <row r="468" spans="1:20" x14ac:dyDescent="0.2">
      <c r="A468" t="s">
        <v>514</v>
      </c>
      <c r="B468">
        <f>IF(COUNTIFS('United Data'!$A$3:$A$2150,B$1,'United Data'!$C$3:$C$2150,$A468)&gt;0,1,0)</f>
        <v>0</v>
      </c>
      <c r="C468">
        <f>IF(COUNTIFS('United Data'!$A$3:$A$2150,C$1,'United Data'!$C$3:$C$2150,$A468)&gt;0,1,0)</f>
        <v>0</v>
      </c>
      <c r="D468">
        <f>IF(COUNTIFS('United Data'!$A$3:$A$2150,D$1,'United Data'!$C$3:$C$2150,$A468)&gt;0,1,0)</f>
        <v>0</v>
      </c>
      <c r="E468">
        <f>IF(COUNTIFS('United Data'!$A$3:$A$2150,E$1,'United Data'!$C$3:$C$2150,$A468)&gt;0,1,0)</f>
        <v>0</v>
      </c>
      <c r="F468">
        <f>IF(COUNTIFS('United Data'!$A$3:$A$2150,F$1,'United Data'!$C$3:$C$2150,$A468)&gt;0,1,0)</f>
        <v>1</v>
      </c>
      <c r="G468">
        <f>IF(COUNTIFS('United Data'!$A$3:$A$2150,G$1,'United Data'!$C$3:$C$2150,$A468)&gt;0,1,0)</f>
        <v>0</v>
      </c>
      <c r="H468">
        <f>IF(COUNTIFS('United Data'!$A$3:$A$2150,H$1,'United Data'!$C$3:$C$2150,$A468)&gt;0,1,0)</f>
        <v>0</v>
      </c>
      <c r="I468">
        <f>IF(COUNTIFS('United Data'!$A$3:$A$2150,I$1,'United Data'!$C$3:$C$2150,$A468)&gt;0,1,0)</f>
        <v>0</v>
      </c>
      <c r="J468">
        <f>IF(COUNTIFS('United Data'!$A$3:$A$2150,J$1,'United Data'!$C$3:$C$2150,$A468)&gt;0,1,0)</f>
        <v>0</v>
      </c>
      <c r="K468">
        <f>IF(COUNTIFS('United Data'!$A$3:$A$2150,K$1,'United Data'!$C$3:$C$2150,$A468)&gt;0,1,0)</f>
        <v>0</v>
      </c>
      <c r="L468">
        <f>IF(COUNTIFS('United Data'!$A$3:$A$2150,L$1,'United Data'!$C$3:$C$2150,$A468)&gt;0,1,0)</f>
        <v>0</v>
      </c>
      <c r="M468">
        <f>IF(COUNTIFS('United Data'!$A$3:$A$2150,M$1,'United Data'!$C$3:$C$2150,$A468)&gt;0,1,0)</f>
        <v>0</v>
      </c>
      <c r="N468">
        <f>IF(COUNTIFS('United Data'!$A$3:$A$2150,N$1,'United Data'!$C$3:$C$2150,$A468)&gt;0,1,0)</f>
        <v>0</v>
      </c>
      <c r="O468">
        <f>IF(COUNTIFS('United Data'!$A$3:$A$2150,O$1,'United Data'!$C$3:$C$2150,$A468)&gt;0,1,0)</f>
        <v>0</v>
      </c>
      <c r="P468">
        <f>IF(COUNTIFS('United Data'!$A$3:$A$2150,P$1,'United Data'!$C$3:$C$2150,$A468)&gt;0,1,0)</f>
        <v>0</v>
      </c>
      <c r="Q468">
        <f>IF(COUNTIFS('United Data'!$A$3:$A$2150,Q$1,'United Data'!$C$3:$C$2150,$A468)&gt;0,1,0)</f>
        <v>0</v>
      </c>
      <c r="R468">
        <f>IF(COUNTIFS('United Data'!$A$3:$A$2150,R$1,'United Data'!$C$3:$C$2150,$A468)&gt;0,1,0)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515</v>
      </c>
      <c r="B469">
        <f>IF(COUNTIFS('United Data'!$A$3:$A$2150,B$1,'United Data'!$C$3:$C$2150,$A469)&gt;0,1,0)</f>
        <v>0</v>
      </c>
      <c r="C469">
        <f>IF(COUNTIFS('United Data'!$A$3:$A$2150,C$1,'United Data'!$C$3:$C$2150,$A469)&gt;0,1,0)</f>
        <v>0</v>
      </c>
      <c r="D469">
        <f>IF(COUNTIFS('United Data'!$A$3:$A$2150,D$1,'United Data'!$C$3:$C$2150,$A469)&gt;0,1,0)</f>
        <v>0</v>
      </c>
      <c r="E469">
        <f>IF(COUNTIFS('United Data'!$A$3:$A$2150,E$1,'United Data'!$C$3:$C$2150,$A469)&gt;0,1,0)</f>
        <v>0</v>
      </c>
      <c r="F469">
        <f>IF(COUNTIFS('United Data'!$A$3:$A$2150,F$1,'United Data'!$C$3:$C$2150,$A469)&gt;0,1,0)</f>
        <v>1</v>
      </c>
      <c r="G469">
        <f>IF(COUNTIFS('United Data'!$A$3:$A$2150,G$1,'United Data'!$C$3:$C$2150,$A469)&gt;0,1,0)</f>
        <v>0</v>
      </c>
      <c r="H469">
        <f>IF(COUNTIFS('United Data'!$A$3:$A$2150,H$1,'United Data'!$C$3:$C$2150,$A469)&gt;0,1,0)</f>
        <v>0</v>
      </c>
      <c r="I469">
        <f>IF(COUNTIFS('United Data'!$A$3:$A$2150,I$1,'United Data'!$C$3:$C$2150,$A469)&gt;0,1,0)</f>
        <v>0</v>
      </c>
      <c r="J469">
        <f>IF(COUNTIFS('United Data'!$A$3:$A$2150,J$1,'United Data'!$C$3:$C$2150,$A469)&gt;0,1,0)</f>
        <v>0</v>
      </c>
      <c r="K469">
        <f>IF(COUNTIFS('United Data'!$A$3:$A$2150,K$1,'United Data'!$C$3:$C$2150,$A469)&gt;0,1,0)</f>
        <v>0</v>
      </c>
      <c r="L469">
        <f>IF(COUNTIFS('United Data'!$A$3:$A$2150,L$1,'United Data'!$C$3:$C$2150,$A469)&gt;0,1,0)</f>
        <v>0</v>
      </c>
      <c r="M469">
        <f>IF(COUNTIFS('United Data'!$A$3:$A$2150,M$1,'United Data'!$C$3:$C$2150,$A469)&gt;0,1,0)</f>
        <v>0</v>
      </c>
      <c r="N469">
        <f>IF(COUNTIFS('United Data'!$A$3:$A$2150,N$1,'United Data'!$C$3:$C$2150,$A469)&gt;0,1,0)</f>
        <v>0</v>
      </c>
      <c r="O469">
        <f>IF(COUNTIFS('United Data'!$A$3:$A$2150,O$1,'United Data'!$C$3:$C$2150,$A469)&gt;0,1,0)</f>
        <v>0</v>
      </c>
      <c r="P469">
        <f>IF(COUNTIFS('United Data'!$A$3:$A$2150,P$1,'United Data'!$C$3:$C$2150,$A469)&gt;0,1,0)</f>
        <v>0</v>
      </c>
      <c r="Q469">
        <f>IF(COUNTIFS('United Data'!$A$3:$A$2150,Q$1,'United Data'!$C$3:$C$2150,$A469)&gt;0,1,0)</f>
        <v>0</v>
      </c>
      <c r="R469">
        <f>IF(COUNTIFS('United Data'!$A$3:$A$2150,R$1,'United Data'!$C$3:$C$2150,$A469)&gt;0,1,0)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516</v>
      </c>
      <c r="B470">
        <f>IF(COUNTIFS('United Data'!$A$3:$A$2150,B$1,'United Data'!$C$3:$C$2150,$A470)&gt;0,1,0)</f>
        <v>0</v>
      </c>
      <c r="C470">
        <f>IF(COUNTIFS('United Data'!$A$3:$A$2150,C$1,'United Data'!$C$3:$C$2150,$A470)&gt;0,1,0)</f>
        <v>0</v>
      </c>
      <c r="D470">
        <f>IF(COUNTIFS('United Data'!$A$3:$A$2150,D$1,'United Data'!$C$3:$C$2150,$A470)&gt;0,1,0)</f>
        <v>0</v>
      </c>
      <c r="E470">
        <f>IF(COUNTIFS('United Data'!$A$3:$A$2150,E$1,'United Data'!$C$3:$C$2150,$A470)&gt;0,1,0)</f>
        <v>0</v>
      </c>
      <c r="F470">
        <f>IF(COUNTIFS('United Data'!$A$3:$A$2150,F$1,'United Data'!$C$3:$C$2150,$A470)&gt;0,1,0)</f>
        <v>1</v>
      </c>
      <c r="G470">
        <f>IF(COUNTIFS('United Data'!$A$3:$A$2150,G$1,'United Data'!$C$3:$C$2150,$A470)&gt;0,1,0)</f>
        <v>0</v>
      </c>
      <c r="H470">
        <f>IF(COUNTIFS('United Data'!$A$3:$A$2150,H$1,'United Data'!$C$3:$C$2150,$A470)&gt;0,1,0)</f>
        <v>0</v>
      </c>
      <c r="I470">
        <f>IF(COUNTIFS('United Data'!$A$3:$A$2150,I$1,'United Data'!$C$3:$C$2150,$A470)&gt;0,1,0)</f>
        <v>0</v>
      </c>
      <c r="J470">
        <f>IF(COUNTIFS('United Data'!$A$3:$A$2150,J$1,'United Data'!$C$3:$C$2150,$A470)&gt;0,1,0)</f>
        <v>0</v>
      </c>
      <c r="K470">
        <f>IF(COUNTIFS('United Data'!$A$3:$A$2150,K$1,'United Data'!$C$3:$C$2150,$A470)&gt;0,1,0)</f>
        <v>0</v>
      </c>
      <c r="L470">
        <f>IF(COUNTIFS('United Data'!$A$3:$A$2150,L$1,'United Data'!$C$3:$C$2150,$A470)&gt;0,1,0)</f>
        <v>0</v>
      </c>
      <c r="M470">
        <f>IF(COUNTIFS('United Data'!$A$3:$A$2150,M$1,'United Data'!$C$3:$C$2150,$A470)&gt;0,1,0)</f>
        <v>0</v>
      </c>
      <c r="N470">
        <f>IF(COUNTIFS('United Data'!$A$3:$A$2150,N$1,'United Data'!$C$3:$C$2150,$A470)&gt;0,1,0)</f>
        <v>0</v>
      </c>
      <c r="O470">
        <f>IF(COUNTIFS('United Data'!$A$3:$A$2150,O$1,'United Data'!$C$3:$C$2150,$A470)&gt;0,1,0)</f>
        <v>0</v>
      </c>
      <c r="P470">
        <f>IF(COUNTIFS('United Data'!$A$3:$A$2150,P$1,'United Data'!$C$3:$C$2150,$A470)&gt;0,1,0)</f>
        <v>0</v>
      </c>
      <c r="Q470">
        <f>IF(COUNTIFS('United Data'!$A$3:$A$2150,Q$1,'United Data'!$C$3:$C$2150,$A470)&gt;0,1,0)</f>
        <v>0</v>
      </c>
      <c r="R470">
        <f>IF(COUNTIFS('United Data'!$A$3:$A$2150,R$1,'United Data'!$C$3:$C$2150,$A470)&gt;0,1,0)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517</v>
      </c>
      <c r="B471">
        <f>IF(COUNTIFS('United Data'!$A$3:$A$2150,B$1,'United Data'!$C$3:$C$2150,$A471)&gt;0,1,0)</f>
        <v>0</v>
      </c>
      <c r="C471">
        <f>IF(COUNTIFS('United Data'!$A$3:$A$2150,C$1,'United Data'!$C$3:$C$2150,$A471)&gt;0,1,0)</f>
        <v>0</v>
      </c>
      <c r="D471">
        <f>IF(COUNTIFS('United Data'!$A$3:$A$2150,D$1,'United Data'!$C$3:$C$2150,$A471)&gt;0,1,0)</f>
        <v>0</v>
      </c>
      <c r="E471">
        <f>IF(COUNTIFS('United Data'!$A$3:$A$2150,E$1,'United Data'!$C$3:$C$2150,$A471)&gt;0,1,0)</f>
        <v>0</v>
      </c>
      <c r="F471">
        <f>IF(COUNTIFS('United Data'!$A$3:$A$2150,F$1,'United Data'!$C$3:$C$2150,$A471)&gt;0,1,0)</f>
        <v>1</v>
      </c>
      <c r="G471">
        <f>IF(COUNTIFS('United Data'!$A$3:$A$2150,G$1,'United Data'!$C$3:$C$2150,$A471)&gt;0,1,0)</f>
        <v>0</v>
      </c>
      <c r="H471">
        <f>IF(COUNTIFS('United Data'!$A$3:$A$2150,H$1,'United Data'!$C$3:$C$2150,$A471)&gt;0,1,0)</f>
        <v>0</v>
      </c>
      <c r="I471">
        <f>IF(COUNTIFS('United Data'!$A$3:$A$2150,I$1,'United Data'!$C$3:$C$2150,$A471)&gt;0,1,0)</f>
        <v>0</v>
      </c>
      <c r="J471">
        <f>IF(COUNTIFS('United Data'!$A$3:$A$2150,J$1,'United Data'!$C$3:$C$2150,$A471)&gt;0,1,0)</f>
        <v>0</v>
      </c>
      <c r="K471">
        <f>IF(COUNTIFS('United Data'!$A$3:$A$2150,K$1,'United Data'!$C$3:$C$2150,$A471)&gt;0,1,0)</f>
        <v>0</v>
      </c>
      <c r="L471">
        <f>IF(COUNTIFS('United Data'!$A$3:$A$2150,L$1,'United Data'!$C$3:$C$2150,$A471)&gt;0,1,0)</f>
        <v>0</v>
      </c>
      <c r="M471">
        <f>IF(COUNTIFS('United Data'!$A$3:$A$2150,M$1,'United Data'!$C$3:$C$2150,$A471)&gt;0,1,0)</f>
        <v>0</v>
      </c>
      <c r="N471">
        <f>IF(COUNTIFS('United Data'!$A$3:$A$2150,N$1,'United Data'!$C$3:$C$2150,$A471)&gt;0,1,0)</f>
        <v>0</v>
      </c>
      <c r="O471">
        <f>IF(COUNTIFS('United Data'!$A$3:$A$2150,O$1,'United Data'!$C$3:$C$2150,$A471)&gt;0,1,0)</f>
        <v>0</v>
      </c>
      <c r="P471">
        <f>IF(COUNTIFS('United Data'!$A$3:$A$2150,P$1,'United Data'!$C$3:$C$2150,$A471)&gt;0,1,0)</f>
        <v>0</v>
      </c>
      <c r="Q471">
        <f>IF(COUNTIFS('United Data'!$A$3:$A$2150,Q$1,'United Data'!$C$3:$C$2150,$A471)&gt;0,1,0)</f>
        <v>0</v>
      </c>
      <c r="R471">
        <f>IF(COUNTIFS('United Data'!$A$3:$A$2150,R$1,'United Data'!$C$3:$C$2150,$A471)&gt;0,1,0)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518</v>
      </c>
      <c r="B472">
        <f>IF(COUNTIFS('United Data'!$A$3:$A$2150,B$1,'United Data'!$C$3:$C$2150,$A472)&gt;0,1,0)</f>
        <v>0</v>
      </c>
      <c r="C472">
        <f>IF(COUNTIFS('United Data'!$A$3:$A$2150,C$1,'United Data'!$C$3:$C$2150,$A472)&gt;0,1,0)</f>
        <v>0</v>
      </c>
      <c r="D472">
        <f>IF(COUNTIFS('United Data'!$A$3:$A$2150,D$1,'United Data'!$C$3:$C$2150,$A472)&gt;0,1,0)</f>
        <v>0</v>
      </c>
      <c r="E472">
        <f>IF(COUNTIFS('United Data'!$A$3:$A$2150,E$1,'United Data'!$C$3:$C$2150,$A472)&gt;0,1,0)</f>
        <v>0</v>
      </c>
      <c r="F472">
        <f>IF(COUNTIFS('United Data'!$A$3:$A$2150,F$1,'United Data'!$C$3:$C$2150,$A472)&gt;0,1,0)</f>
        <v>1</v>
      </c>
      <c r="G472">
        <f>IF(COUNTIFS('United Data'!$A$3:$A$2150,G$1,'United Data'!$C$3:$C$2150,$A472)&gt;0,1,0)</f>
        <v>0</v>
      </c>
      <c r="H472">
        <f>IF(COUNTIFS('United Data'!$A$3:$A$2150,H$1,'United Data'!$C$3:$C$2150,$A472)&gt;0,1,0)</f>
        <v>0</v>
      </c>
      <c r="I472">
        <f>IF(COUNTIFS('United Data'!$A$3:$A$2150,I$1,'United Data'!$C$3:$C$2150,$A472)&gt;0,1,0)</f>
        <v>0</v>
      </c>
      <c r="J472">
        <f>IF(COUNTIFS('United Data'!$A$3:$A$2150,J$1,'United Data'!$C$3:$C$2150,$A472)&gt;0,1,0)</f>
        <v>0</v>
      </c>
      <c r="K472">
        <f>IF(COUNTIFS('United Data'!$A$3:$A$2150,K$1,'United Data'!$C$3:$C$2150,$A472)&gt;0,1,0)</f>
        <v>0</v>
      </c>
      <c r="L472">
        <f>IF(COUNTIFS('United Data'!$A$3:$A$2150,L$1,'United Data'!$C$3:$C$2150,$A472)&gt;0,1,0)</f>
        <v>0</v>
      </c>
      <c r="M472">
        <f>IF(COUNTIFS('United Data'!$A$3:$A$2150,M$1,'United Data'!$C$3:$C$2150,$A472)&gt;0,1,0)</f>
        <v>0</v>
      </c>
      <c r="N472">
        <f>IF(COUNTIFS('United Data'!$A$3:$A$2150,N$1,'United Data'!$C$3:$C$2150,$A472)&gt;0,1,0)</f>
        <v>0</v>
      </c>
      <c r="O472">
        <f>IF(COUNTIFS('United Data'!$A$3:$A$2150,O$1,'United Data'!$C$3:$C$2150,$A472)&gt;0,1,0)</f>
        <v>0</v>
      </c>
      <c r="P472">
        <f>IF(COUNTIFS('United Data'!$A$3:$A$2150,P$1,'United Data'!$C$3:$C$2150,$A472)&gt;0,1,0)</f>
        <v>0</v>
      </c>
      <c r="Q472">
        <f>IF(COUNTIFS('United Data'!$A$3:$A$2150,Q$1,'United Data'!$C$3:$C$2150,$A472)&gt;0,1,0)</f>
        <v>0</v>
      </c>
      <c r="R472">
        <f>IF(COUNTIFS('United Data'!$A$3:$A$2150,R$1,'United Data'!$C$3:$C$2150,$A472)&gt;0,1,0)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519</v>
      </c>
      <c r="B473">
        <f>IF(COUNTIFS('United Data'!$A$3:$A$2150,B$1,'United Data'!$C$3:$C$2150,$A473)&gt;0,1,0)</f>
        <v>0</v>
      </c>
      <c r="C473">
        <f>IF(COUNTIFS('United Data'!$A$3:$A$2150,C$1,'United Data'!$C$3:$C$2150,$A473)&gt;0,1,0)</f>
        <v>0</v>
      </c>
      <c r="D473">
        <f>IF(COUNTIFS('United Data'!$A$3:$A$2150,D$1,'United Data'!$C$3:$C$2150,$A473)&gt;0,1,0)</f>
        <v>0</v>
      </c>
      <c r="E473">
        <f>IF(COUNTIFS('United Data'!$A$3:$A$2150,E$1,'United Data'!$C$3:$C$2150,$A473)&gt;0,1,0)</f>
        <v>0</v>
      </c>
      <c r="F473">
        <f>IF(COUNTIFS('United Data'!$A$3:$A$2150,F$1,'United Data'!$C$3:$C$2150,$A473)&gt;0,1,0)</f>
        <v>1</v>
      </c>
      <c r="G473">
        <f>IF(COUNTIFS('United Data'!$A$3:$A$2150,G$1,'United Data'!$C$3:$C$2150,$A473)&gt;0,1,0)</f>
        <v>0</v>
      </c>
      <c r="H473">
        <f>IF(COUNTIFS('United Data'!$A$3:$A$2150,H$1,'United Data'!$C$3:$C$2150,$A473)&gt;0,1,0)</f>
        <v>0</v>
      </c>
      <c r="I473">
        <f>IF(COUNTIFS('United Data'!$A$3:$A$2150,I$1,'United Data'!$C$3:$C$2150,$A473)&gt;0,1,0)</f>
        <v>0</v>
      </c>
      <c r="J473">
        <f>IF(COUNTIFS('United Data'!$A$3:$A$2150,J$1,'United Data'!$C$3:$C$2150,$A473)&gt;0,1,0)</f>
        <v>0</v>
      </c>
      <c r="K473">
        <f>IF(COUNTIFS('United Data'!$A$3:$A$2150,K$1,'United Data'!$C$3:$C$2150,$A473)&gt;0,1,0)</f>
        <v>0</v>
      </c>
      <c r="L473">
        <f>IF(COUNTIFS('United Data'!$A$3:$A$2150,L$1,'United Data'!$C$3:$C$2150,$A473)&gt;0,1,0)</f>
        <v>0</v>
      </c>
      <c r="M473">
        <f>IF(COUNTIFS('United Data'!$A$3:$A$2150,M$1,'United Data'!$C$3:$C$2150,$A473)&gt;0,1,0)</f>
        <v>0</v>
      </c>
      <c r="N473">
        <f>IF(COUNTIFS('United Data'!$A$3:$A$2150,N$1,'United Data'!$C$3:$C$2150,$A473)&gt;0,1,0)</f>
        <v>0</v>
      </c>
      <c r="O473">
        <f>IF(COUNTIFS('United Data'!$A$3:$A$2150,O$1,'United Data'!$C$3:$C$2150,$A473)&gt;0,1,0)</f>
        <v>0</v>
      </c>
      <c r="P473">
        <f>IF(COUNTIFS('United Data'!$A$3:$A$2150,P$1,'United Data'!$C$3:$C$2150,$A473)&gt;0,1,0)</f>
        <v>0</v>
      </c>
      <c r="Q473">
        <f>IF(COUNTIFS('United Data'!$A$3:$A$2150,Q$1,'United Data'!$C$3:$C$2150,$A473)&gt;0,1,0)</f>
        <v>0</v>
      </c>
      <c r="R473">
        <f>IF(COUNTIFS('United Data'!$A$3:$A$2150,R$1,'United Data'!$C$3:$C$2150,$A473)&gt;0,1,0)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520</v>
      </c>
      <c r="B474">
        <f>IF(COUNTIFS('United Data'!$A$3:$A$2150,B$1,'United Data'!$C$3:$C$2150,$A474)&gt;0,1,0)</f>
        <v>0</v>
      </c>
      <c r="C474">
        <f>IF(COUNTIFS('United Data'!$A$3:$A$2150,C$1,'United Data'!$C$3:$C$2150,$A474)&gt;0,1,0)</f>
        <v>0</v>
      </c>
      <c r="D474">
        <f>IF(COUNTIFS('United Data'!$A$3:$A$2150,D$1,'United Data'!$C$3:$C$2150,$A474)&gt;0,1,0)</f>
        <v>0</v>
      </c>
      <c r="E474">
        <f>IF(COUNTIFS('United Data'!$A$3:$A$2150,E$1,'United Data'!$C$3:$C$2150,$A474)&gt;0,1,0)</f>
        <v>0</v>
      </c>
      <c r="F474">
        <f>IF(COUNTIFS('United Data'!$A$3:$A$2150,F$1,'United Data'!$C$3:$C$2150,$A474)&gt;0,1,0)</f>
        <v>1</v>
      </c>
      <c r="G474">
        <f>IF(COUNTIFS('United Data'!$A$3:$A$2150,G$1,'United Data'!$C$3:$C$2150,$A474)&gt;0,1,0)</f>
        <v>0</v>
      </c>
      <c r="H474">
        <f>IF(COUNTIFS('United Data'!$A$3:$A$2150,H$1,'United Data'!$C$3:$C$2150,$A474)&gt;0,1,0)</f>
        <v>0</v>
      </c>
      <c r="I474">
        <f>IF(COUNTIFS('United Data'!$A$3:$A$2150,I$1,'United Data'!$C$3:$C$2150,$A474)&gt;0,1,0)</f>
        <v>0</v>
      </c>
      <c r="J474">
        <f>IF(COUNTIFS('United Data'!$A$3:$A$2150,J$1,'United Data'!$C$3:$C$2150,$A474)&gt;0,1,0)</f>
        <v>0</v>
      </c>
      <c r="K474">
        <f>IF(COUNTIFS('United Data'!$A$3:$A$2150,K$1,'United Data'!$C$3:$C$2150,$A474)&gt;0,1,0)</f>
        <v>0</v>
      </c>
      <c r="L474">
        <f>IF(COUNTIFS('United Data'!$A$3:$A$2150,L$1,'United Data'!$C$3:$C$2150,$A474)&gt;0,1,0)</f>
        <v>0</v>
      </c>
      <c r="M474">
        <f>IF(COUNTIFS('United Data'!$A$3:$A$2150,M$1,'United Data'!$C$3:$C$2150,$A474)&gt;0,1,0)</f>
        <v>0</v>
      </c>
      <c r="N474">
        <f>IF(COUNTIFS('United Data'!$A$3:$A$2150,N$1,'United Data'!$C$3:$C$2150,$A474)&gt;0,1,0)</f>
        <v>0</v>
      </c>
      <c r="O474">
        <f>IF(COUNTIFS('United Data'!$A$3:$A$2150,O$1,'United Data'!$C$3:$C$2150,$A474)&gt;0,1,0)</f>
        <v>0</v>
      </c>
      <c r="P474">
        <f>IF(COUNTIFS('United Data'!$A$3:$A$2150,P$1,'United Data'!$C$3:$C$2150,$A474)&gt;0,1,0)</f>
        <v>0</v>
      </c>
      <c r="Q474">
        <f>IF(COUNTIFS('United Data'!$A$3:$A$2150,Q$1,'United Data'!$C$3:$C$2150,$A474)&gt;0,1,0)</f>
        <v>0</v>
      </c>
      <c r="R474">
        <f>IF(COUNTIFS('United Data'!$A$3:$A$2150,R$1,'United Data'!$C$3:$C$2150,$A474)&gt;0,1,0)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521</v>
      </c>
      <c r="B475">
        <f>IF(COUNTIFS('United Data'!$A$3:$A$2150,B$1,'United Data'!$C$3:$C$2150,$A475)&gt;0,1,0)</f>
        <v>0</v>
      </c>
      <c r="C475">
        <f>IF(COUNTIFS('United Data'!$A$3:$A$2150,C$1,'United Data'!$C$3:$C$2150,$A475)&gt;0,1,0)</f>
        <v>0</v>
      </c>
      <c r="D475">
        <f>IF(COUNTIFS('United Data'!$A$3:$A$2150,D$1,'United Data'!$C$3:$C$2150,$A475)&gt;0,1,0)</f>
        <v>0</v>
      </c>
      <c r="E475">
        <f>IF(COUNTIFS('United Data'!$A$3:$A$2150,E$1,'United Data'!$C$3:$C$2150,$A475)&gt;0,1,0)</f>
        <v>0</v>
      </c>
      <c r="F475">
        <f>IF(COUNTIFS('United Data'!$A$3:$A$2150,F$1,'United Data'!$C$3:$C$2150,$A475)&gt;0,1,0)</f>
        <v>1</v>
      </c>
      <c r="G475">
        <f>IF(COUNTIFS('United Data'!$A$3:$A$2150,G$1,'United Data'!$C$3:$C$2150,$A475)&gt;0,1,0)</f>
        <v>0</v>
      </c>
      <c r="H475">
        <f>IF(COUNTIFS('United Data'!$A$3:$A$2150,H$1,'United Data'!$C$3:$C$2150,$A475)&gt;0,1,0)</f>
        <v>0</v>
      </c>
      <c r="I475">
        <f>IF(COUNTIFS('United Data'!$A$3:$A$2150,I$1,'United Data'!$C$3:$C$2150,$A475)&gt;0,1,0)</f>
        <v>0</v>
      </c>
      <c r="J475">
        <f>IF(COUNTIFS('United Data'!$A$3:$A$2150,J$1,'United Data'!$C$3:$C$2150,$A475)&gt;0,1,0)</f>
        <v>0</v>
      </c>
      <c r="K475">
        <f>IF(COUNTIFS('United Data'!$A$3:$A$2150,K$1,'United Data'!$C$3:$C$2150,$A475)&gt;0,1,0)</f>
        <v>0</v>
      </c>
      <c r="L475">
        <f>IF(COUNTIFS('United Data'!$A$3:$A$2150,L$1,'United Data'!$C$3:$C$2150,$A475)&gt;0,1,0)</f>
        <v>0</v>
      </c>
      <c r="M475">
        <f>IF(COUNTIFS('United Data'!$A$3:$A$2150,M$1,'United Data'!$C$3:$C$2150,$A475)&gt;0,1,0)</f>
        <v>0</v>
      </c>
      <c r="N475">
        <f>IF(COUNTIFS('United Data'!$A$3:$A$2150,N$1,'United Data'!$C$3:$C$2150,$A475)&gt;0,1,0)</f>
        <v>0</v>
      </c>
      <c r="O475">
        <f>IF(COUNTIFS('United Data'!$A$3:$A$2150,O$1,'United Data'!$C$3:$C$2150,$A475)&gt;0,1,0)</f>
        <v>0</v>
      </c>
      <c r="P475">
        <f>IF(COUNTIFS('United Data'!$A$3:$A$2150,P$1,'United Data'!$C$3:$C$2150,$A475)&gt;0,1,0)</f>
        <v>0</v>
      </c>
      <c r="Q475">
        <f>IF(COUNTIFS('United Data'!$A$3:$A$2150,Q$1,'United Data'!$C$3:$C$2150,$A475)&gt;0,1,0)</f>
        <v>0</v>
      </c>
      <c r="R475">
        <f>IF(COUNTIFS('United Data'!$A$3:$A$2150,R$1,'United Data'!$C$3:$C$2150,$A475)&gt;0,1,0)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522</v>
      </c>
      <c r="B476">
        <f>IF(COUNTIFS('United Data'!$A$3:$A$2150,B$1,'United Data'!$C$3:$C$2150,$A476)&gt;0,1,0)</f>
        <v>0</v>
      </c>
      <c r="C476">
        <f>IF(COUNTIFS('United Data'!$A$3:$A$2150,C$1,'United Data'!$C$3:$C$2150,$A476)&gt;0,1,0)</f>
        <v>0</v>
      </c>
      <c r="D476">
        <f>IF(COUNTIFS('United Data'!$A$3:$A$2150,D$1,'United Data'!$C$3:$C$2150,$A476)&gt;0,1,0)</f>
        <v>0</v>
      </c>
      <c r="E476">
        <f>IF(COUNTIFS('United Data'!$A$3:$A$2150,E$1,'United Data'!$C$3:$C$2150,$A476)&gt;0,1,0)</f>
        <v>0</v>
      </c>
      <c r="F476">
        <f>IF(COUNTIFS('United Data'!$A$3:$A$2150,F$1,'United Data'!$C$3:$C$2150,$A476)&gt;0,1,0)</f>
        <v>1</v>
      </c>
      <c r="G476">
        <f>IF(COUNTIFS('United Data'!$A$3:$A$2150,G$1,'United Data'!$C$3:$C$2150,$A476)&gt;0,1,0)</f>
        <v>0</v>
      </c>
      <c r="H476">
        <f>IF(COUNTIFS('United Data'!$A$3:$A$2150,H$1,'United Data'!$C$3:$C$2150,$A476)&gt;0,1,0)</f>
        <v>0</v>
      </c>
      <c r="I476">
        <f>IF(COUNTIFS('United Data'!$A$3:$A$2150,I$1,'United Data'!$C$3:$C$2150,$A476)&gt;0,1,0)</f>
        <v>0</v>
      </c>
      <c r="J476">
        <f>IF(COUNTIFS('United Data'!$A$3:$A$2150,J$1,'United Data'!$C$3:$C$2150,$A476)&gt;0,1,0)</f>
        <v>0</v>
      </c>
      <c r="K476">
        <f>IF(COUNTIFS('United Data'!$A$3:$A$2150,K$1,'United Data'!$C$3:$C$2150,$A476)&gt;0,1,0)</f>
        <v>0</v>
      </c>
      <c r="L476">
        <f>IF(COUNTIFS('United Data'!$A$3:$A$2150,L$1,'United Data'!$C$3:$C$2150,$A476)&gt;0,1,0)</f>
        <v>0</v>
      </c>
      <c r="M476">
        <f>IF(COUNTIFS('United Data'!$A$3:$A$2150,M$1,'United Data'!$C$3:$C$2150,$A476)&gt;0,1,0)</f>
        <v>0</v>
      </c>
      <c r="N476">
        <f>IF(COUNTIFS('United Data'!$A$3:$A$2150,N$1,'United Data'!$C$3:$C$2150,$A476)&gt;0,1,0)</f>
        <v>0</v>
      </c>
      <c r="O476">
        <f>IF(COUNTIFS('United Data'!$A$3:$A$2150,O$1,'United Data'!$C$3:$C$2150,$A476)&gt;0,1,0)</f>
        <v>0</v>
      </c>
      <c r="P476">
        <f>IF(COUNTIFS('United Data'!$A$3:$A$2150,P$1,'United Data'!$C$3:$C$2150,$A476)&gt;0,1,0)</f>
        <v>0</v>
      </c>
      <c r="Q476">
        <f>IF(COUNTIFS('United Data'!$A$3:$A$2150,Q$1,'United Data'!$C$3:$C$2150,$A476)&gt;0,1,0)</f>
        <v>0</v>
      </c>
      <c r="R476">
        <f>IF(COUNTIFS('United Data'!$A$3:$A$2150,R$1,'United Data'!$C$3:$C$2150,$A476)&gt;0,1,0)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523</v>
      </c>
      <c r="B477">
        <f>IF(COUNTIFS('United Data'!$A$3:$A$2150,B$1,'United Data'!$C$3:$C$2150,$A477)&gt;0,1,0)</f>
        <v>0</v>
      </c>
      <c r="C477">
        <f>IF(COUNTIFS('United Data'!$A$3:$A$2150,C$1,'United Data'!$C$3:$C$2150,$A477)&gt;0,1,0)</f>
        <v>0</v>
      </c>
      <c r="D477">
        <f>IF(COUNTIFS('United Data'!$A$3:$A$2150,D$1,'United Data'!$C$3:$C$2150,$A477)&gt;0,1,0)</f>
        <v>0</v>
      </c>
      <c r="E477">
        <f>IF(COUNTIFS('United Data'!$A$3:$A$2150,E$1,'United Data'!$C$3:$C$2150,$A477)&gt;0,1,0)</f>
        <v>0</v>
      </c>
      <c r="F477">
        <f>IF(COUNTIFS('United Data'!$A$3:$A$2150,F$1,'United Data'!$C$3:$C$2150,$A477)&gt;0,1,0)</f>
        <v>1</v>
      </c>
      <c r="G477">
        <f>IF(COUNTIFS('United Data'!$A$3:$A$2150,G$1,'United Data'!$C$3:$C$2150,$A477)&gt;0,1,0)</f>
        <v>0</v>
      </c>
      <c r="H477">
        <f>IF(COUNTIFS('United Data'!$A$3:$A$2150,H$1,'United Data'!$C$3:$C$2150,$A477)&gt;0,1,0)</f>
        <v>0</v>
      </c>
      <c r="I477">
        <f>IF(COUNTIFS('United Data'!$A$3:$A$2150,I$1,'United Data'!$C$3:$C$2150,$A477)&gt;0,1,0)</f>
        <v>0</v>
      </c>
      <c r="J477">
        <f>IF(COUNTIFS('United Data'!$A$3:$A$2150,J$1,'United Data'!$C$3:$C$2150,$A477)&gt;0,1,0)</f>
        <v>0</v>
      </c>
      <c r="K477">
        <f>IF(COUNTIFS('United Data'!$A$3:$A$2150,K$1,'United Data'!$C$3:$C$2150,$A477)&gt;0,1,0)</f>
        <v>0</v>
      </c>
      <c r="L477">
        <f>IF(COUNTIFS('United Data'!$A$3:$A$2150,L$1,'United Data'!$C$3:$C$2150,$A477)&gt;0,1,0)</f>
        <v>0</v>
      </c>
      <c r="M477">
        <f>IF(COUNTIFS('United Data'!$A$3:$A$2150,M$1,'United Data'!$C$3:$C$2150,$A477)&gt;0,1,0)</f>
        <v>0</v>
      </c>
      <c r="N477">
        <f>IF(COUNTIFS('United Data'!$A$3:$A$2150,N$1,'United Data'!$C$3:$C$2150,$A477)&gt;0,1,0)</f>
        <v>0</v>
      </c>
      <c r="O477">
        <f>IF(COUNTIFS('United Data'!$A$3:$A$2150,O$1,'United Data'!$C$3:$C$2150,$A477)&gt;0,1,0)</f>
        <v>0</v>
      </c>
      <c r="P477">
        <f>IF(COUNTIFS('United Data'!$A$3:$A$2150,P$1,'United Data'!$C$3:$C$2150,$A477)&gt;0,1,0)</f>
        <v>0</v>
      </c>
      <c r="Q477">
        <f>IF(COUNTIFS('United Data'!$A$3:$A$2150,Q$1,'United Data'!$C$3:$C$2150,$A477)&gt;0,1,0)</f>
        <v>0</v>
      </c>
      <c r="R477">
        <f>IF(COUNTIFS('United Data'!$A$3:$A$2150,R$1,'United Data'!$C$3:$C$2150,$A477)&gt;0,1,0)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524</v>
      </c>
      <c r="B478">
        <f>IF(COUNTIFS('United Data'!$A$3:$A$2150,B$1,'United Data'!$C$3:$C$2150,$A478)&gt;0,1,0)</f>
        <v>0</v>
      </c>
      <c r="C478">
        <f>IF(COUNTIFS('United Data'!$A$3:$A$2150,C$1,'United Data'!$C$3:$C$2150,$A478)&gt;0,1,0)</f>
        <v>0</v>
      </c>
      <c r="D478">
        <f>IF(COUNTIFS('United Data'!$A$3:$A$2150,D$1,'United Data'!$C$3:$C$2150,$A478)&gt;0,1,0)</f>
        <v>0</v>
      </c>
      <c r="E478">
        <f>IF(COUNTIFS('United Data'!$A$3:$A$2150,E$1,'United Data'!$C$3:$C$2150,$A478)&gt;0,1,0)</f>
        <v>0</v>
      </c>
      <c r="F478">
        <f>IF(COUNTIFS('United Data'!$A$3:$A$2150,F$1,'United Data'!$C$3:$C$2150,$A478)&gt;0,1,0)</f>
        <v>1</v>
      </c>
      <c r="G478">
        <f>IF(COUNTIFS('United Data'!$A$3:$A$2150,G$1,'United Data'!$C$3:$C$2150,$A478)&gt;0,1,0)</f>
        <v>0</v>
      </c>
      <c r="H478">
        <f>IF(COUNTIFS('United Data'!$A$3:$A$2150,H$1,'United Data'!$C$3:$C$2150,$A478)&gt;0,1,0)</f>
        <v>0</v>
      </c>
      <c r="I478">
        <f>IF(COUNTIFS('United Data'!$A$3:$A$2150,I$1,'United Data'!$C$3:$C$2150,$A478)&gt;0,1,0)</f>
        <v>0</v>
      </c>
      <c r="J478">
        <f>IF(COUNTIFS('United Data'!$A$3:$A$2150,J$1,'United Data'!$C$3:$C$2150,$A478)&gt;0,1,0)</f>
        <v>0</v>
      </c>
      <c r="K478">
        <f>IF(COUNTIFS('United Data'!$A$3:$A$2150,K$1,'United Data'!$C$3:$C$2150,$A478)&gt;0,1,0)</f>
        <v>0</v>
      </c>
      <c r="L478">
        <f>IF(COUNTIFS('United Data'!$A$3:$A$2150,L$1,'United Data'!$C$3:$C$2150,$A478)&gt;0,1,0)</f>
        <v>0</v>
      </c>
      <c r="M478">
        <f>IF(COUNTIFS('United Data'!$A$3:$A$2150,M$1,'United Data'!$C$3:$C$2150,$A478)&gt;0,1,0)</f>
        <v>0</v>
      </c>
      <c r="N478">
        <f>IF(COUNTIFS('United Data'!$A$3:$A$2150,N$1,'United Data'!$C$3:$C$2150,$A478)&gt;0,1,0)</f>
        <v>0</v>
      </c>
      <c r="O478">
        <f>IF(COUNTIFS('United Data'!$A$3:$A$2150,O$1,'United Data'!$C$3:$C$2150,$A478)&gt;0,1,0)</f>
        <v>0</v>
      </c>
      <c r="P478">
        <f>IF(COUNTIFS('United Data'!$A$3:$A$2150,P$1,'United Data'!$C$3:$C$2150,$A478)&gt;0,1,0)</f>
        <v>0</v>
      </c>
      <c r="Q478">
        <f>IF(COUNTIFS('United Data'!$A$3:$A$2150,Q$1,'United Data'!$C$3:$C$2150,$A478)&gt;0,1,0)</f>
        <v>0</v>
      </c>
      <c r="R478">
        <f>IF(COUNTIFS('United Data'!$A$3:$A$2150,R$1,'United Data'!$C$3:$C$2150,$A478)&gt;0,1,0)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525</v>
      </c>
      <c r="B479">
        <f>IF(COUNTIFS('United Data'!$A$3:$A$2150,B$1,'United Data'!$C$3:$C$2150,$A479)&gt;0,1,0)</f>
        <v>0</v>
      </c>
      <c r="C479">
        <f>IF(COUNTIFS('United Data'!$A$3:$A$2150,C$1,'United Data'!$C$3:$C$2150,$A479)&gt;0,1,0)</f>
        <v>0</v>
      </c>
      <c r="D479">
        <f>IF(COUNTIFS('United Data'!$A$3:$A$2150,D$1,'United Data'!$C$3:$C$2150,$A479)&gt;0,1,0)</f>
        <v>0</v>
      </c>
      <c r="E479">
        <f>IF(COUNTIFS('United Data'!$A$3:$A$2150,E$1,'United Data'!$C$3:$C$2150,$A479)&gt;0,1,0)</f>
        <v>0</v>
      </c>
      <c r="F479">
        <f>IF(COUNTIFS('United Data'!$A$3:$A$2150,F$1,'United Data'!$C$3:$C$2150,$A479)&gt;0,1,0)</f>
        <v>0</v>
      </c>
      <c r="G479">
        <f>IF(COUNTIFS('United Data'!$A$3:$A$2150,G$1,'United Data'!$C$3:$C$2150,$A479)&gt;0,1,0)</f>
        <v>1</v>
      </c>
      <c r="H479">
        <f>IF(COUNTIFS('United Data'!$A$3:$A$2150,H$1,'United Data'!$C$3:$C$2150,$A479)&gt;0,1,0)</f>
        <v>0</v>
      </c>
      <c r="I479">
        <f>IF(COUNTIFS('United Data'!$A$3:$A$2150,I$1,'United Data'!$C$3:$C$2150,$A479)&gt;0,1,0)</f>
        <v>0</v>
      </c>
      <c r="J479">
        <f>IF(COUNTIFS('United Data'!$A$3:$A$2150,J$1,'United Data'!$C$3:$C$2150,$A479)&gt;0,1,0)</f>
        <v>0</v>
      </c>
      <c r="K479">
        <f>IF(COUNTIFS('United Data'!$A$3:$A$2150,K$1,'United Data'!$C$3:$C$2150,$A479)&gt;0,1,0)</f>
        <v>0</v>
      </c>
      <c r="L479">
        <f>IF(COUNTIFS('United Data'!$A$3:$A$2150,L$1,'United Data'!$C$3:$C$2150,$A479)&gt;0,1,0)</f>
        <v>0</v>
      </c>
      <c r="M479">
        <f>IF(COUNTIFS('United Data'!$A$3:$A$2150,M$1,'United Data'!$C$3:$C$2150,$A479)&gt;0,1,0)</f>
        <v>0</v>
      </c>
      <c r="N479">
        <f>IF(COUNTIFS('United Data'!$A$3:$A$2150,N$1,'United Data'!$C$3:$C$2150,$A479)&gt;0,1,0)</f>
        <v>0</v>
      </c>
      <c r="O479">
        <f>IF(COUNTIFS('United Data'!$A$3:$A$2150,O$1,'United Data'!$C$3:$C$2150,$A479)&gt;0,1,0)</f>
        <v>0</v>
      </c>
      <c r="P479">
        <f>IF(COUNTIFS('United Data'!$A$3:$A$2150,P$1,'United Data'!$C$3:$C$2150,$A479)&gt;0,1,0)</f>
        <v>0</v>
      </c>
      <c r="Q479">
        <f>IF(COUNTIFS('United Data'!$A$3:$A$2150,Q$1,'United Data'!$C$3:$C$2150,$A479)&gt;0,1,0)</f>
        <v>0</v>
      </c>
      <c r="R479">
        <f>IF(COUNTIFS('United Data'!$A$3:$A$2150,R$1,'United Data'!$C$3:$C$2150,$A479)&gt;0,1,0)</f>
        <v>0</v>
      </c>
      <c r="S479">
        <f t="shared" si="14"/>
        <v>1</v>
      </c>
      <c r="T479">
        <f t="shared" si="15"/>
        <v>1</v>
      </c>
    </row>
    <row r="480" spans="1:20" x14ac:dyDescent="0.2">
      <c r="A480" t="s">
        <v>526</v>
      </c>
      <c r="B480">
        <f>IF(COUNTIFS('United Data'!$A$3:$A$2150,B$1,'United Data'!$C$3:$C$2150,$A480)&gt;0,1,0)</f>
        <v>0</v>
      </c>
      <c r="C480">
        <f>IF(COUNTIFS('United Data'!$A$3:$A$2150,C$1,'United Data'!$C$3:$C$2150,$A480)&gt;0,1,0)</f>
        <v>0</v>
      </c>
      <c r="D480">
        <f>IF(COUNTIFS('United Data'!$A$3:$A$2150,D$1,'United Data'!$C$3:$C$2150,$A480)&gt;0,1,0)</f>
        <v>0</v>
      </c>
      <c r="E480">
        <f>IF(COUNTIFS('United Data'!$A$3:$A$2150,E$1,'United Data'!$C$3:$C$2150,$A480)&gt;0,1,0)</f>
        <v>0</v>
      </c>
      <c r="F480">
        <f>IF(COUNTIFS('United Data'!$A$3:$A$2150,F$1,'United Data'!$C$3:$C$2150,$A480)&gt;0,1,0)</f>
        <v>0</v>
      </c>
      <c r="G480">
        <f>IF(COUNTIFS('United Data'!$A$3:$A$2150,G$1,'United Data'!$C$3:$C$2150,$A480)&gt;0,1,0)</f>
        <v>1</v>
      </c>
      <c r="H480">
        <f>IF(COUNTIFS('United Data'!$A$3:$A$2150,H$1,'United Data'!$C$3:$C$2150,$A480)&gt;0,1,0)</f>
        <v>0</v>
      </c>
      <c r="I480">
        <f>IF(COUNTIFS('United Data'!$A$3:$A$2150,I$1,'United Data'!$C$3:$C$2150,$A480)&gt;0,1,0)</f>
        <v>0</v>
      </c>
      <c r="J480">
        <f>IF(COUNTIFS('United Data'!$A$3:$A$2150,J$1,'United Data'!$C$3:$C$2150,$A480)&gt;0,1,0)</f>
        <v>0</v>
      </c>
      <c r="K480">
        <f>IF(COUNTIFS('United Data'!$A$3:$A$2150,K$1,'United Data'!$C$3:$C$2150,$A480)&gt;0,1,0)</f>
        <v>0</v>
      </c>
      <c r="L480">
        <f>IF(COUNTIFS('United Data'!$A$3:$A$2150,L$1,'United Data'!$C$3:$C$2150,$A480)&gt;0,1,0)</f>
        <v>0</v>
      </c>
      <c r="M480">
        <f>IF(COUNTIFS('United Data'!$A$3:$A$2150,M$1,'United Data'!$C$3:$C$2150,$A480)&gt;0,1,0)</f>
        <v>0</v>
      </c>
      <c r="N480">
        <f>IF(COUNTIFS('United Data'!$A$3:$A$2150,N$1,'United Data'!$C$3:$C$2150,$A480)&gt;0,1,0)</f>
        <v>0</v>
      </c>
      <c r="O480">
        <f>IF(COUNTIFS('United Data'!$A$3:$A$2150,O$1,'United Data'!$C$3:$C$2150,$A480)&gt;0,1,0)</f>
        <v>0</v>
      </c>
      <c r="P480">
        <f>IF(COUNTIFS('United Data'!$A$3:$A$2150,P$1,'United Data'!$C$3:$C$2150,$A480)&gt;0,1,0)</f>
        <v>0</v>
      </c>
      <c r="Q480">
        <f>IF(COUNTIFS('United Data'!$A$3:$A$2150,Q$1,'United Data'!$C$3:$C$2150,$A480)&gt;0,1,0)</f>
        <v>0</v>
      </c>
      <c r="R480">
        <f>IF(COUNTIFS('United Data'!$A$3:$A$2150,R$1,'United Data'!$C$3:$C$2150,$A480)&gt;0,1,0)</f>
        <v>0</v>
      </c>
      <c r="S480">
        <f t="shared" si="14"/>
        <v>1</v>
      </c>
      <c r="T480">
        <f t="shared" si="15"/>
        <v>1</v>
      </c>
    </row>
    <row r="481" spans="1:20" x14ac:dyDescent="0.2">
      <c r="A481" t="s">
        <v>527</v>
      </c>
      <c r="B481">
        <f>IF(COUNTIFS('United Data'!$A$3:$A$2150,B$1,'United Data'!$C$3:$C$2150,$A481)&gt;0,1,0)</f>
        <v>0</v>
      </c>
      <c r="C481">
        <f>IF(COUNTIFS('United Data'!$A$3:$A$2150,C$1,'United Data'!$C$3:$C$2150,$A481)&gt;0,1,0)</f>
        <v>0</v>
      </c>
      <c r="D481">
        <f>IF(COUNTIFS('United Data'!$A$3:$A$2150,D$1,'United Data'!$C$3:$C$2150,$A481)&gt;0,1,0)</f>
        <v>0</v>
      </c>
      <c r="E481">
        <f>IF(COUNTIFS('United Data'!$A$3:$A$2150,E$1,'United Data'!$C$3:$C$2150,$A481)&gt;0,1,0)</f>
        <v>0</v>
      </c>
      <c r="F481">
        <f>IF(COUNTIFS('United Data'!$A$3:$A$2150,F$1,'United Data'!$C$3:$C$2150,$A481)&gt;0,1,0)</f>
        <v>0</v>
      </c>
      <c r="G481">
        <f>IF(COUNTIFS('United Data'!$A$3:$A$2150,G$1,'United Data'!$C$3:$C$2150,$A481)&gt;0,1,0)</f>
        <v>1</v>
      </c>
      <c r="H481">
        <f>IF(COUNTIFS('United Data'!$A$3:$A$2150,H$1,'United Data'!$C$3:$C$2150,$A481)&gt;0,1,0)</f>
        <v>0</v>
      </c>
      <c r="I481">
        <f>IF(COUNTIFS('United Data'!$A$3:$A$2150,I$1,'United Data'!$C$3:$C$2150,$A481)&gt;0,1,0)</f>
        <v>0</v>
      </c>
      <c r="J481">
        <f>IF(COUNTIFS('United Data'!$A$3:$A$2150,J$1,'United Data'!$C$3:$C$2150,$A481)&gt;0,1,0)</f>
        <v>0</v>
      </c>
      <c r="K481">
        <f>IF(COUNTIFS('United Data'!$A$3:$A$2150,K$1,'United Data'!$C$3:$C$2150,$A481)&gt;0,1,0)</f>
        <v>0</v>
      </c>
      <c r="L481">
        <f>IF(COUNTIFS('United Data'!$A$3:$A$2150,L$1,'United Data'!$C$3:$C$2150,$A481)&gt;0,1,0)</f>
        <v>0</v>
      </c>
      <c r="M481">
        <f>IF(COUNTIFS('United Data'!$A$3:$A$2150,M$1,'United Data'!$C$3:$C$2150,$A481)&gt;0,1,0)</f>
        <v>0</v>
      </c>
      <c r="N481">
        <f>IF(COUNTIFS('United Data'!$A$3:$A$2150,N$1,'United Data'!$C$3:$C$2150,$A481)&gt;0,1,0)</f>
        <v>0</v>
      </c>
      <c r="O481">
        <f>IF(COUNTIFS('United Data'!$A$3:$A$2150,O$1,'United Data'!$C$3:$C$2150,$A481)&gt;0,1,0)</f>
        <v>0</v>
      </c>
      <c r="P481">
        <f>IF(COUNTIFS('United Data'!$A$3:$A$2150,P$1,'United Data'!$C$3:$C$2150,$A481)&gt;0,1,0)</f>
        <v>0</v>
      </c>
      <c r="Q481">
        <f>IF(COUNTIFS('United Data'!$A$3:$A$2150,Q$1,'United Data'!$C$3:$C$2150,$A481)&gt;0,1,0)</f>
        <v>0</v>
      </c>
      <c r="R481">
        <f>IF(COUNTIFS('United Data'!$A$3:$A$2150,R$1,'United Data'!$C$3:$C$2150,$A481)&gt;0,1,0)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528</v>
      </c>
      <c r="B482">
        <f>IF(COUNTIFS('United Data'!$A$3:$A$2150,B$1,'United Data'!$C$3:$C$2150,$A482)&gt;0,1,0)</f>
        <v>0</v>
      </c>
      <c r="C482">
        <f>IF(COUNTIFS('United Data'!$A$3:$A$2150,C$1,'United Data'!$C$3:$C$2150,$A482)&gt;0,1,0)</f>
        <v>0</v>
      </c>
      <c r="D482">
        <f>IF(COUNTIFS('United Data'!$A$3:$A$2150,D$1,'United Data'!$C$3:$C$2150,$A482)&gt;0,1,0)</f>
        <v>0</v>
      </c>
      <c r="E482">
        <f>IF(COUNTIFS('United Data'!$A$3:$A$2150,E$1,'United Data'!$C$3:$C$2150,$A482)&gt;0,1,0)</f>
        <v>0</v>
      </c>
      <c r="F482">
        <f>IF(COUNTIFS('United Data'!$A$3:$A$2150,F$1,'United Data'!$C$3:$C$2150,$A482)&gt;0,1,0)</f>
        <v>0</v>
      </c>
      <c r="G482">
        <f>IF(COUNTIFS('United Data'!$A$3:$A$2150,G$1,'United Data'!$C$3:$C$2150,$A482)&gt;0,1,0)</f>
        <v>1</v>
      </c>
      <c r="H482">
        <f>IF(COUNTIFS('United Data'!$A$3:$A$2150,H$1,'United Data'!$C$3:$C$2150,$A482)&gt;0,1,0)</f>
        <v>0</v>
      </c>
      <c r="I482">
        <f>IF(COUNTIFS('United Data'!$A$3:$A$2150,I$1,'United Data'!$C$3:$C$2150,$A482)&gt;0,1,0)</f>
        <v>0</v>
      </c>
      <c r="J482">
        <f>IF(COUNTIFS('United Data'!$A$3:$A$2150,J$1,'United Data'!$C$3:$C$2150,$A482)&gt;0,1,0)</f>
        <v>0</v>
      </c>
      <c r="K482">
        <f>IF(COUNTIFS('United Data'!$A$3:$A$2150,K$1,'United Data'!$C$3:$C$2150,$A482)&gt;0,1,0)</f>
        <v>0</v>
      </c>
      <c r="L482">
        <f>IF(COUNTIFS('United Data'!$A$3:$A$2150,L$1,'United Data'!$C$3:$C$2150,$A482)&gt;0,1,0)</f>
        <v>0</v>
      </c>
      <c r="M482">
        <f>IF(COUNTIFS('United Data'!$A$3:$A$2150,M$1,'United Data'!$C$3:$C$2150,$A482)&gt;0,1,0)</f>
        <v>0</v>
      </c>
      <c r="N482">
        <f>IF(COUNTIFS('United Data'!$A$3:$A$2150,N$1,'United Data'!$C$3:$C$2150,$A482)&gt;0,1,0)</f>
        <v>0</v>
      </c>
      <c r="O482">
        <f>IF(COUNTIFS('United Data'!$A$3:$A$2150,O$1,'United Data'!$C$3:$C$2150,$A482)&gt;0,1,0)</f>
        <v>0</v>
      </c>
      <c r="P482">
        <f>IF(COUNTIFS('United Data'!$A$3:$A$2150,P$1,'United Data'!$C$3:$C$2150,$A482)&gt;0,1,0)</f>
        <v>0</v>
      </c>
      <c r="Q482">
        <f>IF(COUNTIFS('United Data'!$A$3:$A$2150,Q$1,'United Data'!$C$3:$C$2150,$A482)&gt;0,1,0)</f>
        <v>0</v>
      </c>
      <c r="R482">
        <f>IF(COUNTIFS('United Data'!$A$3:$A$2150,R$1,'United Data'!$C$3:$C$2150,$A482)&gt;0,1,0)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529</v>
      </c>
      <c r="B483">
        <f>IF(COUNTIFS('United Data'!$A$3:$A$2150,B$1,'United Data'!$C$3:$C$2150,$A483)&gt;0,1,0)</f>
        <v>0</v>
      </c>
      <c r="C483">
        <f>IF(COUNTIFS('United Data'!$A$3:$A$2150,C$1,'United Data'!$C$3:$C$2150,$A483)&gt;0,1,0)</f>
        <v>0</v>
      </c>
      <c r="D483">
        <f>IF(COUNTIFS('United Data'!$A$3:$A$2150,D$1,'United Data'!$C$3:$C$2150,$A483)&gt;0,1,0)</f>
        <v>0</v>
      </c>
      <c r="E483">
        <f>IF(COUNTIFS('United Data'!$A$3:$A$2150,E$1,'United Data'!$C$3:$C$2150,$A483)&gt;0,1,0)</f>
        <v>0</v>
      </c>
      <c r="F483">
        <f>IF(COUNTIFS('United Data'!$A$3:$A$2150,F$1,'United Data'!$C$3:$C$2150,$A483)&gt;0,1,0)</f>
        <v>0</v>
      </c>
      <c r="G483">
        <f>IF(COUNTIFS('United Data'!$A$3:$A$2150,G$1,'United Data'!$C$3:$C$2150,$A483)&gt;0,1,0)</f>
        <v>1</v>
      </c>
      <c r="H483">
        <f>IF(COUNTIFS('United Data'!$A$3:$A$2150,H$1,'United Data'!$C$3:$C$2150,$A483)&gt;0,1,0)</f>
        <v>0</v>
      </c>
      <c r="I483">
        <f>IF(COUNTIFS('United Data'!$A$3:$A$2150,I$1,'United Data'!$C$3:$C$2150,$A483)&gt;0,1,0)</f>
        <v>0</v>
      </c>
      <c r="J483">
        <f>IF(COUNTIFS('United Data'!$A$3:$A$2150,J$1,'United Data'!$C$3:$C$2150,$A483)&gt;0,1,0)</f>
        <v>0</v>
      </c>
      <c r="K483">
        <f>IF(COUNTIFS('United Data'!$A$3:$A$2150,K$1,'United Data'!$C$3:$C$2150,$A483)&gt;0,1,0)</f>
        <v>0</v>
      </c>
      <c r="L483">
        <f>IF(COUNTIFS('United Data'!$A$3:$A$2150,L$1,'United Data'!$C$3:$C$2150,$A483)&gt;0,1,0)</f>
        <v>0</v>
      </c>
      <c r="M483">
        <f>IF(COUNTIFS('United Data'!$A$3:$A$2150,M$1,'United Data'!$C$3:$C$2150,$A483)&gt;0,1,0)</f>
        <v>0</v>
      </c>
      <c r="N483">
        <f>IF(COUNTIFS('United Data'!$A$3:$A$2150,N$1,'United Data'!$C$3:$C$2150,$A483)&gt;0,1,0)</f>
        <v>0</v>
      </c>
      <c r="O483">
        <f>IF(COUNTIFS('United Data'!$A$3:$A$2150,O$1,'United Data'!$C$3:$C$2150,$A483)&gt;0,1,0)</f>
        <v>0</v>
      </c>
      <c r="P483">
        <f>IF(COUNTIFS('United Data'!$A$3:$A$2150,P$1,'United Data'!$C$3:$C$2150,$A483)&gt;0,1,0)</f>
        <v>0</v>
      </c>
      <c r="Q483">
        <f>IF(COUNTIFS('United Data'!$A$3:$A$2150,Q$1,'United Data'!$C$3:$C$2150,$A483)&gt;0,1,0)</f>
        <v>0</v>
      </c>
      <c r="R483">
        <f>IF(COUNTIFS('United Data'!$A$3:$A$2150,R$1,'United Data'!$C$3:$C$2150,$A483)&gt;0,1,0)</f>
        <v>0</v>
      </c>
      <c r="S483">
        <f t="shared" si="14"/>
        <v>1</v>
      </c>
      <c r="T483">
        <f t="shared" si="15"/>
        <v>1</v>
      </c>
    </row>
    <row r="484" spans="1:20" x14ac:dyDescent="0.2">
      <c r="A484" t="s">
        <v>530</v>
      </c>
      <c r="B484">
        <f>IF(COUNTIFS('United Data'!$A$3:$A$2150,B$1,'United Data'!$C$3:$C$2150,$A484)&gt;0,1,0)</f>
        <v>0</v>
      </c>
      <c r="C484">
        <f>IF(COUNTIFS('United Data'!$A$3:$A$2150,C$1,'United Data'!$C$3:$C$2150,$A484)&gt;0,1,0)</f>
        <v>0</v>
      </c>
      <c r="D484">
        <f>IF(COUNTIFS('United Data'!$A$3:$A$2150,D$1,'United Data'!$C$3:$C$2150,$A484)&gt;0,1,0)</f>
        <v>0</v>
      </c>
      <c r="E484">
        <f>IF(COUNTIFS('United Data'!$A$3:$A$2150,E$1,'United Data'!$C$3:$C$2150,$A484)&gt;0,1,0)</f>
        <v>0</v>
      </c>
      <c r="F484">
        <f>IF(COUNTIFS('United Data'!$A$3:$A$2150,F$1,'United Data'!$C$3:$C$2150,$A484)&gt;0,1,0)</f>
        <v>0</v>
      </c>
      <c r="G484">
        <f>IF(COUNTIFS('United Data'!$A$3:$A$2150,G$1,'United Data'!$C$3:$C$2150,$A484)&gt;0,1,0)</f>
        <v>1</v>
      </c>
      <c r="H484">
        <f>IF(COUNTIFS('United Data'!$A$3:$A$2150,H$1,'United Data'!$C$3:$C$2150,$A484)&gt;0,1,0)</f>
        <v>0</v>
      </c>
      <c r="I484">
        <f>IF(COUNTIFS('United Data'!$A$3:$A$2150,I$1,'United Data'!$C$3:$C$2150,$A484)&gt;0,1,0)</f>
        <v>0</v>
      </c>
      <c r="J484">
        <f>IF(COUNTIFS('United Data'!$A$3:$A$2150,J$1,'United Data'!$C$3:$C$2150,$A484)&gt;0,1,0)</f>
        <v>0</v>
      </c>
      <c r="K484">
        <f>IF(COUNTIFS('United Data'!$A$3:$A$2150,K$1,'United Data'!$C$3:$C$2150,$A484)&gt;0,1,0)</f>
        <v>0</v>
      </c>
      <c r="L484">
        <f>IF(COUNTIFS('United Data'!$A$3:$A$2150,L$1,'United Data'!$C$3:$C$2150,$A484)&gt;0,1,0)</f>
        <v>0</v>
      </c>
      <c r="M484">
        <f>IF(COUNTIFS('United Data'!$A$3:$A$2150,M$1,'United Data'!$C$3:$C$2150,$A484)&gt;0,1,0)</f>
        <v>0</v>
      </c>
      <c r="N484">
        <f>IF(COUNTIFS('United Data'!$A$3:$A$2150,N$1,'United Data'!$C$3:$C$2150,$A484)&gt;0,1,0)</f>
        <v>0</v>
      </c>
      <c r="O484">
        <f>IF(COUNTIFS('United Data'!$A$3:$A$2150,O$1,'United Data'!$C$3:$C$2150,$A484)&gt;0,1,0)</f>
        <v>0</v>
      </c>
      <c r="P484">
        <f>IF(COUNTIFS('United Data'!$A$3:$A$2150,P$1,'United Data'!$C$3:$C$2150,$A484)&gt;0,1,0)</f>
        <v>0</v>
      </c>
      <c r="Q484">
        <f>IF(COUNTIFS('United Data'!$A$3:$A$2150,Q$1,'United Data'!$C$3:$C$2150,$A484)&gt;0,1,0)</f>
        <v>0</v>
      </c>
      <c r="R484">
        <f>IF(COUNTIFS('United Data'!$A$3:$A$2150,R$1,'United Data'!$C$3:$C$2150,$A484)&gt;0,1,0)</f>
        <v>0</v>
      </c>
      <c r="S484">
        <f t="shared" si="14"/>
        <v>1</v>
      </c>
      <c r="T484">
        <f t="shared" si="15"/>
        <v>1</v>
      </c>
    </row>
    <row r="485" spans="1:20" x14ac:dyDescent="0.2">
      <c r="A485" t="s">
        <v>531</v>
      </c>
      <c r="B485">
        <f>IF(COUNTIFS('United Data'!$A$3:$A$2150,B$1,'United Data'!$C$3:$C$2150,$A485)&gt;0,1,0)</f>
        <v>0</v>
      </c>
      <c r="C485">
        <f>IF(COUNTIFS('United Data'!$A$3:$A$2150,C$1,'United Data'!$C$3:$C$2150,$A485)&gt;0,1,0)</f>
        <v>0</v>
      </c>
      <c r="D485">
        <f>IF(COUNTIFS('United Data'!$A$3:$A$2150,D$1,'United Data'!$C$3:$C$2150,$A485)&gt;0,1,0)</f>
        <v>0</v>
      </c>
      <c r="E485">
        <f>IF(COUNTIFS('United Data'!$A$3:$A$2150,E$1,'United Data'!$C$3:$C$2150,$A485)&gt;0,1,0)</f>
        <v>0</v>
      </c>
      <c r="F485">
        <f>IF(COUNTIFS('United Data'!$A$3:$A$2150,F$1,'United Data'!$C$3:$C$2150,$A485)&gt;0,1,0)</f>
        <v>0</v>
      </c>
      <c r="G485">
        <f>IF(COUNTIFS('United Data'!$A$3:$A$2150,G$1,'United Data'!$C$3:$C$2150,$A485)&gt;0,1,0)</f>
        <v>1</v>
      </c>
      <c r="H485">
        <f>IF(COUNTIFS('United Data'!$A$3:$A$2150,H$1,'United Data'!$C$3:$C$2150,$A485)&gt;0,1,0)</f>
        <v>1</v>
      </c>
      <c r="I485">
        <f>IF(COUNTIFS('United Data'!$A$3:$A$2150,I$1,'United Data'!$C$3:$C$2150,$A485)&gt;0,1,0)</f>
        <v>1</v>
      </c>
      <c r="J485">
        <f>IF(COUNTIFS('United Data'!$A$3:$A$2150,J$1,'United Data'!$C$3:$C$2150,$A485)&gt;0,1,0)</f>
        <v>1</v>
      </c>
      <c r="K485">
        <f>IF(COUNTIFS('United Data'!$A$3:$A$2150,K$1,'United Data'!$C$3:$C$2150,$A485)&gt;0,1,0)</f>
        <v>1</v>
      </c>
      <c r="L485">
        <f>IF(COUNTIFS('United Data'!$A$3:$A$2150,L$1,'United Data'!$C$3:$C$2150,$A485)&gt;0,1,0)</f>
        <v>1</v>
      </c>
      <c r="M485">
        <f>IF(COUNTIFS('United Data'!$A$3:$A$2150,M$1,'United Data'!$C$3:$C$2150,$A485)&gt;0,1,0)</f>
        <v>1</v>
      </c>
      <c r="N485">
        <f>IF(COUNTIFS('United Data'!$A$3:$A$2150,N$1,'United Data'!$C$3:$C$2150,$A485)&gt;0,1,0)</f>
        <v>1</v>
      </c>
      <c r="O485">
        <f>IF(COUNTIFS('United Data'!$A$3:$A$2150,O$1,'United Data'!$C$3:$C$2150,$A485)&gt;0,1,0)</f>
        <v>1</v>
      </c>
      <c r="P485">
        <f>IF(COUNTIFS('United Data'!$A$3:$A$2150,P$1,'United Data'!$C$3:$C$2150,$A485)&gt;0,1,0)</f>
        <v>1</v>
      </c>
      <c r="Q485">
        <f>IF(COUNTIFS('United Data'!$A$3:$A$2150,Q$1,'United Data'!$C$3:$C$2150,$A485)&gt;0,1,0)</f>
        <v>1</v>
      </c>
      <c r="R485">
        <f>IF(COUNTIFS('United Data'!$A$3:$A$2150,R$1,'United Data'!$C$3:$C$2150,$A485)&gt;0,1,0)</f>
        <v>0</v>
      </c>
      <c r="S485">
        <f t="shared" si="14"/>
        <v>11</v>
      </c>
      <c r="T485">
        <f t="shared" si="15"/>
        <v>1</v>
      </c>
    </row>
    <row r="486" spans="1:20" x14ac:dyDescent="0.2">
      <c r="A486" t="s">
        <v>532</v>
      </c>
      <c r="B486">
        <f>IF(COUNTIFS('United Data'!$A$3:$A$2150,B$1,'United Data'!$C$3:$C$2150,$A486)&gt;0,1,0)</f>
        <v>0</v>
      </c>
      <c r="C486">
        <f>IF(COUNTIFS('United Data'!$A$3:$A$2150,C$1,'United Data'!$C$3:$C$2150,$A486)&gt;0,1,0)</f>
        <v>0</v>
      </c>
      <c r="D486">
        <f>IF(COUNTIFS('United Data'!$A$3:$A$2150,D$1,'United Data'!$C$3:$C$2150,$A486)&gt;0,1,0)</f>
        <v>0</v>
      </c>
      <c r="E486">
        <f>IF(COUNTIFS('United Data'!$A$3:$A$2150,E$1,'United Data'!$C$3:$C$2150,$A486)&gt;0,1,0)</f>
        <v>0</v>
      </c>
      <c r="F486">
        <f>IF(COUNTIFS('United Data'!$A$3:$A$2150,F$1,'United Data'!$C$3:$C$2150,$A486)&gt;0,1,0)</f>
        <v>0</v>
      </c>
      <c r="G486">
        <f>IF(COUNTIFS('United Data'!$A$3:$A$2150,G$1,'United Data'!$C$3:$C$2150,$A486)&gt;0,1,0)</f>
        <v>1</v>
      </c>
      <c r="H486">
        <f>IF(COUNTIFS('United Data'!$A$3:$A$2150,H$1,'United Data'!$C$3:$C$2150,$A486)&gt;0,1,0)</f>
        <v>0</v>
      </c>
      <c r="I486">
        <f>IF(COUNTIFS('United Data'!$A$3:$A$2150,I$1,'United Data'!$C$3:$C$2150,$A486)&gt;0,1,0)</f>
        <v>0</v>
      </c>
      <c r="J486">
        <f>IF(COUNTIFS('United Data'!$A$3:$A$2150,J$1,'United Data'!$C$3:$C$2150,$A486)&gt;0,1,0)</f>
        <v>0</v>
      </c>
      <c r="K486">
        <f>IF(COUNTIFS('United Data'!$A$3:$A$2150,K$1,'United Data'!$C$3:$C$2150,$A486)&gt;0,1,0)</f>
        <v>0</v>
      </c>
      <c r="L486">
        <f>IF(COUNTIFS('United Data'!$A$3:$A$2150,L$1,'United Data'!$C$3:$C$2150,$A486)&gt;0,1,0)</f>
        <v>0</v>
      </c>
      <c r="M486">
        <f>IF(COUNTIFS('United Data'!$A$3:$A$2150,M$1,'United Data'!$C$3:$C$2150,$A486)&gt;0,1,0)</f>
        <v>0</v>
      </c>
      <c r="N486">
        <f>IF(COUNTIFS('United Data'!$A$3:$A$2150,N$1,'United Data'!$C$3:$C$2150,$A486)&gt;0,1,0)</f>
        <v>0</v>
      </c>
      <c r="O486">
        <f>IF(COUNTIFS('United Data'!$A$3:$A$2150,O$1,'United Data'!$C$3:$C$2150,$A486)&gt;0,1,0)</f>
        <v>0</v>
      </c>
      <c r="P486">
        <f>IF(COUNTIFS('United Data'!$A$3:$A$2150,P$1,'United Data'!$C$3:$C$2150,$A486)&gt;0,1,0)</f>
        <v>0</v>
      </c>
      <c r="Q486">
        <f>IF(COUNTIFS('United Data'!$A$3:$A$2150,Q$1,'United Data'!$C$3:$C$2150,$A486)&gt;0,1,0)</f>
        <v>0</v>
      </c>
      <c r="R486">
        <f>IF(COUNTIFS('United Data'!$A$3:$A$2150,R$1,'United Data'!$C$3:$C$2150,$A486)&gt;0,1,0)</f>
        <v>0</v>
      </c>
      <c r="S486">
        <f t="shared" si="14"/>
        <v>1</v>
      </c>
      <c r="T486">
        <f t="shared" si="15"/>
        <v>1</v>
      </c>
    </row>
    <row r="487" spans="1:20" x14ac:dyDescent="0.2">
      <c r="A487" t="s">
        <v>533</v>
      </c>
      <c r="B487">
        <f>IF(COUNTIFS('United Data'!$A$3:$A$2150,B$1,'United Data'!$C$3:$C$2150,$A487)&gt;0,1,0)</f>
        <v>0</v>
      </c>
      <c r="C487">
        <f>IF(COUNTIFS('United Data'!$A$3:$A$2150,C$1,'United Data'!$C$3:$C$2150,$A487)&gt;0,1,0)</f>
        <v>0</v>
      </c>
      <c r="D487">
        <f>IF(COUNTIFS('United Data'!$A$3:$A$2150,D$1,'United Data'!$C$3:$C$2150,$A487)&gt;0,1,0)</f>
        <v>0</v>
      </c>
      <c r="E487">
        <f>IF(COUNTIFS('United Data'!$A$3:$A$2150,E$1,'United Data'!$C$3:$C$2150,$A487)&gt;0,1,0)</f>
        <v>0</v>
      </c>
      <c r="F487">
        <f>IF(COUNTIFS('United Data'!$A$3:$A$2150,F$1,'United Data'!$C$3:$C$2150,$A487)&gt;0,1,0)</f>
        <v>0</v>
      </c>
      <c r="G487">
        <f>IF(COUNTIFS('United Data'!$A$3:$A$2150,G$1,'United Data'!$C$3:$C$2150,$A487)&gt;0,1,0)</f>
        <v>1</v>
      </c>
      <c r="H487">
        <f>IF(COUNTIFS('United Data'!$A$3:$A$2150,H$1,'United Data'!$C$3:$C$2150,$A487)&gt;0,1,0)</f>
        <v>0</v>
      </c>
      <c r="I487">
        <f>IF(COUNTIFS('United Data'!$A$3:$A$2150,I$1,'United Data'!$C$3:$C$2150,$A487)&gt;0,1,0)</f>
        <v>0</v>
      </c>
      <c r="J487">
        <f>IF(COUNTIFS('United Data'!$A$3:$A$2150,J$1,'United Data'!$C$3:$C$2150,$A487)&gt;0,1,0)</f>
        <v>0</v>
      </c>
      <c r="K487">
        <f>IF(COUNTIFS('United Data'!$A$3:$A$2150,K$1,'United Data'!$C$3:$C$2150,$A487)&gt;0,1,0)</f>
        <v>0</v>
      </c>
      <c r="L487">
        <f>IF(COUNTIFS('United Data'!$A$3:$A$2150,L$1,'United Data'!$C$3:$C$2150,$A487)&gt;0,1,0)</f>
        <v>0</v>
      </c>
      <c r="M487">
        <f>IF(COUNTIFS('United Data'!$A$3:$A$2150,M$1,'United Data'!$C$3:$C$2150,$A487)&gt;0,1,0)</f>
        <v>0</v>
      </c>
      <c r="N487">
        <f>IF(COUNTIFS('United Data'!$A$3:$A$2150,N$1,'United Data'!$C$3:$C$2150,$A487)&gt;0,1,0)</f>
        <v>0</v>
      </c>
      <c r="O487">
        <f>IF(COUNTIFS('United Data'!$A$3:$A$2150,O$1,'United Data'!$C$3:$C$2150,$A487)&gt;0,1,0)</f>
        <v>0</v>
      </c>
      <c r="P487">
        <f>IF(COUNTIFS('United Data'!$A$3:$A$2150,P$1,'United Data'!$C$3:$C$2150,$A487)&gt;0,1,0)</f>
        <v>0</v>
      </c>
      <c r="Q487">
        <f>IF(COUNTIFS('United Data'!$A$3:$A$2150,Q$1,'United Data'!$C$3:$C$2150,$A487)&gt;0,1,0)</f>
        <v>0</v>
      </c>
      <c r="R487">
        <f>IF(COUNTIFS('United Data'!$A$3:$A$2150,R$1,'United Data'!$C$3:$C$2150,$A487)&gt;0,1,0)</f>
        <v>0</v>
      </c>
      <c r="S487">
        <f t="shared" si="14"/>
        <v>1</v>
      </c>
      <c r="T487">
        <f t="shared" si="15"/>
        <v>1</v>
      </c>
    </row>
    <row r="488" spans="1:20" x14ac:dyDescent="0.2">
      <c r="A488" t="s">
        <v>534</v>
      </c>
      <c r="B488">
        <f>IF(COUNTIFS('United Data'!$A$3:$A$2150,B$1,'United Data'!$C$3:$C$2150,$A488)&gt;0,1,0)</f>
        <v>0</v>
      </c>
      <c r="C488">
        <f>IF(COUNTIFS('United Data'!$A$3:$A$2150,C$1,'United Data'!$C$3:$C$2150,$A488)&gt;0,1,0)</f>
        <v>0</v>
      </c>
      <c r="D488">
        <f>IF(COUNTIFS('United Data'!$A$3:$A$2150,D$1,'United Data'!$C$3:$C$2150,$A488)&gt;0,1,0)</f>
        <v>0</v>
      </c>
      <c r="E488">
        <f>IF(COUNTIFS('United Data'!$A$3:$A$2150,E$1,'United Data'!$C$3:$C$2150,$A488)&gt;0,1,0)</f>
        <v>0</v>
      </c>
      <c r="F488">
        <f>IF(COUNTIFS('United Data'!$A$3:$A$2150,F$1,'United Data'!$C$3:$C$2150,$A488)&gt;0,1,0)</f>
        <v>0</v>
      </c>
      <c r="G488">
        <f>IF(COUNTIFS('United Data'!$A$3:$A$2150,G$1,'United Data'!$C$3:$C$2150,$A488)&gt;0,1,0)</f>
        <v>1</v>
      </c>
      <c r="H488">
        <f>IF(COUNTIFS('United Data'!$A$3:$A$2150,H$1,'United Data'!$C$3:$C$2150,$A488)&gt;0,1,0)</f>
        <v>0</v>
      </c>
      <c r="I488">
        <f>IF(COUNTIFS('United Data'!$A$3:$A$2150,I$1,'United Data'!$C$3:$C$2150,$A488)&gt;0,1,0)</f>
        <v>0</v>
      </c>
      <c r="J488">
        <f>IF(COUNTIFS('United Data'!$A$3:$A$2150,J$1,'United Data'!$C$3:$C$2150,$A488)&gt;0,1,0)</f>
        <v>0</v>
      </c>
      <c r="K488">
        <f>IF(COUNTIFS('United Data'!$A$3:$A$2150,K$1,'United Data'!$C$3:$C$2150,$A488)&gt;0,1,0)</f>
        <v>0</v>
      </c>
      <c r="L488">
        <f>IF(COUNTIFS('United Data'!$A$3:$A$2150,L$1,'United Data'!$C$3:$C$2150,$A488)&gt;0,1,0)</f>
        <v>0</v>
      </c>
      <c r="M488">
        <f>IF(COUNTIFS('United Data'!$A$3:$A$2150,M$1,'United Data'!$C$3:$C$2150,$A488)&gt;0,1,0)</f>
        <v>0</v>
      </c>
      <c r="N488">
        <f>IF(COUNTIFS('United Data'!$A$3:$A$2150,N$1,'United Data'!$C$3:$C$2150,$A488)&gt;0,1,0)</f>
        <v>0</v>
      </c>
      <c r="O488">
        <f>IF(COUNTIFS('United Data'!$A$3:$A$2150,O$1,'United Data'!$C$3:$C$2150,$A488)&gt;0,1,0)</f>
        <v>0</v>
      </c>
      <c r="P488">
        <f>IF(COUNTIFS('United Data'!$A$3:$A$2150,P$1,'United Data'!$C$3:$C$2150,$A488)&gt;0,1,0)</f>
        <v>0</v>
      </c>
      <c r="Q488">
        <f>IF(COUNTIFS('United Data'!$A$3:$A$2150,Q$1,'United Data'!$C$3:$C$2150,$A488)&gt;0,1,0)</f>
        <v>0</v>
      </c>
      <c r="R488">
        <f>IF(COUNTIFS('United Data'!$A$3:$A$2150,R$1,'United Data'!$C$3:$C$2150,$A488)&gt;0,1,0)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535</v>
      </c>
      <c r="B489">
        <f>IF(COUNTIFS('United Data'!$A$3:$A$2150,B$1,'United Data'!$C$3:$C$2150,$A489)&gt;0,1,0)</f>
        <v>0</v>
      </c>
      <c r="C489">
        <f>IF(COUNTIFS('United Data'!$A$3:$A$2150,C$1,'United Data'!$C$3:$C$2150,$A489)&gt;0,1,0)</f>
        <v>0</v>
      </c>
      <c r="D489">
        <f>IF(COUNTIFS('United Data'!$A$3:$A$2150,D$1,'United Data'!$C$3:$C$2150,$A489)&gt;0,1,0)</f>
        <v>0</v>
      </c>
      <c r="E489">
        <f>IF(COUNTIFS('United Data'!$A$3:$A$2150,E$1,'United Data'!$C$3:$C$2150,$A489)&gt;0,1,0)</f>
        <v>0</v>
      </c>
      <c r="F489">
        <f>IF(COUNTIFS('United Data'!$A$3:$A$2150,F$1,'United Data'!$C$3:$C$2150,$A489)&gt;0,1,0)</f>
        <v>0</v>
      </c>
      <c r="G489">
        <f>IF(COUNTIFS('United Data'!$A$3:$A$2150,G$1,'United Data'!$C$3:$C$2150,$A489)&gt;0,1,0)</f>
        <v>1</v>
      </c>
      <c r="H489">
        <f>IF(COUNTIFS('United Data'!$A$3:$A$2150,H$1,'United Data'!$C$3:$C$2150,$A489)&gt;0,1,0)</f>
        <v>0</v>
      </c>
      <c r="I489">
        <f>IF(COUNTIFS('United Data'!$A$3:$A$2150,I$1,'United Data'!$C$3:$C$2150,$A489)&gt;0,1,0)</f>
        <v>0</v>
      </c>
      <c r="J489">
        <f>IF(COUNTIFS('United Data'!$A$3:$A$2150,J$1,'United Data'!$C$3:$C$2150,$A489)&gt;0,1,0)</f>
        <v>0</v>
      </c>
      <c r="K489">
        <f>IF(COUNTIFS('United Data'!$A$3:$A$2150,K$1,'United Data'!$C$3:$C$2150,$A489)&gt;0,1,0)</f>
        <v>0</v>
      </c>
      <c r="L489">
        <f>IF(COUNTIFS('United Data'!$A$3:$A$2150,L$1,'United Data'!$C$3:$C$2150,$A489)&gt;0,1,0)</f>
        <v>0</v>
      </c>
      <c r="M489">
        <f>IF(COUNTIFS('United Data'!$A$3:$A$2150,M$1,'United Data'!$C$3:$C$2150,$A489)&gt;0,1,0)</f>
        <v>0</v>
      </c>
      <c r="N489">
        <f>IF(COUNTIFS('United Data'!$A$3:$A$2150,N$1,'United Data'!$C$3:$C$2150,$A489)&gt;0,1,0)</f>
        <v>0</v>
      </c>
      <c r="O489">
        <f>IF(COUNTIFS('United Data'!$A$3:$A$2150,O$1,'United Data'!$C$3:$C$2150,$A489)&gt;0,1,0)</f>
        <v>0</v>
      </c>
      <c r="P489">
        <f>IF(COUNTIFS('United Data'!$A$3:$A$2150,P$1,'United Data'!$C$3:$C$2150,$A489)&gt;0,1,0)</f>
        <v>0</v>
      </c>
      <c r="Q489">
        <f>IF(COUNTIFS('United Data'!$A$3:$A$2150,Q$1,'United Data'!$C$3:$C$2150,$A489)&gt;0,1,0)</f>
        <v>0</v>
      </c>
      <c r="R489">
        <f>IF(COUNTIFS('United Data'!$A$3:$A$2150,R$1,'United Data'!$C$3:$C$2150,$A489)&gt;0,1,0)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536</v>
      </c>
      <c r="B490">
        <f>IF(COUNTIFS('United Data'!$A$3:$A$2150,B$1,'United Data'!$C$3:$C$2150,$A490)&gt;0,1,0)</f>
        <v>0</v>
      </c>
      <c r="C490">
        <f>IF(COUNTIFS('United Data'!$A$3:$A$2150,C$1,'United Data'!$C$3:$C$2150,$A490)&gt;0,1,0)</f>
        <v>0</v>
      </c>
      <c r="D490">
        <f>IF(COUNTIFS('United Data'!$A$3:$A$2150,D$1,'United Data'!$C$3:$C$2150,$A490)&gt;0,1,0)</f>
        <v>0</v>
      </c>
      <c r="E490">
        <f>IF(COUNTIFS('United Data'!$A$3:$A$2150,E$1,'United Data'!$C$3:$C$2150,$A490)&gt;0,1,0)</f>
        <v>0</v>
      </c>
      <c r="F490">
        <f>IF(COUNTIFS('United Data'!$A$3:$A$2150,F$1,'United Data'!$C$3:$C$2150,$A490)&gt;0,1,0)</f>
        <v>0</v>
      </c>
      <c r="G490">
        <f>IF(COUNTIFS('United Data'!$A$3:$A$2150,G$1,'United Data'!$C$3:$C$2150,$A490)&gt;0,1,0)</f>
        <v>1</v>
      </c>
      <c r="H490">
        <f>IF(COUNTIFS('United Data'!$A$3:$A$2150,H$1,'United Data'!$C$3:$C$2150,$A490)&gt;0,1,0)</f>
        <v>1</v>
      </c>
      <c r="I490">
        <f>IF(COUNTIFS('United Data'!$A$3:$A$2150,I$1,'United Data'!$C$3:$C$2150,$A490)&gt;0,1,0)</f>
        <v>1</v>
      </c>
      <c r="J490">
        <f>IF(COUNTIFS('United Data'!$A$3:$A$2150,J$1,'United Data'!$C$3:$C$2150,$A490)&gt;0,1,0)</f>
        <v>1</v>
      </c>
      <c r="K490">
        <f>IF(COUNTIFS('United Data'!$A$3:$A$2150,K$1,'United Data'!$C$3:$C$2150,$A490)&gt;0,1,0)</f>
        <v>1</v>
      </c>
      <c r="L490">
        <f>IF(COUNTIFS('United Data'!$A$3:$A$2150,L$1,'United Data'!$C$3:$C$2150,$A490)&gt;0,1,0)</f>
        <v>1</v>
      </c>
      <c r="M490">
        <f>IF(COUNTIFS('United Data'!$A$3:$A$2150,M$1,'United Data'!$C$3:$C$2150,$A490)&gt;0,1,0)</f>
        <v>1</v>
      </c>
      <c r="N490">
        <f>IF(COUNTIFS('United Data'!$A$3:$A$2150,N$1,'United Data'!$C$3:$C$2150,$A490)&gt;0,1,0)</f>
        <v>1</v>
      </c>
      <c r="O490">
        <f>IF(COUNTIFS('United Data'!$A$3:$A$2150,O$1,'United Data'!$C$3:$C$2150,$A490)&gt;0,1,0)</f>
        <v>1</v>
      </c>
      <c r="P490">
        <f>IF(COUNTIFS('United Data'!$A$3:$A$2150,P$1,'United Data'!$C$3:$C$2150,$A490)&gt;0,1,0)</f>
        <v>1</v>
      </c>
      <c r="Q490">
        <f>IF(COUNTIFS('United Data'!$A$3:$A$2150,Q$1,'United Data'!$C$3:$C$2150,$A490)&gt;0,1,0)</f>
        <v>0</v>
      </c>
      <c r="R490">
        <f>IF(COUNTIFS('United Data'!$A$3:$A$2150,R$1,'United Data'!$C$3:$C$2150,$A490)&gt;0,1,0)</f>
        <v>0</v>
      </c>
      <c r="S490">
        <f t="shared" si="14"/>
        <v>10</v>
      </c>
      <c r="T490">
        <f t="shared" si="15"/>
        <v>1</v>
      </c>
    </row>
    <row r="491" spans="1:20" x14ac:dyDescent="0.2">
      <c r="A491" t="s">
        <v>537</v>
      </c>
      <c r="B491">
        <f>IF(COUNTIFS('United Data'!$A$3:$A$2150,B$1,'United Data'!$C$3:$C$2150,$A491)&gt;0,1,0)</f>
        <v>0</v>
      </c>
      <c r="C491">
        <f>IF(COUNTIFS('United Data'!$A$3:$A$2150,C$1,'United Data'!$C$3:$C$2150,$A491)&gt;0,1,0)</f>
        <v>0</v>
      </c>
      <c r="D491">
        <f>IF(COUNTIFS('United Data'!$A$3:$A$2150,D$1,'United Data'!$C$3:$C$2150,$A491)&gt;0,1,0)</f>
        <v>0</v>
      </c>
      <c r="E491">
        <f>IF(COUNTIFS('United Data'!$A$3:$A$2150,E$1,'United Data'!$C$3:$C$2150,$A491)&gt;0,1,0)</f>
        <v>0</v>
      </c>
      <c r="F491">
        <f>IF(COUNTIFS('United Data'!$A$3:$A$2150,F$1,'United Data'!$C$3:$C$2150,$A491)&gt;0,1,0)</f>
        <v>0</v>
      </c>
      <c r="G491">
        <f>IF(COUNTIFS('United Data'!$A$3:$A$2150,G$1,'United Data'!$C$3:$C$2150,$A491)&gt;0,1,0)</f>
        <v>0</v>
      </c>
      <c r="H491">
        <f>IF(COUNTIFS('United Data'!$A$3:$A$2150,H$1,'United Data'!$C$3:$C$2150,$A491)&gt;0,1,0)</f>
        <v>1</v>
      </c>
      <c r="I491">
        <f>IF(COUNTIFS('United Data'!$A$3:$A$2150,I$1,'United Data'!$C$3:$C$2150,$A491)&gt;0,1,0)</f>
        <v>0</v>
      </c>
      <c r="J491">
        <f>IF(COUNTIFS('United Data'!$A$3:$A$2150,J$1,'United Data'!$C$3:$C$2150,$A491)&gt;0,1,0)</f>
        <v>0</v>
      </c>
      <c r="K491">
        <f>IF(COUNTIFS('United Data'!$A$3:$A$2150,K$1,'United Data'!$C$3:$C$2150,$A491)&gt;0,1,0)</f>
        <v>0</v>
      </c>
      <c r="L491">
        <f>IF(COUNTIFS('United Data'!$A$3:$A$2150,L$1,'United Data'!$C$3:$C$2150,$A491)&gt;0,1,0)</f>
        <v>0</v>
      </c>
      <c r="M491">
        <f>IF(COUNTIFS('United Data'!$A$3:$A$2150,M$1,'United Data'!$C$3:$C$2150,$A491)&gt;0,1,0)</f>
        <v>0</v>
      </c>
      <c r="N491">
        <f>IF(COUNTIFS('United Data'!$A$3:$A$2150,N$1,'United Data'!$C$3:$C$2150,$A491)&gt;0,1,0)</f>
        <v>0</v>
      </c>
      <c r="O491">
        <f>IF(COUNTIFS('United Data'!$A$3:$A$2150,O$1,'United Data'!$C$3:$C$2150,$A491)&gt;0,1,0)</f>
        <v>0</v>
      </c>
      <c r="P491">
        <f>IF(COUNTIFS('United Data'!$A$3:$A$2150,P$1,'United Data'!$C$3:$C$2150,$A491)&gt;0,1,0)</f>
        <v>0</v>
      </c>
      <c r="Q491">
        <f>IF(COUNTIFS('United Data'!$A$3:$A$2150,Q$1,'United Data'!$C$3:$C$2150,$A491)&gt;0,1,0)</f>
        <v>0</v>
      </c>
      <c r="R491">
        <f>IF(COUNTIFS('United Data'!$A$3:$A$2150,R$1,'United Data'!$C$3:$C$2150,$A491)&gt;0,1,0)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538</v>
      </c>
      <c r="B492">
        <f>IF(COUNTIFS('United Data'!$A$3:$A$2150,B$1,'United Data'!$C$3:$C$2150,$A492)&gt;0,1,0)</f>
        <v>0</v>
      </c>
      <c r="C492">
        <f>IF(COUNTIFS('United Data'!$A$3:$A$2150,C$1,'United Data'!$C$3:$C$2150,$A492)&gt;0,1,0)</f>
        <v>0</v>
      </c>
      <c r="D492">
        <f>IF(COUNTIFS('United Data'!$A$3:$A$2150,D$1,'United Data'!$C$3:$C$2150,$A492)&gt;0,1,0)</f>
        <v>0</v>
      </c>
      <c r="E492">
        <f>IF(COUNTIFS('United Data'!$A$3:$A$2150,E$1,'United Data'!$C$3:$C$2150,$A492)&gt;0,1,0)</f>
        <v>0</v>
      </c>
      <c r="F492">
        <f>IF(COUNTIFS('United Data'!$A$3:$A$2150,F$1,'United Data'!$C$3:$C$2150,$A492)&gt;0,1,0)</f>
        <v>0</v>
      </c>
      <c r="G492">
        <f>IF(COUNTIFS('United Data'!$A$3:$A$2150,G$1,'United Data'!$C$3:$C$2150,$A492)&gt;0,1,0)</f>
        <v>0</v>
      </c>
      <c r="H492">
        <f>IF(COUNTIFS('United Data'!$A$3:$A$2150,H$1,'United Data'!$C$3:$C$2150,$A492)&gt;0,1,0)</f>
        <v>1</v>
      </c>
      <c r="I492">
        <f>IF(COUNTIFS('United Data'!$A$3:$A$2150,I$1,'United Data'!$C$3:$C$2150,$A492)&gt;0,1,0)</f>
        <v>0</v>
      </c>
      <c r="J492">
        <f>IF(COUNTIFS('United Data'!$A$3:$A$2150,J$1,'United Data'!$C$3:$C$2150,$A492)&gt;0,1,0)</f>
        <v>0</v>
      </c>
      <c r="K492">
        <f>IF(COUNTIFS('United Data'!$A$3:$A$2150,K$1,'United Data'!$C$3:$C$2150,$A492)&gt;0,1,0)</f>
        <v>0</v>
      </c>
      <c r="L492">
        <f>IF(COUNTIFS('United Data'!$A$3:$A$2150,L$1,'United Data'!$C$3:$C$2150,$A492)&gt;0,1,0)</f>
        <v>0</v>
      </c>
      <c r="M492">
        <f>IF(COUNTIFS('United Data'!$A$3:$A$2150,M$1,'United Data'!$C$3:$C$2150,$A492)&gt;0,1,0)</f>
        <v>0</v>
      </c>
      <c r="N492">
        <f>IF(COUNTIFS('United Data'!$A$3:$A$2150,N$1,'United Data'!$C$3:$C$2150,$A492)&gt;0,1,0)</f>
        <v>0</v>
      </c>
      <c r="O492">
        <f>IF(COUNTIFS('United Data'!$A$3:$A$2150,O$1,'United Data'!$C$3:$C$2150,$A492)&gt;0,1,0)</f>
        <v>0</v>
      </c>
      <c r="P492">
        <f>IF(COUNTIFS('United Data'!$A$3:$A$2150,P$1,'United Data'!$C$3:$C$2150,$A492)&gt;0,1,0)</f>
        <v>0</v>
      </c>
      <c r="Q492">
        <f>IF(COUNTIFS('United Data'!$A$3:$A$2150,Q$1,'United Data'!$C$3:$C$2150,$A492)&gt;0,1,0)</f>
        <v>0</v>
      </c>
      <c r="R492">
        <f>IF(COUNTIFS('United Data'!$A$3:$A$2150,R$1,'United Data'!$C$3:$C$2150,$A492)&gt;0,1,0)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539</v>
      </c>
      <c r="B493">
        <f>IF(COUNTIFS('United Data'!$A$3:$A$2150,B$1,'United Data'!$C$3:$C$2150,$A493)&gt;0,1,0)</f>
        <v>0</v>
      </c>
      <c r="C493">
        <f>IF(COUNTIFS('United Data'!$A$3:$A$2150,C$1,'United Data'!$C$3:$C$2150,$A493)&gt;0,1,0)</f>
        <v>0</v>
      </c>
      <c r="D493">
        <f>IF(COUNTIFS('United Data'!$A$3:$A$2150,D$1,'United Data'!$C$3:$C$2150,$A493)&gt;0,1,0)</f>
        <v>0</v>
      </c>
      <c r="E493">
        <f>IF(COUNTIFS('United Data'!$A$3:$A$2150,E$1,'United Data'!$C$3:$C$2150,$A493)&gt;0,1,0)</f>
        <v>0</v>
      </c>
      <c r="F493">
        <f>IF(COUNTIFS('United Data'!$A$3:$A$2150,F$1,'United Data'!$C$3:$C$2150,$A493)&gt;0,1,0)</f>
        <v>0</v>
      </c>
      <c r="G493">
        <f>IF(COUNTIFS('United Data'!$A$3:$A$2150,G$1,'United Data'!$C$3:$C$2150,$A493)&gt;0,1,0)</f>
        <v>0</v>
      </c>
      <c r="H493">
        <f>IF(COUNTIFS('United Data'!$A$3:$A$2150,H$1,'United Data'!$C$3:$C$2150,$A493)&gt;0,1,0)</f>
        <v>1</v>
      </c>
      <c r="I493">
        <f>IF(COUNTIFS('United Data'!$A$3:$A$2150,I$1,'United Data'!$C$3:$C$2150,$A493)&gt;0,1,0)</f>
        <v>0</v>
      </c>
      <c r="J493">
        <f>IF(COUNTIFS('United Data'!$A$3:$A$2150,J$1,'United Data'!$C$3:$C$2150,$A493)&gt;0,1,0)</f>
        <v>0</v>
      </c>
      <c r="K493">
        <f>IF(COUNTIFS('United Data'!$A$3:$A$2150,K$1,'United Data'!$C$3:$C$2150,$A493)&gt;0,1,0)</f>
        <v>0</v>
      </c>
      <c r="L493">
        <f>IF(COUNTIFS('United Data'!$A$3:$A$2150,L$1,'United Data'!$C$3:$C$2150,$A493)&gt;0,1,0)</f>
        <v>0</v>
      </c>
      <c r="M493">
        <f>IF(COUNTIFS('United Data'!$A$3:$A$2150,M$1,'United Data'!$C$3:$C$2150,$A493)&gt;0,1,0)</f>
        <v>0</v>
      </c>
      <c r="N493">
        <f>IF(COUNTIFS('United Data'!$A$3:$A$2150,N$1,'United Data'!$C$3:$C$2150,$A493)&gt;0,1,0)</f>
        <v>0</v>
      </c>
      <c r="O493">
        <f>IF(COUNTIFS('United Data'!$A$3:$A$2150,O$1,'United Data'!$C$3:$C$2150,$A493)&gt;0,1,0)</f>
        <v>0</v>
      </c>
      <c r="P493">
        <f>IF(COUNTIFS('United Data'!$A$3:$A$2150,P$1,'United Data'!$C$3:$C$2150,$A493)&gt;0,1,0)</f>
        <v>0</v>
      </c>
      <c r="Q493">
        <f>IF(COUNTIFS('United Data'!$A$3:$A$2150,Q$1,'United Data'!$C$3:$C$2150,$A493)&gt;0,1,0)</f>
        <v>0</v>
      </c>
      <c r="R493">
        <f>IF(COUNTIFS('United Data'!$A$3:$A$2150,R$1,'United Data'!$C$3:$C$2150,$A493)&gt;0,1,0)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540</v>
      </c>
      <c r="B494">
        <f>IF(COUNTIFS('United Data'!$A$3:$A$2150,B$1,'United Data'!$C$3:$C$2150,$A494)&gt;0,1,0)</f>
        <v>0</v>
      </c>
      <c r="C494">
        <f>IF(COUNTIFS('United Data'!$A$3:$A$2150,C$1,'United Data'!$C$3:$C$2150,$A494)&gt;0,1,0)</f>
        <v>0</v>
      </c>
      <c r="D494">
        <f>IF(COUNTIFS('United Data'!$A$3:$A$2150,D$1,'United Data'!$C$3:$C$2150,$A494)&gt;0,1,0)</f>
        <v>0</v>
      </c>
      <c r="E494">
        <f>IF(COUNTIFS('United Data'!$A$3:$A$2150,E$1,'United Data'!$C$3:$C$2150,$A494)&gt;0,1,0)</f>
        <v>0</v>
      </c>
      <c r="F494">
        <f>IF(COUNTIFS('United Data'!$A$3:$A$2150,F$1,'United Data'!$C$3:$C$2150,$A494)&gt;0,1,0)</f>
        <v>0</v>
      </c>
      <c r="G494">
        <f>IF(COUNTIFS('United Data'!$A$3:$A$2150,G$1,'United Data'!$C$3:$C$2150,$A494)&gt;0,1,0)</f>
        <v>0</v>
      </c>
      <c r="H494">
        <f>IF(COUNTIFS('United Data'!$A$3:$A$2150,H$1,'United Data'!$C$3:$C$2150,$A494)&gt;0,1,0)</f>
        <v>1</v>
      </c>
      <c r="I494">
        <f>IF(COUNTIFS('United Data'!$A$3:$A$2150,I$1,'United Data'!$C$3:$C$2150,$A494)&gt;0,1,0)</f>
        <v>0</v>
      </c>
      <c r="J494">
        <f>IF(COUNTIFS('United Data'!$A$3:$A$2150,J$1,'United Data'!$C$3:$C$2150,$A494)&gt;0,1,0)</f>
        <v>0</v>
      </c>
      <c r="K494">
        <f>IF(COUNTIFS('United Data'!$A$3:$A$2150,K$1,'United Data'!$C$3:$C$2150,$A494)&gt;0,1,0)</f>
        <v>0</v>
      </c>
      <c r="L494">
        <f>IF(COUNTIFS('United Data'!$A$3:$A$2150,L$1,'United Data'!$C$3:$C$2150,$A494)&gt;0,1,0)</f>
        <v>0</v>
      </c>
      <c r="M494">
        <f>IF(COUNTIFS('United Data'!$A$3:$A$2150,M$1,'United Data'!$C$3:$C$2150,$A494)&gt;0,1,0)</f>
        <v>0</v>
      </c>
      <c r="N494">
        <f>IF(COUNTIFS('United Data'!$A$3:$A$2150,N$1,'United Data'!$C$3:$C$2150,$A494)&gt;0,1,0)</f>
        <v>0</v>
      </c>
      <c r="O494">
        <f>IF(COUNTIFS('United Data'!$A$3:$A$2150,O$1,'United Data'!$C$3:$C$2150,$A494)&gt;0,1,0)</f>
        <v>0</v>
      </c>
      <c r="P494">
        <f>IF(COUNTIFS('United Data'!$A$3:$A$2150,P$1,'United Data'!$C$3:$C$2150,$A494)&gt;0,1,0)</f>
        <v>0</v>
      </c>
      <c r="Q494">
        <f>IF(COUNTIFS('United Data'!$A$3:$A$2150,Q$1,'United Data'!$C$3:$C$2150,$A494)&gt;0,1,0)</f>
        <v>0</v>
      </c>
      <c r="R494">
        <f>IF(COUNTIFS('United Data'!$A$3:$A$2150,R$1,'United Data'!$C$3:$C$2150,$A494)&gt;0,1,0)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541</v>
      </c>
      <c r="B495">
        <f>IF(COUNTIFS('United Data'!$A$3:$A$2150,B$1,'United Data'!$C$3:$C$2150,$A495)&gt;0,1,0)</f>
        <v>0</v>
      </c>
      <c r="C495">
        <f>IF(COUNTIFS('United Data'!$A$3:$A$2150,C$1,'United Data'!$C$3:$C$2150,$A495)&gt;0,1,0)</f>
        <v>0</v>
      </c>
      <c r="D495">
        <f>IF(COUNTIFS('United Data'!$A$3:$A$2150,D$1,'United Data'!$C$3:$C$2150,$A495)&gt;0,1,0)</f>
        <v>0</v>
      </c>
      <c r="E495">
        <f>IF(COUNTIFS('United Data'!$A$3:$A$2150,E$1,'United Data'!$C$3:$C$2150,$A495)&gt;0,1,0)</f>
        <v>0</v>
      </c>
      <c r="F495">
        <f>IF(COUNTIFS('United Data'!$A$3:$A$2150,F$1,'United Data'!$C$3:$C$2150,$A495)&gt;0,1,0)</f>
        <v>0</v>
      </c>
      <c r="G495">
        <f>IF(COUNTIFS('United Data'!$A$3:$A$2150,G$1,'United Data'!$C$3:$C$2150,$A495)&gt;0,1,0)</f>
        <v>0</v>
      </c>
      <c r="H495">
        <f>IF(COUNTIFS('United Data'!$A$3:$A$2150,H$1,'United Data'!$C$3:$C$2150,$A495)&gt;0,1,0)</f>
        <v>1</v>
      </c>
      <c r="I495">
        <f>IF(COUNTIFS('United Data'!$A$3:$A$2150,I$1,'United Data'!$C$3:$C$2150,$A495)&gt;0,1,0)</f>
        <v>1</v>
      </c>
      <c r="J495">
        <f>IF(COUNTIFS('United Data'!$A$3:$A$2150,J$1,'United Data'!$C$3:$C$2150,$A495)&gt;0,1,0)</f>
        <v>0</v>
      </c>
      <c r="K495">
        <f>IF(COUNTIFS('United Data'!$A$3:$A$2150,K$1,'United Data'!$C$3:$C$2150,$A495)&gt;0,1,0)</f>
        <v>0</v>
      </c>
      <c r="L495">
        <f>IF(COUNTIFS('United Data'!$A$3:$A$2150,L$1,'United Data'!$C$3:$C$2150,$A495)&gt;0,1,0)</f>
        <v>0</v>
      </c>
      <c r="M495">
        <f>IF(COUNTIFS('United Data'!$A$3:$A$2150,M$1,'United Data'!$C$3:$C$2150,$A495)&gt;0,1,0)</f>
        <v>0</v>
      </c>
      <c r="N495">
        <f>IF(COUNTIFS('United Data'!$A$3:$A$2150,N$1,'United Data'!$C$3:$C$2150,$A495)&gt;0,1,0)</f>
        <v>0</v>
      </c>
      <c r="O495">
        <f>IF(COUNTIFS('United Data'!$A$3:$A$2150,O$1,'United Data'!$C$3:$C$2150,$A495)&gt;0,1,0)</f>
        <v>0</v>
      </c>
      <c r="P495">
        <f>IF(COUNTIFS('United Data'!$A$3:$A$2150,P$1,'United Data'!$C$3:$C$2150,$A495)&gt;0,1,0)</f>
        <v>0</v>
      </c>
      <c r="Q495">
        <f>IF(COUNTIFS('United Data'!$A$3:$A$2150,Q$1,'United Data'!$C$3:$C$2150,$A495)&gt;0,1,0)</f>
        <v>0</v>
      </c>
      <c r="R495">
        <f>IF(COUNTIFS('United Data'!$A$3:$A$2150,R$1,'United Data'!$C$3:$C$2150,$A495)&gt;0,1,0)</f>
        <v>0</v>
      </c>
      <c r="S495">
        <f t="shared" si="14"/>
        <v>2</v>
      </c>
      <c r="T495">
        <f t="shared" si="15"/>
        <v>1</v>
      </c>
    </row>
    <row r="496" spans="1:20" x14ac:dyDescent="0.2">
      <c r="A496" t="s">
        <v>542</v>
      </c>
      <c r="B496">
        <f>IF(COUNTIFS('United Data'!$A$3:$A$2150,B$1,'United Data'!$C$3:$C$2150,$A496)&gt;0,1,0)</f>
        <v>0</v>
      </c>
      <c r="C496">
        <f>IF(COUNTIFS('United Data'!$A$3:$A$2150,C$1,'United Data'!$C$3:$C$2150,$A496)&gt;0,1,0)</f>
        <v>0</v>
      </c>
      <c r="D496">
        <f>IF(COUNTIFS('United Data'!$A$3:$A$2150,D$1,'United Data'!$C$3:$C$2150,$A496)&gt;0,1,0)</f>
        <v>0</v>
      </c>
      <c r="E496">
        <f>IF(COUNTIFS('United Data'!$A$3:$A$2150,E$1,'United Data'!$C$3:$C$2150,$A496)&gt;0,1,0)</f>
        <v>0</v>
      </c>
      <c r="F496">
        <f>IF(COUNTIFS('United Data'!$A$3:$A$2150,F$1,'United Data'!$C$3:$C$2150,$A496)&gt;0,1,0)</f>
        <v>0</v>
      </c>
      <c r="G496">
        <f>IF(COUNTIFS('United Data'!$A$3:$A$2150,G$1,'United Data'!$C$3:$C$2150,$A496)&gt;0,1,0)</f>
        <v>0</v>
      </c>
      <c r="H496">
        <f>IF(COUNTIFS('United Data'!$A$3:$A$2150,H$1,'United Data'!$C$3:$C$2150,$A496)&gt;0,1,0)</f>
        <v>1</v>
      </c>
      <c r="I496">
        <f>IF(COUNTIFS('United Data'!$A$3:$A$2150,I$1,'United Data'!$C$3:$C$2150,$A496)&gt;0,1,0)</f>
        <v>0</v>
      </c>
      <c r="J496">
        <f>IF(COUNTIFS('United Data'!$A$3:$A$2150,J$1,'United Data'!$C$3:$C$2150,$A496)&gt;0,1,0)</f>
        <v>0</v>
      </c>
      <c r="K496">
        <f>IF(COUNTIFS('United Data'!$A$3:$A$2150,K$1,'United Data'!$C$3:$C$2150,$A496)&gt;0,1,0)</f>
        <v>0</v>
      </c>
      <c r="L496">
        <f>IF(COUNTIFS('United Data'!$A$3:$A$2150,L$1,'United Data'!$C$3:$C$2150,$A496)&gt;0,1,0)</f>
        <v>0</v>
      </c>
      <c r="M496">
        <f>IF(COUNTIFS('United Data'!$A$3:$A$2150,M$1,'United Data'!$C$3:$C$2150,$A496)&gt;0,1,0)</f>
        <v>0</v>
      </c>
      <c r="N496">
        <f>IF(COUNTIFS('United Data'!$A$3:$A$2150,N$1,'United Data'!$C$3:$C$2150,$A496)&gt;0,1,0)</f>
        <v>0</v>
      </c>
      <c r="O496">
        <f>IF(COUNTIFS('United Data'!$A$3:$A$2150,O$1,'United Data'!$C$3:$C$2150,$A496)&gt;0,1,0)</f>
        <v>0</v>
      </c>
      <c r="P496">
        <f>IF(COUNTIFS('United Data'!$A$3:$A$2150,P$1,'United Data'!$C$3:$C$2150,$A496)&gt;0,1,0)</f>
        <v>0</v>
      </c>
      <c r="Q496">
        <f>IF(COUNTIFS('United Data'!$A$3:$A$2150,Q$1,'United Data'!$C$3:$C$2150,$A496)&gt;0,1,0)</f>
        <v>0</v>
      </c>
      <c r="R496">
        <f>IF(COUNTIFS('United Data'!$A$3:$A$2150,R$1,'United Data'!$C$3:$C$2150,$A496)&gt;0,1,0)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543</v>
      </c>
      <c r="B497">
        <f>IF(COUNTIFS('United Data'!$A$3:$A$2150,B$1,'United Data'!$C$3:$C$2150,$A497)&gt;0,1,0)</f>
        <v>0</v>
      </c>
      <c r="C497">
        <f>IF(COUNTIFS('United Data'!$A$3:$A$2150,C$1,'United Data'!$C$3:$C$2150,$A497)&gt;0,1,0)</f>
        <v>0</v>
      </c>
      <c r="D497">
        <f>IF(COUNTIFS('United Data'!$A$3:$A$2150,D$1,'United Data'!$C$3:$C$2150,$A497)&gt;0,1,0)</f>
        <v>0</v>
      </c>
      <c r="E497">
        <f>IF(COUNTIFS('United Data'!$A$3:$A$2150,E$1,'United Data'!$C$3:$C$2150,$A497)&gt;0,1,0)</f>
        <v>0</v>
      </c>
      <c r="F497">
        <f>IF(COUNTIFS('United Data'!$A$3:$A$2150,F$1,'United Data'!$C$3:$C$2150,$A497)&gt;0,1,0)</f>
        <v>0</v>
      </c>
      <c r="G497">
        <f>IF(COUNTIFS('United Data'!$A$3:$A$2150,G$1,'United Data'!$C$3:$C$2150,$A497)&gt;0,1,0)</f>
        <v>0</v>
      </c>
      <c r="H497">
        <f>IF(COUNTIFS('United Data'!$A$3:$A$2150,H$1,'United Data'!$C$3:$C$2150,$A497)&gt;0,1,0)</f>
        <v>1</v>
      </c>
      <c r="I497">
        <f>IF(COUNTIFS('United Data'!$A$3:$A$2150,I$1,'United Data'!$C$3:$C$2150,$A497)&gt;0,1,0)</f>
        <v>1</v>
      </c>
      <c r="J497">
        <f>IF(COUNTIFS('United Data'!$A$3:$A$2150,J$1,'United Data'!$C$3:$C$2150,$A497)&gt;0,1,0)</f>
        <v>0</v>
      </c>
      <c r="K497">
        <f>IF(COUNTIFS('United Data'!$A$3:$A$2150,K$1,'United Data'!$C$3:$C$2150,$A497)&gt;0,1,0)</f>
        <v>0</v>
      </c>
      <c r="L497">
        <f>IF(COUNTIFS('United Data'!$A$3:$A$2150,L$1,'United Data'!$C$3:$C$2150,$A497)&gt;0,1,0)</f>
        <v>0</v>
      </c>
      <c r="M497">
        <f>IF(COUNTIFS('United Data'!$A$3:$A$2150,M$1,'United Data'!$C$3:$C$2150,$A497)&gt;0,1,0)</f>
        <v>0</v>
      </c>
      <c r="N497">
        <f>IF(COUNTIFS('United Data'!$A$3:$A$2150,N$1,'United Data'!$C$3:$C$2150,$A497)&gt;0,1,0)</f>
        <v>0</v>
      </c>
      <c r="O497">
        <f>IF(COUNTIFS('United Data'!$A$3:$A$2150,O$1,'United Data'!$C$3:$C$2150,$A497)&gt;0,1,0)</f>
        <v>0</v>
      </c>
      <c r="P497">
        <f>IF(COUNTIFS('United Data'!$A$3:$A$2150,P$1,'United Data'!$C$3:$C$2150,$A497)&gt;0,1,0)</f>
        <v>0</v>
      </c>
      <c r="Q497">
        <f>IF(COUNTIFS('United Data'!$A$3:$A$2150,Q$1,'United Data'!$C$3:$C$2150,$A497)&gt;0,1,0)</f>
        <v>0</v>
      </c>
      <c r="R497">
        <f>IF(COUNTIFS('United Data'!$A$3:$A$2150,R$1,'United Data'!$C$3:$C$2150,$A497)&gt;0,1,0)</f>
        <v>0</v>
      </c>
      <c r="S497">
        <f t="shared" si="14"/>
        <v>2</v>
      </c>
      <c r="T497">
        <f t="shared" si="15"/>
        <v>1</v>
      </c>
    </row>
    <row r="498" spans="1:20" x14ac:dyDescent="0.2">
      <c r="A498" t="s">
        <v>544</v>
      </c>
      <c r="B498">
        <f>IF(COUNTIFS('United Data'!$A$3:$A$2150,B$1,'United Data'!$C$3:$C$2150,$A498)&gt;0,1,0)</f>
        <v>0</v>
      </c>
      <c r="C498">
        <f>IF(COUNTIFS('United Data'!$A$3:$A$2150,C$1,'United Data'!$C$3:$C$2150,$A498)&gt;0,1,0)</f>
        <v>0</v>
      </c>
      <c r="D498">
        <f>IF(COUNTIFS('United Data'!$A$3:$A$2150,D$1,'United Data'!$C$3:$C$2150,$A498)&gt;0,1,0)</f>
        <v>0</v>
      </c>
      <c r="E498">
        <f>IF(COUNTIFS('United Data'!$A$3:$A$2150,E$1,'United Data'!$C$3:$C$2150,$A498)&gt;0,1,0)</f>
        <v>0</v>
      </c>
      <c r="F498">
        <f>IF(COUNTIFS('United Data'!$A$3:$A$2150,F$1,'United Data'!$C$3:$C$2150,$A498)&gt;0,1,0)</f>
        <v>0</v>
      </c>
      <c r="G498">
        <f>IF(COUNTIFS('United Data'!$A$3:$A$2150,G$1,'United Data'!$C$3:$C$2150,$A498)&gt;0,1,0)</f>
        <v>0</v>
      </c>
      <c r="H498">
        <f>IF(COUNTIFS('United Data'!$A$3:$A$2150,H$1,'United Data'!$C$3:$C$2150,$A498)&gt;0,1,0)</f>
        <v>1</v>
      </c>
      <c r="I498">
        <f>IF(COUNTIFS('United Data'!$A$3:$A$2150,I$1,'United Data'!$C$3:$C$2150,$A498)&gt;0,1,0)</f>
        <v>0</v>
      </c>
      <c r="J498">
        <f>IF(COUNTIFS('United Data'!$A$3:$A$2150,J$1,'United Data'!$C$3:$C$2150,$A498)&gt;0,1,0)</f>
        <v>0</v>
      </c>
      <c r="K498">
        <f>IF(COUNTIFS('United Data'!$A$3:$A$2150,K$1,'United Data'!$C$3:$C$2150,$A498)&gt;0,1,0)</f>
        <v>0</v>
      </c>
      <c r="L498">
        <f>IF(COUNTIFS('United Data'!$A$3:$A$2150,L$1,'United Data'!$C$3:$C$2150,$A498)&gt;0,1,0)</f>
        <v>0</v>
      </c>
      <c r="M498">
        <f>IF(COUNTIFS('United Data'!$A$3:$A$2150,M$1,'United Data'!$C$3:$C$2150,$A498)&gt;0,1,0)</f>
        <v>0</v>
      </c>
      <c r="N498">
        <f>IF(COUNTIFS('United Data'!$A$3:$A$2150,N$1,'United Data'!$C$3:$C$2150,$A498)&gt;0,1,0)</f>
        <v>0</v>
      </c>
      <c r="O498">
        <f>IF(COUNTIFS('United Data'!$A$3:$A$2150,O$1,'United Data'!$C$3:$C$2150,$A498)&gt;0,1,0)</f>
        <v>0</v>
      </c>
      <c r="P498">
        <f>IF(COUNTIFS('United Data'!$A$3:$A$2150,P$1,'United Data'!$C$3:$C$2150,$A498)&gt;0,1,0)</f>
        <v>0</v>
      </c>
      <c r="Q498">
        <f>IF(COUNTIFS('United Data'!$A$3:$A$2150,Q$1,'United Data'!$C$3:$C$2150,$A498)&gt;0,1,0)</f>
        <v>0</v>
      </c>
      <c r="R498">
        <f>IF(COUNTIFS('United Data'!$A$3:$A$2150,R$1,'United Data'!$C$3:$C$2150,$A498)&gt;0,1,0)</f>
        <v>0</v>
      </c>
      <c r="S498">
        <f t="shared" si="14"/>
        <v>1</v>
      </c>
      <c r="T498">
        <f t="shared" si="15"/>
        <v>1</v>
      </c>
    </row>
    <row r="499" spans="1:20" x14ac:dyDescent="0.2">
      <c r="A499" t="s">
        <v>545</v>
      </c>
      <c r="B499">
        <f>IF(COUNTIFS('United Data'!$A$3:$A$2150,B$1,'United Data'!$C$3:$C$2150,$A499)&gt;0,1,0)</f>
        <v>0</v>
      </c>
      <c r="C499">
        <f>IF(COUNTIFS('United Data'!$A$3:$A$2150,C$1,'United Data'!$C$3:$C$2150,$A499)&gt;0,1,0)</f>
        <v>0</v>
      </c>
      <c r="D499">
        <f>IF(COUNTIFS('United Data'!$A$3:$A$2150,D$1,'United Data'!$C$3:$C$2150,$A499)&gt;0,1,0)</f>
        <v>0</v>
      </c>
      <c r="E499">
        <f>IF(COUNTIFS('United Data'!$A$3:$A$2150,E$1,'United Data'!$C$3:$C$2150,$A499)&gt;0,1,0)</f>
        <v>0</v>
      </c>
      <c r="F499">
        <f>IF(COUNTIFS('United Data'!$A$3:$A$2150,F$1,'United Data'!$C$3:$C$2150,$A499)&gt;0,1,0)</f>
        <v>0</v>
      </c>
      <c r="G499">
        <f>IF(COUNTIFS('United Data'!$A$3:$A$2150,G$1,'United Data'!$C$3:$C$2150,$A499)&gt;0,1,0)</f>
        <v>0</v>
      </c>
      <c r="H499">
        <f>IF(COUNTIFS('United Data'!$A$3:$A$2150,H$1,'United Data'!$C$3:$C$2150,$A499)&gt;0,1,0)</f>
        <v>1</v>
      </c>
      <c r="I499">
        <f>IF(COUNTIFS('United Data'!$A$3:$A$2150,I$1,'United Data'!$C$3:$C$2150,$A499)&gt;0,1,0)</f>
        <v>1</v>
      </c>
      <c r="J499">
        <f>IF(COUNTIFS('United Data'!$A$3:$A$2150,J$1,'United Data'!$C$3:$C$2150,$A499)&gt;0,1,0)</f>
        <v>1</v>
      </c>
      <c r="K499">
        <f>IF(COUNTIFS('United Data'!$A$3:$A$2150,K$1,'United Data'!$C$3:$C$2150,$A499)&gt;0,1,0)</f>
        <v>1</v>
      </c>
      <c r="L499">
        <f>IF(COUNTIFS('United Data'!$A$3:$A$2150,L$1,'United Data'!$C$3:$C$2150,$A499)&gt;0,1,0)</f>
        <v>1</v>
      </c>
      <c r="M499">
        <f>IF(COUNTIFS('United Data'!$A$3:$A$2150,M$1,'United Data'!$C$3:$C$2150,$A499)&gt;0,1,0)</f>
        <v>1</v>
      </c>
      <c r="N499">
        <f>IF(COUNTIFS('United Data'!$A$3:$A$2150,N$1,'United Data'!$C$3:$C$2150,$A499)&gt;0,1,0)</f>
        <v>1</v>
      </c>
      <c r="O499">
        <f>IF(COUNTIFS('United Data'!$A$3:$A$2150,O$1,'United Data'!$C$3:$C$2150,$A499)&gt;0,1,0)</f>
        <v>1</v>
      </c>
      <c r="P499">
        <f>IF(COUNTIFS('United Data'!$A$3:$A$2150,P$1,'United Data'!$C$3:$C$2150,$A499)&gt;0,1,0)</f>
        <v>1</v>
      </c>
      <c r="Q499">
        <f>IF(COUNTIFS('United Data'!$A$3:$A$2150,Q$1,'United Data'!$C$3:$C$2150,$A499)&gt;0,1,0)</f>
        <v>1</v>
      </c>
      <c r="R499">
        <f>IF(COUNTIFS('United Data'!$A$3:$A$2150,R$1,'United Data'!$C$3:$C$2150,$A499)&gt;0,1,0)</f>
        <v>0</v>
      </c>
      <c r="S499">
        <f t="shared" si="14"/>
        <v>10</v>
      </c>
      <c r="T499">
        <f t="shared" si="15"/>
        <v>1</v>
      </c>
    </row>
    <row r="500" spans="1:20" x14ac:dyDescent="0.2">
      <c r="A500" t="s">
        <v>546</v>
      </c>
      <c r="B500">
        <f>IF(COUNTIFS('United Data'!$A$3:$A$2150,B$1,'United Data'!$C$3:$C$2150,$A500)&gt;0,1,0)</f>
        <v>0</v>
      </c>
      <c r="C500">
        <f>IF(COUNTIFS('United Data'!$A$3:$A$2150,C$1,'United Data'!$C$3:$C$2150,$A500)&gt;0,1,0)</f>
        <v>0</v>
      </c>
      <c r="D500">
        <f>IF(COUNTIFS('United Data'!$A$3:$A$2150,D$1,'United Data'!$C$3:$C$2150,$A500)&gt;0,1,0)</f>
        <v>0</v>
      </c>
      <c r="E500">
        <f>IF(COUNTIFS('United Data'!$A$3:$A$2150,E$1,'United Data'!$C$3:$C$2150,$A500)&gt;0,1,0)</f>
        <v>0</v>
      </c>
      <c r="F500">
        <f>IF(COUNTIFS('United Data'!$A$3:$A$2150,F$1,'United Data'!$C$3:$C$2150,$A500)&gt;0,1,0)</f>
        <v>0</v>
      </c>
      <c r="G500">
        <f>IF(COUNTIFS('United Data'!$A$3:$A$2150,G$1,'United Data'!$C$3:$C$2150,$A500)&gt;0,1,0)</f>
        <v>0</v>
      </c>
      <c r="H500">
        <f>IF(COUNTIFS('United Data'!$A$3:$A$2150,H$1,'United Data'!$C$3:$C$2150,$A500)&gt;0,1,0)</f>
        <v>1</v>
      </c>
      <c r="I500">
        <f>IF(COUNTIFS('United Data'!$A$3:$A$2150,I$1,'United Data'!$C$3:$C$2150,$A500)&gt;0,1,0)</f>
        <v>0</v>
      </c>
      <c r="J500">
        <f>IF(COUNTIFS('United Data'!$A$3:$A$2150,J$1,'United Data'!$C$3:$C$2150,$A500)&gt;0,1,0)</f>
        <v>0</v>
      </c>
      <c r="K500">
        <f>IF(COUNTIFS('United Data'!$A$3:$A$2150,K$1,'United Data'!$C$3:$C$2150,$A500)&gt;0,1,0)</f>
        <v>0</v>
      </c>
      <c r="L500">
        <f>IF(COUNTIFS('United Data'!$A$3:$A$2150,L$1,'United Data'!$C$3:$C$2150,$A500)&gt;0,1,0)</f>
        <v>0</v>
      </c>
      <c r="M500">
        <f>IF(COUNTIFS('United Data'!$A$3:$A$2150,M$1,'United Data'!$C$3:$C$2150,$A500)&gt;0,1,0)</f>
        <v>0</v>
      </c>
      <c r="N500">
        <f>IF(COUNTIFS('United Data'!$A$3:$A$2150,N$1,'United Data'!$C$3:$C$2150,$A500)&gt;0,1,0)</f>
        <v>0</v>
      </c>
      <c r="O500">
        <f>IF(COUNTIFS('United Data'!$A$3:$A$2150,O$1,'United Data'!$C$3:$C$2150,$A500)&gt;0,1,0)</f>
        <v>0</v>
      </c>
      <c r="P500">
        <f>IF(COUNTIFS('United Data'!$A$3:$A$2150,P$1,'United Data'!$C$3:$C$2150,$A500)&gt;0,1,0)</f>
        <v>0</v>
      </c>
      <c r="Q500">
        <f>IF(COUNTIFS('United Data'!$A$3:$A$2150,Q$1,'United Data'!$C$3:$C$2150,$A500)&gt;0,1,0)</f>
        <v>0</v>
      </c>
      <c r="R500">
        <f>IF(COUNTIFS('United Data'!$A$3:$A$2150,R$1,'United Data'!$C$3:$C$2150,$A500)&gt;0,1,0)</f>
        <v>0</v>
      </c>
      <c r="S500">
        <f t="shared" si="14"/>
        <v>1</v>
      </c>
      <c r="T500">
        <f t="shared" si="15"/>
        <v>1</v>
      </c>
    </row>
    <row r="501" spans="1:20" x14ac:dyDescent="0.2">
      <c r="A501" t="s">
        <v>547</v>
      </c>
      <c r="B501">
        <f>IF(COUNTIFS('United Data'!$A$3:$A$2150,B$1,'United Data'!$C$3:$C$2150,$A501)&gt;0,1,0)</f>
        <v>0</v>
      </c>
      <c r="C501">
        <f>IF(COUNTIFS('United Data'!$A$3:$A$2150,C$1,'United Data'!$C$3:$C$2150,$A501)&gt;0,1,0)</f>
        <v>0</v>
      </c>
      <c r="D501">
        <f>IF(COUNTIFS('United Data'!$A$3:$A$2150,D$1,'United Data'!$C$3:$C$2150,$A501)&gt;0,1,0)</f>
        <v>0</v>
      </c>
      <c r="E501">
        <f>IF(COUNTIFS('United Data'!$A$3:$A$2150,E$1,'United Data'!$C$3:$C$2150,$A501)&gt;0,1,0)</f>
        <v>0</v>
      </c>
      <c r="F501">
        <f>IF(COUNTIFS('United Data'!$A$3:$A$2150,F$1,'United Data'!$C$3:$C$2150,$A501)&gt;0,1,0)</f>
        <v>0</v>
      </c>
      <c r="G501">
        <f>IF(COUNTIFS('United Data'!$A$3:$A$2150,G$1,'United Data'!$C$3:$C$2150,$A501)&gt;0,1,0)</f>
        <v>0</v>
      </c>
      <c r="H501">
        <f>IF(COUNTIFS('United Data'!$A$3:$A$2150,H$1,'United Data'!$C$3:$C$2150,$A501)&gt;0,1,0)</f>
        <v>1</v>
      </c>
      <c r="I501">
        <f>IF(COUNTIFS('United Data'!$A$3:$A$2150,I$1,'United Data'!$C$3:$C$2150,$A501)&gt;0,1,0)</f>
        <v>0</v>
      </c>
      <c r="J501">
        <f>IF(COUNTIFS('United Data'!$A$3:$A$2150,J$1,'United Data'!$C$3:$C$2150,$A501)&gt;0,1,0)</f>
        <v>0</v>
      </c>
      <c r="K501">
        <f>IF(COUNTIFS('United Data'!$A$3:$A$2150,K$1,'United Data'!$C$3:$C$2150,$A501)&gt;0,1,0)</f>
        <v>0</v>
      </c>
      <c r="L501">
        <f>IF(COUNTIFS('United Data'!$A$3:$A$2150,L$1,'United Data'!$C$3:$C$2150,$A501)&gt;0,1,0)</f>
        <v>0</v>
      </c>
      <c r="M501">
        <f>IF(COUNTIFS('United Data'!$A$3:$A$2150,M$1,'United Data'!$C$3:$C$2150,$A501)&gt;0,1,0)</f>
        <v>0</v>
      </c>
      <c r="N501">
        <f>IF(COUNTIFS('United Data'!$A$3:$A$2150,N$1,'United Data'!$C$3:$C$2150,$A501)&gt;0,1,0)</f>
        <v>0</v>
      </c>
      <c r="O501">
        <f>IF(COUNTIFS('United Data'!$A$3:$A$2150,O$1,'United Data'!$C$3:$C$2150,$A501)&gt;0,1,0)</f>
        <v>0</v>
      </c>
      <c r="P501">
        <f>IF(COUNTIFS('United Data'!$A$3:$A$2150,P$1,'United Data'!$C$3:$C$2150,$A501)&gt;0,1,0)</f>
        <v>0</v>
      </c>
      <c r="Q501">
        <f>IF(COUNTIFS('United Data'!$A$3:$A$2150,Q$1,'United Data'!$C$3:$C$2150,$A501)&gt;0,1,0)</f>
        <v>0</v>
      </c>
      <c r="R501">
        <f>IF(COUNTIFS('United Data'!$A$3:$A$2150,R$1,'United Data'!$C$3:$C$2150,$A501)&gt;0,1,0)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548</v>
      </c>
      <c r="B502">
        <f>IF(COUNTIFS('United Data'!$A$3:$A$2150,B$1,'United Data'!$C$3:$C$2150,$A502)&gt;0,1,0)</f>
        <v>0</v>
      </c>
      <c r="C502">
        <f>IF(COUNTIFS('United Data'!$A$3:$A$2150,C$1,'United Data'!$C$3:$C$2150,$A502)&gt;0,1,0)</f>
        <v>0</v>
      </c>
      <c r="D502">
        <f>IF(COUNTIFS('United Data'!$A$3:$A$2150,D$1,'United Data'!$C$3:$C$2150,$A502)&gt;0,1,0)</f>
        <v>0</v>
      </c>
      <c r="E502">
        <f>IF(COUNTIFS('United Data'!$A$3:$A$2150,E$1,'United Data'!$C$3:$C$2150,$A502)&gt;0,1,0)</f>
        <v>0</v>
      </c>
      <c r="F502">
        <f>IF(COUNTIFS('United Data'!$A$3:$A$2150,F$1,'United Data'!$C$3:$C$2150,$A502)&gt;0,1,0)</f>
        <v>0</v>
      </c>
      <c r="G502">
        <f>IF(COUNTIFS('United Data'!$A$3:$A$2150,G$1,'United Data'!$C$3:$C$2150,$A502)&gt;0,1,0)</f>
        <v>0</v>
      </c>
      <c r="H502">
        <f>IF(COUNTIFS('United Data'!$A$3:$A$2150,H$1,'United Data'!$C$3:$C$2150,$A502)&gt;0,1,0)</f>
        <v>1</v>
      </c>
      <c r="I502">
        <f>IF(COUNTIFS('United Data'!$A$3:$A$2150,I$1,'United Data'!$C$3:$C$2150,$A502)&gt;0,1,0)</f>
        <v>0</v>
      </c>
      <c r="J502">
        <f>IF(COUNTIFS('United Data'!$A$3:$A$2150,J$1,'United Data'!$C$3:$C$2150,$A502)&gt;0,1,0)</f>
        <v>0</v>
      </c>
      <c r="K502">
        <f>IF(COUNTIFS('United Data'!$A$3:$A$2150,K$1,'United Data'!$C$3:$C$2150,$A502)&gt;0,1,0)</f>
        <v>0</v>
      </c>
      <c r="L502">
        <f>IF(COUNTIFS('United Data'!$A$3:$A$2150,L$1,'United Data'!$C$3:$C$2150,$A502)&gt;0,1,0)</f>
        <v>0</v>
      </c>
      <c r="M502">
        <f>IF(COUNTIFS('United Data'!$A$3:$A$2150,M$1,'United Data'!$C$3:$C$2150,$A502)&gt;0,1,0)</f>
        <v>0</v>
      </c>
      <c r="N502">
        <f>IF(COUNTIFS('United Data'!$A$3:$A$2150,N$1,'United Data'!$C$3:$C$2150,$A502)&gt;0,1,0)</f>
        <v>0</v>
      </c>
      <c r="O502">
        <f>IF(COUNTIFS('United Data'!$A$3:$A$2150,O$1,'United Data'!$C$3:$C$2150,$A502)&gt;0,1,0)</f>
        <v>0</v>
      </c>
      <c r="P502">
        <f>IF(COUNTIFS('United Data'!$A$3:$A$2150,P$1,'United Data'!$C$3:$C$2150,$A502)&gt;0,1,0)</f>
        <v>0</v>
      </c>
      <c r="Q502">
        <f>IF(COUNTIFS('United Data'!$A$3:$A$2150,Q$1,'United Data'!$C$3:$C$2150,$A502)&gt;0,1,0)</f>
        <v>0</v>
      </c>
      <c r="R502">
        <f>IF(COUNTIFS('United Data'!$A$3:$A$2150,R$1,'United Data'!$C$3:$C$2150,$A502)&gt;0,1,0)</f>
        <v>0</v>
      </c>
      <c r="S502">
        <f t="shared" si="14"/>
        <v>1</v>
      </c>
      <c r="T502">
        <f t="shared" si="15"/>
        <v>1</v>
      </c>
    </row>
    <row r="503" spans="1:20" x14ac:dyDescent="0.2">
      <c r="A503" t="s">
        <v>549</v>
      </c>
      <c r="B503">
        <f>IF(COUNTIFS('United Data'!$A$3:$A$2150,B$1,'United Data'!$C$3:$C$2150,$A503)&gt;0,1,0)</f>
        <v>0</v>
      </c>
      <c r="C503">
        <f>IF(COUNTIFS('United Data'!$A$3:$A$2150,C$1,'United Data'!$C$3:$C$2150,$A503)&gt;0,1,0)</f>
        <v>0</v>
      </c>
      <c r="D503">
        <f>IF(COUNTIFS('United Data'!$A$3:$A$2150,D$1,'United Data'!$C$3:$C$2150,$A503)&gt;0,1,0)</f>
        <v>0</v>
      </c>
      <c r="E503">
        <f>IF(COUNTIFS('United Data'!$A$3:$A$2150,E$1,'United Data'!$C$3:$C$2150,$A503)&gt;0,1,0)</f>
        <v>0</v>
      </c>
      <c r="F503">
        <f>IF(COUNTIFS('United Data'!$A$3:$A$2150,F$1,'United Data'!$C$3:$C$2150,$A503)&gt;0,1,0)</f>
        <v>0</v>
      </c>
      <c r="G503">
        <f>IF(COUNTIFS('United Data'!$A$3:$A$2150,G$1,'United Data'!$C$3:$C$2150,$A503)&gt;0,1,0)</f>
        <v>0</v>
      </c>
      <c r="H503">
        <f>IF(COUNTIFS('United Data'!$A$3:$A$2150,H$1,'United Data'!$C$3:$C$2150,$A503)&gt;0,1,0)</f>
        <v>0</v>
      </c>
      <c r="I503">
        <f>IF(COUNTIFS('United Data'!$A$3:$A$2150,I$1,'United Data'!$C$3:$C$2150,$A503)&gt;0,1,0)</f>
        <v>1</v>
      </c>
      <c r="J503">
        <f>IF(COUNTIFS('United Data'!$A$3:$A$2150,J$1,'United Data'!$C$3:$C$2150,$A503)&gt;0,1,0)</f>
        <v>0</v>
      </c>
      <c r="K503">
        <f>IF(COUNTIFS('United Data'!$A$3:$A$2150,K$1,'United Data'!$C$3:$C$2150,$A503)&gt;0,1,0)</f>
        <v>0</v>
      </c>
      <c r="L503">
        <f>IF(COUNTIFS('United Data'!$A$3:$A$2150,L$1,'United Data'!$C$3:$C$2150,$A503)&gt;0,1,0)</f>
        <v>0</v>
      </c>
      <c r="M503">
        <f>IF(COUNTIFS('United Data'!$A$3:$A$2150,M$1,'United Data'!$C$3:$C$2150,$A503)&gt;0,1,0)</f>
        <v>1</v>
      </c>
      <c r="N503">
        <f>IF(COUNTIFS('United Data'!$A$3:$A$2150,N$1,'United Data'!$C$3:$C$2150,$A503)&gt;0,1,0)</f>
        <v>0</v>
      </c>
      <c r="O503">
        <f>IF(COUNTIFS('United Data'!$A$3:$A$2150,O$1,'United Data'!$C$3:$C$2150,$A503)&gt;0,1,0)</f>
        <v>0</v>
      </c>
      <c r="P503">
        <f>IF(COUNTIFS('United Data'!$A$3:$A$2150,P$1,'United Data'!$C$3:$C$2150,$A503)&gt;0,1,0)</f>
        <v>0</v>
      </c>
      <c r="Q503">
        <f>IF(COUNTIFS('United Data'!$A$3:$A$2150,Q$1,'United Data'!$C$3:$C$2150,$A503)&gt;0,1,0)</f>
        <v>0</v>
      </c>
      <c r="R503">
        <f>IF(COUNTIFS('United Data'!$A$3:$A$2150,R$1,'United Data'!$C$3:$C$2150,$A503)&gt;0,1,0)</f>
        <v>0</v>
      </c>
      <c r="S503">
        <f t="shared" si="14"/>
        <v>2</v>
      </c>
      <c r="T503">
        <f t="shared" si="15"/>
        <v>2</v>
      </c>
    </row>
    <row r="504" spans="1:20" x14ac:dyDescent="0.2">
      <c r="A504" t="s">
        <v>550</v>
      </c>
      <c r="B504">
        <f>IF(COUNTIFS('United Data'!$A$3:$A$2150,B$1,'United Data'!$C$3:$C$2150,$A504)&gt;0,1,0)</f>
        <v>0</v>
      </c>
      <c r="C504">
        <f>IF(COUNTIFS('United Data'!$A$3:$A$2150,C$1,'United Data'!$C$3:$C$2150,$A504)&gt;0,1,0)</f>
        <v>0</v>
      </c>
      <c r="D504">
        <f>IF(COUNTIFS('United Data'!$A$3:$A$2150,D$1,'United Data'!$C$3:$C$2150,$A504)&gt;0,1,0)</f>
        <v>0</v>
      </c>
      <c r="E504">
        <f>IF(COUNTIFS('United Data'!$A$3:$A$2150,E$1,'United Data'!$C$3:$C$2150,$A504)&gt;0,1,0)</f>
        <v>0</v>
      </c>
      <c r="F504">
        <f>IF(COUNTIFS('United Data'!$A$3:$A$2150,F$1,'United Data'!$C$3:$C$2150,$A504)&gt;0,1,0)</f>
        <v>0</v>
      </c>
      <c r="G504">
        <f>IF(COUNTIFS('United Data'!$A$3:$A$2150,G$1,'United Data'!$C$3:$C$2150,$A504)&gt;0,1,0)</f>
        <v>0</v>
      </c>
      <c r="H504">
        <f>IF(COUNTIFS('United Data'!$A$3:$A$2150,H$1,'United Data'!$C$3:$C$2150,$A504)&gt;0,1,0)</f>
        <v>0</v>
      </c>
      <c r="I504">
        <f>IF(COUNTIFS('United Data'!$A$3:$A$2150,I$1,'United Data'!$C$3:$C$2150,$A504)&gt;0,1,0)</f>
        <v>1</v>
      </c>
      <c r="J504">
        <f>IF(COUNTIFS('United Data'!$A$3:$A$2150,J$1,'United Data'!$C$3:$C$2150,$A504)&gt;0,1,0)</f>
        <v>0</v>
      </c>
      <c r="K504">
        <f>IF(COUNTIFS('United Data'!$A$3:$A$2150,K$1,'United Data'!$C$3:$C$2150,$A504)&gt;0,1,0)</f>
        <v>0</v>
      </c>
      <c r="L504">
        <f>IF(COUNTIFS('United Data'!$A$3:$A$2150,L$1,'United Data'!$C$3:$C$2150,$A504)&gt;0,1,0)</f>
        <v>0</v>
      </c>
      <c r="M504">
        <f>IF(COUNTIFS('United Data'!$A$3:$A$2150,M$1,'United Data'!$C$3:$C$2150,$A504)&gt;0,1,0)</f>
        <v>0</v>
      </c>
      <c r="N504">
        <f>IF(COUNTIFS('United Data'!$A$3:$A$2150,N$1,'United Data'!$C$3:$C$2150,$A504)&gt;0,1,0)</f>
        <v>0</v>
      </c>
      <c r="O504">
        <f>IF(COUNTIFS('United Data'!$A$3:$A$2150,O$1,'United Data'!$C$3:$C$2150,$A504)&gt;0,1,0)</f>
        <v>0</v>
      </c>
      <c r="P504">
        <f>IF(COUNTIFS('United Data'!$A$3:$A$2150,P$1,'United Data'!$C$3:$C$2150,$A504)&gt;0,1,0)</f>
        <v>0</v>
      </c>
      <c r="Q504">
        <f>IF(COUNTIFS('United Data'!$A$3:$A$2150,Q$1,'United Data'!$C$3:$C$2150,$A504)&gt;0,1,0)</f>
        <v>0</v>
      </c>
      <c r="R504">
        <f>IF(COUNTIFS('United Data'!$A$3:$A$2150,R$1,'United Data'!$C$3:$C$2150,$A504)&gt;0,1,0)</f>
        <v>0</v>
      </c>
      <c r="S504">
        <f t="shared" si="14"/>
        <v>1</v>
      </c>
      <c r="T504">
        <f t="shared" si="15"/>
        <v>1</v>
      </c>
    </row>
    <row r="505" spans="1:20" x14ac:dyDescent="0.2">
      <c r="A505" t="s">
        <v>551</v>
      </c>
      <c r="B505">
        <f>IF(COUNTIFS('United Data'!$A$3:$A$2150,B$1,'United Data'!$C$3:$C$2150,$A505)&gt;0,1,0)</f>
        <v>0</v>
      </c>
      <c r="C505">
        <f>IF(COUNTIFS('United Data'!$A$3:$A$2150,C$1,'United Data'!$C$3:$C$2150,$A505)&gt;0,1,0)</f>
        <v>0</v>
      </c>
      <c r="D505">
        <f>IF(COUNTIFS('United Data'!$A$3:$A$2150,D$1,'United Data'!$C$3:$C$2150,$A505)&gt;0,1,0)</f>
        <v>0</v>
      </c>
      <c r="E505">
        <f>IF(COUNTIFS('United Data'!$A$3:$A$2150,E$1,'United Data'!$C$3:$C$2150,$A505)&gt;0,1,0)</f>
        <v>0</v>
      </c>
      <c r="F505">
        <f>IF(COUNTIFS('United Data'!$A$3:$A$2150,F$1,'United Data'!$C$3:$C$2150,$A505)&gt;0,1,0)</f>
        <v>0</v>
      </c>
      <c r="G505">
        <f>IF(COUNTIFS('United Data'!$A$3:$A$2150,G$1,'United Data'!$C$3:$C$2150,$A505)&gt;0,1,0)</f>
        <v>0</v>
      </c>
      <c r="H505">
        <f>IF(COUNTIFS('United Data'!$A$3:$A$2150,H$1,'United Data'!$C$3:$C$2150,$A505)&gt;0,1,0)</f>
        <v>0</v>
      </c>
      <c r="I505">
        <f>IF(COUNTIFS('United Data'!$A$3:$A$2150,I$1,'United Data'!$C$3:$C$2150,$A505)&gt;0,1,0)</f>
        <v>1</v>
      </c>
      <c r="J505">
        <f>IF(COUNTIFS('United Data'!$A$3:$A$2150,J$1,'United Data'!$C$3:$C$2150,$A505)&gt;0,1,0)</f>
        <v>1</v>
      </c>
      <c r="K505">
        <f>IF(COUNTIFS('United Data'!$A$3:$A$2150,K$1,'United Data'!$C$3:$C$2150,$A505)&gt;0,1,0)</f>
        <v>1</v>
      </c>
      <c r="L505">
        <f>IF(COUNTIFS('United Data'!$A$3:$A$2150,L$1,'United Data'!$C$3:$C$2150,$A505)&gt;0,1,0)</f>
        <v>1</v>
      </c>
      <c r="M505">
        <f>IF(COUNTIFS('United Data'!$A$3:$A$2150,M$1,'United Data'!$C$3:$C$2150,$A505)&gt;0,1,0)</f>
        <v>1</v>
      </c>
      <c r="N505">
        <f>IF(COUNTIFS('United Data'!$A$3:$A$2150,N$1,'United Data'!$C$3:$C$2150,$A505)&gt;0,1,0)</f>
        <v>1</v>
      </c>
      <c r="O505">
        <f>IF(COUNTIFS('United Data'!$A$3:$A$2150,O$1,'United Data'!$C$3:$C$2150,$A505)&gt;0,1,0)</f>
        <v>1</v>
      </c>
      <c r="P505">
        <f>IF(COUNTIFS('United Data'!$A$3:$A$2150,P$1,'United Data'!$C$3:$C$2150,$A505)&gt;0,1,0)</f>
        <v>1</v>
      </c>
      <c r="Q505">
        <f>IF(COUNTIFS('United Data'!$A$3:$A$2150,Q$1,'United Data'!$C$3:$C$2150,$A505)&gt;0,1,0)</f>
        <v>0</v>
      </c>
      <c r="R505">
        <f>IF(COUNTIFS('United Data'!$A$3:$A$2150,R$1,'United Data'!$C$3:$C$2150,$A505)&gt;0,1,0)</f>
        <v>0</v>
      </c>
      <c r="S505">
        <f t="shared" si="14"/>
        <v>8</v>
      </c>
      <c r="T505">
        <f t="shared" si="15"/>
        <v>1</v>
      </c>
    </row>
    <row r="506" spans="1:20" x14ac:dyDescent="0.2">
      <c r="A506" t="s">
        <v>552</v>
      </c>
      <c r="B506">
        <f>IF(COUNTIFS('United Data'!$A$3:$A$2150,B$1,'United Data'!$C$3:$C$2150,$A506)&gt;0,1,0)</f>
        <v>0</v>
      </c>
      <c r="C506">
        <f>IF(COUNTIFS('United Data'!$A$3:$A$2150,C$1,'United Data'!$C$3:$C$2150,$A506)&gt;0,1,0)</f>
        <v>0</v>
      </c>
      <c r="D506">
        <f>IF(COUNTIFS('United Data'!$A$3:$A$2150,D$1,'United Data'!$C$3:$C$2150,$A506)&gt;0,1,0)</f>
        <v>0</v>
      </c>
      <c r="E506">
        <f>IF(COUNTIFS('United Data'!$A$3:$A$2150,E$1,'United Data'!$C$3:$C$2150,$A506)&gt;0,1,0)</f>
        <v>0</v>
      </c>
      <c r="F506">
        <f>IF(COUNTIFS('United Data'!$A$3:$A$2150,F$1,'United Data'!$C$3:$C$2150,$A506)&gt;0,1,0)</f>
        <v>0</v>
      </c>
      <c r="G506">
        <f>IF(COUNTIFS('United Data'!$A$3:$A$2150,G$1,'United Data'!$C$3:$C$2150,$A506)&gt;0,1,0)</f>
        <v>0</v>
      </c>
      <c r="H506">
        <f>IF(COUNTIFS('United Data'!$A$3:$A$2150,H$1,'United Data'!$C$3:$C$2150,$A506)&gt;0,1,0)</f>
        <v>0</v>
      </c>
      <c r="I506">
        <f>IF(COUNTIFS('United Data'!$A$3:$A$2150,I$1,'United Data'!$C$3:$C$2150,$A506)&gt;0,1,0)</f>
        <v>1</v>
      </c>
      <c r="J506">
        <f>IF(COUNTIFS('United Data'!$A$3:$A$2150,J$1,'United Data'!$C$3:$C$2150,$A506)&gt;0,1,0)</f>
        <v>0</v>
      </c>
      <c r="K506">
        <f>IF(COUNTIFS('United Data'!$A$3:$A$2150,K$1,'United Data'!$C$3:$C$2150,$A506)&gt;0,1,0)</f>
        <v>0</v>
      </c>
      <c r="L506">
        <f>IF(COUNTIFS('United Data'!$A$3:$A$2150,L$1,'United Data'!$C$3:$C$2150,$A506)&gt;0,1,0)</f>
        <v>0</v>
      </c>
      <c r="M506">
        <f>IF(COUNTIFS('United Data'!$A$3:$A$2150,M$1,'United Data'!$C$3:$C$2150,$A506)&gt;0,1,0)</f>
        <v>0</v>
      </c>
      <c r="N506">
        <f>IF(COUNTIFS('United Data'!$A$3:$A$2150,N$1,'United Data'!$C$3:$C$2150,$A506)&gt;0,1,0)</f>
        <v>0</v>
      </c>
      <c r="O506">
        <f>IF(COUNTIFS('United Data'!$A$3:$A$2150,O$1,'United Data'!$C$3:$C$2150,$A506)&gt;0,1,0)</f>
        <v>0</v>
      </c>
      <c r="P506">
        <f>IF(COUNTIFS('United Data'!$A$3:$A$2150,P$1,'United Data'!$C$3:$C$2150,$A506)&gt;0,1,0)</f>
        <v>0</v>
      </c>
      <c r="Q506">
        <f>IF(COUNTIFS('United Data'!$A$3:$A$2150,Q$1,'United Data'!$C$3:$C$2150,$A506)&gt;0,1,0)</f>
        <v>0</v>
      </c>
      <c r="R506">
        <f>IF(COUNTIFS('United Data'!$A$3:$A$2150,R$1,'United Data'!$C$3:$C$2150,$A506)&gt;0,1,0)</f>
        <v>0</v>
      </c>
      <c r="S506">
        <f t="shared" si="14"/>
        <v>1</v>
      </c>
      <c r="T506">
        <f t="shared" si="15"/>
        <v>1</v>
      </c>
    </row>
    <row r="507" spans="1:20" x14ac:dyDescent="0.2">
      <c r="A507" t="s">
        <v>553</v>
      </c>
      <c r="B507">
        <f>IF(COUNTIFS('United Data'!$A$3:$A$2150,B$1,'United Data'!$C$3:$C$2150,$A507)&gt;0,1,0)</f>
        <v>0</v>
      </c>
      <c r="C507">
        <f>IF(COUNTIFS('United Data'!$A$3:$A$2150,C$1,'United Data'!$C$3:$C$2150,$A507)&gt;0,1,0)</f>
        <v>0</v>
      </c>
      <c r="D507">
        <f>IF(COUNTIFS('United Data'!$A$3:$A$2150,D$1,'United Data'!$C$3:$C$2150,$A507)&gt;0,1,0)</f>
        <v>0</v>
      </c>
      <c r="E507">
        <f>IF(COUNTIFS('United Data'!$A$3:$A$2150,E$1,'United Data'!$C$3:$C$2150,$A507)&gt;0,1,0)</f>
        <v>0</v>
      </c>
      <c r="F507">
        <f>IF(COUNTIFS('United Data'!$A$3:$A$2150,F$1,'United Data'!$C$3:$C$2150,$A507)&gt;0,1,0)</f>
        <v>0</v>
      </c>
      <c r="G507">
        <f>IF(COUNTIFS('United Data'!$A$3:$A$2150,G$1,'United Data'!$C$3:$C$2150,$A507)&gt;0,1,0)</f>
        <v>0</v>
      </c>
      <c r="H507">
        <f>IF(COUNTIFS('United Data'!$A$3:$A$2150,H$1,'United Data'!$C$3:$C$2150,$A507)&gt;0,1,0)</f>
        <v>0</v>
      </c>
      <c r="I507">
        <f>IF(COUNTIFS('United Data'!$A$3:$A$2150,I$1,'United Data'!$C$3:$C$2150,$A507)&gt;0,1,0)</f>
        <v>1</v>
      </c>
      <c r="J507">
        <f>IF(COUNTIFS('United Data'!$A$3:$A$2150,J$1,'United Data'!$C$3:$C$2150,$A507)&gt;0,1,0)</f>
        <v>0</v>
      </c>
      <c r="K507">
        <f>IF(COUNTIFS('United Data'!$A$3:$A$2150,K$1,'United Data'!$C$3:$C$2150,$A507)&gt;0,1,0)</f>
        <v>0</v>
      </c>
      <c r="L507">
        <f>IF(COUNTIFS('United Data'!$A$3:$A$2150,L$1,'United Data'!$C$3:$C$2150,$A507)&gt;0,1,0)</f>
        <v>0</v>
      </c>
      <c r="M507">
        <f>IF(COUNTIFS('United Data'!$A$3:$A$2150,M$1,'United Data'!$C$3:$C$2150,$A507)&gt;0,1,0)</f>
        <v>0</v>
      </c>
      <c r="N507">
        <f>IF(COUNTIFS('United Data'!$A$3:$A$2150,N$1,'United Data'!$C$3:$C$2150,$A507)&gt;0,1,0)</f>
        <v>0</v>
      </c>
      <c r="O507">
        <f>IF(COUNTIFS('United Data'!$A$3:$A$2150,O$1,'United Data'!$C$3:$C$2150,$A507)&gt;0,1,0)</f>
        <v>0</v>
      </c>
      <c r="P507">
        <f>IF(COUNTIFS('United Data'!$A$3:$A$2150,P$1,'United Data'!$C$3:$C$2150,$A507)&gt;0,1,0)</f>
        <v>0</v>
      </c>
      <c r="Q507">
        <f>IF(COUNTIFS('United Data'!$A$3:$A$2150,Q$1,'United Data'!$C$3:$C$2150,$A507)&gt;0,1,0)</f>
        <v>0</v>
      </c>
      <c r="R507">
        <f>IF(COUNTIFS('United Data'!$A$3:$A$2150,R$1,'United Data'!$C$3:$C$2150,$A507)&gt;0,1,0)</f>
        <v>0</v>
      </c>
      <c r="S507">
        <f t="shared" si="14"/>
        <v>1</v>
      </c>
      <c r="T507">
        <f t="shared" si="15"/>
        <v>1</v>
      </c>
    </row>
    <row r="508" spans="1:20" x14ac:dyDescent="0.2">
      <c r="A508" t="s">
        <v>554</v>
      </c>
      <c r="B508">
        <f>IF(COUNTIFS('United Data'!$A$3:$A$2150,B$1,'United Data'!$C$3:$C$2150,$A508)&gt;0,1,0)</f>
        <v>0</v>
      </c>
      <c r="C508">
        <f>IF(COUNTIFS('United Data'!$A$3:$A$2150,C$1,'United Data'!$C$3:$C$2150,$A508)&gt;0,1,0)</f>
        <v>0</v>
      </c>
      <c r="D508">
        <f>IF(COUNTIFS('United Data'!$A$3:$A$2150,D$1,'United Data'!$C$3:$C$2150,$A508)&gt;0,1,0)</f>
        <v>0</v>
      </c>
      <c r="E508">
        <f>IF(COUNTIFS('United Data'!$A$3:$A$2150,E$1,'United Data'!$C$3:$C$2150,$A508)&gt;0,1,0)</f>
        <v>0</v>
      </c>
      <c r="F508">
        <f>IF(COUNTIFS('United Data'!$A$3:$A$2150,F$1,'United Data'!$C$3:$C$2150,$A508)&gt;0,1,0)</f>
        <v>0</v>
      </c>
      <c r="G508">
        <f>IF(COUNTIFS('United Data'!$A$3:$A$2150,G$1,'United Data'!$C$3:$C$2150,$A508)&gt;0,1,0)</f>
        <v>0</v>
      </c>
      <c r="H508">
        <f>IF(COUNTIFS('United Data'!$A$3:$A$2150,H$1,'United Data'!$C$3:$C$2150,$A508)&gt;0,1,0)</f>
        <v>0</v>
      </c>
      <c r="I508">
        <f>IF(COUNTIFS('United Data'!$A$3:$A$2150,I$1,'United Data'!$C$3:$C$2150,$A508)&gt;0,1,0)</f>
        <v>1</v>
      </c>
      <c r="J508">
        <f>IF(COUNTIFS('United Data'!$A$3:$A$2150,J$1,'United Data'!$C$3:$C$2150,$A508)&gt;0,1,0)</f>
        <v>0</v>
      </c>
      <c r="K508">
        <f>IF(COUNTIFS('United Data'!$A$3:$A$2150,K$1,'United Data'!$C$3:$C$2150,$A508)&gt;0,1,0)</f>
        <v>0</v>
      </c>
      <c r="L508">
        <f>IF(COUNTIFS('United Data'!$A$3:$A$2150,L$1,'United Data'!$C$3:$C$2150,$A508)&gt;0,1,0)</f>
        <v>1</v>
      </c>
      <c r="M508">
        <f>IF(COUNTIFS('United Data'!$A$3:$A$2150,M$1,'United Data'!$C$3:$C$2150,$A508)&gt;0,1,0)</f>
        <v>0</v>
      </c>
      <c r="N508">
        <f>IF(COUNTIFS('United Data'!$A$3:$A$2150,N$1,'United Data'!$C$3:$C$2150,$A508)&gt;0,1,0)</f>
        <v>0</v>
      </c>
      <c r="O508">
        <f>IF(COUNTIFS('United Data'!$A$3:$A$2150,O$1,'United Data'!$C$3:$C$2150,$A508)&gt;0,1,0)</f>
        <v>0</v>
      </c>
      <c r="P508">
        <f>IF(COUNTIFS('United Data'!$A$3:$A$2150,P$1,'United Data'!$C$3:$C$2150,$A508)&gt;0,1,0)</f>
        <v>0</v>
      </c>
      <c r="Q508">
        <f>IF(COUNTIFS('United Data'!$A$3:$A$2150,Q$1,'United Data'!$C$3:$C$2150,$A508)&gt;0,1,0)</f>
        <v>0</v>
      </c>
      <c r="R508">
        <f>IF(COUNTIFS('United Data'!$A$3:$A$2150,R$1,'United Data'!$C$3:$C$2150,$A508)&gt;0,1,0)</f>
        <v>0</v>
      </c>
      <c r="S508">
        <f t="shared" si="14"/>
        <v>2</v>
      </c>
      <c r="T508">
        <f t="shared" si="15"/>
        <v>2</v>
      </c>
    </row>
    <row r="509" spans="1:20" x14ac:dyDescent="0.2">
      <c r="A509" t="s">
        <v>555</v>
      </c>
      <c r="B509">
        <f>IF(COUNTIFS('United Data'!$A$3:$A$2150,B$1,'United Data'!$C$3:$C$2150,$A509)&gt;0,1,0)</f>
        <v>0</v>
      </c>
      <c r="C509">
        <f>IF(COUNTIFS('United Data'!$A$3:$A$2150,C$1,'United Data'!$C$3:$C$2150,$A509)&gt;0,1,0)</f>
        <v>0</v>
      </c>
      <c r="D509">
        <f>IF(COUNTIFS('United Data'!$A$3:$A$2150,D$1,'United Data'!$C$3:$C$2150,$A509)&gt;0,1,0)</f>
        <v>0</v>
      </c>
      <c r="E509">
        <f>IF(COUNTIFS('United Data'!$A$3:$A$2150,E$1,'United Data'!$C$3:$C$2150,$A509)&gt;0,1,0)</f>
        <v>0</v>
      </c>
      <c r="F509">
        <f>IF(COUNTIFS('United Data'!$A$3:$A$2150,F$1,'United Data'!$C$3:$C$2150,$A509)&gt;0,1,0)</f>
        <v>0</v>
      </c>
      <c r="G509">
        <f>IF(COUNTIFS('United Data'!$A$3:$A$2150,G$1,'United Data'!$C$3:$C$2150,$A509)&gt;0,1,0)</f>
        <v>0</v>
      </c>
      <c r="H509">
        <f>IF(COUNTIFS('United Data'!$A$3:$A$2150,H$1,'United Data'!$C$3:$C$2150,$A509)&gt;0,1,0)</f>
        <v>0</v>
      </c>
      <c r="I509">
        <f>IF(COUNTIFS('United Data'!$A$3:$A$2150,I$1,'United Data'!$C$3:$C$2150,$A509)&gt;0,1,0)</f>
        <v>1</v>
      </c>
      <c r="J509">
        <f>IF(COUNTIFS('United Data'!$A$3:$A$2150,J$1,'United Data'!$C$3:$C$2150,$A509)&gt;0,1,0)</f>
        <v>1</v>
      </c>
      <c r="K509">
        <f>IF(COUNTIFS('United Data'!$A$3:$A$2150,K$1,'United Data'!$C$3:$C$2150,$A509)&gt;0,1,0)</f>
        <v>0</v>
      </c>
      <c r="L509">
        <f>IF(COUNTIFS('United Data'!$A$3:$A$2150,L$1,'United Data'!$C$3:$C$2150,$A509)&gt;0,1,0)</f>
        <v>0</v>
      </c>
      <c r="M509">
        <f>IF(COUNTIFS('United Data'!$A$3:$A$2150,M$1,'United Data'!$C$3:$C$2150,$A509)&gt;0,1,0)</f>
        <v>0</v>
      </c>
      <c r="N509">
        <f>IF(COUNTIFS('United Data'!$A$3:$A$2150,N$1,'United Data'!$C$3:$C$2150,$A509)&gt;0,1,0)</f>
        <v>0</v>
      </c>
      <c r="O509">
        <f>IF(COUNTIFS('United Data'!$A$3:$A$2150,O$1,'United Data'!$C$3:$C$2150,$A509)&gt;0,1,0)</f>
        <v>0</v>
      </c>
      <c r="P509">
        <f>IF(COUNTIFS('United Data'!$A$3:$A$2150,P$1,'United Data'!$C$3:$C$2150,$A509)&gt;0,1,0)</f>
        <v>0</v>
      </c>
      <c r="Q509">
        <f>IF(COUNTIFS('United Data'!$A$3:$A$2150,Q$1,'United Data'!$C$3:$C$2150,$A509)&gt;0,1,0)</f>
        <v>0</v>
      </c>
      <c r="R509">
        <f>IF(COUNTIFS('United Data'!$A$3:$A$2150,R$1,'United Data'!$C$3:$C$2150,$A509)&gt;0,1,0)</f>
        <v>0</v>
      </c>
      <c r="S509">
        <f t="shared" si="14"/>
        <v>2</v>
      </c>
      <c r="T509">
        <f t="shared" si="15"/>
        <v>1</v>
      </c>
    </row>
    <row r="510" spans="1:20" x14ac:dyDescent="0.2">
      <c r="A510" t="s">
        <v>556</v>
      </c>
      <c r="B510">
        <f>IF(COUNTIFS('United Data'!$A$3:$A$2150,B$1,'United Data'!$C$3:$C$2150,$A510)&gt;0,1,0)</f>
        <v>0</v>
      </c>
      <c r="C510">
        <f>IF(COUNTIFS('United Data'!$A$3:$A$2150,C$1,'United Data'!$C$3:$C$2150,$A510)&gt;0,1,0)</f>
        <v>0</v>
      </c>
      <c r="D510">
        <f>IF(COUNTIFS('United Data'!$A$3:$A$2150,D$1,'United Data'!$C$3:$C$2150,$A510)&gt;0,1,0)</f>
        <v>0</v>
      </c>
      <c r="E510">
        <f>IF(COUNTIFS('United Data'!$A$3:$A$2150,E$1,'United Data'!$C$3:$C$2150,$A510)&gt;0,1,0)</f>
        <v>0</v>
      </c>
      <c r="F510">
        <f>IF(COUNTIFS('United Data'!$A$3:$A$2150,F$1,'United Data'!$C$3:$C$2150,$A510)&gt;0,1,0)</f>
        <v>0</v>
      </c>
      <c r="G510">
        <f>IF(COUNTIFS('United Data'!$A$3:$A$2150,G$1,'United Data'!$C$3:$C$2150,$A510)&gt;0,1,0)</f>
        <v>0</v>
      </c>
      <c r="H510">
        <f>IF(COUNTIFS('United Data'!$A$3:$A$2150,H$1,'United Data'!$C$3:$C$2150,$A510)&gt;0,1,0)</f>
        <v>0</v>
      </c>
      <c r="I510">
        <f>IF(COUNTIFS('United Data'!$A$3:$A$2150,I$1,'United Data'!$C$3:$C$2150,$A510)&gt;0,1,0)</f>
        <v>1</v>
      </c>
      <c r="J510">
        <f>IF(COUNTIFS('United Data'!$A$3:$A$2150,J$1,'United Data'!$C$3:$C$2150,$A510)&gt;0,1,0)</f>
        <v>0</v>
      </c>
      <c r="K510">
        <f>IF(COUNTIFS('United Data'!$A$3:$A$2150,K$1,'United Data'!$C$3:$C$2150,$A510)&gt;0,1,0)</f>
        <v>0</v>
      </c>
      <c r="L510">
        <f>IF(COUNTIFS('United Data'!$A$3:$A$2150,L$1,'United Data'!$C$3:$C$2150,$A510)&gt;0,1,0)</f>
        <v>0</v>
      </c>
      <c r="M510">
        <f>IF(COUNTIFS('United Data'!$A$3:$A$2150,M$1,'United Data'!$C$3:$C$2150,$A510)&gt;0,1,0)</f>
        <v>0</v>
      </c>
      <c r="N510">
        <f>IF(COUNTIFS('United Data'!$A$3:$A$2150,N$1,'United Data'!$C$3:$C$2150,$A510)&gt;0,1,0)</f>
        <v>0</v>
      </c>
      <c r="O510">
        <f>IF(COUNTIFS('United Data'!$A$3:$A$2150,O$1,'United Data'!$C$3:$C$2150,$A510)&gt;0,1,0)</f>
        <v>0</v>
      </c>
      <c r="P510">
        <f>IF(COUNTIFS('United Data'!$A$3:$A$2150,P$1,'United Data'!$C$3:$C$2150,$A510)&gt;0,1,0)</f>
        <v>0</v>
      </c>
      <c r="Q510">
        <f>IF(COUNTIFS('United Data'!$A$3:$A$2150,Q$1,'United Data'!$C$3:$C$2150,$A510)&gt;0,1,0)</f>
        <v>0</v>
      </c>
      <c r="R510">
        <f>IF(COUNTIFS('United Data'!$A$3:$A$2150,R$1,'United Data'!$C$3:$C$2150,$A510)&gt;0,1,0)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557</v>
      </c>
      <c r="B511">
        <f>IF(COUNTIFS('United Data'!$A$3:$A$2150,B$1,'United Data'!$C$3:$C$2150,$A511)&gt;0,1,0)</f>
        <v>0</v>
      </c>
      <c r="C511">
        <f>IF(COUNTIFS('United Data'!$A$3:$A$2150,C$1,'United Data'!$C$3:$C$2150,$A511)&gt;0,1,0)</f>
        <v>0</v>
      </c>
      <c r="D511">
        <f>IF(COUNTIFS('United Data'!$A$3:$A$2150,D$1,'United Data'!$C$3:$C$2150,$A511)&gt;0,1,0)</f>
        <v>0</v>
      </c>
      <c r="E511">
        <f>IF(COUNTIFS('United Data'!$A$3:$A$2150,E$1,'United Data'!$C$3:$C$2150,$A511)&gt;0,1,0)</f>
        <v>0</v>
      </c>
      <c r="F511">
        <f>IF(COUNTIFS('United Data'!$A$3:$A$2150,F$1,'United Data'!$C$3:$C$2150,$A511)&gt;0,1,0)</f>
        <v>0</v>
      </c>
      <c r="G511">
        <f>IF(COUNTIFS('United Data'!$A$3:$A$2150,G$1,'United Data'!$C$3:$C$2150,$A511)&gt;0,1,0)</f>
        <v>0</v>
      </c>
      <c r="H511">
        <f>IF(COUNTIFS('United Data'!$A$3:$A$2150,H$1,'United Data'!$C$3:$C$2150,$A511)&gt;0,1,0)</f>
        <v>0</v>
      </c>
      <c r="I511">
        <f>IF(COUNTIFS('United Data'!$A$3:$A$2150,I$1,'United Data'!$C$3:$C$2150,$A511)&gt;0,1,0)</f>
        <v>1</v>
      </c>
      <c r="J511">
        <f>IF(COUNTIFS('United Data'!$A$3:$A$2150,J$1,'United Data'!$C$3:$C$2150,$A511)&gt;0,1,0)</f>
        <v>0</v>
      </c>
      <c r="K511">
        <f>IF(COUNTIFS('United Data'!$A$3:$A$2150,K$1,'United Data'!$C$3:$C$2150,$A511)&gt;0,1,0)</f>
        <v>0</v>
      </c>
      <c r="L511">
        <f>IF(COUNTIFS('United Data'!$A$3:$A$2150,L$1,'United Data'!$C$3:$C$2150,$A511)&gt;0,1,0)</f>
        <v>0</v>
      </c>
      <c r="M511">
        <f>IF(COUNTIFS('United Data'!$A$3:$A$2150,M$1,'United Data'!$C$3:$C$2150,$A511)&gt;0,1,0)</f>
        <v>0</v>
      </c>
      <c r="N511">
        <f>IF(COUNTIFS('United Data'!$A$3:$A$2150,N$1,'United Data'!$C$3:$C$2150,$A511)&gt;0,1,0)</f>
        <v>0</v>
      </c>
      <c r="O511">
        <f>IF(COUNTIFS('United Data'!$A$3:$A$2150,O$1,'United Data'!$C$3:$C$2150,$A511)&gt;0,1,0)</f>
        <v>0</v>
      </c>
      <c r="P511">
        <f>IF(COUNTIFS('United Data'!$A$3:$A$2150,P$1,'United Data'!$C$3:$C$2150,$A511)&gt;0,1,0)</f>
        <v>0</v>
      </c>
      <c r="Q511">
        <f>IF(COUNTIFS('United Data'!$A$3:$A$2150,Q$1,'United Data'!$C$3:$C$2150,$A511)&gt;0,1,0)</f>
        <v>0</v>
      </c>
      <c r="R511">
        <f>IF(COUNTIFS('United Data'!$A$3:$A$2150,R$1,'United Data'!$C$3:$C$2150,$A511)&gt;0,1,0)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558</v>
      </c>
      <c r="B512">
        <f>IF(COUNTIFS('United Data'!$A$3:$A$2150,B$1,'United Data'!$C$3:$C$2150,$A512)&gt;0,1,0)</f>
        <v>0</v>
      </c>
      <c r="C512">
        <f>IF(COUNTIFS('United Data'!$A$3:$A$2150,C$1,'United Data'!$C$3:$C$2150,$A512)&gt;0,1,0)</f>
        <v>0</v>
      </c>
      <c r="D512">
        <f>IF(COUNTIFS('United Data'!$A$3:$A$2150,D$1,'United Data'!$C$3:$C$2150,$A512)&gt;0,1,0)</f>
        <v>0</v>
      </c>
      <c r="E512">
        <f>IF(COUNTIFS('United Data'!$A$3:$A$2150,E$1,'United Data'!$C$3:$C$2150,$A512)&gt;0,1,0)</f>
        <v>0</v>
      </c>
      <c r="F512">
        <f>IF(COUNTIFS('United Data'!$A$3:$A$2150,F$1,'United Data'!$C$3:$C$2150,$A512)&gt;0,1,0)</f>
        <v>0</v>
      </c>
      <c r="G512">
        <f>IF(COUNTIFS('United Data'!$A$3:$A$2150,G$1,'United Data'!$C$3:$C$2150,$A512)&gt;0,1,0)</f>
        <v>0</v>
      </c>
      <c r="H512">
        <f>IF(COUNTIFS('United Data'!$A$3:$A$2150,H$1,'United Data'!$C$3:$C$2150,$A512)&gt;0,1,0)</f>
        <v>0</v>
      </c>
      <c r="I512">
        <f>IF(COUNTIFS('United Data'!$A$3:$A$2150,I$1,'United Data'!$C$3:$C$2150,$A512)&gt;0,1,0)</f>
        <v>1</v>
      </c>
      <c r="J512">
        <f>IF(COUNTIFS('United Data'!$A$3:$A$2150,J$1,'United Data'!$C$3:$C$2150,$A512)&gt;0,1,0)</f>
        <v>1</v>
      </c>
      <c r="K512">
        <f>IF(COUNTIFS('United Data'!$A$3:$A$2150,K$1,'United Data'!$C$3:$C$2150,$A512)&gt;0,1,0)</f>
        <v>0</v>
      </c>
      <c r="L512">
        <f>IF(COUNTIFS('United Data'!$A$3:$A$2150,L$1,'United Data'!$C$3:$C$2150,$A512)&gt;0,1,0)</f>
        <v>0</v>
      </c>
      <c r="M512">
        <f>IF(COUNTIFS('United Data'!$A$3:$A$2150,M$1,'United Data'!$C$3:$C$2150,$A512)&gt;0,1,0)</f>
        <v>0</v>
      </c>
      <c r="N512">
        <f>IF(COUNTIFS('United Data'!$A$3:$A$2150,N$1,'United Data'!$C$3:$C$2150,$A512)&gt;0,1,0)</f>
        <v>0</v>
      </c>
      <c r="O512">
        <f>IF(COUNTIFS('United Data'!$A$3:$A$2150,O$1,'United Data'!$C$3:$C$2150,$A512)&gt;0,1,0)</f>
        <v>0</v>
      </c>
      <c r="P512">
        <f>IF(COUNTIFS('United Data'!$A$3:$A$2150,P$1,'United Data'!$C$3:$C$2150,$A512)&gt;0,1,0)</f>
        <v>0</v>
      </c>
      <c r="Q512">
        <f>IF(COUNTIFS('United Data'!$A$3:$A$2150,Q$1,'United Data'!$C$3:$C$2150,$A512)&gt;0,1,0)</f>
        <v>0</v>
      </c>
      <c r="R512">
        <f>IF(COUNTIFS('United Data'!$A$3:$A$2150,R$1,'United Data'!$C$3:$C$2150,$A512)&gt;0,1,0)</f>
        <v>0</v>
      </c>
      <c r="S512">
        <f t="shared" si="14"/>
        <v>2</v>
      </c>
      <c r="T512">
        <f t="shared" si="15"/>
        <v>1</v>
      </c>
    </row>
    <row r="513" spans="1:20" x14ac:dyDescent="0.2">
      <c r="A513" t="s">
        <v>559</v>
      </c>
      <c r="B513">
        <f>IF(COUNTIFS('United Data'!$A$3:$A$2150,B$1,'United Data'!$C$3:$C$2150,$A513)&gt;0,1,0)</f>
        <v>0</v>
      </c>
      <c r="C513">
        <f>IF(COUNTIFS('United Data'!$A$3:$A$2150,C$1,'United Data'!$C$3:$C$2150,$A513)&gt;0,1,0)</f>
        <v>0</v>
      </c>
      <c r="D513">
        <f>IF(COUNTIFS('United Data'!$A$3:$A$2150,D$1,'United Data'!$C$3:$C$2150,$A513)&gt;0,1,0)</f>
        <v>0</v>
      </c>
      <c r="E513">
        <f>IF(COUNTIFS('United Data'!$A$3:$A$2150,E$1,'United Data'!$C$3:$C$2150,$A513)&gt;0,1,0)</f>
        <v>0</v>
      </c>
      <c r="F513">
        <f>IF(COUNTIFS('United Data'!$A$3:$A$2150,F$1,'United Data'!$C$3:$C$2150,$A513)&gt;0,1,0)</f>
        <v>0</v>
      </c>
      <c r="G513">
        <f>IF(COUNTIFS('United Data'!$A$3:$A$2150,G$1,'United Data'!$C$3:$C$2150,$A513)&gt;0,1,0)</f>
        <v>0</v>
      </c>
      <c r="H513">
        <f>IF(COUNTIFS('United Data'!$A$3:$A$2150,H$1,'United Data'!$C$3:$C$2150,$A513)&gt;0,1,0)</f>
        <v>0</v>
      </c>
      <c r="I513">
        <f>IF(COUNTIFS('United Data'!$A$3:$A$2150,I$1,'United Data'!$C$3:$C$2150,$A513)&gt;0,1,0)</f>
        <v>1</v>
      </c>
      <c r="J513">
        <f>IF(COUNTIFS('United Data'!$A$3:$A$2150,J$1,'United Data'!$C$3:$C$2150,$A513)&gt;0,1,0)</f>
        <v>0</v>
      </c>
      <c r="K513">
        <f>IF(COUNTIFS('United Data'!$A$3:$A$2150,K$1,'United Data'!$C$3:$C$2150,$A513)&gt;0,1,0)</f>
        <v>0</v>
      </c>
      <c r="L513">
        <f>IF(COUNTIFS('United Data'!$A$3:$A$2150,L$1,'United Data'!$C$3:$C$2150,$A513)&gt;0,1,0)</f>
        <v>0</v>
      </c>
      <c r="M513">
        <f>IF(COUNTIFS('United Data'!$A$3:$A$2150,M$1,'United Data'!$C$3:$C$2150,$A513)&gt;0,1,0)</f>
        <v>0</v>
      </c>
      <c r="N513">
        <f>IF(COUNTIFS('United Data'!$A$3:$A$2150,N$1,'United Data'!$C$3:$C$2150,$A513)&gt;0,1,0)</f>
        <v>0</v>
      </c>
      <c r="O513">
        <f>IF(COUNTIFS('United Data'!$A$3:$A$2150,O$1,'United Data'!$C$3:$C$2150,$A513)&gt;0,1,0)</f>
        <v>0</v>
      </c>
      <c r="P513">
        <f>IF(COUNTIFS('United Data'!$A$3:$A$2150,P$1,'United Data'!$C$3:$C$2150,$A513)&gt;0,1,0)</f>
        <v>0</v>
      </c>
      <c r="Q513">
        <f>IF(COUNTIFS('United Data'!$A$3:$A$2150,Q$1,'United Data'!$C$3:$C$2150,$A513)&gt;0,1,0)</f>
        <v>0</v>
      </c>
      <c r="R513">
        <f>IF(COUNTIFS('United Data'!$A$3:$A$2150,R$1,'United Data'!$C$3:$C$2150,$A513)&gt;0,1,0)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560</v>
      </c>
      <c r="B514">
        <f>IF(COUNTIFS('United Data'!$A$3:$A$2150,B$1,'United Data'!$C$3:$C$2150,$A514)&gt;0,1,0)</f>
        <v>0</v>
      </c>
      <c r="C514">
        <f>IF(COUNTIFS('United Data'!$A$3:$A$2150,C$1,'United Data'!$C$3:$C$2150,$A514)&gt;0,1,0)</f>
        <v>0</v>
      </c>
      <c r="D514">
        <f>IF(COUNTIFS('United Data'!$A$3:$A$2150,D$1,'United Data'!$C$3:$C$2150,$A514)&gt;0,1,0)</f>
        <v>0</v>
      </c>
      <c r="E514">
        <f>IF(COUNTIFS('United Data'!$A$3:$A$2150,E$1,'United Data'!$C$3:$C$2150,$A514)&gt;0,1,0)</f>
        <v>0</v>
      </c>
      <c r="F514">
        <f>IF(COUNTIFS('United Data'!$A$3:$A$2150,F$1,'United Data'!$C$3:$C$2150,$A514)&gt;0,1,0)</f>
        <v>0</v>
      </c>
      <c r="G514">
        <f>IF(COUNTIFS('United Data'!$A$3:$A$2150,G$1,'United Data'!$C$3:$C$2150,$A514)&gt;0,1,0)</f>
        <v>0</v>
      </c>
      <c r="H514">
        <f>IF(COUNTIFS('United Data'!$A$3:$A$2150,H$1,'United Data'!$C$3:$C$2150,$A514)&gt;0,1,0)</f>
        <v>0</v>
      </c>
      <c r="I514">
        <f>IF(COUNTIFS('United Data'!$A$3:$A$2150,I$1,'United Data'!$C$3:$C$2150,$A514)&gt;0,1,0)</f>
        <v>0</v>
      </c>
      <c r="J514">
        <f>IF(COUNTIFS('United Data'!$A$3:$A$2150,J$1,'United Data'!$C$3:$C$2150,$A514)&gt;0,1,0)</f>
        <v>1</v>
      </c>
      <c r="K514">
        <f>IF(COUNTIFS('United Data'!$A$3:$A$2150,K$1,'United Data'!$C$3:$C$2150,$A514)&gt;0,1,0)</f>
        <v>0</v>
      </c>
      <c r="L514">
        <f>IF(COUNTIFS('United Data'!$A$3:$A$2150,L$1,'United Data'!$C$3:$C$2150,$A514)&gt;0,1,0)</f>
        <v>0</v>
      </c>
      <c r="M514">
        <f>IF(COUNTIFS('United Data'!$A$3:$A$2150,M$1,'United Data'!$C$3:$C$2150,$A514)&gt;0,1,0)</f>
        <v>0</v>
      </c>
      <c r="N514">
        <f>IF(COUNTIFS('United Data'!$A$3:$A$2150,N$1,'United Data'!$C$3:$C$2150,$A514)&gt;0,1,0)</f>
        <v>0</v>
      </c>
      <c r="O514">
        <f>IF(COUNTIFS('United Data'!$A$3:$A$2150,O$1,'United Data'!$C$3:$C$2150,$A514)&gt;0,1,0)</f>
        <v>0</v>
      </c>
      <c r="P514">
        <f>IF(COUNTIFS('United Data'!$A$3:$A$2150,P$1,'United Data'!$C$3:$C$2150,$A514)&gt;0,1,0)</f>
        <v>0</v>
      </c>
      <c r="Q514">
        <f>IF(COUNTIFS('United Data'!$A$3:$A$2150,Q$1,'United Data'!$C$3:$C$2150,$A514)&gt;0,1,0)</f>
        <v>0</v>
      </c>
      <c r="R514">
        <f>IF(COUNTIFS('United Data'!$A$3:$A$2150,R$1,'United Data'!$C$3:$C$2150,$A514)&gt;0,1,0)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561</v>
      </c>
      <c r="B515">
        <f>IF(COUNTIFS('United Data'!$A$3:$A$2150,B$1,'United Data'!$C$3:$C$2150,$A515)&gt;0,1,0)</f>
        <v>0</v>
      </c>
      <c r="C515">
        <f>IF(COUNTIFS('United Data'!$A$3:$A$2150,C$1,'United Data'!$C$3:$C$2150,$A515)&gt;0,1,0)</f>
        <v>0</v>
      </c>
      <c r="D515">
        <f>IF(COUNTIFS('United Data'!$A$3:$A$2150,D$1,'United Data'!$C$3:$C$2150,$A515)&gt;0,1,0)</f>
        <v>0</v>
      </c>
      <c r="E515">
        <f>IF(COUNTIFS('United Data'!$A$3:$A$2150,E$1,'United Data'!$C$3:$C$2150,$A515)&gt;0,1,0)</f>
        <v>0</v>
      </c>
      <c r="F515">
        <f>IF(COUNTIFS('United Data'!$A$3:$A$2150,F$1,'United Data'!$C$3:$C$2150,$A515)&gt;0,1,0)</f>
        <v>0</v>
      </c>
      <c r="G515">
        <f>IF(COUNTIFS('United Data'!$A$3:$A$2150,G$1,'United Data'!$C$3:$C$2150,$A515)&gt;0,1,0)</f>
        <v>0</v>
      </c>
      <c r="H515">
        <f>IF(COUNTIFS('United Data'!$A$3:$A$2150,H$1,'United Data'!$C$3:$C$2150,$A515)&gt;0,1,0)</f>
        <v>0</v>
      </c>
      <c r="I515">
        <f>IF(COUNTIFS('United Data'!$A$3:$A$2150,I$1,'United Data'!$C$3:$C$2150,$A515)&gt;0,1,0)</f>
        <v>0</v>
      </c>
      <c r="J515">
        <f>IF(COUNTIFS('United Data'!$A$3:$A$2150,J$1,'United Data'!$C$3:$C$2150,$A515)&gt;0,1,0)</f>
        <v>1</v>
      </c>
      <c r="K515">
        <f>IF(COUNTIFS('United Data'!$A$3:$A$2150,K$1,'United Data'!$C$3:$C$2150,$A515)&gt;0,1,0)</f>
        <v>1</v>
      </c>
      <c r="L515">
        <f>IF(COUNTIFS('United Data'!$A$3:$A$2150,L$1,'United Data'!$C$3:$C$2150,$A515)&gt;0,1,0)</f>
        <v>0</v>
      </c>
      <c r="M515">
        <f>IF(COUNTIFS('United Data'!$A$3:$A$2150,M$1,'United Data'!$C$3:$C$2150,$A515)&gt;0,1,0)</f>
        <v>0</v>
      </c>
      <c r="N515">
        <f>IF(COUNTIFS('United Data'!$A$3:$A$2150,N$1,'United Data'!$C$3:$C$2150,$A515)&gt;0,1,0)</f>
        <v>0</v>
      </c>
      <c r="O515">
        <f>IF(COUNTIFS('United Data'!$A$3:$A$2150,O$1,'United Data'!$C$3:$C$2150,$A515)&gt;0,1,0)</f>
        <v>0</v>
      </c>
      <c r="P515">
        <f>IF(COUNTIFS('United Data'!$A$3:$A$2150,P$1,'United Data'!$C$3:$C$2150,$A515)&gt;0,1,0)</f>
        <v>0</v>
      </c>
      <c r="Q515">
        <f>IF(COUNTIFS('United Data'!$A$3:$A$2150,Q$1,'United Data'!$C$3:$C$2150,$A515)&gt;0,1,0)</f>
        <v>0</v>
      </c>
      <c r="R515">
        <f>IF(COUNTIFS('United Data'!$A$3:$A$2150,R$1,'United Data'!$C$3:$C$2150,$A515)&gt;0,1,0)</f>
        <v>0</v>
      </c>
      <c r="S515">
        <f t="shared" si="16"/>
        <v>2</v>
      </c>
      <c r="T515">
        <f t="shared" si="17"/>
        <v>1</v>
      </c>
    </row>
    <row r="516" spans="1:20" x14ac:dyDescent="0.2">
      <c r="A516" t="s">
        <v>562</v>
      </c>
      <c r="B516">
        <f>IF(COUNTIFS('United Data'!$A$3:$A$2150,B$1,'United Data'!$C$3:$C$2150,$A516)&gt;0,1,0)</f>
        <v>0</v>
      </c>
      <c r="C516">
        <f>IF(COUNTIFS('United Data'!$A$3:$A$2150,C$1,'United Data'!$C$3:$C$2150,$A516)&gt;0,1,0)</f>
        <v>0</v>
      </c>
      <c r="D516">
        <f>IF(COUNTIFS('United Data'!$A$3:$A$2150,D$1,'United Data'!$C$3:$C$2150,$A516)&gt;0,1,0)</f>
        <v>0</v>
      </c>
      <c r="E516">
        <f>IF(COUNTIFS('United Data'!$A$3:$A$2150,E$1,'United Data'!$C$3:$C$2150,$A516)&gt;0,1,0)</f>
        <v>0</v>
      </c>
      <c r="F516">
        <f>IF(COUNTIFS('United Data'!$A$3:$A$2150,F$1,'United Data'!$C$3:$C$2150,$A516)&gt;0,1,0)</f>
        <v>0</v>
      </c>
      <c r="G516">
        <f>IF(COUNTIFS('United Data'!$A$3:$A$2150,G$1,'United Data'!$C$3:$C$2150,$A516)&gt;0,1,0)</f>
        <v>0</v>
      </c>
      <c r="H516">
        <f>IF(COUNTIFS('United Data'!$A$3:$A$2150,H$1,'United Data'!$C$3:$C$2150,$A516)&gt;0,1,0)</f>
        <v>0</v>
      </c>
      <c r="I516">
        <f>IF(COUNTIFS('United Data'!$A$3:$A$2150,I$1,'United Data'!$C$3:$C$2150,$A516)&gt;0,1,0)</f>
        <v>0</v>
      </c>
      <c r="J516">
        <f>IF(COUNTIFS('United Data'!$A$3:$A$2150,J$1,'United Data'!$C$3:$C$2150,$A516)&gt;0,1,0)</f>
        <v>1</v>
      </c>
      <c r="K516">
        <f>IF(COUNTIFS('United Data'!$A$3:$A$2150,K$1,'United Data'!$C$3:$C$2150,$A516)&gt;0,1,0)</f>
        <v>0</v>
      </c>
      <c r="L516">
        <f>IF(COUNTIFS('United Data'!$A$3:$A$2150,L$1,'United Data'!$C$3:$C$2150,$A516)&gt;0,1,0)</f>
        <v>0</v>
      </c>
      <c r="M516">
        <f>IF(COUNTIFS('United Data'!$A$3:$A$2150,M$1,'United Data'!$C$3:$C$2150,$A516)&gt;0,1,0)</f>
        <v>0</v>
      </c>
      <c r="N516">
        <f>IF(COUNTIFS('United Data'!$A$3:$A$2150,N$1,'United Data'!$C$3:$C$2150,$A516)&gt;0,1,0)</f>
        <v>0</v>
      </c>
      <c r="O516">
        <f>IF(COUNTIFS('United Data'!$A$3:$A$2150,O$1,'United Data'!$C$3:$C$2150,$A516)&gt;0,1,0)</f>
        <v>0</v>
      </c>
      <c r="P516">
        <f>IF(COUNTIFS('United Data'!$A$3:$A$2150,P$1,'United Data'!$C$3:$C$2150,$A516)&gt;0,1,0)</f>
        <v>0</v>
      </c>
      <c r="Q516">
        <f>IF(COUNTIFS('United Data'!$A$3:$A$2150,Q$1,'United Data'!$C$3:$C$2150,$A516)&gt;0,1,0)</f>
        <v>0</v>
      </c>
      <c r="R516">
        <f>IF(COUNTIFS('United Data'!$A$3:$A$2150,R$1,'United Data'!$C$3:$C$2150,$A516)&gt;0,1,0)</f>
        <v>0</v>
      </c>
      <c r="S516">
        <f t="shared" si="16"/>
        <v>1</v>
      </c>
      <c r="T516">
        <f t="shared" si="17"/>
        <v>1</v>
      </c>
    </row>
    <row r="517" spans="1:20" x14ac:dyDescent="0.2">
      <c r="A517" t="s">
        <v>563</v>
      </c>
      <c r="B517">
        <f>IF(COUNTIFS('United Data'!$A$3:$A$2150,B$1,'United Data'!$C$3:$C$2150,$A517)&gt;0,1,0)</f>
        <v>0</v>
      </c>
      <c r="C517">
        <f>IF(COUNTIFS('United Data'!$A$3:$A$2150,C$1,'United Data'!$C$3:$C$2150,$A517)&gt;0,1,0)</f>
        <v>0</v>
      </c>
      <c r="D517">
        <f>IF(COUNTIFS('United Data'!$A$3:$A$2150,D$1,'United Data'!$C$3:$C$2150,$A517)&gt;0,1,0)</f>
        <v>0</v>
      </c>
      <c r="E517">
        <f>IF(COUNTIFS('United Data'!$A$3:$A$2150,E$1,'United Data'!$C$3:$C$2150,$A517)&gt;0,1,0)</f>
        <v>0</v>
      </c>
      <c r="F517">
        <f>IF(COUNTIFS('United Data'!$A$3:$A$2150,F$1,'United Data'!$C$3:$C$2150,$A517)&gt;0,1,0)</f>
        <v>0</v>
      </c>
      <c r="G517">
        <f>IF(COUNTIFS('United Data'!$A$3:$A$2150,G$1,'United Data'!$C$3:$C$2150,$A517)&gt;0,1,0)</f>
        <v>0</v>
      </c>
      <c r="H517">
        <f>IF(COUNTIFS('United Data'!$A$3:$A$2150,H$1,'United Data'!$C$3:$C$2150,$A517)&gt;0,1,0)</f>
        <v>0</v>
      </c>
      <c r="I517">
        <f>IF(COUNTIFS('United Data'!$A$3:$A$2150,I$1,'United Data'!$C$3:$C$2150,$A517)&gt;0,1,0)</f>
        <v>0</v>
      </c>
      <c r="J517">
        <f>IF(COUNTIFS('United Data'!$A$3:$A$2150,J$1,'United Data'!$C$3:$C$2150,$A517)&gt;0,1,0)</f>
        <v>1</v>
      </c>
      <c r="K517">
        <f>IF(COUNTIFS('United Data'!$A$3:$A$2150,K$1,'United Data'!$C$3:$C$2150,$A517)&gt;0,1,0)</f>
        <v>0</v>
      </c>
      <c r="L517">
        <f>IF(COUNTIFS('United Data'!$A$3:$A$2150,L$1,'United Data'!$C$3:$C$2150,$A517)&gt;0,1,0)</f>
        <v>0</v>
      </c>
      <c r="M517">
        <f>IF(COUNTIFS('United Data'!$A$3:$A$2150,M$1,'United Data'!$C$3:$C$2150,$A517)&gt;0,1,0)</f>
        <v>0</v>
      </c>
      <c r="N517">
        <f>IF(COUNTIFS('United Data'!$A$3:$A$2150,N$1,'United Data'!$C$3:$C$2150,$A517)&gt;0,1,0)</f>
        <v>0</v>
      </c>
      <c r="O517">
        <f>IF(COUNTIFS('United Data'!$A$3:$A$2150,O$1,'United Data'!$C$3:$C$2150,$A517)&gt;0,1,0)</f>
        <v>0</v>
      </c>
      <c r="P517">
        <f>IF(COUNTIFS('United Data'!$A$3:$A$2150,P$1,'United Data'!$C$3:$C$2150,$A517)&gt;0,1,0)</f>
        <v>0</v>
      </c>
      <c r="Q517">
        <f>IF(COUNTIFS('United Data'!$A$3:$A$2150,Q$1,'United Data'!$C$3:$C$2150,$A517)&gt;0,1,0)</f>
        <v>0</v>
      </c>
      <c r="R517">
        <f>IF(COUNTIFS('United Data'!$A$3:$A$2150,R$1,'United Data'!$C$3:$C$2150,$A517)&gt;0,1,0)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564</v>
      </c>
      <c r="B518">
        <f>IF(COUNTIFS('United Data'!$A$3:$A$2150,B$1,'United Data'!$C$3:$C$2150,$A518)&gt;0,1,0)</f>
        <v>0</v>
      </c>
      <c r="C518">
        <f>IF(COUNTIFS('United Data'!$A$3:$A$2150,C$1,'United Data'!$C$3:$C$2150,$A518)&gt;0,1,0)</f>
        <v>0</v>
      </c>
      <c r="D518">
        <f>IF(COUNTIFS('United Data'!$A$3:$A$2150,D$1,'United Data'!$C$3:$C$2150,$A518)&gt;0,1,0)</f>
        <v>0</v>
      </c>
      <c r="E518">
        <f>IF(COUNTIFS('United Data'!$A$3:$A$2150,E$1,'United Data'!$C$3:$C$2150,$A518)&gt;0,1,0)</f>
        <v>0</v>
      </c>
      <c r="F518">
        <f>IF(COUNTIFS('United Data'!$A$3:$A$2150,F$1,'United Data'!$C$3:$C$2150,$A518)&gt;0,1,0)</f>
        <v>0</v>
      </c>
      <c r="G518">
        <f>IF(COUNTIFS('United Data'!$A$3:$A$2150,G$1,'United Data'!$C$3:$C$2150,$A518)&gt;0,1,0)</f>
        <v>0</v>
      </c>
      <c r="H518">
        <f>IF(COUNTIFS('United Data'!$A$3:$A$2150,H$1,'United Data'!$C$3:$C$2150,$A518)&gt;0,1,0)</f>
        <v>0</v>
      </c>
      <c r="I518">
        <f>IF(COUNTIFS('United Data'!$A$3:$A$2150,I$1,'United Data'!$C$3:$C$2150,$A518)&gt;0,1,0)</f>
        <v>0</v>
      </c>
      <c r="J518">
        <f>IF(COUNTIFS('United Data'!$A$3:$A$2150,J$1,'United Data'!$C$3:$C$2150,$A518)&gt;0,1,0)</f>
        <v>1</v>
      </c>
      <c r="K518">
        <f>IF(COUNTIFS('United Data'!$A$3:$A$2150,K$1,'United Data'!$C$3:$C$2150,$A518)&gt;0,1,0)</f>
        <v>0</v>
      </c>
      <c r="L518">
        <f>IF(COUNTIFS('United Data'!$A$3:$A$2150,L$1,'United Data'!$C$3:$C$2150,$A518)&gt;0,1,0)</f>
        <v>0</v>
      </c>
      <c r="M518">
        <f>IF(COUNTIFS('United Data'!$A$3:$A$2150,M$1,'United Data'!$C$3:$C$2150,$A518)&gt;0,1,0)</f>
        <v>0</v>
      </c>
      <c r="N518">
        <f>IF(COUNTIFS('United Data'!$A$3:$A$2150,N$1,'United Data'!$C$3:$C$2150,$A518)&gt;0,1,0)</f>
        <v>0</v>
      </c>
      <c r="O518">
        <f>IF(COUNTIFS('United Data'!$A$3:$A$2150,O$1,'United Data'!$C$3:$C$2150,$A518)&gt;0,1,0)</f>
        <v>0</v>
      </c>
      <c r="P518">
        <f>IF(COUNTIFS('United Data'!$A$3:$A$2150,P$1,'United Data'!$C$3:$C$2150,$A518)&gt;0,1,0)</f>
        <v>0</v>
      </c>
      <c r="Q518">
        <f>IF(COUNTIFS('United Data'!$A$3:$A$2150,Q$1,'United Data'!$C$3:$C$2150,$A518)&gt;0,1,0)</f>
        <v>0</v>
      </c>
      <c r="R518">
        <f>IF(COUNTIFS('United Data'!$A$3:$A$2150,R$1,'United Data'!$C$3:$C$2150,$A518)&gt;0,1,0)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565</v>
      </c>
      <c r="B519">
        <f>IF(COUNTIFS('United Data'!$A$3:$A$2150,B$1,'United Data'!$C$3:$C$2150,$A519)&gt;0,1,0)</f>
        <v>0</v>
      </c>
      <c r="C519">
        <f>IF(COUNTIFS('United Data'!$A$3:$A$2150,C$1,'United Data'!$C$3:$C$2150,$A519)&gt;0,1,0)</f>
        <v>0</v>
      </c>
      <c r="D519">
        <f>IF(COUNTIFS('United Data'!$A$3:$A$2150,D$1,'United Data'!$C$3:$C$2150,$A519)&gt;0,1,0)</f>
        <v>0</v>
      </c>
      <c r="E519">
        <f>IF(COUNTIFS('United Data'!$A$3:$A$2150,E$1,'United Data'!$C$3:$C$2150,$A519)&gt;0,1,0)</f>
        <v>0</v>
      </c>
      <c r="F519">
        <f>IF(COUNTIFS('United Data'!$A$3:$A$2150,F$1,'United Data'!$C$3:$C$2150,$A519)&gt;0,1,0)</f>
        <v>0</v>
      </c>
      <c r="G519">
        <f>IF(COUNTIFS('United Data'!$A$3:$A$2150,G$1,'United Data'!$C$3:$C$2150,$A519)&gt;0,1,0)</f>
        <v>0</v>
      </c>
      <c r="H519">
        <f>IF(COUNTIFS('United Data'!$A$3:$A$2150,H$1,'United Data'!$C$3:$C$2150,$A519)&gt;0,1,0)</f>
        <v>0</v>
      </c>
      <c r="I519">
        <f>IF(COUNTIFS('United Data'!$A$3:$A$2150,I$1,'United Data'!$C$3:$C$2150,$A519)&gt;0,1,0)</f>
        <v>0</v>
      </c>
      <c r="J519">
        <f>IF(COUNTIFS('United Data'!$A$3:$A$2150,J$1,'United Data'!$C$3:$C$2150,$A519)&gt;0,1,0)</f>
        <v>1</v>
      </c>
      <c r="K519">
        <f>IF(COUNTIFS('United Data'!$A$3:$A$2150,K$1,'United Data'!$C$3:$C$2150,$A519)&gt;0,1,0)</f>
        <v>0</v>
      </c>
      <c r="L519">
        <f>IF(COUNTIFS('United Data'!$A$3:$A$2150,L$1,'United Data'!$C$3:$C$2150,$A519)&gt;0,1,0)</f>
        <v>0</v>
      </c>
      <c r="M519">
        <f>IF(COUNTIFS('United Data'!$A$3:$A$2150,M$1,'United Data'!$C$3:$C$2150,$A519)&gt;0,1,0)</f>
        <v>0</v>
      </c>
      <c r="N519">
        <f>IF(COUNTIFS('United Data'!$A$3:$A$2150,N$1,'United Data'!$C$3:$C$2150,$A519)&gt;0,1,0)</f>
        <v>0</v>
      </c>
      <c r="O519">
        <f>IF(COUNTIFS('United Data'!$A$3:$A$2150,O$1,'United Data'!$C$3:$C$2150,$A519)&gt;0,1,0)</f>
        <v>0</v>
      </c>
      <c r="P519">
        <f>IF(COUNTIFS('United Data'!$A$3:$A$2150,P$1,'United Data'!$C$3:$C$2150,$A519)&gt;0,1,0)</f>
        <v>0</v>
      </c>
      <c r="Q519">
        <f>IF(COUNTIFS('United Data'!$A$3:$A$2150,Q$1,'United Data'!$C$3:$C$2150,$A519)&gt;0,1,0)</f>
        <v>0</v>
      </c>
      <c r="R519">
        <f>IF(COUNTIFS('United Data'!$A$3:$A$2150,R$1,'United Data'!$C$3:$C$2150,$A519)&gt;0,1,0)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566</v>
      </c>
      <c r="B520">
        <f>IF(COUNTIFS('United Data'!$A$3:$A$2150,B$1,'United Data'!$C$3:$C$2150,$A520)&gt;0,1,0)</f>
        <v>0</v>
      </c>
      <c r="C520">
        <f>IF(COUNTIFS('United Data'!$A$3:$A$2150,C$1,'United Data'!$C$3:$C$2150,$A520)&gt;0,1,0)</f>
        <v>0</v>
      </c>
      <c r="D520">
        <f>IF(COUNTIFS('United Data'!$A$3:$A$2150,D$1,'United Data'!$C$3:$C$2150,$A520)&gt;0,1,0)</f>
        <v>0</v>
      </c>
      <c r="E520">
        <f>IF(COUNTIFS('United Data'!$A$3:$A$2150,E$1,'United Data'!$C$3:$C$2150,$A520)&gt;0,1,0)</f>
        <v>0</v>
      </c>
      <c r="F520">
        <f>IF(COUNTIFS('United Data'!$A$3:$A$2150,F$1,'United Data'!$C$3:$C$2150,$A520)&gt;0,1,0)</f>
        <v>0</v>
      </c>
      <c r="G520">
        <f>IF(COUNTIFS('United Data'!$A$3:$A$2150,G$1,'United Data'!$C$3:$C$2150,$A520)&gt;0,1,0)</f>
        <v>0</v>
      </c>
      <c r="H520">
        <f>IF(COUNTIFS('United Data'!$A$3:$A$2150,H$1,'United Data'!$C$3:$C$2150,$A520)&gt;0,1,0)</f>
        <v>0</v>
      </c>
      <c r="I520">
        <f>IF(COUNTIFS('United Data'!$A$3:$A$2150,I$1,'United Data'!$C$3:$C$2150,$A520)&gt;0,1,0)</f>
        <v>0</v>
      </c>
      <c r="J520">
        <f>IF(COUNTIFS('United Data'!$A$3:$A$2150,J$1,'United Data'!$C$3:$C$2150,$A520)&gt;0,1,0)</f>
        <v>1</v>
      </c>
      <c r="K520">
        <f>IF(COUNTIFS('United Data'!$A$3:$A$2150,K$1,'United Data'!$C$3:$C$2150,$A520)&gt;0,1,0)</f>
        <v>0</v>
      </c>
      <c r="L520">
        <f>IF(COUNTIFS('United Data'!$A$3:$A$2150,L$1,'United Data'!$C$3:$C$2150,$A520)&gt;0,1,0)</f>
        <v>0</v>
      </c>
      <c r="M520">
        <f>IF(COUNTIFS('United Data'!$A$3:$A$2150,M$1,'United Data'!$C$3:$C$2150,$A520)&gt;0,1,0)</f>
        <v>0</v>
      </c>
      <c r="N520">
        <f>IF(COUNTIFS('United Data'!$A$3:$A$2150,N$1,'United Data'!$C$3:$C$2150,$A520)&gt;0,1,0)</f>
        <v>0</v>
      </c>
      <c r="O520">
        <f>IF(COUNTIFS('United Data'!$A$3:$A$2150,O$1,'United Data'!$C$3:$C$2150,$A520)&gt;0,1,0)</f>
        <v>0</v>
      </c>
      <c r="P520">
        <f>IF(COUNTIFS('United Data'!$A$3:$A$2150,P$1,'United Data'!$C$3:$C$2150,$A520)&gt;0,1,0)</f>
        <v>0</v>
      </c>
      <c r="Q520">
        <f>IF(COUNTIFS('United Data'!$A$3:$A$2150,Q$1,'United Data'!$C$3:$C$2150,$A520)&gt;0,1,0)</f>
        <v>0</v>
      </c>
      <c r="R520">
        <f>IF(COUNTIFS('United Data'!$A$3:$A$2150,R$1,'United Data'!$C$3:$C$2150,$A520)&gt;0,1,0)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567</v>
      </c>
      <c r="B521">
        <f>IF(COUNTIFS('United Data'!$A$3:$A$2150,B$1,'United Data'!$C$3:$C$2150,$A521)&gt;0,1,0)</f>
        <v>0</v>
      </c>
      <c r="C521">
        <f>IF(COUNTIFS('United Data'!$A$3:$A$2150,C$1,'United Data'!$C$3:$C$2150,$A521)&gt;0,1,0)</f>
        <v>0</v>
      </c>
      <c r="D521">
        <f>IF(COUNTIFS('United Data'!$A$3:$A$2150,D$1,'United Data'!$C$3:$C$2150,$A521)&gt;0,1,0)</f>
        <v>0</v>
      </c>
      <c r="E521">
        <f>IF(COUNTIFS('United Data'!$A$3:$A$2150,E$1,'United Data'!$C$3:$C$2150,$A521)&gt;0,1,0)</f>
        <v>0</v>
      </c>
      <c r="F521">
        <f>IF(COUNTIFS('United Data'!$A$3:$A$2150,F$1,'United Data'!$C$3:$C$2150,$A521)&gt;0,1,0)</f>
        <v>0</v>
      </c>
      <c r="G521">
        <f>IF(COUNTIFS('United Data'!$A$3:$A$2150,G$1,'United Data'!$C$3:$C$2150,$A521)&gt;0,1,0)</f>
        <v>0</v>
      </c>
      <c r="H521">
        <f>IF(COUNTIFS('United Data'!$A$3:$A$2150,H$1,'United Data'!$C$3:$C$2150,$A521)&gt;0,1,0)</f>
        <v>0</v>
      </c>
      <c r="I521">
        <f>IF(COUNTIFS('United Data'!$A$3:$A$2150,I$1,'United Data'!$C$3:$C$2150,$A521)&gt;0,1,0)</f>
        <v>0</v>
      </c>
      <c r="J521">
        <f>IF(COUNTIFS('United Data'!$A$3:$A$2150,J$1,'United Data'!$C$3:$C$2150,$A521)&gt;0,1,0)</f>
        <v>1</v>
      </c>
      <c r="K521">
        <f>IF(COUNTIFS('United Data'!$A$3:$A$2150,K$1,'United Data'!$C$3:$C$2150,$A521)&gt;0,1,0)</f>
        <v>0</v>
      </c>
      <c r="L521">
        <f>IF(COUNTIFS('United Data'!$A$3:$A$2150,L$1,'United Data'!$C$3:$C$2150,$A521)&gt;0,1,0)</f>
        <v>0</v>
      </c>
      <c r="M521">
        <f>IF(COUNTIFS('United Data'!$A$3:$A$2150,M$1,'United Data'!$C$3:$C$2150,$A521)&gt;0,1,0)</f>
        <v>0</v>
      </c>
      <c r="N521">
        <f>IF(COUNTIFS('United Data'!$A$3:$A$2150,N$1,'United Data'!$C$3:$C$2150,$A521)&gt;0,1,0)</f>
        <v>0</v>
      </c>
      <c r="O521">
        <f>IF(COUNTIFS('United Data'!$A$3:$A$2150,O$1,'United Data'!$C$3:$C$2150,$A521)&gt;0,1,0)</f>
        <v>0</v>
      </c>
      <c r="P521">
        <f>IF(COUNTIFS('United Data'!$A$3:$A$2150,P$1,'United Data'!$C$3:$C$2150,$A521)&gt;0,1,0)</f>
        <v>0</v>
      </c>
      <c r="Q521">
        <f>IF(COUNTIFS('United Data'!$A$3:$A$2150,Q$1,'United Data'!$C$3:$C$2150,$A521)&gt;0,1,0)</f>
        <v>0</v>
      </c>
      <c r="R521">
        <f>IF(COUNTIFS('United Data'!$A$3:$A$2150,R$1,'United Data'!$C$3:$C$2150,$A521)&gt;0,1,0)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568</v>
      </c>
      <c r="B522">
        <f>IF(COUNTIFS('United Data'!$A$3:$A$2150,B$1,'United Data'!$C$3:$C$2150,$A522)&gt;0,1,0)</f>
        <v>0</v>
      </c>
      <c r="C522">
        <f>IF(COUNTIFS('United Data'!$A$3:$A$2150,C$1,'United Data'!$C$3:$C$2150,$A522)&gt;0,1,0)</f>
        <v>0</v>
      </c>
      <c r="D522">
        <f>IF(COUNTIFS('United Data'!$A$3:$A$2150,D$1,'United Data'!$C$3:$C$2150,$A522)&gt;0,1,0)</f>
        <v>0</v>
      </c>
      <c r="E522">
        <f>IF(COUNTIFS('United Data'!$A$3:$A$2150,E$1,'United Data'!$C$3:$C$2150,$A522)&gt;0,1,0)</f>
        <v>0</v>
      </c>
      <c r="F522">
        <f>IF(COUNTIFS('United Data'!$A$3:$A$2150,F$1,'United Data'!$C$3:$C$2150,$A522)&gt;0,1,0)</f>
        <v>0</v>
      </c>
      <c r="G522">
        <f>IF(COUNTIFS('United Data'!$A$3:$A$2150,G$1,'United Data'!$C$3:$C$2150,$A522)&gt;0,1,0)</f>
        <v>0</v>
      </c>
      <c r="H522">
        <f>IF(COUNTIFS('United Data'!$A$3:$A$2150,H$1,'United Data'!$C$3:$C$2150,$A522)&gt;0,1,0)</f>
        <v>0</v>
      </c>
      <c r="I522">
        <f>IF(COUNTIFS('United Data'!$A$3:$A$2150,I$1,'United Data'!$C$3:$C$2150,$A522)&gt;0,1,0)</f>
        <v>0</v>
      </c>
      <c r="J522">
        <f>IF(COUNTIFS('United Data'!$A$3:$A$2150,J$1,'United Data'!$C$3:$C$2150,$A522)&gt;0,1,0)</f>
        <v>1</v>
      </c>
      <c r="K522">
        <f>IF(COUNTIFS('United Data'!$A$3:$A$2150,K$1,'United Data'!$C$3:$C$2150,$A522)&gt;0,1,0)</f>
        <v>0</v>
      </c>
      <c r="L522">
        <f>IF(COUNTIFS('United Data'!$A$3:$A$2150,L$1,'United Data'!$C$3:$C$2150,$A522)&gt;0,1,0)</f>
        <v>0</v>
      </c>
      <c r="M522">
        <f>IF(COUNTIFS('United Data'!$A$3:$A$2150,M$1,'United Data'!$C$3:$C$2150,$A522)&gt;0,1,0)</f>
        <v>0</v>
      </c>
      <c r="N522">
        <f>IF(COUNTIFS('United Data'!$A$3:$A$2150,N$1,'United Data'!$C$3:$C$2150,$A522)&gt;0,1,0)</f>
        <v>0</v>
      </c>
      <c r="O522">
        <f>IF(COUNTIFS('United Data'!$A$3:$A$2150,O$1,'United Data'!$C$3:$C$2150,$A522)&gt;0,1,0)</f>
        <v>0</v>
      </c>
      <c r="P522">
        <f>IF(COUNTIFS('United Data'!$A$3:$A$2150,P$1,'United Data'!$C$3:$C$2150,$A522)&gt;0,1,0)</f>
        <v>0</v>
      </c>
      <c r="Q522">
        <f>IF(COUNTIFS('United Data'!$A$3:$A$2150,Q$1,'United Data'!$C$3:$C$2150,$A522)&gt;0,1,0)</f>
        <v>0</v>
      </c>
      <c r="R522">
        <f>IF(COUNTIFS('United Data'!$A$3:$A$2150,R$1,'United Data'!$C$3:$C$2150,$A522)&gt;0,1,0)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569</v>
      </c>
      <c r="B523">
        <f>IF(COUNTIFS('United Data'!$A$3:$A$2150,B$1,'United Data'!$C$3:$C$2150,$A523)&gt;0,1,0)</f>
        <v>0</v>
      </c>
      <c r="C523">
        <f>IF(COUNTIFS('United Data'!$A$3:$A$2150,C$1,'United Data'!$C$3:$C$2150,$A523)&gt;0,1,0)</f>
        <v>0</v>
      </c>
      <c r="D523">
        <f>IF(COUNTIFS('United Data'!$A$3:$A$2150,D$1,'United Data'!$C$3:$C$2150,$A523)&gt;0,1,0)</f>
        <v>0</v>
      </c>
      <c r="E523">
        <f>IF(COUNTIFS('United Data'!$A$3:$A$2150,E$1,'United Data'!$C$3:$C$2150,$A523)&gt;0,1,0)</f>
        <v>0</v>
      </c>
      <c r="F523">
        <f>IF(COUNTIFS('United Data'!$A$3:$A$2150,F$1,'United Data'!$C$3:$C$2150,$A523)&gt;0,1,0)</f>
        <v>0</v>
      </c>
      <c r="G523">
        <f>IF(COUNTIFS('United Data'!$A$3:$A$2150,G$1,'United Data'!$C$3:$C$2150,$A523)&gt;0,1,0)</f>
        <v>0</v>
      </c>
      <c r="H523">
        <f>IF(COUNTIFS('United Data'!$A$3:$A$2150,H$1,'United Data'!$C$3:$C$2150,$A523)&gt;0,1,0)</f>
        <v>0</v>
      </c>
      <c r="I523">
        <f>IF(COUNTIFS('United Data'!$A$3:$A$2150,I$1,'United Data'!$C$3:$C$2150,$A523)&gt;0,1,0)</f>
        <v>0</v>
      </c>
      <c r="J523">
        <f>IF(COUNTIFS('United Data'!$A$3:$A$2150,J$1,'United Data'!$C$3:$C$2150,$A523)&gt;0,1,0)</f>
        <v>1</v>
      </c>
      <c r="K523">
        <f>IF(COUNTIFS('United Data'!$A$3:$A$2150,K$1,'United Data'!$C$3:$C$2150,$A523)&gt;0,1,0)</f>
        <v>0</v>
      </c>
      <c r="L523">
        <f>IF(COUNTIFS('United Data'!$A$3:$A$2150,L$1,'United Data'!$C$3:$C$2150,$A523)&gt;0,1,0)</f>
        <v>0</v>
      </c>
      <c r="M523">
        <f>IF(COUNTIFS('United Data'!$A$3:$A$2150,M$1,'United Data'!$C$3:$C$2150,$A523)&gt;0,1,0)</f>
        <v>0</v>
      </c>
      <c r="N523">
        <f>IF(COUNTIFS('United Data'!$A$3:$A$2150,N$1,'United Data'!$C$3:$C$2150,$A523)&gt;0,1,0)</f>
        <v>0</v>
      </c>
      <c r="O523">
        <f>IF(COUNTIFS('United Data'!$A$3:$A$2150,O$1,'United Data'!$C$3:$C$2150,$A523)&gt;0,1,0)</f>
        <v>0</v>
      </c>
      <c r="P523">
        <f>IF(COUNTIFS('United Data'!$A$3:$A$2150,P$1,'United Data'!$C$3:$C$2150,$A523)&gt;0,1,0)</f>
        <v>0</v>
      </c>
      <c r="Q523">
        <f>IF(COUNTIFS('United Data'!$A$3:$A$2150,Q$1,'United Data'!$C$3:$C$2150,$A523)&gt;0,1,0)</f>
        <v>0</v>
      </c>
      <c r="R523">
        <f>IF(COUNTIFS('United Data'!$A$3:$A$2150,R$1,'United Data'!$C$3:$C$2150,$A523)&gt;0,1,0)</f>
        <v>0</v>
      </c>
      <c r="S523">
        <f t="shared" si="16"/>
        <v>1</v>
      </c>
      <c r="T523">
        <f t="shared" si="17"/>
        <v>1</v>
      </c>
    </row>
    <row r="524" spans="1:20" x14ac:dyDescent="0.2">
      <c r="A524" t="s">
        <v>570</v>
      </c>
      <c r="B524">
        <f>IF(COUNTIFS('United Data'!$A$3:$A$2150,B$1,'United Data'!$C$3:$C$2150,$A524)&gt;0,1,0)</f>
        <v>0</v>
      </c>
      <c r="C524">
        <f>IF(COUNTIFS('United Data'!$A$3:$A$2150,C$1,'United Data'!$C$3:$C$2150,$A524)&gt;0,1,0)</f>
        <v>0</v>
      </c>
      <c r="D524">
        <f>IF(COUNTIFS('United Data'!$A$3:$A$2150,D$1,'United Data'!$C$3:$C$2150,$A524)&gt;0,1,0)</f>
        <v>0</v>
      </c>
      <c r="E524">
        <f>IF(COUNTIFS('United Data'!$A$3:$A$2150,E$1,'United Data'!$C$3:$C$2150,$A524)&gt;0,1,0)</f>
        <v>0</v>
      </c>
      <c r="F524">
        <f>IF(COUNTIFS('United Data'!$A$3:$A$2150,F$1,'United Data'!$C$3:$C$2150,$A524)&gt;0,1,0)</f>
        <v>0</v>
      </c>
      <c r="G524">
        <f>IF(COUNTIFS('United Data'!$A$3:$A$2150,G$1,'United Data'!$C$3:$C$2150,$A524)&gt;0,1,0)</f>
        <v>0</v>
      </c>
      <c r="H524">
        <f>IF(COUNTIFS('United Data'!$A$3:$A$2150,H$1,'United Data'!$C$3:$C$2150,$A524)&gt;0,1,0)</f>
        <v>0</v>
      </c>
      <c r="I524">
        <f>IF(COUNTIFS('United Data'!$A$3:$A$2150,I$1,'United Data'!$C$3:$C$2150,$A524)&gt;0,1,0)</f>
        <v>0</v>
      </c>
      <c r="J524">
        <f>IF(COUNTIFS('United Data'!$A$3:$A$2150,J$1,'United Data'!$C$3:$C$2150,$A524)&gt;0,1,0)</f>
        <v>0</v>
      </c>
      <c r="K524">
        <f>IF(COUNTIFS('United Data'!$A$3:$A$2150,K$1,'United Data'!$C$3:$C$2150,$A524)&gt;0,1,0)</f>
        <v>1</v>
      </c>
      <c r="L524">
        <f>IF(COUNTIFS('United Data'!$A$3:$A$2150,L$1,'United Data'!$C$3:$C$2150,$A524)&gt;0,1,0)</f>
        <v>0</v>
      </c>
      <c r="M524">
        <f>IF(COUNTIFS('United Data'!$A$3:$A$2150,M$1,'United Data'!$C$3:$C$2150,$A524)&gt;0,1,0)</f>
        <v>0</v>
      </c>
      <c r="N524">
        <f>IF(COUNTIFS('United Data'!$A$3:$A$2150,N$1,'United Data'!$C$3:$C$2150,$A524)&gt;0,1,0)</f>
        <v>0</v>
      </c>
      <c r="O524">
        <f>IF(COUNTIFS('United Data'!$A$3:$A$2150,O$1,'United Data'!$C$3:$C$2150,$A524)&gt;0,1,0)</f>
        <v>0</v>
      </c>
      <c r="P524">
        <f>IF(COUNTIFS('United Data'!$A$3:$A$2150,P$1,'United Data'!$C$3:$C$2150,$A524)&gt;0,1,0)</f>
        <v>0</v>
      </c>
      <c r="Q524">
        <f>IF(COUNTIFS('United Data'!$A$3:$A$2150,Q$1,'United Data'!$C$3:$C$2150,$A524)&gt;0,1,0)</f>
        <v>0</v>
      </c>
      <c r="R524">
        <f>IF(COUNTIFS('United Data'!$A$3:$A$2150,R$1,'United Data'!$C$3:$C$2150,$A524)&gt;0,1,0)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571</v>
      </c>
      <c r="B525">
        <f>IF(COUNTIFS('United Data'!$A$3:$A$2150,B$1,'United Data'!$C$3:$C$2150,$A525)&gt;0,1,0)</f>
        <v>0</v>
      </c>
      <c r="C525">
        <f>IF(COUNTIFS('United Data'!$A$3:$A$2150,C$1,'United Data'!$C$3:$C$2150,$A525)&gt;0,1,0)</f>
        <v>0</v>
      </c>
      <c r="D525">
        <f>IF(COUNTIFS('United Data'!$A$3:$A$2150,D$1,'United Data'!$C$3:$C$2150,$A525)&gt;0,1,0)</f>
        <v>0</v>
      </c>
      <c r="E525">
        <f>IF(COUNTIFS('United Data'!$A$3:$A$2150,E$1,'United Data'!$C$3:$C$2150,$A525)&gt;0,1,0)</f>
        <v>1</v>
      </c>
      <c r="F525">
        <f>IF(COUNTIFS('United Data'!$A$3:$A$2150,F$1,'United Data'!$C$3:$C$2150,$A525)&gt;0,1,0)</f>
        <v>1</v>
      </c>
      <c r="G525">
        <f>IF(COUNTIFS('United Data'!$A$3:$A$2150,G$1,'United Data'!$C$3:$C$2150,$A525)&gt;0,1,0)</f>
        <v>1</v>
      </c>
      <c r="H525">
        <f>IF(COUNTIFS('United Data'!$A$3:$A$2150,H$1,'United Data'!$C$3:$C$2150,$A525)&gt;0,1,0)</f>
        <v>1</v>
      </c>
      <c r="I525">
        <f>IF(COUNTIFS('United Data'!$A$3:$A$2150,I$1,'United Data'!$C$3:$C$2150,$A525)&gt;0,1,0)</f>
        <v>1</v>
      </c>
      <c r="J525">
        <f>IF(COUNTIFS('United Data'!$A$3:$A$2150,J$1,'United Data'!$C$3:$C$2150,$A525)&gt;0,1,0)</f>
        <v>1</v>
      </c>
      <c r="K525">
        <f>IF(COUNTIFS('United Data'!$A$3:$A$2150,K$1,'United Data'!$C$3:$C$2150,$A525)&gt;0,1,0)</f>
        <v>1</v>
      </c>
      <c r="L525">
        <f>IF(COUNTIFS('United Data'!$A$3:$A$2150,L$1,'United Data'!$C$3:$C$2150,$A525)&gt;0,1,0)</f>
        <v>1</v>
      </c>
      <c r="M525">
        <f>IF(COUNTIFS('United Data'!$A$3:$A$2150,M$1,'United Data'!$C$3:$C$2150,$A525)&gt;0,1,0)</f>
        <v>1</v>
      </c>
      <c r="N525">
        <f>IF(COUNTIFS('United Data'!$A$3:$A$2150,N$1,'United Data'!$C$3:$C$2150,$A525)&gt;0,1,0)</f>
        <v>1</v>
      </c>
      <c r="O525">
        <f>IF(COUNTIFS('United Data'!$A$3:$A$2150,O$1,'United Data'!$C$3:$C$2150,$A525)&gt;0,1,0)</f>
        <v>0</v>
      </c>
      <c r="P525">
        <f>IF(COUNTIFS('United Data'!$A$3:$A$2150,P$1,'United Data'!$C$3:$C$2150,$A525)&gt;0,1,0)</f>
        <v>0</v>
      </c>
      <c r="Q525">
        <f>IF(COUNTIFS('United Data'!$A$3:$A$2150,Q$1,'United Data'!$C$3:$C$2150,$A525)&gt;0,1,0)</f>
        <v>0</v>
      </c>
      <c r="R525">
        <f>IF(COUNTIFS('United Data'!$A$3:$A$2150,R$1,'United Data'!$C$3:$C$2150,$A525)&gt;0,1,0)</f>
        <v>0</v>
      </c>
      <c r="S525">
        <f t="shared" si="16"/>
        <v>10</v>
      </c>
      <c r="T525">
        <f t="shared" si="17"/>
        <v>1</v>
      </c>
    </row>
    <row r="526" spans="1:20" x14ac:dyDescent="0.2">
      <c r="A526" t="s">
        <v>572</v>
      </c>
      <c r="B526">
        <f>IF(COUNTIFS('United Data'!$A$3:$A$2150,B$1,'United Data'!$C$3:$C$2150,$A526)&gt;0,1,0)</f>
        <v>0</v>
      </c>
      <c r="C526">
        <f>IF(COUNTIFS('United Data'!$A$3:$A$2150,C$1,'United Data'!$C$3:$C$2150,$A526)&gt;0,1,0)</f>
        <v>0</v>
      </c>
      <c r="D526">
        <f>IF(COUNTIFS('United Data'!$A$3:$A$2150,D$1,'United Data'!$C$3:$C$2150,$A526)&gt;0,1,0)</f>
        <v>0</v>
      </c>
      <c r="E526">
        <f>IF(COUNTIFS('United Data'!$A$3:$A$2150,E$1,'United Data'!$C$3:$C$2150,$A526)&gt;0,1,0)</f>
        <v>0</v>
      </c>
      <c r="F526">
        <f>IF(COUNTIFS('United Data'!$A$3:$A$2150,F$1,'United Data'!$C$3:$C$2150,$A526)&gt;0,1,0)</f>
        <v>0</v>
      </c>
      <c r="G526">
        <f>IF(COUNTIFS('United Data'!$A$3:$A$2150,G$1,'United Data'!$C$3:$C$2150,$A526)&gt;0,1,0)</f>
        <v>0</v>
      </c>
      <c r="H526">
        <f>IF(COUNTIFS('United Data'!$A$3:$A$2150,H$1,'United Data'!$C$3:$C$2150,$A526)&gt;0,1,0)</f>
        <v>0</v>
      </c>
      <c r="I526">
        <f>IF(COUNTIFS('United Data'!$A$3:$A$2150,I$1,'United Data'!$C$3:$C$2150,$A526)&gt;0,1,0)</f>
        <v>0</v>
      </c>
      <c r="J526">
        <f>IF(COUNTIFS('United Data'!$A$3:$A$2150,J$1,'United Data'!$C$3:$C$2150,$A526)&gt;0,1,0)</f>
        <v>0</v>
      </c>
      <c r="K526">
        <f>IF(COUNTIFS('United Data'!$A$3:$A$2150,K$1,'United Data'!$C$3:$C$2150,$A526)&gt;0,1,0)</f>
        <v>1</v>
      </c>
      <c r="L526">
        <f>IF(COUNTIFS('United Data'!$A$3:$A$2150,L$1,'United Data'!$C$3:$C$2150,$A526)&gt;0,1,0)</f>
        <v>0</v>
      </c>
      <c r="M526">
        <f>IF(COUNTIFS('United Data'!$A$3:$A$2150,M$1,'United Data'!$C$3:$C$2150,$A526)&gt;0,1,0)</f>
        <v>0</v>
      </c>
      <c r="N526">
        <f>IF(COUNTIFS('United Data'!$A$3:$A$2150,N$1,'United Data'!$C$3:$C$2150,$A526)&gt;0,1,0)</f>
        <v>0</v>
      </c>
      <c r="O526">
        <f>IF(COUNTIFS('United Data'!$A$3:$A$2150,O$1,'United Data'!$C$3:$C$2150,$A526)&gt;0,1,0)</f>
        <v>0</v>
      </c>
      <c r="P526">
        <f>IF(COUNTIFS('United Data'!$A$3:$A$2150,P$1,'United Data'!$C$3:$C$2150,$A526)&gt;0,1,0)</f>
        <v>0</v>
      </c>
      <c r="Q526">
        <f>IF(COUNTIFS('United Data'!$A$3:$A$2150,Q$1,'United Data'!$C$3:$C$2150,$A526)&gt;0,1,0)</f>
        <v>0</v>
      </c>
      <c r="R526">
        <f>IF(COUNTIFS('United Data'!$A$3:$A$2150,R$1,'United Data'!$C$3:$C$2150,$A526)&gt;0,1,0)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573</v>
      </c>
      <c r="B527">
        <f>IF(COUNTIFS('United Data'!$A$3:$A$2150,B$1,'United Data'!$C$3:$C$2150,$A527)&gt;0,1,0)</f>
        <v>0</v>
      </c>
      <c r="C527">
        <f>IF(COUNTIFS('United Data'!$A$3:$A$2150,C$1,'United Data'!$C$3:$C$2150,$A527)&gt;0,1,0)</f>
        <v>0</v>
      </c>
      <c r="D527">
        <f>IF(COUNTIFS('United Data'!$A$3:$A$2150,D$1,'United Data'!$C$3:$C$2150,$A527)&gt;0,1,0)</f>
        <v>0</v>
      </c>
      <c r="E527">
        <f>IF(COUNTIFS('United Data'!$A$3:$A$2150,E$1,'United Data'!$C$3:$C$2150,$A527)&gt;0,1,0)</f>
        <v>0</v>
      </c>
      <c r="F527">
        <f>IF(COUNTIFS('United Data'!$A$3:$A$2150,F$1,'United Data'!$C$3:$C$2150,$A527)&gt;0,1,0)</f>
        <v>0</v>
      </c>
      <c r="G527">
        <f>IF(COUNTIFS('United Data'!$A$3:$A$2150,G$1,'United Data'!$C$3:$C$2150,$A527)&gt;0,1,0)</f>
        <v>0</v>
      </c>
      <c r="H527">
        <f>IF(COUNTIFS('United Data'!$A$3:$A$2150,H$1,'United Data'!$C$3:$C$2150,$A527)&gt;0,1,0)</f>
        <v>0</v>
      </c>
      <c r="I527">
        <f>IF(COUNTIFS('United Data'!$A$3:$A$2150,I$1,'United Data'!$C$3:$C$2150,$A527)&gt;0,1,0)</f>
        <v>0</v>
      </c>
      <c r="J527">
        <f>IF(COUNTIFS('United Data'!$A$3:$A$2150,J$1,'United Data'!$C$3:$C$2150,$A527)&gt;0,1,0)</f>
        <v>0</v>
      </c>
      <c r="K527">
        <f>IF(COUNTIFS('United Data'!$A$3:$A$2150,K$1,'United Data'!$C$3:$C$2150,$A527)&gt;0,1,0)</f>
        <v>1</v>
      </c>
      <c r="L527">
        <f>IF(COUNTIFS('United Data'!$A$3:$A$2150,L$1,'United Data'!$C$3:$C$2150,$A527)&gt;0,1,0)</f>
        <v>1</v>
      </c>
      <c r="M527">
        <f>IF(COUNTIFS('United Data'!$A$3:$A$2150,M$1,'United Data'!$C$3:$C$2150,$A527)&gt;0,1,0)</f>
        <v>1</v>
      </c>
      <c r="N527">
        <f>IF(COUNTIFS('United Data'!$A$3:$A$2150,N$1,'United Data'!$C$3:$C$2150,$A527)&gt;0,1,0)</f>
        <v>1</v>
      </c>
      <c r="O527">
        <f>IF(COUNTIFS('United Data'!$A$3:$A$2150,O$1,'United Data'!$C$3:$C$2150,$A527)&gt;0,1,0)</f>
        <v>1</v>
      </c>
      <c r="P527">
        <f>IF(COUNTIFS('United Data'!$A$3:$A$2150,P$1,'United Data'!$C$3:$C$2150,$A527)&gt;0,1,0)</f>
        <v>0</v>
      </c>
      <c r="Q527">
        <f>IF(COUNTIFS('United Data'!$A$3:$A$2150,Q$1,'United Data'!$C$3:$C$2150,$A527)&gt;0,1,0)</f>
        <v>0</v>
      </c>
      <c r="R527">
        <f>IF(COUNTIFS('United Data'!$A$3:$A$2150,R$1,'United Data'!$C$3:$C$2150,$A527)&gt;0,1,0)</f>
        <v>0</v>
      </c>
      <c r="S527">
        <f t="shared" si="16"/>
        <v>5</v>
      </c>
      <c r="T527">
        <f t="shared" si="17"/>
        <v>1</v>
      </c>
    </row>
    <row r="528" spans="1:20" x14ac:dyDescent="0.2">
      <c r="A528" t="s">
        <v>574</v>
      </c>
      <c r="B528">
        <f>IF(COUNTIFS('United Data'!$A$3:$A$2150,B$1,'United Data'!$C$3:$C$2150,$A528)&gt;0,1,0)</f>
        <v>0</v>
      </c>
      <c r="C528">
        <f>IF(COUNTIFS('United Data'!$A$3:$A$2150,C$1,'United Data'!$C$3:$C$2150,$A528)&gt;0,1,0)</f>
        <v>0</v>
      </c>
      <c r="D528">
        <f>IF(COUNTIFS('United Data'!$A$3:$A$2150,D$1,'United Data'!$C$3:$C$2150,$A528)&gt;0,1,0)</f>
        <v>0</v>
      </c>
      <c r="E528">
        <f>IF(COUNTIFS('United Data'!$A$3:$A$2150,E$1,'United Data'!$C$3:$C$2150,$A528)&gt;0,1,0)</f>
        <v>0</v>
      </c>
      <c r="F528">
        <f>IF(COUNTIFS('United Data'!$A$3:$A$2150,F$1,'United Data'!$C$3:$C$2150,$A528)&gt;0,1,0)</f>
        <v>0</v>
      </c>
      <c r="G528">
        <f>IF(COUNTIFS('United Data'!$A$3:$A$2150,G$1,'United Data'!$C$3:$C$2150,$A528)&gt;0,1,0)</f>
        <v>0</v>
      </c>
      <c r="H528">
        <f>IF(COUNTIFS('United Data'!$A$3:$A$2150,H$1,'United Data'!$C$3:$C$2150,$A528)&gt;0,1,0)</f>
        <v>0</v>
      </c>
      <c r="I528">
        <f>IF(COUNTIFS('United Data'!$A$3:$A$2150,I$1,'United Data'!$C$3:$C$2150,$A528)&gt;0,1,0)</f>
        <v>0</v>
      </c>
      <c r="J528">
        <f>IF(COUNTIFS('United Data'!$A$3:$A$2150,J$1,'United Data'!$C$3:$C$2150,$A528)&gt;0,1,0)</f>
        <v>0</v>
      </c>
      <c r="K528">
        <f>IF(COUNTIFS('United Data'!$A$3:$A$2150,K$1,'United Data'!$C$3:$C$2150,$A528)&gt;0,1,0)</f>
        <v>1</v>
      </c>
      <c r="L528">
        <f>IF(COUNTIFS('United Data'!$A$3:$A$2150,L$1,'United Data'!$C$3:$C$2150,$A528)&gt;0,1,0)</f>
        <v>0</v>
      </c>
      <c r="M528">
        <f>IF(COUNTIFS('United Data'!$A$3:$A$2150,M$1,'United Data'!$C$3:$C$2150,$A528)&gt;0,1,0)</f>
        <v>0</v>
      </c>
      <c r="N528">
        <f>IF(COUNTIFS('United Data'!$A$3:$A$2150,N$1,'United Data'!$C$3:$C$2150,$A528)&gt;0,1,0)</f>
        <v>0</v>
      </c>
      <c r="O528">
        <f>IF(COUNTIFS('United Data'!$A$3:$A$2150,O$1,'United Data'!$C$3:$C$2150,$A528)&gt;0,1,0)</f>
        <v>0</v>
      </c>
      <c r="P528">
        <f>IF(COUNTIFS('United Data'!$A$3:$A$2150,P$1,'United Data'!$C$3:$C$2150,$A528)&gt;0,1,0)</f>
        <v>0</v>
      </c>
      <c r="Q528">
        <f>IF(COUNTIFS('United Data'!$A$3:$A$2150,Q$1,'United Data'!$C$3:$C$2150,$A528)&gt;0,1,0)</f>
        <v>0</v>
      </c>
      <c r="R528">
        <f>IF(COUNTIFS('United Data'!$A$3:$A$2150,R$1,'United Data'!$C$3:$C$2150,$A528)&gt;0,1,0)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575</v>
      </c>
      <c r="B529">
        <f>IF(COUNTIFS('United Data'!$A$3:$A$2150,B$1,'United Data'!$C$3:$C$2150,$A529)&gt;0,1,0)</f>
        <v>0</v>
      </c>
      <c r="C529">
        <f>IF(COUNTIFS('United Data'!$A$3:$A$2150,C$1,'United Data'!$C$3:$C$2150,$A529)&gt;0,1,0)</f>
        <v>0</v>
      </c>
      <c r="D529">
        <f>IF(COUNTIFS('United Data'!$A$3:$A$2150,D$1,'United Data'!$C$3:$C$2150,$A529)&gt;0,1,0)</f>
        <v>0</v>
      </c>
      <c r="E529">
        <f>IF(COUNTIFS('United Data'!$A$3:$A$2150,E$1,'United Data'!$C$3:$C$2150,$A529)&gt;0,1,0)</f>
        <v>0</v>
      </c>
      <c r="F529">
        <f>IF(COUNTIFS('United Data'!$A$3:$A$2150,F$1,'United Data'!$C$3:$C$2150,$A529)&gt;0,1,0)</f>
        <v>0</v>
      </c>
      <c r="G529">
        <f>IF(COUNTIFS('United Data'!$A$3:$A$2150,G$1,'United Data'!$C$3:$C$2150,$A529)&gt;0,1,0)</f>
        <v>0</v>
      </c>
      <c r="H529">
        <f>IF(COUNTIFS('United Data'!$A$3:$A$2150,H$1,'United Data'!$C$3:$C$2150,$A529)&gt;0,1,0)</f>
        <v>0</v>
      </c>
      <c r="I529">
        <f>IF(COUNTIFS('United Data'!$A$3:$A$2150,I$1,'United Data'!$C$3:$C$2150,$A529)&gt;0,1,0)</f>
        <v>0</v>
      </c>
      <c r="J529">
        <f>IF(COUNTIFS('United Data'!$A$3:$A$2150,J$1,'United Data'!$C$3:$C$2150,$A529)&gt;0,1,0)</f>
        <v>0</v>
      </c>
      <c r="K529">
        <f>IF(COUNTIFS('United Data'!$A$3:$A$2150,K$1,'United Data'!$C$3:$C$2150,$A529)&gt;0,1,0)</f>
        <v>1</v>
      </c>
      <c r="L529">
        <f>IF(COUNTIFS('United Data'!$A$3:$A$2150,L$1,'United Data'!$C$3:$C$2150,$A529)&gt;0,1,0)</f>
        <v>0</v>
      </c>
      <c r="M529">
        <f>IF(COUNTIFS('United Data'!$A$3:$A$2150,M$1,'United Data'!$C$3:$C$2150,$A529)&gt;0,1,0)</f>
        <v>0</v>
      </c>
      <c r="N529">
        <f>IF(COUNTIFS('United Data'!$A$3:$A$2150,N$1,'United Data'!$C$3:$C$2150,$A529)&gt;0,1,0)</f>
        <v>0</v>
      </c>
      <c r="O529">
        <f>IF(COUNTIFS('United Data'!$A$3:$A$2150,O$1,'United Data'!$C$3:$C$2150,$A529)&gt;0,1,0)</f>
        <v>0</v>
      </c>
      <c r="P529">
        <f>IF(COUNTIFS('United Data'!$A$3:$A$2150,P$1,'United Data'!$C$3:$C$2150,$A529)&gt;0,1,0)</f>
        <v>0</v>
      </c>
      <c r="Q529">
        <f>IF(COUNTIFS('United Data'!$A$3:$A$2150,Q$1,'United Data'!$C$3:$C$2150,$A529)&gt;0,1,0)</f>
        <v>0</v>
      </c>
      <c r="R529">
        <f>IF(COUNTIFS('United Data'!$A$3:$A$2150,R$1,'United Data'!$C$3:$C$2150,$A529)&gt;0,1,0)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576</v>
      </c>
      <c r="B530">
        <f>IF(COUNTIFS('United Data'!$A$3:$A$2150,B$1,'United Data'!$C$3:$C$2150,$A530)&gt;0,1,0)</f>
        <v>0</v>
      </c>
      <c r="C530">
        <f>IF(COUNTIFS('United Data'!$A$3:$A$2150,C$1,'United Data'!$C$3:$C$2150,$A530)&gt;0,1,0)</f>
        <v>0</v>
      </c>
      <c r="D530">
        <f>IF(COUNTIFS('United Data'!$A$3:$A$2150,D$1,'United Data'!$C$3:$C$2150,$A530)&gt;0,1,0)</f>
        <v>0</v>
      </c>
      <c r="E530">
        <f>IF(COUNTIFS('United Data'!$A$3:$A$2150,E$1,'United Data'!$C$3:$C$2150,$A530)&gt;0,1,0)</f>
        <v>0</v>
      </c>
      <c r="F530">
        <f>IF(COUNTIFS('United Data'!$A$3:$A$2150,F$1,'United Data'!$C$3:$C$2150,$A530)&gt;0,1,0)</f>
        <v>0</v>
      </c>
      <c r="G530">
        <f>IF(COUNTIFS('United Data'!$A$3:$A$2150,G$1,'United Data'!$C$3:$C$2150,$A530)&gt;0,1,0)</f>
        <v>0</v>
      </c>
      <c r="H530">
        <f>IF(COUNTIFS('United Data'!$A$3:$A$2150,H$1,'United Data'!$C$3:$C$2150,$A530)&gt;0,1,0)</f>
        <v>0</v>
      </c>
      <c r="I530">
        <f>IF(COUNTIFS('United Data'!$A$3:$A$2150,I$1,'United Data'!$C$3:$C$2150,$A530)&gt;0,1,0)</f>
        <v>0</v>
      </c>
      <c r="J530">
        <f>IF(COUNTIFS('United Data'!$A$3:$A$2150,J$1,'United Data'!$C$3:$C$2150,$A530)&gt;0,1,0)</f>
        <v>0</v>
      </c>
      <c r="K530">
        <f>IF(COUNTIFS('United Data'!$A$3:$A$2150,K$1,'United Data'!$C$3:$C$2150,$A530)&gt;0,1,0)</f>
        <v>1</v>
      </c>
      <c r="L530">
        <f>IF(COUNTIFS('United Data'!$A$3:$A$2150,L$1,'United Data'!$C$3:$C$2150,$A530)&gt;0,1,0)</f>
        <v>1</v>
      </c>
      <c r="M530">
        <f>IF(COUNTIFS('United Data'!$A$3:$A$2150,M$1,'United Data'!$C$3:$C$2150,$A530)&gt;0,1,0)</f>
        <v>1</v>
      </c>
      <c r="N530">
        <f>IF(COUNTIFS('United Data'!$A$3:$A$2150,N$1,'United Data'!$C$3:$C$2150,$A530)&gt;0,1,0)</f>
        <v>1</v>
      </c>
      <c r="O530">
        <f>IF(COUNTIFS('United Data'!$A$3:$A$2150,O$1,'United Data'!$C$3:$C$2150,$A530)&gt;0,1,0)</f>
        <v>1</v>
      </c>
      <c r="P530">
        <f>IF(COUNTIFS('United Data'!$A$3:$A$2150,P$1,'United Data'!$C$3:$C$2150,$A530)&gt;0,1,0)</f>
        <v>1</v>
      </c>
      <c r="Q530">
        <f>IF(COUNTIFS('United Data'!$A$3:$A$2150,Q$1,'United Data'!$C$3:$C$2150,$A530)&gt;0,1,0)</f>
        <v>0</v>
      </c>
      <c r="R530">
        <f>IF(COUNTIFS('United Data'!$A$3:$A$2150,R$1,'United Data'!$C$3:$C$2150,$A530)&gt;0,1,0)</f>
        <v>0</v>
      </c>
      <c r="S530">
        <f t="shared" si="16"/>
        <v>6</v>
      </c>
      <c r="T530">
        <f t="shared" si="17"/>
        <v>1</v>
      </c>
    </row>
    <row r="531" spans="1:20" x14ac:dyDescent="0.2">
      <c r="A531" t="s">
        <v>577</v>
      </c>
      <c r="B531">
        <f>IF(COUNTIFS('United Data'!$A$3:$A$2150,B$1,'United Data'!$C$3:$C$2150,$A531)&gt;0,1,0)</f>
        <v>0</v>
      </c>
      <c r="C531">
        <f>IF(COUNTIFS('United Data'!$A$3:$A$2150,C$1,'United Data'!$C$3:$C$2150,$A531)&gt;0,1,0)</f>
        <v>0</v>
      </c>
      <c r="D531">
        <f>IF(COUNTIFS('United Data'!$A$3:$A$2150,D$1,'United Data'!$C$3:$C$2150,$A531)&gt;0,1,0)</f>
        <v>0</v>
      </c>
      <c r="E531">
        <f>IF(COUNTIFS('United Data'!$A$3:$A$2150,E$1,'United Data'!$C$3:$C$2150,$A531)&gt;0,1,0)</f>
        <v>0</v>
      </c>
      <c r="F531">
        <f>IF(COUNTIFS('United Data'!$A$3:$A$2150,F$1,'United Data'!$C$3:$C$2150,$A531)&gt;0,1,0)</f>
        <v>0</v>
      </c>
      <c r="G531">
        <f>IF(COUNTIFS('United Data'!$A$3:$A$2150,G$1,'United Data'!$C$3:$C$2150,$A531)&gt;0,1,0)</f>
        <v>0</v>
      </c>
      <c r="H531">
        <f>IF(COUNTIFS('United Data'!$A$3:$A$2150,H$1,'United Data'!$C$3:$C$2150,$A531)&gt;0,1,0)</f>
        <v>0</v>
      </c>
      <c r="I531">
        <f>IF(COUNTIFS('United Data'!$A$3:$A$2150,I$1,'United Data'!$C$3:$C$2150,$A531)&gt;0,1,0)</f>
        <v>0</v>
      </c>
      <c r="J531">
        <f>IF(COUNTIFS('United Data'!$A$3:$A$2150,J$1,'United Data'!$C$3:$C$2150,$A531)&gt;0,1,0)</f>
        <v>0</v>
      </c>
      <c r="K531">
        <f>IF(COUNTIFS('United Data'!$A$3:$A$2150,K$1,'United Data'!$C$3:$C$2150,$A531)&gt;0,1,0)</f>
        <v>1</v>
      </c>
      <c r="L531">
        <f>IF(COUNTIFS('United Data'!$A$3:$A$2150,L$1,'United Data'!$C$3:$C$2150,$A531)&gt;0,1,0)</f>
        <v>0</v>
      </c>
      <c r="M531">
        <f>IF(COUNTIFS('United Data'!$A$3:$A$2150,M$1,'United Data'!$C$3:$C$2150,$A531)&gt;0,1,0)</f>
        <v>0</v>
      </c>
      <c r="N531">
        <f>IF(COUNTIFS('United Data'!$A$3:$A$2150,N$1,'United Data'!$C$3:$C$2150,$A531)&gt;0,1,0)</f>
        <v>0</v>
      </c>
      <c r="O531">
        <f>IF(COUNTIFS('United Data'!$A$3:$A$2150,O$1,'United Data'!$C$3:$C$2150,$A531)&gt;0,1,0)</f>
        <v>0</v>
      </c>
      <c r="P531">
        <f>IF(COUNTIFS('United Data'!$A$3:$A$2150,P$1,'United Data'!$C$3:$C$2150,$A531)&gt;0,1,0)</f>
        <v>0</v>
      </c>
      <c r="Q531">
        <f>IF(COUNTIFS('United Data'!$A$3:$A$2150,Q$1,'United Data'!$C$3:$C$2150,$A531)&gt;0,1,0)</f>
        <v>0</v>
      </c>
      <c r="R531">
        <f>IF(COUNTIFS('United Data'!$A$3:$A$2150,R$1,'United Data'!$C$3:$C$2150,$A531)&gt;0,1,0)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578</v>
      </c>
      <c r="B532">
        <f>IF(COUNTIFS('United Data'!$A$3:$A$2150,B$1,'United Data'!$C$3:$C$2150,$A532)&gt;0,1,0)</f>
        <v>0</v>
      </c>
      <c r="C532">
        <f>IF(COUNTIFS('United Data'!$A$3:$A$2150,C$1,'United Data'!$C$3:$C$2150,$A532)&gt;0,1,0)</f>
        <v>0</v>
      </c>
      <c r="D532">
        <f>IF(COUNTIFS('United Data'!$A$3:$A$2150,D$1,'United Data'!$C$3:$C$2150,$A532)&gt;0,1,0)</f>
        <v>0</v>
      </c>
      <c r="E532">
        <f>IF(COUNTIFS('United Data'!$A$3:$A$2150,E$1,'United Data'!$C$3:$C$2150,$A532)&gt;0,1,0)</f>
        <v>0</v>
      </c>
      <c r="F532">
        <f>IF(COUNTIFS('United Data'!$A$3:$A$2150,F$1,'United Data'!$C$3:$C$2150,$A532)&gt;0,1,0)</f>
        <v>0</v>
      </c>
      <c r="G532">
        <f>IF(COUNTIFS('United Data'!$A$3:$A$2150,G$1,'United Data'!$C$3:$C$2150,$A532)&gt;0,1,0)</f>
        <v>0</v>
      </c>
      <c r="H532">
        <f>IF(COUNTIFS('United Data'!$A$3:$A$2150,H$1,'United Data'!$C$3:$C$2150,$A532)&gt;0,1,0)</f>
        <v>0</v>
      </c>
      <c r="I532">
        <f>IF(COUNTIFS('United Data'!$A$3:$A$2150,I$1,'United Data'!$C$3:$C$2150,$A532)&gt;0,1,0)</f>
        <v>0</v>
      </c>
      <c r="J532">
        <f>IF(COUNTIFS('United Data'!$A$3:$A$2150,J$1,'United Data'!$C$3:$C$2150,$A532)&gt;0,1,0)</f>
        <v>0</v>
      </c>
      <c r="K532">
        <f>IF(COUNTIFS('United Data'!$A$3:$A$2150,K$1,'United Data'!$C$3:$C$2150,$A532)&gt;0,1,0)</f>
        <v>1</v>
      </c>
      <c r="L532">
        <f>IF(COUNTIFS('United Data'!$A$3:$A$2150,L$1,'United Data'!$C$3:$C$2150,$A532)&gt;0,1,0)</f>
        <v>0</v>
      </c>
      <c r="M532">
        <f>IF(COUNTIFS('United Data'!$A$3:$A$2150,M$1,'United Data'!$C$3:$C$2150,$A532)&gt;0,1,0)</f>
        <v>0</v>
      </c>
      <c r="N532">
        <f>IF(COUNTIFS('United Data'!$A$3:$A$2150,N$1,'United Data'!$C$3:$C$2150,$A532)&gt;0,1,0)</f>
        <v>0</v>
      </c>
      <c r="O532">
        <f>IF(COUNTIFS('United Data'!$A$3:$A$2150,O$1,'United Data'!$C$3:$C$2150,$A532)&gt;0,1,0)</f>
        <v>0</v>
      </c>
      <c r="P532">
        <f>IF(COUNTIFS('United Data'!$A$3:$A$2150,P$1,'United Data'!$C$3:$C$2150,$A532)&gt;0,1,0)</f>
        <v>0</v>
      </c>
      <c r="Q532">
        <f>IF(COUNTIFS('United Data'!$A$3:$A$2150,Q$1,'United Data'!$C$3:$C$2150,$A532)&gt;0,1,0)</f>
        <v>0</v>
      </c>
      <c r="R532">
        <f>IF(COUNTIFS('United Data'!$A$3:$A$2150,R$1,'United Data'!$C$3:$C$2150,$A532)&gt;0,1,0)</f>
        <v>0</v>
      </c>
      <c r="S532">
        <f t="shared" si="16"/>
        <v>1</v>
      </c>
      <c r="T532">
        <f t="shared" si="17"/>
        <v>1</v>
      </c>
    </row>
    <row r="533" spans="1:20" x14ac:dyDescent="0.2">
      <c r="A533" t="s">
        <v>579</v>
      </c>
      <c r="B533">
        <f>IF(COUNTIFS('United Data'!$A$3:$A$2150,B$1,'United Data'!$C$3:$C$2150,$A533)&gt;0,1,0)</f>
        <v>0</v>
      </c>
      <c r="C533">
        <f>IF(COUNTIFS('United Data'!$A$3:$A$2150,C$1,'United Data'!$C$3:$C$2150,$A533)&gt;0,1,0)</f>
        <v>0</v>
      </c>
      <c r="D533">
        <f>IF(COUNTIFS('United Data'!$A$3:$A$2150,D$1,'United Data'!$C$3:$C$2150,$A533)&gt;0,1,0)</f>
        <v>0</v>
      </c>
      <c r="E533">
        <f>IF(COUNTIFS('United Data'!$A$3:$A$2150,E$1,'United Data'!$C$3:$C$2150,$A533)&gt;0,1,0)</f>
        <v>0</v>
      </c>
      <c r="F533">
        <f>IF(COUNTIFS('United Data'!$A$3:$A$2150,F$1,'United Data'!$C$3:$C$2150,$A533)&gt;0,1,0)</f>
        <v>0</v>
      </c>
      <c r="G533">
        <f>IF(COUNTIFS('United Data'!$A$3:$A$2150,G$1,'United Data'!$C$3:$C$2150,$A533)&gt;0,1,0)</f>
        <v>0</v>
      </c>
      <c r="H533">
        <f>IF(COUNTIFS('United Data'!$A$3:$A$2150,H$1,'United Data'!$C$3:$C$2150,$A533)&gt;0,1,0)</f>
        <v>0</v>
      </c>
      <c r="I533">
        <f>IF(COUNTIFS('United Data'!$A$3:$A$2150,I$1,'United Data'!$C$3:$C$2150,$A533)&gt;0,1,0)</f>
        <v>0</v>
      </c>
      <c r="J533">
        <f>IF(COUNTIFS('United Data'!$A$3:$A$2150,J$1,'United Data'!$C$3:$C$2150,$A533)&gt;0,1,0)</f>
        <v>0</v>
      </c>
      <c r="K533">
        <f>IF(COUNTIFS('United Data'!$A$3:$A$2150,K$1,'United Data'!$C$3:$C$2150,$A533)&gt;0,1,0)</f>
        <v>1</v>
      </c>
      <c r="L533">
        <f>IF(COUNTIFS('United Data'!$A$3:$A$2150,L$1,'United Data'!$C$3:$C$2150,$A533)&gt;0,1,0)</f>
        <v>0</v>
      </c>
      <c r="M533">
        <f>IF(COUNTIFS('United Data'!$A$3:$A$2150,M$1,'United Data'!$C$3:$C$2150,$A533)&gt;0,1,0)</f>
        <v>0</v>
      </c>
      <c r="N533">
        <f>IF(COUNTIFS('United Data'!$A$3:$A$2150,N$1,'United Data'!$C$3:$C$2150,$A533)&gt;0,1,0)</f>
        <v>0</v>
      </c>
      <c r="O533">
        <f>IF(COUNTIFS('United Data'!$A$3:$A$2150,O$1,'United Data'!$C$3:$C$2150,$A533)&gt;0,1,0)</f>
        <v>0</v>
      </c>
      <c r="P533">
        <f>IF(COUNTIFS('United Data'!$A$3:$A$2150,P$1,'United Data'!$C$3:$C$2150,$A533)&gt;0,1,0)</f>
        <v>0</v>
      </c>
      <c r="Q533">
        <f>IF(COUNTIFS('United Data'!$A$3:$A$2150,Q$1,'United Data'!$C$3:$C$2150,$A533)&gt;0,1,0)</f>
        <v>0</v>
      </c>
      <c r="R533">
        <f>IF(COUNTIFS('United Data'!$A$3:$A$2150,R$1,'United Data'!$C$3:$C$2150,$A533)&gt;0,1,0)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580</v>
      </c>
      <c r="B534">
        <f>IF(COUNTIFS('United Data'!$A$3:$A$2150,B$1,'United Data'!$C$3:$C$2150,$A534)&gt;0,1,0)</f>
        <v>0</v>
      </c>
      <c r="C534">
        <f>IF(COUNTIFS('United Data'!$A$3:$A$2150,C$1,'United Data'!$C$3:$C$2150,$A534)&gt;0,1,0)</f>
        <v>0</v>
      </c>
      <c r="D534">
        <f>IF(COUNTIFS('United Data'!$A$3:$A$2150,D$1,'United Data'!$C$3:$C$2150,$A534)&gt;0,1,0)</f>
        <v>0</v>
      </c>
      <c r="E534">
        <f>IF(COUNTIFS('United Data'!$A$3:$A$2150,E$1,'United Data'!$C$3:$C$2150,$A534)&gt;0,1,0)</f>
        <v>0</v>
      </c>
      <c r="F534">
        <f>IF(COUNTIFS('United Data'!$A$3:$A$2150,F$1,'United Data'!$C$3:$C$2150,$A534)&gt;0,1,0)</f>
        <v>0</v>
      </c>
      <c r="G534">
        <f>IF(COUNTIFS('United Data'!$A$3:$A$2150,G$1,'United Data'!$C$3:$C$2150,$A534)&gt;0,1,0)</f>
        <v>0</v>
      </c>
      <c r="H534">
        <f>IF(COUNTIFS('United Data'!$A$3:$A$2150,H$1,'United Data'!$C$3:$C$2150,$A534)&gt;0,1,0)</f>
        <v>0</v>
      </c>
      <c r="I534">
        <f>IF(COUNTIFS('United Data'!$A$3:$A$2150,I$1,'United Data'!$C$3:$C$2150,$A534)&gt;0,1,0)</f>
        <v>0</v>
      </c>
      <c r="J534">
        <f>IF(COUNTIFS('United Data'!$A$3:$A$2150,J$1,'United Data'!$C$3:$C$2150,$A534)&gt;0,1,0)</f>
        <v>0</v>
      </c>
      <c r="K534">
        <f>IF(COUNTIFS('United Data'!$A$3:$A$2150,K$1,'United Data'!$C$3:$C$2150,$A534)&gt;0,1,0)</f>
        <v>1</v>
      </c>
      <c r="L534">
        <f>IF(COUNTIFS('United Data'!$A$3:$A$2150,L$1,'United Data'!$C$3:$C$2150,$A534)&gt;0,1,0)</f>
        <v>1</v>
      </c>
      <c r="M534">
        <f>IF(COUNTIFS('United Data'!$A$3:$A$2150,M$1,'United Data'!$C$3:$C$2150,$A534)&gt;0,1,0)</f>
        <v>0</v>
      </c>
      <c r="N534">
        <f>IF(COUNTIFS('United Data'!$A$3:$A$2150,N$1,'United Data'!$C$3:$C$2150,$A534)&gt;0,1,0)</f>
        <v>0</v>
      </c>
      <c r="O534">
        <f>IF(COUNTIFS('United Data'!$A$3:$A$2150,O$1,'United Data'!$C$3:$C$2150,$A534)&gt;0,1,0)</f>
        <v>0</v>
      </c>
      <c r="P534">
        <f>IF(COUNTIFS('United Data'!$A$3:$A$2150,P$1,'United Data'!$C$3:$C$2150,$A534)&gt;0,1,0)</f>
        <v>0</v>
      </c>
      <c r="Q534">
        <f>IF(COUNTIFS('United Data'!$A$3:$A$2150,Q$1,'United Data'!$C$3:$C$2150,$A534)&gt;0,1,0)</f>
        <v>0</v>
      </c>
      <c r="R534">
        <f>IF(COUNTIFS('United Data'!$A$3:$A$2150,R$1,'United Data'!$C$3:$C$2150,$A534)&gt;0,1,0)</f>
        <v>0</v>
      </c>
      <c r="S534">
        <f t="shared" si="16"/>
        <v>2</v>
      </c>
      <c r="T534">
        <f t="shared" si="17"/>
        <v>1</v>
      </c>
    </row>
    <row r="535" spans="1:20" x14ac:dyDescent="0.2">
      <c r="A535" t="s">
        <v>581</v>
      </c>
      <c r="B535">
        <f>IF(COUNTIFS('United Data'!$A$3:$A$2150,B$1,'United Data'!$C$3:$C$2150,$A535)&gt;0,1,0)</f>
        <v>0</v>
      </c>
      <c r="C535">
        <f>IF(COUNTIFS('United Data'!$A$3:$A$2150,C$1,'United Data'!$C$3:$C$2150,$A535)&gt;0,1,0)</f>
        <v>0</v>
      </c>
      <c r="D535">
        <f>IF(COUNTIFS('United Data'!$A$3:$A$2150,D$1,'United Data'!$C$3:$C$2150,$A535)&gt;0,1,0)</f>
        <v>0</v>
      </c>
      <c r="E535">
        <f>IF(COUNTIFS('United Data'!$A$3:$A$2150,E$1,'United Data'!$C$3:$C$2150,$A535)&gt;0,1,0)</f>
        <v>0</v>
      </c>
      <c r="F535">
        <f>IF(COUNTIFS('United Data'!$A$3:$A$2150,F$1,'United Data'!$C$3:$C$2150,$A535)&gt;0,1,0)</f>
        <v>0</v>
      </c>
      <c r="G535">
        <f>IF(COUNTIFS('United Data'!$A$3:$A$2150,G$1,'United Data'!$C$3:$C$2150,$A535)&gt;0,1,0)</f>
        <v>0</v>
      </c>
      <c r="H535">
        <f>IF(COUNTIFS('United Data'!$A$3:$A$2150,H$1,'United Data'!$C$3:$C$2150,$A535)&gt;0,1,0)</f>
        <v>0</v>
      </c>
      <c r="I535">
        <f>IF(COUNTIFS('United Data'!$A$3:$A$2150,I$1,'United Data'!$C$3:$C$2150,$A535)&gt;0,1,0)</f>
        <v>0</v>
      </c>
      <c r="J535">
        <f>IF(COUNTIFS('United Data'!$A$3:$A$2150,J$1,'United Data'!$C$3:$C$2150,$A535)&gt;0,1,0)</f>
        <v>0</v>
      </c>
      <c r="K535">
        <f>IF(COUNTIFS('United Data'!$A$3:$A$2150,K$1,'United Data'!$C$3:$C$2150,$A535)&gt;0,1,0)</f>
        <v>1</v>
      </c>
      <c r="L535">
        <f>IF(COUNTIFS('United Data'!$A$3:$A$2150,L$1,'United Data'!$C$3:$C$2150,$A535)&gt;0,1,0)</f>
        <v>0</v>
      </c>
      <c r="M535">
        <f>IF(COUNTIFS('United Data'!$A$3:$A$2150,M$1,'United Data'!$C$3:$C$2150,$A535)&gt;0,1,0)</f>
        <v>0</v>
      </c>
      <c r="N535">
        <f>IF(COUNTIFS('United Data'!$A$3:$A$2150,N$1,'United Data'!$C$3:$C$2150,$A535)&gt;0,1,0)</f>
        <v>0</v>
      </c>
      <c r="O535">
        <f>IF(COUNTIFS('United Data'!$A$3:$A$2150,O$1,'United Data'!$C$3:$C$2150,$A535)&gt;0,1,0)</f>
        <v>0</v>
      </c>
      <c r="P535">
        <f>IF(COUNTIFS('United Data'!$A$3:$A$2150,P$1,'United Data'!$C$3:$C$2150,$A535)&gt;0,1,0)</f>
        <v>0</v>
      </c>
      <c r="Q535">
        <f>IF(COUNTIFS('United Data'!$A$3:$A$2150,Q$1,'United Data'!$C$3:$C$2150,$A535)&gt;0,1,0)</f>
        <v>0</v>
      </c>
      <c r="R535">
        <f>IF(COUNTIFS('United Data'!$A$3:$A$2150,R$1,'United Data'!$C$3:$C$2150,$A535)&gt;0,1,0)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582</v>
      </c>
      <c r="B536">
        <f>IF(COUNTIFS('United Data'!$A$3:$A$2150,B$1,'United Data'!$C$3:$C$2150,$A536)&gt;0,1,0)</f>
        <v>0</v>
      </c>
      <c r="C536">
        <f>IF(COUNTIFS('United Data'!$A$3:$A$2150,C$1,'United Data'!$C$3:$C$2150,$A536)&gt;0,1,0)</f>
        <v>0</v>
      </c>
      <c r="D536">
        <f>IF(COUNTIFS('United Data'!$A$3:$A$2150,D$1,'United Data'!$C$3:$C$2150,$A536)&gt;0,1,0)</f>
        <v>0</v>
      </c>
      <c r="E536">
        <f>IF(COUNTIFS('United Data'!$A$3:$A$2150,E$1,'United Data'!$C$3:$C$2150,$A536)&gt;0,1,0)</f>
        <v>0</v>
      </c>
      <c r="F536">
        <f>IF(COUNTIFS('United Data'!$A$3:$A$2150,F$1,'United Data'!$C$3:$C$2150,$A536)&gt;0,1,0)</f>
        <v>0</v>
      </c>
      <c r="G536">
        <f>IF(COUNTIFS('United Data'!$A$3:$A$2150,G$1,'United Data'!$C$3:$C$2150,$A536)&gt;0,1,0)</f>
        <v>0</v>
      </c>
      <c r="H536">
        <f>IF(COUNTIFS('United Data'!$A$3:$A$2150,H$1,'United Data'!$C$3:$C$2150,$A536)&gt;0,1,0)</f>
        <v>0</v>
      </c>
      <c r="I536">
        <f>IF(COUNTIFS('United Data'!$A$3:$A$2150,I$1,'United Data'!$C$3:$C$2150,$A536)&gt;0,1,0)</f>
        <v>0</v>
      </c>
      <c r="J536">
        <f>IF(COUNTIFS('United Data'!$A$3:$A$2150,J$1,'United Data'!$C$3:$C$2150,$A536)&gt;0,1,0)</f>
        <v>0</v>
      </c>
      <c r="K536">
        <f>IF(COUNTIFS('United Data'!$A$3:$A$2150,K$1,'United Data'!$C$3:$C$2150,$A536)&gt;0,1,0)</f>
        <v>1</v>
      </c>
      <c r="L536">
        <f>IF(COUNTIFS('United Data'!$A$3:$A$2150,L$1,'United Data'!$C$3:$C$2150,$A536)&gt;0,1,0)</f>
        <v>1</v>
      </c>
      <c r="M536">
        <f>IF(COUNTIFS('United Data'!$A$3:$A$2150,M$1,'United Data'!$C$3:$C$2150,$A536)&gt;0,1,0)</f>
        <v>1</v>
      </c>
      <c r="N536">
        <f>IF(COUNTIFS('United Data'!$A$3:$A$2150,N$1,'United Data'!$C$3:$C$2150,$A536)&gt;0,1,0)</f>
        <v>0</v>
      </c>
      <c r="O536">
        <f>IF(COUNTIFS('United Data'!$A$3:$A$2150,O$1,'United Data'!$C$3:$C$2150,$A536)&gt;0,1,0)</f>
        <v>0</v>
      </c>
      <c r="P536">
        <f>IF(COUNTIFS('United Data'!$A$3:$A$2150,P$1,'United Data'!$C$3:$C$2150,$A536)&gt;0,1,0)</f>
        <v>0</v>
      </c>
      <c r="Q536">
        <f>IF(COUNTIFS('United Data'!$A$3:$A$2150,Q$1,'United Data'!$C$3:$C$2150,$A536)&gt;0,1,0)</f>
        <v>0</v>
      </c>
      <c r="R536">
        <f>IF(COUNTIFS('United Data'!$A$3:$A$2150,R$1,'United Data'!$C$3:$C$2150,$A536)&gt;0,1,0)</f>
        <v>0</v>
      </c>
      <c r="S536">
        <f t="shared" si="16"/>
        <v>3</v>
      </c>
      <c r="T536">
        <f t="shared" si="17"/>
        <v>1</v>
      </c>
    </row>
    <row r="537" spans="1:20" x14ac:dyDescent="0.2">
      <c r="A537" t="s">
        <v>583</v>
      </c>
      <c r="B537">
        <f>IF(COUNTIFS('United Data'!$A$3:$A$2150,B$1,'United Data'!$C$3:$C$2150,$A537)&gt;0,1,0)</f>
        <v>0</v>
      </c>
      <c r="C537">
        <f>IF(COUNTIFS('United Data'!$A$3:$A$2150,C$1,'United Data'!$C$3:$C$2150,$A537)&gt;0,1,0)</f>
        <v>0</v>
      </c>
      <c r="D537">
        <f>IF(COUNTIFS('United Data'!$A$3:$A$2150,D$1,'United Data'!$C$3:$C$2150,$A537)&gt;0,1,0)</f>
        <v>0</v>
      </c>
      <c r="E537">
        <f>IF(COUNTIFS('United Data'!$A$3:$A$2150,E$1,'United Data'!$C$3:$C$2150,$A537)&gt;0,1,0)</f>
        <v>0</v>
      </c>
      <c r="F537">
        <f>IF(COUNTIFS('United Data'!$A$3:$A$2150,F$1,'United Data'!$C$3:$C$2150,$A537)&gt;0,1,0)</f>
        <v>0</v>
      </c>
      <c r="G537">
        <f>IF(COUNTIFS('United Data'!$A$3:$A$2150,G$1,'United Data'!$C$3:$C$2150,$A537)&gt;0,1,0)</f>
        <v>0</v>
      </c>
      <c r="H537">
        <f>IF(COUNTIFS('United Data'!$A$3:$A$2150,H$1,'United Data'!$C$3:$C$2150,$A537)&gt;0,1,0)</f>
        <v>0</v>
      </c>
      <c r="I537">
        <f>IF(COUNTIFS('United Data'!$A$3:$A$2150,I$1,'United Data'!$C$3:$C$2150,$A537)&gt;0,1,0)</f>
        <v>0</v>
      </c>
      <c r="J537">
        <f>IF(COUNTIFS('United Data'!$A$3:$A$2150,J$1,'United Data'!$C$3:$C$2150,$A537)&gt;0,1,0)</f>
        <v>0</v>
      </c>
      <c r="K537">
        <f>IF(COUNTIFS('United Data'!$A$3:$A$2150,K$1,'United Data'!$C$3:$C$2150,$A537)&gt;0,1,0)</f>
        <v>0</v>
      </c>
      <c r="L537">
        <f>IF(COUNTIFS('United Data'!$A$3:$A$2150,L$1,'United Data'!$C$3:$C$2150,$A537)&gt;0,1,0)</f>
        <v>1</v>
      </c>
      <c r="M537">
        <f>IF(COUNTIFS('United Data'!$A$3:$A$2150,M$1,'United Data'!$C$3:$C$2150,$A537)&gt;0,1,0)</f>
        <v>0</v>
      </c>
      <c r="N537">
        <f>IF(COUNTIFS('United Data'!$A$3:$A$2150,N$1,'United Data'!$C$3:$C$2150,$A537)&gt;0,1,0)</f>
        <v>0</v>
      </c>
      <c r="O537">
        <f>IF(COUNTIFS('United Data'!$A$3:$A$2150,O$1,'United Data'!$C$3:$C$2150,$A537)&gt;0,1,0)</f>
        <v>0</v>
      </c>
      <c r="P537">
        <f>IF(COUNTIFS('United Data'!$A$3:$A$2150,P$1,'United Data'!$C$3:$C$2150,$A537)&gt;0,1,0)</f>
        <v>0</v>
      </c>
      <c r="Q537">
        <f>IF(COUNTIFS('United Data'!$A$3:$A$2150,Q$1,'United Data'!$C$3:$C$2150,$A537)&gt;0,1,0)</f>
        <v>0</v>
      </c>
      <c r="R537">
        <f>IF(COUNTIFS('United Data'!$A$3:$A$2150,R$1,'United Data'!$C$3:$C$2150,$A537)&gt;0,1,0)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584</v>
      </c>
      <c r="B538">
        <f>IF(COUNTIFS('United Data'!$A$3:$A$2150,B$1,'United Data'!$C$3:$C$2150,$A538)&gt;0,1,0)</f>
        <v>0</v>
      </c>
      <c r="C538">
        <f>IF(COUNTIFS('United Data'!$A$3:$A$2150,C$1,'United Data'!$C$3:$C$2150,$A538)&gt;0,1,0)</f>
        <v>0</v>
      </c>
      <c r="D538">
        <f>IF(COUNTIFS('United Data'!$A$3:$A$2150,D$1,'United Data'!$C$3:$C$2150,$A538)&gt;0,1,0)</f>
        <v>0</v>
      </c>
      <c r="E538">
        <f>IF(COUNTIFS('United Data'!$A$3:$A$2150,E$1,'United Data'!$C$3:$C$2150,$A538)&gt;0,1,0)</f>
        <v>0</v>
      </c>
      <c r="F538">
        <f>IF(COUNTIFS('United Data'!$A$3:$A$2150,F$1,'United Data'!$C$3:$C$2150,$A538)&gt;0,1,0)</f>
        <v>0</v>
      </c>
      <c r="G538">
        <f>IF(COUNTIFS('United Data'!$A$3:$A$2150,G$1,'United Data'!$C$3:$C$2150,$A538)&gt;0,1,0)</f>
        <v>0</v>
      </c>
      <c r="H538">
        <f>IF(COUNTIFS('United Data'!$A$3:$A$2150,H$1,'United Data'!$C$3:$C$2150,$A538)&gt;0,1,0)</f>
        <v>0</v>
      </c>
      <c r="I538">
        <f>IF(COUNTIFS('United Data'!$A$3:$A$2150,I$1,'United Data'!$C$3:$C$2150,$A538)&gt;0,1,0)</f>
        <v>0</v>
      </c>
      <c r="J538">
        <f>IF(COUNTIFS('United Data'!$A$3:$A$2150,J$1,'United Data'!$C$3:$C$2150,$A538)&gt;0,1,0)</f>
        <v>0</v>
      </c>
      <c r="K538">
        <f>IF(COUNTIFS('United Data'!$A$3:$A$2150,K$1,'United Data'!$C$3:$C$2150,$A538)&gt;0,1,0)</f>
        <v>0</v>
      </c>
      <c r="L538">
        <f>IF(COUNTIFS('United Data'!$A$3:$A$2150,L$1,'United Data'!$C$3:$C$2150,$A538)&gt;0,1,0)</f>
        <v>1</v>
      </c>
      <c r="M538">
        <f>IF(COUNTIFS('United Data'!$A$3:$A$2150,M$1,'United Data'!$C$3:$C$2150,$A538)&gt;0,1,0)</f>
        <v>0</v>
      </c>
      <c r="N538">
        <f>IF(COUNTIFS('United Data'!$A$3:$A$2150,N$1,'United Data'!$C$3:$C$2150,$A538)&gt;0,1,0)</f>
        <v>0</v>
      </c>
      <c r="O538">
        <f>IF(COUNTIFS('United Data'!$A$3:$A$2150,O$1,'United Data'!$C$3:$C$2150,$A538)&gt;0,1,0)</f>
        <v>0</v>
      </c>
      <c r="P538">
        <f>IF(COUNTIFS('United Data'!$A$3:$A$2150,P$1,'United Data'!$C$3:$C$2150,$A538)&gt;0,1,0)</f>
        <v>0</v>
      </c>
      <c r="Q538">
        <f>IF(COUNTIFS('United Data'!$A$3:$A$2150,Q$1,'United Data'!$C$3:$C$2150,$A538)&gt;0,1,0)</f>
        <v>0</v>
      </c>
      <c r="R538">
        <f>IF(COUNTIFS('United Data'!$A$3:$A$2150,R$1,'United Data'!$C$3:$C$2150,$A538)&gt;0,1,0)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585</v>
      </c>
      <c r="B539">
        <f>IF(COUNTIFS('United Data'!$A$3:$A$2150,B$1,'United Data'!$C$3:$C$2150,$A539)&gt;0,1,0)</f>
        <v>0</v>
      </c>
      <c r="C539">
        <f>IF(COUNTIFS('United Data'!$A$3:$A$2150,C$1,'United Data'!$C$3:$C$2150,$A539)&gt;0,1,0)</f>
        <v>0</v>
      </c>
      <c r="D539">
        <f>IF(COUNTIFS('United Data'!$A$3:$A$2150,D$1,'United Data'!$C$3:$C$2150,$A539)&gt;0,1,0)</f>
        <v>0</v>
      </c>
      <c r="E539">
        <f>IF(COUNTIFS('United Data'!$A$3:$A$2150,E$1,'United Data'!$C$3:$C$2150,$A539)&gt;0,1,0)</f>
        <v>0</v>
      </c>
      <c r="F539">
        <f>IF(COUNTIFS('United Data'!$A$3:$A$2150,F$1,'United Data'!$C$3:$C$2150,$A539)&gt;0,1,0)</f>
        <v>0</v>
      </c>
      <c r="G539">
        <f>IF(COUNTIFS('United Data'!$A$3:$A$2150,G$1,'United Data'!$C$3:$C$2150,$A539)&gt;0,1,0)</f>
        <v>0</v>
      </c>
      <c r="H539">
        <f>IF(COUNTIFS('United Data'!$A$3:$A$2150,H$1,'United Data'!$C$3:$C$2150,$A539)&gt;0,1,0)</f>
        <v>0</v>
      </c>
      <c r="I539">
        <f>IF(COUNTIFS('United Data'!$A$3:$A$2150,I$1,'United Data'!$C$3:$C$2150,$A539)&gt;0,1,0)</f>
        <v>0</v>
      </c>
      <c r="J539">
        <f>IF(COUNTIFS('United Data'!$A$3:$A$2150,J$1,'United Data'!$C$3:$C$2150,$A539)&gt;0,1,0)</f>
        <v>0</v>
      </c>
      <c r="K539">
        <f>IF(COUNTIFS('United Data'!$A$3:$A$2150,K$1,'United Data'!$C$3:$C$2150,$A539)&gt;0,1,0)</f>
        <v>0</v>
      </c>
      <c r="L539">
        <f>IF(COUNTIFS('United Data'!$A$3:$A$2150,L$1,'United Data'!$C$3:$C$2150,$A539)&gt;0,1,0)</f>
        <v>1</v>
      </c>
      <c r="M539">
        <f>IF(COUNTIFS('United Data'!$A$3:$A$2150,M$1,'United Data'!$C$3:$C$2150,$A539)&gt;0,1,0)</f>
        <v>0</v>
      </c>
      <c r="N539">
        <f>IF(COUNTIFS('United Data'!$A$3:$A$2150,N$1,'United Data'!$C$3:$C$2150,$A539)&gt;0,1,0)</f>
        <v>0</v>
      </c>
      <c r="O539">
        <f>IF(COUNTIFS('United Data'!$A$3:$A$2150,O$1,'United Data'!$C$3:$C$2150,$A539)&gt;0,1,0)</f>
        <v>0</v>
      </c>
      <c r="P539">
        <f>IF(COUNTIFS('United Data'!$A$3:$A$2150,P$1,'United Data'!$C$3:$C$2150,$A539)&gt;0,1,0)</f>
        <v>0</v>
      </c>
      <c r="Q539">
        <f>IF(COUNTIFS('United Data'!$A$3:$A$2150,Q$1,'United Data'!$C$3:$C$2150,$A539)&gt;0,1,0)</f>
        <v>0</v>
      </c>
      <c r="R539">
        <f>IF(COUNTIFS('United Data'!$A$3:$A$2150,R$1,'United Data'!$C$3:$C$2150,$A539)&gt;0,1,0)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586</v>
      </c>
      <c r="B540">
        <f>IF(COUNTIFS('United Data'!$A$3:$A$2150,B$1,'United Data'!$C$3:$C$2150,$A540)&gt;0,1,0)</f>
        <v>0</v>
      </c>
      <c r="C540">
        <f>IF(COUNTIFS('United Data'!$A$3:$A$2150,C$1,'United Data'!$C$3:$C$2150,$A540)&gt;0,1,0)</f>
        <v>0</v>
      </c>
      <c r="D540">
        <f>IF(COUNTIFS('United Data'!$A$3:$A$2150,D$1,'United Data'!$C$3:$C$2150,$A540)&gt;0,1,0)</f>
        <v>0</v>
      </c>
      <c r="E540">
        <f>IF(COUNTIFS('United Data'!$A$3:$A$2150,E$1,'United Data'!$C$3:$C$2150,$A540)&gt;0,1,0)</f>
        <v>0</v>
      </c>
      <c r="F540">
        <f>IF(COUNTIFS('United Data'!$A$3:$A$2150,F$1,'United Data'!$C$3:$C$2150,$A540)&gt;0,1,0)</f>
        <v>0</v>
      </c>
      <c r="G540">
        <f>IF(COUNTIFS('United Data'!$A$3:$A$2150,G$1,'United Data'!$C$3:$C$2150,$A540)&gt;0,1,0)</f>
        <v>0</v>
      </c>
      <c r="H540">
        <f>IF(COUNTIFS('United Data'!$A$3:$A$2150,H$1,'United Data'!$C$3:$C$2150,$A540)&gt;0,1,0)</f>
        <v>0</v>
      </c>
      <c r="I540">
        <f>IF(COUNTIFS('United Data'!$A$3:$A$2150,I$1,'United Data'!$C$3:$C$2150,$A540)&gt;0,1,0)</f>
        <v>0</v>
      </c>
      <c r="J540">
        <f>IF(COUNTIFS('United Data'!$A$3:$A$2150,J$1,'United Data'!$C$3:$C$2150,$A540)&gt;0,1,0)</f>
        <v>0</v>
      </c>
      <c r="K540">
        <f>IF(COUNTIFS('United Data'!$A$3:$A$2150,K$1,'United Data'!$C$3:$C$2150,$A540)&gt;0,1,0)</f>
        <v>0</v>
      </c>
      <c r="L540">
        <f>IF(COUNTIFS('United Data'!$A$3:$A$2150,L$1,'United Data'!$C$3:$C$2150,$A540)&gt;0,1,0)</f>
        <v>1</v>
      </c>
      <c r="M540">
        <f>IF(COUNTIFS('United Data'!$A$3:$A$2150,M$1,'United Data'!$C$3:$C$2150,$A540)&gt;0,1,0)</f>
        <v>0</v>
      </c>
      <c r="N540">
        <f>IF(COUNTIFS('United Data'!$A$3:$A$2150,N$1,'United Data'!$C$3:$C$2150,$A540)&gt;0,1,0)</f>
        <v>0</v>
      </c>
      <c r="O540">
        <f>IF(COUNTIFS('United Data'!$A$3:$A$2150,O$1,'United Data'!$C$3:$C$2150,$A540)&gt;0,1,0)</f>
        <v>0</v>
      </c>
      <c r="P540">
        <f>IF(COUNTIFS('United Data'!$A$3:$A$2150,P$1,'United Data'!$C$3:$C$2150,$A540)&gt;0,1,0)</f>
        <v>0</v>
      </c>
      <c r="Q540">
        <f>IF(COUNTIFS('United Data'!$A$3:$A$2150,Q$1,'United Data'!$C$3:$C$2150,$A540)&gt;0,1,0)</f>
        <v>0</v>
      </c>
      <c r="R540">
        <f>IF(COUNTIFS('United Data'!$A$3:$A$2150,R$1,'United Data'!$C$3:$C$2150,$A540)&gt;0,1,0)</f>
        <v>0</v>
      </c>
      <c r="S540">
        <f t="shared" si="16"/>
        <v>1</v>
      </c>
      <c r="T540">
        <f t="shared" si="17"/>
        <v>1</v>
      </c>
    </row>
    <row r="541" spans="1:20" x14ac:dyDescent="0.2">
      <c r="A541" t="s">
        <v>587</v>
      </c>
      <c r="B541">
        <f>IF(COUNTIFS('United Data'!$A$3:$A$2150,B$1,'United Data'!$C$3:$C$2150,$A541)&gt;0,1,0)</f>
        <v>0</v>
      </c>
      <c r="C541">
        <f>IF(COUNTIFS('United Data'!$A$3:$A$2150,C$1,'United Data'!$C$3:$C$2150,$A541)&gt;0,1,0)</f>
        <v>0</v>
      </c>
      <c r="D541">
        <f>IF(COUNTIFS('United Data'!$A$3:$A$2150,D$1,'United Data'!$C$3:$C$2150,$A541)&gt;0,1,0)</f>
        <v>0</v>
      </c>
      <c r="E541">
        <f>IF(COUNTIFS('United Data'!$A$3:$A$2150,E$1,'United Data'!$C$3:$C$2150,$A541)&gt;0,1,0)</f>
        <v>0</v>
      </c>
      <c r="F541">
        <f>IF(COUNTIFS('United Data'!$A$3:$A$2150,F$1,'United Data'!$C$3:$C$2150,$A541)&gt;0,1,0)</f>
        <v>0</v>
      </c>
      <c r="G541">
        <f>IF(COUNTIFS('United Data'!$A$3:$A$2150,G$1,'United Data'!$C$3:$C$2150,$A541)&gt;0,1,0)</f>
        <v>0</v>
      </c>
      <c r="H541">
        <f>IF(COUNTIFS('United Data'!$A$3:$A$2150,H$1,'United Data'!$C$3:$C$2150,$A541)&gt;0,1,0)</f>
        <v>0</v>
      </c>
      <c r="I541">
        <f>IF(COUNTIFS('United Data'!$A$3:$A$2150,I$1,'United Data'!$C$3:$C$2150,$A541)&gt;0,1,0)</f>
        <v>0</v>
      </c>
      <c r="J541">
        <f>IF(COUNTIFS('United Data'!$A$3:$A$2150,J$1,'United Data'!$C$3:$C$2150,$A541)&gt;0,1,0)</f>
        <v>0</v>
      </c>
      <c r="K541">
        <f>IF(COUNTIFS('United Data'!$A$3:$A$2150,K$1,'United Data'!$C$3:$C$2150,$A541)&gt;0,1,0)</f>
        <v>0</v>
      </c>
      <c r="L541">
        <f>IF(COUNTIFS('United Data'!$A$3:$A$2150,L$1,'United Data'!$C$3:$C$2150,$A541)&gt;0,1,0)</f>
        <v>1</v>
      </c>
      <c r="M541">
        <f>IF(COUNTIFS('United Data'!$A$3:$A$2150,M$1,'United Data'!$C$3:$C$2150,$A541)&gt;0,1,0)</f>
        <v>1</v>
      </c>
      <c r="N541">
        <f>IF(COUNTIFS('United Data'!$A$3:$A$2150,N$1,'United Data'!$C$3:$C$2150,$A541)&gt;0,1,0)</f>
        <v>0</v>
      </c>
      <c r="O541">
        <f>IF(COUNTIFS('United Data'!$A$3:$A$2150,O$1,'United Data'!$C$3:$C$2150,$A541)&gt;0,1,0)</f>
        <v>0</v>
      </c>
      <c r="P541">
        <f>IF(COUNTIFS('United Data'!$A$3:$A$2150,P$1,'United Data'!$C$3:$C$2150,$A541)&gt;0,1,0)</f>
        <v>0</v>
      </c>
      <c r="Q541">
        <f>IF(COUNTIFS('United Data'!$A$3:$A$2150,Q$1,'United Data'!$C$3:$C$2150,$A541)&gt;0,1,0)</f>
        <v>0</v>
      </c>
      <c r="R541">
        <f>IF(COUNTIFS('United Data'!$A$3:$A$2150,R$1,'United Data'!$C$3:$C$2150,$A541)&gt;0,1,0)</f>
        <v>0</v>
      </c>
      <c r="S541">
        <f t="shared" si="16"/>
        <v>2</v>
      </c>
      <c r="T541">
        <f t="shared" si="17"/>
        <v>1</v>
      </c>
    </row>
    <row r="542" spans="1:20" x14ac:dyDescent="0.2">
      <c r="A542" t="s">
        <v>588</v>
      </c>
      <c r="B542">
        <f>IF(COUNTIFS('United Data'!$A$3:$A$2150,B$1,'United Data'!$C$3:$C$2150,$A542)&gt;0,1,0)</f>
        <v>0</v>
      </c>
      <c r="C542">
        <f>IF(COUNTIFS('United Data'!$A$3:$A$2150,C$1,'United Data'!$C$3:$C$2150,$A542)&gt;0,1,0)</f>
        <v>0</v>
      </c>
      <c r="D542">
        <f>IF(COUNTIFS('United Data'!$A$3:$A$2150,D$1,'United Data'!$C$3:$C$2150,$A542)&gt;0,1,0)</f>
        <v>0</v>
      </c>
      <c r="E542">
        <f>IF(COUNTIFS('United Data'!$A$3:$A$2150,E$1,'United Data'!$C$3:$C$2150,$A542)&gt;0,1,0)</f>
        <v>0</v>
      </c>
      <c r="F542">
        <f>IF(COUNTIFS('United Data'!$A$3:$A$2150,F$1,'United Data'!$C$3:$C$2150,$A542)&gt;0,1,0)</f>
        <v>0</v>
      </c>
      <c r="G542">
        <f>IF(COUNTIFS('United Data'!$A$3:$A$2150,G$1,'United Data'!$C$3:$C$2150,$A542)&gt;0,1,0)</f>
        <v>0</v>
      </c>
      <c r="H542">
        <f>IF(COUNTIFS('United Data'!$A$3:$A$2150,H$1,'United Data'!$C$3:$C$2150,$A542)&gt;0,1,0)</f>
        <v>0</v>
      </c>
      <c r="I542">
        <f>IF(COUNTIFS('United Data'!$A$3:$A$2150,I$1,'United Data'!$C$3:$C$2150,$A542)&gt;0,1,0)</f>
        <v>0</v>
      </c>
      <c r="J542">
        <f>IF(COUNTIFS('United Data'!$A$3:$A$2150,J$1,'United Data'!$C$3:$C$2150,$A542)&gt;0,1,0)</f>
        <v>0</v>
      </c>
      <c r="K542">
        <f>IF(COUNTIFS('United Data'!$A$3:$A$2150,K$1,'United Data'!$C$3:$C$2150,$A542)&gt;0,1,0)</f>
        <v>0</v>
      </c>
      <c r="L542">
        <f>IF(COUNTIFS('United Data'!$A$3:$A$2150,L$1,'United Data'!$C$3:$C$2150,$A542)&gt;0,1,0)</f>
        <v>1</v>
      </c>
      <c r="M542">
        <f>IF(COUNTIFS('United Data'!$A$3:$A$2150,M$1,'United Data'!$C$3:$C$2150,$A542)&gt;0,1,0)</f>
        <v>1</v>
      </c>
      <c r="N542">
        <f>IF(COUNTIFS('United Data'!$A$3:$A$2150,N$1,'United Data'!$C$3:$C$2150,$A542)&gt;0,1,0)</f>
        <v>1</v>
      </c>
      <c r="O542">
        <f>IF(COUNTIFS('United Data'!$A$3:$A$2150,O$1,'United Data'!$C$3:$C$2150,$A542)&gt;0,1,0)</f>
        <v>0</v>
      </c>
      <c r="P542">
        <f>IF(COUNTIFS('United Data'!$A$3:$A$2150,P$1,'United Data'!$C$3:$C$2150,$A542)&gt;0,1,0)</f>
        <v>0</v>
      </c>
      <c r="Q542">
        <f>IF(COUNTIFS('United Data'!$A$3:$A$2150,Q$1,'United Data'!$C$3:$C$2150,$A542)&gt;0,1,0)</f>
        <v>0</v>
      </c>
      <c r="R542">
        <f>IF(COUNTIFS('United Data'!$A$3:$A$2150,R$1,'United Data'!$C$3:$C$2150,$A542)&gt;0,1,0)</f>
        <v>0</v>
      </c>
      <c r="S542">
        <f t="shared" si="16"/>
        <v>3</v>
      </c>
      <c r="T542">
        <f t="shared" si="17"/>
        <v>1</v>
      </c>
    </row>
    <row r="543" spans="1:20" x14ac:dyDescent="0.2">
      <c r="A543" t="s">
        <v>589</v>
      </c>
      <c r="B543">
        <f>IF(COUNTIFS('United Data'!$A$3:$A$2150,B$1,'United Data'!$C$3:$C$2150,$A543)&gt;0,1,0)</f>
        <v>0</v>
      </c>
      <c r="C543">
        <f>IF(COUNTIFS('United Data'!$A$3:$A$2150,C$1,'United Data'!$C$3:$C$2150,$A543)&gt;0,1,0)</f>
        <v>0</v>
      </c>
      <c r="D543">
        <f>IF(COUNTIFS('United Data'!$A$3:$A$2150,D$1,'United Data'!$C$3:$C$2150,$A543)&gt;0,1,0)</f>
        <v>0</v>
      </c>
      <c r="E543">
        <f>IF(COUNTIFS('United Data'!$A$3:$A$2150,E$1,'United Data'!$C$3:$C$2150,$A543)&gt;0,1,0)</f>
        <v>0</v>
      </c>
      <c r="F543">
        <f>IF(COUNTIFS('United Data'!$A$3:$A$2150,F$1,'United Data'!$C$3:$C$2150,$A543)&gt;0,1,0)</f>
        <v>0</v>
      </c>
      <c r="G543">
        <f>IF(COUNTIFS('United Data'!$A$3:$A$2150,G$1,'United Data'!$C$3:$C$2150,$A543)&gt;0,1,0)</f>
        <v>0</v>
      </c>
      <c r="H543">
        <f>IF(COUNTIFS('United Data'!$A$3:$A$2150,H$1,'United Data'!$C$3:$C$2150,$A543)&gt;0,1,0)</f>
        <v>0</v>
      </c>
      <c r="I543">
        <f>IF(COUNTIFS('United Data'!$A$3:$A$2150,I$1,'United Data'!$C$3:$C$2150,$A543)&gt;0,1,0)</f>
        <v>0</v>
      </c>
      <c r="J543">
        <f>IF(COUNTIFS('United Data'!$A$3:$A$2150,J$1,'United Data'!$C$3:$C$2150,$A543)&gt;0,1,0)</f>
        <v>0</v>
      </c>
      <c r="K543">
        <f>IF(COUNTIFS('United Data'!$A$3:$A$2150,K$1,'United Data'!$C$3:$C$2150,$A543)&gt;0,1,0)</f>
        <v>0</v>
      </c>
      <c r="L543">
        <f>IF(COUNTIFS('United Data'!$A$3:$A$2150,L$1,'United Data'!$C$3:$C$2150,$A543)&gt;0,1,0)</f>
        <v>1</v>
      </c>
      <c r="M543">
        <f>IF(COUNTIFS('United Data'!$A$3:$A$2150,M$1,'United Data'!$C$3:$C$2150,$A543)&gt;0,1,0)</f>
        <v>1</v>
      </c>
      <c r="N543">
        <f>IF(COUNTIFS('United Data'!$A$3:$A$2150,N$1,'United Data'!$C$3:$C$2150,$A543)&gt;0,1,0)</f>
        <v>0</v>
      </c>
      <c r="O543">
        <f>IF(COUNTIFS('United Data'!$A$3:$A$2150,O$1,'United Data'!$C$3:$C$2150,$A543)&gt;0,1,0)</f>
        <v>0</v>
      </c>
      <c r="P543">
        <f>IF(COUNTIFS('United Data'!$A$3:$A$2150,P$1,'United Data'!$C$3:$C$2150,$A543)&gt;0,1,0)</f>
        <v>0</v>
      </c>
      <c r="Q543">
        <f>IF(COUNTIFS('United Data'!$A$3:$A$2150,Q$1,'United Data'!$C$3:$C$2150,$A543)&gt;0,1,0)</f>
        <v>0</v>
      </c>
      <c r="R543">
        <f>IF(COUNTIFS('United Data'!$A$3:$A$2150,R$1,'United Data'!$C$3:$C$2150,$A543)&gt;0,1,0)</f>
        <v>0</v>
      </c>
      <c r="S543">
        <f t="shared" si="16"/>
        <v>2</v>
      </c>
      <c r="T543">
        <f t="shared" si="17"/>
        <v>1</v>
      </c>
    </row>
    <row r="544" spans="1:20" x14ac:dyDescent="0.2">
      <c r="A544" t="s">
        <v>590</v>
      </c>
      <c r="B544">
        <f>IF(COUNTIFS('United Data'!$A$3:$A$2150,B$1,'United Data'!$C$3:$C$2150,$A544)&gt;0,1,0)</f>
        <v>0</v>
      </c>
      <c r="C544">
        <f>IF(COUNTIFS('United Data'!$A$3:$A$2150,C$1,'United Data'!$C$3:$C$2150,$A544)&gt;0,1,0)</f>
        <v>0</v>
      </c>
      <c r="D544">
        <f>IF(COUNTIFS('United Data'!$A$3:$A$2150,D$1,'United Data'!$C$3:$C$2150,$A544)&gt;0,1,0)</f>
        <v>0</v>
      </c>
      <c r="E544">
        <f>IF(COUNTIFS('United Data'!$A$3:$A$2150,E$1,'United Data'!$C$3:$C$2150,$A544)&gt;0,1,0)</f>
        <v>0</v>
      </c>
      <c r="F544">
        <f>IF(COUNTIFS('United Data'!$A$3:$A$2150,F$1,'United Data'!$C$3:$C$2150,$A544)&gt;0,1,0)</f>
        <v>0</v>
      </c>
      <c r="G544">
        <f>IF(COUNTIFS('United Data'!$A$3:$A$2150,G$1,'United Data'!$C$3:$C$2150,$A544)&gt;0,1,0)</f>
        <v>0</v>
      </c>
      <c r="H544">
        <f>IF(COUNTIFS('United Data'!$A$3:$A$2150,H$1,'United Data'!$C$3:$C$2150,$A544)&gt;0,1,0)</f>
        <v>0</v>
      </c>
      <c r="I544">
        <f>IF(COUNTIFS('United Data'!$A$3:$A$2150,I$1,'United Data'!$C$3:$C$2150,$A544)&gt;0,1,0)</f>
        <v>0</v>
      </c>
      <c r="J544">
        <f>IF(COUNTIFS('United Data'!$A$3:$A$2150,J$1,'United Data'!$C$3:$C$2150,$A544)&gt;0,1,0)</f>
        <v>0</v>
      </c>
      <c r="K544">
        <f>IF(COUNTIFS('United Data'!$A$3:$A$2150,K$1,'United Data'!$C$3:$C$2150,$A544)&gt;0,1,0)</f>
        <v>0</v>
      </c>
      <c r="L544">
        <f>IF(COUNTIFS('United Data'!$A$3:$A$2150,L$1,'United Data'!$C$3:$C$2150,$A544)&gt;0,1,0)</f>
        <v>1</v>
      </c>
      <c r="M544">
        <f>IF(COUNTIFS('United Data'!$A$3:$A$2150,M$1,'United Data'!$C$3:$C$2150,$A544)&gt;0,1,0)</f>
        <v>0</v>
      </c>
      <c r="N544">
        <f>IF(COUNTIFS('United Data'!$A$3:$A$2150,N$1,'United Data'!$C$3:$C$2150,$A544)&gt;0,1,0)</f>
        <v>0</v>
      </c>
      <c r="O544">
        <f>IF(COUNTIFS('United Data'!$A$3:$A$2150,O$1,'United Data'!$C$3:$C$2150,$A544)&gt;0,1,0)</f>
        <v>0</v>
      </c>
      <c r="P544">
        <f>IF(COUNTIFS('United Data'!$A$3:$A$2150,P$1,'United Data'!$C$3:$C$2150,$A544)&gt;0,1,0)</f>
        <v>0</v>
      </c>
      <c r="Q544">
        <f>IF(COUNTIFS('United Data'!$A$3:$A$2150,Q$1,'United Data'!$C$3:$C$2150,$A544)&gt;0,1,0)</f>
        <v>0</v>
      </c>
      <c r="R544">
        <f>IF(COUNTIFS('United Data'!$A$3:$A$2150,R$1,'United Data'!$C$3:$C$2150,$A544)&gt;0,1,0)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591</v>
      </c>
      <c r="B545">
        <f>IF(COUNTIFS('United Data'!$A$3:$A$2150,B$1,'United Data'!$C$3:$C$2150,$A545)&gt;0,1,0)</f>
        <v>0</v>
      </c>
      <c r="C545">
        <f>IF(COUNTIFS('United Data'!$A$3:$A$2150,C$1,'United Data'!$C$3:$C$2150,$A545)&gt;0,1,0)</f>
        <v>0</v>
      </c>
      <c r="D545">
        <f>IF(COUNTIFS('United Data'!$A$3:$A$2150,D$1,'United Data'!$C$3:$C$2150,$A545)&gt;0,1,0)</f>
        <v>0</v>
      </c>
      <c r="E545">
        <f>IF(COUNTIFS('United Data'!$A$3:$A$2150,E$1,'United Data'!$C$3:$C$2150,$A545)&gt;0,1,0)</f>
        <v>0</v>
      </c>
      <c r="F545">
        <f>IF(COUNTIFS('United Data'!$A$3:$A$2150,F$1,'United Data'!$C$3:$C$2150,$A545)&gt;0,1,0)</f>
        <v>0</v>
      </c>
      <c r="G545">
        <f>IF(COUNTIFS('United Data'!$A$3:$A$2150,G$1,'United Data'!$C$3:$C$2150,$A545)&gt;0,1,0)</f>
        <v>0</v>
      </c>
      <c r="H545">
        <f>IF(COUNTIFS('United Data'!$A$3:$A$2150,H$1,'United Data'!$C$3:$C$2150,$A545)&gt;0,1,0)</f>
        <v>0</v>
      </c>
      <c r="I545">
        <f>IF(COUNTIFS('United Data'!$A$3:$A$2150,I$1,'United Data'!$C$3:$C$2150,$A545)&gt;0,1,0)</f>
        <v>0</v>
      </c>
      <c r="J545">
        <f>IF(COUNTIFS('United Data'!$A$3:$A$2150,J$1,'United Data'!$C$3:$C$2150,$A545)&gt;0,1,0)</f>
        <v>0</v>
      </c>
      <c r="K545">
        <f>IF(COUNTIFS('United Data'!$A$3:$A$2150,K$1,'United Data'!$C$3:$C$2150,$A545)&gt;0,1,0)</f>
        <v>0</v>
      </c>
      <c r="L545">
        <f>IF(COUNTIFS('United Data'!$A$3:$A$2150,L$1,'United Data'!$C$3:$C$2150,$A545)&gt;0,1,0)</f>
        <v>0</v>
      </c>
      <c r="M545">
        <f>IF(COUNTIFS('United Data'!$A$3:$A$2150,M$1,'United Data'!$C$3:$C$2150,$A545)&gt;0,1,0)</f>
        <v>1</v>
      </c>
      <c r="N545">
        <f>IF(COUNTIFS('United Data'!$A$3:$A$2150,N$1,'United Data'!$C$3:$C$2150,$A545)&gt;0,1,0)</f>
        <v>0</v>
      </c>
      <c r="O545">
        <f>IF(COUNTIFS('United Data'!$A$3:$A$2150,O$1,'United Data'!$C$3:$C$2150,$A545)&gt;0,1,0)</f>
        <v>0</v>
      </c>
      <c r="P545">
        <f>IF(COUNTIFS('United Data'!$A$3:$A$2150,P$1,'United Data'!$C$3:$C$2150,$A545)&gt;0,1,0)</f>
        <v>0</v>
      </c>
      <c r="Q545">
        <f>IF(COUNTIFS('United Data'!$A$3:$A$2150,Q$1,'United Data'!$C$3:$C$2150,$A545)&gt;0,1,0)</f>
        <v>0</v>
      </c>
      <c r="R545">
        <f>IF(COUNTIFS('United Data'!$A$3:$A$2150,R$1,'United Data'!$C$3:$C$2150,$A545)&gt;0,1,0)</f>
        <v>0</v>
      </c>
      <c r="S545">
        <f t="shared" si="16"/>
        <v>1</v>
      </c>
      <c r="T545">
        <f t="shared" si="17"/>
        <v>1</v>
      </c>
    </row>
    <row r="546" spans="1:20" x14ac:dyDescent="0.2">
      <c r="A546" t="s">
        <v>592</v>
      </c>
      <c r="B546">
        <f>IF(COUNTIFS('United Data'!$A$3:$A$2150,B$1,'United Data'!$C$3:$C$2150,$A546)&gt;0,1,0)</f>
        <v>0</v>
      </c>
      <c r="C546">
        <f>IF(COUNTIFS('United Data'!$A$3:$A$2150,C$1,'United Data'!$C$3:$C$2150,$A546)&gt;0,1,0)</f>
        <v>0</v>
      </c>
      <c r="D546">
        <f>IF(COUNTIFS('United Data'!$A$3:$A$2150,D$1,'United Data'!$C$3:$C$2150,$A546)&gt;0,1,0)</f>
        <v>0</v>
      </c>
      <c r="E546">
        <f>IF(COUNTIFS('United Data'!$A$3:$A$2150,E$1,'United Data'!$C$3:$C$2150,$A546)&gt;0,1,0)</f>
        <v>0</v>
      </c>
      <c r="F546">
        <f>IF(COUNTIFS('United Data'!$A$3:$A$2150,F$1,'United Data'!$C$3:$C$2150,$A546)&gt;0,1,0)</f>
        <v>0</v>
      </c>
      <c r="G546">
        <f>IF(COUNTIFS('United Data'!$A$3:$A$2150,G$1,'United Data'!$C$3:$C$2150,$A546)&gt;0,1,0)</f>
        <v>0</v>
      </c>
      <c r="H546">
        <f>IF(COUNTIFS('United Data'!$A$3:$A$2150,H$1,'United Data'!$C$3:$C$2150,$A546)&gt;0,1,0)</f>
        <v>0</v>
      </c>
      <c r="I546">
        <f>IF(COUNTIFS('United Data'!$A$3:$A$2150,I$1,'United Data'!$C$3:$C$2150,$A546)&gt;0,1,0)</f>
        <v>0</v>
      </c>
      <c r="J546">
        <f>IF(COUNTIFS('United Data'!$A$3:$A$2150,J$1,'United Data'!$C$3:$C$2150,$A546)&gt;0,1,0)</f>
        <v>0</v>
      </c>
      <c r="K546">
        <f>IF(COUNTIFS('United Data'!$A$3:$A$2150,K$1,'United Data'!$C$3:$C$2150,$A546)&gt;0,1,0)</f>
        <v>0</v>
      </c>
      <c r="L546">
        <f>IF(COUNTIFS('United Data'!$A$3:$A$2150,L$1,'United Data'!$C$3:$C$2150,$A546)&gt;0,1,0)</f>
        <v>0</v>
      </c>
      <c r="M546">
        <f>IF(COUNTIFS('United Data'!$A$3:$A$2150,M$1,'United Data'!$C$3:$C$2150,$A546)&gt;0,1,0)</f>
        <v>1</v>
      </c>
      <c r="N546">
        <f>IF(COUNTIFS('United Data'!$A$3:$A$2150,N$1,'United Data'!$C$3:$C$2150,$A546)&gt;0,1,0)</f>
        <v>0</v>
      </c>
      <c r="O546">
        <f>IF(COUNTIFS('United Data'!$A$3:$A$2150,O$1,'United Data'!$C$3:$C$2150,$A546)&gt;0,1,0)</f>
        <v>0</v>
      </c>
      <c r="P546">
        <f>IF(COUNTIFS('United Data'!$A$3:$A$2150,P$1,'United Data'!$C$3:$C$2150,$A546)&gt;0,1,0)</f>
        <v>0</v>
      </c>
      <c r="Q546">
        <f>IF(COUNTIFS('United Data'!$A$3:$A$2150,Q$1,'United Data'!$C$3:$C$2150,$A546)&gt;0,1,0)</f>
        <v>0</v>
      </c>
      <c r="R546">
        <f>IF(COUNTIFS('United Data'!$A$3:$A$2150,R$1,'United Data'!$C$3:$C$2150,$A546)&gt;0,1,0)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593</v>
      </c>
      <c r="B547">
        <f>IF(COUNTIFS('United Data'!$A$3:$A$2150,B$1,'United Data'!$C$3:$C$2150,$A547)&gt;0,1,0)</f>
        <v>0</v>
      </c>
      <c r="C547">
        <f>IF(COUNTIFS('United Data'!$A$3:$A$2150,C$1,'United Data'!$C$3:$C$2150,$A547)&gt;0,1,0)</f>
        <v>0</v>
      </c>
      <c r="D547">
        <f>IF(COUNTIFS('United Data'!$A$3:$A$2150,D$1,'United Data'!$C$3:$C$2150,$A547)&gt;0,1,0)</f>
        <v>0</v>
      </c>
      <c r="E547">
        <f>IF(COUNTIFS('United Data'!$A$3:$A$2150,E$1,'United Data'!$C$3:$C$2150,$A547)&gt;0,1,0)</f>
        <v>0</v>
      </c>
      <c r="F547">
        <f>IF(COUNTIFS('United Data'!$A$3:$A$2150,F$1,'United Data'!$C$3:$C$2150,$A547)&gt;0,1,0)</f>
        <v>0</v>
      </c>
      <c r="G547">
        <f>IF(COUNTIFS('United Data'!$A$3:$A$2150,G$1,'United Data'!$C$3:$C$2150,$A547)&gt;0,1,0)</f>
        <v>0</v>
      </c>
      <c r="H547">
        <f>IF(COUNTIFS('United Data'!$A$3:$A$2150,H$1,'United Data'!$C$3:$C$2150,$A547)&gt;0,1,0)</f>
        <v>0</v>
      </c>
      <c r="I547">
        <f>IF(COUNTIFS('United Data'!$A$3:$A$2150,I$1,'United Data'!$C$3:$C$2150,$A547)&gt;0,1,0)</f>
        <v>0</v>
      </c>
      <c r="J547">
        <f>IF(COUNTIFS('United Data'!$A$3:$A$2150,J$1,'United Data'!$C$3:$C$2150,$A547)&gt;0,1,0)</f>
        <v>0</v>
      </c>
      <c r="K547">
        <f>IF(COUNTIFS('United Data'!$A$3:$A$2150,K$1,'United Data'!$C$3:$C$2150,$A547)&gt;0,1,0)</f>
        <v>0</v>
      </c>
      <c r="L547">
        <f>IF(COUNTIFS('United Data'!$A$3:$A$2150,L$1,'United Data'!$C$3:$C$2150,$A547)&gt;0,1,0)</f>
        <v>0</v>
      </c>
      <c r="M547">
        <f>IF(COUNTIFS('United Data'!$A$3:$A$2150,M$1,'United Data'!$C$3:$C$2150,$A547)&gt;0,1,0)</f>
        <v>1</v>
      </c>
      <c r="N547">
        <f>IF(COUNTIFS('United Data'!$A$3:$A$2150,N$1,'United Data'!$C$3:$C$2150,$A547)&gt;0,1,0)</f>
        <v>0</v>
      </c>
      <c r="O547">
        <f>IF(COUNTIFS('United Data'!$A$3:$A$2150,O$1,'United Data'!$C$3:$C$2150,$A547)&gt;0,1,0)</f>
        <v>0</v>
      </c>
      <c r="P547">
        <f>IF(COUNTIFS('United Data'!$A$3:$A$2150,P$1,'United Data'!$C$3:$C$2150,$A547)&gt;0,1,0)</f>
        <v>0</v>
      </c>
      <c r="Q547">
        <f>IF(COUNTIFS('United Data'!$A$3:$A$2150,Q$1,'United Data'!$C$3:$C$2150,$A547)&gt;0,1,0)</f>
        <v>0</v>
      </c>
      <c r="R547">
        <f>IF(COUNTIFS('United Data'!$A$3:$A$2150,R$1,'United Data'!$C$3:$C$2150,$A547)&gt;0,1,0)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594</v>
      </c>
      <c r="B548">
        <f>IF(COUNTIFS('United Data'!$A$3:$A$2150,B$1,'United Data'!$C$3:$C$2150,$A548)&gt;0,1,0)</f>
        <v>0</v>
      </c>
      <c r="C548">
        <f>IF(COUNTIFS('United Data'!$A$3:$A$2150,C$1,'United Data'!$C$3:$C$2150,$A548)&gt;0,1,0)</f>
        <v>0</v>
      </c>
      <c r="D548">
        <f>IF(COUNTIFS('United Data'!$A$3:$A$2150,D$1,'United Data'!$C$3:$C$2150,$A548)&gt;0,1,0)</f>
        <v>0</v>
      </c>
      <c r="E548">
        <f>IF(COUNTIFS('United Data'!$A$3:$A$2150,E$1,'United Data'!$C$3:$C$2150,$A548)&gt;0,1,0)</f>
        <v>0</v>
      </c>
      <c r="F548">
        <f>IF(COUNTIFS('United Data'!$A$3:$A$2150,F$1,'United Data'!$C$3:$C$2150,$A548)&gt;0,1,0)</f>
        <v>0</v>
      </c>
      <c r="G548">
        <f>IF(COUNTIFS('United Data'!$A$3:$A$2150,G$1,'United Data'!$C$3:$C$2150,$A548)&gt;0,1,0)</f>
        <v>0</v>
      </c>
      <c r="H548">
        <f>IF(COUNTIFS('United Data'!$A$3:$A$2150,H$1,'United Data'!$C$3:$C$2150,$A548)&gt;0,1,0)</f>
        <v>0</v>
      </c>
      <c r="I548">
        <f>IF(COUNTIFS('United Data'!$A$3:$A$2150,I$1,'United Data'!$C$3:$C$2150,$A548)&gt;0,1,0)</f>
        <v>0</v>
      </c>
      <c r="J548">
        <f>IF(COUNTIFS('United Data'!$A$3:$A$2150,J$1,'United Data'!$C$3:$C$2150,$A548)&gt;0,1,0)</f>
        <v>0</v>
      </c>
      <c r="K548">
        <f>IF(COUNTIFS('United Data'!$A$3:$A$2150,K$1,'United Data'!$C$3:$C$2150,$A548)&gt;0,1,0)</f>
        <v>0</v>
      </c>
      <c r="L548">
        <f>IF(COUNTIFS('United Data'!$A$3:$A$2150,L$1,'United Data'!$C$3:$C$2150,$A548)&gt;0,1,0)</f>
        <v>1</v>
      </c>
      <c r="M548">
        <f>IF(COUNTIFS('United Data'!$A$3:$A$2150,M$1,'United Data'!$C$3:$C$2150,$A548)&gt;0,1,0)</f>
        <v>1</v>
      </c>
      <c r="N548">
        <f>IF(COUNTIFS('United Data'!$A$3:$A$2150,N$1,'United Data'!$C$3:$C$2150,$A548)&gt;0,1,0)</f>
        <v>1</v>
      </c>
      <c r="O548">
        <f>IF(COUNTIFS('United Data'!$A$3:$A$2150,O$1,'United Data'!$C$3:$C$2150,$A548)&gt;0,1,0)</f>
        <v>1</v>
      </c>
      <c r="P548">
        <f>IF(COUNTIFS('United Data'!$A$3:$A$2150,P$1,'United Data'!$C$3:$C$2150,$A548)&gt;0,1,0)</f>
        <v>0</v>
      </c>
      <c r="Q548">
        <f>IF(COUNTIFS('United Data'!$A$3:$A$2150,Q$1,'United Data'!$C$3:$C$2150,$A548)&gt;0,1,0)</f>
        <v>0</v>
      </c>
      <c r="R548">
        <f>IF(COUNTIFS('United Data'!$A$3:$A$2150,R$1,'United Data'!$C$3:$C$2150,$A548)&gt;0,1,0)</f>
        <v>0</v>
      </c>
      <c r="S548">
        <f t="shared" si="16"/>
        <v>4</v>
      </c>
      <c r="T548">
        <f t="shared" si="17"/>
        <v>1</v>
      </c>
    </row>
    <row r="549" spans="1:20" x14ac:dyDescent="0.2">
      <c r="A549" t="s">
        <v>595</v>
      </c>
      <c r="B549">
        <f>IF(COUNTIFS('United Data'!$A$3:$A$2150,B$1,'United Data'!$C$3:$C$2150,$A549)&gt;0,1,0)</f>
        <v>0</v>
      </c>
      <c r="C549">
        <f>IF(COUNTIFS('United Data'!$A$3:$A$2150,C$1,'United Data'!$C$3:$C$2150,$A549)&gt;0,1,0)</f>
        <v>0</v>
      </c>
      <c r="D549">
        <f>IF(COUNTIFS('United Data'!$A$3:$A$2150,D$1,'United Data'!$C$3:$C$2150,$A549)&gt;0,1,0)</f>
        <v>0</v>
      </c>
      <c r="E549">
        <f>IF(COUNTIFS('United Data'!$A$3:$A$2150,E$1,'United Data'!$C$3:$C$2150,$A549)&gt;0,1,0)</f>
        <v>0</v>
      </c>
      <c r="F549">
        <f>IF(COUNTIFS('United Data'!$A$3:$A$2150,F$1,'United Data'!$C$3:$C$2150,$A549)&gt;0,1,0)</f>
        <v>0</v>
      </c>
      <c r="G549">
        <f>IF(COUNTIFS('United Data'!$A$3:$A$2150,G$1,'United Data'!$C$3:$C$2150,$A549)&gt;0,1,0)</f>
        <v>0</v>
      </c>
      <c r="H549">
        <f>IF(COUNTIFS('United Data'!$A$3:$A$2150,H$1,'United Data'!$C$3:$C$2150,$A549)&gt;0,1,0)</f>
        <v>0</v>
      </c>
      <c r="I549">
        <f>IF(COUNTIFS('United Data'!$A$3:$A$2150,I$1,'United Data'!$C$3:$C$2150,$A549)&gt;0,1,0)</f>
        <v>0</v>
      </c>
      <c r="J549">
        <f>IF(COUNTIFS('United Data'!$A$3:$A$2150,J$1,'United Data'!$C$3:$C$2150,$A549)&gt;0,1,0)</f>
        <v>0</v>
      </c>
      <c r="K549">
        <f>IF(COUNTIFS('United Data'!$A$3:$A$2150,K$1,'United Data'!$C$3:$C$2150,$A549)&gt;0,1,0)</f>
        <v>0</v>
      </c>
      <c r="L549">
        <f>IF(COUNTIFS('United Data'!$A$3:$A$2150,L$1,'United Data'!$C$3:$C$2150,$A549)&gt;0,1,0)</f>
        <v>0</v>
      </c>
      <c r="M549">
        <f>IF(COUNTIFS('United Data'!$A$3:$A$2150,M$1,'United Data'!$C$3:$C$2150,$A549)&gt;0,1,0)</f>
        <v>1</v>
      </c>
      <c r="N549">
        <f>IF(COUNTIFS('United Data'!$A$3:$A$2150,N$1,'United Data'!$C$3:$C$2150,$A549)&gt;0,1,0)</f>
        <v>0</v>
      </c>
      <c r="O549">
        <f>IF(COUNTIFS('United Data'!$A$3:$A$2150,O$1,'United Data'!$C$3:$C$2150,$A549)&gt;0,1,0)</f>
        <v>0</v>
      </c>
      <c r="P549">
        <f>IF(COUNTIFS('United Data'!$A$3:$A$2150,P$1,'United Data'!$C$3:$C$2150,$A549)&gt;0,1,0)</f>
        <v>0</v>
      </c>
      <c r="Q549">
        <f>IF(COUNTIFS('United Data'!$A$3:$A$2150,Q$1,'United Data'!$C$3:$C$2150,$A549)&gt;0,1,0)</f>
        <v>0</v>
      </c>
      <c r="R549">
        <f>IF(COUNTIFS('United Data'!$A$3:$A$2150,R$1,'United Data'!$C$3:$C$2150,$A549)&gt;0,1,0)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596</v>
      </c>
      <c r="B550">
        <f>IF(COUNTIFS('United Data'!$A$3:$A$2150,B$1,'United Data'!$C$3:$C$2150,$A550)&gt;0,1,0)</f>
        <v>0</v>
      </c>
      <c r="C550">
        <f>IF(COUNTIFS('United Data'!$A$3:$A$2150,C$1,'United Data'!$C$3:$C$2150,$A550)&gt;0,1,0)</f>
        <v>0</v>
      </c>
      <c r="D550">
        <f>IF(COUNTIFS('United Data'!$A$3:$A$2150,D$1,'United Data'!$C$3:$C$2150,$A550)&gt;0,1,0)</f>
        <v>0</v>
      </c>
      <c r="E550">
        <f>IF(COUNTIFS('United Data'!$A$3:$A$2150,E$1,'United Data'!$C$3:$C$2150,$A550)&gt;0,1,0)</f>
        <v>0</v>
      </c>
      <c r="F550">
        <f>IF(COUNTIFS('United Data'!$A$3:$A$2150,F$1,'United Data'!$C$3:$C$2150,$A550)&gt;0,1,0)</f>
        <v>0</v>
      </c>
      <c r="G550">
        <f>IF(COUNTIFS('United Data'!$A$3:$A$2150,G$1,'United Data'!$C$3:$C$2150,$A550)&gt;0,1,0)</f>
        <v>0</v>
      </c>
      <c r="H550">
        <f>IF(COUNTIFS('United Data'!$A$3:$A$2150,H$1,'United Data'!$C$3:$C$2150,$A550)&gt;0,1,0)</f>
        <v>0</v>
      </c>
      <c r="I550">
        <f>IF(COUNTIFS('United Data'!$A$3:$A$2150,I$1,'United Data'!$C$3:$C$2150,$A550)&gt;0,1,0)</f>
        <v>0</v>
      </c>
      <c r="J550">
        <f>IF(COUNTIFS('United Data'!$A$3:$A$2150,J$1,'United Data'!$C$3:$C$2150,$A550)&gt;0,1,0)</f>
        <v>0</v>
      </c>
      <c r="K550">
        <f>IF(COUNTIFS('United Data'!$A$3:$A$2150,K$1,'United Data'!$C$3:$C$2150,$A550)&gt;0,1,0)</f>
        <v>0</v>
      </c>
      <c r="L550">
        <f>IF(COUNTIFS('United Data'!$A$3:$A$2150,L$1,'United Data'!$C$3:$C$2150,$A550)&gt;0,1,0)</f>
        <v>0</v>
      </c>
      <c r="M550">
        <f>IF(COUNTIFS('United Data'!$A$3:$A$2150,M$1,'United Data'!$C$3:$C$2150,$A550)&gt;0,1,0)</f>
        <v>1</v>
      </c>
      <c r="N550">
        <f>IF(COUNTIFS('United Data'!$A$3:$A$2150,N$1,'United Data'!$C$3:$C$2150,$A550)&gt;0,1,0)</f>
        <v>0</v>
      </c>
      <c r="O550">
        <f>IF(COUNTIFS('United Data'!$A$3:$A$2150,O$1,'United Data'!$C$3:$C$2150,$A550)&gt;0,1,0)</f>
        <v>0</v>
      </c>
      <c r="P550">
        <f>IF(COUNTIFS('United Data'!$A$3:$A$2150,P$1,'United Data'!$C$3:$C$2150,$A550)&gt;0,1,0)</f>
        <v>0</v>
      </c>
      <c r="Q550">
        <f>IF(COUNTIFS('United Data'!$A$3:$A$2150,Q$1,'United Data'!$C$3:$C$2150,$A550)&gt;0,1,0)</f>
        <v>0</v>
      </c>
      <c r="R550">
        <f>IF(COUNTIFS('United Data'!$A$3:$A$2150,R$1,'United Data'!$C$3:$C$2150,$A550)&gt;0,1,0)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597</v>
      </c>
      <c r="B551">
        <f>IF(COUNTIFS('United Data'!$A$3:$A$2150,B$1,'United Data'!$C$3:$C$2150,$A551)&gt;0,1,0)</f>
        <v>0</v>
      </c>
      <c r="C551">
        <f>IF(COUNTIFS('United Data'!$A$3:$A$2150,C$1,'United Data'!$C$3:$C$2150,$A551)&gt;0,1,0)</f>
        <v>0</v>
      </c>
      <c r="D551">
        <f>IF(COUNTIFS('United Data'!$A$3:$A$2150,D$1,'United Data'!$C$3:$C$2150,$A551)&gt;0,1,0)</f>
        <v>0</v>
      </c>
      <c r="E551">
        <f>IF(COUNTIFS('United Data'!$A$3:$A$2150,E$1,'United Data'!$C$3:$C$2150,$A551)&gt;0,1,0)</f>
        <v>0</v>
      </c>
      <c r="F551">
        <f>IF(COUNTIFS('United Data'!$A$3:$A$2150,F$1,'United Data'!$C$3:$C$2150,$A551)&gt;0,1,0)</f>
        <v>0</v>
      </c>
      <c r="G551">
        <f>IF(COUNTIFS('United Data'!$A$3:$A$2150,G$1,'United Data'!$C$3:$C$2150,$A551)&gt;0,1,0)</f>
        <v>0</v>
      </c>
      <c r="H551">
        <f>IF(COUNTIFS('United Data'!$A$3:$A$2150,H$1,'United Data'!$C$3:$C$2150,$A551)&gt;0,1,0)</f>
        <v>0</v>
      </c>
      <c r="I551">
        <f>IF(COUNTIFS('United Data'!$A$3:$A$2150,I$1,'United Data'!$C$3:$C$2150,$A551)&gt;0,1,0)</f>
        <v>0</v>
      </c>
      <c r="J551">
        <f>IF(COUNTIFS('United Data'!$A$3:$A$2150,J$1,'United Data'!$C$3:$C$2150,$A551)&gt;0,1,0)</f>
        <v>0</v>
      </c>
      <c r="K551">
        <f>IF(COUNTIFS('United Data'!$A$3:$A$2150,K$1,'United Data'!$C$3:$C$2150,$A551)&gt;0,1,0)</f>
        <v>0</v>
      </c>
      <c r="L551">
        <f>IF(COUNTIFS('United Data'!$A$3:$A$2150,L$1,'United Data'!$C$3:$C$2150,$A551)&gt;0,1,0)</f>
        <v>0</v>
      </c>
      <c r="M551">
        <f>IF(COUNTIFS('United Data'!$A$3:$A$2150,M$1,'United Data'!$C$3:$C$2150,$A551)&gt;0,1,0)</f>
        <v>0</v>
      </c>
      <c r="N551">
        <f>IF(COUNTIFS('United Data'!$A$3:$A$2150,N$1,'United Data'!$C$3:$C$2150,$A551)&gt;0,1,0)</f>
        <v>1</v>
      </c>
      <c r="O551">
        <f>IF(COUNTIFS('United Data'!$A$3:$A$2150,O$1,'United Data'!$C$3:$C$2150,$A551)&gt;0,1,0)</f>
        <v>1</v>
      </c>
      <c r="P551">
        <f>IF(COUNTIFS('United Data'!$A$3:$A$2150,P$1,'United Data'!$C$3:$C$2150,$A551)&gt;0,1,0)</f>
        <v>0</v>
      </c>
      <c r="Q551">
        <f>IF(COUNTIFS('United Data'!$A$3:$A$2150,Q$1,'United Data'!$C$3:$C$2150,$A551)&gt;0,1,0)</f>
        <v>0</v>
      </c>
      <c r="R551">
        <f>IF(COUNTIFS('United Data'!$A$3:$A$2150,R$1,'United Data'!$C$3:$C$2150,$A551)&gt;0,1,0)</f>
        <v>0</v>
      </c>
      <c r="S551">
        <f t="shared" si="16"/>
        <v>2</v>
      </c>
      <c r="T551">
        <f t="shared" si="17"/>
        <v>1</v>
      </c>
    </row>
    <row r="552" spans="1:20" x14ac:dyDescent="0.2">
      <c r="A552" t="s">
        <v>598</v>
      </c>
      <c r="B552">
        <f>IF(COUNTIFS('United Data'!$A$3:$A$2150,B$1,'United Data'!$C$3:$C$2150,$A552)&gt;0,1,0)</f>
        <v>0</v>
      </c>
      <c r="C552">
        <f>IF(COUNTIFS('United Data'!$A$3:$A$2150,C$1,'United Data'!$C$3:$C$2150,$A552)&gt;0,1,0)</f>
        <v>0</v>
      </c>
      <c r="D552">
        <f>IF(COUNTIFS('United Data'!$A$3:$A$2150,D$1,'United Data'!$C$3:$C$2150,$A552)&gt;0,1,0)</f>
        <v>0</v>
      </c>
      <c r="E552">
        <f>IF(COUNTIFS('United Data'!$A$3:$A$2150,E$1,'United Data'!$C$3:$C$2150,$A552)&gt;0,1,0)</f>
        <v>0</v>
      </c>
      <c r="F552">
        <f>IF(COUNTIFS('United Data'!$A$3:$A$2150,F$1,'United Data'!$C$3:$C$2150,$A552)&gt;0,1,0)</f>
        <v>0</v>
      </c>
      <c r="G552">
        <f>IF(COUNTIFS('United Data'!$A$3:$A$2150,G$1,'United Data'!$C$3:$C$2150,$A552)&gt;0,1,0)</f>
        <v>0</v>
      </c>
      <c r="H552">
        <f>IF(COUNTIFS('United Data'!$A$3:$A$2150,H$1,'United Data'!$C$3:$C$2150,$A552)&gt;0,1,0)</f>
        <v>0</v>
      </c>
      <c r="I552">
        <f>IF(COUNTIFS('United Data'!$A$3:$A$2150,I$1,'United Data'!$C$3:$C$2150,$A552)&gt;0,1,0)</f>
        <v>0</v>
      </c>
      <c r="J552">
        <f>IF(COUNTIFS('United Data'!$A$3:$A$2150,J$1,'United Data'!$C$3:$C$2150,$A552)&gt;0,1,0)</f>
        <v>0</v>
      </c>
      <c r="K552">
        <f>IF(COUNTIFS('United Data'!$A$3:$A$2150,K$1,'United Data'!$C$3:$C$2150,$A552)&gt;0,1,0)</f>
        <v>0</v>
      </c>
      <c r="L552">
        <f>IF(COUNTIFS('United Data'!$A$3:$A$2150,L$1,'United Data'!$C$3:$C$2150,$A552)&gt;0,1,0)</f>
        <v>0</v>
      </c>
      <c r="M552">
        <f>IF(COUNTIFS('United Data'!$A$3:$A$2150,M$1,'United Data'!$C$3:$C$2150,$A552)&gt;0,1,0)</f>
        <v>0</v>
      </c>
      <c r="N552">
        <f>IF(COUNTIFS('United Data'!$A$3:$A$2150,N$1,'United Data'!$C$3:$C$2150,$A552)&gt;0,1,0)</f>
        <v>1</v>
      </c>
      <c r="O552">
        <f>IF(COUNTIFS('United Data'!$A$3:$A$2150,O$1,'United Data'!$C$3:$C$2150,$A552)&gt;0,1,0)</f>
        <v>1</v>
      </c>
      <c r="P552">
        <f>IF(COUNTIFS('United Data'!$A$3:$A$2150,P$1,'United Data'!$C$3:$C$2150,$A552)&gt;0,1,0)</f>
        <v>0</v>
      </c>
      <c r="Q552">
        <f>IF(COUNTIFS('United Data'!$A$3:$A$2150,Q$1,'United Data'!$C$3:$C$2150,$A552)&gt;0,1,0)</f>
        <v>0</v>
      </c>
      <c r="R552">
        <f>IF(COUNTIFS('United Data'!$A$3:$A$2150,R$1,'United Data'!$C$3:$C$2150,$A552)&gt;0,1,0)</f>
        <v>0</v>
      </c>
      <c r="S552">
        <f t="shared" si="16"/>
        <v>2</v>
      </c>
      <c r="T552">
        <f t="shared" si="17"/>
        <v>1</v>
      </c>
    </row>
    <row r="553" spans="1:20" x14ac:dyDescent="0.2">
      <c r="A553" t="s">
        <v>599</v>
      </c>
      <c r="B553">
        <f>IF(COUNTIFS('United Data'!$A$3:$A$2150,B$1,'United Data'!$C$3:$C$2150,$A553)&gt;0,1,0)</f>
        <v>0</v>
      </c>
      <c r="C553">
        <f>IF(COUNTIFS('United Data'!$A$3:$A$2150,C$1,'United Data'!$C$3:$C$2150,$A553)&gt;0,1,0)</f>
        <v>0</v>
      </c>
      <c r="D553">
        <f>IF(COUNTIFS('United Data'!$A$3:$A$2150,D$1,'United Data'!$C$3:$C$2150,$A553)&gt;0,1,0)</f>
        <v>0</v>
      </c>
      <c r="E553">
        <f>IF(COUNTIFS('United Data'!$A$3:$A$2150,E$1,'United Data'!$C$3:$C$2150,$A553)&gt;0,1,0)</f>
        <v>0</v>
      </c>
      <c r="F553">
        <f>IF(COUNTIFS('United Data'!$A$3:$A$2150,F$1,'United Data'!$C$3:$C$2150,$A553)&gt;0,1,0)</f>
        <v>0</v>
      </c>
      <c r="G553">
        <f>IF(COUNTIFS('United Data'!$A$3:$A$2150,G$1,'United Data'!$C$3:$C$2150,$A553)&gt;0,1,0)</f>
        <v>0</v>
      </c>
      <c r="H553">
        <f>IF(COUNTIFS('United Data'!$A$3:$A$2150,H$1,'United Data'!$C$3:$C$2150,$A553)&gt;0,1,0)</f>
        <v>0</v>
      </c>
      <c r="I553">
        <f>IF(COUNTIFS('United Data'!$A$3:$A$2150,I$1,'United Data'!$C$3:$C$2150,$A553)&gt;0,1,0)</f>
        <v>0</v>
      </c>
      <c r="J553">
        <f>IF(COUNTIFS('United Data'!$A$3:$A$2150,J$1,'United Data'!$C$3:$C$2150,$A553)&gt;0,1,0)</f>
        <v>0</v>
      </c>
      <c r="K553">
        <f>IF(COUNTIFS('United Data'!$A$3:$A$2150,K$1,'United Data'!$C$3:$C$2150,$A553)&gt;0,1,0)</f>
        <v>0</v>
      </c>
      <c r="L553">
        <f>IF(COUNTIFS('United Data'!$A$3:$A$2150,L$1,'United Data'!$C$3:$C$2150,$A553)&gt;0,1,0)</f>
        <v>0</v>
      </c>
      <c r="M553">
        <f>IF(COUNTIFS('United Data'!$A$3:$A$2150,M$1,'United Data'!$C$3:$C$2150,$A553)&gt;0,1,0)</f>
        <v>0</v>
      </c>
      <c r="N553">
        <f>IF(COUNTIFS('United Data'!$A$3:$A$2150,N$1,'United Data'!$C$3:$C$2150,$A553)&gt;0,1,0)</f>
        <v>1</v>
      </c>
      <c r="O553">
        <f>IF(COUNTIFS('United Data'!$A$3:$A$2150,O$1,'United Data'!$C$3:$C$2150,$A553)&gt;0,1,0)</f>
        <v>1</v>
      </c>
      <c r="P553">
        <f>IF(COUNTIFS('United Data'!$A$3:$A$2150,P$1,'United Data'!$C$3:$C$2150,$A553)&gt;0,1,0)</f>
        <v>0</v>
      </c>
      <c r="Q553">
        <f>IF(COUNTIFS('United Data'!$A$3:$A$2150,Q$1,'United Data'!$C$3:$C$2150,$A553)&gt;0,1,0)</f>
        <v>0</v>
      </c>
      <c r="R553">
        <f>IF(COUNTIFS('United Data'!$A$3:$A$2150,R$1,'United Data'!$C$3:$C$2150,$A553)&gt;0,1,0)</f>
        <v>0</v>
      </c>
      <c r="S553">
        <f t="shared" si="16"/>
        <v>2</v>
      </c>
      <c r="T553">
        <f t="shared" si="17"/>
        <v>1</v>
      </c>
    </row>
    <row r="554" spans="1:20" x14ac:dyDescent="0.2">
      <c r="A554" t="s">
        <v>600</v>
      </c>
      <c r="B554">
        <f>IF(COUNTIFS('United Data'!$A$3:$A$2150,B$1,'United Data'!$C$3:$C$2150,$A554)&gt;0,1,0)</f>
        <v>0</v>
      </c>
      <c r="C554">
        <f>IF(COUNTIFS('United Data'!$A$3:$A$2150,C$1,'United Data'!$C$3:$C$2150,$A554)&gt;0,1,0)</f>
        <v>0</v>
      </c>
      <c r="D554">
        <f>IF(COUNTIFS('United Data'!$A$3:$A$2150,D$1,'United Data'!$C$3:$C$2150,$A554)&gt;0,1,0)</f>
        <v>0</v>
      </c>
      <c r="E554">
        <f>IF(COUNTIFS('United Data'!$A$3:$A$2150,E$1,'United Data'!$C$3:$C$2150,$A554)&gt;0,1,0)</f>
        <v>0</v>
      </c>
      <c r="F554">
        <f>IF(COUNTIFS('United Data'!$A$3:$A$2150,F$1,'United Data'!$C$3:$C$2150,$A554)&gt;0,1,0)</f>
        <v>0</v>
      </c>
      <c r="G554">
        <f>IF(COUNTIFS('United Data'!$A$3:$A$2150,G$1,'United Data'!$C$3:$C$2150,$A554)&gt;0,1,0)</f>
        <v>0</v>
      </c>
      <c r="H554">
        <f>IF(COUNTIFS('United Data'!$A$3:$A$2150,H$1,'United Data'!$C$3:$C$2150,$A554)&gt;0,1,0)</f>
        <v>0</v>
      </c>
      <c r="I554">
        <f>IF(COUNTIFS('United Data'!$A$3:$A$2150,I$1,'United Data'!$C$3:$C$2150,$A554)&gt;0,1,0)</f>
        <v>0</v>
      </c>
      <c r="J554">
        <f>IF(COUNTIFS('United Data'!$A$3:$A$2150,J$1,'United Data'!$C$3:$C$2150,$A554)&gt;0,1,0)</f>
        <v>0</v>
      </c>
      <c r="K554">
        <f>IF(COUNTIFS('United Data'!$A$3:$A$2150,K$1,'United Data'!$C$3:$C$2150,$A554)&gt;0,1,0)</f>
        <v>0</v>
      </c>
      <c r="L554">
        <f>IF(COUNTIFS('United Data'!$A$3:$A$2150,L$1,'United Data'!$C$3:$C$2150,$A554)&gt;0,1,0)</f>
        <v>0</v>
      </c>
      <c r="M554">
        <f>IF(COUNTIFS('United Data'!$A$3:$A$2150,M$1,'United Data'!$C$3:$C$2150,$A554)&gt;0,1,0)</f>
        <v>0</v>
      </c>
      <c r="N554">
        <f>IF(COUNTIFS('United Data'!$A$3:$A$2150,N$1,'United Data'!$C$3:$C$2150,$A554)&gt;0,1,0)</f>
        <v>1</v>
      </c>
      <c r="O554">
        <f>IF(COUNTIFS('United Data'!$A$3:$A$2150,O$1,'United Data'!$C$3:$C$2150,$A554)&gt;0,1,0)</f>
        <v>0</v>
      </c>
      <c r="P554">
        <f>IF(COUNTIFS('United Data'!$A$3:$A$2150,P$1,'United Data'!$C$3:$C$2150,$A554)&gt;0,1,0)</f>
        <v>0</v>
      </c>
      <c r="Q554">
        <f>IF(COUNTIFS('United Data'!$A$3:$A$2150,Q$1,'United Data'!$C$3:$C$2150,$A554)&gt;0,1,0)</f>
        <v>0</v>
      </c>
      <c r="R554">
        <f>IF(COUNTIFS('United Data'!$A$3:$A$2150,R$1,'United Data'!$C$3:$C$2150,$A554)&gt;0,1,0)</f>
        <v>0</v>
      </c>
      <c r="S554">
        <f t="shared" si="16"/>
        <v>1</v>
      </c>
      <c r="T554">
        <f t="shared" si="17"/>
        <v>1</v>
      </c>
    </row>
    <row r="555" spans="1:20" x14ac:dyDescent="0.2">
      <c r="A555" t="s">
        <v>601</v>
      </c>
      <c r="B555">
        <f>IF(COUNTIFS('United Data'!$A$3:$A$2150,B$1,'United Data'!$C$3:$C$2150,$A555)&gt;0,1,0)</f>
        <v>0</v>
      </c>
      <c r="C555">
        <f>IF(COUNTIFS('United Data'!$A$3:$A$2150,C$1,'United Data'!$C$3:$C$2150,$A555)&gt;0,1,0)</f>
        <v>0</v>
      </c>
      <c r="D555">
        <f>IF(COUNTIFS('United Data'!$A$3:$A$2150,D$1,'United Data'!$C$3:$C$2150,$A555)&gt;0,1,0)</f>
        <v>0</v>
      </c>
      <c r="E555">
        <f>IF(COUNTIFS('United Data'!$A$3:$A$2150,E$1,'United Data'!$C$3:$C$2150,$A555)&gt;0,1,0)</f>
        <v>0</v>
      </c>
      <c r="F555">
        <f>IF(COUNTIFS('United Data'!$A$3:$A$2150,F$1,'United Data'!$C$3:$C$2150,$A555)&gt;0,1,0)</f>
        <v>0</v>
      </c>
      <c r="G555">
        <f>IF(COUNTIFS('United Data'!$A$3:$A$2150,G$1,'United Data'!$C$3:$C$2150,$A555)&gt;0,1,0)</f>
        <v>0</v>
      </c>
      <c r="H555">
        <f>IF(COUNTIFS('United Data'!$A$3:$A$2150,H$1,'United Data'!$C$3:$C$2150,$A555)&gt;0,1,0)</f>
        <v>0</v>
      </c>
      <c r="I555">
        <f>IF(COUNTIFS('United Data'!$A$3:$A$2150,I$1,'United Data'!$C$3:$C$2150,$A555)&gt;0,1,0)</f>
        <v>0</v>
      </c>
      <c r="J555">
        <f>IF(COUNTIFS('United Data'!$A$3:$A$2150,J$1,'United Data'!$C$3:$C$2150,$A555)&gt;0,1,0)</f>
        <v>0</v>
      </c>
      <c r="K555">
        <f>IF(COUNTIFS('United Data'!$A$3:$A$2150,K$1,'United Data'!$C$3:$C$2150,$A555)&gt;0,1,0)</f>
        <v>0</v>
      </c>
      <c r="L555">
        <f>IF(COUNTIFS('United Data'!$A$3:$A$2150,L$1,'United Data'!$C$3:$C$2150,$A555)&gt;0,1,0)</f>
        <v>0</v>
      </c>
      <c r="M555">
        <f>IF(COUNTIFS('United Data'!$A$3:$A$2150,M$1,'United Data'!$C$3:$C$2150,$A555)&gt;0,1,0)</f>
        <v>0</v>
      </c>
      <c r="N555">
        <f>IF(COUNTIFS('United Data'!$A$3:$A$2150,N$1,'United Data'!$C$3:$C$2150,$A555)&gt;0,1,0)</f>
        <v>1</v>
      </c>
      <c r="O555">
        <f>IF(COUNTIFS('United Data'!$A$3:$A$2150,O$1,'United Data'!$C$3:$C$2150,$A555)&gt;0,1,0)</f>
        <v>0</v>
      </c>
      <c r="P555">
        <f>IF(COUNTIFS('United Data'!$A$3:$A$2150,P$1,'United Data'!$C$3:$C$2150,$A555)&gt;0,1,0)</f>
        <v>0</v>
      </c>
      <c r="Q555">
        <f>IF(COUNTIFS('United Data'!$A$3:$A$2150,Q$1,'United Data'!$C$3:$C$2150,$A555)&gt;0,1,0)</f>
        <v>0</v>
      </c>
      <c r="R555">
        <f>IF(COUNTIFS('United Data'!$A$3:$A$2150,R$1,'United Data'!$C$3:$C$2150,$A555)&gt;0,1,0)</f>
        <v>0</v>
      </c>
      <c r="S555">
        <f t="shared" si="16"/>
        <v>1</v>
      </c>
      <c r="T555">
        <f t="shared" si="17"/>
        <v>1</v>
      </c>
    </row>
    <row r="556" spans="1:20" x14ac:dyDescent="0.2">
      <c r="A556" t="s">
        <v>602</v>
      </c>
      <c r="B556">
        <f>IF(COUNTIFS('United Data'!$A$3:$A$2150,B$1,'United Data'!$C$3:$C$2150,$A556)&gt;0,1,0)</f>
        <v>0</v>
      </c>
      <c r="C556">
        <f>IF(COUNTIFS('United Data'!$A$3:$A$2150,C$1,'United Data'!$C$3:$C$2150,$A556)&gt;0,1,0)</f>
        <v>0</v>
      </c>
      <c r="D556">
        <f>IF(COUNTIFS('United Data'!$A$3:$A$2150,D$1,'United Data'!$C$3:$C$2150,$A556)&gt;0,1,0)</f>
        <v>0</v>
      </c>
      <c r="E556">
        <f>IF(COUNTIFS('United Data'!$A$3:$A$2150,E$1,'United Data'!$C$3:$C$2150,$A556)&gt;0,1,0)</f>
        <v>0</v>
      </c>
      <c r="F556">
        <f>IF(COUNTIFS('United Data'!$A$3:$A$2150,F$1,'United Data'!$C$3:$C$2150,$A556)&gt;0,1,0)</f>
        <v>0</v>
      </c>
      <c r="G556">
        <f>IF(COUNTIFS('United Data'!$A$3:$A$2150,G$1,'United Data'!$C$3:$C$2150,$A556)&gt;0,1,0)</f>
        <v>0</v>
      </c>
      <c r="H556">
        <f>IF(COUNTIFS('United Data'!$A$3:$A$2150,H$1,'United Data'!$C$3:$C$2150,$A556)&gt;0,1,0)</f>
        <v>0</v>
      </c>
      <c r="I556">
        <f>IF(COUNTIFS('United Data'!$A$3:$A$2150,I$1,'United Data'!$C$3:$C$2150,$A556)&gt;0,1,0)</f>
        <v>0</v>
      </c>
      <c r="J556">
        <f>IF(COUNTIFS('United Data'!$A$3:$A$2150,J$1,'United Data'!$C$3:$C$2150,$A556)&gt;0,1,0)</f>
        <v>0</v>
      </c>
      <c r="K556">
        <f>IF(COUNTIFS('United Data'!$A$3:$A$2150,K$1,'United Data'!$C$3:$C$2150,$A556)&gt;0,1,0)</f>
        <v>0</v>
      </c>
      <c r="L556">
        <f>IF(COUNTIFS('United Data'!$A$3:$A$2150,L$1,'United Data'!$C$3:$C$2150,$A556)&gt;0,1,0)</f>
        <v>0</v>
      </c>
      <c r="M556">
        <f>IF(COUNTIFS('United Data'!$A$3:$A$2150,M$1,'United Data'!$C$3:$C$2150,$A556)&gt;0,1,0)</f>
        <v>0</v>
      </c>
      <c r="N556">
        <f>IF(COUNTIFS('United Data'!$A$3:$A$2150,N$1,'United Data'!$C$3:$C$2150,$A556)&gt;0,1,0)</f>
        <v>1</v>
      </c>
      <c r="O556">
        <f>IF(COUNTIFS('United Data'!$A$3:$A$2150,O$1,'United Data'!$C$3:$C$2150,$A556)&gt;0,1,0)</f>
        <v>1</v>
      </c>
      <c r="P556">
        <f>IF(COUNTIFS('United Data'!$A$3:$A$2150,P$1,'United Data'!$C$3:$C$2150,$A556)&gt;0,1,0)</f>
        <v>1</v>
      </c>
      <c r="Q556">
        <f>IF(COUNTIFS('United Data'!$A$3:$A$2150,Q$1,'United Data'!$C$3:$C$2150,$A556)&gt;0,1,0)</f>
        <v>0</v>
      </c>
      <c r="R556">
        <f>IF(COUNTIFS('United Data'!$A$3:$A$2150,R$1,'United Data'!$C$3:$C$2150,$A556)&gt;0,1,0)</f>
        <v>0</v>
      </c>
      <c r="S556">
        <f t="shared" si="16"/>
        <v>3</v>
      </c>
      <c r="T556">
        <f t="shared" si="17"/>
        <v>1</v>
      </c>
    </row>
    <row r="557" spans="1:20" x14ac:dyDescent="0.2">
      <c r="A557" t="s">
        <v>603</v>
      </c>
      <c r="B557">
        <f>IF(COUNTIFS('United Data'!$A$3:$A$2150,B$1,'United Data'!$C$3:$C$2150,$A557)&gt;0,1,0)</f>
        <v>0</v>
      </c>
      <c r="C557">
        <f>IF(COUNTIFS('United Data'!$A$3:$A$2150,C$1,'United Data'!$C$3:$C$2150,$A557)&gt;0,1,0)</f>
        <v>0</v>
      </c>
      <c r="D557">
        <f>IF(COUNTIFS('United Data'!$A$3:$A$2150,D$1,'United Data'!$C$3:$C$2150,$A557)&gt;0,1,0)</f>
        <v>0</v>
      </c>
      <c r="E557">
        <f>IF(COUNTIFS('United Data'!$A$3:$A$2150,E$1,'United Data'!$C$3:$C$2150,$A557)&gt;0,1,0)</f>
        <v>0</v>
      </c>
      <c r="F557">
        <f>IF(COUNTIFS('United Data'!$A$3:$A$2150,F$1,'United Data'!$C$3:$C$2150,$A557)&gt;0,1,0)</f>
        <v>0</v>
      </c>
      <c r="G557">
        <f>IF(COUNTIFS('United Data'!$A$3:$A$2150,G$1,'United Data'!$C$3:$C$2150,$A557)&gt;0,1,0)</f>
        <v>0</v>
      </c>
      <c r="H557">
        <f>IF(COUNTIFS('United Data'!$A$3:$A$2150,H$1,'United Data'!$C$3:$C$2150,$A557)&gt;0,1,0)</f>
        <v>0</v>
      </c>
      <c r="I557">
        <f>IF(COUNTIFS('United Data'!$A$3:$A$2150,I$1,'United Data'!$C$3:$C$2150,$A557)&gt;0,1,0)</f>
        <v>0</v>
      </c>
      <c r="J557">
        <f>IF(COUNTIFS('United Data'!$A$3:$A$2150,J$1,'United Data'!$C$3:$C$2150,$A557)&gt;0,1,0)</f>
        <v>0</v>
      </c>
      <c r="K557">
        <f>IF(COUNTIFS('United Data'!$A$3:$A$2150,K$1,'United Data'!$C$3:$C$2150,$A557)&gt;0,1,0)</f>
        <v>0</v>
      </c>
      <c r="L557">
        <f>IF(COUNTIFS('United Data'!$A$3:$A$2150,L$1,'United Data'!$C$3:$C$2150,$A557)&gt;0,1,0)</f>
        <v>0</v>
      </c>
      <c r="M557">
        <f>IF(COUNTIFS('United Data'!$A$3:$A$2150,M$1,'United Data'!$C$3:$C$2150,$A557)&gt;0,1,0)</f>
        <v>0</v>
      </c>
      <c r="N557">
        <f>IF(COUNTIFS('United Data'!$A$3:$A$2150,N$1,'United Data'!$C$3:$C$2150,$A557)&gt;0,1,0)</f>
        <v>1</v>
      </c>
      <c r="O557">
        <f>IF(COUNTIFS('United Data'!$A$3:$A$2150,O$1,'United Data'!$C$3:$C$2150,$A557)&gt;0,1,0)</f>
        <v>0</v>
      </c>
      <c r="P557">
        <f>IF(COUNTIFS('United Data'!$A$3:$A$2150,P$1,'United Data'!$C$3:$C$2150,$A557)&gt;0,1,0)</f>
        <v>0</v>
      </c>
      <c r="Q557">
        <f>IF(COUNTIFS('United Data'!$A$3:$A$2150,Q$1,'United Data'!$C$3:$C$2150,$A557)&gt;0,1,0)</f>
        <v>0</v>
      </c>
      <c r="R557">
        <f>IF(COUNTIFS('United Data'!$A$3:$A$2150,R$1,'United Data'!$C$3:$C$2150,$A557)&gt;0,1,0)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604</v>
      </c>
      <c r="B558">
        <f>IF(COUNTIFS('United Data'!$A$3:$A$2150,B$1,'United Data'!$C$3:$C$2150,$A558)&gt;0,1,0)</f>
        <v>0</v>
      </c>
      <c r="C558">
        <f>IF(COUNTIFS('United Data'!$A$3:$A$2150,C$1,'United Data'!$C$3:$C$2150,$A558)&gt;0,1,0)</f>
        <v>0</v>
      </c>
      <c r="D558">
        <f>IF(COUNTIFS('United Data'!$A$3:$A$2150,D$1,'United Data'!$C$3:$C$2150,$A558)&gt;0,1,0)</f>
        <v>0</v>
      </c>
      <c r="E558">
        <f>IF(COUNTIFS('United Data'!$A$3:$A$2150,E$1,'United Data'!$C$3:$C$2150,$A558)&gt;0,1,0)</f>
        <v>0</v>
      </c>
      <c r="F558">
        <f>IF(COUNTIFS('United Data'!$A$3:$A$2150,F$1,'United Data'!$C$3:$C$2150,$A558)&gt;0,1,0)</f>
        <v>0</v>
      </c>
      <c r="G558">
        <f>IF(COUNTIFS('United Data'!$A$3:$A$2150,G$1,'United Data'!$C$3:$C$2150,$A558)&gt;0,1,0)</f>
        <v>0</v>
      </c>
      <c r="H558">
        <f>IF(COUNTIFS('United Data'!$A$3:$A$2150,H$1,'United Data'!$C$3:$C$2150,$A558)&gt;0,1,0)</f>
        <v>0</v>
      </c>
      <c r="I558">
        <f>IF(COUNTIFS('United Data'!$A$3:$A$2150,I$1,'United Data'!$C$3:$C$2150,$A558)&gt;0,1,0)</f>
        <v>0</v>
      </c>
      <c r="J558">
        <f>IF(COUNTIFS('United Data'!$A$3:$A$2150,J$1,'United Data'!$C$3:$C$2150,$A558)&gt;0,1,0)</f>
        <v>0</v>
      </c>
      <c r="K558">
        <f>IF(COUNTIFS('United Data'!$A$3:$A$2150,K$1,'United Data'!$C$3:$C$2150,$A558)&gt;0,1,0)</f>
        <v>0</v>
      </c>
      <c r="L558">
        <f>IF(COUNTIFS('United Data'!$A$3:$A$2150,L$1,'United Data'!$C$3:$C$2150,$A558)&gt;0,1,0)</f>
        <v>0</v>
      </c>
      <c r="M558">
        <f>IF(COUNTIFS('United Data'!$A$3:$A$2150,M$1,'United Data'!$C$3:$C$2150,$A558)&gt;0,1,0)</f>
        <v>0</v>
      </c>
      <c r="N558">
        <f>IF(COUNTIFS('United Data'!$A$3:$A$2150,N$1,'United Data'!$C$3:$C$2150,$A558)&gt;0,1,0)</f>
        <v>1</v>
      </c>
      <c r="O558">
        <f>IF(COUNTIFS('United Data'!$A$3:$A$2150,O$1,'United Data'!$C$3:$C$2150,$A558)&gt;0,1,0)</f>
        <v>0</v>
      </c>
      <c r="P558">
        <f>IF(COUNTIFS('United Data'!$A$3:$A$2150,P$1,'United Data'!$C$3:$C$2150,$A558)&gt;0,1,0)</f>
        <v>0</v>
      </c>
      <c r="Q558">
        <f>IF(COUNTIFS('United Data'!$A$3:$A$2150,Q$1,'United Data'!$C$3:$C$2150,$A558)&gt;0,1,0)</f>
        <v>0</v>
      </c>
      <c r="R558">
        <f>IF(COUNTIFS('United Data'!$A$3:$A$2150,R$1,'United Data'!$C$3:$C$2150,$A558)&gt;0,1,0)</f>
        <v>0</v>
      </c>
      <c r="S558">
        <f t="shared" si="16"/>
        <v>1</v>
      </c>
      <c r="T558">
        <f t="shared" si="17"/>
        <v>1</v>
      </c>
    </row>
    <row r="559" spans="1:20" x14ac:dyDescent="0.2">
      <c r="A559" t="s">
        <v>605</v>
      </c>
      <c r="B559">
        <f>IF(COUNTIFS('United Data'!$A$3:$A$2150,B$1,'United Data'!$C$3:$C$2150,$A559)&gt;0,1,0)</f>
        <v>0</v>
      </c>
      <c r="C559">
        <f>IF(COUNTIFS('United Data'!$A$3:$A$2150,C$1,'United Data'!$C$3:$C$2150,$A559)&gt;0,1,0)</f>
        <v>0</v>
      </c>
      <c r="D559">
        <f>IF(COUNTIFS('United Data'!$A$3:$A$2150,D$1,'United Data'!$C$3:$C$2150,$A559)&gt;0,1,0)</f>
        <v>0</v>
      </c>
      <c r="E559">
        <f>IF(COUNTIFS('United Data'!$A$3:$A$2150,E$1,'United Data'!$C$3:$C$2150,$A559)&gt;0,1,0)</f>
        <v>0</v>
      </c>
      <c r="F559">
        <f>IF(COUNTIFS('United Data'!$A$3:$A$2150,F$1,'United Data'!$C$3:$C$2150,$A559)&gt;0,1,0)</f>
        <v>0</v>
      </c>
      <c r="G559">
        <f>IF(COUNTIFS('United Data'!$A$3:$A$2150,G$1,'United Data'!$C$3:$C$2150,$A559)&gt;0,1,0)</f>
        <v>0</v>
      </c>
      <c r="H559">
        <f>IF(COUNTIFS('United Data'!$A$3:$A$2150,H$1,'United Data'!$C$3:$C$2150,$A559)&gt;0,1,0)</f>
        <v>0</v>
      </c>
      <c r="I559">
        <f>IF(COUNTIFS('United Data'!$A$3:$A$2150,I$1,'United Data'!$C$3:$C$2150,$A559)&gt;0,1,0)</f>
        <v>0</v>
      </c>
      <c r="J559">
        <f>IF(COUNTIFS('United Data'!$A$3:$A$2150,J$1,'United Data'!$C$3:$C$2150,$A559)&gt;0,1,0)</f>
        <v>0</v>
      </c>
      <c r="K559">
        <f>IF(COUNTIFS('United Data'!$A$3:$A$2150,K$1,'United Data'!$C$3:$C$2150,$A559)&gt;0,1,0)</f>
        <v>0</v>
      </c>
      <c r="L559">
        <f>IF(COUNTIFS('United Data'!$A$3:$A$2150,L$1,'United Data'!$C$3:$C$2150,$A559)&gt;0,1,0)</f>
        <v>0</v>
      </c>
      <c r="M559">
        <f>IF(COUNTIFS('United Data'!$A$3:$A$2150,M$1,'United Data'!$C$3:$C$2150,$A559)&gt;0,1,0)</f>
        <v>0</v>
      </c>
      <c r="N559">
        <f>IF(COUNTIFS('United Data'!$A$3:$A$2150,N$1,'United Data'!$C$3:$C$2150,$A559)&gt;0,1,0)</f>
        <v>0</v>
      </c>
      <c r="O559">
        <f>IF(COUNTIFS('United Data'!$A$3:$A$2150,O$1,'United Data'!$C$3:$C$2150,$A559)&gt;0,1,0)</f>
        <v>1</v>
      </c>
      <c r="P559">
        <f>IF(COUNTIFS('United Data'!$A$3:$A$2150,P$1,'United Data'!$C$3:$C$2150,$A559)&gt;0,1,0)</f>
        <v>0</v>
      </c>
      <c r="Q559">
        <f>IF(COUNTIFS('United Data'!$A$3:$A$2150,Q$1,'United Data'!$C$3:$C$2150,$A559)&gt;0,1,0)</f>
        <v>0</v>
      </c>
      <c r="R559">
        <f>IF(COUNTIFS('United Data'!$A$3:$A$2150,R$1,'United Data'!$C$3:$C$2150,$A559)&gt;0,1,0)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606</v>
      </c>
      <c r="B560">
        <f>IF(COUNTIFS('United Data'!$A$3:$A$2150,B$1,'United Data'!$C$3:$C$2150,$A560)&gt;0,1,0)</f>
        <v>0</v>
      </c>
      <c r="C560">
        <f>IF(COUNTIFS('United Data'!$A$3:$A$2150,C$1,'United Data'!$C$3:$C$2150,$A560)&gt;0,1,0)</f>
        <v>0</v>
      </c>
      <c r="D560">
        <f>IF(COUNTIFS('United Data'!$A$3:$A$2150,D$1,'United Data'!$C$3:$C$2150,$A560)&gt;0,1,0)</f>
        <v>0</v>
      </c>
      <c r="E560">
        <f>IF(COUNTIFS('United Data'!$A$3:$A$2150,E$1,'United Data'!$C$3:$C$2150,$A560)&gt;0,1,0)</f>
        <v>0</v>
      </c>
      <c r="F560">
        <f>IF(COUNTIFS('United Data'!$A$3:$A$2150,F$1,'United Data'!$C$3:$C$2150,$A560)&gt;0,1,0)</f>
        <v>0</v>
      </c>
      <c r="G560">
        <f>IF(COUNTIFS('United Data'!$A$3:$A$2150,G$1,'United Data'!$C$3:$C$2150,$A560)&gt;0,1,0)</f>
        <v>0</v>
      </c>
      <c r="H560">
        <f>IF(COUNTIFS('United Data'!$A$3:$A$2150,H$1,'United Data'!$C$3:$C$2150,$A560)&gt;0,1,0)</f>
        <v>0</v>
      </c>
      <c r="I560">
        <f>IF(COUNTIFS('United Data'!$A$3:$A$2150,I$1,'United Data'!$C$3:$C$2150,$A560)&gt;0,1,0)</f>
        <v>0</v>
      </c>
      <c r="J560">
        <f>IF(COUNTIFS('United Data'!$A$3:$A$2150,J$1,'United Data'!$C$3:$C$2150,$A560)&gt;0,1,0)</f>
        <v>0</v>
      </c>
      <c r="K560">
        <f>IF(COUNTIFS('United Data'!$A$3:$A$2150,K$1,'United Data'!$C$3:$C$2150,$A560)&gt;0,1,0)</f>
        <v>0</v>
      </c>
      <c r="L560">
        <f>IF(COUNTIFS('United Data'!$A$3:$A$2150,L$1,'United Data'!$C$3:$C$2150,$A560)&gt;0,1,0)</f>
        <v>0</v>
      </c>
      <c r="M560">
        <f>IF(COUNTIFS('United Data'!$A$3:$A$2150,M$1,'United Data'!$C$3:$C$2150,$A560)&gt;0,1,0)</f>
        <v>0</v>
      </c>
      <c r="N560">
        <f>IF(COUNTIFS('United Data'!$A$3:$A$2150,N$1,'United Data'!$C$3:$C$2150,$A560)&gt;0,1,0)</f>
        <v>0</v>
      </c>
      <c r="O560">
        <f>IF(COUNTIFS('United Data'!$A$3:$A$2150,O$1,'United Data'!$C$3:$C$2150,$A560)&gt;0,1,0)</f>
        <v>1</v>
      </c>
      <c r="P560">
        <f>IF(COUNTIFS('United Data'!$A$3:$A$2150,P$1,'United Data'!$C$3:$C$2150,$A560)&gt;0,1,0)</f>
        <v>0</v>
      </c>
      <c r="Q560">
        <f>IF(COUNTIFS('United Data'!$A$3:$A$2150,Q$1,'United Data'!$C$3:$C$2150,$A560)&gt;0,1,0)</f>
        <v>0</v>
      </c>
      <c r="R560">
        <f>IF(COUNTIFS('United Data'!$A$3:$A$2150,R$1,'United Data'!$C$3:$C$2150,$A560)&gt;0,1,0)</f>
        <v>0</v>
      </c>
      <c r="S560">
        <f t="shared" si="16"/>
        <v>1</v>
      </c>
      <c r="T560">
        <f t="shared" si="17"/>
        <v>1</v>
      </c>
    </row>
    <row r="561" spans="1:20" x14ac:dyDescent="0.2">
      <c r="A561" t="s">
        <v>607</v>
      </c>
      <c r="B561">
        <f>IF(COUNTIFS('United Data'!$A$3:$A$2150,B$1,'United Data'!$C$3:$C$2150,$A561)&gt;0,1,0)</f>
        <v>0</v>
      </c>
      <c r="C561">
        <f>IF(COUNTIFS('United Data'!$A$3:$A$2150,C$1,'United Data'!$C$3:$C$2150,$A561)&gt;0,1,0)</f>
        <v>0</v>
      </c>
      <c r="D561">
        <f>IF(COUNTIFS('United Data'!$A$3:$A$2150,D$1,'United Data'!$C$3:$C$2150,$A561)&gt;0,1,0)</f>
        <v>0</v>
      </c>
      <c r="E561">
        <f>IF(COUNTIFS('United Data'!$A$3:$A$2150,E$1,'United Data'!$C$3:$C$2150,$A561)&gt;0,1,0)</f>
        <v>0</v>
      </c>
      <c r="F561">
        <f>IF(COUNTIFS('United Data'!$A$3:$A$2150,F$1,'United Data'!$C$3:$C$2150,$A561)&gt;0,1,0)</f>
        <v>0</v>
      </c>
      <c r="G561">
        <f>IF(COUNTIFS('United Data'!$A$3:$A$2150,G$1,'United Data'!$C$3:$C$2150,$A561)&gt;0,1,0)</f>
        <v>0</v>
      </c>
      <c r="H561">
        <f>IF(COUNTIFS('United Data'!$A$3:$A$2150,H$1,'United Data'!$C$3:$C$2150,$A561)&gt;0,1,0)</f>
        <v>0</v>
      </c>
      <c r="I561">
        <f>IF(COUNTIFS('United Data'!$A$3:$A$2150,I$1,'United Data'!$C$3:$C$2150,$A561)&gt;0,1,0)</f>
        <v>0</v>
      </c>
      <c r="J561">
        <f>IF(COUNTIFS('United Data'!$A$3:$A$2150,J$1,'United Data'!$C$3:$C$2150,$A561)&gt;0,1,0)</f>
        <v>0</v>
      </c>
      <c r="K561">
        <f>IF(COUNTIFS('United Data'!$A$3:$A$2150,K$1,'United Data'!$C$3:$C$2150,$A561)&gt;0,1,0)</f>
        <v>0</v>
      </c>
      <c r="L561">
        <f>IF(COUNTIFS('United Data'!$A$3:$A$2150,L$1,'United Data'!$C$3:$C$2150,$A561)&gt;0,1,0)</f>
        <v>0</v>
      </c>
      <c r="M561">
        <f>IF(COUNTIFS('United Data'!$A$3:$A$2150,M$1,'United Data'!$C$3:$C$2150,$A561)&gt;0,1,0)</f>
        <v>0</v>
      </c>
      <c r="N561">
        <f>IF(COUNTIFS('United Data'!$A$3:$A$2150,N$1,'United Data'!$C$3:$C$2150,$A561)&gt;0,1,0)</f>
        <v>0</v>
      </c>
      <c r="O561">
        <f>IF(COUNTIFS('United Data'!$A$3:$A$2150,O$1,'United Data'!$C$3:$C$2150,$A561)&gt;0,1,0)</f>
        <v>1</v>
      </c>
      <c r="P561">
        <f>IF(COUNTIFS('United Data'!$A$3:$A$2150,P$1,'United Data'!$C$3:$C$2150,$A561)&gt;0,1,0)</f>
        <v>0</v>
      </c>
      <c r="Q561">
        <f>IF(COUNTIFS('United Data'!$A$3:$A$2150,Q$1,'United Data'!$C$3:$C$2150,$A561)&gt;0,1,0)</f>
        <v>0</v>
      </c>
      <c r="R561">
        <f>IF(COUNTIFS('United Data'!$A$3:$A$2150,R$1,'United Data'!$C$3:$C$2150,$A561)&gt;0,1,0)</f>
        <v>0</v>
      </c>
      <c r="S561">
        <f t="shared" si="16"/>
        <v>1</v>
      </c>
      <c r="T561">
        <f t="shared" si="17"/>
        <v>1</v>
      </c>
    </row>
    <row r="562" spans="1:20" x14ac:dyDescent="0.2">
      <c r="A562" t="s">
        <v>608</v>
      </c>
      <c r="B562">
        <f>IF(COUNTIFS('United Data'!$A$3:$A$2150,B$1,'United Data'!$C$3:$C$2150,$A562)&gt;0,1,0)</f>
        <v>0</v>
      </c>
      <c r="C562">
        <f>IF(COUNTIFS('United Data'!$A$3:$A$2150,C$1,'United Data'!$C$3:$C$2150,$A562)&gt;0,1,0)</f>
        <v>0</v>
      </c>
      <c r="D562">
        <f>IF(COUNTIFS('United Data'!$A$3:$A$2150,D$1,'United Data'!$C$3:$C$2150,$A562)&gt;0,1,0)</f>
        <v>0</v>
      </c>
      <c r="E562">
        <f>IF(COUNTIFS('United Data'!$A$3:$A$2150,E$1,'United Data'!$C$3:$C$2150,$A562)&gt;0,1,0)</f>
        <v>0</v>
      </c>
      <c r="F562">
        <f>IF(COUNTIFS('United Data'!$A$3:$A$2150,F$1,'United Data'!$C$3:$C$2150,$A562)&gt;0,1,0)</f>
        <v>0</v>
      </c>
      <c r="G562">
        <f>IF(COUNTIFS('United Data'!$A$3:$A$2150,G$1,'United Data'!$C$3:$C$2150,$A562)&gt;0,1,0)</f>
        <v>0</v>
      </c>
      <c r="H562">
        <f>IF(COUNTIFS('United Data'!$A$3:$A$2150,H$1,'United Data'!$C$3:$C$2150,$A562)&gt;0,1,0)</f>
        <v>0</v>
      </c>
      <c r="I562">
        <f>IF(COUNTIFS('United Data'!$A$3:$A$2150,I$1,'United Data'!$C$3:$C$2150,$A562)&gt;0,1,0)</f>
        <v>0</v>
      </c>
      <c r="J562">
        <f>IF(COUNTIFS('United Data'!$A$3:$A$2150,J$1,'United Data'!$C$3:$C$2150,$A562)&gt;0,1,0)</f>
        <v>0</v>
      </c>
      <c r="K562">
        <f>IF(COUNTIFS('United Data'!$A$3:$A$2150,K$1,'United Data'!$C$3:$C$2150,$A562)&gt;0,1,0)</f>
        <v>0</v>
      </c>
      <c r="L562">
        <f>IF(COUNTIFS('United Data'!$A$3:$A$2150,L$1,'United Data'!$C$3:$C$2150,$A562)&gt;0,1,0)</f>
        <v>0</v>
      </c>
      <c r="M562">
        <f>IF(COUNTIFS('United Data'!$A$3:$A$2150,M$1,'United Data'!$C$3:$C$2150,$A562)&gt;0,1,0)</f>
        <v>0</v>
      </c>
      <c r="N562">
        <f>IF(COUNTIFS('United Data'!$A$3:$A$2150,N$1,'United Data'!$C$3:$C$2150,$A562)&gt;0,1,0)</f>
        <v>0</v>
      </c>
      <c r="O562">
        <f>IF(COUNTIFS('United Data'!$A$3:$A$2150,O$1,'United Data'!$C$3:$C$2150,$A562)&gt;0,1,0)</f>
        <v>1</v>
      </c>
      <c r="P562">
        <f>IF(COUNTIFS('United Data'!$A$3:$A$2150,P$1,'United Data'!$C$3:$C$2150,$A562)&gt;0,1,0)</f>
        <v>0</v>
      </c>
      <c r="Q562">
        <f>IF(COUNTIFS('United Data'!$A$3:$A$2150,Q$1,'United Data'!$C$3:$C$2150,$A562)&gt;0,1,0)</f>
        <v>0</v>
      </c>
      <c r="R562">
        <f>IF(COUNTIFS('United Data'!$A$3:$A$2150,R$1,'United Data'!$C$3:$C$2150,$A562)&gt;0,1,0)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609</v>
      </c>
      <c r="B563">
        <f>IF(COUNTIFS('United Data'!$A$3:$A$2150,B$1,'United Data'!$C$3:$C$2150,$A563)&gt;0,1,0)</f>
        <v>0</v>
      </c>
      <c r="C563">
        <f>IF(COUNTIFS('United Data'!$A$3:$A$2150,C$1,'United Data'!$C$3:$C$2150,$A563)&gt;0,1,0)</f>
        <v>0</v>
      </c>
      <c r="D563">
        <f>IF(COUNTIFS('United Data'!$A$3:$A$2150,D$1,'United Data'!$C$3:$C$2150,$A563)&gt;0,1,0)</f>
        <v>0</v>
      </c>
      <c r="E563">
        <f>IF(COUNTIFS('United Data'!$A$3:$A$2150,E$1,'United Data'!$C$3:$C$2150,$A563)&gt;0,1,0)</f>
        <v>0</v>
      </c>
      <c r="F563">
        <f>IF(COUNTIFS('United Data'!$A$3:$A$2150,F$1,'United Data'!$C$3:$C$2150,$A563)&gt;0,1,0)</f>
        <v>0</v>
      </c>
      <c r="G563">
        <f>IF(COUNTIFS('United Data'!$A$3:$A$2150,G$1,'United Data'!$C$3:$C$2150,$A563)&gt;0,1,0)</f>
        <v>0</v>
      </c>
      <c r="H563">
        <f>IF(COUNTIFS('United Data'!$A$3:$A$2150,H$1,'United Data'!$C$3:$C$2150,$A563)&gt;0,1,0)</f>
        <v>0</v>
      </c>
      <c r="I563">
        <f>IF(COUNTIFS('United Data'!$A$3:$A$2150,I$1,'United Data'!$C$3:$C$2150,$A563)&gt;0,1,0)</f>
        <v>0</v>
      </c>
      <c r="J563">
        <f>IF(COUNTIFS('United Data'!$A$3:$A$2150,J$1,'United Data'!$C$3:$C$2150,$A563)&gt;0,1,0)</f>
        <v>0</v>
      </c>
      <c r="K563">
        <f>IF(COUNTIFS('United Data'!$A$3:$A$2150,K$1,'United Data'!$C$3:$C$2150,$A563)&gt;0,1,0)</f>
        <v>0</v>
      </c>
      <c r="L563">
        <f>IF(COUNTIFS('United Data'!$A$3:$A$2150,L$1,'United Data'!$C$3:$C$2150,$A563)&gt;0,1,0)</f>
        <v>0</v>
      </c>
      <c r="M563">
        <f>IF(COUNTIFS('United Data'!$A$3:$A$2150,M$1,'United Data'!$C$3:$C$2150,$A563)&gt;0,1,0)</f>
        <v>0</v>
      </c>
      <c r="N563">
        <f>IF(COUNTIFS('United Data'!$A$3:$A$2150,N$1,'United Data'!$C$3:$C$2150,$A563)&gt;0,1,0)</f>
        <v>0</v>
      </c>
      <c r="O563">
        <f>IF(COUNTIFS('United Data'!$A$3:$A$2150,O$1,'United Data'!$C$3:$C$2150,$A563)&gt;0,1,0)</f>
        <v>1</v>
      </c>
      <c r="P563">
        <f>IF(COUNTIFS('United Data'!$A$3:$A$2150,P$1,'United Data'!$C$3:$C$2150,$A563)&gt;0,1,0)</f>
        <v>0</v>
      </c>
      <c r="Q563">
        <f>IF(COUNTIFS('United Data'!$A$3:$A$2150,Q$1,'United Data'!$C$3:$C$2150,$A563)&gt;0,1,0)</f>
        <v>0</v>
      </c>
      <c r="R563">
        <f>IF(COUNTIFS('United Data'!$A$3:$A$2150,R$1,'United Data'!$C$3:$C$2150,$A563)&gt;0,1,0)</f>
        <v>0</v>
      </c>
      <c r="S563">
        <f t="shared" si="16"/>
        <v>1</v>
      </c>
      <c r="T563">
        <f t="shared" si="17"/>
        <v>1</v>
      </c>
    </row>
    <row r="564" spans="1:20" x14ac:dyDescent="0.2">
      <c r="A564" t="s">
        <v>610</v>
      </c>
      <c r="B564">
        <f>IF(COUNTIFS('United Data'!$A$3:$A$2150,B$1,'United Data'!$C$3:$C$2150,$A564)&gt;0,1,0)</f>
        <v>0</v>
      </c>
      <c r="C564">
        <f>IF(COUNTIFS('United Data'!$A$3:$A$2150,C$1,'United Data'!$C$3:$C$2150,$A564)&gt;0,1,0)</f>
        <v>0</v>
      </c>
      <c r="D564">
        <f>IF(COUNTIFS('United Data'!$A$3:$A$2150,D$1,'United Data'!$C$3:$C$2150,$A564)&gt;0,1,0)</f>
        <v>0</v>
      </c>
      <c r="E564">
        <f>IF(COUNTIFS('United Data'!$A$3:$A$2150,E$1,'United Data'!$C$3:$C$2150,$A564)&gt;0,1,0)</f>
        <v>0</v>
      </c>
      <c r="F564">
        <f>IF(COUNTIFS('United Data'!$A$3:$A$2150,F$1,'United Data'!$C$3:$C$2150,$A564)&gt;0,1,0)</f>
        <v>0</v>
      </c>
      <c r="G564">
        <f>IF(COUNTIFS('United Data'!$A$3:$A$2150,G$1,'United Data'!$C$3:$C$2150,$A564)&gt;0,1,0)</f>
        <v>0</v>
      </c>
      <c r="H564">
        <f>IF(COUNTIFS('United Data'!$A$3:$A$2150,H$1,'United Data'!$C$3:$C$2150,$A564)&gt;0,1,0)</f>
        <v>0</v>
      </c>
      <c r="I564">
        <f>IF(COUNTIFS('United Data'!$A$3:$A$2150,I$1,'United Data'!$C$3:$C$2150,$A564)&gt;0,1,0)</f>
        <v>0</v>
      </c>
      <c r="J564">
        <f>IF(COUNTIFS('United Data'!$A$3:$A$2150,J$1,'United Data'!$C$3:$C$2150,$A564)&gt;0,1,0)</f>
        <v>0</v>
      </c>
      <c r="K564">
        <f>IF(COUNTIFS('United Data'!$A$3:$A$2150,K$1,'United Data'!$C$3:$C$2150,$A564)&gt;0,1,0)</f>
        <v>0</v>
      </c>
      <c r="L564">
        <f>IF(COUNTIFS('United Data'!$A$3:$A$2150,L$1,'United Data'!$C$3:$C$2150,$A564)&gt;0,1,0)</f>
        <v>0</v>
      </c>
      <c r="M564">
        <f>IF(COUNTIFS('United Data'!$A$3:$A$2150,M$1,'United Data'!$C$3:$C$2150,$A564)&gt;0,1,0)</f>
        <v>0</v>
      </c>
      <c r="N564">
        <f>IF(COUNTIFS('United Data'!$A$3:$A$2150,N$1,'United Data'!$C$3:$C$2150,$A564)&gt;0,1,0)</f>
        <v>0</v>
      </c>
      <c r="O564">
        <f>IF(COUNTIFS('United Data'!$A$3:$A$2150,O$1,'United Data'!$C$3:$C$2150,$A564)&gt;0,1,0)</f>
        <v>1</v>
      </c>
      <c r="P564">
        <f>IF(COUNTIFS('United Data'!$A$3:$A$2150,P$1,'United Data'!$C$3:$C$2150,$A564)&gt;0,1,0)</f>
        <v>0</v>
      </c>
      <c r="Q564">
        <f>IF(COUNTIFS('United Data'!$A$3:$A$2150,Q$1,'United Data'!$C$3:$C$2150,$A564)&gt;0,1,0)</f>
        <v>0</v>
      </c>
      <c r="R564">
        <f>IF(COUNTIFS('United Data'!$A$3:$A$2150,R$1,'United Data'!$C$3:$C$2150,$A564)&gt;0,1,0)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611</v>
      </c>
      <c r="B565">
        <f>IF(COUNTIFS('United Data'!$A$3:$A$2150,B$1,'United Data'!$C$3:$C$2150,$A565)&gt;0,1,0)</f>
        <v>0</v>
      </c>
      <c r="C565">
        <f>IF(COUNTIFS('United Data'!$A$3:$A$2150,C$1,'United Data'!$C$3:$C$2150,$A565)&gt;0,1,0)</f>
        <v>0</v>
      </c>
      <c r="D565">
        <f>IF(COUNTIFS('United Data'!$A$3:$A$2150,D$1,'United Data'!$C$3:$C$2150,$A565)&gt;0,1,0)</f>
        <v>0</v>
      </c>
      <c r="E565">
        <f>IF(COUNTIFS('United Data'!$A$3:$A$2150,E$1,'United Data'!$C$3:$C$2150,$A565)&gt;0,1,0)</f>
        <v>0</v>
      </c>
      <c r="F565">
        <f>IF(COUNTIFS('United Data'!$A$3:$A$2150,F$1,'United Data'!$C$3:$C$2150,$A565)&gt;0,1,0)</f>
        <v>0</v>
      </c>
      <c r="G565">
        <f>IF(COUNTIFS('United Data'!$A$3:$A$2150,G$1,'United Data'!$C$3:$C$2150,$A565)&gt;0,1,0)</f>
        <v>0</v>
      </c>
      <c r="H565">
        <f>IF(COUNTIFS('United Data'!$A$3:$A$2150,H$1,'United Data'!$C$3:$C$2150,$A565)&gt;0,1,0)</f>
        <v>0</v>
      </c>
      <c r="I565">
        <f>IF(COUNTIFS('United Data'!$A$3:$A$2150,I$1,'United Data'!$C$3:$C$2150,$A565)&gt;0,1,0)</f>
        <v>0</v>
      </c>
      <c r="J565">
        <f>IF(COUNTIFS('United Data'!$A$3:$A$2150,J$1,'United Data'!$C$3:$C$2150,$A565)&gt;0,1,0)</f>
        <v>0</v>
      </c>
      <c r="K565">
        <f>IF(COUNTIFS('United Data'!$A$3:$A$2150,K$1,'United Data'!$C$3:$C$2150,$A565)&gt;0,1,0)</f>
        <v>0</v>
      </c>
      <c r="L565">
        <f>IF(COUNTIFS('United Data'!$A$3:$A$2150,L$1,'United Data'!$C$3:$C$2150,$A565)&gt;0,1,0)</f>
        <v>0</v>
      </c>
      <c r="M565">
        <f>IF(COUNTIFS('United Data'!$A$3:$A$2150,M$1,'United Data'!$C$3:$C$2150,$A565)&gt;0,1,0)</f>
        <v>0</v>
      </c>
      <c r="N565">
        <f>IF(COUNTIFS('United Data'!$A$3:$A$2150,N$1,'United Data'!$C$3:$C$2150,$A565)&gt;0,1,0)</f>
        <v>0</v>
      </c>
      <c r="O565">
        <f>IF(COUNTIFS('United Data'!$A$3:$A$2150,O$1,'United Data'!$C$3:$C$2150,$A565)&gt;0,1,0)</f>
        <v>1</v>
      </c>
      <c r="P565">
        <f>IF(COUNTIFS('United Data'!$A$3:$A$2150,P$1,'United Data'!$C$3:$C$2150,$A565)&gt;0,1,0)</f>
        <v>0</v>
      </c>
      <c r="Q565">
        <f>IF(COUNTIFS('United Data'!$A$3:$A$2150,Q$1,'United Data'!$C$3:$C$2150,$A565)&gt;0,1,0)</f>
        <v>0</v>
      </c>
      <c r="R565">
        <f>IF(COUNTIFS('United Data'!$A$3:$A$2150,R$1,'United Data'!$C$3:$C$2150,$A565)&gt;0,1,0)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612</v>
      </c>
      <c r="B566">
        <f>IF(COUNTIFS('United Data'!$A$3:$A$2150,B$1,'United Data'!$C$3:$C$2150,$A566)&gt;0,1,0)</f>
        <v>0</v>
      </c>
      <c r="C566">
        <f>IF(COUNTIFS('United Data'!$A$3:$A$2150,C$1,'United Data'!$C$3:$C$2150,$A566)&gt;0,1,0)</f>
        <v>0</v>
      </c>
      <c r="D566">
        <f>IF(COUNTIFS('United Data'!$A$3:$A$2150,D$1,'United Data'!$C$3:$C$2150,$A566)&gt;0,1,0)</f>
        <v>0</v>
      </c>
      <c r="E566">
        <f>IF(COUNTIFS('United Data'!$A$3:$A$2150,E$1,'United Data'!$C$3:$C$2150,$A566)&gt;0,1,0)</f>
        <v>0</v>
      </c>
      <c r="F566">
        <f>IF(COUNTIFS('United Data'!$A$3:$A$2150,F$1,'United Data'!$C$3:$C$2150,$A566)&gt;0,1,0)</f>
        <v>0</v>
      </c>
      <c r="G566">
        <f>IF(COUNTIFS('United Data'!$A$3:$A$2150,G$1,'United Data'!$C$3:$C$2150,$A566)&gt;0,1,0)</f>
        <v>0</v>
      </c>
      <c r="H566">
        <f>IF(COUNTIFS('United Data'!$A$3:$A$2150,H$1,'United Data'!$C$3:$C$2150,$A566)&gt;0,1,0)</f>
        <v>0</v>
      </c>
      <c r="I566">
        <f>IF(COUNTIFS('United Data'!$A$3:$A$2150,I$1,'United Data'!$C$3:$C$2150,$A566)&gt;0,1,0)</f>
        <v>0</v>
      </c>
      <c r="J566">
        <f>IF(COUNTIFS('United Data'!$A$3:$A$2150,J$1,'United Data'!$C$3:$C$2150,$A566)&gt;0,1,0)</f>
        <v>0</v>
      </c>
      <c r="K566">
        <f>IF(COUNTIFS('United Data'!$A$3:$A$2150,K$1,'United Data'!$C$3:$C$2150,$A566)&gt;0,1,0)</f>
        <v>0</v>
      </c>
      <c r="L566">
        <f>IF(COUNTIFS('United Data'!$A$3:$A$2150,L$1,'United Data'!$C$3:$C$2150,$A566)&gt;0,1,0)</f>
        <v>0</v>
      </c>
      <c r="M566">
        <f>IF(COUNTIFS('United Data'!$A$3:$A$2150,M$1,'United Data'!$C$3:$C$2150,$A566)&gt;0,1,0)</f>
        <v>0</v>
      </c>
      <c r="N566">
        <f>IF(COUNTIFS('United Data'!$A$3:$A$2150,N$1,'United Data'!$C$3:$C$2150,$A566)&gt;0,1,0)</f>
        <v>0</v>
      </c>
      <c r="O566">
        <f>IF(COUNTIFS('United Data'!$A$3:$A$2150,O$1,'United Data'!$C$3:$C$2150,$A566)&gt;0,1,0)</f>
        <v>1</v>
      </c>
      <c r="P566">
        <f>IF(COUNTIFS('United Data'!$A$3:$A$2150,P$1,'United Data'!$C$3:$C$2150,$A566)&gt;0,1,0)</f>
        <v>0</v>
      </c>
      <c r="Q566">
        <f>IF(COUNTIFS('United Data'!$A$3:$A$2150,Q$1,'United Data'!$C$3:$C$2150,$A566)&gt;0,1,0)</f>
        <v>0</v>
      </c>
      <c r="R566">
        <f>IF(COUNTIFS('United Data'!$A$3:$A$2150,R$1,'United Data'!$C$3:$C$2150,$A566)&gt;0,1,0)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613</v>
      </c>
      <c r="B567">
        <f>IF(COUNTIFS('United Data'!$A$3:$A$2150,B$1,'United Data'!$C$3:$C$2150,$A567)&gt;0,1,0)</f>
        <v>0</v>
      </c>
      <c r="C567">
        <f>IF(COUNTIFS('United Data'!$A$3:$A$2150,C$1,'United Data'!$C$3:$C$2150,$A567)&gt;0,1,0)</f>
        <v>0</v>
      </c>
      <c r="D567">
        <f>IF(COUNTIFS('United Data'!$A$3:$A$2150,D$1,'United Data'!$C$3:$C$2150,$A567)&gt;0,1,0)</f>
        <v>0</v>
      </c>
      <c r="E567">
        <f>IF(COUNTIFS('United Data'!$A$3:$A$2150,E$1,'United Data'!$C$3:$C$2150,$A567)&gt;0,1,0)</f>
        <v>0</v>
      </c>
      <c r="F567">
        <f>IF(COUNTIFS('United Data'!$A$3:$A$2150,F$1,'United Data'!$C$3:$C$2150,$A567)&gt;0,1,0)</f>
        <v>0</v>
      </c>
      <c r="G567">
        <f>IF(COUNTIFS('United Data'!$A$3:$A$2150,G$1,'United Data'!$C$3:$C$2150,$A567)&gt;0,1,0)</f>
        <v>0</v>
      </c>
      <c r="H567">
        <f>IF(COUNTIFS('United Data'!$A$3:$A$2150,H$1,'United Data'!$C$3:$C$2150,$A567)&gt;0,1,0)</f>
        <v>0</v>
      </c>
      <c r="I567">
        <f>IF(COUNTIFS('United Data'!$A$3:$A$2150,I$1,'United Data'!$C$3:$C$2150,$A567)&gt;0,1,0)</f>
        <v>0</v>
      </c>
      <c r="J567">
        <f>IF(COUNTIFS('United Data'!$A$3:$A$2150,J$1,'United Data'!$C$3:$C$2150,$A567)&gt;0,1,0)</f>
        <v>0</v>
      </c>
      <c r="K567">
        <f>IF(COUNTIFS('United Data'!$A$3:$A$2150,K$1,'United Data'!$C$3:$C$2150,$A567)&gt;0,1,0)</f>
        <v>0</v>
      </c>
      <c r="L567">
        <f>IF(COUNTIFS('United Data'!$A$3:$A$2150,L$1,'United Data'!$C$3:$C$2150,$A567)&gt;0,1,0)</f>
        <v>0</v>
      </c>
      <c r="M567">
        <f>IF(COUNTIFS('United Data'!$A$3:$A$2150,M$1,'United Data'!$C$3:$C$2150,$A567)&gt;0,1,0)</f>
        <v>0</v>
      </c>
      <c r="N567">
        <f>IF(COUNTIFS('United Data'!$A$3:$A$2150,N$1,'United Data'!$C$3:$C$2150,$A567)&gt;0,1,0)</f>
        <v>0</v>
      </c>
      <c r="O567">
        <f>IF(COUNTIFS('United Data'!$A$3:$A$2150,O$1,'United Data'!$C$3:$C$2150,$A567)&gt;0,1,0)</f>
        <v>0</v>
      </c>
      <c r="P567">
        <f>IF(COUNTIFS('United Data'!$A$3:$A$2150,P$1,'United Data'!$C$3:$C$2150,$A567)&gt;0,1,0)</f>
        <v>1</v>
      </c>
      <c r="Q567">
        <f>IF(COUNTIFS('United Data'!$A$3:$A$2150,Q$1,'United Data'!$C$3:$C$2150,$A567)&gt;0,1,0)</f>
        <v>0</v>
      </c>
      <c r="R567">
        <f>IF(COUNTIFS('United Data'!$A$3:$A$2150,R$1,'United Data'!$C$3:$C$2150,$A567)&gt;0,1,0)</f>
        <v>0</v>
      </c>
      <c r="S567">
        <f t="shared" si="16"/>
        <v>1</v>
      </c>
      <c r="T567">
        <f t="shared" si="17"/>
        <v>1</v>
      </c>
    </row>
    <row r="568" spans="1:20" x14ac:dyDescent="0.2">
      <c r="A568" t="s">
        <v>614</v>
      </c>
      <c r="B568">
        <f>IF(COUNTIFS('United Data'!$A$3:$A$2150,B$1,'United Data'!$C$3:$C$2150,$A568)&gt;0,1,0)</f>
        <v>0</v>
      </c>
      <c r="C568">
        <f>IF(COUNTIFS('United Data'!$A$3:$A$2150,C$1,'United Data'!$C$3:$C$2150,$A568)&gt;0,1,0)</f>
        <v>0</v>
      </c>
      <c r="D568">
        <f>IF(COUNTIFS('United Data'!$A$3:$A$2150,D$1,'United Data'!$C$3:$C$2150,$A568)&gt;0,1,0)</f>
        <v>0</v>
      </c>
      <c r="E568">
        <f>IF(COUNTIFS('United Data'!$A$3:$A$2150,E$1,'United Data'!$C$3:$C$2150,$A568)&gt;0,1,0)</f>
        <v>0</v>
      </c>
      <c r="F568">
        <f>IF(COUNTIFS('United Data'!$A$3:$A$2150,F$1,'United Data'!$C$3:$C$2150,$A568)&gt;0,1,0)</f>
        <v>0</v>
      </c>
      <c r="G568">
        <f>IF(COUNTIFS('United Data'!$A$3:$A$2150,G$1,'United Data'!$C$3:$C$2150,$A568)&gt;0,1,0)</f>
        <v>0</v>
      </c>
      <c r="H568">
        <f>IF(COUNTIFS('United Data'!$A$3:$A$2150,H$1,'United Data'!$C$3:$C$2150,$A568)&gt;0,1,0)</f>
        <v>0</v>
      </c>
      <c r="I568">
        <f>IF(COUNTIFS('United Data'!$A$3:$A$2150,I$1,'United Data'!$C$3:$C$2150,$A568)&gt;0,1,0)</f>
        <v>0</v>
      </c>
      <c r="J568">
        <f>IF(COUNTIFS('United Data'!$A$3:$A$2150,J$1,'United Data'!$C$3:$C$2150,$A568)&gt;0,1,0)</f>
        <v>0</v>
      </c>
      <c r="K568">
        <f>IF(COUNTIFS('United Data'!$A$3:$A$2150,K$1,'United Data'!$C$3:$C$2150,$A568)&gt;0,1,0)</f>
        <v>0</v>
      </c>
      <c r="L568">
        <f>IF(COUNTIFS('United Data'!$A$3:$A$2150,L$1,'United Data'!$C$3:$C$2150,$A568)&gt;0,1,0)</f>
        <v>0</v>
      </c>
      <c r="M568">
        <f>IF(COUNTIFS('United Data'!$A$3:$A$2150,M$1,'United Data'!$C$3:$C$2150,$A568)&gt;0,1,0)</f>
        <v>0</v>
      </c>
      <c r="N568">
        <f>IF(COUNTIFS('United Data'!$A$3:$A$2150,N$1,'United Data'!$C$3:$C$2150,$A568)&gt;0,1,0)</f>
        <v>0</v>
      </c>
      <c r="O568">
        <f>IF(COUNTIFS('United Data'!$A$3:$A$2150,O$1,'United Data'!$C$3:$C$2150,$A568)&gt;0,1,0)</f>
        <v>0</v>
      </c>
      <c r="P568">
        <f>IF(COUNTIFS('United Data'!$A$3:$A$2150,P$1,'United Data'!$C$3:$C$2150,$A568)&gt;0,1,0)</f>
        <v>1</v>
      </c>
      <c r="Q568">
        <f>IF(COUNTIFS('United Data'!$A$3:$A$2150,Q$1,'United Data'!$C$3:$C$2150,$A568)&gt;0,1,0)</f>
        <v>0</v>
      </c>
      <c r="R568">
        <f>IF(COUNTIFS('United Data'!$A$3:$A$2150,R$1,'United Data'!$C$3:$C$2150,$A568)&gt;0,1,0)</f>
        <v>0</v>
      </c>
      <c r="S568">
        <f t="shared" si="16"/>
        <v>1</v>
      </c>
      <c r="T568">
        <f t="shared" si="17"/>
        <v>1</v>
      </c>
    </row>
    <row r="569" spans="1:20" x14ac:dyDescent="0.2">
      <c r="A569" t="s">
        <v>615</v>
      </c>
      <c r="B569">
        <f>IF(COUNTIFS('United Data'!$A$3:$A$2150,B$1,'United Data'!$C$3:$C$2150,$A569)&gt;0,1,0)</f>
        <v>0</v>
      </c>
      <c r="C569">
        <f>IF(COUNTIFS('United Data'!$A$3:$A$2150,C$1,'United Data'!$C$3:$C$2150,$A569)&gt;0,1,0)</f>
        <v>0</v>
      </c>
      <c r="D569">
        <f>IF(COUNTIFS('United Data'!$A$3:$A$2150,D$1,'United Data'!$C$3:$C$2150,$A569)&gt;0,1,0)</f>
        <v>0</v>
      </c>
      <c r="E569">
        <f>IF(COUNTIFS('United Data'!$A$3:$A$2150,E$1,'United Data'!$C$3:$C$2150,$A569)&gt;0,1,0)</f>
        <v>0</v>
      </c>
      <c r="F569">
        <f>IF(COUNTIFS('United Data'!$A$3:$A$2150,F$1,'United Data'!$C$3:$C$2150,$A569)&gt;0,1,0)</f>
        <v>0</v>
      </c>
      <c r="G569">
        <f>IF(COUNTIFS('United Data'!$A$3:$A$2150,G$1,'United Data'!$C$3:$C$2150,$A569)&gt;0,1,0)</f>
        <v>0</v>
      </c>
      <c r="H569">
        <f>IF(COUNTIFS('United Data'!$A$3:$A$2150,H$1,'United Data'!$C$3:$C$2150,$A569)&gt;0,1,0)</f>
        <v>0</v>
      </c>
      <c r="I569">
        <f>IF(COUNTIFS('United Data'!$A$3:$A$2150,I$1,'United Data'!$C$3:$C$2150,$A569)&gt;0,1,0)</f>
        <v>0</v>
      </c>
      <c r="J569">
        <f>IF(COUNTIFS('United Data'!$A$3:$A$2150,J$1,'United Data'!$C$3:$C$2150,$A569)&gt;0,1,0)</f>
        <v>0</v>
      </c>
      <c r="K569">
        <f>IF(COUNTIFS('United Data'!$A$3:$A$2150,K$1,'United Data'!$C$3:$C$2150,$A569)&gt;0,1,0)</f>
        <v>0</v>
      </c>
      <c r="L569">
        <f>IF(COUNTIFS('United Data'!$A$3:$A$2150,L$1,'United Data'!$C$3:$C$2150,$A569)&gt;0,1,0)</f>
        <v>0</v>
      </c>
      <c r="M569">
        <f>IF(COUNTIFS('United Data'!$A$3:$A$2150,M$1,'United Data'!$C$3:$C$2150,$A569)&gt;0,1,0)</f>
        <v>0</v>
      </c>
      <c r="N569">
        <f>IF(COUNTIFS('United Data'!$A$3:$A$2150,N$1,'United Data'!$C$3:$C$2150,$A569)&gt;0,1,0)</f>
        <v>0</v>
      </c>
      <c r="O569">
        <f>IF(COUNTIFS('United Data'!$A$3:$A$2150,O$1,'United Data'!$C$3:$C$2150,$A569)&gt;0,1,0)</f>
        <v>0</v>
      </c>
      <c r="P569">
        <f>IF(COUNTIFS('United Data'!$A$3:$A$2150,P$1,'United Data'!$C$3:$C$2150,$A569)&gt;0,1,0)</f>
        <v>1</v>
      </c>
      <c r="Q569">
        <f>IF(COUNTIFS('United Data'!$A$3:$A$2150,Q$1,'United Data'!$C$3:$C$2150,$A569)&gt;0,1,0)</f>
        <v>0</v>
      </c>
      <c r="R569">
        <f>IF(COUNTIFS('United Data'!$A$3:$A$2150,R$1,'United Data'!$C$3:$C$2150,$A569)&gt;0,1,0)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616</v>
      </c>
      <c r="B570">
        <f>IF(COUNTIFS('United Data'!$A$3:$A$2150,B$1,'United Data'!$C$3:$C$2150,$A570)&gt;0,1,0)</f>
        <v>0</v>
      </c>
      <c r="C570">
        <f>IF(COUNTIFS('United Data'!$A$3:$A$2150,C$1,'United Data'!$C$3:$C$2150,$A570)&gt;0,1,0)</f>
        <v>0</v>
      </c>
      <c r="D570">
        <f>IF(COUNTIFS('United Data'!$A$3:$A$2150,D$1,'United Data'!$C$3:$C$2150,$A570)&gt;0,1,0)</f>
        <v>0</v>
      </c>
      <c r="E570">
        <f>IF(COUNTIFS('United Data'!$A$3:$A$2150,E$1,'United Data'!$C$3:$C$2150,$A570)&gt;0,1,0)</f>
        <v>0</v>
      </c>
      <c r="F570">
        <f>IF(COUNTIFS('United Data'!$A$3:$A$2150,F$1,'United Data'!$C$3:$C$2150,$A570)&gt;0,1,0)</f>
        <v>0</v>
      </c>
      <c r="G570">
        <f>IF(COUNTIFS('United Data'!$A$3:$A$2150,G$1,'United Data'!$C$3:$C$2150,$A570)&gt;0,1,0)</f>
        <v>0</v>
      </c>
      <c r="H570">
        <f>IF(COUNTIFS('United Data'!$A$3:$A$2150,H$1,'United Data'!$C$3:$C$2150,$A570)&gt;0,1,0)</f>
        <v>0</v>
      </c>
      <c r="I570">
        <f>IF(COUNTIFS('United Data'!$A$3:$A$2150,I$1,'United Data'!$C$3:$C$2150,$A570)&gt;0,1,0)</f>
        <v>0</v>
      </c>
      <c r="J570">
        <f>IF(COUNTIFS('United Data'!$A$3:$A$2150,J$1,'United Data'!$C$3:$C$2150,$A570)&gt;0,1,0)</f>
        <v>0</v>
      </c>
      <c r="K570">
        <f>IF(COUNTIFS('United Data'!$A$3:$A$2150,K$1,'United Data'!$C$3:$C$2150,$A570)&gt;0,1,0)</f>
        <v>0</v>
      </c>
      <c r="L570">
        <f>IF(COUNTIFS('United Data'!$A$3:$A$2150,L$1,'United Data'!$C$3:$C$2150,$A570)&gt;0,1,0)</f>
        <v>0</v>
      </c>
      <c r="M570">
        <f>IF(COUNTIFS('United Data'!$A$3:$A$2150,M$1,'United Data'!$C$3:$C$2150,$A570)&gt;0,1,0)</f>
        <v>0</v>
      </c>
      <c r="N570">
        <f>IF(COUNTIFS('United Data'!$A$3:$A$2150,N$1,'United Data'!$C$3:$C$2150,$A570)&gt;0,1,0)</f>
        <v>0</v>
      </c>
      <c r="O570">
        <f>IF(COUNTIFS('United Data'!$A$3:$A$2150,O$1,'United Data'!$C$3:$C$2150,$A570)&gt;0,1,0)</f>
        <v>0</v>
      </c>
      <c r="P570">
        <f>IF(COUNTIFS('United Data'!$A$3:$A$2150,P$1,'United Data'!$C$3:$C$2150,$A570)&gt;0,1,0)</f>
        <v>1</v>
      </c>
      <c r="Q570">
        <f>IF(COUNTIFS('United Data'!$A$3:$A$2150,Q$1,'United Data'!$C$3:$C$2150,$A570)&gt;0,1,0)</f>
        <v>0</v>
      </c>
      <c r="R570">
        <f>IF(COUNTIFS('United Data'!$A$3:$A$2150,R$1,'United Data'!$C$3:$C$2150,$A570)&gt;0,1,0)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617</v>
      </c>
      <c r="B571">
        <f>IF(COUNTIFS('United Data'!$A$3:$A$2150,B$1,'United Data'!$C$3:$C$2150,$A571)&gt;0,1,0)</f>
        <v>0</v>
      </c>
      <c r="C571">
        <f>IF(COUNTIFS('United Data'!$A$3:$A$2150,C$1,'United Data'!$C$3:$C$2150,$A571)&gt;0,1,0)</f>
        <v>0</v>
      </c>
      <c r="D571">
        <f>IF(COUNTIFS('United Data'!$A$3:$A$2150,D$1,'United Data'!$C$3:$C$2150,$A571)&gt;0,1,0)</f>
        <v>0</v>
      </c>
      <c r="E571">
        <f>IF(COUNTIFS('United Data'!$A$3:$A$2150,E$1,'United Data'!$C$3:$C$2150,$A571)&gt;0,1,0)</f>
        <v>0</v>
      </c>
      <c r="F571">
        <f>IF(COUNTIFS('United Data'!$A$3:$A$2150,F$1,'United Data'!$C$3:$C$2150,$A571)&gt;0,1,0)</f>
        <v>0</v>
      </c>
      <c r="G571">
        <f>IF(COUNTIFS('United Data'!$A$3:$A$2150,G$1,'United Data'!$C$3:$C$2150,$A571)&gt;0,1,0)</f>
        <v>0</v>
      </c>
      <c r="H571">
        <f>IF(COUNTIFS('United Data'!$A$3:$A$2150,H$1,'United Data'!$C$3:$C$2150,$A571)&gt;0,1,0)</f>
        <v>0</v>
      </c>
      <c r="I571">
        <f>IF(COUNTIFS('United Data'!$A$3:$A$2150,I$1,'United Data'!$C$3:$C$2150,$A571)&gt;0,1,0)</f>
        <v>0</v>
      </c>
      <c r="J571">
        <f>IF(COUNTIFS('United Data'!$A$3:$A$2150,J$1,'United Data'!$C$3:$C$2150,$A571)&gt;0,1,0)</f>
        <v>0</v>
      </c>
      <c r="K571">
        <f>IF(COUNTIFS('United Data'!$A$3:$A$2150,K$1,'United Data'!$C$3:$C$2150,$A571)&gt;0,1,0)</f>
        <v>0</v>
      </c>
      <c r="L571">
        <f>IF(COUNTIFS('United Data'!$A$3:$A$2150,L$1,'United Data'!$C$3:$C$2150,$A571)&gt;0,1,0)</f>
        <v>0</v>
      </c>
      <c r="M571">
        <f>IF(COUNTIFS('United Data'!$A$3:$A$2150,M$1,'United Data'!$C$3:$C$2150,$A571)&gt;0,1,0)</f>
        <v>0</v>
      </c>
      <c r="N571">
        <f>IF(COUNTIFS('United Data'!$A$3:$A$2150,N$1,'United Data'!$C$3:$C$2150,$A571)&gt;0,1,0)</f>
        <v>0</v>
      </c>
      <c r="O571">
        <f>IF(COUNTIFS('United Data'!$A$3:$A$2150,O$1,'United Data'!$C$3:$C$2150,$A571)&gt;0,1,0)</f>
        <v>0</v>
      </c>
      <c r="P571">
        <f>IF(COUNTIFS('United Data'!$A$3:$A$2150,P$1,'United Data'!$C$3:$C$2150,$A571)&gt;0,1,0)</f>
        <v>1</v>
      </c>
      <c r="Q571">
        <f>IF(COUNTIFS('United Data'!$A$3:$A$2150,Q$1,'United Data'!$C$3:$C$2150,$A571)&gt;0,1,0)</f>
        <v>0</v>
      </c>
      <c r="R571">
        <f>IF(COUNTIFS('United Data'!$A$3:$A$2150,R$1,'United Data'!$C$3:$C$2150,$A571)&gt;0,1,0)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618</v>
      </c>
      <c r="B572">
        <f>IF(COUNTIFS('United Data'!$A$3:$A$2150,B$1,'United Data'!$C$3:$C$2150,$A572)&gt;0,1,0)</f>
        <v>0</v>
      </c>
      <c r="C572">
        <f>IF(COUNTIFS('United Data'!$A$3:$A$2150,C$1,'United Data'!$C$3:$C$2150,$A572)&gt;0,1,0)</f>
        <v>0</v>
      </c>
      <c r="D572">
        <f>IF(COUNTIFS('United Data'!$A$3:$A$2150,D$1,'United Data'!$C$3:$C$2150,$A572)&gt;0,1,0)</f>
        <v>0</v>
      </c>
      <c r="E572">
        <f>IF(COUNTIFS('United Data'!$A$3:$A$2150,E$1,'United Data'!$C$3:$C$2150,$A572)&gt;0,1,0)</f>
        <v>0</v>
      </c>
      <c r="F572">
        <f>IF(COUNTIFS('United Data'!$A$3:$A$2150,F$1,'United Data'!$C$3:$C$2150,$A572)&gt;0,1,0)</f>
        <v>0</v>
      </c>
      <c r="G572">
        <f>IF(COUNTIFS('United Data'!$A$3:$A$2150,G$1,'United Data'!$C$3:$C$2150,$A572)&gt;0,1,0)</f>
        <v>0</v>
      </c>
      <c r="H572">
        <f>IF(COUNTIFS('United Data'!$A$3:$A$2150,H$1,'United Data'!$C$3:$C$2150,$A572)&gt;0,1,0)</f>
        <v>0</v>
      </c>
      <c r="I572">
        <f>IF(COUNTIFS('United Data'!$A$3:$A$2150,I$1,'United Data'!$C$3:$C$2150,$A572)&gt;0,1,0)</f>
        <v>0</v>
      </c>
      <c r="J572">
        <f>IF(COUNTIFS('United Data'!$A$3:$A$2150,J$1,'United Data'!$C$3:$C$2150,$A572)&gt;0,1,0)</f>
        <v>0</v>
      </c>
      <c r="K572">
        <f>IF(COUNTIFS('United Data'!$A$3:$A$2150,K$1,'United Data'!$C$3:$C$2150,$A572)&gt;0,1,0)</f>
        <v>0</v>
      </c>
      <c r="L572">
        <f>IF(COUNTIFS('United Data'!$A$3:$A$2150,L$1,'United Data'!$C$3:$C$2150,$A572)&gt;0,1,0)</f>
        <v>0</v>
      </c>
      <c r="M572">
        <f>IF(COUNTIFS('United Data'!$A$3:$A$2150,M$1,'United Data'!$C$3:$C$2150,$A572)&gt;0,1,0)</f>
        <v>0</v>
      </c>
      <c r="N572">
        <f>IF(COUNTIFS('United Data'!$A$3:$A$2150,N$1,'United Data'!$C$3:$C$2150,$A572)&gt;0,1,0)</f>
        <v>0</v>
      </c>
      <c r="O572">
        <f>IF(COUNTIFS('United Data'!$A$3:$A$2150,O$1,'United Data'!$C$3:$C$2150,$A572)&gt;0,1,0)</f>
        <v>0</v>
      </c>
      <c r="P572">
        <f>IF(COUNTIFS('United Data'!$A$3:$A$2150,P$1,'United Data'!$C$3:$C$2150,$A572)&gt;0,1,0)</f>
        <v>1</v>
      </c>
      <c r="Q572">
        <f>IF(COUNTIFS('United Data'!$A$3:$A$2150,Q$1,'United Data'!$C$3:$C$2150,$A572)&gt;0,1,0)</f>
        <v>0</v>
      </c>
      <c r="R572">
        <f>IF(COUNTIFS('United Data'!$A$3:$A$2150,R$1,'United Data'!$C$3:$C$2150,$A572)&gt;0,1,0)</f>
        <v>0</v>
      </c>
      <c r="S572">
        <f t="shared" si="16"/>
        <v>1</v>
      </c>
      <c r="T572">
        <f t="shared" si="17"/>
        <v>1</v>
      </c>
    </row>
    <row r="573" spans="1:20" x14ac:dyDescent="0.2">
      <c r="A573" t="s">
        <v>619</v>
      </c>
      <c r="B573">
        <f>IF(COUNTIFS('United Data'!$A$3:$A$2150,B$1,'United Data'!$C$3:$C$2150,$A573)&gt;0,1,0)</f>
        <v>0</v>
      </c>
      <c r="C573">
        <f>IF(COUNTIFS('United Data'!$A$3:$A$2150,C$1,'United Data'!$C$3:$C$2150,$A573)&gt;0,1,0)</f>
        <v>0</v>
      </c>
      <c r="D573">
        <f>IF(COUNTIFS('United Data'!$A$3:$A$2150,D$1,'United Data'!$C$3:$C$2150,$A573)&gt;0,1,0)</f>
        <v>0</v>
      </c>
      <c r="E573">
        <f>IF(COUNTIFS('United Data'!$A$3:$A$2150,E$1,'United Data'!$C$3:$C$2150,$A573)&gt;0,1,0)</f>
        <v>0</v>
      </c>
      <c r="F573">
        <f>IF(COUNTIFS('United Data'!$A$3:$A$2150,F$1,'United Data'!$C$3:$C$2150,$A573)&gt;0,1,0)</f>
        <v>0</v>
      </c>
      <c r="G573">
        <f>IF(COUNTIFS('United Data'!$A$3:$A$2150,G$1,'United Data'!$C$3:$C$2150,$A573)&gt;0,1,0)</f>
        <v>0</v>
      </c>
      <c r="H573">
        <f>IF(COUNTIFS('United Data'!$A$3:$A$2150,H$1,'United Data'!$C$3:$C$2150,$A573)&gt;0,1,0)</f>
        <v>0</v>
      </c>
      <c r="I573">
        <f>IF(COUNTIFS('United Data'!$A$3:$A$2150,I$1,'United Data'!$C$3:$C$2150,$A573)&gt;0,1,0)</f>
        <v>0</v>
      </c>
      <c r="J573">
        <f>IF(COUNTIFS('United Data'!$A$3:$A$2150,J$1,'United Data'!$C$3:$C$2150,$A573)&gt;0,1,0)</f>
        <v>0</v>
      </c>
      <c r="K573">
        <f>IF(COUNTIFS('United Data'!$A$3:$A$2150,K$1,'United Data'!$C$3:$C$2150,$A573)&gt;0,1,0)</f>
        <v>0</v>
      </c>
      <c r="L573">
        <f>IF(COUNTIFS('United Data'!$A$3:$A$2150,L$1,'United Data'!$C$3:$C$2150,$A573)&gt;0,1,0)</f>
        <v>0</v>
      </c>
      <c r="M573">
        <f>IF(COUNTIFS('United Data'!$A$3:$A$2150,M$1,'United Data'!$C$3:$C$2150,$A573)&gt;0,1,0)</f>
        <v>0</v>
      </c>
      <c r="N573">
        <f>IF(COUNTIFS('United Data'!$A$3:$A$2150,N$1,'United Data'!$C$3:$C$2150,$A573)&gt;0,1,0)</f>
        <v>0</v>
      </c>
      <c r="O573">
        <f>IF(COUNTIFS('United Data'!$A$3:$A$2150,O$1,'United Data'!$C$3:$C$2150,$A573)&gt;0,1,0)</f>
        <v>0</v>
      </c>
      <c r="P573">
        <f>IF(COUNTIFS('United Data'!$A$3:$A$2150,P$1,'United Data'!$C$3:$C$2150,$A573)&gt;0,1,0)</f>
        <v>1</v>
      </c>
      <c r="Q573">
        <f>IF(COUNTIFS('United Data'!$A$3:$A$2150,Q$1,'United Data'!$C$3:$C$2150,$A573)&gt;0,1,0)</f>
        <v>0</v>
      </c>
      <c r="R573">
        <f>IF(COUNTIFS('United Data'!$A$3:$A$2150,R$1,'United Data'!$C$3:$C$2150,$A573)&gt;0,1,0)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620</v>
      </c>
      <c r="B574">
        <f>IF(COUNTIFS('United Data'!$A$3:$A$2150,B$1,'United Data'!$C$3:$C$2150,$A574)&gt;0,1,0)</f>
        <v>0</v>
      </c>
      <c r="C574">
        <f>IF(COUNTIFS('United Data'!$A$3:$A$2150,C$1,'United Data'!$C$3:$C$2150,$A574)&gt;0,1,0)</f>
        <v>0</v>
      </c>
      <c r="D574">
        <f>IF(COUNTIFS('United Data'!$A$3:$A$2150,D$1,'United Data'!$C$3:$C$2150,$A574)&gt;0,1,0)</f>
        <v>0</v>
      </c>
      <c r="E574">
        <f>IF(COUNTIFS('United Data'!$A$3:$A$2150,E$1,'United Data'!$C$3:$C$2150,$A574)&gt;0,1,0)</f>
        <v>0</v>
      </c>
      <c r="F574">
        <f>IF(COUNTIFS('United Data'!$A$3:$A$2150,F$1,'United Data'!$C$3:$C$2150,$A574)&gt;0,1,0)</f>
        <v>0</v>
      </c>
      <c r="G574">
        <f>IF(COUNTIFS('United Data'!$A$3:$A$2150,G$1,'United Data'!$C$3:$C$2150,$A574)&gt;0,1,0)</f>
        <v>0</v>
      </c>
      <c r="H574">
        <f>IF(COUNTIFS('United Data'!$A$3:$A$2150,H$1,'United Data'!$C$3:$C$2150,$A574)&gt;0,1,0)</f>
        <v>0</v>
      </c>
      <c r="I574">
        <f>IF(COUNTIFS('United Data'!$A$3:$A$2150,I$1,'United Data'!$C$3:$C$2150,$A574)&gt;0,1,0)</f>
        <v>0</v>
      </c>
      <c r="J574">
        <f>IF(COUNTIFS('United Data'!$A$3:$A$2150,J$1,'United Data'!$C$3:$C$2150,$A574)&gt;0,1,0)</f>
        <v>0</v>
      </c>
      <c r="K574">
        <f>IF(COUNTIFS('United Data'!$A$3:$A$2150,K$1,'United Data'!$C$3:$C$2150,$A574)&gt;0,1,0)</f>
        <v>0</v>
      </c>
      <c r="L574">
        <f>IF(COUNTIFS('United Data'!$A$3:$A$2150,L$1,'United Data'!$C$3:$C$2150,$A574)&gt;0,1,0)</f>
        <v>0</v>
      </c>
      <c r="M574">
        <f>IF(COUNTIFS('United Data'!$A$3:$A$2150,M$1,'United Data'!$C$3:$C$2150,$A574)&gt;0,1,0)</f>
        <v>0</v>
      </c>
      <c r="N574">
        <f>IF(COUNTIFS('United Data'!$A$3:$A$2150,N$1,'United Data'!$C$3:$C$2150,$A574)&gt;0,1,0)</f>
        <v>0</v>
      </c>
      <c r="O574">
        <f>IF(COUNTIFS('United Data'!$A$3:$A$2150,O$1,'United Data'!$C$3:$C$2150,$A574)&gt;0,1,0)</f>
        <v>0</v>
      </c>
      <c r="P574">
        <f>IF(COUNTIFS('United Data'!$A$3:$A$2150,P$1,'United Data'!$C$3:$C$2150,$A574)&gt;0,1,0)</f>
        <v>1</v>
      </c>
      <c r="Q574">
        <f>IF(COUNTIFS('United Data'!$A$3:$A$2150,Q$1,'United Data'!$C$3:$C$2150,$A574)&gt;0,1,0)</f>
        <v>1</v>
      </c>
      <c r="R574">
        <f>IF(COUNTIFS('United Data'!$A$3:$A$2150,R$1,'United Data'!$C$3:$C$2150,$A574)&gt;0,1,0)</f>
        <v>0</v>
      </c>
      <c r="S574">
        <f t="shared" si="16"/>
        <v>2</v>
      </c>
      <c r="T574">
        <f t="shared" si="17"/>
        <v>1</v>
      </c>
    </row>
    <row r="575" spans="1:20" x14ac:dyDescent="0.2">
      <c r="A575" t="s">
        <v>621</v>
      </c>
      <c r="B575">
        <f>IF(COUNTIFS('United Data'!$A$3:$A$2150,B$1,'United Data'!$C$3:$C$2150,$A575)&gt;0,1,0)</f>
        <v>0</v>
      </c>
      <c r="C575">
        <f>IF(COUNTIFS('United Data'!$A$3:$A$2150,C$1,'United Data'!$C$3:$C$2150,$A575)&gt;0,1,0)</f>
        <v>0</v>
      </c>
      <c r="D575">
        <f>IF(COUNTIFS('United Data'!$A$3:$A$2150,D$1,'United Data'!$C$3:$C$2150,$A575)&gt;0,1,0)</f>
        <v>0</v>
      </c>
      <c r="E575">
        <f>IF(COUNTIFS('United Data'!$A$3:$A$2150,E$1,'United Data'!$C$3:$C$2150,$A575)&gt;0,1,0)</f>
        <v>0</v>
      </c>
      <c r="F575">
        <f>IF(COUNTIFS('United Data'!$A$3:$A$2150,F$1,'United Data'!$C$3:$C$2150,$A575)&gt;0,1,0)</f>
        <v>0</v>
      </c>
      <c r="G575">
        <f>IF(COUNTIFS('United Data'!$A$3:$A$2150,G$1,'United Data'!$C$3:$C$2150,$A575)&gt;0,1,0)</f>
        <v>0</v>
      </c>
      <c r="H575">
        <f>IF(COUNTIFS('United Data'!$A$3:$A$2150,H$1,'United Data'!$C$3:$C$2150,$A575)&gt;0,1,0)</f>
        <v>0</v>
      </c>
      <c r="I575">
        <f>IF(COUNTIFS('United Data'!$A$3:$A$2150,I$1,'United Data'!$C$3:$C$2150,$A575)&gt;0,1,0)</f>
        <v>0</v>
      </c>
      <c r="J575">
        <f>IF(COUNTIFS('United Data'!$A$3:$A$2150,J$1,'United Data'!$C$3:$C$2150,$A575)&gt;0,1,0)</f>
        <v>0</v>
      </c>
      <c r="K575">
        <f>IF(COUNTIFS('United Data'!$A$3:$A$2150,K$1,'United Data'!$C$3:$C$2150,$A575)&gt;0,1,0)</f>
        <v>0</v>
      </c>
      <c r="L575">
        <f>IF(COUNTIFS('United Data'!$A$3:$A$2150,L$1,'United Data'!$C$3:$C$2150,$A575)&gt;0,1,0)</f>
        <v>0</v>
      </c>
      <c r="M575">
        <f>IF(COUNTIFS('United Data'!$A$3:$A$2150,M$1,'United Data'!$C$3:$C$2150,$A575)&gt;0,1,0)</f>
        <v>0</v>
      </c>
      <c r="N575">
        <f>IF(COUNTIFS('United Data'!$A$3:$A$2150,N$1,'United Data'!$C$3:$C$2150,$A575)&gt;0,1,0)</f>
        <v>0</v>
      </c>
      <c r="O575">
        <f>IF(COUNTIFS('United Data'!$A$3:$A$2150,O$1,'United Data'!$C$3:$C$2150,$A575)&gt;0,1,0)</f>
        <v>0</v>
      </c>
      <c r="P575">
        <f>IF(COUNTIFS('United Data'!$A$3:$A$2150,P$1,'United Data'!$C$3:$C$2150,$A575)&gt;0,1,0)</f>
        <v>1</v>
      </c>
      <c r="Q575">
        <f>IF(COUNTIFS('United Data'!$A$3:$A$2150,Q$1,'United Data'!$C$3:$C$2150,$A575)&gt;0,1,0)</f>
        <v>0</v>
      </c>
      <c r="R575">
        <f>IF(COUNTIFS('United Data'!$A$3:$A$2150,R$1,'United Data'!$C$3:$C$2150,$A575)&gt;0,1,0)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1011</v>
      </c>
      <c r="B576">
        <f>IF(COUNTIFS('United Data'!$A$3:$A$2150,B$1,'United Data'!$C$3:$C$2150,$A576)&gt;0,1,0)</f>
        <v>0</v>
      </c>
      <c r="C576">
        <f>IF(COUNTIFS('United Data'!$A$3:$A$2150,C$1,'United Data'!$C$3:$C$2150,$A576)&gt;0,1,0)</f>
        <v>0</v>
      </c>
      <c r="D576">
        <f>IF(COUNTIFS('United Data'!$A$3:$A$2150,D$1,'United Data'!$C$3:$C$2150,$A576)&gt;0,1,0)</f>
        <v>0</v>
      </c>
      <c r="E576">
        <f>IF(COUNTIFS('United Data'!$A$3:$A$2150,E$1,'United Data'!$C$3:$C$2150,$A576)&gt;0,1,0)</f>
        <v>0</v>
      </c>
      <c r="F576">
        <f>IF(COUNTIFS('United Data'!$A$3:$A$2150,F$1,'United Data'!$C$3:$C$2150,$A576)&gt;0,1,0)</f>
        <v>0</v>
      </c>
      <c r="G576">
        <f>IF(COUNTIFS('United Data'!$A$3:$A$2150,G$1,'United Data'!$C$3:$C$2150,$A576)&gt;0,1,0)</f>
        <v>0</v>
      </c>
      <c r="H576">
        <f>IF(COUNTIFS('United Data'!$A$3:$A$2150,H$1,'United Data'!$C$3:$C$2150,$A576)&gt;0,1,0)</f>
        <v>0</v>
      </c>
      <c r="I576">
        <f>IF(COUNTIFS('United Data'!$A$3:$A$2150,I$1,'United Data'!$C$3:$C$2150,$A576)&gt;0,1,0)</f>
        <v>0</v>
      </c>
      <c r="J576">
        <f>IF(COUNTIFS('United Data'!$A$3:$A$2150,J$1,'United Data'!$C$3:$C$2150,$A576)&gt;0,1,0)</f>
        <v>0</v>
      </c>
      <c r="K576">
        <f>IF(COUNTIFS('United Data'!$A$3:$A$2150,K$1,'United Data'!$C$3:$C$2150,$A576)&gt;0,1,0)</f>
        <v>0</v>
      </c>
      <c r="L576">
        <f>IF(COUNTIFS('United Data'!$A$3:$A$2150,L$1,'United Data'!$C$3:$C$2150,$A576)&gt;0,1,0)</f>
        <v>0</v>
      </c>
      <c r="M576">
        <f>IF(COUNTIFS('United Data'!$A$3:$A$2150,M$1,'United Data'!$C$3:$C$2150,$A576)&gt;0,1,0)</f>
        <v>0</v>
      </c>
      <c r="N576">
        <f>IF(COUNTIFS('United Data'!$A$3:$A$2150,N$1,'United Data'!$C$3:$C$2150,$A576)&gt;0,1,0)</f>
        <v>0</v>
      </c>
      <c r="O576">
        <f>IF(COUNTIFS('United Data'!$A$3:$A$2150,O$1,'United Data'!$C$3:$C$2150,$A576)&gt;0,1,0)</f>
        <v>0</v>
      </c>
      <c r="P576">
        <f>IF(COUNTIFS('United Data'!$A$3:$A$2150,P$1,'United Data'!$C$3:$C$2150,$A576)&gt;0,1,0)</f>
        <v>0</v>
      </c>
      <c r="Q576">
        <f>IF(COUNTIFS('United Data'!$A$3:$A$2150,Q$1,'United Data'!$C$3:$C$2150,$A576)&gt;0,1,0)</f>
        <v>0</v>
      </c>
      <c r="R576">
        <f>IF(COUNTIFS('United Data'!$A$3:$A$2150,R$1,'United Data'!$C$3:$C$2150,$A576)&gt;0,1,0)</f>
        <v>0</v>
      </c>
      <c r="S576">
        <f t="shared" si="16"/>
        <v>0</v>
      </c>
      <c r="T576">
        <f t="shared" si="17"/>
        <v>0</v>
      </c>
    </row>
    <row r="577" spans="1:20" x14ac:dyDescent="0.2">
      <c r="A577" t="s">
        <v>622</v>
      </c>
      <c r="B577">
        <f>IF(COUNTIFS('United Data'!$A$3:$A$2150,B$1,'United Data'!$C$3:$C$2150,$A577)&gt;0,1,0)</f>
        <v>0</v>
      </c>
      <c r="C577">
        <f>IF(COUNTIFS('United Data'!$A$3:$A$2150,C$1,'United Data'!$C$3:$C$2150,$A577)&gt;0,1,0)</f>
        <v>0</v>
      </c>
      <c r="D577">
        <f>IF(COUNTIFS('United Data'!$A$3:$A$2150,D$1,'United Data'!$C$3:$C$2150,$A577)&gt;0,1,0)</f>
        <v>0</v>
      </c>
      <c r="E577">
        <f>IF(COUNTIFS('United Data'!$A$3:$A$2150,E$1,'United Data'!$C$3:$C$2150,$A577)&gt;0,1,0)</f>
        <v>0</v>
      </c>
      <c r="F577">
        <f>IF(COUNTIFS('United Data'!$A$3:$A$2150,F$1,'United Data'!$C$3:$C$2150,$A577)&gt;0,1,0)</f>
        <v>0</v>
      </c>
      <c r="G577">
        <f>IF(COUNTIFS('United Data'!$A$3:$A$2150,G$1,'United Data'!$C$3:$C$2150,$A577)&gt;0,1,0)</f>
        <v>0</v>
      </c>
      <c r="H577">
        <f>IF(COUNTIFS('United Data'!$A$3:$A$2150,H$1,'United Data'!$C$3:$C$2150,$A577)&gt;0,1,0)</f>
        <v>0</v>
      </c>
      <c r="I577">
        <f>IF(COUNTIFS('United Data'!$A$3:$A$2150,I$1,'United Data'!$C$3:$C$2150,$A577)&gt;0,1,0)</f>
        <v>0</v>
      </c>
      <c r="J577">
        <f>IF(COUNTIFS('United Data'!$A$3:$A$2150,J$1,'United Data'!$C$3:$C$2150,$A577)&gt;0,1,0)</f>
        <v>0</v>
      </c>
      <c r="K577">
        <f>IF(COUNTIFS('United Data'!$A$3:$A$2150,K$1,'United Data'!$C$3:$C$2150,$A577)&gt;0,1,0)</f>
        <v>0</v>
      </c>
      <c r="L577">
        <f>IF(COUNTIFS('United Data'!$A$3:$A$2150,L$1,'United Data'!$C$3:$C$2150,$A577)&gt;0,1,0)</f>
        <v>0</v>
      </c>
      <c r="M577">
        <f>IF(COUNTIFS('United Data'!$A$3:$A$2150,M$1,'United Data'!$C$3:$C$2150,$A577)&gt;0,1,0)</f>
        <v>0</v>
      </c>
      <c r="N577">
        <f>IF(COUNTIFS('United Data'!$A$3:$A$2150,N$1,'United Data'!$C$3:$C$2150,$A577)&gt;0,1,0)</f>
        <v>0</v>
      </c>
      <c r="O577">
        <f>IF(COUNTIFS('United Data'!$A$3:$A$2150,O$1,'United Data'!$C$3:$C$2150,$A577)&gt;0,1,0)</f>
        <v>0</v>
      </c>
      <c r="P577">
        <f>IF(COUNTIFS('United Data'!$A$3:$A$2150,P$1,'United Data'!$C$3:$C$2150,$A577)&gt;0,1,0)</f>
        <v>0</v>
      </c>
      <c r="Q577">
        <f>IF(COUNTIFS('United Data'!$A$3:$A$2150,Q$1,'United Data'!$C$3:$C$2150,$A577)&gt;0,1,0)</f>
        <v>1</v>
      </c>
      <c r="R577">
        <f>IF(COUNTIFS('United Data'!$A$3:$A$2150,R$1,'United Data'!$C$3:$C$2150,$A577)&gt;0,1,0)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623</v>
      </c>
      <c r="B578">
        <f>IF(COUNTIFS('United Data'!$A$3:$A$2150,B$1,'United Data'!$C$3:$C$2150,$A578)&gt;0,1,0)</f>
        <v>0</v>
      </c>
      <c r="C578">
        <f>IF(COUNTIFS('United Data'!$A$3:$A$2150,C$1,'United Data'!$C$3:$C$2150,$A578)&gt;0,1,0)</f>
        <v>0</v>
      </c>
      <c r="D578">
        <f>IF(COUNTIFS('United Data'!$A$3:$A$2150,D$1,'United Data'!$C$3:$C$2150,$A578)&gt;0,1,0)</f>
        <v>0</v>
      </c>
      <c r="E578">
        <f>IF(COUNTIFS('United Data'!$A$3:$A$2150,E$1,'United Data'!$C$3:$C$2150,$A578)&gt;0,1,0)</f>
        <v>0</v>
      </c>
      <c r="F578">
        <f>IF(COUNTIFS('United Data'!$A$3:$A$2150,F$1,'United Data'!$C$3:$C$2150,$A578)&gt;0,1,0)</f>
        <v>0</v>
      </c>
      <c r="G578">
        <f>IF(COUNTIFS('United Data'!$A$3:$A$2150,G$1,'United Data'!$C$3:$C$2150,$A578)&gt;0,1,0)</f>
        <v>0</v>
      </c>
      <c r="H578">
        <f>IF(COUNTIFS('United Data'!$A$3:$A$2150,H$1,'United Data'!$C$3:$C$2150,$A578)&gt;0,1,0)</f>
        <v>0</v>
      </c>
      <c r="I578">
        <f>IF(COUNTIFS('United Data'!$A$3:$A$2150,I$1,'United Data'!$C$3:$C$2150,$A578)&gt;0,1,0)</f>
        <v>0</v>
      </c>
      <c r="J578">
        <f>IF(COUNTIFS('United Data'!$A$3:$A$2150,J$1,'United Data'!$C$3:$C$2150,$A578)&gt;0,1,0)</f>
        <v>0</v>
      </c>
      <c r="K578">
        <f>IF(COUNTIFS('United Data'!$A$3:$A$2150,K$1,'United Data'!$C$3:$C$2150,$A578)&gt;0,1,0)</f>
        <v>0</v>
      </c>
      <c r="L578">
        <f>IF(COUNTIFS('United Data'!$A$3:$A$2150,L$1,'United Data'!$C$3:$C$2150,$A578)&gt;0,1,0)</f>
        <v>0</v>
      </c>
      <c r="M578">
        <f>IF(COUNTIFS('United Data'!$A$3:$A$2150,M$1,'United Data'!$C$3:$C$2150,$A578)&gt;0,1,0)</f>
        <v>0</v>
      </c>
      <c r="N578">
        <f>IF(COUNTIFS('United Data'!$A$3:$A$2150,N$1,'United Data'!$C$3:$C$2150,$A578)&gt;0,1,0)</f>
        <v>0</v>
      </c>
      <c r="O578">
        <f>IF(COUNTIFS('United Data'!$A$3:$A$2150,O$1,'United Data'!$C$3:$C$2150,$A578)&gt;0,1,0)</f>
        <v>0</v>
      </c>
      <c r="P578">
        <f>IF(COUNTIFS('United Data'!$A$3:$A$2150,P$1,'United Data'!$C$3:$C$2150,$A578)&gt;0,1,0)</f>
        <v>0</v>
      </c>
      <c r="Q578">
        <f>IF(COUNTIFS('United Data'!$A$3:$A$2150,Q$1,'United Data'!$C$3:$C$2150,$A578)&gt;0,1,0)</f>
        <v>1</v>
      </c>
      <c r="R578">
        <f>IF(COUNTIFS('United Data'!$A$3:$A$2150,R$1,'United Data'!$C$3:$C$2150,$A578)&gt;0,1,0)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624</v>
      </c>
      <c r="B579">
        <f>IF(COUNTIFS('United Data'!$A$3:$A$2150,B$1,'United Data'!$C$3:$C$2150,$A579)&gt;0,1,0)</f>
        <v>0</v>
      </c>
      <c r="C579">
        <f>IF(COUNTIFS('United Data'!$A$3:$A$2150,C$1,'United Data'!$C$3:$C$2150,$A579)&gt;0,1,0)</f>
        <v>0</v>
      </c>
      <c r="D579">
        <f>IF(COUNTIFS('United Data'!$A$3:$A$2150,D$1,'United Data'!$C$3:$C$2150,$A579)&gt;0,1,0)</f>
        <v>0</v>
      </c>
      <c r="E579">
        <f>IF(COUNTIFS('United Data'!$A$3:$A$2150,E$1,'United Data'!$C$3:$C$2150,$A579)&gt;0,1,0)</f>
        <v>0</v>
      </c>
      <c r="F579">
        <f>IF(COUNTIFS('United Data'!$A$3:$A$2150,F$1,'United Data'!$C$3:$C$2150,$A579)&gt;0,1,0)</f>
        <v>0</v>
      </c>
      <c r="G579">
        <f>IF(COUNTIFS('United Data'!$A$3:$A$2150,G$1,'United Data'!$C$3:$C$2150,$A579)&gt;0,1,0)</f>
        <v>0</v>
      </c>
      <c r="H579">
        <f>IF(COUNTIFS('United Data'!$A$3:$A$2150,H$1,'United Data'!$C$3:$C$2150,$A579)&gt;0,1,0)</f>
        <v>0</v>
      </c>
      <c r="I579">
        <f>IF(COUNTIFS('United Data'!$A$3:$A$2150,I$1,'United Data'!$C$3:$C$2150,$A579)&gt;0,1,0)</f>
        <v>0</v>
      </c>
      <c r="J579">
        <f>IF(COUNTIFS('United Data'!$A$3:$A$2150,J$1,'United Data'!$C$3:$C$2150,$A579)&gt;0,1,0)</f>
        <v>0</v>
      </c>
      <c r="K579">
        <f>IF(COUNTIFS('United Data'!$A$3:$A$2150,K$1,'United Data'!$C$3:$C$2150,$A579)&gt;0,1,0)</f>
        <v>0</v>
      </c>
      <c r="L579">
        <f>IF(COUNTIFS('United Data'!$A$3:$A$2150,L$1,'United Data'!$C$3:$C$2150,$A579)&gt;0,1,0)</f>
        <v>0</v>
      </c>
      <c r="M579">
        <f>IF(COUNTIFS('United Data'!$A$3:$A$2150,M$1,'United Data'!$C$3:$C$2150,$A579)&gt;0,1,0)</f>
        <v>0</v>
      </c>
      <c r="N579">
        <f>IF(COUNTIFS('United Data'!$A$3:$A$2150,N$1,'United Data'!$C$3:$C$2150,$A579)&gt;0,1,0)</f>
        <v>0</v>
      </c>
      <c r="O579">
        <f>IF(COUNTIFS('United Data'!$A$3:$A$2150,O$1,'United Data'!$C$3:$C$2150,$A579)&gt;0,1,0)</f>
        <v>0</v>
      </c>
      <c r="P579">
        <f>IF(COUNTIFS('United Data'!$A$3:$A$2150,P$1,'United Data'!$C$3:$C$2150,$A579)&gt;0,1,0)</f>
        <v>0</v>
      </c>
      <c r="Q579">
        <f>IF(COUNTIFS('United Data'!$A$3:$A$2150,Q$1,'United Data'!$C$3:$C$2150,$A579)&gt;0,1,0)</f>
        <v>1</v>
      </c>
      <c r="R579">
        <f>IF(COUNTIFS('United Data'!$A$3:$A$2150,R$1,'United Data'!$C$3:$C$2150,$A579)&gt;0,1,0)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625</v>
      </c>
      <c r="B580">
        <f>IF(COUNTIFS('United Data'!$A$3:$A$2150,B$1,'United Data'!$C$3:$C$2150,$A580)&gt;0,1,0)</f>
        <v>0</v>
      </c>
      <c r="C580">
        <f>IF(COUNTIFS('United Data'!$A$3:$A$2150,C$1,'United Data'!$C$3:$C$2150,$A580)&gt;0,1,0)</f>
        <v>0</v>
      </c>
      <c r="D580">
        <f>IF(COUNTIFS('United Data'!$A$3:$A$2150,D$1,'United Data'!$C$3:$C$2150,$A580)&gt;0,1,0)</f>
        <v>0</v>
      </c>
      <c r="E580">
        <f>IF(COUNTIFS('United Data'!$A$3:$A$2150,E$1,'United Data'!$C$3:$C$2150,$A580)&gt;0,1,0)</f>
        <v>0</v>
      </c>
      <c r="F580">
        <f>IF(COUNTIFS('United Data'!$A$3:$A$2150,F$1,'United Data'!$C$3:$C$2150,$A580)&gt;0,1,0)</f>
        <v>0</v>
      </c>
      <c r="G580">
        <f>IF(COUNTIFS('United Data'!$A$3:$A$2150,G$1,'United Data'!$C$3:$C$2150,$A580)&gt;0,1,0)</f>
        <v>0</v>
      </c>
      <c r="H580">
        <f>IF(COUNTIFS('United Data'!$A$3:$A$2150,H$1,'United Data'!$C$3:$C$2150,$A580)&gt;0,1,0)</f>
        <v>0</v>
      </c>
      <c r="I580">
        <f>IF(COUNTIFS('United Data'!$A$3:$A$2150,I$1,'United Data'!$C$3:$C$2150,$A580)&gt;0,1,0)</f>
        <v>0</v>
      </c>
      <c r="J580">
        <f>IF(COUNTIFS('United Data'!$A$3:$A$2150,J$1,'United Data'!$C$3:$C$2150,$A580)&gt;0,1,0)</f>
        <v>0</v>
      </c>
      <c r="K580">
        <f>IF(COUNTIFS('United Data'!$A$3:$A$2150,K$1,'United Data'!$C$3:$C$2150,$A580)&gt;0,1,0)</f>
        <v>0</v>
      </c>
      <c r="L580">
        <f>IF(COUNTIFS('United Data'!$A$3:$A$2150,L$1,'United Data'!$C$3:$C$2150,$A580)&gt;0,1,0)</f>
        <v>0</v>
      </c>
      <c r="M580">
        <f>IF(COUNTIFS('United Data'!$A$3:$A$2150,M$1,'United Data'!$C$3:$C$2150,$A580)&gt;0,1,0)</f>
        <v>0</v>
      </c>
      <c r="N580">
        <f>IF(COUNTIFS('United Data'!$A$3:$A$2150,N$1,'United Data'!$C$3:$C$2150,$A580)&gt;0,1,0)</f>
        <v>0</v>
      </c>
      <c r="O580">
        <f>IF(COUNTIFS('United Data'!$A$3:$A$2150,O$1,'United Data'!$C$3:$C$2150,$A580)&gt;0,1,0)</f>
        <v>0</v>
      </c>
      <c r="P580">
        <f>IF(COUNTIFS('United Data'!$A$3:$A$2150,P$1,'United Data'!$C$3:$C$2150,$A580)&gt;0,1,0)</f>
        <v>0</v>
      </c>
      <c r="Q580">
        <f>IF(COUNTIFS('United Data'!$A$3:$A$2150,Q$1,'United Data'!$C$3:$C$2150,$A580)&gt;0,1,0)</f>
        <v>1</v>
      </c>
      <c r="R580">
        <f>IF(COUNTIFS('United Data'!$A$3:$A$2150,R$1,'United Data'!$C$3:$C$2150,$A580)&gt;0,1,0)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626</v>
      </c>
      <c r="B581">
        <f>IF(COUNTIFS('United Data'!$A$3:$A$2150,B$1,'United Data'!$C$3:$C$2150,$A581)&gt;0,1,0)</f>
        <v>0</v>
      </c>
      <c r="C581">
        <f>IF(COUNTIFS('United Data'!$A$3:$A$2150,C$1,'United Data'!$C$3:$C$2150,$A581)&gt;0,1,0)</f>
        <v>0</v>
      </c>
      <c r="D581">
        <f>IF(COUNTIFS('United Data'!$A$3:$A$2150,D$1,'United Data'!$C$3:$C$2150,$A581)&gt;0,1,0)</f>
        <v>0</v>
      </c>
      <c r="E581">
        <f>IF(COUNTIFS('United Data'!$A$3:$A$2150,E$1,'United Data'!$C$3:$C$2150,$A581)&gt;0,1,0)</f>
        <v>0</v>
      </c>
      <c r="F581">
        <f>IF(COUNTIFS('United Data'!$A$3:$A$2150,F$1,'United Data'!$C$3:$C$2150,$A581)&gt;0,1,0)</f>
        <v>0</v>
      </c>
      <c r="G581">
        <f>IF(COUNTIFS('United Data'!$A$3:$A$2150,G$1,'United Data'!$C$3:$C$2150,$A581)&gt;0,1,0)</f>
        <v>0</v>
      </c>
      <c r="H581">
        <f>IF(COUNTIFS('United Data'!$A$3:$A$2150,H$1,'United Data'!$C$3:$C$2150,$A581)&gt;0,1,0)</f>
        <v>0</v>
      </c>
      <c r="I581">
        <f>IF(COUNTIFS('United Data'!$A$3:$A$2150,I$1,'United Data'!$C$3:$C$2150,$A581)&gt;0,1,0)</f>
        <v>0</v>
      </c>
      <c r="J581">
        <f>IF(COUNTIFS('United Data'!$A$3:$A$2150,J$1,'United Data'!$C$3:$C$2150,$A581)&gt;0,1,0)</f>
        <v>0</v>
      </c>
      <c r="K581">
        <f>IF(COUNTIFS('United Data'!$A$3:$A$2150,K$1,'United Data'!$C$3:$C$2150,$A581)&gt;0,1,0)</f>
        <v>0</v>
      </c>
      <c r="L581">
        <f>IF(COUNTIFS('United Data'!$A$3:$A$2150,L$1,'United Data'!$C$3:$C$2150,$A581)&gt;0,1,0)</f>
        <v>0</v>
      </c>
      <c r="M581">
        <f>IF(COUNTIFS('United Data'!$A$3:$A$2150,M$1,'United Data'!$C$3:$C$2150,$A581)&gt;0,1,0)</f>
        <v>0</v>
      </c>
      <c r="N581">
        <f>IF(COUNTIFS('United Data'!$A$3:$A$2150,N$1,'United Data'!$C$3:$C$2150,$A581)&gt;0,1,0)</f>
        <v>0</v>
      </c>
      <c r="O581">
        <f>IF(COUNTIFS('United Data'!$A$3:$A$2150,O$1,'United Data'!$C$3:$C$2150,$A581)&gt;0,1,0)</f>
        <v>0</v>
      </c>
      <c r="P581">
        <f>IF(COUNTIFS('United Data'!$A$3:$A$2150,P$1,'United Data'!$C$3:$C$2150,$A581)&gt;0,1,0)</f>
        <v>0</v>
      </c>
      <c r="Q581">
        <f>IF(COUNTIFS('United Data'!$A$3:$A$2150,Q$1,'United Data'!$C$3:$C$2150,$A581)&gt;0,1,0)</f>
        <v>1</v>
      </c>
      <c r="R581">
        <f>IF(COUNTIFS('United Data'!$A$3:$A$2150,R$1,'United Data'!$C$3:$C$2150,$A581)&gt;0,1,0)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627</v>
      </c>
      <c r="B582">
        <f>IF(COUNTIFS('United Data'!$A$3:$A$2150,B$1,'United Data'!$C$3:$C$2150,$A582)&gt;0,1,0)</f>
        <v>0</v>
      </c>
      <c r="C582">
        <f>IF(COUNTIFS('United Data'!$A$3:$A$2150,C$1,'United Data'!$C$3:$C$2150,$A582)&gt;0,1,0)</f>
        <v>0</v>
      </c>
      <c r="D582">
        <f>IF(COUNTIFS('United Data'!$A$3:$A$2150,D$1,'United Data'!$C$3:$C$2150,$A582)&gt;0,1,0)</f>
        <v>0</v>
      </c>
      <c r="E582">
        <f>IF(COUNTIFS('United Data'!$A$3:$A$2150,E$1,'United Data'!$C$3:$C$2150,$A582)&gt;0,1,0)</f>
        <v>0</v>
      </c>
      <c r="F582">
        <f>IF(COUNTIFS('United Data'!$A$3:$A$2150,F$1,'United Data'!$C$3:$C$2150,$A582)&gt;0,1,0)</f>
        <v>0</v>
      </c>
      <c r="G582">
        <f>IF(COUNTIFS('United Data'!$A$3:$A$2150,G$1,'United Data'!$C$3:$C$2150,$A582)&gt;0,1,0)</f>
        <v>0</v>
      </c>
      <c r="H582">
        <f>IF(COUNTIFS('United Data'!$A$3:$A$2150,H$1,'United Data'!$C$3:$C$2150,$A582)&gt;0,1,0)</f>
        <v>0</v>
      </c>
      <c r="I582">
        <f>IF(COUNTIFS('United Data'!$A$3:$A$2150,I$1,'United Data'!$C$3:$C$2150,$A582)&gt;0,1,0)</f>
        <v>0</v>
      </c>
      <c r="J582">
        <f>IF(COUNTIFS('United Data'!$A$3:$A$2150,J$1,'United Data'!$C$3:$C$2150,$A582)&gt;0,1,0)</f>
        <v>0</v>
      </c>
      <c r="K582">
        <f>IF(COUNTIFS('United Data'!$A$3:$A$2150,K$1,'United Data'!$C$3:$C$2150,$A582)&gt;0,1,0)</f>
        <v>0</v>
      </c>
      <c r="L582">
        <f>IF(COUNTIFS('United Data'!$A$3:$A$2150,L$1,'United Data'!$C$3:$C$2150,$A582)&gt;0,1,0)</f>
        <v>0</v>
      </c>
      <c r="M582">
        <f>IF(COUNTIFS('United Data'!$A$3:$A$2150,M$1,'United Data'!$C$3:$C$2150,$A582)&gt;0,1,0)</f>
        <v>0</v>
      </c>
      <c r="N582">
        <f>IF(COUNTIFS('United Data'!$A$3:$A$2150,N$1,'United Data'!$C$3:$C$2150,$A582)&gt;0,1,0)</f>
        <v>0</v>
      </c>
      <c r="O582">
        <f>IF(COUNTIFS('United Data'!$A$3:$A$2150,O$1,'United Data'!$C$3:$C$2150,$A582)&gt;0,1,0)</f>
        <v>0</v>
      </c>
      <c r="P582">
        <f>IF(COUNTIFS('United Data'!$A$3:$A$2150,P$1,'United Data'!$C$3:$C$2150,$A582)&gt;0,1,0)</f>
        <v>0</v>
      </c>
      <c r="Q582">
        <f>IF(COUNTIFS('United Data'!$A$3:$A$2150,Q$1,'United Data'!$C$3:$C$2150,$A582)&gt;0,1,0)</f>
        <v>1</v>
      </c>
      <c r="R582">
        <f>IF(COUNTIFS('United Data'!$A$3:$A$2150,R$1,'United Data'!$C$3:$C$2150,$A582)&gt;0,1,0)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628</v>
      </c>
      <c r="B583">
        <f>IF(COUNTIFS('United Data'!$A$3:$A$2150,B$1,'United Data'!$C$3:$C$2150,$A583)&gt;0,1,0)</f>
        <v>0</v>
      </c>
      <c r="C583">
        <f>IF(COUNTIFS('United Data'!$A$3:$A$2150,C$1,'United Data'!$C$3:$C$2150,$A583)&gt;0,1,0)</f>
        <v>0</v>
      </c>
      <c r="D583">
        <f>IF(COUNTIFS('United Data'!$A$3:$A$2150,D$1,'United Data'!$C$3:$C$2150,$A583)&gt;0,1,0)</f>
        <v>0</v>
      </c>
      <c r="E583">
        <f>IF(COUNTIFS('United Data'!$A$3:$A$2150,E$1,'United Data'!$C$3:$C$2150,$A583)&gt;0,1,0)</f>
        <v>0</v>
      </c>
      <c r="F583">
        <f>IF(COUNTIFS('United Data'!$A$3:$A$2150,F$1,'United Data'!$C$3:$C$2150,$A583)&gt;0,1,0)</f>
        <v>0</v>
      </c>
      <c r="G583">
        <f>IF(COUNTIFS('United Data'!$A$3:$A$2150,G$1,'United Data'!$C$3:$C$2150,$A583)&gt;0,1,0)</f>
        <v>0</v>
      </c>
      <c r="H583">
        <f>IF(COUNTIFS('United Data'!$A$3:$A$2150,H$1,'United Data'!$C$3:$C$2150,$A583)&gt;0,1,0)</f>
        <v>0</v>
      </c>
      <c r="I583">
        <f>IF(COUNTIFS('United Data'!$A$3:$A$2150,I$1,'United Data'!$C$3:$C$2150,$A583)&gt;0,1,0)</f>
        <v>0</v>
      </c>
      <c r="J583">
        <f>IF(COUNTIFS('United Data'!$A$3:$A$2150,J$1,'United Data'!$C$3:$C$2150,$A583)&gt;0,1,0)</f>
        <v>0</v>
      </c>
      <c r="K583">
        <f>IF(COUNTIFS('United Data'!$A$3:$A$2150,K$1,'United Data'!$C$3:$C$2150,$A583)&gt;0,1,0)</f>
        <v>0</v>
      </c>
      <c r="L583">
        <f>IF(COUNTIFS('United Data'!$A$3:$A$2150,L$1,'United Data'!$C$3:$C$2150,$A583)&gt;0,1,0)</f>
        <v>0</v>
      </c>
      <c r="M583">
        <f>IF(COUNTIFS('United Data'!$A$3:$A$2150,M$1,'United Data'!$C$3:$C$2150,$A583)&gt;0,1,0)</f>
        <v>0</v>
      </c>
      <c r="N583">
        <f>IF(COUNTIFS('United Data'!$A$3:$A$2150,N$1,'United Data'!$C$3:$C$2150,$A583)&gt;0,1,0)</f>
        <v>0</v>
      </c>
      <c r="O583">
        <f>IF(COUNTIFS('United Data'!$A$3:$A$2150,O$1,'United Data'!$C$3:$C$2150,$A583)&gt;0,1,0)</f>
        <v>0</v>
      </c>
      <c r="P583">
        <f>IF(COUNTIFS('United Data'!$A$3:$A$2150,P$1,'United Data'!$C$3:$C$2150,$A583)&gt;0,1,0)</f>
        <v>0</v>
      </c>
      <c r="Q583">
        <f>IF(COUNTIFS('United Data'!$A$3:$A$2150,Q$1,'United Data'!$C$3:$C$2150,$A583)&gt;0,1,0)</f>
        <v>1</v>
      </c>
      <c r="R583">
        <f>IF(COUNTIFS('United Data'!$A$3:$A$2150,R$1,'United Data'!$C$3:$C$2150,$A583)&gt;0,1,0)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629</v>
      </c>
      <c r="B584">
        <f>IF(COUNTIFS('United Data'!$A$3:$A$2150,B$1,'United Data'!$C$3:$C$2150,$A584)&gt;0,1,0)</f>
        <v>0</v>
      </c>
      <c r="C584">
        <f>IF(COUNTIFS('United Data'!$A$3:$A$2150,C$1,'United Data'!$C$3:$C$2150,$A584)&gt;0,1,0)</f>
        <v>0</v>
      </c>
      <c r="D584">
        <f>IF(COUNTIFS('United Data'!$A$3:$A$2150,D$1,'United Data'!$C$3:$C$2150,$A584)&gt;0,1,0)</f>
        <v>0</v>
      </c>
      <c r="E584">
        <f>IF(COUNTIFS('United Data'!$A$3:$A$2150,E$1,'United Data'!$C$3:$C$2150,$A584)&gt;0,1,0)</f>
        <v>0</v>
      </c>
      <c r="F584">
        <f>IF(COUNTIFS('United Data'!$A$3:$A$2150,F$1,'United Data'!$C$3:$C$2150,$A584)&gt;0,1,0)</f>
        <v>0</v>
      </c>
      <c r="G584">
        <f>IF(COUNTIFS('United Data'!$A$3:$A$2150,G$1,'United Data'!$C$3:$C$2150,$A584)&gt;0,1,0)</f>
        <v>0</v>
      </c>
      <c r="H584">
        <f>IF(COUNTIFS('United Data'!$A$3:$A$2150,H$1,'United Data'!$C$3:$C$2150,$A584)&gt;0,1,0)</f>
        <v>0</v>
      </c>
      <c r="I584">
        <f>IF(COUNTIFS('United Data'!$A$3:$A$2150,I$1,'United Data'!$C$3:$C$2150,$A584)&gt;0,1,0)</f>
        <v>0</v>
      </c>
      <c r="J584">
        <f>IF(COUNTIFS('United Data'!$A$3:$A$2150,J$1,'United Data'!$C$3:$C$2150,$A584)&gt;0,1,0)</f>
        <v>0</v>
      </c>
      <c r="K584">
        <f>IF(COUNTIFS('United Data'!$A$3:$A$2150,K$1,'United Data'!$C$3:$C$2150,$A584)&gt;0,1,0)</f>
        <v>0</v>
      </c>
      <c r="L584">
        <f>IF(COUNTIFS('United Data'!$A$3:$A$2150,L$1,'United Data'!$C$3:$C$2150,$A584)&gt;0,1,0)</f>
        <v>0</v>
      </c>
      <c r="M584">
        <f>IF(COUNTIFS('United Data'!$A$3:$A$2150,M$1,'United Data'!$C$3:$C$2150,$A584)&gt;0,1,0)</f>
        <v>0</v>
      </c>
      <c r="N584">
        <f>IF(COUNTIFS('United Data'!$A$3:$A$2150,N$1,'United Data'!$C$3:$C$2150,$A584)&gt;0,1,0)</f>
        <v>0</v>
      </c>
      <c r="O584">
        <f>IF(COUNTIFS('United Data'!$A$3:$A$2150,O$1,'United Data'!$C$3:$C$2150,$A584)&gt;0,1,0)</f>
        <v>0</v>
      </c>
      <c r="P584">
        <f>IF(COUNTIFS('United Data'!$A$3:$A$2150,P$1,'United Data'!$C$3:$C$2150,$A584)&gt;0,1,0)</f>
        <v>0</v>
      </c>
      <c r="Q584">
        <f>IF(COUNTIFS('United Data'!$A$3:$A$2150,Q$1,'United Data'!$C$3:$C$2150,$A584)&gt;0,1,0)</f>
        <v>1</v>
      </c>
      <c r="R584">
        <f>IF(COUNTIFS('United Data'!$A$3:$A$2150,R$1,'United Data'!$C$3:$C$2150,$A584)&gt;0,1,0)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630</v>
      </c>
      <c r="B585">
        <f>IF(COUNTIFS('United Data'!$A$3:$A$2150,B$1,'United Data'!$C$3:$C$2150,$A585)&gt;0,1,0)</f>
        <v>0</v>
      </c>
      <c r="C585">
        <f>IF(COUNTIFS('United Data'!$A$3:$A$2150,C$1,'United Data'!$C$3:$C$2150,$A585)&gt;0,1,0)</f>
        <v>0</v>
      </c>
      <c r="D585">
        <f>IF(COUNTIFS('United Data'!$A$3:$A$2150,D$1,'United Data'!$C$3:$C$2150,$A585)&gt;0,1,0)</f>
        <v>0</v>
      </c>
      <c r="E585">
        <f>IF(COUNTIFS('United Data'!$A$3:$A$2150,E$1,'United Data'!$C$3:$C$2150,$A585)&gt;0,1,0)</f>
        <v>0</v>
      </c>
      <c r="F585">
        <f>IF(COUNTIFS('United Data'!$A$3:$A$2150,F$1,'United Data'!$C$3:$C$2150,$A585)&gt;0,1,0)</f>
        <v>0</v>
      </c>
      <c r="G585">
        <f>IF(COUNTIFS('United Data'!$A$3:$A$2150,G$1,'United Data'!$C$3:$C$2150,$A585)&gt;0,1,0)</f>
        <v>0</v>
      </c>
      <c r="H585">
        <f>IF(COUNTIFS('United Data'!$A$3:$A$2150,H$1,'United Data'!$C$3:$C$2150,$A585)&gt;0,1,0)</f>
        <v>0</v>
      </c>
      <c r="I585">
        <f>IF(COUNTIFS('United Data'!$A$3:$A$2150,I$1,'United Data'!$C$3:$C$2150,$A585)&gt;0,1,0)</f>
        <v>0</v>
      </c>
      <c r="J585">
        <f>IF(COUNTIFS('United Data'!$A$3:$A$2150,J$1,'United Data'!$C$3:$C$2150,$A585)&gt;0,1,0)</f>
        <v>0</v>
      </c>
      <c r="K585">
        <f>IF(COUNTIFS('United Data'!$A$3:$A$2150,K$1,'United Data'!$C$3:$C$2150,$A585)&gt;0,1,0)</f>
        <v>0</v>
      </c>
      <c r="L585">
        <f>IF(COUNTIFS('United Data'!$A$3:$A$2150,L$1,'United Data'!$C$3:$C$2150,$A585)&gt;0,1,0)</f>
        <v>0</v>
      </c>
      <c r="M585">
        <f>IF(COUNTIFS('United Data'!$A$3:$A$2150,M$1,'United Data'!$C$3:$C$2150,$A585)&gt;0,1,0)</f>
        <v>0</v>
      </c>
      <c r="N585">
        <f>IF(COUNTIFS('United Data'!$A$3:$A$2150,N$1,'United Data'!$C$3:$C$2150,$A585)&gt;0,1,0)</f>
        <v>0</v>
      </c>
      <c r="O585">
        <f>IF(COUNTIFS('United Data'!$A$3:$A$2150,O$1,'United Data'!$C$3:$C$2150,$A585)&gt;0,1,0)</f>
        <v>0</v>
      </c>
      <c r="P585">
        <f>IF(COUNTIFS('United Data'!$A$3:$A$2150,P$1,'United Data'!$C$3:$C$2150,$A585)&gt;0,1,0)</f>
        <v>0</v>
      </c>
      <c r="Q585">
        <f>IF(COUNTIFS('United Data'!$A$3:$A$2150,Q$1,'United Data'!$C$3:$C$2150,$A585)&gt;0,1,0)</f>
        <v>1</v>
      </c>
      <c r="R585">
        <f>IF(COUNTIFS('United Data'!$A$3:$A$2150,R$1,'United Data'!$C$3:$C$2150,$A585)&gt;0,1,0)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631</v>
      </c>
      <c r="B586">
        <f>IF(COUNTIFS('United Data'!$A$3:$A$2150,B$1,'United Data'!$C$3:$C$2150,$A586)&gt;0,1,0)</f>
        <v>0</v>
      </c>
      <c r="C586">
        <f>IF(COUNTIFS('United Data'!$A$3:$A$2150,C$1,'United Data'!$C$3:$C$2150,$A586)&gt;0,1,0)</f>
        <v>0</v>
      </c>
      <c r="D586">
        <f>IF(COUNTIFS('United Data'!$A$3:$A$2150,D$1,'United Data'!$C$3:$C$2150,$A586)&gt;0,1,0)</f>
        <v>0</v>
      </c>
      <c r="E586">
        <f>IF(COUNTIFS('United Data'!$A$3:$A$2150,E$1,'United Data'!$C$3:$C$2150,$A586)&gt;0,1,0)</f>
        <v>0</v>
      </c>
      <c r="F586">
        <f>IF(COUNTIFS('United Data'!$A$3:$A$2150,F$1,'United Data'!$C$3:$C$2150,$A586)&gt;0,1,0)</f>
        <v>0</v>
      </c>
      <c r="G586">
        <f>IF(COUNTIFS('United Data'!$A$3:$A$2150,G$1,'United Data'!$C$3:$C$2150,$A586)&gt;0,1,0)</f>
        <v>0</v>
      </c>
      <c r="H586">
        <f>IF(COUNTIFS('United Data'!$A$3:$A$2150,H$1,'United Data'!$C$3:$C$2150,$A586)&gt;0,1,0)</f>
        <v>0</v>
      </c>
      <c r="I586">
        <f>IF(COUNTIFS('United Data'!$A$3:$A$2150,I$1,'United Data'!$C$3:$C$2150,$A586)&gt;0,1,0)</f>
        <v>0</v>
      </c>
      <c r="J586">
        <f>IF(COUNTIFS('United Data'!$A$3:$A$2150,J$1,'United Data'!$C$3:$C$2150,$A586)&gt;0,1,0)</f>
        <v>0</v>
      </c>
      <c r="K586">
        <f>IF(COUNTIFS('United Data'!$A$3:$A$2150,K$1,'United Data'!$C$3:$C$2150,$A586)&gt;0,1,0)</f>
        <v>0</v>
      </c>
      <c r="L586">
        <f>IF(COUNTIFS('United Data'!$A$3:$A$2150,L$1,'United Data'!$C$3:$C$2150,$A586)&gt;0,1,0)</f>
        <v>0</v>
      </c>
      <c r="M586">
        <f>IF(COUNTIFS('United Data'!$A$3:$A$2150,M$1,'United Data'!$C$3:$C$2150,$A586)&gt;0,1,0)</f>
        <v>0</v>
      </c>
      <c r="N586">
        <f>IF(COUNTIFS('United Data'!$A$3:$A$2150,N$1,'United Data'!$C$3:$C$2150,$A586)&gt;0,1,0)</f>
        <v>0</v>
      </c>
      <c r="O586">
        <f>IF(COUNTIFS('United Data'!$A$3:$A$2150,O$1,'United Data'!$C$3:$C$2150,$A586)&gt;0,1,0)</f>
        <v>0</v>
      </c>
      <c r="P586">
        <f>IF(COUNTIFS('United Data'!$A$3:$A$2150,P$1,'United Data'!$C$3:$C$2150,$A586)&gt;0,1,0)</f>
        <v>0</v>
      </c>
      <c r="Q586">
        <f>IF(COUNTIFS('United Data'!$A$3:$A$2150,Q$1,'United Data'!$C$3:$C$2150,$A586)&gt;0,1,0)</f>
        <v>1</v>
      </c>
      <c r="R586">
        <f>IF(COUNTIFS('United Data'!$A$3:$A$2150,R$1,'United Data'!$C$3:$C$2150,$A586)&gt;0,1,0)</f>
        <v>0</v>
      </c>
      <c r="S586">
        <f t="shared" si="18"/>
        <v>1</v>
      </c>
      <c r="T586">
        <f t="shared" si="19"/>
        <v>1</v>
      </c>
    </row>
    <row r="587" spans="1:20" x14ac:dyDescent="0.2">
      <c r="A587" t="s">
        <v>632</v>
      </c>
      <c r="B587">
        <f>IF(COUNTIFS('United Data'!$A$3:$A$2150,B$1,'United Data'!$C$3:$C$2150,$A587)&gt;0,1,0)</f>
        <v>0</v>
      </c>
      <c r="C587">
        <f>IF(COUNTIFS('United Data'!$A$3:$A$2150,C$1,'United Data'!$C$3:$C$2150,$A587)&gt;0,1,0)</f>
        <v>0</v>
      </c>
      <c r="D587">
        <f>IF(COUNTIFS('United Data'!$A$3:$A$2150,D$1,'United Data'!$C$3:$C$2150,$A587)&gt;0,1,0)</f>
        <v>0</v>
      </c>
      <c r="E587">
        <f>IF(COUNTIFS('United Data'!$A$3:$A$2150,E$1,'United Data'!$C$3:$C$2150,$A587)&gt;0,1,0)</f>
        <v>0</v>
      </c>
      <c r="F587">
        <f>IF(COUNTIFS('United Data'!$A$3:$A$2150,F$1,'United Data'!$C$3:$C$2150,$A587)&gt;0,1,0)</f>
        <v>0</v>
      </c>
      <c r="G587">
        <f>IF(COUNTIFS('United Data'!$A$3:$A$2150,G$1,'United Data'!$C$3:$C$2150,$A587)&gt;0,1,0)</f>
        <v>0</v>
      </c>
      <c r="H587">
        <f>IF(COUNTIFS('United Data'!$A$3:$A$2150,H$1,'United Data'!$C$3:$C$2150,$A587)&gt;0,1,0)</f>
        <v>0</v>
      </c>
      <c r="I587">
        <f>IF(COUNTIFS('United Data'!$A$3:$A$2150,I$1,'United Data'!$C$3:$C$2150,$A587)&gt;0,1,0)</f>
        <v>0</v>
      </c>
      <c r="J587">
        <f>IF(COUNTIFS('United Data'!$A$3:$A$2150,J$1,'United Data'!$C$3:$C$2150,$A587)&gt;0,1,0)</f>
        <v>0</v>
      </c>
      <c r="K587">
        <f>IF(COUNTIFS('United Data'!$A$3:$A$2150,K$1,'United Data'!$C$3:$C$2150,$A587)&gt;0,1,0)</f>
        <v>0</v>
      </c>
      <c r="L587">
        <f>IF(COUNTIFS('United Data'!$A$3:$A$2150,L$1,'United Data'!$C$3:$C$2150,$A587)&gt;0,1,0)</f>
        <v>0</v>
      </c>
      <c r="M587">
        <f>IF(COUNTIFS('United Data'!$A$3:$A$2150,M$1,'United Data'!$C$3:$C$2150,$A587)&gt;0,1,0)</f>
        <v>0</v>
      </c>
      <c r="N587">
        <f>IF(COUNTIFS('United Data'!$A$3:$A$2150,N$1,'United Data'!$C$3:$C$2150,$A587)&gt;0,1,0)</f>
        <v>0</v>
      </c>
      <c r="O587">
        <f>IF(COUNTIFS('United Data'!$A$3:$A$2150,O$1,'United Data'!$C$3:$C$2150,$A587)&gt;0,1,0)</f>
        <v>0</v>
      </c>
      <c r="P587">
        <f>IF(COUNTIFS('United Data'!$A$3:$A$2150,P$1,'United Data'!$C$3:$C$2150,$A587)&gt;0,1,0)</f>
        <v>0</v>
      </c>
      <c r="Q587">
        <f>IF(COUNTIFS('United Data'!$A$3:$A$2150,Q$1,'United Data'!$C$3:$C$2150,$A587)&gt;0,1,0)</f>
        <v>1</v>
      </c>
      <c r="R587">
        <f>IF(COUNTIFS('United Data'!$A$3:$A$2150,R$1,'United Data'!$C$3:$C$2150,$A587)&gt;0,1,0)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633</v>
      </c>
      <c r="B588">
        <f>IF(COUNTIFS('United Data'!$A$3:$A$2150,B$1,'United Data'!$C$3:$C$2150,$A588)&gt;0,1,0)</f>
        <v>0</v>
      </c>
      <c r="C588">
        <f>IF(COUNTIFS('United Data'!$A$3:$A$2150,C$1,'United Data'!$C$3:$C$2150,$A588)&gt;0,1,0)</f>
        <v>0</v>
      </c>
      <c r="D588">
        <f>IF(COUNTIFS('United Data'!$A$3:$A$2150,D$1,'United Data'!$C$3:$C$2150,$A588)&gt;0,1,0)</f>
        <v>0</v>
      </c>
      <c r="E588">
        <f>IF(COUNTIFS('United Data'!$A$3:$A$2150,E$1,'United Data'!$C$3:$C$2150,$A588)&gt;0,1,0)</f>
        <v>0</v>
      </c>
      <c r="F588">
        <f>IF(COUNTIFS('United Data'!$A$3:$A$2150,F$1,'United Data'!$C$3:$C$2150,$A588)&gt;0,1,0)</f>
        <v>0</v>
      </c>
      <c r="G588">
        <f>IF(COUNTIFS('United Data'!$A$3:$A$2150,G$1,'United Data'!$C$3:$C$2150,$A588)&gt;0,1,0)</f>
        <v>0</v>
      </c>
      <c r="H588">
        <f>IF(COUNTIFS('United Data'!$A$3:$A$2150,H$1,'United Data'!$C$3:$C$2150,$A588)&gt;0,1,0)</f>
        <v>0</v>
      </c>
      <c r="I588">
        <f>IF(COUNTIFS('United Data'!$A$3:$A$2150,I$1,'United Data'!$C$3:$C$2150,$A588)&gt;0,1,0)</f>
        <v>0</v>
      </c>
      <c r="J588">
        <f>IF(COUNTIFS('United Data'!$A$3:$A$2150,J$1,'United Data'!$C$3:$C$2150,$A588)&gt;0,1,0)</f>
        <v>0</v>
      </c>
      <c r="K588">
        <f>IF(COUNTIFS('United Data'!$A$3:$A$2150,K$1,'United Data'!$C$3:$C$2150,$A588)&gt;0,1,0)</f>
        <v>0</v>
      </c>
      <c r="L588">
        <f>IF(COUNTIFS('United Data'!$A$3:$A$2150,L$1,'United Data'!$C$3:$C$2150,$A588)&gt;0,1,0)</f>
        <v>0</v>
      </c>
      <c r="M588">
        <f>IF(COUNTIFS('United Data'!$A$3:$A$2150,M$1,'United Data'!$C$3:$C$2150,$A588)&gt;0,1,0)</f>
        <v>0</v>
      </c>
      <c r="N588">
        <f>IF(COUNTIFS('United Data'!$A$3:$A$2150,N$1,'United Data'!$C$3:$C$2150,$A588)&gt;0,1,0)</f>
        <v>0</v>
      </c>
      <c r="O588">
        <f>IF(COUNTIFS('United Data'!$A$3:$A$2150,O$1,'United Data'!$C$3:$C$2150,$A588)&gt;0,1,0)</f>
        <v>0</v>
      </c>
      <c r="P588">
        <f>IF(COUNTIFS('United Data'!$A$3:$A$2150,P$1,'United Data'!$C$3:$C$2150,$A588)&gt;0,1,0)</f>
        <v>0</v>
      </c>
      <c r="Q588">
        <f>IF(COUNTIFS('United Data'!$A$3:$A$2150,Q$1,'United Data'!$C$3:$C$2150,$A588)&gt;0,1,0)</f>
        <v>1</v>
      </c>
      <c r="R588">
        <f>IF(COUNTIFS('United Data'!$A$3:$A$2150,R$1,'United Data'!$C$3:$C$2150,$A588)&gt;0,1,0)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634</v>
      </c>
      <c r="B589">
        <f>IF(COUNTIFS('United Data'!$A$3:$A$2150,B$1,'United Data'!$C$3:$C$2150,$A589)&gt;0,1,0)</f>
        <v>0</v>
      </c>
      <c r="C589">
        <f>IF(COUNTIFS('United Data'!$A$3:$A$2150,C$1,'United Data'!$C$3:$C$2150,$A589)&gt;0,1,0)</f>
        <v>0</v>
      </c>
      <c r="D589">
        <f>IF(COUNTIFS('United Data'!$A$3:$A$2150,D$1,'United Data'!$C$3:$C$2150,$A589)&gt;0,1,0)</f>
        <v>0</v>
      </c>
      <c r="E589">
        <f>IF(COUNTIFS('United Data'!$A$3:$A$2150,E$1,'United Data'!$C$3:$C$2150,$A589)&gt;0,1,0)</f>
        <v>0</v>
      </c>
      <c r="F589">
        <f>IF(COUNTIFS('United Data'!$A$3:$A$2150,F$1,'United Data'!$C$3:$C$2150,$A589)&gt;0,1,0)</f>
        <v>0</v>
      </c>
      <c r="G589">
        <f>IF(COUNTIFS('United Data'!$A$3:$A$2150,G$1,'United Data'!$C$3:$C$2150,$A589)&gt;0,1,0)</f>
        <v>0</v>
      </c>
      <c r="H589">
        <f>IF(COUNTIFS('United Data'!$A$3:$A$2150,H$1,'United Data'!$C$3:$C$2150,$A589)&gt;0,1,0)</f>
        <v>0</v>
      </c>
      <c r="I589">
        <f>IF(COUNTIFS('United Data'!$A$3:$A$2150,I$1,'United Data'!$C$3:$C$2150,$A589)&gt;0,1,0)</f>
        <v>0</v>
      </c>
      <c r="J589">
        <f>IF(COUNTIFS('United Data'!$A$3:$A$2150,J$1,'United Data'!$C$3:$C$2150,$A589)&gt;0,1,0)</f>
        <v>0</v>
      </c>
      <c r="K589">
        <f>IF(COUNTIFS('United Data'!$A$3:$A$2150,K$1,'United Data'!$C$3:$C$2150,$A589)&gt;0,1,0)</f>
        <v>0</v>
      </c>
      <c r="L589">
        <f>IF(COUNTIFS('United Data'!$A$3:$A$2150,L$1,'United Data'!$C$3:$C$2150,$A589)&gt;0,1,0)</f>
        <v>0</v>
      </c>
      <c r="M589">
        <f>IF(COUNTIFS('United Data'!$A$3:$A$2150,M$1,'United Data'!$C$3:$C$2150,$A589)&gt;0,1,0)</f>
        <v>0</v>
      </c>
      <c r="N589">
        <f>IF(COUNTIFS('United Data'!$A$3:$A$2150,N$1,'United Data'!$C$3:$C$2150,$A589)&gt;0,1,0)</f>
        <v>0</v>
      </c>
      <c r="O589">
        <f>IF(COUNTIFS('United Data'!$A$3:$A$2150,O$1,'United Data'!$C$3:$C$2150,$A589)&gt;0,1,0)</f>
        <v>0</v>
      </c>
      <c r="P589">
        <f>IF(COUNTIFS('United Data'!$A$3:$A$2150,P$1,'United Data'!$C$3:$C$2150,$A589)&gt;0,1,0)</f>
        <v>0</v>
      </c>
      <c r="Q589">
        <f>IF(COUNTIFS('United Data'!$A$3:$A$2150,Q$1,'United Data'!$C$3:$C$2150,$A589)&gt;0,1,0)</f>
        <v>1</v>
      </c>
      <c r="R589">
        <f>IF(COUNTIFS('United Data'!$A$3:$A$2150,R$1,'United Data'!$C$3:$C$2150,$A589)&gt;0,1,0)</f>
        <v>0</v>
      </c>
      <c r="S589">
        <f t="shared" si="18"/>
        <v>1</v>
      </c>
      <c r="T589">
        <f t="shared" si="19"/>
        <v>1</v>
      </c>
    </row>
    <row r="590" spans="1:20" x14ac:dyDescent="0.2">
      <c r="A590" t="s">
        <v>635</v>
      </c>
      <c r="B590">
        <f>IF(COUNTIFS('United Data'!$A$3:$A$2150,B$1,'United Data'!$C$3:$C$2150,$A590)&gt;0,1,0)</f>
        <v>0</v>
      </c>
      <c r="C590">
        <f>IF(COUNTIFS('United Data'!$A$3:$A$2150,C$1,'United Data'!$C$3:$C$2150,$A590)&gt;0,1,0)</f>
        <v>0</v>
      </c>
      <c r="D590">
        <f>IF(COUNTIFS('United Data'!$A$3:$A$2150,D$1,'United Data'!$C$3:$C$2150,$A590)&gt;0,1,0)</f>
        <v>0</v>
      </c>
      <c r="E590">
        <f>IF(COUNTIFS('United Data'!$A$3:$A$2150,E$1,'United Data'!$C$3:$C$2150,$A590)&gt;0,1,0)</f>
        <v>0</v>
      </c>
      <c r="F590">
        <f>IF(COUNTIFS('United Data'!$A$3:$A$2150,F$1,'United Data'!$C$3:$C$2150,$A590)&gt;0,1,0)</f>
        <v>0</v>
      </c>
      <c r="G590">
        <f>IF(COUNTIFS('United Data'!$A$3:$A$2150,G$1,'United Data'!$C$3:$C$2150,$A590)&gt;0,1,0)</f>
        <v>0</v>
      </c>
      <c r="H590">
        <f>IF(COUNTIFS('United Data'!$A$3:$A$2150,H$1,'United Data'!$C$3:$C$2150,$A590)&gt;0,1,0)</f>
        <v>0</v>
      </c>
      <c r="I590">
        <f>IF(COUNTIFS('United Data'!$A$3:$A$2150,I$1,'United Data'!$C$3:$C$2150,$A590)&gt;0,1,0)</f>
        <v>0</v>
      </c>
      <c r="J590">
        <f>IF(COUNTIFS('United Data'!$A$3:$A$2150,J$1,'United Data'!$C$3:$C$2150,$A590)&gt;0,1,0)</f>
        <v>0</v>
      </c>
      <c r="K590">
        <f>IF(COUNTIFS('United Data'!$A$3:$A$2150,K$1,'United Data'!$C$3:$C$2150,$A590)&gt;0,1,0)</f>
        <v>0</v>
      </c>
      <c r="L590">
        <f>IF(COUNTIFS('United Data'!$A$3:$A$2150,L$1,'United Data'!$C$3:$C$2150,$A590)&gt;0,1,0)</f>
        <v>0</v>
      </c>
      <c r="M590">
        <f>IF(COUNTIFS('United Data'!$A$3:$A$2150,M$1,'United Data'!$C$3:$C$2150,$A590)&gt;0,1,0)</f>
        <v>0</v>
      </c>
      <c r="N590">
        <f>IF(COUNTIFS('United Data'!$A$3:$A$2150,N$1,'United Data'!$C$3:$C$2150,$A590)&gt;0,1,0)</f>
        <v>0</v>
      </c>
      <c r="O590">
        <f>IF(COUNTIFS('United Data'!$A$3:$A$2150,O$1,'United Data'!$C$3:$C$2150,$A590)&gt;0,1,0)</f>
        <v>0</v>
      </c>
      <c r="P590">
        <f>IF(COUNTIFS('United Data'!$A$3:$A$2150,P$1,'United Data'!$C$3:$C$2150,$A590)&gt;0,1,0)</f>
        <v>0</v>
      </c>
      <c r="Q590">
        <f>IF(COUNTIFS('United Data'!$A$3:$A$2150,Q$1,'United Data'!$C$3:$C$2150,$A590)&gt;0,1,0)</f>
        <v>1</v>
      </c>
      <c r="R590">
        <f>IF(COUNTIFS('United Data'!$A$3:$A$2150,R$1,'United Data'!$C$3:$C$2150,$A590)&gt;0,1,0)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636</v>
      </c>
      <c r="B591">
        <f>IF(COUNTIFS('United Data'!$A$3:$A$2150,B$1,'United Data'!$C$3:$C$2150,$A591)&gt;0,1,0)</f>
        <v>0</v>
      </c>
      <c r="C591">
        <f>IF(COUNTIFS('United Data'!$A$3:$A$2150,C$1,'United Data'!$C$3:$C$2150,$A591)&gt;0,1,0)</f>
        <v>1</v>
      </c>
      <c r="D591">
        <f>IF(COUNTIFS('United Data'!$A$3:$A$2150,D$1,'United Data'!$C$3:$C$2150,$A591)&gt;0,1,0)</f>
        <v>1</v>
      </c>
      <c r="E591">
        <f>IF(COUNTIFS('United Data'!$A$3:$A$2150,E$1,'United Data'!$C$3:$C$2150,$A591)&gt;0,1,0)</f>
        <v>1</v>
      </c>
      <c r="F591">
        <f>IF(COUNTIFS('United Data'!$A$3:$A$2150,F$1,'United Data'!$C$3:$C$2150,$A591)&gt;0,1,0)</f>
        <v>1</v>
      </c>
      <c r="G591">
        <f>IF(COUNTIFS('United Data'!$A$3:$A$2150,G$1,'United Data'!$C$3:$C$2150,$A591)&gt;0,1,0)</f>
        <v>1</v>
      </c>
      <c r="H591">
        <f>IF(COUNTIFS('United Data'!$A$3:$A$2150,H$1,'United Data'!$C$3:$C$2150,$A591)&gt;0,1,0)</f>
        <v>1</v>
      </c>
      <c r="I591">
        <f>IF(COUNTIFS('United Data'!$A$3:$A$2150,I$1,'United Data'!$C$3:$C$2150,$A591)&gt;0,1,0)</f>
        <v>1</v>
      </c>
      <c r="J591">
        <f>IF(COUNTIFS('United Data'!$A$3:$A$2150,J$1,'United Data'!$C$3:$C$2150,$A591)&gt;0,1,0)</f>
        <v>1</v>
      </c>
      <c r="K591">
        <f>IF(COUNTIFS('United Data'!$A$3:$A$2150,K$1,'United Data'!$C$3:$C$2150,$A591)&gt;0,1,0)</f>
        <v>1</v>
      </c>
      <c r="L591">
        <f>IF(COUNTIFS('United Data'!$A$3:$A$2150,L$1,'United Data'!$C$3:$C$2150,$A591)&gt;0,1,0)</f>
        <v>1</v>
      </c>
      <c r="M591">
        <f>IF(COUNTIFS('United Data'!$A$3:$A$2150,M$1,'United Data'!$C$3:$C$2150,$A591)&gt;0,1,0)</f>
        <v>1</v>
      </c>
      <c r="N591">
        <f>IF(COUNTIFS('United Data'!$A$3:$A$2150,N$1,'United Data'!$C$3:$C$2150,$A591)&gt;0,1,0)</f>
        <v>0</v>
      </c>
      <c r="O591">
        <f>IF(COUNTIFS('United Data'!$A$3:$A$2150,O$1,'United Data'!$C$3:$C$2150,$A591)&gt;0,1,0)</f>
        <v>0</v>
      </c>
      <c r="P591">
        <f>IF(COUNTIFS('United Data'!$A$3:$A$2150,P$1,'United Data'!$C$3:$C$2150,$A591)&gt;0,1,0)</f>
        <v>0</v>
      </c>
      <c r="Q591">
        <f>IF(COUNTIFS('United Data'!$A$3:$A$2150,Q$1,'United Data'!$C$3:$C$2150,$A591)&gt;0,1,0)</f>
        <v>0</v>
      </c>
      <c r="R591">
        <f>IF(COUNTIFS('United Data'!$A$3:$A$2150,R$1,'United Data'!$C$3:$C$2150,$A591)&gt;0,1,0)</f>
        <v>0</v>
      </c>
      <c r="S591">
        <f t="shared" si="18"/>
        <v>11</v>
      </c>
      <c r="T591">
        <f t="shared" si="19"/>
        <v>1</v>
      </c>
    </row>
    <row r="592" spans="1:20" x14ac:dyDescent="0.2">
      <c r="A592" t="s">
        <v>637</v>
      </c>
      <c r="B592">
        <f>IF(COUNTIFS('United Data'!$A$3:$A$2150,B$1,'United Data'!$C$3:$C$2150,$A592)&gt;0,1,0)</f>
        <v>0</v>
      </c>
      <c r="C592">
        <f>IF(COUNTIFS('United Data'!$A$3:$A$2150,C$1,'United Data'!$C$3:$C$2150,$A592)&gt;0,1,0)</f>
        <v>1</v>
      </c>
      <c r="D592">
        <f>IF(COUNTIFS('United Data'!$A$3:$A$2150,D$1,'United Data'!$C$3:$C$2150,$A592)&gt;0,1,0)</f>
        <v>0</v>
      </c>
      <c r="E592">
        <f>IF(COUNTIFS('United Data'!$A$3:$A$2150,E$1,'United Data'!$C$3:$C$2150,$A592)&gt;0,1,0)</f>
        <v>0</v>
      </c>
      <c r="F592">
        <f>IF(COUNTIFS('United Data'!$A$3:$A$2150,F$1,'United Data'!$C$3:$C$2150,$A592)&gt;0,1,0)</f>
        <v>0</v>
      </c>
      <c r="G592">
        <f>IF(COUNTIFS('United Data'!$A$3:$A$2150,G$1,'United Data'!$C$3:$C$2150,$A592)&gt;0,1,0)</f>
        <v>0</v>
      </c>
      <c r="H592">
        <f>IF(COUNTIFS('United Data'!$A$3:$A$2150,H$1,'United Data'!$C$3:$C$2150,$A592)&gt;0,1,0)</f>
        <v>0</v>
      </c>
      <c r="I592">
        <f>IF(COUNTIFS('United Data'!$A$3:$A$2150,I$1,'United Data'!$C$3:$C$2150,$A592)&gt;0,1,0)</f>
        <v>0</v>
      </c>
      <c r="J592">
        <f>IF(COUNTIFS('United Data'!$A$3:$A$2150,J$1,'United Data'!$C$3:$C$2150,$A592)&gt;0,1,0)</f>
        <v>0</v>
      </c>
      <c r="K592">
        <f>IF(COUNTIFS('United Data'!$A$3:$A$2150,K$1,'United Data'!$C$3:$C$2150,$A592)&gt;0,1,0)</f>
        <v>0</v>
      </c>
      <c r="L592">
        <f>IF(COUNTIFS('United Data'!$A$3:$A$2150,L$1,'United Data'!$C$3:$C$2150,$A592)&gt;0,1,0)</f>
        <v>0</v>
      </c>
      <c r="M592">
        <f>IF(COUNTIFS('United Data'!$A$3:$A$2150,M$1,'United Data'!$C$3:$C$2150,$A592)&gt;0,1,0)</f>
        <v>0</v>
      </c>
      <c r="N592">
        <f>IF(COUNTIFS('United Data'!$A$3:$A$2150,N$1,'United Data'!$C$3:$C$2150,$A592)&gt;0,1,0)</f>
        <v>0</v>
      </c>
      <c r="O592">
        <f>IF(COUNTIFS('United Data'!$A$3:$A$2150,O$1,'United Data'!$C$3:$C$2150,$A592)&gt;0,1,0)</f>
        <v>0</v>
      </c>
      <c r="P592">
        <f>IF(COUNTIFS('United Data'!$A$3:$A$2150,P$1,'United Data'!$C$3:$C$2150,$A592)&gt;0,1,0)</f>
        <v>0</v>
      </c>
      <c r="Q592">
        <f>IF(COUNTIFS('United Data'!$A$3:$A$2150,Q$1,'United Data'!$C$3:$C$2150,$A592)&gt;0,1,0)</f>
        <v>0</v>
      </c>
      <c r="R592">
        <f>IF(COUNTIFS('United Data'!$A$3:$A$2150,R$1,'United Data'!$C$3:$C$2150,$A592)&gt;0,1,0)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638</v>
      </c>
      <c r="B593">
        <f>IF(COUNTIFS('United Data'!$A$3:$A$2150,B$1,'United Data'!$C$3:$C$2150,$A593)&gt;0,1,0)</f>
        <v>0</v>
      </c>
      <c r="C593">
        <f>IF(COUNTIFS('United Data'!$A$3:$A$2150,C$1,'United Data'!$C$3:$C$2150,$A593)&gt;0,1,0)</f>
        <v>0</v>
      </c>
      <c r="D593">
        <f>IF(COUNTIFS('United Data'!$A$3:$A$2150,D$1,'United Data'!$C$3:$C$2150,$A593)&gt;0,1,0)</f>
        <v>1</v>
      </c>
      <c r="E593">
        <f>IF(COUNTIFS('United Data'!$A$3:$A$2150,E$1,'United Data'!$C$3:$C$2150,$A593)&gt;0,1,0)</f>
        <v>1</v>
      </c>
      <c r="F593">
        <f>IF(COUNTIFS('United Data'!$A$3:$A$2150,F$1,'United Data'!$C$3:$C$2150,$A593)&gt;0,1,0)</f>
        <v>1</v>
      </c>
      <c r="G593">
        <f>IF(COUNTIFS('United Data'!$A$3:$A$2150,G$1,'United Data'!$C$3:$C$2150,$A593)&gt;0,1,0)</f>
        <v>1</v>
      </c>
      <c r="H593">
        <f>IF(COUNTIFS('United Data'!$A$3:$A$2150,H$1,'United Data'!$C$3:$C$2150,$A593)&gt;0,1,0)</f>
        <v>1</v>
      </c>
      <c r="I593">
        <f>IF(COUNTIFS('United Data'!$A$3:$A$2150,I$1,'United Data'!$C$3:$C$2150,$A593)&gt;0,1,0)</f>
        <v>1</v>
      </c>
      <c r="J593">
        <f>IF(COUNTIFS('United Data'!$A$3:$A$2150,J$1,'United Data'!$C$3:$C$2150,$A593)&gt;0,1,0)</f>
        <v>1</v>
      </c>
      <c r="K593">
        <f>IF(COUNTIFS('United Data'!$A$3:$A$2150,K$1,'United Data'!$C$3:$C$2150,$A593)&gt;0,1,0)</f>
        <v>1</v>
      </c>
      <c r="L593">
        <f>IF(COUNTIFS('United Data'!$A$3:$A$2150,L$1,'United Data'!$C$3:$C$2150,$A593)&gt;0,1,0)</f>
        <v>1</v>
      </c>
      <c r="M593">
        <f>IF(COUNTIFS('United Data'!$A$3:$A$2150,M$1,'United Data'!$C$3:$C$2150,$A593)&gt;0,1,0)</f>
        <v>0</v>
      </c>
      <c r="N593">
        <f>IF(COUNTIFS('United Data'!$A$3:$A$2150,N$1,'United Data'!$C$3:$C$2150,$A593)&gt;0,1,0)</f>
        <v>0</v>
      </c>
      <c r="O593">
        <f>IF(COUNTIFS('United Data'!$A$3:$A$2150,O$1,'United Data'!$C$3:$C$2150,$A593)&gt;0,1,0)</f>
        <v>0</v>
      </c>
      <c r="P593">
        <f>IF(COUNTIFS('United Data'!$A$3:$A$2150,P$1,'United Data'!$C$3:$C$2150,$A593)&gt;0,1,0)</f>
        <v>0</v>
      </c>
      <c r="Q593">
        <f>IF(COUNTIFS('United Data'!$A$3:$A$2150,Q$1,'United Data'!$C$3:$C$2150,$A593)&gt;0,1,0)</f>
        <v>0</v>
      </c>
      <c r="R593">
        <f>IF(COUNTIFS('United Data'!$A$3:$A$2150,R$1,'United Data'!$C$3:$C$2150,$A593)&gt;0,1,0)</f>
        <v>0</v>
      </c>
      <c r="S593">
        <f t="shared" si="18"/>
        <v>9</v>
      </c>
      <c r="T593">
        <f t="shared" si="19"/>
        <v>1</v>
      </c>
    </row>
    <row r="594" spans="1:20" x14ac:dyDescent="0.2">
      <c r="A594" t="s">
        <v>639</v>
      </c>
      <c r="B594">
        <f>IF(COUNTIFS('United Data'!$A$3:$A$2150,B$1,'United Data'!$C$3:$C$2150,$A594)&gt;0,1,0)</f>
        <v>0</v>
      </c>
      <c r="C594">
        <f>IF(COUNTIFS('United Data'!$A$3:$A$2150,C$1,'United Data'!$C$3:$C$2150,$A594)&gt;0,1,0)</f>
        <v>0</v>
      </c>
      <c r="D594">
        <f>IF(COUNTIFS('United Data'!$A$3:$A$2150,D$1,'United Data'!$C$3:$C$2150,$A594)&gt;0,1,0)</f>
        <v>1</v>
      </c>
      <c r="E594">
        <f>IF(COUNTIFS('United Data'!$A$3:$A$2150,E$1,'United Data'!$C$3:$C$2150,$A594)&gt;0,1,0)</f>
        <v>1</v>
      </c>
      <c r="F594">
        <f>IF(COUNTIFS('United Data'!$A$3:$A$2150,F$1,'United Data'!$C$3:$C$2150,$A594)&gt;0,1,0)</f>
        <v>1</v>
      </c>
      <c r="G594">
        <f>IF(COUNTIFS('United Data'!$A$3:$A$2150,G$1,'United Data'!$C$3:$C$2150,$A594)&gt;0,1,0)</f>
        <v>1</v>
      </c>
      <c r="H594">
        <f>IF(COUNTIFS('United Data'!$A$3:$A$2150,H$1,'United Data'!$C$3:$C$2150,$A594)&gt;0,1,0)</f>
        <v>1</v>
      </c>
      <c r="I594">
        <f>IF(COUNTIFS('United Data'!$A$3:$A$2150,I$1,'United Data'!$C$3:$C$2150,$A594)&gt;0,1,0)</f>
        <v>1</v>
      </c>
      <c r="J594">
        <f>IF(COUNTIFS('United Data'!$A$3:$A$2150,J$1,'United Data'!$C$3:$C$2150,$A594)&gt;0,1,0)</f>
        <v>1</v>
      </c>
      <c r="K594">
        <f>IF(COUNTIFS('United Data'!$A$3:$A$2150,K$1,'United Data'!$C$3:$C$2150,$A594)&gt;0,1,0)</f>
        <v>0</v>
      </c>
      <c r="L594">
        <f>IF(COUNTIFS('United Data'!$A$3:$A$2150,L$1,'United Data'!$C$3:$C$2150,$A594)&gt;0,1,0)</f>
        <v>0</v>
      </c>
      <c r="M594">
        <f>IF(COUNTIFS('United Data'!$A$3:$A$2150,M$1,'United Data'!$C$3:$C$2150,$A594)&gt;0,1,0)</f>
        <v>0</v>
      </c>
      <c r="N594">
        <f>IF(COUNTIFS('United Data'!$A$3:$A$2150,N$1,'United Data'!$C$3:$C$2150,$A594)&gt;0,1,0)</f>
        <v>0</v>
      </c>
      <c r="O594">
        <f>IF(COUNTIFS('United Data'!$A$3:$A$2150,O$1,'United Data'!$C$3:$C$2150,$A594)&gt;0,1,0)</f>
        <v>0</v>
      </c>
      <c r="P594">
        <f>IF(COUNTIFS('United Data'!$A$3:$A$2150,P$1,'United Data'!$C$3:$C$2150,$A594)&gt;0,1,0)</f>
        <v>0</v>
      </c>
      <c r="Q594">
        <f>IF(COUNTIFS('United Data'!$A$3:$A$2150,Q$1,'United Data'!$C$3:$C$2150,$A594)&gt;0,1,0)</f>
        <v>0</v>
      </c>
      <c r="R594">
        <f>IF(COUNTIFS('United Data'!$A$3:$A$2150,R$1,'United Data'!$C$3:$C$2150,$A594)&gt;0,1,0)</f>
        <v>0</v>
      </c>
      <c r="S594">
        <f t="shared" si="18"/>
        <v>7</v>
      </c>
      <c r="T594">
        <f t="shared" si="19"/>
        <v>1</v>
      </c>
    </row>
    <row r="595" spans="1:20" x14ac:dyDescent="0.2">
      <c r="A595" t="s">
        <v>640</v>
      </c>
      <c r="B595">
        <f>IF(COUNTIFS('United Data'!$A$3:$A$2150,B$1,'United Data'!$C$3:$C$2150,$A595)&gt;0,1,0)</f>
        <v>0</v>
      </c>
      <c r="C595">
        <f>IF(COUNTIFS('United Data'!$A$3:$A$2150,C$1,'United Data'!$C$3:$C$2150,$A595)&gt;0,1,0)</f>
        <v>0</v>
      </c>
      <c r="D595">
        <f>IF(COUNTIFS('United Data'!$A$3:$A$2150,D$1,'United Data'!$C$3:$C$2150,$A595)&gt;0,1,0)</f>
        <v>1</v>
      </c>
      <c r="E595">
        <f>IF(COUNTIFS('United Data'!$A$3:$A$2150,E$1,'United Data'!$C$3:$C$2150,$A595)&gt;0,1,0)</f>
        <v>0</v>
      </c>
      <c r="F595">
        <f>IF(COUNTIFS('United Data'!$A$3:$A$2150,F$1,'United Data'!$C$3:$C$2150,$A595)&gt;0,1,0)</f>
        <v>0</v>
      </c>
      <c r="G595">
        <f>IF(COUNTIFS('United Data'!$A$3:$A$2150,G$1,'United Data'!$C$3:$C$2150,$A595)&gt;0,1,0)</f>
        <v>0</v>
      </c>
      <c r="H595">
        <f>IF(COUNTIFS('United Data'!$A$3:$A$2150,H$1,'United Data'!$C$3:$C$2150,$A595)&gt;0,1,0)</f>
        <v>0</v>
      </c>
      <c r="I595">
        <f>IF(COUNTIFS('United Data'!$A$3:$A$2150,I$1,'United Data'!$C$3:$C$2150,$A595)&gt;0,1,0)</f>
        <v>0</v>
      </c>
      <c r="J595">
        <f>IF(COUNTIFS('United Data'!$A$3:$A$2150,J$1,'United Data'!$C$3:$C$2150,$A595)&gt;0,1,0)</f>
        <v>0</v>
      </c>
      <c r="K595">
        <f>IF(COUNTIFS('United Data'!$A$3:$A$2150,K$1,'United Data'!$C$3:$C$2150,$A595)&gt;0,1,0)</f>
        <v>0</v>
      </c>
      <c r="L595">
        <f>IF(COUNTIFS('United Data'!$A$3:$A$2150,L$1,'United Data'!$C$3:$C$2150,$A595)&gt;0,1,0)</f>
        <v>0</v>
      </c>
      <c r="M595">
        <f>IF(COUNTIFS('United Data'!$A$3:$A$2150,M$1,'United Data'!$C$3:$C$2150,$A595)&gt;0,1,0)</f>
        <v>0</v>
      </c>
      <c r="N595">
        <f>IF(COUNTIFS('United Data'!$A$3:$A$2150,N$1,'United Data'!$C$3:$C$2150,$A595)&gt;0,1,0)</f>
        <v>0</v>
      </c>
      <c r="O595">
        <f>IF(COUNTIFS('United Data'!$A$3:$A$2150,O$1,'United Data'!$C$3:$C$2150,$A595)&gt;0,1,0)</f>
        <v>0</v>
      </c>
      <c r="P595">
        <f>IF(COUNTIFS('United Data'!$A$3:$A$2150,P$1,'United Data'!$C$3:$C$2150,$A595)&gt;0,1,0)</f>
        <v>0</v>
      </c>
      <c r="Q595">
        <f>IF(COUNTIFS('United Data'!$A$3:$A$2150,Q$1,'United Data'!$C$3:$C$2150,$A595)&gt;0,1,0)</f>
        <v>0</v>
      </c>
      <c r="R595">
        <f>IF(COUNTIFS('United Data'!$A$3:$A$2150,R$1,'United Data'!$C$3:$C$2150,$A595)&gt;0,1,0)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641</v>
      </c>
      <c r="B596">
        <f>IF(COUNTIFS('United Data'!$A$3:$A$2150,B$1,'United Data'!$C$3:$C$2150,$A596)&gt;0,1,0)</f>
        <v>0</v>
      </c>
      <c r="C596">
        <f>IF(COUNTIFS('United Data'!$A$3:$A$2150,C$1,'United Data'!$C$3:$C$2150,$A596)&gt;0,1,0)</f>
        <v>0</v>
      </c>
      <c r="D596">
        <f>IF(COUNTIFS('United Data'!$A$3:$A$2150,D$1,'United Data'!$C$3:$C$2150,$A596)&gt;0,1,0)</f>
        <v>1</v>
      </c>
      <c r="E596">
        <f>IF(COUNTIFS('United Data'!$A$3:$A$2150,E$1,'United Data'!$C$3:$C$2150,$A596)&gt;0,1,0)</f>
        <v>0</v>
      </c>
      <c r="F596">
        <f>IF(COUNTIFS('United Data'!$A$3:$A$2150,F$1,'United Data'!$C$3:$C$2150,$A596)&gt;0,1,0)</f>
        <v>0</v>
      </c>
      <c r="G596">
        <f>IF(COUNTIFS('United Data'!$A$3:$A$2150,G$1,'United Data'!$C$3:$C$2150,$A596)&gt;0,1,0)</f>
        <v>0</v>
      </c>
      <c r="H596">
        <f>IF(COUNTIFS('United Data'!$A$3:$A$2150,H$1,'United Data'!$C$3:$C$2150,$A596)&gt;0,1,0)</f>
        <v>0</v>
      </c>
      <c r="I596">
        <f>IF(COUNTIFS('United Data'!$A$3:$A$2150,I$1,'United Data'!$C$3:$C$2150,$A596)&gt;0,1,0)</f>
        <v>0</v>
      </c>
      <c r="J596">
        <f>IF(COUNTIFS('United Data'!$A$3:$A$2150,J$1,'United Data'!$C$3:$C$2150,$A596)&gt;0,1,0)</f>
        <v>0</v>
      </c>
      <c r="K596">
        <f>IF(COUNTIFS('United Data'!$A$3:$A$2150,K$1,'United Data'!$C$3:$C$2150,$A596)&gt;0,1,0)</f>
        <v>0</v>
      </c>
      <c r="L596">
        <f>IF(COUNTIFS('United Data'!$A$3:$A$2150,L$1,'United Data'!$C$3:$C$2150,$A596)&gt;0,1,0)</f>
        <v>0</v>
      </c>
      <c r="M596">
        <f>IF(COUNTIFS('United Data'!$A$3:$A$2150,M$1,'United Data'!$C$3:$C$2150,$A596)&gt;0,1,0)</f>
        <v>0</v>
      </c>
      <c r="N596">
        <f>IF(COUNTIFS('United Data'!$A$3:$A$2150,N$1,'United Data'!$C$3:$C$2150,$A596)&gt;0,1,0)</f>
        <v>0</v>
      </c>
      <c r="O596">
        <f>IF(COUNTIFS('United Data'!$A$3:$A$2150,O$1,'United Data'!$C$3:$C$2150,$A596)&gt;0,1,0)</f>
        <v>0</v>
      </c>
      <c r="P596">
        <f>IF(COUNTIFS('United Data'!$A$3:$A$2150,P$1,'United Data'!$C$3:$C$2150,$A596)&gt;0,1,0)</f>
        <v>0</v>
      </c>
      <c r="Q596">
        <f>IF(COUNTIFS('United Data'!$A$3:$A$2150,Q$1,'United Data'!$C$3:$C$2150,$A596)&gt;0,1,0)</f>
        <v>0</v>
      </c>
      <c r="R596">
        <f>IF(COUNTIFS('United Data'!$A$3:$A$2150,R$1,'United Data'!$C$3:$C$2150,$A596)&gt;0,1,0)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642</v>
      </c>
      <c r="B597">
        <f>IF(COUNTIFS('United Data'!$A$3:$A$2150,B$1,'United Data'!$C$3:$C$2150,$A597)&gt;0,1,0)</f>
        <v>0</v>
      </c>
      <c r="C597">
        <f>IF(COUNTIFS('United Data'!$A$3:$A$2150,C$1,'United Data'!$C$3:$C$2150,$A597)&gt;0,1,0)</f>
        <v>0</v>
      </c>
      <c r="D597">
        <f>IF(COUNTIFS('United Data'!$A$3:$A$2150,D$1,'United Data'!$C$3:$C$2150,$A597)&gt;0,1,0)</f>
        <v>1</v>
      </c>
      <c r="E597">
        <f>IF(COUNTIFS('United Data'!$A$3:$A$2150,E$1,'United Data'!$C$3:$C$2150,$A597)&gt;0,1,0)</f>
        <v>1</v>
      </c>
      <c r="F597">
        <f>IF(COUNTIFS('United Data'!$A$3:$A$2150,F$1,'United Data'!$C$3:$C$2150,$A597)&gt;0,1,0)</f>
        <v>1</v>
      </c>
      <c r="G597">
        <f>IF(COUNTIFS('United Data'!$A$3:$A$2150,G$1,'United Data'!$C$3:$C$2150,$A597)&gt;0,1,0)</f>
        <v>0</v>
      </c>
      <c r="H597">
        <f>IF(COUNTIFS('United Data'!$A$3:$A$2150,H$1,'United Data'!$C$3:$C$2150,$A597)&gt;0,1,0)</f>
        <v>0</v>
      </c>
      <c r="I597">
        <f>IF(COUNTIFS('United Data'!$A$3:$A$2150,I$1,'United Data'!$C$3:$C$2150,$A597)&gt;0,1,0)</f>
        <v>1</v>
      </c>
      <c r="J597">
        <f>IF(COUNTIFS('United Data'!$A$3:$A$2150,J$1,'United Data'!$C$3:$C$2150,$A597)&gt;0,1,0)</f>
        <v>1</v>
      </c>
      <c r="K597">
        <f>IF(COUNTIFS('United Data'!$A$3:$A$2150,K$1,'United Data'!$C$3:$C$2150,$A597)&gt;0,1,0)</f>
        <v>1</v>
      </c>
      <c r="L597">
        <f>IF(COUNTIFS('United Data'!$A$3:$A$2150,L$1,'United Data'!$C$3:$C$2150,$A597)&gt;0,1,0)</f>
        <v>1</v>
      </c>
      <c r="M597">
        <f>IF(COUNTIFS('United Data'!$A$3:$A$2150,M$1,'United Data'!$C$3:$C$2150,$A597)&gt;0,1,0)</f>
        <v>0</v>
      </c>
      <c r="N597">
        <f>IF(COUNTIFS('United Data'!$A$3:$A$2150,N$1,'United Data'!$C$3:$C$2150,$A597)&gt;0,1,0)</f>
        <v>0</v>
      </c>
      <c r="O597">
        <f>IF(COUNTIFS('United Data'!$A$3:$A$2150,O$1,'United Data'!$C$3:$C$2150,$A597)&gt;0,1,0)</f>
        <v>0</v>
      </c>
      <c r="P597">
        <f>IF(COUNTIFS('United Data'!$A$3:$A$2150,P$1,'United Data'!$C$3:$C$2150,$A597)&gt;0,1,0)</f>
        <v>0</v>
      </c>
      <c r="Q597">
        <f>IF(COUNTIFS('United Data'!$A$3:$A$2150,Q$1,'United Data'!$C$3:$C$2150,$A597)&gt;0,1,0)</f>
        <v>0</v>
      </c>
      <c r="R597">
        <f>IF(COUNTIFS('United Data'!$A$3:$A$2150,R$1,'United Data'!$C$3:$C$2150,$A597)&gt;0,1,0)</f>
        <v>0</v>
      </c>
      <c r="S597">
        <f t="shared" si="18"/>
        <v>7</v>
      </c>
      <c r="T597">
        <f t="shared" si="19"/>
        <v>2</v>
      </c>
    </row>
    <row r="598" spans="1:20" x14ac:dyDescent="0.2">
      <c r="A598" t="s">
        <v>643</v>
      </c>
      <c r="B598">
        <f>IF(COUNTIFS('United Data'!$A$3:$A$2150,B$1,'United Data'!$C$3:$C$2150,$A598)&gt;0,1,0)</f>
        <v>0</v>
      </c>
      <c r="C598">
        <f>IF(COUNTIFS('United Data'!$A$3:$A$2150,C$1,'United Data'!$C$3:$C$2150,$A598)&gt;0,1,0)</f>
        <v>0</v>
      </c>
      <c r="D598">
        <f>IF(COUNTIFS('United Data'!$A$3:$A$2150,D$1,'United Data'!$C$3:$C$2150,$A598)&gt;0,1,0)</f>
        <v>0</v>
      </c>
      <c r="E598">
        <f>IF(COUNTIFS('United Data'!$A$3:$A$2150,E$1,'United Data'!$C$3:$C$2150,$A598)&gt;0,1,0)</f>
        <v>1</v>
      </c>
      <c r="F598">
        <f>IF(COUNTIFS('United Data'!$A$3:$A$2150,F$1,'United Data'!$C$3:$C$2150,$A598)&gt;0,1,0)</f>
        <v>0</v>
      </c>
      <c r="G598">
        <f>IF(COUNTIFS('United Data'!$A$3:$A$2150,G$1,'United Data'!$C$3:$C$2150,$A598)&gt;0,1,0)</f>
        <v>0</v>
      </c>
      <c r="H598">
        <f>IF(COUNTIFS('United Data'!$A$3:$A$2150,H$1,'United Data'!$C$3:$C$2150,$A598)&gt;0,1,0)</f>
        <v>0</v>
      </c>
      <c r="I598">
        <f>IF(COUNTIFS('United Data'!$A$3:$A$2150,I$1,'United Data'!$C$3:$C$2150,$A598)&gt;0,1,0)</f>
        <v>0</v>
      </c>
      <c r="J598">
        <f>IF(COUNTIFS('United Data'!$A$3:$A$2150,J$1,'United Data'!$C$3:$C$2150,$A598)&gt;0,1,0)</f>
        <v>0</v>
      </c>
      <c r="K598">
        <f>IF(COUNTIFS('United Data'!$A$3:$A$2150,K$1,'United Data'!$C$3:$C$2150,$A598)&gt;0,1,0)</f>
        <v>0</v>
      </c>
      <c r="L598">
        <f>IF(COUNTIFS('United Data'!$A$3:$A$2150,L$1,'United Data'!$C$3:$C$2150,$A598)&gt;0,1,0)</f>
        <v>0</v>
      </c>
      <c r="M598">
        <f>IF(COUNTIFS('United Data'!$A$3:$A$2150,M$1,'United Data'!$C$3:$C$2150,$A598)&gt;0,1,0)</f>
        <v>0</v>
      </c>
      <c r="N598">
        <f>IF(COUNTIFS('United Data'!$A$3:$A$2150,N$1,'United Data'!$C$3:$C$2150,$A598)&gt;0,1,0)</f>
        <v>0</v>
      </c>
      <c r="O598">
        <f>IF(COUNTIFS('United Data'!$A$3:$A$2150,O$1,'United Data'!$C$3:$C$2150,$A598)&gt;0,1,0)</f>
        <v>0</v>
      </c>
      <c r="P598">
        <f>IF(COUNTIFS('United Data'!$A$3:$A$2150,P$1,'United Data'!$C$3:$C$2150,$A598)&gt;0,1,0)</f>
        <v>0</v>
      </c>
      <c r="Q598">
        <f>IF(COUNTIFS('United Data'!$A$3:$A$2150,Q$1,'United Data'!$C$3:$C$2150,$A598)&gt;0,1,0)</f>
        <v>0</v>
      </c>
      <c r="R598">
        <f>IF(COUNTIFS('United Data'!$A$3:$A$2150,R$1,'United Data'!$C$3:$C$2150,$A598)&gt;0,1,0)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644</v>
      </c>
      <c r="B599">
        <f>IF(COUNTIFS('United Data'!$A$3:$A$2150,B$1,'United Data'!$C$3:$C$2150,$A599)&gt;0,1,0)</f>
        <v>0</v>
      </c>
      <c r="C599">
        <f>IF(COUNTIFS('United Data'!$A$3:$A$2150,C$1,'United Data'!$C$3:$C$2150,$A599)&gt;0,1,0)</f>
        <v>0</v>
      </c>
      <c r="D599">
        <f>IF(COUNTIFS('United Data'!$A$3:$A$2150,D$1,'United Data'!$C$3:$C$2150,$A599)&gt;0,1,0)</f>
        <v>0</v>
      </c>
      <c r="E599">
        <f>IF(COUNTIFS('United Data'!$A$3:$A$2150,E$1,'United Data'!$C$3:$C$2150,$A599)&gt;0,1,0)</f>
        <v>1</v>
      </c>
      <c r="F599">
        <f>IF(COUNTIFS('United Data'!$A$3:$A$2150,F$1,'United Data'!$C$3:$C$2150,$A599)&gt;0,1,0)</f>
        <v>0</v>
      </c>
      <c r="G599">
        <f>IF(COUNTIFS('United Data'!$A$3:$A$2150,G$1,'United Data'!$C$3:$C$2150,$A599)&gt;0,1,0)</f>
        <v>0</v>
      </c>
      <c r="H599">
        <f>IF(COUNTIFS('United Data'!$A$3:$A$2150,H$1,'United Data'!$C$3:$C$2150,$A599)&gt;0,1,0)</f>
        <v>0</v>
      </c>
      <c r="I599">
        <f>IF(COUNTIFS('United Data'!$A$3:$A$2150,I$1,'United Data'!$C$3:$C$2150,$A599)&gt;0,1,0)</f>
        <v>0</v>
      </c>
      <c r="J599">
        <f>IF(COUNTIFS('United Data'!$A$3:$A$2150,J$1,'United Data'!$C$3:$C$2150,$A599)&gt;0,1,0)</f>
        <v>0</v>
      </c>
      <c r="K599">
        <f>IF(COUNTIFS('United Data'!$A$3:$A$2150,K$1,'United Data'!$C$3:$C$2150,$A599)&gt;0,1,0)</f>
        <v>0</v>
      </c>
      <c r="L599">
        <f>IF(COUNTIFS('United Data'!$A$3:$A$2150,L$1,'United Data'!$C$3:$C$2150,$A599)&gt;0,1,0)</f>
        <v>0</v>
      </c>
      <c r="M599">
        <f>IF(COUNTIFS('United Data'!$A$3:$A$2150,M$1,'United Data'!$C$3:$C$2150,$A599)&gt;0,1,0)</f>
        <v>0</v>
      </c>
      <c r="N599">
        <f>IF(COUNTIFS('United Data'!$A$3:$A$2150,N$1,'United Data'!$C$3:$C$2150,$A599)&gt;0,1,0)</f>
        <v>0</v>
      </c>
      <c r="O599">
        <f>IF(COUNTIFS('United Data'!$A$3:$A$2150,O$1,'United Data'!$C$3:$C$2150,$A599)&gt;0,1,0)</f>
        <v>0</v>
      </c>
      <c r="P599">
        <f>IF(COUNTIFS('United Data'!$A$3:$A$2150,P$1,'United Data'!$C$3:$C$2150,$A599)&gt;0,1,0)</f>
        <v>0</v>
      </c>
      <c r="Q599">
        <f>IF(COUNTIFS('United Data'!$A$3:$A$2150,Q$1,'United Data'!$C$3:$C$2150,$A599)&gt;0,1,0)</f>
        <v>0</v>
      </c>
      <c r="R599">
        <f>IF(COUNTIFS('United Data'!$A$3:$A$2150,R$1,'United Data'!$C$3:$C$2150,$A599)&gt;0,1,0)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645</v>
      </c>
      <c r="B600">
        <f>IF(COUNTIFS('United Data'!$A$3:$A$2150,B$1,'United Data'!$C$3:$C$2150,$A600)&gt;0,1,0)</f>
        <v>0</v>
      </c>
      <c r="C600">
        <f>IF(COUNTIFS('United Data'!$A$3:$A$2150,C$1,'United Data'!$C$3:$C$2150,$A600)&gt;0,1,0)</f>
        <v>0</v>
      </c>
      <c r="D600">
        <f>IF(COUNTIFS('United Data'!$A$3:$A$2150,D$1,'United Data'!$C$3:$C$2150,$A600)&gt;0,1,0)</f>
        <v>0</v>
      </c>
      <c r="E600">
        <f>IF(COUNTIFS('United Data'!$A$3:$A$2150,E$1,'United Data'!$C$3:$C$2150,$A600)&gt;0,1,0)</f>
        <v>1</v>
      </c>
      <c r="F600">
        <f>IF(COUNTIFS('United Data'!$A$3:$A$2150,F$1,'United Data'!$C$3:$C$2150,$A600)&gt;0,1,0)</f>
        <v>0</v>
      </c>
      <c r="G600">
        <f>IF(COUNTIFS('United Data'!$A$3:$A$2150,G$1,'United Data'!$C$3:$C$2150,$A600)&gt;0,1,0)</f>
        <v>0</v>
      </c>
      <c r="H600">
        <f>IF(COUNTIFS('United Data'!$A$3:$A$2150,H$1,'United Data'!$C$3:$C$2150,$A600)&gt;0,1,0)</f>
        <v>0</v>
      </c>
      <c r="I600">
        <f>IF(COUNTIFS('United Data'!$A$3:$A$2150,I$1,'United Data'!$C$3:$C$2150,$A600)&gt;0,1,0)</f>
        <v>0</v>
      </c>
      <c r="J600">
        <f>IF(COUNTIFS('United Data'!$A$3:$A$2150,J$1,'United Data'!$C$3:$C$2150,$A600)&gt;0,1,0)</f>
        <v>0</v>
      </c>
      <c r="K600">
        <f>IF(COUNTIFS('United Data'!$A$3:$A$2150,K$1,'United Data'!$C$3:$C$2150,$A600)&gt;0,1,0)</f>
        <v>0</v>
      </c>
      <c r="L600">
        <f>IF(COUNTIFS('United Data'!$A$3:$A$2150,L$1,'United Data'!$C$3:$C$2150,$A600)&gt;0,1,0)</f>
        <v>0</v>
      </c>
      <c r="M600">
        <f>IF(COUNTIFS('United Data'!$A$3:$A$2150,M$1,'United Data'!$C$3:$C$2150,$A600)&gt;0,1,0)</f>
        <v>0</v>
      </c>
      <c r="N600">
        <f>IF(COUNTIFS('United Data'!$A$3:$A$2150,N$1,'United Data'!$C$3:$C$2150,$A600)&gt;0,1,0)</f>
        <v>0</v>
      </c>
      <c r="O600">
        <f>IF(COUNTIFS('United Data'!$A$3:$A$2150,O$1,'United Data'!$C$3:$C$2150,$A600)&gt;0,1,0)</f>
        <v>0</v>
      </c>
      <c r="P600">
        <f>IF(COUNTIFS('United Data'!$A$3:$A$2150,P$1,'United Data'!$C$3:$C$2150,$A600)&gt;0,1,0)</f>
        <v>0</v>
      </c>
      <c r="Q600">
        <f>IF(COUNTIFS('United Data'!$A$3:$A$2150,Q$1,'United Data'!$C$3:$C$2150,$A600)&gt;0,1,0)</f>
        <v>0</v>
      </c>
      <c r="R600">
        <f>IF(COUNTIFS('United Data'!$A$3:$A$2150,R$1,'United Data'!$C$3:$C$2150,$A600)&gt;0,1,0)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646</v>
      </c>
      <c r="B601">
        <f>IF(COUNTIFS('United Data'!$A$3:$A$2150,B$1,'United Data'!$C$3:$C$2150,$A601)&gt;0,1,0)</f>
        <v>0</v>
      </c>
      <c r="C601">
        <f>IF(COUNTIFS('United Data'!$A$3:$A$2150,C$1,'United Data'!$C$3:$C$2150,$A601)&gt;0,1,0)</f>
        <v>0</v>
      </c>
      <c r="D601">
        <f>IF(COUNTIFS('United Data'!$A$3:$A$2150,D$1,'United Data'!$C$3:$C$2150,$A601)&gt;0,1,0)</f>
        <v>0</v>
      </c>
      <c r="E601">
        <f>IF(COUNTIFS('United Data'!$A$3:$A$2150,E$1,'United Data'!$C$3:$C$2150,$A601)&gt;0,1,0)</f>
        <v>0</v>
      </c>
      <c r="F601">
        <f>IF(COUNTIFS('United Data'!$A$3:$A$2150,F$1,'United Data'!$C$3:$C$2150,$A601)&gt;0,1,0)</f>
        <v>1</v>
      </c>
      <c r="G601">
        <f>IF(COUNTIFS('United Data'!$A$3:$A$2150,G$1,'United Data'!$C$3:$C$2150,$A601)&gt;0,1,0)</f>
        <v>0</v>
      </c>
      <c r="H601">
        <f>IF(COUNTIFS('United Data'!$A$3:$A$2150,H$1,'United Data'!$C$3:$C$2150,$A601)&gt;0,1,0)</f>
        <v>0</v>
      </c>
      <c r="I601">
        <f>IF(COUNTIFS('United Data'!$A$3:$A$2150,I$1,'United Data'!$C$3:$C$2150,$A601)&gt;0,1,0)</f>
        <v>0</v>
      </c>
      <c r="J601">
        <f>IF(COUNTIFS('United Data'!$A$3:$A$2150,J$1,'United Data'!$C$3:$C$2150,$A601)&gt;0,1,0)</f>
        <v>0</v>
      </c>
      <c r="K601">
        <f>IF(COUNTIFS('United Data'!$A$3:$A$2150,K$1,'United Data'!$C$3:$C$2150,$A601)&gt;0,1,0)</f>
        <v>0</v>
      </c>
      <c r="L601">
        <f>IF(COUNTIFS('United Data'!$A$3:$A$2150,L$1,'United Data'!$C$3:$C$2150,$A601)&gt;0,1,0)</f>
        <v>0</v>
      </c>
      <c r="M601">
        <f>IF(COUNTIFS('United Data'!$A$3:$A$2150,M$1,'United Data'!$C$3:$C$2150,$A601)&gt;0,1,0)</f>
        <v>0</v>
      </c>
      <c r="N601">
        <f>IF(COUNTIFS('United Data'!$A$3:$A$2150,N$1,'United Data'!$C$3:$C$2150,$A601)&gt;0,1,0)</f>
        <v>0</v>
      </c>
      <c r="O601">
        <f>IF(COUNTIFS('United Data'!$A$3:$A$2150,O$1,'United Data'!$C$3:$C$2150,$A601)&gt;0,1,0)</f>
        <v>0</v>
      </c>
      <c r="P601">
        <f>IF(COUNTIFS('United Data'!$A$3:$A$2150,P$1,'United Data'!$C$3:$C$2150,$A601)&gt;0,1,0)</f>
        <v>0</v>
      </c>
      <c r="Q601">
        <f>IF(COUNTIFS('United Data'!$A$3:$A$2150,Q$1,'United Data'!$C$3:$C$2150,$A601)&gt;0,1,0)</f>
        <v>0</v>
      </c>
      <c r="R601">
        <f>IF(COUNTIFS('United Data'!$A$3:$A$2150,R$1,'United Data'!$C$3:$C$2150,$A601)&gt;0,1,0)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647</v>
      </c>
      <c r="B602">
        <f>IF(COUNTIFS('United Data'!$A$3:$A$2150,B$1,'United Data'!$C$3:$C$2150,$A602)&gt;0,1,0)</f>
        <v>0</v>
      </c>
      <c r="C602">
        <f>IF(COUNTIFS('United Data'!$A$3:$A$2150,C$1,'United Data'!$C$3:$C$2150,$A602)&gt;0,1,0)</f>
        <v>0</v>
      </c>
      <c r="D602">
        <f>IF(COUNTIFS('United Data'!$A$3:$A$2150,D$1,'United Data'!$C$3:$C$2150,$A602)&gt;0,1,0)</f>
        <v>0</v>
      </c>
      <c r="E602">
        <f>IF(COUNTIFS('United Data'!$A$3:$A$2150,E$1,'United Data'!$C$3:$C$2150,$A602)&gt;0,1,0)</f>
        <v>0</v>
      </c>
      <c r="F602">
        <f>IF(COUNTIFS('United Data'!$A$3:$A$2150,F$1,'United Data'!$C$3:$C$2150,$A602)&gt;0,1,0)</f>
        <v>1</v>
      </c>
      <c r="G602">
        <f>IF(COUNTIFS('United Data'!$A$3:$A$2150,G$1,'United Data'!$C$3:$C$2150,$A602)&gt;0,1,0)</f>
        <v>0</v>
      </c>
      <c r="H602">
        <f>IF(COUNTIFS('United Data'!$A$3:$A$2150,H$1,'United Data'!$C$3:$C$2150,$A602)&gt;0,1,0)</f>
        <v>0</v>
      </c>
      <c r="I602">
        <f>IF(COUNTIFS('United Data'!$A$3:$A$2150,I$1,'United Data'!$C$3:$C$2150,$A602)&gt;0,1,0)</f>
        <v>0</v>
      </c>
      <c r="J602">
        <f>IF(COUNTIFS('United Data'!$A$3:$A$2150,J$1,'United Data'!$C$3:$C$2150,$A602)&gt;0,1,0)</f>
        <v>0</v>
      </c>
      <c r="K602">
        <f>IF(COUNTIFS('United Data'!$A$3:$A$2150,K$1,'United Data'!$C$3:$C$2150,$A602)&gt;0,1,0)</f>
        <v>0</v>
      </c>
      <c r="L602">
        <f>IF(COUNTIFS('United Data'!$A$3:$A$2150,L$1,'United Data'!$C$3:$C$2150,$A602)&gt;0,1,0)</f>
        <v>0</v>
      </c>
      <c r="M602">
        <f>IF(COUNTIFS('United Data'!$A$3:$A$2150,M$1,'United Data'!$C$3:$C$2150,$A602)&gt;0,1,0)</f>
        <v>0</v>
      </c>
      <c r="N602">
        <f>IF(COUNTIFS('United Data'!$A$3:$A$2150,N$1,'United Data'!$C$3:$C$2150,$A602)&gt;0,1,0)</f>
        <v>0</v>
      </c>
      <c r="O602">
        <f>IF(COUNTIFS('United Data'!$A$3:$A$2150,O$1,'United Data'!$C$3:$C$2150,$A602)&gt;0,1,0)</f>
        <v>0</v>
      </c>
      <c r="P602">
        <f>IF(COUNTIFS('United Data'!$A$3:$A$2150,P$1,'United Data'!$C$3:$C$2150,$A602)&gt;0,1,0)</f>
        <v>0</v>
      </c>
      <c r="Q602">
        <f>IF(COUNTIFS('United Data'!$A$3:$A$2150,Q$1,'United Data'!$C$3:$C$2150,$A602)&gt;0,1,0)</f>
        <v>0</v>
      </c>
      <c r="R602">
        <f>IF(COUNTIFS('United Data'!$A$3:$A$2150,R$1,'United Data'!$C$3:$C$2150,$A602)&gt;0,1,0)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648</v>
      </c>
      <c r="B603">
        <f>IF(COUNTIFS('United Data'!$A$3:$A$2150,B$1,'United Data'!$C$3:$C$2150,$A603)&gt;0,1,0)</f>
        <v>0</v>
      </c>
      <c r="C603">
        <f>IF(COUNTIFS('United Data'!$A$3:$A$2150,C$1,'United Data'!$C$3:$C$2150,$A603)&gt;0,1,0)</f>
        <v>0</v>
      </c>
      <c r="D603">
        <f>IF(COUNTIFS('United Data'!$A$3:$A$2150,D$1,'United Data'!$C$3:$C$2150,$A603)&gt;0,1,0)</f>
        <v>0</v>
      </c>
      <c r="E603">
        <f>IF(COUNTIFS('United Data'!$A$3:$A$2150,E$1,'United Data'!$C$3:$C$2150,$A603)&gt;0,1,0)</f>
        <v>0</v>
      </c>
      <c r="F603">
        <f>IF(COUNTIFS('United Data'!$A$3:$A$2150,F$1,'United Data'!$C$3:$C$2150,$A603)&gt;0,1,0)</f>
        <v>0</v>
      </c>
      <c r="G603">
        <f>IF(COUNTIFS('United Data'!$A$3:$A$2150,G$1,'United Data'!$C$3:$C$2150,$A603)&gt;0,1,0)</f>
        <v>1</v>
      </c>
      <c r="H603">
        <f>IF(COUNTIFS('United Data'!$A$3:$A$2150,H$1,'United Data'!$C$3:$C$2150,$A603)&gt;0,1,0)</f>
        <v>0</v>
      </c>
      <c r="I603">
        <f>IF(COUNTIFS('United Data'!$A$3:$A$2150,I$1,'United Data'!$C$3:$C$2150,$A603)&gt;0,1,0)</f>
        <v>0</v>
      </c>
      <c r="J603">
        <f>IF(COUNTIFS('United Data'!$A$3:$A$2150,J$1,'United Data'!$C$3:$C$2150,$A603)&gt;0,1,0)</f>
        <v>0</v>
      </c>
      <c r="K603">
        <f>IF(COUNTIFS('United Data'!$A$3:$A$2150,K$1,'United Data'!$C$3:$C$2150,$A603)&gt;0,1,0)</f>
        <v>0</v>
      </c>
      <c r="L603">
        <f>IF(COUNTIFS('United Data'!$A$3:$A$2150,L$1,'United Data'!$C$3:$C$2150,$A603)&gt;0,1,0)</f>
        <v>0</v>
      </c>
      <c r="M603">
        <f>IF(COUNTIFS('United Data'!$A$3:$A$2150,M$1,'United Data'!$C$3:$C$2150,$A603)&gt;0,1,0)</f>
        <v>0</v>
      </c>
      <c r="N603">
        <f>IF(COUNTIFS('United Data'!$A$3:$A$2150,N$1,'United Data'!$C$3:$C$2150,$A603)&gt;0,1,0)</f>
        <v>0</v>
      </c>
      <c r="O603">
        <f>IF(COUNTIFS('United Data'!$A$3:$A$2150,O$1,'United Data'!$C$3:$C$2150,$A603)&gt;0,1,0)</f>
        <v>0</v>
      </c>
      <c r="P603">
        <f>IF(COUNTIFS('United Data'!$A$3:$A$2150,P$1,'United Data'!$C$3:$C$2150,$A603)&gt;0,1,0)</f>
        <v>0</v>
      </c>
      <c r="Q603">
        <f>IF(COUNTIFS('United Data'!$A$3:$A$2150,Q$1,'United Data'!$C$3:$C$2150,$A603)&gt;0,1,0)</f>
        <v>0</v>
      </c>
      <c r="R603">
        <f>IF(COUNTIFS('United Data'!$A$3:$A$2150,R$1,'United Data'!$C$3:$C$2150,$A603)&gt;0,1,0)</f>
        <v>0</v>
      </c>
      <c r="S603">
        <f t="shared" si="18"/>
        <v>1</v>
      </c>
      <c r="T603">
        <f t="shared" si="19"/>
        <v>1</v>
      </c>
    </row>
    <row r="604" spans="1:20" x14ac:dyDescent="0.2">
      <c r="A604" t="s">
        <v>649</v>
      </c>
      <c r="B604">
        <f>IF(COUNTIFS('United Data'!$A$3:$A$2150,B$1,'United Data'!$C$3:$C$2150,$A604)&gt;0,1,0)</f>
        <v>0</v>
      </c>
      <c r="C604">
        <f>IF(COUNTIFS('United Data'!$A$3:$A$2150,C$1,'United Data'!$C$3:$C$2150,$A604)&gt;0,1,0)</f>
        <v>0</v>
      </c>
      <c r="D604">
        <f>IF(COUNTIFS('United Data'!$A$3:$A$2150,D$1,'United Data'!$C$3:$C$2150,$A604)&gt;0,1,0)</f>
        <v>0</v>
      </c>
      <c r="E604">
        <f>IF(COUNTIFS('United Data'!$A$3:$A$2150,E$1,'United Data'!$C$3:$C$2150,$A604)&gt;0,1,0)</f>
        <v>0</v>
      </c>
      <c r="F604">
        <f>IF(COUNTIFS('United Data'!$A$3:$A$2150,F$1,'United Data'!$C$3:$C$2150,$A604)&gt;0,1,0)</f>
        <v>0</v>
      </c>
      <c r="G604">
        <f>IF(COUNTIFS('United Data'!$A$3:$A$2150,G$1,'United Data'!$C$3:$C$2150,$A604)&gt;0,1,0)</f>
        <v>1</v>
      </c>
      <c r="H604">
        <f>IF(COUNTIFS('United Data'!$A$3:$A$2150,H$1,'United Data'!$C$3:$C$2150,$A604)&gt;0,1,0)</f>
        <v>0</v>
      </c>
      <c r="I604">
        <f>IF(COUNTIFS('United Data'!$A$3:$A$2150,I$1,'United Data'!$C$3:$C$2150,$A604)&gt;0,1,0)</f>
        <v>0</v>
      </c>
      <c r="J604">
        <f>IF(COUNTIFS('United Data'!$A$3:$A$2150,J$1,'United Data'!$C$3:$C$2150,$A604)&gt;0,1,0)</f>
        <v>0</v>
      </c>
      <c r="K604">
        <f>IF(COUNTIFS('United Data'!$A$3:$A$2150,K$1,'United Data'!$C$3:$C$2150,$A604)&gt;0,1,0)</f>
        <v>0</v>
      </c>
      <c r="L604">
        <f>IF(COUNTIFS('United Data'!$A$3:$A$2150,L$1,'United Data'!$C$3:$C$2150,$A604)&gt;0,1,0)</f>
        <v>0</v>
      </c>
      <c r="M604">
        <f>IF(COUNTIFS('United Data'!$A$3:$A$2150,M$1,'United Data'!$C$3:$C$2150,$A604)&gt;0,1,0)</f>
        <v>0</v>
      </c>
      <c r="N604">
        <f>IF(COUNTIFS('United Data'!$A$3:$A$2150,N$1,'United Data'!$C$3:$C$2150,$A604)&gt;0,1,0)</f>
        <v>0</v>
      </c>
      <c r="O604">
        <f>IF(COUNTIFS('United Data'!$A$3:$A$2150,O$1,'United Data'!$C$3:$C$2150,$A604)&gt;0,1,0)</f>
        <v>0</v>
      </c>
      <c r="P604">
        <f>IF(COUNTIFS('United Data'!$A$3:$A$2150,P$1,'United Data'!$C$3:$C$2150,$A604)&gt;0,1,0)</f>
        <v>0</v>
      </c>
      <c r="Q604">
        <f>IF(COUNTIFS('United Data'!$A$3:$A$2150,Q$1,'United Data'!$C$3:$C$2150,$A604)&gt;0,1,0)</f>
        <v>0</v>
      </c>
      <c r="R604">
        <f>IF(COUNTIFS('United Data'!$A$3:$A$2150,R$1,'United Data'!$C$3:$C$2150,$A604)&gt;0,1,0)</f>
        <v>0</v>
      </c>
      <c r="S604">
        <f t="shared" si="18"/>
        <v>1</v>
      </c>
      <c r="T604">
        <f t="shared" si="19"/>
        <v>1</v>
      </c>
    </row>
    <row r="605" spans="1:20" x14ac:dyDescent="0.2">
      <c r="A605" t="s">
        <v>650</v>
      </c>
      <c r="B605">
        <f>IF(COUNTIFS('United Data'!$A$3:$A$2150,B$1,'United Data'!$C$3:$C$2150,$A605)&gt;0,1,0)</f>
        <v>0</v>
      </c>
      <c r="C605">
        <f>IF(COUNTIFS('United Data'!$A$3:$A$2150,C$1,'United Data'!$C$3:$C$2150,$A605)&gt;0,1,0)</f>
        <v>0</v>
      </c>
      <c r="D605">
        <f>IF(COUNTIFS('United Data'!$A$3:$A$2150,D$1,'United Data'!$C$3:$C$2150,$A605)&gt;0,1,0)</f>
        <v>0</v>
      </c>
      <c r="E605">
        <f>IF(COUNTIFS('United Data'!$A$3:$A$2150,E$1,'United Data'!$C$3:$C$2150,$A605)&gt;0,1,0)</f>
        <v>0</v>
      </c>
      <c r="F605">
        <f>IF(COUNTIFS('United Data'!$A$3:$A$2150,F$1,'United Data'!$C$3:$C$2150,$A605)&gt;0,1,0)</f>
        <v>0</v>
      </c>
      <c r="G605">
        <f>IF(COUNTIFS('United Data'!$A$3:$A$2150,G$1,'United Data'!$C$3:$C$2150,$A605)&gt;0,1,0)</f>
        <v>1</v>
      </c>
      <c r="H605">
        <f>IF(COUNTIFS('United Data'!$A$3:$A$2150,H$1,'United Data'!$C$3:$C$2150,$A605)&gt;0,1,0)</f>
        <v>1</v>
      </c>
      <c r="I605">
        <f>IF(COUNTIFS('United Data'!$A$3:$A$2150,I$1,'United Data'!$C$3:$C$2150,$A605)&gt;0,1,0)</f>
        <v>0</v>
      </c>
      <c r="J605">
        <f>IF(COUNTIFS('United Data'!$A$3:$A$2150,J$1,'United Data'!$C$3:$C$2150,$A605)&gt;0,1,0)</f>
        <v>0</v>
      </c>
      <c r="K605">
        <f>IF(COUNTIFS('United Data'!$A$3:$A$2150,K$1,'United Data'!$C$3:$C$2150,$A605)&gt;0,1,0)</f>
        <v>0</v>
      </c>
      <c r="L605">
        <f>IF(COUNTIFS('United Data'!$A$3:$A$2150,L$1,'United Data'!$C$3:$C$2150,$A605)&gt;0,1,0)</f>
        <v>0</v>
      </c>
      <c r="M605">
        <f>IF(COUNTIFS('United Data'!$A$3:$A$2150,M$1,'United Data'!$C$3:$C$2150,$A605)&gt;0,1,0)</f>
        <v>0</v>
      </c>
      <c r="N605">
        <f>IF(COUNTIFS('United Data'!$A$3:$A$2150,N$1,'United Data'!$C$3:$C$2150,$A605)&gt;0,1,0)</f>
        <v>0</v>
      </c>
      <c r="O605">
        <f>IF(COUNTIFS('United Data'!$A$3:$A$2150,O$1,'United Data'!$C$3:$C$2150,$A605)&gt;0,1,0)</f>
        <v>0</v>
      </c>
      <c r="P605">
        <f>IF(COUNTIFS('United Data'!$A$3:$A$2150,P$1,'United Data'!$C$3:$C$2150,$A605)&gt;0,1,0)</f>
        <v>0</v>
      </c>
      <c r="Q605">
        <f>IF(COUNTIFS('United Data'!$A$3:$A$2150,Q$1,'United Data'!$C$3:$C$2150,$A605)&gt;0,1,0)</f>
        <v>0</v>
      </c>
      <c r="R605">
        <f>IF(COUNTIFS('United Data'!$A$3:$A$2150,R$1,'United Data'!$C$3:$C$2150,$A605)&gt;0,1,0)</f>
        <v>0</v>
      </c>
      <c r="S605">
        <f t="shared" si="18"/>
        <v>2</v>
      </c>
      <c r="T605">
        <f t="shared" si="19"/>
        <v>1</v>
      </c>
    </row>
    <row r="606" spans="1:20" x14ac:dyDescent="0.2">
      <c r="A606" t="s">
        <v>651</v>
      </c>
      <c r="B606">
        <f>IF(COUNTIFS('United Data'!$A$3:$A$2150,B$1,'United Data'!$C$3:$C$2150,$A606)&gt;0,1,0)</f>
        <v>0</v>
      </c>
      <c r="C606">
        <f>IF(COUNTIFS('United Data'!$A$3:$A$2150,C$1,'United Data'!$C$3:$C$2150,$A606)&gt;0,1,0)</f>
        <v>0</v>
      </c>
      <c r="D606">
        <f>IF(COUNTIFS('United Data'!$A$3:$A$2150,D$1,'United Data'!$C$3:$C$2150,$A606)&gt;0,1,0)</f>
        <v>0</v>
      </c>
      <c r="E606">
        <f>IF(COUNTIFS('United Data'!$A$3:$A$2150,E$1,'United Data'!$C$3:$C$2150,$A606)&gt;0,1,0)</f>
        <v>0</v>
      </c>
      <c r="F606">
        <f>IF(COUNTIFS('United Data'!$A$3:$A$2150,F$1,'United Data'!$C$3:$C$2150,$A606)&gt;0,1,0)</f>
        <v>0</v>
      </c>
      <c r="G606">
        <f>IF(COUNTIFS('United Data'!$A$3:$A$2150,G$1,'United Data'!$C$3:$C$2150,$A606)&gt;0,1,0)</f>
        <v>0</v>
      </c>
      <c r="H606">
        <f>IF(COUNTIFS('United Data'!$A$3:$A$2150,H$1,'United Data'!$C$3:$C$2150,$A606)&gt;0,1,0)</f>
        <v>1</v>
      </c>
      <c r="I606">
        <f>IF(COUNTIFS('United Data'!$A$3:$A$2150,I$1,'United Data'!$C$3:$C$2150,$A606)&gt;0,1,0)</f>
        <v>0</v>
      </c>
      <c r="J606">
        <f>IF(COUNTIFS('United Data'!$A$3:$A$2150,J$1,'United Data'!$C$3:$C$2150,$A606)&gt;0,1,0)</f>
        <v>0</v>
      </c>
      <c r="K606">
        <f>IF(COUNTIFS('United Data'!$A$3:$A$2150,K$1,'United Data'!$C$3:$C$2150,$A606)&gt;0,1,0)</f>
        <v>0</v>
      </c>
      <c r="L606">
        <f>IF(COUNTIFS('United Data'!$A$3:$A$2150,L$1,'United Data'!$C$3:$C$2150,$A606)&gt;0,1,0)</f>
        <v>0</v>
      </c>
      <c r="M606">
        <f>IF(COUNTIFS('United Data'!$A$3:$A$2150,M$1,'United Data'!$C$3:$C$2150,$A606)&gt;0,1,0)</f>
        <v>0</v>
      </c>
      <c r="N606">
        <f>IF(COUNTIFS('United Data'!$A$3:$A$2150,N$1,'United Data'!$C$3:$C$2150,$A606)&gt;0,1,0)</f>
        <v>0</v>
      </c>
      <c r="O606">
        <f>IF(COUNTIFS('United Data'!$A$3:$A$2150,O$1,'United Data'!$C$3:$C$2150,$A606)&gt;0,1,0)</f>
        <v>0</v>
      </c>
      <c r="P606">
        <f>IF(COUNTIFS('United Data'!$A$3:$A$2150,P$1,'United Data'!$C$3:$C$2150,$A606)&gt;0,1,0)</f>
        <v>0</v>
      </c>
      <c r="Q606">
        <f>IF(COUNTIFS('United Data'!$A$3:$A$2150,Q$1,'United Data'!$C$3:$C$2150,$A606)&gt;0,1,0)</f>
        <v>0</v>
      </c>
      <c r="R606">
        <f>IF(COUNTIFS('United Data'!$A$3:$A$2150,R$1,'United Data'!$C$3:$C$2150,$A606)&gt;0,1,0)</f>
        <v>0</v>
      </c>
      <c r="S606">
        <f t="shared" si="18"/>
        <v>1</v>
      </c>
      <c r="T606">
        <f t="shared" si="19"/>
        <v>1</v>
      </c>
    </row>
    <row r="607" spans="1:20" x14ac:dyDescent="0.2">
      <c r="A607" t="s">
        <v>652</v>
      </c>
      <c r="B607">
        <f>IF(COUNTIFS('United Data'!$A$3:$A$2150,B$1,'United Data'!$C$3:$C$2150,$A607)&gt;0,1,0)</f>
        <v>0</v>
      </c>
      <c r="C607">
        <f>IF(COUNTIFS('United Data'!$A$3:$A$2150,C$1,'United Data'!$C$3:$C$2150,$A607)&gt;0,1,0)</f>
        <v>0</v>
      </c>
      <c r="D607">
        <f>IF(COUNTIFS('United Data'!$A$3:$A$2150,D$1,'United Data'!$C$3:$C$2150,$A607)&gt;0,1,0)</f>
        <v>0</v>
      </c>
      <c r="E607">
        <f>IF(COUNTIFS('United Data'!$A$3:$A$2150,E$1,'United Data'!$C$3:$C$2150,$A607)&gt;0,1,0)</f>
        <v>1</v>
      </c>
      <c r="F607">
        <f>IF(COUNTIFS('United Data'!$A$3:$A$2150,F$1,'United Data'!$C$3:$C$2150,$A607)&gt;0,1,0)</f>
        <v>1</v>
      </c>
      <c r="G607">
        <f>IF(COUNTIFS('United Data'!$A$3:$A$2150,G$1,'United Data'!$C$3:$C$2150,$A607)&gt;0,1,0)</f>
        <v>0</v>
      </c>
      <c r="H607">
        <f>IF(COUNTIFS('United Data'!$A$3:$A$2150,H$1,'United Data'!$C$3:$C$2150,$A607)&gt;0,1,0)</f>
        <v>1</v>
      </c>
      <c r="I607">
        <f>IF(COUNTIFS('United Data'!$A$3:$A$2150,I$1,'United Data'!$C$3:$C$2150,$A607)&gt;0,1,0)</f>
        <v>1</v>
      </c>
      <c r="J607">
        <f>IF(COUNTIFS('United Data'!$A$3:$A$2150,J$1,'United Data'!$C$3:$C$2150,$A607)&gt;0,1,0)</f>
        <v>0</v>
      </c>
      <c r="K607">
        <f>IF(COUNTIFS('United Data'!$A$3:$A$2150,K$1,'United Data'!$C$3:$C$2150,$A607)&gt;0,1,0)</f>
        <v>0</v>
      </c>
      <c r="L607">
        <f>IF(COUNTIFS('United Data'!$A$3:$A$2150,L$1,'United Data'!$C$3:$C$2150,$A607)&gt;0,1,0)</f>
        <v>0</v>
      </c>
      <c r="M607">
        <f>IF(COUNTIFS('United Data'!$A$3:$A$2150,M$1,'United Data'!$C$3:$C$2150,$A607)&gt;0,1,0)</f>
        <v>0</v>
      </c>
      <c r="N607">
        <f>IF(COUNTIFS('United Data'!$A$3:$A$2150,N$1,'United Data'!$C$3:$C$2150,$A607)&gt;0,1,0)</f>
        <v>0</v>
      </c>
      <c r="O607">
        <f>IF(COUNTIFS('United Data'!$A$3:$A$2150,O$1,'United Data'!$C$3:$C$2150,$A607)&gt;0,1,0)</f>
        <v>0</v>
      </c>
      <c r="P607">
        <f>IF(COUNTIFS('United Data'!$A$3:$A$2150,P$1,'United Data'!$C$3:$C$2150,$A607)&gt;0,1,0)</f>
        <v>0</v>
      </c>
      <c r="Q607">
        <f>IF(COUNTIFS('United Data'!$A$3:$A$2150,Q$1,'United Data'!$C$3:$C$2150,$A607)&gt;0,1,0)</f>
        <v>0</v>
      </c>
      <c r="R607">
        <f>IF(COUNTIFS('United Data'!$A$3:$A$2150,R$1,'United Data'!$C$3:$C$2150,$A607)&gt;0,1,0)</f>
        <v>0</v>
      </c>
      <c r="S607">
        <f t="shared" si="18"/>
        <v>4</v>
      </c>
      <c r="T607">
        <f t="shared" si="19"/>
        <v>2</v>
      </c>
    </row>
    <row r="608" spans="1:20" x14ac:dyDescent="0.2">
      <c r="A608" t="s">
        <v>654</v>
      </c>
      <c r="B608">
        <f>IF(COUNTIFS('United Data'!$A$3:$A$2150,B$1,'United Data'!$C$3:$C$2150,$A608)&gt;0,1,0)</f>
        <v>0</v>
      </c>
      <c r="C608">
        <f>IF(COUNTIFS('United Data'!$A$3:$A$2150,C$1,'United Data'!$C$3:$C$2150,$A608)&gt;0,1,0)</f>
        <v>0</v>
      </c>
      <c r="D608">
        <f>IF(COUNTIFS('United Data'!$A$3:$A$2150,D$1,'United Data'!$C$3:$C$2150,$A608)&gt;0,1,0)</f>
        <v>0</v>
      </c>
      <c r="E608">
        <f>IF(COUNTIFS('United Data'!$A$3:$A$2150,E$1,'United Data'!$C$3:$C$2150,$A608)&gt;0,1,0)</f>
        <v>0</v>
      </c>
      <c r="F608">
        <f>IF(COUNTIFS('United Data'!$A$3:$A$2150,F$1,'United Data'!$C$3:$C$2150,$A608)&gt;0,1,0)</f>
        <v>0</v>
      </c>
      <c r="G608">
        <f>IF(COUNTIFS('United Data'!$A$3:$A$2150,G$1,'United Data'!$C$3:$C$2150,$A608)&gt;0,1,0)</f>
        <v>0</v>
      </c>
      <c r="H608">
        <f>IF(COUNTIFS('United Data'!$A$3:$A$2150,H$1,'United Data'!$C$3:$C$2150,$A608)&gt;0,1,0)</f>
        <v>0</v>
      </c>
      <c r="I608">
        <f>IF(COUNTIFS('United Data'!$A$3:$A$2150,I$1,'United Data'!$C$3:$C$2150,$A608)&gt;0,1,0)</f>
        <v>1</v>
      </c>
      <c r="J608">
        <f>IF(COUNTIFS('United Data'!$A$3:$A$2150,J$1,'United Data'!$C$3:$C$2150,$A608)&gt;0,1,0)</f>
        <v>0</v>
      </c>
      <c r="K608">
        <f>IF(COUNTIFS('United Data'!$A$3:$A$2150,K$1,'United Data'!$C$3:$C$2150,$A608)&gt;0,1,0)</f>
        <v>0</v>
      </c>
      <c r="L608">
        <f>IF(COUNTIFS('United Data'!$A$3:$A$2150,L$1,'United Data'!$C$3:$C$2150,$A608)&gt;0,1,0)</f>
        <v>0</v>
      </c>
      <c r="M608">
        <f>IF(COUNTIFS('United Data'!$A$3:$A$2150,M$1,'United Data'!$C$3:$C$2150,$A608)&gt;0,1,0)</f>
        <v>0</v>
      </c>
      <c r="N608">
        <f>IF(COUNTIFS('United Data'!$A$3:$A$2150,N$1,'United Data'!$C$3:$C$2150,$A608)&gt;0,1,0)</f>
        <v>0</v>
      </c>
      <c r="O608">
        <f>IF(COUNTIFS('United Data'!$A$3:$A$2150,O$1,'United Data'!$C$3:$C$2150,$A608)&gt;0,1,0)</f>
        <v>0</v>
      </c>
      <c r="P608">
        <f>IF(COUNTIFS('United Data'!$A$3:$A$2150,P$1,'United Data'!$C$3:$C$2150,$A608)&gt;0,1,0)</f>
        <v>0</v>
      </c>
      <c r="Q608">
        <f>IF(COUNTIFS('United Data'!$A$3:$A$2150,Q$1,'United Data'!$C$3:$C$2150,$A608)&gt;0,1,0)</f>
        <v>0</v>
      </c>
      <c r="R608">
        <f>IF(COUNTIFS('United Data'!$A$3:$A$2150,R$1,'United Data'!$C$3:$C$2150,$A608)&gt;0,1,0)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655</v>
      </c>
      <c r="B609">
        <f>IF(COUNTIFS('United Data'!$A$3:$A$2150,B$1,'United Data'!$C$3:$C$2150,$A609)&gt;0,1,0)</f>
        <v>0</v>
      </c>
      <c r="C609">
        <f>IF(COUNTIFS('United Data'!$A$3:$A$2150,C$1,'United Data'!$C$3:$C$2150,$A609)&gt;0,1,0)</f>
        <v>0</v>
      </c>
      <c r="D609">
        <f>IF(COUNTIFS('United Data'!$A$3:$A$2150,D$1,'United Data'!$C$3:$C$2150,$A609)&gt;0,1,0)</f>
        <v>0</v>
      </c>
      <c r="E609">
        <f>IF(COUNTIFS('United Data'!$A$3:$A$2150,E$1,'United Data'!$C$3:$C$2150,$A609)&gt;0,1,0)</f>
        <v>0</v>
      </c>
      <c r="F609">
        <f>IF(COUNTIFS('United Data'!$A$3:$A$2150,F$1,'United Data'!$C$3:$C$2150,$A609)&gt;0,1,0)</f>
        <v>0</v>
      </c>
      <c r="G609">
        <f>IF(COUNTIFS('United Data'!$A$3:$A$2150,G$1,'United Data'!$C$3:$C$2150,$A609)&gt;0,1,0)</f>
        <v>0</v>
      </c>
      <c r="H609">
        <f>IF(COUNTIFS('United Data'!$A$3:$A$2150,H$1,'United Data'!$C$3:$C$2150,$A609)&gt;0,1,0)</f>
        <v>0</v>
      </c>
      <c r="I609">
        <f>IF(COUNTIFS('United Data'!$A$3:$A$2150,I$1,'United Data'!$C$3:$C$2150,$A609)&gt;0,1,0)</f>
        <v>0</v>
      </c>
      <c r="J609">
        <f>IF(COUNTIFS('United Data'!$A$3:$A$2150,J$1,'United Data'!$C$3:$C$2150,$A609)&gt;0,1,0)</f>
        <v>1</v>
      </c>
      <c r="K609">
        <f>IF(COUNTIFS('United Data'!$A$3:$A$2150,K$1,'United Data'!$C$3:$C$2150,$A609)&gt;0,1,0)</f>
        <v>0</v>
      </c>
      <c r="L609">
        <f>IF(COUNTIFS('United Data'!$A$3:$A$2150,L$1,'United Data'!$C$3:$C$2150,$A609)&gt;0,1,0)</f>
        <v>0</v>
      </c>
      <c r="M609">
        <f>IF(COUNTIFS('United Data'!$A$3:$A$2150,M$1,'United Data'!$C$3:$C$2150,$A609)&gt;0,1,0)</f>
        <v>0</v>
      </c>
      <c r="N609">
        <f>IF(COUNTIFS('United Data'!$A$3:$A$2150,N$1,'United Data'!$C$3:$C$2150,$A609)&gt;0,1,0)</f>
        <v>0</v>
      </c>
      <c r="O609">
        <f>IF(COUNTIFS('United Data'!$A$3:$A$2150,O$1,'United Data'!$C$3:$C$2150,$A609)&gt;0,1,0)</f>
        <v>0</v>
      </c>
      <c r="P609">
        <f>IF(COUNTIFS('United Data'!$A$3:$A$2150,P$1,'United Data'!$C$3:$C$2150,$A609)&gt;0,1,0)</f>
        <v>0</v>
      </c>
      <c r="Q609">
        <f>IF(COUNTIFS('United Data'!$A$3:$A$2150,Q$1,'United Data'!$C$3:$C$2150,$A609)&gt;0,1,0)</f>
        <v>0</v>
      </c>
      <c r="R609">
        <f>IF(COUNTIFS('United Data'!$A$3:$A$2150,R$1,'United Data'!$C$3:$C$2150,$A609)&gt;0,1,0)</f>
        <v>0</v>
      </c>
      <c r="S609">
        <f t="shared" si="18"/>
        <v>1</v>
      </c>
      <c r="T609">
        <f t="shared" si="19"/>
        <v>1</v>
      </c>
    </row>
    <row r="610" spans="1:20" x14ac:dyDescent="0.2">
      <c r="A610" t="s">
        <v>656</v>
      </c>
      <c r="B610">
        <f>IF(COUNTIFS('United Data'!$A$3:$A$2150,B$1,'United Data'!$C$3:$C$2150,$A610)&gt;0,1,0)</f>
        <v>0</v>
      </c>
      <c r="C610">
        <f>IF(COUNTIFS('United Data'!$A$3:$A$2150,C$1,'United Data'!$C$3:$C$2150,$A610)&gt;0,1,0)</f>
        <v>0</v>
      </c>
      <c r="D610">
        <f>IF(COUNTIFS('United Data'!$A$3:$A$2150,D$1,'United Data'!$C$3:$C$2150,$A610)&gt;0,1,0)</f>
        <v>0</v>
      </c>
      <c r="E610">
        <f>IF(COUNTIFS('United Data'!$A$3:$A$2150,E$1,'United Data'!$C$3:$C$2150,$A610)&gt;0,1,0)</f>
        <v>0</v>
      </c>
      <c r="F610">
        <f>IF(COUNTIFS('United Data'!$A$3:$A$2150,F$1,'United Data'!$C$3:$C$2150,$A610)&gt;0,1,0)</f>
        <v>0</v>
      </c>
      <c r="G610">
        <f>IF(COUNTIFS('United Data'!$A$3:$A$2150,G$1,'United Data'!$C$3:$C$2150,$A610)&gt;0,1,0)</f>
        <v>0</v>
      </c>
      <c r="H610">
        <f>IF(COUNTIFS('United Data'!$A$3:$A$2150,H$1,'United Data'!$C$3:$C$2150,$A610)&gt;0,1,0)</f>
        <v>0</v>
      </c>
      <c r="I610">
        <f>IF(COUNTIFS('United Data'!$A$3:$A$2150,I$1,'United Data'!$C$3:$C$2150,$A610)&gt;0,1,0)</f>
        <v>0</v>
      </c>
      <c r="J610">
        <f>IF(COUNTIFS('United Data'!$A$3:$A$2150,J$1,'United Data'!$C$3:$C$2150,$A610)&gt;0,1,0)</f>
        <v>1</v>
      </c>
      <c r="K610">
        <f>IF(COUNTIFS('United Data'!$A$3:$A$2150,K$1,'United Data'!$C$3:$C$2150,$A610)&gt;0,1,0)</f>
        <v>0</v>
      </c>
      <c r="L610">
        <f>IF(COUNTIFS('United Data'!$A$3:$A$2150,L$1,'United Data'!$C$3:$C$2150,$A610)&gt;0,1,0)</f>
        <v>0</v>
      </c>
      <c r="M610">
        <f>IF(COUNTIFS('United Data'!$A$3:$A$2150,M$1,'United Data'!$C$3:$C$2150,$A610)&gt;0,1,0)</f>
        <v>0</v>
      </c>
      <c r="N610">
        <f>IF(COUNTIFS('United Data'!$A$3:$A$2150,N$1,'United Data'!$C$3:$C$2150,$A610)&gt;0,1,0)</f>
        <v>0</v>
      </c>
      <c r="O610">
        <f>IF(COUNTIFS('United Data'!$A$3:$A$2150,O$1,'United Data'!$C$3:$C$2150,$A610)&gt;0,1,0)</f>
        <v>0</v>
      </c>
      <c r="P610">
        <f>IF(COUNTIFS('United Data'!$A$3:$A$2150,P$1,'United Data'!$C$3:$C$2150,$A610)&gt;0,1,0)</f>
        <v>0</v>
      </c>
      <c r="Q610">
        <f>IF(COUNTIFS('United Data'!$A$3:$A$2150,Q$1,'United Data'!$C$3:$C$2150,$A610)&gt;0,1,0)</f>
        <v>0</v>
      </c>
      <c r="R610">
        <f>IF(COUNTIFS('United Data'!$A$3:$A$2150,R$1,'United Data'!$C$3:$C$2150,$A610)&gt;0,1,0)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657</v>
      </c>
      <c r="B611">
        <f>IF(COUNTIFS('United Data'!$A$3:$A$2150,B$1,'United Data'!$C$3:$C$2150,$A611)&gt;0,1,0)</f>
        <v>0</v>
      </c>
      <c r="C611">
        <f>IF(COUNTIFS('United Data'!$A$3:$A$2150,C$1,'United Data'!$C$3:$C$2150,$A611)&gt;0,1,0)</f>
        <v>0</v>
      </c>
      <c r="D611">
        <f>IF(COUNTIFS('United Data'!$A$3:$A$2150,D$1,'United Data'!$C$3:$C$2150,$A611)&gt;0,1,0)</f>
        <v>0</v>
      </c>
      <c r="E611">
        <f>IF(COUNTIFS('United Data'!$A$3:$A$2150,E$1,'United Data'!$C$3:$C$2150,$A611)&gt;0,1,0)</f>
        <v>0</v>
      </c>
      <c r="F611">
        <f>IF(COUNTIFS('United Data'!$A$3:$A$2150,F$1,'United Data'!$C$3:$C$2150,$A611)&gt;0,1,0)</f>
        <v>0</v>
      </c>
      <c r="G611">
        <f>IF(COUNTIFS('United Data'!$A$3:$A$2150,G$1,'United Data'!$C$3:$C$2150,$A611)&gt;0,1,0)</f>
        <v>0</v>
      </c>
      <c r="H611">
        <f>IF(COUNTIFS('United Data'!$A$3:$A$2150,H$1,'United Data'!$C$3:$C$2150,$A611)&gt;0,1,0)</f>
        <v>0</v>
      </c>
      <c r="I611">
        <f>IF(COUNTIFS('United Data'!$A$3:$A$2150,I$1,'United Data'!$C$3:$C$2150,$A611)&gt;0,1,0)</f>
        <v>0</v>
      </c>
      <c r="J611">
        <f>IF(COUNTIFS('United Data'!$A$3:$A$2150,J$1,'United Data'!$C$3:$C$2150,$A611)&gt;0,1,0)</f>
        <v>1</v>
      </c>
      <c r="K611">
        <f>IF(COUNTIFS('United Data'!$A$3:$A$2150,K$1,'United Data'!$C$3:$C$2150,$A611)&gt;0,1,0)</f>
        <v>0</v>
      </c>
      <c r="L611">
        <f>IF(COUNTIFS('United Data'!$A$3:$A$2150,L$1,'United Data'!$C$3:$C$2150,$A611)&gt;0,1,0)</f>
        <v>0</v>
      </c>
      <c r="M611">
        <f>IF(COUNTIFS('United Data'!$A$3:$A$2150,M$1,'United Data'!$C$3:$C$2150,$A611)&gt;0,1,0)</f>
        <v>0</v>
      </c>
      <c r="N611">
        <f>IF(COUNTIFS('United Data'!$A$3:$A$2150,N$1,'United Data'!$C$3:$C$2150,$A611)&gt;0,1,0)</f>
        <v>0</v>
      </c>
      <c r="O611">
        <f>IF(COUNTIFS('United Data'!$A$3:$A$2150,O$1,'United Data'!$C$3:$C$2150,$A611)&gt;0,1,0)</f>
        <v>0</v>
      </c>
      <c r="P611">
        <f>IF(COUNTIFS('United Data'!$A$3:$A$2150,P$1,'United Data'!$C$3:$C$2150,$A611)&gt;0,1,0)</f>
        <v>0</v>
      </c>
      <c r="Q611">
        <f>IF(COUNTIFS('United Data'!$A$3:$A$2150,Q$1,'United Data'!$C$3:$C$2150,$A611)&gt;0,1,0)</f>
        <v>0</v>
      </c>
      <c r="R611">
        <f>IF(COUNTIFS('United Data'!$A$3:$A$2150,R$1,'United Data'!$C$3:$C$2150,$A611)&gt;0,1,0)</f>
        <v>0</v>
      </c>
      <c r="S611">
        <f t="shared" si="18"/>
        <v>1</v>
      </c>
      <c r="T611">
        <f t="shared" si="19"/>
        <v>1</v>
      </c>
    </row>
    <row r="612" spans="1:20" x14ac:dyDescent="0.2">
      <c r="A612" t="s">
        <v>658</v>
      </c>
      <c r="B612">
        <f>IF(COUNTIFS('United Data'!$A$3:$A$2150,B$1,'United Data'!$C$3:$C$2150,$A612)&gt;0,1,0)</f>
        <v>0</v>
      </c>
      <c r="C612">
        <f>IF(COUNTIFS('United Data'!$A$3:$A$2150,C$1,'United Data'!$C$3:$C$2150,$A612)&gt;0,1,0)</f>
        <v>0</v>
      </c>
      <c r="D612">
        <f>IF(COUNTIFS('United Data'!$A$3:$A$2150,D$1,'United Data'!$C$3:$C$2150,$A612)&gt;0,1,0)</f>
        <v>0</v>
      </c>
      <c r="E612">
        <f>IF(COUNTIFS('United Data'!$A$3:$A$2150,E$1,'United Data'!$C$3:$C$2150,$A612)&gt;0,1,0)</f>
        <v>0</v>
      </c>
      <c r="F612">
        <f>IF(COUNTIFS('United Data'!$A$3:$A$2150,F$1,'United Data'!$C$3:$C$2150,$A612)&gt;0,1,0)</f>
        <v>0</v>
      </c>
      <c r="G612">
        <f>IF(COUNTIFS('United Data'!$A$3:$A$2150,G$1,'United Data'!$C$3:$C$2150,$A612)&gt;0,1,0)</f>
        <v>0</v>
      </c>
      <c r="H612">
        <f>IF(COUNTIFS('United Data'!$A$3:$A$2150,H$1,'United Data'!$C$3:$C$2150,$A612)&gt;0,1,0)</f>
        <v>0</v>
      </c>
      <c r="I612">
        <f>IF(COUNTIFS('United Data'!$A$3:$A$2150,I$1,'United Data'!$C$3:$C$2150,$A612)&gt;0,1,0)</f>
        <v>0</v>
      </c>
      <c r="J612">
        <f>IF(COUNTIFS('United Data'!$A$3:$A$2150,J$1,'United Data'!$C$3:$C$2150,$A612)&gt;0,1,0)</f>
        <v>0</v>
      </c>
      <c r="K612">
        <f>IF(COUNTIFS('United Data'!$A$3:$A$2150,K$1,'United Data'!$C$3:$C$2150,$A612)&gt;0,1,0)</f>
        <v>1</v>
      </c>
      <c r="L612">
        <f>IF(COUNTIFS('United Data'!$A$3:$A$2150,L$1,'United Data'!$C$3:$C$2150,$A612)&gt;0,1,0)</f>
        <v>0</v>
      </c>
      <c r="M612">
        <f>IF(COUNTIFS('United Data'!$A$3:$A$2150,M$1,'United Data'!$C$3:$C$2150,$A612)&gt;0,1,0)</f>
        <v>0</v>
      </c>
      <c r="N612">
        <f>IF(COUNTIFS('United Data'!$A$3:$A$2150,N$1,'United Data'!$C$3:$C$2150,$A612)&gt;0,1,0)</f>
        <v>0</v>
      </c>
      <c r="O612">
        <f>IF(COUNTIFS('United Data'!$A$3:$A$2150,O$1,'United Data'!$C$3:$C$2150,$A612)&gt;0,1,0)</f>
        <v>0</v>
      </c>
      <c r="P612">
        <f>IF(COUNTIFS('United Data'!$A$3:$A$2150,P$1,'United Data'!$C$3:$C$2150,$A612)&gt;0,1,0)</f>
        <v>0</v>
      </c>
      <c r="Q612">
        <f>IF(COUNTIFS('United Data'!$A$3:$A$2150,Q$1,'United Data'!$C$3:$C$2150,$A612)&gt;0,1,0)</f>
        <v>0</v>
      </c>
      <c r="R612">
        <f>IF(COUNTIFS('United Data'!$A$3:$A$2150,R$1,'United Data'!$C$3:$C$2150,$A612)&gt;0,1,0)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659</v>
      </c>
      <c r="B613">
        <f>IF(COUNTIFS('United Data'!$A$3:$A$2150,B$1,'United Data'!$C$3:$C$2150,$A613)&gt;0,1,0)</f>
        <v>0</v>
      </c>
      <c r="C613">
        <f>IF(COUNTIFS('United Data'!$A$3:$A$2150,C$1,'United Data'!$C$3:$C$2150,$A613)&gt;0,1,0)</f>
        <v>0</v>
      </c>
      <c r="D613">
        <f>IF(COUNTIFS('United Data'!$A$3:$A$2150,D$1,'United Data'!$C$3:$C$2150,$A613)&gt;0,1,0)</f>
        <v>0</v>
      </c>
      <c r="E613">
        <f>IF(COUNTIFS('United Data'!$A$3:$A$2150,E$1,'United Data'!$C$3:$C$2150,$A613)&gt;0,1,0)</f>
        <v>0</v>
      </c>
      <c r="F613">
        <f>IF(COUNTIFS('United Data'!$A$3:$A$2150,F$1,'United Data'!$C$3:$C$2150,$A613)&gt;0,1,0)</f>
        <v>0</v>
      </c>
      <c r="G613">
        <f>IF(COUNTIFS('United Data'!$A$3:$A$2150,G$1,'United Data'!$C$3:$C$2150,$A613)&gt;0,1,0)</f>
        <v>0</v>
      </c>
      <c r="H613">
        <f>IF(COUNTIFS('United Data'!$A$3:$A$2150,H$1,'United Data'!$C$3:$C$2150,$A613)&gt;0,1,0)</f>
        <v>0</v>
      </c>
      <c r="I613">
        <f>IF(COUNTIFS('United Data'!$A$3:$A$2150,I$1,'United Data'!$C$3:$C$2150,$A613)&gt;0,1,0)</f>
        <v>0</v>
      </c>
      <c r="J613">
        <f>IF(COUNTIFS('United Data'!$A$3:$A$2150,J$1,'United Data'!$C$3:$C$2150,$A613)&gt;0,1,0)</f>
        <v>0</v>
      </c>
      <c r="K613">
        <f>IF(COUNTIFS('United Data'!$A$3:$A$2150,K$1,'United Data'!$C$3:$C$2150,$A613)&gt;0,1,0)</f>
        <v>0</v>
      </c>
      <c r="L613">
        <f>IF(COUNTIFS('United Data'!$A$3:$A$2150,L$1,'United Data'!$C$3:$C$2150,$A613)&gt;0,1,0)</f>
        <v>1</v>
      </c>
      <c r="M613">
        <f>IF(COUNTIFS('United Data'!$A$3:$A$2150,M$1,'United Data'!$C$3:$C$2150,$A613)&gt;0,1,0)</f>
        <v>1</v>
      </c>
      <c r="N613">
        <f>IF(COUNTIFS('United Data'!$A$3:$A$2150,N$1,'United Data'!$C$3:$C$2150,$A613)&gt;0,1,0)</f>
        <v>1</v>
      </c>
      <c r="O613">
        <f>IF(COUNTIFS('United Data'!$A$3:$A$2150,O$1,'United Data'!$C$3:$C$2150,$A613)&gt;0,1,0)</f>
        <v>1</v>
      </c>
      <c r="P613">
        <f>IF(COUNTIFS('United Data'!$A$3:$A$2150,P$1,'United Data'!$C$3:$C$2150,$A613)&gt;0,1,0)</f>
        <v>1</v>
      </c>
      <c r="Q613">
        <f>IF(COUNTIFS('United Data'!$A$3:$A$2150,Q$1,'United Data'!$C$3:$C$2150,$A613)&gt;0,1,0)</f>
        <v>0</v>
      </c>
      <c r="R613">
        <f>IF(COUNTIFS('United Data'!$A$3:$A$2150,R$1,'United Data'!$C$3:$C$2150,$A613)&gt;0,1,0)</f>
        <v>0</v>
      </c>
      <c r="S613">
        <f t="shared" si="18"/>
        <v>5</v>
      </c>
      <c r="T613">
        <f t="shared" si="19"/>
        <v>1</v>
      </c>
    </row>
    <row r="614" spans="1:20" x14ac:dyDescent="0.2">
      <c r="A614" t="s">
        <v>660</v>
      </c>
      <c r="B614">
        <f>IF(COUNTIFS('United Data'!$A$3:$A$2150,B$1,'United Data'!$C$3:$C$2150,$A614)&gt;0,1,0)</f>
        <v>0</v>
      </c>
      <c r="C614">
        <f>IF(COUNTIFS('United Data'!$A$3:$A$2150,C$1,'United Data'!$C$3:$C$2150,$A614)&gt;0,1,0)</f>
        <v>0</v>
      </c>
      <c r="D614">
        <f>IF(COUNTIFS('United Data'!$A$3:$A$2150,D$1,'United Data'!$C$3:$C$2150,$A614)&gt;0,1,0)</f>
        <v>0</v>
      </c>
      <c r="E614">
        <f>IF(COUNTIFS('United Data'!$A$3:$A$2150,E$1,'United Data'!$C$3:$C$2150,$A614)&gt;0,1,0)</f>
        <v>0</v>
      </c>
      <c r="F614">
        <f>IF(COUNTIFS('United Data'!$A$3:$A$2150,F$1,'United Data'!$C$3:$C$2150,$A614)&gt;0,1,0)</f>
        <v>0</v>
      </c>
      <c r="G614">
        <f>IF(COUNTIFS('United Data'!$A$3:$A$2150,G$1,'United Data'!$C$3:$C$2150,$A614)&gt;0,1,0)</f>
        <v>0</v>
      </c>
      <c r="H614">
        <f>IF(COUNTIFS('United Data'!$A$3:$A$2150,H$1,'United Data'!$C$3:$C$2150,$A614)&gt;0,1,0)</f>
        <v>0</v>
      </c>
      <c r="I614">
        <f>IF(COUNTIFS('United Data'!$A$3:$A$2150,I$1,'United Data'!$C$3:$C$2150,$A614)&gt;0,1,0)</f>
        <v>0</v>
      </c>
      <c r="J614">
        <f>IF(COUNTIFS('United Data'!$A$3:$A$2150,J$1,'United Data'!$C$3:$C$2150,$A614)&gt;0,1,0)</f>
        <v>0</v>
      </c>
      <c r="K614">
        <f>IF(COUNTIFS('United Data'!$A$3:$A$2150,K$1,'United Data'!$C$3:$C$2150,$A614)&gt;0,1,0)</f>
        <v>0</v>
      </c>
      <c r="L614">
        <f>IF(COUNTIFS('United Data'!$A$3:$A$2150,L$1,'United Data'!$C$3:$C$2150,$A614)&gt;0,1,0)</f>
        <v>1</v>
      </c>
      <c r="M614">
        <f>IF(COUNTIFS('United Data'!$A$3:$A$2150,M$1,'United Data'!$C$3:$C$2150,$A614)&gt;0,1,0)</f>
        <v>0</v>
      </c>
      <c r="N614">
        <f>IF(COUNTIFS('United Data'!$A$3:$A$2150,N$1,'United Data'!$C$3:$C$2150,$A614)&gt;0,1,0)</f>
        <v>0</v>
      </c>
      <c r="O614">
        <f>IF(COUNTIFS('United Data'!$A$3:$A$2150,O$1,'United Data'!$C$3:$C$2150,$A614)&gt;0,1,0)</f>
        <v>0</v>
      </c>
      <c r="P614">
        <f>IF(COUNTIFS('United Data'!$A$3:$A$2150,P$1,'United Data'!$C$3:$C$2150,$A614)&gt;0,1,0)</f>
        <v>0</v>
      </c>
      <c r="Q614">
        <f>IF(COUNTIFS('United Data'!$A$3:$A$2150,Q$1,'United Data'!$C$3:$C$2150,$A614)&gt;0,1,0)</f>
        <v>0</v>
      </c>
      <c r="R614">
        <f>IF(COUNTIFS('United Data'!$A$3:$A$2150,R$1,'United Data'!$C$3:$C$2150,$A614)&gt;0,1,0)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661</v>
      </c>
      <c r="B615">
        <f>IF(COUNTIFS('United Data'!$A$3:$A$2150,B$1,'United Data'!$C$3:$C$2150,$A615)&gt;0,1,0)</f>
        <v>0</v>
      </c>
      <c r="C615">
        <f>IF(COUNTIFS('United Data'!$A$3:$A$2150,C$1,'United Data'!$C$3:$C$2150,$A615)&gt;0,1,0)</f>
        <v>0</v>
      </c>
      <c r="D615">
        <f>IF(COUNTIFS('United Data'!$A$3:$A$2150,D$1,'United Data'!$C$3:$C$2150,$A615)&gt;0,1,0)</f>
        <v>0</v>
      </c>
      <c r="E615">
        <f>IF(COUNTIFS('United Data'!$A$3:$A$2150,E$1,'United Data'!$C$3:$C$2150,$A615)&gt;0,1,0)</f>
        <v>0</v>
      </c>
      <c r="F615">
        <f>IF(COUNTIFS('United Data'!$A$3:$A$2150,F$1,'United Data'!$C$3:$C$2150,$A615)&gt;0,1,0)</f>
        <v>0</v>
      </c>
      <c r="G615">
        <f>IF(COUNTIFS('United Data'!$A$3:$A$2150,G$1,'United Data'!$C$3:$C$2150,$A615)&gt;0,1,0)</f>
        <v>0</v>
      </c>
      <c r="H615">
        <f>IF(COUNTIFS('United Data'!$A$3:$A$2150,H$1,'United Data'!$C$3:$C$2150,$A615)&gt;0,1,0)</f>
        <v>0</v>
      </c>
      <c r="I615">
        <f>IF(COUNTIFS('United Data'!$A$3:$A$2150,I$1,'United Data'!$C$3:$C$2150,$A615)&gt;0,1,0)</f>
        <v>0</v>
      </c>
      <c r="J615">
        <f>IF(COUNTIFS('United Data'!$A$3:$A$2150,J$1,'United Data'!$C$3:$C$2150,$A615)&gt;0,1,0)</f>
        <v>0</v>
      </c>
      <c r="K615">
        <f>IF(COUNTIFS('United Data'!$A$3:$A$2150,K$1,'United Data'!$C$3:$C$2150,$A615)&gt;0,1,0)</f>
        <v>0</v>
      </c>
      <c r="L615">
        <f>IF(COUNTIFS('United Data'!$A$3:$A$2150,L$1,'United Data'!$C$3:$C$2150,$A615)&gt;0,1,0)</f>
        <v>1</v>
      </c>
      <c r="M615">
        <f>IF(COUNTIFS('United Data'!$A$3:$A$2150,M$1,'United Data'!$C$3:$C$2150,$A615)&gt;0,1,0)</f>
        <v>0</v>
      </c>
      <c r="N615">
        <f>IF(COUNTIFS('United Data'!$A$3:$A$2150,N$1,'United Data'!$C$3:$C$2150,$A615)&gt;0,1,0)</f>
        <v>0</v>
      </c>
      <c r="O615">
        <f>IF(COUNTIFS('United Data'!$A$3:$A$2150,O$1,'United Data'!$C$3:$C$2150,$A615)&gt;0,1,0)</f>
        <v>0</v>
      </c>
      <c r="P615">
        <f>IF(COUNTIFS('United Data'!$A$3:$A$2150,P$1,'United Data'!$C$3:$C$2150,$A615)&gt;0,1,0)</f>
        <v>0</v>
      </c>
      <c r="Q615">
        <f>IF(COUNTIFS('United Data'!$A$3:$A$2150,Q$1,'United Data'!$C$3:$C$2150,$A615)&gt;0,1,0)</f>
        <v>0</v>
      </c>
      <c r="R615">
        <f>IF(COUNTIFS('United Data'!$A$3:$A$2150,R$1,'United Data'!$C$3:$C$2150,$A615)&gt;0,1,0)</f>
        <v>0</v>
      </c>
      <c r="S615">
        <f t="shared" si="18"/>
        <v>1</v>
      </c>
      <c r="T615">
        <f t="shared" si="19"/>
        <v>1</v>
      </c>
    </row>
    <row r="616" spans="1:20" x14ac:dyDescent="0.2">
      <c r="A616" t="s">
        <v>662</v>
      </c>
      <c r="B616">
        <f>IF(COUNTIFS('United Data'!$A$3:$A$2150,B$1,'United Data'!$C$3:$C$2150,$A616)&gt;0,1,0)</f>
        <v>0</v>
      </c>
      <c r="C616">
        <f>IF(COUNTIFS('United Data'!$A$3:$A$2150,C$1,'United Data'!$C$3:$C$2150,$A616)&gt;0,1,0)</f>
        <v>0</v>
      </c>
      <c r="D616">
        <f>IF(COUNTIFS('United Data'!$A$3:$A$2150,D$1,'United Data'!$C$3:$C$2150,$A616)&gt;0,1,0)</f>
        <v>0</v>
      </c>
      <c r="E616">
        <f>IF(COUNTIFS('United Data'!$A$3:$A$2150,E$1,'United Data'!$C$3:$C$2150,$A616)&gt;0,1,0)</f>
        <v>0</v>
      </c>
      <c r="F616">
        <f>IF(COUNTIFS('United Data'!$A$3:$A$2150,F$1,'United Data'!$C$3:$C$2150,$A616)&gt;0,1,0)</f>
        <v>0</v>
      </c>
      <c r="G616">
        <f>IF(COUNTIFS('United Data'!$A$3:$A$2150,G$1,'United Data'!$C$3:$C$2150,$A616)&gt;0,1,0)</f>
        <v>0</v>
      </c>
      <c r="H616">
        <f>IF(COUNTIFS('United Data'!$A$3:$A$2150,H$1,'United Data'!$C$3:$C$2150,$A616)&gt;0,1,0)</f>
        <v>0</v>
      </c>
      <c r="I616">
        <f>IF(COUNTIFS('United Data'!$A$3:$A$2150,I$1,'United Data'!$C$3:$C$2150,$A616)&gt;0,1,0)</f>
        <v>0</v>
      </c>
      <c r="J616">
        <f>IF(COUNTIFS('United Data'!$A$3:$A$2150,J$1,'United Data'!$C$3:$C$2150,$A616)&gt;0,1,0)</f>
        <v>0</v>
      </c>
      <c r="K616">
        <f>IF(COUNTIFS('United Data'!$A$3:$A$2150,K$1,'United Data'!$C$3:$C$2150,$A616)&gt;0,1,0)</f>
        <v>0</v>
      </c>
      <c r="L616">
        <f>IF(COUNTIFS('United Data'!$A$3:$A$2150,L$1,'United Data'!$C$3:$C$2150,$A616)&gt;0,1,0)</f>
        <v>0</v>
      </c>
      <c r="M616">
        <f>IF(COUNTIFS('United Data'!$A$3:$A$2150,M$1,'United Data'!$C$3:$C$2150,$A616)&gt;0,1,0)</f>
        <v>1</v>
      </c>
      <c r="N616">
        <f>IF(COUNTIFS('United Data'!$A$3:$A$2150,N$1,'United Data'!$C$3:$C$2150,$A616)&gt;0,1,0)</f>
        <v>0</v>
      </c>
      <c r="O616">
        <f>IF(COUNTIFS('United Data'!$A$3:$A$2150,O$1,'United Data'!$C$3:$C$2150,$A616)&gt;0,1,0)</f>
        <v>0</v>
      </c>
      <c r="P616">
        <f>IF(COUNTIFS('United Data'!$A$3:$A$2150,P$1,'United Data'!$C$3:$C$2150,$A616)&gt;0,1,0)</f>
        <v>0</v>
      </c>
      <c r="Q616">
        <f>IF(COUNTIFS('United Data'!$A$3:$A$2150,Q$1,'United Data'!$C$3:$C$2150,$A616)&gt;0,1,0)</f>
        <v>0</v>
      </c>
      <c r="R616">
        <f>IF(COUNTIFS('United Data'!$A$3:$A$2150,R$1,'United Data'!$C$3:$C$2150,$A616)&gt;0,1,0)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663</v>
      </c>
      <c r="B617">
        <f>IF(COUNTIFS('United Data'!$A$3:$A$2150,B$1,'United Data'!$C$3:$C$2150,$A617)&gt;0,1,0)</f>
        <v>0</v>
      </c>
      <c r="C617">
        <f>IF(COUNTIFS('United Data'!$A$3:$A$2150,C$1,'United Data'!$C$3:$C$2150,$A617)&gt;0,1,0)</f>
        <v>0</v>
      </c>
      <c r="D617">
        <f>IF(COUNTIFS('United Data'!$A$3:$A$2150,D$1,'United Data'!$C$3:$C$2150,$A617)&gt;0,1,0)</f>
        <v>0</v>
      </c>
      <c r="E617">
        <f>IF(COUNTIFS('United Data'!$A$3:$A$2150,E$1,'United Data'!$C$3:$C$2150,$A617)&gt;0,1,0)</f>
        <v>0</v>
      </c>
      <c r="F617">
        <f>IF(COUNTIFS('United Data'!$A$3:$A$2150,F$1,'United Data'!$C$3:$C$2150,$A617)&gt;0,1,0)</f>
        <v>0</v>
      </c>
      <c r="G617">
        <f>IF(COUNTIFS('United Data'!$A$3:$A$2150,G$1,'United Data'!$C$3:$C$2150,$A617)&gt;0,1,0)</f>
        <v>0</v>
      </c>
      <c r="H617">
        <f>IF(COUNTIFS('United Data'!$A$3:$A$2150,H$1,'United Data'!$C$3:$C$2150,$A617)&gt;0,1,0)</f>
        <v>0</v>
      </c>
      <c r="I617">
        <f>IF(COUNTIFS('United Data'!$A$3:$A$2150,I$1,'United Data'!$C$3:$C$2150,$A617)&gt;0,1,0)</f>
        <v>0</v>
      </c>
      <c r="J617">
        <f>IF(COUNTIFS('United Data'!$A$3:$A$2150,J$1,'United Data'!$C$3:$C$2150,$A617)&gt;0,1,0)</f>
        <v>0</v>
      </c>
      <c r="K617">
        <f>IF(COUNTIFS('United Data'!$A$3:$A$2150,K$1,'United Data'!$C$3:$C$2150,$A617)&gt;0,1,0)</f>
        <v>0</v>
      </c>
      <c r="L617">
        <f>IF(COUNTIFS('United Data'!$A$3:$A$2150,L$1,'United Data'!$C$3:$C$2150,$A617)&gt;0,1,0)</f>
        <v>0</v>
      </c>
      <c r="M617">
        <f>IF(COUNTIFS('United Data'!$A$3:$A$2150,M$1,'United Data'!$C$3:$C$2150,$A617)&gt;0,1,0)</f>
        <v>1</v>
      </c>
      <c r="N617">
        <f>IF(COUNTIFS('United Data'!$A$3:$A$2150,N$1,'United Data'!$C$3:$C$2150,$A617)&gt;0,1,0)</f>
        <v>0</v>
      </c>
      <c r="O617">
        <f>IF(COUNTIFS('United Data'!$A$3:$A$2150,O$1,'United Data'!$C$3:$C$2150,$A617)&gt;0,1,0)</f>
        <v>0</v>
      </c>
      <c r="P617">
        <f>IF(COUNTIFS('United Data'!$A$3:$A$2150,P$1,'United Data'!$C$3:$C$2150,$A617)&gt;0,1,0)</f>
        <v>0</v>
      </c>
      <c r="Q617">
        <f>IF(COUNTIFS('United Data'!$A$3:$A$2150,Q$1,'United Data'!$C$3:$C$2150,$A617)&gt;0,1,0)</f>
        <v>0</v>
      </c>
      <c r="R617">
        <f>IF(COUNTIFS('United Data'!$A$3:$A$2150,R$1,'United Data'!$C$3:$C$2150,$A617)&gt;0,1,0)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664</v>
      </c>
      <c r="B618">
        <f>IF(COUNTIFS('United Data'!$A$3:$A$2150,B$1,'United Data'!$C$3:$C$2150,$A618)&gt;0,1,0)</f>
        <v>0</v>
      </c>
      <c r="C618">
        <f>IF(COUNTIFS('United Data'!$A$3:$A$2150,C$1,'United Data'!$C$3:$C$2150,$A618)&gt;0,1,0)</f>
        <v>0</v>
      </c>
      <c r="D618">
        <f>IF(COUNTIFS('United Data'!$A$3:$A$2150,D$1,'United Data'!$C$3:$C$2150,$A618)&gt;0,1,0)</f>
        <v>0</v>
      </c>
      <c r="E618">
        <f>IF(COUNTIFS('United Data'!$A$3:$A$2150,E$1,'United Data'!$C$3:$C$2150,$A618)&gt;0,1,0)</f>
        <v>0</v>
      </c>
      <c r="F618">
        <f>IF(COUNTIFS('United Data'!$A$3:$A$2150,F$1,'United Data'!$C$3:$C$2150,$A618)&gt;0,1,0)</f>
        <v>0</v>
      </c>
      <c r="G618">
        <f>IF(COUNTIFS('United Data'!$A$3:$A$2150,G$1,'United Data'!$C$3:$C$2150,$A618)&gt;0,1,0)</f>
        <v>0</v>
      </c>
      <c r="H618">
        <f>IF(COUNTIFS('United Data'!$A$3:$A$2150,H$1,'United Data'!$C$3:$C$2150,$A618)&gt;0,1,0)</f>
        <v>0</v>
      </c>
      <c r="I618">
        <f>IF(COUNTIFS('United Data'!$A$3:$A$2150,I$1,'United Data'!$C$3:$C$2150,$A618)&gt;0,1,0)</f>
        <v>0</v>
      </c>
      <c r="J618">
        <f>IF(COUNTIFS('United Data'!$A$3:$A$2150,J$1,'United Data'!$C$3:$C$2150,$A618)&gt;0,1,0)</f>
        <v>0</v>
      </c>
      <c r="K618">
        <f>IF(COUNTIFS('United Data'!$A$3:$A$2150,K$1,'United Data'!$C$3:$C$2150,$A618)&gt;0,1,0)</f>
        <v>0</v>
      </c>
      <c r="L618">
        <f>IF(COUNTIFS('United Data'!$A$3:$A$2150,L$1,'United Data'!$C$3:$C$2150,$A618)&gt;0,1,0)</f>
        <v>0</v>
      </c>
      <c r="M618">
        <f>IF(COUNTIFS('United Data'!$A$3:$A$2150,M$1,'United Data'!$C$3:$C$2150,$A618)&gt;0,1,0)</f>
        <v>1</v>
      </c>
      <c r="N618">
        <f>IF(COUNTIFS('United Data'!$A$3:$A$2150,N$1,'United Data'!$C$3:$C$2150,$A618)&gt;0,1,0)</f>
        <v>0</v>
      </c>
      <c r="O618">
        <f>IF(COUNTIFS('United Data'!$A$3:$A$2150,O$1,'United Data'!$C$3:$C$2150,$A618)&gt;0,1,0)</f>
        <v>0</v>
      </c>
      <c r="P618">
        <f>IF(COUNTIFS('United Data'!$A$3:$A$2150,P$1,'United Data'!$C$3:$C$2150,$A618)&gt;0,1,0)</f>
        <v>0</v>
      </c>
      <c r="Q618">
        <f>IF(COUNTIFS('United Data'!$A$3:$A$2150,Q$1,'United Data'!$C$3:$C$2150,$A618)&gt;0,1,0)</f>
        <v>0</v>
      </c>
      <c r="R618">
        <f>IF(COUNTIFS('United Data'!$A$3:$A$2150,R$1,'United Data'!$C$3:$C$2150,$A618)&gt;0,1,0)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665</v>
      </c>
      <c r="B619">
        <f>IF(COUNTIFS('United Data'!$A$3:$A$2150,B$1,'United Data'!$C$3:$C$2150,$A619)&gt;0,1,0)</f>
        <v>0</v>
      </c>
      <c r="C619">
        <f>IF(COUNTIFS('United Data'!$A$3:$A$2150,C$1,'United Data'!$C$3:$C$2150,$A619)&gt;0,1,0)</f>
        <v>0</v>
      </c>
      <c r="D619">
        <f>IF(COUNTIFS('United Data'!$A$3:$A$2150,D$1,'United Data'!$C$3:$C$2150,$A619)&gt;0,1,0)</f>
        <v>0</v>
      </c>
      <c r="E619">
        <f>IF(COUNTIFS('United Data'!$A$3:$A$2150,E$1,'United Data'!$C$3:$C$2150,$A619)&gt;0,1,0)</f>
        <v>0</v>
      </c>
      <c r="F619">
        <f>IF(COUNTIFS('United Data'!$A$3:$A$2150,F$1,'United Data'!$C$3:$C$2150,$A619)&gt;0,1,0)</f>
        <v>0</v>
      </c>
      <c r="G619">
        <f>IF(COUNTIFS('United Data'!$A$3:$A$2150,G$1,'United Data'!$C$3:$C$2150,$A619)&gt;0,1,0)</f>
        <v>0</v>
      </c>
      <c r="H619">
        <f>IF(COUNTIFS('United Data'!$A$3:$A$2150,H$1,'United Data'!$C$3:$C$2150,$A619)&gt;0,1,0)</f>
        <v>0</v>
      </c>
      <c r="I619">
        <f>IF(COUNTIFS('United Data'!$A$3:$A$2150,I$1,'United Data'!$C$3:$C$2150,$A619)&gt;0,1,0)</f>
        <v>0</v>
      </c>
      <c r="J619">
        <f>IF(COUNTIFS('United Data'!$A$3:$A$2150,J$1,'United Data'!$C$3:$C$2150,$A619)&gt;0,1,0)</f>
        <v>0</v>
      </c>
      <c r="K619">
        <f>IF(COUNTIFS('United Data'!$A$3:$A$2150,K$1,'United Data'!$C$3:$C$2150,$A619)&gt;0,1,0)</f>
        <v>0</v>
      </c>
      <c r="L619">
        <f>IF(COUNTIFS('United Data'!$A$3:$A$2150,L$1,'United Data'!$C$3:$C$2150,$A619)&gt;0,1,0)</f>
        <v>1</v>
      </c>
      <c r="M619">
        <f>IF(COUNTIFS('United Data'!$A$3:$A$2150,M$1,'United Data'!$C$3:$C$2150,$A619)&gt;0,1,0)</f>
        <v>1</v>
      </c>
      <c r="N619">
        <f>IF(COUNTIFS('United Data'!$A$3:$A$2150,N$1,'United Data'!$C$3:$C$2150,$A619)&gt;0,1,0)</f>
        <v>0</v>
      </c>
      <c r="O619">
        <f>IF(COUNTIFS('United Data'!$A$3:$A$2150,O$1,'United Data'!$C$3:$C$2150,$A619)&gt;0,1,0)</f>
        <v>0</v>
      </c>
      <c r="P619">
        <f>IF(COUNTIFS('United Data'!$A$3:$A$2150,P$1,'United Data'!$C$3:$C$2150,$A619)&gt;0,1,0)</f>
        <v>0</v>
      </c>
      <c r="Q619">
        <f>IF(COUNTIFS('United Data'!$A$3:$A$2150,Q$1,'United Data'!$C$3:$C$2150,$A619)&gt;0,1,0)</f>
        <v>0</v>
      </c>
      <c r="R619">
        <f>IF(COUNTIFS('United Data'!$A$3:$A$2150,R$1,'United Data'!$C$3:$C$2150,$A619)&gt;0,1,0)</f>
        <v>0</v>
      </c>
      <c r="S619">
        <f t="shared" si="18"/>
        <v>2</v>
      </c>
      <c r="T619">
        <f t="shared" si="19"/>
        <v>1</v>
      </c>
    </row>
    <row r="620" spans="1:20" x14ac:dyDescent="0.2">
      <c r="A620" t="s">
        <v>666</v>
      </c>
      <c r="B620">
        <f>IF(COUNTIFS('United Data'!$A$3:$A$2150,B$1,'United Data'!$C$3:$C$2150,$A620)&gt;0,1,0)</f>
        <v>0</v>
      </c>
      <c r="C620">
        <f>IF(COUNTIFS('United Data'!$A$3:$A$2150,C$1,'United Data'!$C$3:$C$2150,$A620)&gt;0,1,0)</f>
        <v>0</v>
      </c>
      <c r="D620">
        <f>IF(COUNTIFS('United Data'!$A$3:$A$2150,D$1,'United Data'!$C$3:$C$2150,$A620)&gt;0,1,0)</f>
        <v>0</v>
      </c>
      <c r="E620">
        <f>IF(COUNTIFS('United Data'!$A$3:$A$2150,E$1,'United Data'!$C$3:$C$2150,$A620)&gt;0,1,0)</f>
        <v>0</v>
      </c>
      <c r="F620">
        <f>IF(COUNTIFS('United Data'!$A$3:$A$2150,F$1,'United Data'!$C$3:$C$2150,$A620)&gt;0,1,0)</f>
        <v>0</v>
      </c>
      <c r="G620">
        <f>IF(COUNTIFS('United Data'!$A$3:$A$2150,G$1,'United Data'!$C$3:$C$2150,$A620)&gt;0,1,0)</f>
        <v>0</v>
      </c>
      <c r="H620">
        <f>IF(COUNTIFS('United Data'!$A$3:$A$2150,H$1,'United Data'!$C$3:$C$2150,$A620)&gt;0,1,0)</f>
        <v>0</v>
      </c>
      <c r="I620">
        <f>IF(COUNTIFS('United Data'!$A$3:$A$2150,I$1,'United Data'!$C$3:$C$2150,$A620)&gt;0,1,0)</f>
        <v>0</v>
      </c>
      <c r="J620">
        <f>IF(COUNTIFS('United Data'!$A$3:$A$2150,J$1,'United Data'!$C$3:$C$2150,$A620)&gt;0,1,0)</f>
        <v>0</v>
      </c>
      <c r="K620">
        <f>IF(COUNTIFS('United Data'!$A$3:$A$2150,K$1,'United Data'!$C$3:$C$2150,$A620)&gt;0,1,0)</f>
        <v>0</v>
      </c>
      <c r="L620">
        <f>IF(COUNTIFS('United Data'!$A$3:$A$2150,L$1,'United Data'!$C$3:$C$2150,$A620)&gt;0,1,0)</f>
        <v>0</v>
      </c>
      <c r="M620">
        <f>IF(COUNTIFS('United Data'!$A$3:$A$2150,M$1,'United Data'!$C$3:$C$2150,$A620)&gt;0,1,0)</f>
        <v>0</v>
      </c>
      <c r="N620">
        <f>IF(COUNTIFS('United Data'!$A$3:$A$2150,N$1,'United Data'!$C$3:$C$2150,$A620)&gt;0,1,0)</f>
        <v>1</v>
      </c>
      <c r="O620">
        <f>IF(COUNTIFS('United Data'!$A$3:$A$2150,O$1,'United Data'!$C$3:$C$2150,$A620)&gt;0,1,0)</f>
        <v>0</v>
      </c>
      <c r="P620">
        <f>IF(COUNTIFS('United Data'!$A$3:$A$2150,P$1,'United Data'!$C$3:$C$2150,$A620)&gt;0,1,0)</f>
        <v>0</v>
      </c>
      <c r="Q620">
        <f>IF(COUNTIFS('United Data'!$A$3:$A$2150,Q$1,'United Data'!$C$3:$C$2150,$A620)&gt;0,1,0)</f>
        <v>0</v>
      </c>
      <c r="R620">
        <f>IF(COUNTIFS('United Data'!$A$3:$A$2150,R$1,'United Data'!$C$3:$C$2150,$A620)&gt;0,1,0)</f>
        <v>0</v>
      </c>
      <c r="S620">
        <f t="shared" si="18"/>
        <v>1</v>
      </c>
      <c r="T620">
        <f t="shared" si="19"/>
        <v>1</v>
      </c>
    </row>
    <row r="621" spans="1:20" x14ac:dyDescent="0.2">
      <c r="A621" t="s">
        <v>667</v>
      </c>
      <c r="B621">
        <f>IF(COUNTIFS('United Data'!$A$3:$A$2150,B$1,'United Data'!$C$3:$C$2150,$A621)&gt;0,1,0)</f>
        <v>0</v>
      </c>
      <c r="C621">
        <f>IF(COUNTIFS('United Data'!$A$3:$A$2150,C$1,'United Data'!$C$3:$C$2150,$A621)&gt;0,1,0)</f>
        <v>0</v>
      </c>
      <c r="D621">
        <f>IF(COUNTIFS('United Data'!$A$3:$A$2150,D$1,'United Data'!$C$3:$C$2150,$A621)&gt;0,1,0)</f>
        <v>0</v>
      </c>
      <c r="E621">
        <f>IF(COUNTIFS('United Data'!$A$3:$A$2150,E$1,'United Data'!$C$3:$C$2150,$A621)&gt;0,1,0)</f>
        <v>0</v>
      </c>
      <c r="F621">
        <f>IF(COUNTIFS('United Data'!$A$3:$A$2150,F$1,'United Data'!$C$3:$C$2150,$A621)&gt;0,1,0)</f>
        <v>0</v>
      </c>
      <c r="G621">
        <f>IF(COUNTIFS('United Data'!$A$3:$A$2150,G$1,'United Data'!$C$3:$C$2150,$A621)&gt;0,1,0)</f>
        <v>0</v>
      </c>
      <c r="H621">
        <f>IF(COUNTIFS('United Data'!$A$3:$A$2150,H$1,'United Data'!$C$3:$C$2150,$A621)&gt;0,1,0)</f>
        <v>0</v>
      </c>
      <c r="I621">
        <f>IF(COUNTIFS('United Data'!$A$3:$A$2150,I$1,'United Data'!$C$3:$C$2150,$A621)&gt;0,1,0)</f>
        <v>0</v>
      </c>
      <c r="J621">
        <f>IF(COUNTIFS('United Data'!$A$3:$A$2150,J$1,'United Data'!$C$3:$C$2150,$A621)&gt;0,1,0)</f>
        <v>0</v>
      </c>
      <c r="K621">
        <f>IF(COUNTIFS('United Data'!$A$3:$A$2150,K$1,'United Data'!$C$3:$C$2150,$A621)&gt;0,1,0)</f>
        <v>0</v>
      </c>
      <c r="L621">
        <f>IF(COUNTIFS('United Data'!$A$3:$A$2150,L$1,'United Data'!$C$3:$C$2150,$A621)&gt;0,1,0)</f>
        <v>0</v>
      </c>
      <c r="M621">
        <f>IF(COUNTIFS('United Data'!$A$3:$A$2150,M$1,'United Data'!$C$3:$C$2150,$A621)&gt;0,1,0)</f>
        <v>0</v>
      </c>
      <c r="N621">
        <f>IF(COUNTIFS('United Data'!$A$3:$A$2150,N$1,'United Data'!$C$3:$C$2150,$A621)&gt;0,1,0)</f>
        <v>1</v>
      </c>
      <c r="O621">
        <f>IF(COUNTIFS('United Data'!$A$3:$A$2150,O$1,'United Data'!$C$3:$C$2150,$A621)&gt;0,1,0)</f>
        <v>0</v>
      </c>
      <c r="P621">
        <f>IF(COUNTIFS('United Data'!$A$3:$A$2150,P$1,'United Data'!$C$3:$C$2150,$A621)&gt;0,1,0)</f>
        <v>0</v>
      </c>
      <c r="Q621">
        <f>IF(COUNTIFS('United Data'!$A$3:$A$2150,Q$1,'United Data'!$C$3:$C$2150,$A621)&gt;0,1,0)</f>
        <v>0</v>
      </c>
      <c r="R621">
        <f>IF(COUNTIFS('United Data'!$A$3:$A$2150,R$1,'United Data'!$C$3:$C$2150,$A621)&gt;0,1,0)</f>
        <v>0</v>
      </c>
      <c r="S621">
        <f t="shared" si="18"/>
        <v>1</v>
      </c>
      <c r="T621">
        <f t="shared" si="19"/>
        <v>1</v>
      </c>
    </row>
    <row r="622" spans="1:20" x14ac:dyDescent="0.2">
      <c r="A622" t="s">
        <v>668</v>
      </c>
      <c r="B622">
        <f>IF(COUNTIFS('United Data'!$A$3:$A$2150,B$1,'United Data'!$C$3:$C$2150,$A622)&gt;0,1,0)</f>
        <v>0</v>
      </c>
      <c r="C622">
        <f>IF(COUNTIFS('United Data'!$A$3:$A$2150,C$1,'United Data'!$C$3:$C$2150,$A622)&gt;0,1,0)</f>
        <v>0</v>
      </c>
      <c r="D622">
        <f>IF(COUNTIFS('United Data'!$A$3:$A$2150,D$1,'United Data'!$C$3:$C$2150,$A622)&gt;0,1,0)</f>
        <v>0</v>
      </c>
      <c r="E622">
        <f>IF(COUNTIFS('United Data'!$A$3:$A$2150,E$1,'United Data'!$C$3:$C$2150,$A622)&gt;0,1,0)</f>
        <v>0</v>
      </c>
      <c r="F622">
        <f>IF(COUNTIFS('United Data'!$A$3:$A$2150,F$1,'United Data'!$C$3:$C$2150,$A622)&gt;0,1,0)</f>
        <v>0</v>
      </c>
      <c r="G622">
        <f>IF(COUNTIFS('United Data'!$A$3:$A$2150,G$1,'United Data'!$C$3:$C$2150,$A622)&gt;0,1,0)</f>
        <v>0</v>
      </c>
      <c r="H622">
        <f>IF(COUNTIFS('United Data'!$A$3:$A$2150,H$1,'United Data'!$C$3:$C$2150,$A622)&gt;0,1,0)</f>
        <v>0</v>
      </c>
      <c r="I622">
        <f>IF(COUNTIFS('United Data'!$A$3:$A$2150,I$1,'United Data'!$C$3:$C$2150,$A622)&gt;0,1,0)</f>
        <v>0</v>
      </c>
      <c r="J622">
        <f>IF(COUNTIFS('United Data'!$A$3:$A$2150,J$1,'United Data'!$C$3:$C$2150,$A622)&gt;0,1,0)</f>
        <v>0</v>
      </c>
      <c r="K622">
        <f>IF(COUNTIFS('United Data'!$A$3:$A$2150,K$1,'United Data'!$C$3:$C$2150,$A622)&gt;0,1,0)</f>
        <v>0</v>
      </c>
      <c r="L622">
        <f>IF(COUNTIFS('United Data'!$A$3:$A$2150,L$1,'United Data'!$C$3:$C$2150,$A622)&gt;0,1,0)</f>
        <v>0</v>
      </c>
      <c r="M622">
        <f>IF(COUNTIFS('United Data'!$A$3:$A$2150,M$1,'United Data'!$C$3:$C$2150,$A622)&gt;0,1,0)</f>
        <v>0</v>
      </c>
      <c r="N622">
        <f>IF(COUNTIFS('United Data'!$A$3:$A$2150,N$1,'United Data'!$C$3:$C$2150,$A622)&gt;0,1,0)</f>
        <v>1</v>
      </c>
      <c r="O622">
        <f>IF(COUNTIFS('United Data'!$A$3:$A$2150,O$1,'United Data'!$C$3:$C$2150,$A622)&gt;0,1,0)</f>
        <v>1</v>
      </c>
      <c r="P622">
        <f>IF(COUNTIFS('United Data'!$A$3:$A$2150,P$1,'United Data'!$C$3:$C$2150,$A622)&gt;0,1,0)</f>
        <v>1</v>
      </c>
      <c r="Q622">
        <f>IF(COUNTIFS('United Data'!$A$3:$A$2150,Q$1,'United Data'!$C$3:$C$2150,$A622)&gt;0,1,0)</f>
        <v>0</v>
      </c>
      <c r="R622">
        <f>IF(COUNTIFS('United Data'!$A$3:$A$2150,R$1,'United Data'!$C$3:$C$2150,$A622)&gt;0,1,0)</f>
        <v>0</v>
      </c>
      <c r="S622">
        <f t="shared" si="18"/>
        <v>3</v>
      </c>
      <c r="T622">
        <f t="shared" si="19"/>
        <v>1</v>
      </c>
    </row>
    <row r="623" spans="1:20" x14ac:dyDescent="0.2">
      <c r="A623" t="s">
        <v>669</v>
      </c>
      <c r="B623">
        <f>IF(COUNTIFS('United Data'!$A$3:$A$2150,B$1,'United Data'!$C$3:$C$2150,$A623)&gt;0,1,0)</f>
        <v>0</v>
      </c>
      <c r="C623">
        <f>IF(COUNTIFS('United Data'!$A$3:$A$2150,C$1,'United Data'!$C$3:$C$2150,$A623)&gt;0,1,0)</f>
        <v>0</v>
      </c>
      <c r="D623">
        <f>IF(COUNTIFS('United Data'!$A$3:$A$2150,D$1,'United Data'!$C$3:$C$2150,$A623)&gt;0,1,0)</f>
        <v>0</v>
      </c>
      <c r="E623">
        <f>IF(COUNTIFS('United Data'!$A$3:$A$2150,E$1,'United Data'!$C$3:$C$2150,$A623)&gt;0,1,0)</f>
        <v>0</v>
      </c>
      <c r="F623">
        <f>IF(COUNTIFS('United Data'!$A$3:$A$2150,F$1,'United Data'!$C$3:$C$2150,$A623)&gt;0,1,0)</f>
        <v>0</v>
      </c>
      <c r="G623">
        <f>IF(COUNTIFS('United Data'!$A$3:$A$2150,G$1,'United Data'!$C$3:$C$2150,$A623)&gt;0,1,0)</f>
        <v>0</v>
      </c>
      <c r="H623">
        <f>IF(COUNTIFS('United Data'!$A$3:$A$2150,H$1,'United Data'!$C$3:$C$2150,$A623)&gt;0,1,0)</f>
        <v>0</v>
      </c>
      <c r="I623">
        <f>IF(COUNTIFS('United Data'!$A$3:$A$2150,I$1,'United Data'!$C$3:$C$2150,$A623)&gt;0,1,0)</f>
        <v>0</v>
      </c>
      <c r="J623">
        <f>IF(COUNTIFS('United Data'!$A$3:$A$2150,J$1,'United Data'!$C$3:$C$2150,$A623)&gt;0,1,0)</f>
        <v>0</v>
      </c>
      <c r="K623">
        <f>IF(COUNTIFS('United Data'!$A$3:$A$2150,K$1,'United Data'!$C$3:$C$2150,$A623)&gt;0,1,0)</f>
        <v>0</v>
      </c>
      <c r="L623">
        <f>IF(COUNTIFS('United Data'!$A$3:$A$2150,L$1,'United Data'!$C$3:$C$2150,$A623)&gt;0,1,0)</f>
        <v>0</v>
      </c>
      <c r="M623">
        <f>IF(COUNTIFS('United Data'!$A$3:$A$2150,M$1,'United Data'!$C$3:$C$2150,$A623)&gt;0,1,0)</f>
        <v>0</v>
      </c>
      <c r="N623">
        <f>IF(COUNTIFS('United Data'!$A$3:$A$2150,N$1,'United Data'!$C$3:$C$2150,$A623)&gt;0,1,0)</f>
        <v>0</v>
      </c>
      <c r="O623">
        <f>IF(COUNTIFS('United Data'!$A$3:$A$2150,O$1,'United Data'!$C$3:$C$2150,$A623)&gt;0,1,0)</f>
        <v>1</v>
      </c>
      <c r="P623">
        <f>IF(COUNTIFS('United Data'!$A$3:$A$2150,P$1,'United Data'!$C$3:$C$2150,$A623)&gt;0,1,0)</f>
        <v>0</v>
      </c>
      <c r="Q623">
        <f>IF(COUNTIFS('United Data'!$A$3:$A$2150,Q$1,'United Data'!$C$3:$C$2150,$A623)&gt;0,1,0)</f>
        <v>0</v>
      </c>
      <c r="R623">
        <f>IF(COUNTIFS('United Data'!$A$3:$A$2150,R$1,'United Data'!$C$3:$C$2150,$A623)&gt;0,1,0)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670</v>
      </c>
      <c r="B624">
        <f>IF(COUNTIFS('United Data'!$A$3:$A$2150,B$1,'United Data'!$C$3:$C$2150,$A624)&gt;0,1,0)</f>
        <v>0</v>
      </c>
      <c r="C624">
        <f>IF(COUNTIFS('United Data'!$A$3:$A$2150,C$1,'United Data'!$C$3:$C$2150,$A624)&gt;0,1,0)</f>
        <v>0</v>
      </c>
      <c r="D624">
        <f>IF(COUNTIFS('United Data'!$A$3:$A$2150,D$1,'United Data'!$C$3:$C$2150,$A624)&gt;0,1,0)</f>
        <v>0</v>
      </c>
      <c r="E624">
        <f>IF(COUNTIFS('United Data'!$A$3:$A$2150,E$1,'United Data'!$C$3:$C$2150,$A624)&gt;0,1,0)</f>
        <v>0</v>
      </c>
      <c r="F624">
        <f>IF(COUNTIFS('United Data'!$A$3:$A$2150,F$1,'United Data'!$C$3:$C$2150,$A624)&gt;0,1,0)</f>
        <v>0</v>
      </c>
      <c r="G624">
        <f>IF(COUNTIFS('United Data'!$A$3:$A$2150,G$1,'United Data'!$C$3:$C$2150,$A624)&gt;0,1,0)</f>
        <v>0</v>
      </c>
      <c r="H624">
        <f>IF(COUNTIFS('United Data'!$A$3:$A$2150,H$1,'United Data'!$C$3:$C$2150,$A624)&gt;0,1,0)</f>
        <v>0</v>
      </c>
      <c r="I624">
        <f>IF(COUNTIFS('United Data'!$A$3:$A$2150,I$1,'United Data'!$C$3:$C$2150,$A624)&gt;0,1,0)</f>
        <v>0</v>
      </c>
      <c r="J624">
        <f>IF(COUNTIFS('United Data'!$A$3:$A$2150,J$1,'United Data'!$C$3:$C$2150,$A624)&gt;0,1,0)</f>
        <v>0</v>
      </c>
      <c r="K624">
        <f>IF(COUNTIFS('United Data'!$A$3:$A$2150,K$1,'United Data'!$C$3:$C$2150,$A624)&gt;0,1,0)</f>
        <v>0</v>
      </c>
      <c r="L624">
        <f>IF(COUNTIFS('United Data'!$A$3:$A$2150,L$1,'United Data'!$C$3:$C$2150,$A624)&gt;0,1,0)</f>
        <v>0</v>
      </c>
      <c r="M624">
        <f>IF(COUNTIFS('United Data'!$A$3:$A$2150,M$1,'United Data'!$C$3:$C$2150,$A624)&gt;0,1,0)</f>
        <v>0</v>
      </c>
      <c r="N624">
        <f>IF(COUNTIFS('United Data'!$A$3:$A$2150,N$1,'United Data'!$C$3:$C$2150,$A624)&gt;0,1,0)</f>
        <v>0</v>
      </c>
      <c r="O624">
        <f>IF(COUNTIFS('United Data'!$A$3:$A$2150,O$1,'United Data'!$C$3:$C$2150,$A624)&gt;0,1,0)</f>
        <v>1</v>
      </c>
      <c r="P624">
        <f>IF(COUNTIFS('United Data'!$A$3:$A$2150,P$1,'United Data'!$C$3:$C$2150,$A624)&gt;0,1,0)</f>
        <v>0</v>
      </c>
      <c r="Q624">
        <f>IF(COUNTIFS('United Data'!$A$3:$A$2150,Q$1,'United Data'!$C$3:$C$2150,$A624)&gt;0,1,0)</f>
        <v>0</v>
      </c>
      <c r="R624">
        <f>IF(COUNTIFS('United Data'!$A$3:$A$2150,R$1,'United Data'!$C$3:$C$2150,$A624)&gt;0,1,0)</f>
        <v>0</v>
      </c>
      <c r="S624">
        <f t="shared" si="18"/>
        <v>1</v>
      </c>
      <c r="T624">
        <f t="shared" si="19"/>
        <v>1</v>
      </c>
    </row>
    <row r="625" spans="1:20" x14ac:dyDescent="0.2">
      <c r="A625" t="s">
        <v>671</v>
      </c>
      <c r="B625">
        <f>IF(COUNTIFS('United Data'!$A$3:$A$2150,B$1,'United Data'!$C$3:$C$2150,$A625)&gt;0,1,0)</f>
        <v>0</v>
      </c>
      <c r="C625">
        <f>IF(COUNTIFS('United Data'!$A$3:$A$2150,C$1,'United Data'!$C$3:$C$2150,$A625)&gt;0,1,0)</f>
        <v>0</v>
      </c>
      <c r="D625">
        <f>IF(COUNTIFS('United Data'!$A$3:$A$2150,D$1,'United Data'!$C$3:$C$2150,$A625)&gt;0,1,0)</f>
        <v>0</v>
      </c>
      <c r="E625">
        <f>IF(COUNTIFS('United Data'!$A$3:$A$2150,E$1,'United Data'!$C$3:$C$2150,$A625)&gt;0,1,0)</f>
        <v>0</v>
      </c>
      <c r="F625">
        <f>IF(COUNTIFS('United Data'!$A$3:$A$2150,F$1,'United Data'!$C$3:$C$2150,$A625)&gt;0,1,0)</f>
        <v>0</v>
      </c>
      <c r="G625">
        <f>IF(COUNTIFS('United Data'!$A$3:$A$2150,G$1,'United Data'!$C$3:$C$2150,$A625)&gt;0,1,0)</f>
        <v>0</v>
      </c>
      <c r="H625">
        <f>IF(COUNTIFS('United Data'!$A$3:$A$2150,H$1,'United Data'!$C$3:$C$2150,$A625)&gt;0,1,0)</f>
        <v>0</v>
      </c>
      <c r="I625">
        <f>IF(COUNTIFS('United Data'!$A$3:$A$2150,I$1,'United Data'!$C$3:$C$2150,$A625)&gt;0,1,0)</f>
        <v>0</v>
      </c>
      <c r="J625">
        <f>IF(COUNTIFS('United Data'!$A$3:$A$2150,J$1,'United Data'!$C$3:$C$2150,$A625)&gt;0,1,0)</f>
        <v>0</v>
      </c>
      <c r="K625">
        <f>IF(COUNTIFS('United Data'!$A$3:$A$2150,K$1,'United Data'!$C$3:$C$2150,$A625)&gt;0,1,0)</f>
        <v>0</v>
      </c>
      <c r="L625">
        <f>IF(COUNTIFS('United Data'!$A$3:$A$2150,L$1,'United Data'!$C$3:$C$2150,$A625)&gt;0,1,0)</f>
        <v>0</v>
      </c>
      <c r="M625">
        <f>IF(COUNTIFS('United Data'!$A$3:$A$2150,M$1,'United Data'!$C$3:$C$2150,$A625)&gt;0,1,0)</f>
        <v>0</v>
      </c>
      <c r="N625">
        <f>IF(COUNTIFS('United Data'!$A$3:$A$2150,N$1,'United Data'!$C$3:$C$2150,$A625)&gt;0,1,0)</f>
        <v>0</v>
      </c>
      <c r="O625">
        <f>IF(COUNTIFS('United Data'!$A$3:$A$2150,O$1,'United Data'!$C$3:$C$2150,$A625)&gt;0,1,0)</f>
        <v>1</v>
      </c>
      <c r="P625">
        <f>IF(COUNTIFS('United Data'!$A$3:$A$2150,P$1,'United Data'!$C$3:$C$2150,$A625)&gt;0,1,0)</f>
        <v>0</v>
      </c>
      <c r="Q625">
        <f>IF(COUNTIFS('United Data'!$A$3:$A$2150,Q$1,'United Data'!$C$3:$C$2150,$A625)&gt;0,1,0)</f>
        <v>0</v>
      </c>
      <c r="R625">
        <f>IF(COUNTIFS('United Data'!$A$3:$A$2150,R$1,'United Data'!$C$3:$C$2150,$A625)&gt;0,1,0)</f>
        <v>0</v>
      </c>
      <c r="S625">
        <f t="shared" si="18"/>
        <v>1</v>
      </c>
      <c r="T625">
        <f t="shared" si="19"/>
        <v>1</v>
      </c>
    </row>
    <row r="626" spans="1:20" x14ac:dyDescent="0.2">
      <c r="A626" t="s">
        <v>672</v>
      </c>
      <c r="B626">
        <f>IF(COUNTIFS('United Data'!$A$3:$A$2150,B$1,'United Data'!$C$3:$C$2150,$A626)&gt;0,1,0)</f>
        <v>0</v>
      </c>
      <c r="C626">
        <f>IF(COUNTIFS('United Data'!$A$3:$A$2150,C$1,'United Data'!$C$3:$C$2150,$A626)&gt;0,1,0)</f>
        <v>0</v>
      </c>
      <c r="D626">
        <f>IF(COUNTIFS('United Data'!$A$3:$A$2150,D$1,'United Data'!$C$3:$C$2150,$A626)&gt;0,1,0)</f>
        <v>0</v>
      </c>
      <c r="E626">
        <f>IF(COUNTIFS('United Data'!$A$3:$A$2150,E$1,'United Data'!$C$3:$C$2150,$A626)&gt;0,1,0)</f>
        <v>0</v>
      </c>
      <c r="F626">
        <f>IF(COUNTIFS('United Data'!$A$3:$A$2150,F$1,'United Data'!$C$3:$C$2150,$A626)&gt;0,1,0)</f>
        <v>0</v>
      </c>
      <c r="G626">
        <f>IF(COUNTIFS('United Data'!$A$3:$A$2150,G$1,'United Data'!$C$3:$C$2150,$A626)&gt;0,1,0)</f>
        <v>0</v>
      </c>
      <c r="H626">
        <f>IF(COUNTIFS('United Data'!$A$3:$A$2150,H$1,'United Data'!$C$3:$C$2150,$A626)&gt;0,1,0)</f>
        <v>0</v>
      </c>
      <c r="I626">
        <f>IF(COUNTIFS('United Data'!$A$3:$A$2150,I$1,'United Data'!$C$3:$C$2150,$A626)&gt;0,1,0)</f>
        <v>0</v>
      </c>
      <c r="J626">
        <f>IF(COUNTIFS('United Data'!$A$3:$A$2150,J$1,'United Data'!$C$3:$C$2150,$A626)&gt;0,1,0)</f>
        <v>0</v>
      </c>
      <c r="K626">
        <f>IF(COUNTIFS('United Data'!$A$3:$A$2150,K$1,'United Data'!$C$3:$C$2150,$A626)&gt;0,1,0)</f>
        <v>0</v>
      </c>
      <c r="L626">
        <f>IF(COUNTIFS('United Data'!$A$3:$A$2150,L$1,'United Data'!$C$3:$C$2150,$A626)&gt;0,1,0)</f>
        <v>0</v>
      </c>
      <c r="M626">
        <f>IF(COUNTIFS('United Data'!$A$3:$A$2150,M$1,'United Data'!$C$3:$C$2150,$A626)&gt;0,1,0)</f>
        <v>0</v>
      </c>
      <c r="N626">
        <f>IF(COUNTIFS('United Data'!$A$3:$A$2150,N$1,'United Data'!$C$3:$C$2150,$A626)&gt;0,1,0)</f>
        <v>0</v>
      </c>
      <c r="O626">
        <f>IF(COUNTIFS('United Data'!$A$3:$A$2150,O$1,'United Data'!$C$3:$C$2150,$A626)&gt;0,1,0)</f>
        <v>0</v>
      </c>
      <c r="P626">
        <f>IF(COUNTIFS('United Data'!$A$3:$A$2150,P$1,'United Data'!$C$3:$C$2150,$A626)&gt;0,1,0)</f>
        <v>1</v>
      </c>
      <c r="Q626">
        <f>IF(COUNTIFS('United Data'!$A$3:$A$2150,Q$1,'United Data'!$C$3:$C$2150,$A626)&gt;0,1,0)</f>
        <v>0</v>
      </c>
      <c r="R626">
        <f>IF(COUNTIFS('United Data'!$A$3:$A$2150,R$1,'United Data'!$C$3:$C$2150,$A626)&gt;0,1,0)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673</v>
      </c>
      <c r="B627">
        <f>IF(COUNTIFS('United Data'!$A$3:$A$2150,B$1,'United Data'!$C$3:$C$2150,$A627)&gt;0,1,0)</f>
        <v>0</v>
      </c>
      <c r="C627">
        <f>IF(COUNTIFS('United Data'!$A$3:$A$2150,C$1,'United Data'!$C$3:$C$2150,$A627)&gt;0,1,0)</f>
        <v>0</v>
      </c>
      <c r="D627">
        <f>IF(COUNTIFS('United Data'!$A$3:$A$2150,D$1,'United Data'!$C$3:$C$2150,$A627)&gt;0,1,0)</f>
        <v>1</v>
      </c>
      <c r="E627">
        <f>IF(COUNTIFS('United Data'!$A$3:$A$2150,E$1,'United Data'!$C$3:$C$2150,$A627)&gt;0,1,0)</f>
        <v>1</v>
      </c>
      <c r="F627">
        <f>IF(COUNTIFS('United Data'!$A$3:$A$2150,F$1,'United Data'!$C$3:$C$2150,$A627)&gt;0,1,0)</f>
        <v>1</v>
      </c>
      <c r="G627">
        <f>IF(COUNTIFS('United Data'!$A$3:$A$2150,G$1,'United Data'!$C$3:$C$2150,$A627)&gt;0,1,0)</f>
        <v>1</v>
      </c>
      <c r="H627">
        <f>IF(COUNTIFS('United Data'!$A$3:$A$2150,H$1,'United Data'!$C$3:$C$2150,$A627)&gt;0,1,0)</f>
        <v>1</v>
      </c>
      <c r="I627">
        <f>IF(COUNTIFS('United Data'!$A$3:$A$2150,I$1,'United Data'!$C$3:$C$2150,$A627)&gt;0,1,0)</f>
        <v>1</v>
      </c>
      <c r="J627">
        <f>IF(COUNTIFS('United Data'!$A$3:$A$2150,J$1,'United Data'!$C$3:$C$2150,$A627)&gt;0,1,0)</f>
        <v>0</v>
      </c>
      <c r="K627">
        <f>IF(COUNTIFS('United Data'!$A$3:$A$2150,K$1,'United Data'!$C$3:$C$2150,$A627)&gt;0,1,0)</f>
        <v>0</v>
      </c>
      <c r="L627">
        <f>IF(COUNTIFS('United Data'!$A$3:$A$2150,L$1,'United Data'!$C$3:$C$2150,$A627)&gt;0,1,0)</f>
        <v>0</v>
      </c>
      <c r="M627">
        <f>IF(COUNTIFS('United Data'!$A$3:$A$2150,M$1,'United Data'!$C$3:$C$2150,$A627)&gt;0,1,0)</f>
        <v>0</v>
      </c>
      <c r="N627">
        <f>IF(COUNTIFS('United Data'!$A$3:$A$2150,N$1,'United Data'!$C$3:$C$2150,$A627)&gt;0,1,0)</f>
        <v>0</v>
      </c>
      <c r="O627">
        <f>IF(COUNTIFS('United Data'!$A$3:$A$2150,O$1,'United Data'!$C$3:$C$2150,$A627)&gt;0,1,0)</f>
        <v>0</v>
      </c>
      <c r="P627">
        <f>IF(COUNTIFS('United Data'!$A$3:$A$2150,P$1,'United Data'!$C$3:$C$2150,$A627)&gt;0,1,0)</f>
        <v>1</v>
      </c>
      <c r="Q627">
        <f>IF(COUNTIFS('United Data'!$A$3:$A$2150,Q$1,'United Data'!$C$3:$C$2150,$A627)&gt;0,1,0)</f>
        <v>0</v>
      </c>
      <c r="R627">
        <f>IF(COUNTIFS('United Data'!$A$3:$A$2150,R$1,'United Data'!$C$3:$C$2150,$A627)&gt;0,1,0)</f>
        <v>0</v>
      </c>
      <c r="S627">
        <f t="shared" si="18"/>
        <v>7</v>
      </c>
      <c r="T627">
        <f t="shared" si="19"/>
        <v>2</v>
      </c>
    </row>
    <row r="628" spans="1:20" x14ac:dyDescent="0.2">
      <c r="A628" t="s">
        <v>674</v>
      </c>
      <c r="B628">
        <f>IF(COUNTIFS('United Data'!$A$3:$A$2150,B$1,'United Data'!$C$3:$C$2150,$A628)&gt;0,1,0)</f>
        <v>0</v>
      </c>
      <c r="C628">
        <f>IF(COUNTIFS('United Data'!$A$3:$A$2150,C$1,'United Data'!$C$3:$C$2150,$A628)&gt;0,1,0)</f>
        <v>0</v>
      </c>
      <c r="D628">
        <f>IF(COUNTIFS('United Data'!$A$3:$A$2150,D$1,'United Data'!$C$3:$C$2150,$A628)&gt;0,1,0)</f>
        <v>0</v>
      </c>
      <c r="E628">
        <f>IF(COUNTIFS('United Data'!$A$3:$A$2150,E$1,'United Data'!$C$3:$C$2150,$A628)&gt;0,1,0)</f>
        <v>0</v>
      </c>
      <c r="F628">
        <f>IF(COUNTIFS('United Data'!$A$3:$A$2150,F$1,'United Data'!$C$3:$C$2150,$A628)&gt;0,1,0)</f>
        <v>0</v>
      </c>
      <c r="G628">
        <f>IF(COUNTIFS('United Data'!$A$3:$A$2150,G$1,'United Data'!$C$3:$C$2150,$A628)&gt;0,1,0)</f>
        <v>0</v>
      </c>
      <c r="H628">
        <f>IF(COUNTIFS('United Data'!$A$3:$A$2150,H$1,'United Data'!$C$3:$C$2150,$A628)&gt;0,1,0)</f>
        <v>0</v>
      </c>
      <c r="I628">
        <f>IF(COUNTIFS('United Data'!$A$3:$A$2150,I$1,'United Data'!$C$3:$C$2150,$A628)&gt;0,1,0)</f>
        <v>0</v>
      </c>
      <c r="J628">
        <f>IF(COUNTIFS('United Data'!$A$3:$A$2150,J$1,'United Data'!$C$3:$C$2150,$A628)&gt;0,1,0)</f>
        <v>0</v>
      </c>
      <c r="K628">
        <f>IF(COUNTIFS('United Data'!$A$3:$A$2150,K$1,'United Data'!$C$3:$C$2150,$A628)&gt;0,1,0)</f>
        <v>0</v>
      </c>
      <c r="L628">
        <f>IF(COUNTIFS('United Data'!$A$3:$A$2150,L$1,'United Data'!$C$3:$C$2150,$A628)&gt;0,1,0)</f>
        <v>0</v>
      </c>
      <c r="M628">
        <f>IF(COUNTIFS('United Data'!$A$3:$A$2150,M$1,'United Data'!$C$3:$C$2150,$A628)&gt;0,1,0)</f>
        <v>0</v>
      </c>
      <c r="N628">
        <f>IF(COUNTIFS('United Data'!$A$3:$A$2150,N$1,'United Data'!$C$3:$C$2150,$A628)&gt;0,1,0)</f>
        <v>0</v>
      </c>
      <c r="O628">
        <f>IF(COUNTIFS('United Data'!$A$3:$A$2150,O$1,'United Data'!$C$3:$C$2150,$A628)&gt;0,1,0)</f>
        <v>0</v>
      </c>
      <c r="P628">
        <f>IF(COUNTIFS('United Data'!$A$3:$A$2150,P$1,'United Data'!$C$3:$C$2150,$A628)&gt;0,1,0)</f>
        <v>1</v>
      </c>
      <c r="Q628">
        <f>IF(COUNTIFS('United Data'!$A$3:$A$2150,Q$1,'United Data'!$C$3:$C$2150,$A628)&gt;0,1,0)</f>
        <v>0</v>
      </c>
      <c r="R628">
        <f>IF(COUNTIFS('United Data'!$A$3:$A$2150,R$1,'United Data'!$C$3:$C$2150,$A628)&gt;0,1,0)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675</v>
      </c>
      <c r="B629">
        <f>IF(COUNTIFS('United Data'!$A$3:$A$2150,B$1,'United Data'!$C$3:$C$2150,$A629)&gt;0,1,0)</f>
        <v>1</v>
      </c>
      <c r="C629">
        <f>IF(COUNTIFS('United Data'!$A$3:$A$2150,C$1,'United Data'!$C$3:$C$2150,$A629)&gt;0,1,0)</f>
        <v>0</v>
      </c>
      <c r="D629">
        <f>IF(COUNTIFS('United Data'!$A$3:$A$2150,D$1,'United Data'!$C$3:$C$2150,$A629)&gt;0,1,0)</f>
        <v>0</v>
      </c>
      <c r="E629">
        <f>IF(COUNTIFS('United Data'!$A$3:$A$2150,E$1,'United Data'!$C$3:$C$2150,$A629)&gt;0,1,0)</f>
        <v>0</v>
      </c>
      <c r="F629">
        <f>IF(COUNTIFS('United Data'!$A$3:$A$2150,F$1,'United Data'!$C$3:$C$2150,$A629)&gt;0,1,0)</f>
        <v>0</v>
      </c>
      <c r="G629">
        <f>IF(COUNTIFS('United Data'!$A$3:$A$2150,G$1,'United Data'!$C$3:$C$2150,$A629)&gt;0,1,0)</f>
        <v>0</v>
      </c>
      <c r="H629">
        <f>IF(COUNTIFS('United Data'!$A$3:$A$2150,H$1,'United Data'!$C$3:$C$2150,$A629)&gt;0,1,0)</f>
        <v>0</v>
      </c>
      <c r="I629">
        <f>IF(COUNTIFS('United Data'!$A$3:$A$2150,I$1,'United Data'!$C$3:$C$2150,$A629)&gt;0,1,0)</f>
        <v>0</v>
      </c>
      <c r="J629">
        <f>IF(COUNTIFS('United Data'!$A$3:$A$2150,J$1,'United Data'!$C$3:$C$2150,$A629)&gt;0,1,0)</f>
        <v>0</v>
      </c>
      <c r="K629">
        <f>IF(COUNTIFS('United Data'!$A$3:$A$2150,K$1,'United Data'!$C$3:$C$2150,$A629)&gt;0,1,0)</f>
        <v>0</v>
      </c>
      <c r="L629">
        <f>IF(COUNTIFS('United Data'!$A$3:$A$2150,L$1,'United Data'!$C$3:$C$2150,$A629)&gt;0,1,0)</f>
        <v>0</v>
      </c>
      <c r="M629">
        <f>IF(COUNTIFS('United Data'!$A$3:$A$2150,M$1,'United Data'!$C$3:$C$2150,$A629)&gt;0,1,0)</f>
        <v>0</v>
      </c>
      <c r="N629">
        <f>IF(COUNTIFS('United Data'!$A$3:$A$2150,N$1,'United Data'!$C$3:$C$2150,$A629)&gt;0,1,0)</f>
        <v>0</v>
      </c>
      <c r="O629">
        <f>IF(COUNTIFS('United Data'!$A$3:$A$2150,O$1,'United Data'!$C$3:$C$2150,$A629)&gt;0,1,0)</f>
        <v>0</v>
      </c>
      <c r="P629">
        <f>IF(COUNTIFS('United Data'!$A$3:$A$2150,P$1,'United Data'!$C$3:$C$2150,$A629)&gt;0,1,0)</f>
        <v>0</v>
      </c>
      <c r="Q629">
        <f>IF(COUNTIFS('United Data'!$A$3:$A$2150,Q$1,'United Data'!$C$3:$C$2150,$A629)&gt;0,1,0)</f>
        <v>0</v>
      </c>
      <c r="R629">
        <f>IF(COUNTIFS('United Data'!$A$3:$A$2150,R$1,'United Data'!$C$3:$C$2150,$A629)&gt;0,1,0)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676</v>
      </c>
      <c r="B630">
        <f>IF(COUNTIFS('United Data'!$A$3:$A$2150,B$1,'United Data'!$C$3:$C$2150,$A630)&gt;0,1,0)</f>
        <v>1</v>
      </c>
      <c r="C630">
        <f>IF(COUNTIFS('United Data'!$A$3:$A$2150,C$1,'United Data'!$C$3:$C$2150,$A630)&gt;0,1,0)</f>
        <v>0</v>
      </c>
      <c r="D630">
        <f>IF(COUNTIFS('United Data'!$A$3:$A$2150,D$1,'United Data'!$C$3:$C$2150,$A630)&gt;0,1,0)</f>
        <v>0</v>
      </c>
      <c r="E630">
        <f>IF(COUNTIFS('United Data'!$A$3:$A$2150,E$1,'United Data'!$C$3:$C$2150,$A630)&gt;0,1,0)</f>
        <v>0</v>
      </c>
      <c r="F630">
        <f>IF(COUNTIFS('United Data'!$A$3:$A$2150,F$1,'United Data'!$C$3:$C$2150,$A630)&gt;0,1,0)</f>
        <v>0</v>
      </c>
      <c r="G630">
        <f>IF(COUNTIFS('United Data'!$A$3:$A$2150,G$1,'United Data'!$C$3:$C$2150,$A630)&gt;0,1,0)</f>
        <v>0</v>
      </c>
      <c r="H630">
        <f>IF(COUNTIFS('United Data'!$A$3:$A$2150,H$1,'United Data'!$C$3:$C$2150,$A630)&gt;0,1,0)</f>
        <v>0</v>
      </c>
      <c r="I630">
        <f>IF(COUNTIFS('United Data'!$A$3:$A$2150,I$1,'United Data'!$C$3:$C$2150,$A630)&gt;0,1,0)</f>
        <v>0</v>
      </c>
      <c r="J630">
        <f>IF(COUNTIFS('United Data'!$A$3:$A$2150,J$1,'United Data'!$C$3:$C$2150,$A630)&gt;0,1,0)</f>
        <v>0</v>
      </c>
      <c r="K630">
        <f>IF(COUNTIFS('United Data'!$A$3:$A$2150,K$1,'United Data'!$C$3:$C$2150,$A630)&gt;0,1,0)</f>
        <v>0</v>
      </c>
      <c r="L630">
        <f>IF(COUNTIFS('United Data'!$A$3:$A$2150,L$1,'United Data'!$C$3:$C$2150,$A630)&gt;0,1,0)</f>
        <v>0</v>
      </c>
      <c r="M630">
        <f>IF(COUNTIFS('United Data'!$A$3:$A$2150,M$1,'United Data'!$C$3:$C$2150,$A630)&gt;0,1,0)</f>
        <v>0</v>
      </c>
      <c r="N630">
        <f>IF(COUNTIFS('United Data'!$A$3:$A$2150,N$1,'United Data'!$C$3:$C$2150,$A630)&gt;0,1,0)</f>
        <v>0</v>
      </c>
      <c r="O630">
        <f>IF(COUNTIFS('United Data'!$A$3:$A$2150,O$1,'United Data'!$C$3:$C$2150,$A630)&gt;0,1,0)</f>
        <v>0</v>
      </c>
      <c r="P630">
        <f>IF(COUNTIFS('United Data'!$A$3:$A$2150,P$1,'United Data'!$C$3:$C$2150,$A630)&gt;0,1,0)</f>
        <v>0</v>
      </c>
      <c r="Q630">
        <f>IF(COUNTIFS('United Data'!$A$3:$A$2150,Q$1,'United Data'!$C$3:$C$2150,$A630)&gt;0,1,0)</f>
        <v>0</v>
      </c>
      <c r="R630">
        <f>IF(COUNTIFS('United Data'!$A$3:$A$2150,R$1,'United Data'!$C$3:$C$2150,$A630)&gt;0,1,0)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677</v>
      </c>
      <c r="B631">
        <f>IF(COUNTIFS('United Data'!$A$3:$A$2150,B$1,'United Data'!$C$3:$C$2150,$A631)&gt;0,1,0)</f>
        <v>0</v>
      </c>
      <c r="C631">
        <f>IF(COUNTIFS('United Data'!$A$3:$A$2150,C$1,'United Data'!$C$3:$C$2150,$A631)&gt;0,1,0)</f>
        <v>0</v>
      </c>
      <c r="D631">
        <f>IF(COUNTIFS('United Data'!$A$3:$A$2150,D$1,'United Data'!$C$3:$C$2150,$A631)&gt;0,1,0)</f>
        <v>1</v>
      </c>
      <c r="E631">
        <f>IF(COUNTIFS('United Data'!$A$3:$A$2150,E$1,'United Data'!$C$3:$C$2150,$A631)&gt;0,1,0)</f>
        <v>0</v>
      </c>
      <c r="F631">
        <f>IF(COUNTIFS('United Data'!$A$3:$A$2150,F$1,'United Data'!$C$3:$C$2150,$A631)&gt;0,1,0)</f>
        <v>0</v>
      </c>
      <c r="G631">
        <f>IF(COUNTIFS('United Data'!$A$3:$A$2150,G$1,'United Data'!$C$3:$C$2150,$A631)&gt;0,1,0)</f>
        <v>0</v>
      </c>
      <c r="H631">
        <f>IF(COUNTIFS('United Data'!$A$3:$A$2150,H$1,'United Data'!$C$3:$C$2150,$A631)&gt;0,1,0)</f>
        <v>0</v>
      </c>
      <c r="I631">
        <f>IF(COUNTIFS('United Data'!$A$3:$A$2150,I$1,'United Data'!$C$3:$C$2150,$A631)&gt;0,1,0)</f>
        <v>0</v>
      </c>
      <c r="J631">
        <f>IF(COUNTIFS('United Data'!$A$3:$A$2150,J$1,'United Data'!$C$3:$C$2150,$A631)&gt;0,1,0)</f>
        <v>0</v>
      </c>
      <c r="K631">
        <f>IF(COUNTIFS('United Data'!$A$3:$A$2150,K$1,'United Data'!$C$3:$C$2150,$A631)&gt;0,1,0)</f>
        <v>0</v>
      </c>
      <c r="L631">
        <f>IF(COUNTIFS('United Data'!$A$3:$A$2150,L$1,'United Data'!$C$3:$C$2150,$A631)&gt;0,1,0)</f>
        <v>0</v>
      </c>
      <c r="M631">
        <f>IF(COUNTIFS('United Data'!$A$3:$A$2150,M$1,'United Data'!$C$3:$C$2150,$A631)&gt;0,1,0)</f>
        <v>0</v>
      </c>
      <c r="N631">
        <f>IF(COUNTIFS('United Data'!$A$3:$A$2150,N$1,'United Data'!$C$3:$C$2150,$A631)&gt;0,1,0)</f>
        <v>0</v>
      </c>
      <c r="O631">
        <f>IF(COUNTIFS('United Data'!$A$3:$A$2150,O$1,'United Data'!$C$3:$C$2150,$A631)&gt;0,1,0)</f>
        <v>0</v>
      </c>
      <c r="P631">
        <f>IF(COUNTIFS('United Data'!$A$3:$A$2150,P$1,'United Data'!$C$3:$C$2150,$A631)&gt;0,1,0)</f>
        <v>0</v>
      </c>
      <c r="Q631">
        <f>IF(COUNTIFS('United Data'!$A$3:$A$2150,Q$1,'United Data'!$C$3:$C$2150,$A631)&gt;0,1,0)</f>
        <v>0</v>
      </c>
      <c r="R631">
        <f>IF(COUNTIFS('United Data'!$A$3:$A$2150,R$1,'United Data'!$C$3:$C$2150,$A631)&gt;0,1,0)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678</v>
      </c>
      <c r="B632">
        <f>IF(COUNTIFS('United Data'!$A$3:$A$2150,B$1,'United Data'!$C$3:$C$2150,$A632)&gt;0,1,0)</f>
        <v>0</v>
      </c>
      <c r="C632">
        <f>IF(COUNTIFS('United Data'!$A$3:$A$2150,C$1,'United Data'!$C$3:$C$2150,$A632)&gt;0,1,0)</f>
        <v>0</v>
      </c>
      <c r="D632">
        <f>IF(COUNTIFS('United Data'!$A$3:$A$2150,D$1,'United Data'!$C$3:$C$2150,$A632)&gt;0,1,0)</f>
        <v>1</v>
      </c>
      <c r="E632">
        <f>IF(COUNTIFS('United Data'!$A$3:$A$2150,E$1,'United Data'!$C$3:$C$2150,$A632)&gt;0,1,0)</f>
        <v>0</v>
      </c>
      <c r="F632">
        <f>IF(COUNTIFS('United Data'!$A$3:$A$2150,F$1,'United Data'!$C$3:$C$2150,$A632)&gt;0,1,0)</f>
        <v>0</v>
      </c>
      <c r="G632">
        <f>IF(COUNTIFS('United Data'!$A$3:$A$2150,G$1,'United Data'!$C$3:$C$2150,$A632)&gt;0,1,0)</f>
        <v>0</v>
      </c>
      <c r="H632">
        <f>IF(COUNTIFS('United Data'!$A$3:$A$2150,H$1,'United Data'!$C$3:$C$2150,$A632)&gt;0,1,0)</f>
        <v>0</v>
      </c>
      <c r="I632">
        <f>IF(COUNTIFS('United Data'!$A$3:$A$2150,I$1,'United Data'!$C$3:$C$2150,$A632)&gt;0,1,0)</f>
        <v>0</v>
      </c>
      <c r="J632">
        <f>IF(COUNTIFS('United Data'!$A$3:$A$2150,J$1,'United Data'!$C$3:$C$2150,$A632)&gt;0,1,0)</f>
        <v>0</v>
      </c>
      <c r="K632">
        <f>IF(COUNTIFS('United Data'!$A$3:$A$2150,K$1,'United Data'!$C$3:$C$2150,$A632)&gt;0,1,0)</f>
        <v>0</v>
      </c>
      <c r="L632">
        <f>IF(COUNTIFS('United Data'!$A$3:$A$2150,L$1,'United Data'!$C$3:$C$2150,$A632)&gt;0,1,0)</f>
        <v>0</v>
      </c>
      <c r="M632">
        <f>IF(COUNTIFS('United Data'!$A$3:$A$2150,M$1,'United Data'!$C$3:$C$2150,$A632)&gt;0,1,0)</f>
        <v>0</v>
      </c>
      <c r="N632">
        <f>IF(COUNTIFS('United Data'!$A$3:$A$2150,N$1,'United Data'!$C$3:$C$2150,$A632)&gt;0,1,0)</f>
        <v>0</v>
      </c>
      <c r="O632">
        <f>IF(COUNTIFS('United Data'!$A$3:$A$2150,O$1,'United Data'!$C$3:$C$2150,$A632)&gt;0,1,0)</f>
        <v>0</v>
      </c>
      <c r="P632">
        <f>IF(COUNTIFS('United Data'!$A$3:$A$2150,P$1,'United Data'!$C$3:$C$2150,$A632)&gt;0,1,0)</f>
        <v>0</v>
      </c>
      <c r="Q632">
        <f>IF(COUNTIFS('United Data'!$A$3:$A$2150,Q$1,'United Data'!$C$3:$C$2150,$A632)&gt;0,1,0)</f>
        <v>0</v>
      </c>
      <c r="R632">
        <f>IF(COUNTIFS('United Data'!$A$3:$A$2150,R$1,'United Data'!$C$3:$C$2150,$A632)&gt;0,1,0)</f>
        <v>0</v>
      </c>
      <c r="S632">
        <f t="shared" si="18"/>
        <v>1</v>
      </c>
      <c r="T632">
        <f t="shared" si="19"/>
        <v>1</v>
      </c>
    </row>
    <row r="633" spans="1:20" x14ac:dyDescent="0.2">
      <c r="A633" t="s">
        <v>679</v>
      </c>
      <c r="B633">
        <f>IF(COUNTIFS('United Data'!$A$3:$A$2150,B$1,'United Data'!$C$3:$C$2150,$A633)&gt;0,1,0)</f>
        <v>0</v>
      </c>
      <c r="C633">
        <f>IF(COUNTIFS('United Data'!$A$3:$A$2150,C$1,'United Data'!$C$3:$C$2150,$A633)&gt;0,1,0)</f>
        <v>0</v>
      </c>
      <c r="D633">
        <f>IF(COUNTIFS('United Data'!$A$3:$A$2150,D$1,'United Data'!$C$3:$C$2150,$A633)&gt;0,1,0)</f>
        <v>1</v>
      </c>
      <c r="E633">
        <f>IF(COUNTIFS('United Data'!$A$3:$A$2150,E$1,'United Data'!$C$3:$C$2150,$A633)&gt;0,1,0)</f>
        <v>1</v>
      </c>
      <c r="F633">
        <f>IF(COUNTIFS('United Data'!$A$3:$A$2150,F$1,'United Data'!$C$3:$C$2150,$A633)&gt;0,1,0)</f>
        <v>1</v>
      </c>
      <c r="G633">
        <f>IF(COUNTIFS('United Data'!$A$3:$A$2150,G$1,'United Data'!$C$3:$C$2150,$A633)&gt;0,1,0)</f>
        <v>1</v>
      </c>
      <c r="H633">
        <f>IF(COUNTIFS('United Data'!$A$3:$A$2150,H$1,'United Data'!$C$3:$C$2150,$A633)&gt;0,1,0)</f>
        <v>0</v>
      </c>
      <c r="I633">
        <f>IF(COUNTIFS('United Data'!$A$3:$A$2150,I$1,'United Data'!$C$3:$C$2150,$A633)&gt;0,1,0)</f>
        <v>1</v>
      </c>
      <c r="J633">
        <f>IF(COUNTIFS('United Data'!$A$3:$A$2150,J$1,'United Data'!$C$3:$C$2150,$A633)&gt;0,1,0)</f>
        <v>0</v>
      </c>
      <c r="K633">
        <f>IF(COUNTIFS('United Data'!$A$3:$A$2150,K$1,'United Data'!$C$3:$C$2150,$A633)&gt;0,1,0)</f>
        <v>1</v>
      </c>
      <c r="L633">
        <f>IF(COUNTIFS('United Data'!$A$3:$A$2150,L$1,'United Data'!$C$3:$C$2150,$A633)&gt;0,1,0)</f>
        <v>0</v>
      </c>
      <c r="M633">
        <f>IF(COUNTIFS('United Data'!$A$3:$A$2150,M$1,'United Data'!$C$3:$C$2150,$A633)&gt;0,1,0)</f>
        <v>0</v>
      </c>
      <c r="N633">
        <f>IF(COUNTIFS('United Data'!$A$3:$A$2150,N$1,'United Data'!$C$3:$C$2150,$A633)&gt;0,1,0)</f>
        <v>0</v>
      </c>
      <c r="O633">
        <f>IF(COUNTIFS('United Data'!$A$3:$A$2150,O$1,'United Data'!$C$3:$C$2150,$A633)&gt;0,1,0)</f>
        <v>0</v>
      </c>
      <c r="P633">
        <f>IF(COUNTIFS('United Data'!$A$3:$A$2150,P$1,'United Data'!$C$3:$C$2150,$A633)&gt;0,1,0)</f>
        <v>1</v>
      </c>
      <c r="Q633">
        <f>IF(COUNTIFS('United Data'!$A$3:$A$2150,Q$1,'United Data'!$C$3:$C$2150,$A633)&gt;0,1,0)</f>
        <v>1</v>
      </c>
      <c r="R633">
        <f>IF(COUNTIFS('United Data'!$A$3:$A$2150,R$1,'United Data'!$C$3:$C$2150,$A633)&gt;0,1,0)</f>
        <v>0</v>
      </c>
      <c r="S633">
        <f t="shared" si="18"/>
        <v>8</v>
      </c>
      <c r="T633">
        <f t="shared" si="19"/>
        <v>4</v>
      </c>
    </row>
    <row r="634" spans="1:20" x14ac:dyDescent="0.2">
      <c r="A634" t="s">
        <v>680</v>
      </c>
      <c r="B634">
        <f>IF(COUNTIFS('United Data'!$A$3:$A$2150,B$1,'United Data'!$C$3:$C$2150,$A634)&gt;0,1,0)</f>
        <v>0</v>
      </c>
      <c r="C634">
        <f>IF(COUNTIFS('United Data'!$A$3:$A$2150,C$1,'United Data'!$C$3:$C$2150,$A634)&gt;0,1,0)</f>
        <v>0</v>
      </c>
      <c r="D634">
        <f>IF(COUNTIFS('United Data'!$A$3:$A$2150,D$1,'United Data'!$C$3:$C$2150,$A634)&gt;0,1,0)</f>
        <v>0</v>
      </c>
      <c r="E634">
        <f>IF(COUNTIFS('United Data'!$A$3:$A$2150,E$1,'United Data'!$C$3:$C$2150,$A634)&gt;0,1,0)</f>
        <v>1</v>
      </c>
      <c r="F634">
        <f>IF(COUNTIFS('United Data'!$A$3:$A$2150,F$1,'United Data'!$C$3:$C$2150,$A634)&gt;0,1,0)</f>
        <v>1</v>
      </c>
      <c r="G634">
        <f>IF(COUNTIFS('United Data'!$A$3:$A$2150,G$1,'United Data'!$C$3:$C$2150,$A634)&gt;0,1,0)</f>
        <v>1</v>
      </c>
      <c r="H634">
        <f>IF(COUNTIFS('United Data'!$A$3:$A$2150,H$1,'United Data'!$C$3:$C$2150,$A634)&gt;0,1,0)</f>
        <v>1</v>
      </c>
      <c r="I634">
        <f>IF(COUNTIFS('United Data'!$A$3:$A$2150,I$1,'United Data'!$C$3:$C$2150,$A634)&gt;0,1,0)</f>
        <v>1</v>
      </c>
      <c r="J634">
        <f>IF(COUNTIFS('United Data'!$A$3:$A$2150,J$1,'United Data'!$C$3:$C$2150,$A634)&gt;0,1,0)</f>
        <v>1</v>
      </c>
      <c r="K634">
        <f>IF(COUNTIFS('United Data'!$A$3:$A$2150,K$1,'United Data'!$C$3:$C$2150,$A634)&gt;0,1,0)</f>
        <v>0</v>
      </c>
      <c r="L634">
        <f>IF(COUNTIFS('United Data'!$A$3:$A$2150,L$1,'United Data'!$C$3:$C$2150,$A634)&gt;0,1,0)</f>
        <v>1</v>
      </c>
      <c r="M634">
        <f>IF(COUNTIFS('United Data'!$A$3:$A$2150,M$1,'United Data'!$C$3:$C$2150,$A634)&gt;0,1,0)</f>
        <v>0</v>
      </c>
      <c r="N634">
        <f>IF(COUNTIFS('United Data'!$A$3:$A$2150,N$1,'United Data'!$C$3:$C$2150,$A634)&gt;0,1,0)</f>
        <v>0</v>
      </c>
      <c r="O634">
        <f>IF(COUNTIFS('United Data'!$A$3:$A$2150,O$1,'United Data'!$C$3:$C$2150,$A634)&gt;0,1,0)</f>
        <v>0</v>
      </c>
      <c r="P634">
        <f>IF(COUNTIFS('United Data'!$A$3:$A$2150,P$1,'United Data'!$C$3:$C$2150,$A634)&gt;0,1,0)</f>
        <v>0</v>
      </c>
      <c r="Q634">
        <f>IF(COUNTIFS('United Data'!$A$3:$A$2150,Q$1,'United Data'!$C$3:$C$2150,$A634)&gt;0,1,0)</f>
        <v>0</v>
      </c>
      <c r="R634">
        <f>IF(COUNTIFS('United Data'!$A$3:$A$2150,R$1,'United Data'!$C$3:$C$2150,$A634)&gt;0,1,0)</f>
        <v>0</v>
      </c>
      <c r="S634">
        <f t="shared" si="18"/>
        <v>7</v>
      </c>
      <c r="T634">
        <f t="shared" si="19"/>
        <v>2</v>
      </c>
    </row>
    <row r="635" spans="1:20" x14ac:dyDescent="0.2">
      <c r="A635" t="s">
        <v>681</v>
      </c>
      <c r="B635">
        <f>IF(COUNTIFS('United Data'!$A$3:$A$2150,B$1,'United Data'!$C$3:$C$2150,$A635)&gt;0,1,0)</f>
        <v>0</v>
      </c>
      <c r="C635">
        <f>IF(COUNTIFS('United Data'!$A$3:$A$2150,C$1,'United Data'!$C$3:$C$2150,$A635)&gt;0,1,0)</f>
        <v>0</v>
      </c>
      <c r="D635">
        <f>IF(COUNTIFS('United Data'!$A$3:$A$2150,D$1,'United Data'!$C$3:$C$2150,$A635)&gt;0,1,0)</f>
        <v>0</v>
      </c>
      <c r="E635">
        <f>IF(COUNTIFS('United Data'!$A$3:$A$2150,E$1,'United Data'!$C$3:$C$2150,$A635)&gt;0,1,0)</f>
        <v>1</v>
      </c>
      <c r="F635">
        <f>IF(COUNTIFS('United Data'!$A$3:$A$2150,F$1,'United Data'!$C$3:$C$2150,$A635)&gt;0,1,0)</f>
        <v>1</v>
      </c>
      <c r="G635">
        <f>IF(COUNTIFS('United Data'!$A$3:$A$2150,G$1,'United Data'!$C$3:$C$2150,$A635)&gt;0,1,0)</f>
        <v>1</v>
      </c>
      <c r="H635">
        <f>IF(COUNTIFS('United Data'!$A$3:$A$2150,H$1,'United Data'!$C$3:$C$2150,$A635)&gt;0,1,0)</f>
        <v>1</v>
      </c>
      <c r="I635">
        <f>IF(COUNTIFS('United Data'!$A$3:$A$2150,I$1,'United Data'!$C$3:$C$2150,$A635)&gt;0,1,0)</f>
        <v>0</v>
      </c>
      <c r="J635">
        <f>IF(COUNTIFS('United Data'!$A$3:$A$2150,J$1,'United Data'!$C$3:$C$2150,$A635)&gt;0,1,0)</f>
        <v>1</v>
      </c>
      <c r="K635">
        <f>IF(COUNTIFS('United Data'!$A$3:$A$2150,K$1,'United Data'!$C$3:$C$2150,$A635)&gt;0,1,0)</f>
        <v>1</v>
      </c>
      <c r="L635">
        <f>IF(COUNTIFS('United Data'!$A$3:$A$2150,L$1,'United Data'!$C$3:$C$2150,$A635)&gt;0,1,0)</f>
        <v>1</v>
      </c>
      <c r="M635">
        <f>IF(COUNTIFS('United Data'!$A$3:$A$2150,M$1,'United Data'!$C$3:$C$2150,$A635)&gt;0,1,0)</f>
        <v>1</v>
      </c>
      <c r="N635">
        <f>IF(COUNTIFS('United Data'!$A$3:$A$2150,N$1,'United Data'!$C$3:$C$2150,$A635)&gt;0,1,0)</f>
        <v>0</v>
      </c>
      <c r="O635">
        <f>IF(COUNTIFS('United Data'!$A$3:$A$2150,O$1,'United Data'!$C$3:$C$2150,$A635)&gt;0,1,0)</f>
        <v>0</v>
      </c>
      <c r="P635">
        <f>IF(COUNTIFS('United Data'!$A$3:$A$2150,P$1,'United Data'!$C$3:$C$2150,$A635)&gt;0,1,0)</f>
        <v>0</v>
      </c>
      <c r="Q635">
        <f>IF(COUNTIFS('United Data'!$A$3:$A$2150,Q$1,'United Data'!$C$3:$C$2150,$A635)&gt;0,1,0)</f>
        <v>0</v>
      </c>
      <c r="R635">
        <f>IF(COUNTIFS('United Data'!$A$3:$A$2150,R$1,'United Data'!$C$3:$C$2150,$A635)&gt;0,1,0)</f>
        <v>0</v>
      </c>
      <c r="S635">
        <f t="shared" si="18"/>
        <v>8</v>
      </c>
      <c r="T635">
        <f t="shared" si="19"/>
        <v>2</v>
      </c>
    </row>
    <row r="636" spans="1:20" x14ac:dyDescent="0.2">
      <c r="A636" t="s">
        <v>682</v>
      </c>
      <c r="B636">
        <f>IF(COUNTIFS('United Data'!$A$3:$A$2150,B$1,'United Data'!$C$3:$C$2150,$A636)&gt;0,1,0)</f>
        <v>0</v>
      </c>
      <c r="C636">
        <f>IF(COUNTIFS('United Data'!$A$3:$A$2150,C$1,'United Data'!$C$3:$C$2150,$A636)&gt;0,1,0)</f>
        <v>0</v>
      </c>
      <c r="D636">
        <f>IF(COUNTIFS('United Data'!$A$3:$A$2150,D$1,'United Data'!$C$3:$C$2150,$A636)&gt;0,1,0)</f>
        <v>0</v>
      </c>
      <c r="E636">
        <f>IF(COUNTIFS('United Data'!$A$3:$A$2150,E$1,'United Data'!$C$3:$C$2150,$A636)&gt;0,1,0)</f>
        <v>1</v>
      </c>
      <c r="F636">
        <f>IF(COUNTIFS('United Data'!$A$3:$A$2150,F$1,'United Data'!$C$3:$C$2150,$A636)&gt;0,1,0)</f>
        <v>1</v>
      </c>
      <c r="G636">
        <f>IF(COUNTIFS('United Data'!$A$3:$A$2150,G$1,'United Data'!$C$3:$C$2150,$A636)&gt;0,1,0)</f>
        <v>1</v>
      </c>
      <c r="H636">
        <f>IF(COUNTIFS('United Data'!$A$3:$A$2150,H$1,'United Data'!$C$3:$C$2150,$A636)&gt;0,1,0)</f>
        <v>1</v>
      </c>
      <c r="I636">
        <f>IF(COUNTIFS('United Data'!$A$3:$A$2150,I$1,'United Data'!$C$3:$C$2150,$A636)&gt;0,1,0)</f>
        <v>1</v>
      </c>
      <c r="J636">
        <f>IF(COUNTIFS('United Data'!$A$3:$A$2150,J$1,'United Data'!$C$3:$C$2150,$A636)&gt;0,1,0)</f>
        <v>1</v>
      </c>
      <c r="K636">
        <f>IF(COUNTIFS('United Data'!$A$3:$A$2150,K$1,'United Data'!$C$3:$C$2150,$A636)&gt;0,1,0)</f>
        <v>1</v>
      </c>
      <c r="L636">
        <f>IF(COUNTIFS('United Data'!$A$3:$A$2150,L$1,'United Data'!$C$3:$C$2150,$A636)&gt;0,1,0)</f>
        <v>1</v>
      </c>
      <c r="M636">
        <f>IF(COUNTIFS('United Data'!$A$3:$A$2150,M$1,'United Data'!$C$3:$C$2150,$A636)&gt;0,1,0)</f>
        <v>0</v>
      </c>
      <c r="N636">
        <f>IF(COUNTIFS('United Data'!$A$3:$A$2150,N$1,'United Data'!$C$3:$C$2150,$A636)&gt;0,1,0)</f>
        <v>0</v>
      </c>
      <c r="O636">
        <f>IF(COUNTIFS('United Data'!$A$3:$A$2150,O$1,'United Data'!$C$3:$C$2150,$A636)&gt;0,1,0)</f>
        <v>0</v>
      </c>
      <c r="P636">
        <f>IF(COUNTIFS('United Data'!$A$3:$A$2150,P$1,'United Data'!$C$3:$C$2150,$A636)&gt;0,1,0)</f>
        <v>0</v>
      </c>
      <c r="Q636">
        <f>IF(COUNTIFS('United Data'!$A$3:$A$2150,Q$1,'United Data'!$C$3:$C$2150,$A636)&gt;0,1,0)</f>
        <v>0</v>
      </c>
      <c r="R636">
        <f>IF(COUNTIFS('United Data'!$A$3:$A$2150,R$1,'United Data'!$C$3:$C$2150,$A636)&gt;0,1,0)</f>
        <v>0</v>
      </c>
      <c r="S636">
        <f t="shared" si="18"/>
        <v>8</v>
      </c>
      <c r="T636">
        <f t="shared" si="19"/>
        <v>1</v>
      </c>
    </row>
    <row r="637" spans="1:20" x14ac:dyDescent="0.2">
      <c r="A637" t="s">
        <v>683</v>
      </c>
      <c r="B637">
        <f>IF(COUNTIFS('United Data'!$A$3:$A$2150,B$1,'United Data'!$C$3:$C$2150,$A637)&gt;0,1,0)</f>
        <v>0</v>
      </c>
      <c r="C637">
        <f>IF(COUNTIFS('United Data'!$A$3:$A$2150,C$1,'United Data'!$C$3:$C$2150,$A637)&gt;0,1,0)</f>
        <v>0</v>
      </c>
      <c r="D637">
        <f>IF(COUNTIFS('United Data'!$A$3:$A$2150,D$1,'United Data'!$C$3:$C$2150,$A637)&gt;0,1,0)</f>
        <v>0</v>
      </c>
      <c r="E637">
        <f>IF(COUNTIFS('United Data'!$A$3:$A$2150,E$1,'United Data'!$C$3:$C$2150,$A637)&gt;0,1,0)</f>
        <v>0</v>
      </c>
      <c r="F637">
        <f>IF(COUNTIFS('United Data'!$A$3:$A$2150,F$1,'United Data'!$C$3:$C$2150,$A637)&gt;0,1,0)</f>
        <v>0</v>
      </c>
      <c r="G637">
        <f>IF(COUNTIFS('United Data'!$A$3:$A$2150,G$1,'United Data'!$C$3:$C$2150,$A637)&gt;0,1,0)</f>
        <v>0</v>
      </c>
      <c r="H637">
        <f>IF(COUNTIFS('United Data'!$A$3:$A$2150,H$1,'United Data'!$C$3:$C$2150,$A637)&gt;0,1,0)</f>
        <v>0</v>
      </c>
      <c r="I637">
        <f>IF(COUNTIFS('United Data'!$A$3:$A$2150,I$1,'United Data'!$C$3:$C$2150,$A637)&gt;0,1,0)</f>
        <v>1</v>
      </c>
      <c r="J637">
        <f>IF(COUNTIFS('United Data'!$A$3:$A$2150,J$1,'United Data'!$C$3:$C$2150,$A637)&gt;0,1,0)</f>
        <v>0</v>
      </c>
      <c r="K637">
        <f>IF(COUNTIFS('United Data'!$A$3:$A$2150,K$1,'United Data'!$C$3:$C$2150,$A637)&gt;0,1,0)</f>
        <v>0</v>
      </c>
      <c r="L637">
        <f>IF(COUNTIFS('United Data'!$A$3:$A$2150,L$1,'United Data'!$C$3:$C$2150,$A637)&gt;0,1,0)</f>
        <v>0</v>
      </c>
      <c r="M637">
        <f>IF(COUNTIFS('United Data'!$A$3:$A$2150,M$1,'United Data'!$C$3:$C$2150,$A637)&gt;0,1,0)</f>
        <v>0</v>
      </c>
      <c r="N637">
        <f>IF(COUNTIFS('United Data'!$A$3:$A$2150,N$1,'United Data'!$C$3:$C$2150,$A637)&gt;0,1,0)</f>
        <v>0</v>
      </c>
      <c r="O637">
        <f>IF(COUNTIFS('United Data'!$A$3:$A$2150,O$1,'United Data'!$C$3:$C$2150,$A637)&gt;0,1,0)</f>
        <v>0</v>
      </c>
      <c r="P637">
        <f>IF(COUNTIFS('United Data'!$A$3:$A$2150,P$1,'United Data'!$C$3:$C$2150,$A637)&gt;0,1,0)</f>
        <v>0</v>
      </c>
      <c r="Q637">
        <f>IF(COUNTIFS('United Data'!$A$3:$A$2150,Q$1,'United Data'!$C$3:$C$2150,$A637)&gt;0,1,0)</f>
        <v>0</v>
      </c>
      <c r="R637">
        <f>IF(COUNTIFS('United Data'!$A$3:$A$2150,R$1,'United Data'!$C$3:$C$2150,$A637)&gt;0,1,0)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684</v>
      </c>
      <c r="B638">
        <f>IF(COUNTIFS('United Data'!$A$3:$A$2150,B$1,'United Data'!$C$3:$C$2150,$A638)&gt;0,1,0)</f>
        <v>0</v>
      </c>
      <c r="C638">
        <f>IF(COUNTIFS('United Data'!$A$3:$A$2150,C$1,'United Data'!$C$3:$C$2150,$A638)&gt;0,1,0)</f>
        <v>0</v>
      </c>
      <c r="D638">
        <f>IF(COUNTIFS('United Data'!$A$3:$A$2150,D$1,'United Data'!$C$3:$C$2150,$A638)&gt;0,1,0)</f>
        <v>0</v>
      </c>
      <c r="E638">
        <f>IF(COUNTIFS('United Data'!$A$3:$A$2150,E$1,'United Data'!$C$3:$C$2150,$A638)&gt;0,1,0)</f>
        <v>0</v>
      </c>
      <c r="F638">
        <f>IF(COUNTIFS('United Data'!$A$3:$A$2150,F$1,'United Data'!$C$3:$C$2150,$A638)&gt;0,1,0)</f>
        <v>0</v>
      </c>
      <c r="G638">
        <f>IF(COUNTIFS('United Data'!$A$3:$A$2150,G$1,'United Data'!$C$3:$C$2150,$A638)&gt;0,1,0)</f>
        <v>0</v>
      </c>
      <c r="H638">
        <f>IF(COUNTIFS('United Data'!$A$3:$A$2150,H$1,'United Data'!$C$3:$C$2150,$A638)&gt;0,1,0)</f>
        <v>0</v>
      </c>
      <c r="I638">
        <f>IF(COUNTIFS('United Data'!$A$3:$A$2150,I$1,'United Data'!$C$3:$C$2150,$A638)&gt;0,1,0)</f>
        <v>0</v>
      </c>
      <c r="J638">
        <f>IF(COUNTIFS('United Data'!$A$3:$A$2150,J$1,'United Data'!$C$3:$C$2150,$A638)&gt;0,1,0)</f>
        <v>0</v>
      </c>
      <c r="K638">
        <f>IF(COUNTIFS('United Data'!$A$3:$A$2150,K$1,'United Data'!$C$3:$C$2150,$A638)&gt;0,1,0)</f>
        <v>1</v>
      </c>
      <c r="L638">
        <f>IF(COUNTIFS('United Data'!$A$3:$A$2150,L$1,'United Data'!$C$3:$C$2150,$A638)&gt;0,1,0)</f>
        <v>0</v>
      </c>
      <c r="M638">
        <f>IF(COUNTIFS('United Data'!$A$3:$A$2150,M$1,'United Data'!$C$3:$C$2150,$A638)&gt;0,1,0)</f>
        <v>0</v>
      </c>
      <c r="N638">
        <f>IF(COUNTIFS('United Data'!$A$3:$A$2150,N$1,'United Data'!$C$3:$C$2150,$A638)&gt;0,1,0)</f>
        <v>0</v>
      </c>
      <c r="O638">
        <f>IF(COUNTIFS('United Data'!$A$3:$A$2150,O$1,'United Data'!$C$3:$C$2150,$A638)&gt;0,1,0)</f>
        <v>0</v>
      </c>
      <c r="P638">
        <f>IF(COUNTIFS('United Data'!$A$3:$A$2150,P$1,'United Data'!$C$3:$C$2150,$A638)&gt;0,1,0)</f>
        <v>0</v>
      </c>
      <c r="Q638">
        <f>IF(COUNTIFS('United Data'!$A$3:$A$2150,Q$1,'United Data'!$C$3:$C$2150,$A638)&gt;0,1,0)</f>
        <v>0</v>
      </c>
      <c r="R638">
        <f>IF(COUNTIFS('United Data'!$A$3:$A$2150,R$1,'United Data'!$C$3:$C$2150,$A638)&gt;0,1,0)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685</v>
      </c>
      <c r="B639">
        <f>IF(COUNTIFS('United Data'!$A$3:$A$2150,B$1,'United Data'!$C$3:$C$2150,$A639)&gt;0,1,0)</f>
        <v>0</v>
      </c>
      <c r="C639">
        <f>IF(COUNTIFS('United Data'!$A$3:$A$2150,C$1,'United Data'!$C$3:$C$2150,$A639)&gt;0,1,0)</f>
        <v>0</v>
      </c>
      <c r="D639">
        <f>IF(COUNTIFS('United Data'!$A$3:$A$2150,D$1,'United Data'!$C$3:$C$2150,$A639)&gt;0,1,0)</f>
        <v>0</v>
      </c>
      <c r="E639">
        <f>IF(COUNTIFS('United Data'!$A$3:$A$2150,E$1,'United Data'!$C$3:$C$2150,$A639)&gt;0,1,0)</f>
        <v>0</v>
      </c>
      <c r="F639">
        <f>IF(COUNTIFS('United Data'!$A$3:$A$2150,F$1,'United Data'!$C$3:$C$2150,$A639)&gt;0,1,0)</f>
        <v>0</v>
      </c>
      <c r="G639">
        <f>IF(COUNTIFS('United Data'!$A$3:$A$2150,G$1,'United Data'!$C$3:$C$2150,$A639)&gt;0,1,0)</f>
        <v>0</v>
      </c>
      <c r="H639">
        <f>IF(COUNTIFS('United Data'!$A$3:$A$2150,H$1,'United Data'!$C$3:$C$2150,$A639)&gt;0,1,0)</f>
        <v>0</v>
      </c>
      <c r="I639">
        <f>IF(COUNTIFS('United Data'!$A$3:$A$2150,I$1,'United Data'!$C$3:$C$2150,$A639)&gt;0,1,0)</f>
        <v>0</v>
      </c>
      <c r="J639">
        <f>IF(COUNTIFS('United Data'!$A$3:$A$2150,J$1,'United Data'!$C$3:$C$2150,$A639)&gt;0,1,0)</f>
        <v>0</v>
      </c>
      <c r="K639">
        <f>IF(COUNTIFS('United Data'!$A$3:$A$2150,K$1,'United Data'!$C$3:$C$2150,$A639)&gt;0,1,0)</f>
        <v>1</v>
      </c>
      <c r="L639">
        <f>IF(COUNTIFS('United Data'!$A$3:$A$2150,L$1,'United Data'!$C$3:$C$2150,$A639)&gt;0,1,0)</f>
        <v>0</v>
      </c>
      <c r="M639">
        <f>IF(COUNTIFS('United Data'!$A$3:$A$2150,M$1,'United Data'!$C$3:$C$2150,$A639)&gt;0,1,0)</f>
        <v>0</v>
      </c>
      <c r="N639">
        <f>IF(COUNTIFS('United Data'!$A$3:$A$2150,N$1,'United Data'!$C$3:$C$2150,$A639)&gt;0,1,0)</f>
        <v>0</v>
      </c>
      <c r="O639">
        <f>IF(COUNTIFS('United Data'!$A$3:$A$2150,O$1,'United Data'!$C$3:$C$2150,$A639)&gt;0,1,0)</f>
        <v>0</v>
      </c>
      <c r="P639">
        <f>IF(COUNTIFS('United Data'!$A$3:$A$2150,P$1,'United Data'!$C$3:$C$2150,$A639)&gt;0,1,0)</f>
        <v>0</v>
      </c>
      <c r="Q639">
        <f>IF(COUNTIFS('United Data'!$A$3:$A$2150,Q$1,'United Data'!$C$3:$C$2150,$A639)&gt;0,1,0)</f>
        <v>0</v>
      </c>
      <c r="R639">
        <f>IF(COUNTIFS('United Data'!$A$3:$A$2150,R$1,'United Data'!$C$3:$C$2150,$A639)&gt;0,1,0)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686</v>
      </c>
      <c r="B640">
        <f>IF(COUNTIFS('United Data'!$A$3:$A$2150,B$1,'United Data'!$C$3:$C$2150,$A640)&gt;0,1,0)</f>
        <v>0</v>
      </c>
      <c r="C640">
        <f>IF(COUNTIFS('United Data'!$A$3:$A$2150,C$1,'United Data'!$C$3:$C$2150,$A640)&gt;0,1,0)</f>
        <v>0</v>
      </c>
      <c r="D640">
        <f>IF(COUNTIFS('United Data'!$A$3:$A$2150,D$1,'United Data'!$C$3:$C$2150,$A640)&gt;0,1,0)</f>
        <v>0</v>
      </c>
      <c r="E640">
        <f>IF(COUNTIFS('United Data'!$A$3:$A$2150,E$1,'United Data'!$C$3:$C$2150,$A640)&gt;0,1,0)</f>
        <v>0</v>
      </c>
      <c r="F640">
        <f>IF(COUNTIFS('United Data'!$A$3:$A$2150,F$1,'United Data'!$C$3:$C$2150,$A640)&gt;0,1,0)</f>
        <v>0</v>
      </c>
      <c r="G640">
        <f>IF(COUNTIFS('United Data'!$A$3:$A$2150,G$1,'United Data'!$C$3:$C$2150,$A640)&gt;0,1,0)</f>
        <v>0</v>
      </c>
      <c r="H640">
        <f>IF(COUNTIFS('United Data'!$A$3:$A$2150,H$1,'United Data'!$C$3:$C$2150,$A640)&gt;0,1,0)</f>
        <v>0</v>
      </c>
      <c r="I640">
        <f>IF(COUNTIFS('United Data'!$A$3:$A$2150,I$1,'United Data'!$C$3:$C$2150,$A640)&gt;0,1,0)</f>
        <v>0</v>
      </c>
      <c r="J640">
        <f>IF(COUNTIFS('United Data'!$A$3:$A$2150,J$1,'United Data'!$C$3:$C$2150,$A640)&gt;0,1,0)</f>
        <v>0</v>
      </c>
      <c r="K640">
        <f>IF(COUNTIFS('United Data'!$A$3:$A$2150,K$1,'United Data'!$C$3:$C$2150,$A640)&gt;0,1,0)</f>
        <v>0</v>
      </c>
      <c r="L640">
        <f>IF(COUNTIFS('United Data'!$A$3:$A$2150,L$1,'United Data'!$C$3:$C$2150,$A640)&gt;0,1,0)</f>
        <v>0</v>
      </c>
      <c r="M640">
        <f>IF(COUNTIFS('United Data'!$A$3:$A$2150,M$1,'United Data'!$C$3:$C$2150,$A640)&gt;0,1,0)</f>
        <v>0</v>
      </c>
      <c r="N640">
        <f>IF(COUNTIFS('United Data'!$A$3:$A$2150,N$1,'United Data'!$C$3:$C$2150,$A640)&gt;0,1,0)</f>
        <v>1</v>
      </c>
      <c r="O640">
        <f>IF(COUNTIFS('United Data'!$A$3:$A$2150,O$1,'United Data'!$C$3:$C$2150,$A640)&gt;0,1,0)</f>
        <v>0</v>
      </c>
      <c r="P640">
        <f>IF(COUNTIFS('United Data'!$A$3:$A$2150,P$1,'United Data'!$C$3:$C$2150,$A640)&gt;0,1,0)</f>
        <v>0</v>
      </c>
      <c r="Q640">
        <f>IF(COUNTIFS('United Data'!$A$3:$A$2150,Q$1,'United Data'!$C$3:$C$2150,$A640)&gt;0,1,0)</f>
        <v>0</v>
      </c>
      <c r="R640">
        <f>IF(COUNTIFS('United Data'!$A$3:$A$2150,R$1,'United Data'!$C$3:$C$2150,$A640)&gt;0,1,0)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687</v>
      </c>
      <c r="B641">
        <f>IF(COUNTIFS('United Data'!$A$3:$A$2150,B$1,'United Data'!$C$3:$C$2150,$A641)&gt;0,1,0)</f>
        <v>0</v>
      </c>
      <c r="C641">
        <f>IF(COUNTIFS('United Data'!$A$3:$A$2150,C$1,'United Data'!$C$3:$C$2150,$A641)&gt;0,1,0)</f>
        <v>0</v>
      </c>
      <c r="D641">
        <f>IF(COUNTIFS('United Data'!$A$3:$A$2150,D$1,'United Data'!$C$3:$C$2150,$A641)&gt;0,1,0)</f>
        <v>0</v>
      </c>
      <c r="E641">
        <f>IF(COUNTIFS('United Data'!$A$3:$A$2150,E$1,'United Data'!$C$3:$C$2150,$A641)&gt;0,1,0)</f>
        <v>0</v>
      </c>
      <c r="F641">
        <f>IF(COUNTIFS('United Data'!$A$3:$A$2150,F$1,'United Data'!$C$3:$C$2150,$A641)&gt;0,1,0)</f>
        <v>0</v>
      </c>
      <c r="G641">
        <f>IF(COUNTIFS('United Data'!$A$3:$A$2150,G$1,'United Data'!$C$3:$C$2150,$A641)&gt;0,1,0)</f>
        <v>0</v>
      </c>
      <c r="H641">
        <f>IF(COUNTIFS('United Data'!$A$3:$A$2150,H$1,'United Data'!$C$3:$C$2150,$A641)&gt;0,1,0)</f>
        <v>0</v>
      </c>
      <c r="I641">
        <f>IF(COUNTIFS('United Data'!$A$3:$A$2150,I$1,'United Data'!$C$3:$C$2150,$A641)&gt;0,1,0)</f>
        <v>0</v>
      </c>
      <c r="J641">
        <f>IF(COUNTIFS('United Data'!$A$3:$A$2150,J$1,'United Data'!$C$3:$C$2150,$A641)&gt;0,1,0)</f>
        <v>0</v>
      </c>
      <c r="K641">
        <f>IF(COUNTIFS('United Data'!$A$3:$A$2150,K$1,'United Data'!$C$3:$C$2150,$A641)&gt;0,1,0)</f>
        <v>0</v>
      </c>
      <c r="L641">
        <f>IF(COUNTIFS('United Data'!$A$3:$A$2150,L$1,'United Data'!$C$3:$C$2150,$A641)&gt;0,1,0)</f>
        <v>0</v>
      </c>
      <c r="M641">
        <f>IF(COUNTIFS('United Data'!$A$3:$A$2150,M$1,'United Data'!$C$3:$C$2150,$A641)&gt;0,1,0)</f>
        <v>0</v>
      </c>
      <c r="N641">
        <f>IF(COUNTIFS('United Data'!$A$3:$A$2150,N$1,'United Data'!$C$3:$C$2150,$A641)&gt;0,1,0)</f>
        <v>1</v>
      </c>
      <c r="O641">
        <f>IF(COUNTIFS('United Data'!$A$3:$A$2150,O$1,'United Data'!$C$3:$C$2150,$A641)&gt;0,1,0)</f>
        <v>0</v>
      </c>
      <c r="P641">
        <f>IF(COUNTIFS('United Data'!$A$3:$A$2150,P$1,'United Data'!$C$3:$C$2150,$A641)&gt;0,1,0)</f>
        <v>0</v>
      </c>
      <c r="Q641">
        <f>IF(COUNTIFS('United Data'!$A$3:$A$2150,Q$1,'United Data'!$C$3:$C$2150,$A641)&gt;0,1,0)</f>
        <v>0</v>
      </c>
      <c r="R641">
        <f>IF(COUNTIFS('United Data'!$A$3:$A$2150,R$1,'United Data'!$C$3:$C$2150,$A641)&gt;0,1,0)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688</v>
      </c>
      <c r="B642">
        <f>IF(COUNTIFS('United Data'!$A$3:$A$2150,B$1,'United Data'!$C$3:$C$2150,$A642)&gt;0,1,0)</f>
        <v>0</v>
      </c>
      <c r="C642">
        <f>IF(COUNTIFS('United Data'!$A$3:$A$2150,C$1,'United Data'!$C$3:$C$2150,$A642)&gt;0,1,0)</f>
        <v>0</v>
      </c>
      <c r="D642">
        <f>IF(COUNTIFS('United Data'!$A$3:$A$2150,D$1,'United Data'!$C$3:$C$2150,$A642)&gt;0,1,0)</f>
        <v>0</v>
      </c>
      <c r="E642">
        <f>IF(COUNTIFS('United Data'!$A$3:$A$2150,E$1,'United Data'!$C$3:$C$2150,$A642)&gt;0,1,0)</f>
        <v>0</v>
      </c>
      <c r="F642">
        <f>IF(COUNTIFS('United Data'!$A$3:$A$2150,F$1,'United Data'!$C$3:$C$2150,$A642)&gt;0,1,0)</f>
        <v>0</v>
      </c>
      <c r="G642">
        <f>IF(COUNTIFS('United Data'!$A$3:$A$2150,G$1,'United Data'!$C$3:$C$2150,$A642)&gt;0,1,0)</f>
        <v>0</v>
      </c>
      <c r="H642">
        <f>IF(COUNTIFS('United Data'!$A$3:$A$2150,H$1,'United Data'!$C$3:$C$2150,$A642)&gt;0,1,0)</f>
        <v>0</v>
      </c>
      <c r="I642">
        <f>IF(COUNTIFS('United Data'!$A$3:$A$2150,I$1,'United Data'!$C$3:$C$2150,$A642)&gt;0,1,0)</f>
        <v>0</v>
      </c>
      <c r="J642">
        <f>IF(COUNTIFS('United Data'!$A$3:$A$2150,J$1,'United Data'!$C$3:$C$2150,$A642)&gt;0,1,0)</f>
        <v>0</v>
      </c>
      <c r="K642">
        <f>IF(COUNTIFS('United Data'!$A$3:$A$2150,K$1,'United Data'!$C$3:$C$2150,$A642)&gt;0,1,0)</f>
        <v>0</v>
      </c>
      <c r="L642">
        <f>IF(COUNTIFS('United Data'!$A$3:$A$2150,L$1,'United Data'!$C$3:$C$2150,$A642)&gt;0,1,0)</f>
        <v>0</v>
      </c>
      <c r="M642">
        <f>IF(COUNTIFS('United Data'!$A$3:$A$2150,M$1,'United Data'!$C$3:$C$2150,$A642)&gt;0,1,0)</f>
        <v>0</v>
      </c>
      <c r="N642">
        <f>IF(COUNTIFS('United Data'!$A$3:$A$2150,N$1,'United Data'!$C$3:$C$2150,$A642)&gt;0,1,0)</f>
        <v>0</v>
      </c>
      <c r="O642">
        <f>IF(COUNTIFS('United Data'!$A$3:$A$2150,O$1,'United Data'!$C$3:$C$2150,$A642)&gt;0,1,0)</f>
        <v>0</v>
      </c>
      <c r="P642">
        <f>IF(COUNTIFS('United Data'!$A$3:$A$2150,P$1,'United Data'!$C$3:$C$2150,$A642)&gt;0,1,0)</f>
        <v>1</v>
      </c>
      <c r="Q642">
        <f>IF(COUNTIFS('United Data'!$A$3:$A$2150,Q$1,'United Data'!$C$3:$C$2150,$A642)&gt;0,1,0)</f>
        <v>0</v>
      </c>
      <c r="R642">
        <f>IF(COUNTIFS('United Data'!$A$3:$A$2150,R$1,'United Data'!$C$3:$C$2150,$A642)&gt;0,1,0)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689</v>
      </c>
      <c r="B643">
        <f>IF(COUNTIFS('United Data'!$A$3:$A$2150,B$1,'United Data'!$C$3:$C$2150,$A643)&gt;0,1,0)</f>
        <v>0</v>
      </c>
      <c r="C643">
        <f>IF(COUNTIFS('United Data'!$A$3:$A$2150,C$1,'United Data'!$C$3:$C$2150,$A643)&gt;0,1,0)</f>
        <v>0</v>
      </c>
      <c r="D643">
        <f>IF(COUNTIFS('United Data'!$A$3:$A$2150,D$1,'United Data'!$C$3:$C$2150,$A643)&gt;0,1,0)</f>
        <v>0</v>
      </c>
      <c r="E643">
        <f>IF(COUNTIFS('United Data'!$A$3:$A$2150,E$1,'United Data'!$C$3:$C$2150,$A643)&gt;0,1,0)</f>
        <v>0</v>
      </c>
      <c r="F643">
        <f>IF(COUNTIFS('United Data'!$A$3:$A$2150,F$1,'United Data'!$C$3:$C$2150,$A643)&gt;0,1,0)</f>
        <v>0</v>
      </c>
      <c r="G643">
        <f>IF(COUNTIFS('United Data'!$A$3:$A$2150,G$1,'United Data'!$C$3:$C$2150,$A643)&gt;0,1,0)</f>
        <v>0</v>
      </c>
      <c r="H643">
        <f>IF(COUNTIFS('United Data'!$A$3:$A$2150,H$1,'United Data'!$C$3:$C$2150,$A643)&gt;0,1,0)</f>
        <v>0</v>
      </c>
      <c r="I643">
        <f>IF(COUNTIFS('United Data'!$A$3:$A$2150,I$1,'United Data'!$C$3:$C$2150,$A643)&gt;0,1,0)</f>
        <v>0</v>
      </c>
      <c r="J643">
        <f>IF(COUNTIFS('United Data'!$A$3:$A$2150,J$1,'United Data'!$C$3:$C$2150,$A643)&gt;0,1,0)</f>
        <v>0</v>
      </c>
      <c r="K643">
        <f>IF(COUNTIFS('United Data'!$A$3:$A$2150,K$1,'United Data'!$C$3:$C$2150,$A643)&gt;0,1,0)</f>
        <v>0</v>
      </c>
      <c r="L643">
        <f>IF(COUNTIFS('United Data'!$A$3:$A$2150,L$1,'United Data'!$C$3:$C$2150,$A643)&gt;0,1,0)</f>
        <v>0</v>
      </c>
      <c r="M643">
        <f>IF(COUNTIFS('United Data'!$A$3:$A$2150,M$1,'United Data'!$C$3:$C$2150,$A643)&gt;0,1,0)</f>
        <v>0</v>
      </c>
      <c r="N643">
        <f>IF(COUNTIFS('United Data'!$A$3:$A$2150,N$1,'United Data'!$C$3:$C$2150,$A643)&gt;0,1,0)</f>
        <v>0</v>
      </c>
      <c r="O643">
        <f>IF(COUNTIFS('United Data'!$A$3:$A$2150,O$1,'United Data'!$C$3:$C$2150,$A643)&gt;0,1,0)</f>
        <v>0</v>
      </c>
      <c r="P643">
        <f>IF(COUNTIFS('United Data'!$A$3:$A$2150,P$1,'United Data'!$C$3:$C$2150,$A643)&gt;0,1,0)</f>
        <v>1</v>
      </c>
      <c r="Q643">
        <f>IF(COUNTIFS('United Data'!$A$3:$A$2150,Q$1,'United Data'!$C$3:$C$2150,$A643)&gt;0,1,0)</f>
        <v>0</v>
      </c>
      <c r="R643">
        <f>IF(COUNTIFS('United Data'!$A$3:$A$2150,R$1,'United Data'!$C$3:$C$2150,$A643)&gt;0,1,0)</f>
        <v>0</v>
      </c>
      <c r="S643">
        <f t="shared" si="20"/>
        <v>1</v>
      </c>
      <c r="T643">
        <f t="shared" si="21"/>
        <v>1</v>
      </c>
    </row>
    <row r="644" spans="1:20" x14ac:dyDescent="0.2">
      <c r="A644" t="s">
        <v>690</v>
      </c>
      <c r="B644">
        <f>IF(COUNTIFS('United Data'!$A$3:$A$2150,B$1,'United Data'!$C$3:$C$2150,$A644)&gt;0,1,0)</f>
        <v>0</v>
      </c>
      <c r="C644">
        <f>IF(COUNTIFS('United Data'!$A$3:$A$2150,C$1,'United Data'!$C$3:$C$2150,$A644)&gt;0,1,0)</f>
        <v>0</v>
      </c>
      <c r="D644">
        <f>IF(COUNTIFS('United Data'!$A$3:$A$2150,D$1,'United Data'!$C$3:$C$2150,$A644)&gt;0,1,0)</f>
        <v>0</v>
      </c>
      <c r="E644">
        <f>IF(COUNTIFS('United Data'!$A$3:$A$2150,E$1,'United Data'!$C$3:$C$2150,$A644)&gt;0,1,0)</f>
        <v>0</v>
      </c>
      <c r="F644">
        <f>IF(COUNTIFS('United Data'!$A$3:$A$2150,F$1,'United Data'!$C$3:$C$2150,$A644)&gt;0,1,0)</f>
        <v>0</v>
      </c>
      <c r="G644">
        <f>IF(COUNTIFS('United Data'!$A$3:$A$2150,G$1,'United Data'!$C$3:$C$2150,$A644)&gt;0,1,0)</f>
        <v>0</v>
      </c>
      <c r="H644">
        <f>IF(COUNTIFS('United Data'!$A$3:$A$2150,H$1,'United Data'!$C$3:$C$2150,$A644)&gt;0,1,0)</f>
        <v>0</v>
      </c>
      <c r="I644">
        <f>IF(COUNTIFS('United Data'!$A$3:$A$2150,I$1,'United Data'!$C$3:$C$2150,$A644)&gt;0,1,0)</f>
        <v>0</v>
      </c>
      <c r="J644">
        <f>IF(COUNTIFS('United Data'!$A$3:$A$2150,J$1,'United Data'!$C$3:$C$2150,$A644)&gt;0,1,0)</f>
        <v>0</v>
      </c>
      <c r="K644">
        <f>IF(COUNTIFS('United Data'!$A$3:$A$2150,K$1,'United Data'!$C$3:$C$2150,$A644)&gt;0,1,0)</f>
        <v>0</v>
      </c>
      <c r="L644">
        <f>IF(COUNTIFS('United Data'!$A$3:$A$2150,L$1,'United Data'!$C$3:$C$2150,$A644)&gt;0,1,0)</f>
        <v>0</v>
      </c>
      <c r="M644">
        <f>IF(COUNTIFS('United Data'!$A$3:$A$2150,M$1,'United Data'!$C$3:$C$2150,$A644)&gt;0,1,0)</f>
        <v>0</v>
      </c>
      <c r="N644">
        <f>IF(COUNTIFS('United Data'!$A$3:$A$2150,N$1,'United Data'!$C$3:$C$2150,$A644)&gt;0,1,0)</f>
        <v>0</v>
      </c>
      <c r="O644">
        <f>IF(COUNTIFS('United Data'!$A$3:$A$2150,O$1,'United Data'!$C$3:$C$2150,$A644)&gt;0,1,0)</f>
        <v>0</v>
      </c>
      <c r="P644">
        <f>IF(COUNTIFS('United Data'!$A$3:$A$2150,P$1,'United Data'!$C$3:$C$2150,$A644)&gt;0,1,0)</f>
        <v>1</v>
      </c>
      <c r="Q644">
        <f>IF(COUNTIFS('United Data'!$A$3:$A$2150,Q$1,'United Data'!$C$3:$C$2150,$A644)&gt;0,1,0)</f>
        <v>0</v>
      </c>
      <c r="R644">
        <f>IF(COUNTIFS('United Data'!$A$3:$A$2150,R$1,'United Data'!$C$3:$C$2150,$A644)&gt;0,1,0)</f>
        <v>0</v>
      </c>
      <c r="S644">
        <f t="shared" si="20"/>
        <v>1</v>
      </c>
      <c r="T644">
        <f t="shared" si="21"/>
        <v>1</v>
      </c>
    </row>
    <row r="645" spans="1:20" x14ac:dyDescent="0.2">
      <c r="A645" t="s">
        <v>691</v>
      </c>
      <c r="B645">
        <f>IF(COUNTIFS('United Data'!$A$3:$A$2150,B$1,'United Data'!$C$3:$C$2150,$A645)&gt;0,1,0)</f>
        <v>0</v>
      </c>
      <c r="C645">
        <f>IF(COUNTIFS('United Data'!$A$3:$A$2150,C$1,'United Data'!$C$3:$C$2150,$A645)&gt;0,1,0)</f>
        <v>0</v>
      </c>
      <c r="D645">
        <f>IF(COUNTIFS('United Data'!$A$3:$A$2150,D$1,'United Data'!$C$3:$C$2150,$A645)&gt;0,1,0)</f>
        <v>0</v>
      </c>
      <c r="E645">
        <f>IF(COUNTIFS('United Data'!$A$3:$A$2150,E$1,'United Data'!$C$3:$C$2150,$A645)&gt;0,1,0)</f>
        <v>0</v>
      </c>
      <c r="F645">
        <f>IF(COUNTIFS('United Data'!$A$3:$A$2150,F$1,'United Data'!$C$3:$C$2150,$A645)&gt;0,1,0)</f>
        <v>0</v>
      </c>
      <c r="G645">
        <f>IF(COUNTIFS('United Data'!$A$3:$A$2150,G$1,'United Data'!$C$3:$C$2150,$A645)&gt;0,1,0)</f>
        <v>0</v>
      </c>
      <c r="H645">
        <f>IF(COUNTIFS('United Data'!$A$3:$A$2150,H$1,'United Data'!$C$3:$C$2150,$A645)&gt;0,1,0)</f>
        <v>0</v>
      </c>
      <c r="I645">
        <f>IF(COUNTIFS('United Data'!$A$3:$A$2150,I$1,'United Data'!$C$3:$C$2150,$A645)&gt;0,1,0)</f>
        <v>0</v>
      </c>
      <c r="J645">
        <f>IF(COUNTIFS('United Data'!$A$3:$A$2150,J$1,'United Data'!$C$3:$C$2150,$A645)&gt;0,1,0)</f>
        <v>0</v>
      </c>
      <c r="K645">
        <f>IF(COUNTIFS('United Data'!$A$3:$A$2150,K$1,'United Data'!$C$3:$C$2150,$A645)&gt;0,1,0)</f>
        <v>0</v>
      </c>
      <c r="L645">
        <f>IF(COUNTIFS('United Data'!$A$3:$A$2150,L$1,'United Data'!$C$3:$C$2150,$A645)&gt;0,1,0)</f>
        <v>0</v>
      </c>
      <c r="M645">
        <f>IF(COUNTIFS('United Data'!$A$3:$A$2150,M$1,'United Data'!$C$3:$C$2150,$A645)&gt;0,1,0)</f>
        <v>0</v>
      </c>
      <c r="N645">
        <f>IF(COUNTIFS('United Data'!$A$3:$A$2150,N$1,'United Data'!$C$3:$C$2150,$A645)&gt;0,1,0)</f>
        <v>0</v>
      </c>
      <c r="O645">
        <f>IF(COUNTIFS('United Data'!$A$3:$A$2150,O$1,'United Data'!$C$3:$C$2150,$A645)&gt;0,1,0)</f>
        <v>0</v>
      </c>
      <c r="P645">
        <f>IF(COUNTIFS('United Data'!$A$3:$A$2150,P$1,'United Data'!$C$3:$C$2150,$A645)&gt;0,1,0)</f>
        <v>1</v>
      </c>
      <c r="Q645">
        <f>IF(COUNTIFS('United Data'!$A$3:$A$2150,Q$1,'United Data'!$C$3:$C$2150,$A645)&gt;0,1,0)</f>
        <v>0</v>
      </c>
      <c r="R645">
        <f>IF(COUNTIFS('United Data'!$A$3:$A$2150,R$1,'United Data'!$C$3:$C$2150,$A645)&gt;0,1,0)</f>
        <v>0</v>
      </c>
      <c r="S645">
        <f t="shared" si="20"/>
        <v>1</v>
      </c>
      <c r="T645">
        <f t="shared" si="21"/>
        <v>1</v>
      </c>
    </row>
    <row r="646" spans="1:20" x14ac:dyDescent="0.2">
      <c r="A646" t="s">
        <v>692</v>
      </c>
      <c r="B646">
        <f>IF(COUNTIFS('United Data'!$A$3:$A$2150,B$1,'United Data'!$C$3:$C$2150,$A646)&gt;0,1,0)</f>
        <v>0</v>
      </c>
      <c r="C646">
        <f>IF(COUNTIFS('United Data'!$A$3:$A$2150,C$1,'United Data'!$C$3:$C$2150,$A646)&gt;0,1,0)</f>
        <v>0</v>
      </c>
      <c r="D646">
        <f>IF(COUNTIFS('United Data'!$A$3:$A$2150,D$1,'United Data'!$C$3:$C$2150,$A646)&gt;0,1,0)</f>
        <v>0</v>
      </c>
      <c r="E646">
        <f>IF(COUNTIFS('United Data'!$A$3:$A$2150,E$1,'United Data'!$C$3:$C$2150,$A646)&gt;0,1,0)</f>
        <v>0</v>
      </c>
      <c r="F646">
        <f>IF(COUNTIFS('United Data'!$A$3:$A$2150,F$1,'United Data'!$C$3:$C$2150,$A646)&gt;0,1,0)</f>
        <v>0</v>
      </c>
      <c r="G646">
        <f>IF(COUNTIFS('United Data'!$A$3:$A$2150,G$1,'United Data'!$C$3:$C$2150,$A646)&gt;0,1,0)</f>
        <v>0</v>
      </c>
      <c r="H646">
        <f>IF(COUNTIFS('United Data'!$A$3:$A$2150,H$1,'United Data'!$C$3:$C$2150,$A646)&gt;0,1,0)</f>
        <v>0</v>
      </c>
      <c r="I646">
        <f>IF(COUNTIFS('United Data'!$A$3:$A$2150,I$1,'United Data'!$C$3:$C$2150,$A646)&gt;0,1,0)</f>
        <v>0</v>
      </c>
      <c r="J646">
        <f>IF(COUNTIFS('United Data'!$A$3:$A$2150,J$1,'United Data'!$C$3:$C$2150,$A646)&gt;0,1,0)</f>
        <v>0</v>
      </c>
      <c r="K646">
        <f>IF(COUNTIFS('United Data'!$A$3:$A$2150,K$1,'United Data'!$C$3:$C$2150,$A646)&gt;0,1,0)</f>
        <v>0</v>
      </c>
      <c r="L646">
        <f>IF(COUNTIFS('United Data'!$A$3:$A$2150,L$1,'United Data'!$C$3:$C$2150,$A646)&gt;0,1,0)</f>
        <v>0</v>
      </c>
      <c r="M646">
        <f>IF(COUNTIFS('United Data'!$A$3:$A$2150,M$1,'United Data'!$C$3:$C$2150,$A646)&gt;0,1,0)</f>
        <v>1</v>
      </c>
      <c r="N646">
        <f>IF(COUNTIFS('United Data'!$A$3:$A$2150,N$1,'United Data'!$C$3:$C$2150,$A646)&gt;0,1,0)</f>
        <v>0</v>
      </c>
      <c r="O646">
        <f>IF(COUNTIFS('United Data'!$A$3:$A$2150,O$1,'United Data'!$C$3:$C$2150,$A646)&gt;0,1,0)</f>
        <v>1</v>
      </c>
      <c r="P646">
        <f>IF(COUNTIFS('United Data'!$A$3:$A$2150,P$1,'United Data'!$C$3:$C$2150,$A646)&gt;0,1,0)</f>
        <v>1</v>
      </c>
      <c r="Q646">
        <f>IF(COUNTIFS('United Data'!$A$3:$A$2150,Q$1,'United Data'!$C$3:$C$2150,$A646)&gt;0,1,0)</f>
        <v>0</v>
      </c>
      <c r="R646">
        <f>IF(COUNTIFS('United Data'!$A$3:$A$2150,R$1,'United Data'!$C$3:$C$2150,$A646)&gt;0,1,0)</f>
        <v>0</v>
      </c>
      <c r="S646">
        <f t="shared" si="20"/>
        <v>3</v>
      </c>
      <c r="T646">
        <f t="shared" si="21"/>
        <v>2</v>
      </c>
    </row>
    <row r="647" spans="1:20" x14ac:dyDescent="0.2">
      <c r="A647" t="s">
        <v>693</v>
      </c>
      <c r="B647">
        <f>IF(COUNTIFS('United Data'!$A$3:$A$2150,B$1,'United Data'!$C$3:$C$2150,$A647)&gt;0,1,0)</f>
        <v>0</v>
      </c>
      <c r="C647">
        <f>IF(COUNTIFS('United Data'!$A$3:$A$2150,C$1,'United Data'!$C$3:$C$2150,$A647)&gt;0,1,0)</f>
        <v>0</v>
      </c>
      <c r="D647">
        <f>IF(COUNTIFS('United Data'!$A$3:$A$2150,D$1,'United Data'!$C$3:$C$2150,$A647)&gt;0,1,0)</f>
        <v>0</v>
      </c>
      <c r="E647">
        <f>IF(COUNTIFS('United Data'!$A$3:$A$2150,E$1,'United Data'!$C$3:$C$2150,$A647)&gt;0,1,0)</f>
        <v>0</v>
      </c>
      <c r="F647">
        <f>IF(COUNTIFS('United Data'!$A$3:$A$2150,F$1,'United Data'!$C$3:$C$2150,$A647)&gt;0,1,0)</f>
        <v>0</v>
      </c>
      <c r="G647">
        <f>IF(COUNTIFS('United Data'!$A$3:$A$2150,G$1,'United Data'!$C$3:$C$2150,$A647)&gt;0,1,0)</f>
        <v>0</v>
      </c>
      <c r="H647">
        <f>IF(COUNTIFS('United Data'!$A$3:$A$2150,H$1,'United Data'!$C$3:$C$2150,$A647)&gt;0,1,0)</f>
        <v>0</v>
      </c>
      <c r="I647">
        <f>IF(COUNTIFS('United Data'!$A$3:$A$2150,I$1,'United Data'!$C$3:$C$2150,$A647)&gt;0,1,0)</f>
        <v>0</v>
      </c>
      <c r="J647">
        <f>IF(COUNTIFS('United Data'!$A$3:$A$2150,J$1,'United Data'!$C$3:$C$2150,$A647)&gt;0,1,0)</f>
        <v>0</v>
      </c>
      <c r="K647">
        <f>IF(COUNTIFS('United Data'!$A$3:$A$2150,K$1,'United Data'!$C$3:$C$2150,$A647)&gt;0,1,0)</f>
        <v>0</v>
      </c>
      <c r="L647">
        <f>IF(COUNTIFS('United Data'!$A$3:$A$2150,L$1,'United Data'!$C$3:$C$2150,$A647)&gt;0,1,0)</f>
        <v>0</v>
      </c>
      <c r="M647">
        <f>IF(COUNTIFS('United Data'!$A$3:$A$2150,M$1,'United Data'!$C$3:$C$2150,$A647)&gt;0,1,0)</f>
        <v>0</v>
      </c>
      <c r="N647">
        <f>IF(COUNTIFS('United Data'!$A$3:$A$2150,N$1,'United Data'!$C$3:$C$2150,$A647)&gt;0,1,0)</f>
        <v>0</v>
      </c>
      <c r="O647">
        <f>IF(COUNTIFS('United Data'!$A$3:$A$2150,O$1,'United Data'!$C$3:$C$2150,$A647)&gt;0,1,0)</f>
        <v>0</v>
      </c>
      <c r="P647">
        <f>IF(COUNTIFS('United Data'!$A$3:$A$2150,P$1,'United Data'!$C$3:$C$2150,$A647)&gt;0,1,0)</f>
        <v>1</v>
      </c>
      <c r="Q647">
        <f>IF(COUNTIFS('United Data'!$A$3:$A$2150,Q$1,'United Data'!$C$3:$C$2150,$A647)&gt;0,1,0)</f>
        <v>0</v>
      </c>
      <c r="R647">
        <f>IF(COUNTIFS('United Data'!$A$3:$A$2150,R$1,'United Data'!$C$3:$C$2150,$A647)&gt;0,1,0)</f>
        <v>0</v>
      </c>
      <c r="S647">
        <f t="shared" si="20"/>
        <v>1</v>
      </c>
      <c r="T647">
        <f t="shared" si="21"/>
        <v>1</v>
      </c>
    </row>
    <row r="648" spans="1:20" x14ac:dyDescent="0.2">
      <c r="A648" t="s">
        <v>694</v>
      </c>
      <c r="B648">
        <f>IF(COUNTIFS('United Data'!$A$3:$A$2150,B$1,'United Data'!$C$3:$C$2150,$A648)&gt;0,1,0)</f>
        <v>0</v>
      </c>
      <c r="C648">
        <f>IF(COUNTIFS('United Data'!$A$3:$A$2150,C$1,'United Data'!$C$3:$C$2150,$A648)&gt;0,1,0)</f>
        <v>0</v>
      </c>
      <c r="D648">
        <f>IF(COUNTIFS('United Data'!$A$3:$A$2150,D$1,'United Data'!$C$3:$C$2150,$A648)&gt;0,1,0)</f>
        <v>0</v>
      </c>
      <c r="E648">
        <f>IF(COUNTIFS('United Data'!$A$3:$A$2150,E$1,'United Data'!$C$3:$C$2150,$A648)&gt;0,1,0)</f>
        <v>0</v>
      </c>
      <c r="F648">
        <f>IF(COUNTIFS('United Data'!$A$3:$A$2150,F$1,'United Data'!$C$3:$C$2150,$A648)&gt;0,1,0)</f>
        <v>0</v>
      </c>
      <c r="G648">
        <f>IF(COUNTIFS('United Data'!$A$3:$A$2150,G$1,'United Data'!$C$3:$C$2150,$A648)&gt;0,1,0)</f>
        <v>0</v>
      </c>
      <c r="H648">
        <f>IF(COUNTIFS('United Data'!$A$3:$A$2150,H$1,'United Data'!$C$3:$C$2150,$A648)&gt;0,1,0)</f>
        <v>0</v>
      </c>
      <c r="I648">
        <f>IF(COUNTIFS('United Data'!$A$3:$A$2150,I$1,'United Data'!$C$3:$C$2150,$A648)&gt;0,1,0)</f>
        <v>0</v>
      </c>
      <c r="J648">
        <f>IF(COUNTIFS('United Data'!$A$3:$A$2150,J$1,'United Data'!$C$3:$C$2150,$A648)&gt;0,1,0)</f>
        <v>0</v>
      </c>
      <c r="K648">
        <f>IF(COUNTIFS('United Data'!$A$3:$A$2150,K$1,'United Data'!$C$3:$C$2150,$A648)&gt;0,1,0)</f>
        <v>0</v>
      </c>
      <c r="L648">
        <f>IF(COUNTIFS('United Data'!$A$3:$A$2150,L$1,'United Data'!$C$3:$C$2150,$A648)&gt;0,1,0)</f>
        <v>0</v>
      </c>
      <c r="M648">
        <f>IF(COUNTIFS('United Data'!$A$3:$A$2150,M$1,'United Data'!$C$3:$C$2150,$A648)&gt;0,1,0)</f>
        <v>0</v>
      </c>
      <c r="N648">
        <f>IF(COUNTIFS('United Data'!$A$3:$A$2150,N$1,'United Data'!$C$3:$C$2150,$A648)&gt;0,1,0)</f>
        <v>0</v>
      </c>
      <c r="O648">
        <f>IF(COUNTIFS('United Data'!$A$3:$A$2150,O$1,'United Data'!$C$3:$C$2150,$A648)&gt;0,1,0)</f>
        <v>0</v>
      </c>
      <c r="P648">
        <f>IF(COUNTIFS('United Data'!$A$3:$A$2150,P$1,'United Data'!$C$3:$C$2150,$A648)&gt;0,1,0)</f>
        <v>0</v>
      </c>
      <c r="Q648">
        <f>IF(COUNTIFS('United Data'!$A$3:$A$2150,Q$1,'United Data'!$C$3:$C$2150,$A648)&gt;0,1,0)</f>
        <v>1</v>
      </c>
      <c r="R648">
        <f>IF(COUNTIFS('United Data'!$A$3:$A$2150,R$1,'United Data'!$C$3:$C$2150,$A648)&gt;0,1,0)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695</v>
      </c>
      <c r="B649">
        <f>IF(COUNTIFS('United Data'!$A$3:$A$2150,B$1,'United Data'!$C$3:$C$2150,$A649)&gt;0,1,0)</f>
        <v>1</v>
      </c>
      <c r="C649">
        <f>IF(COUNTIFS('United Data'!$A$3:$A$2150,C$1,'United Data'!$C$3:$C$2150,$A649)&gt;0,1,0)</f>
        <v>0</v>
      </c>
      <c r="D649">
        <f>IF(COUNTIFS('United Data'!$A$3:$A$2150,D$1,'United Data'!$C$3:$C$2150,$A649)&gt;0,1,0)</f>
        <v>0</v>
      </c>
      <c r="E649">
        <f>IF(COUNTIFS('United Data'!$A$3:$A$2150,E$1,'United Data'!$C$3:$C$2150,$A649)&gt;0,1,0)</f>
        <v>0</v>
      </c>
      <c r="F649">
        <f>IF(COUNTIFS('United Data'!$A$3:$A$2150,F$1,'United Data'!$C$3:$C$2150,$A649)&gt;0,1,0)</f>
        <v>0</v>
      </c>
      <c r="G649">
        <f>IF(COUNTIFS('United Data'!$A$3:$A$2150,G$1,'United Data'!$C$3:$C$2150,$A649)&gt;0,1,0)</f>
        <v>0</v>
      </c>
      <c r="H649">
        <f>IF(COUNTIFS('United Data'!$A$3:$A$2150,H$1,'United Data'!$C$3:$C$2150,$A649)&gt;0,1,0)</f>
        <v>0</v>
      </c>
      <c r="I649">
        <f>IF(COUNTIFS('United Data'!$A$3:$A$2150,I$1,'United Data'!$C$3:$C$2150,$A649)&gt;0,1,0)</f>
        <v>0</v>
      </c>
      <c r="J649">
        <f>IF(COUNTIFS('United Data'!$A$3:$A$2150,J$1,'United Data'!$C$3:$C$2150,$A649)&gt;0,1,0)</f>
        <v>0</v>
      </c>
      <c r="K649">
        <f>IF(COUNTIFS('United Data'!$A$3:$A$2150,K$1,'United Data'!$C$3:$C$2150,$A649)&gt;0,1,0)</f>
        <v>0</v>
      </c>
      <c r="L649">
        <f>IF(COUNTIFS('United Data'!$A$3:$A$2150,L$1,'United Data'!$C$3:$C$2150,$A649)&gt;0,1,0)</f>
        <v>0</v>
      </c>
      <c r="M649">
        <f>IF(COUNTIFS('United Data'!$A$3:$A$2150,M$1,'United Data'!$C$3:$C$2150,$A649)&gt;0,1,0)</f>
        <v>0</v>
      </c>
      <c r="N649">
        <f>IF(COUNTIFS('United Data'!$A$3:$A$2150,N$1,'United Data'!$C$3:$C$2150,$A649)&gt;0,1,0)</f>
        <v>0</v>
      </c>
      <c r="O649">
        <f>IF(COUNTIFS('United Data'!$A$3:$A$2150,O$1,'United Data'!$C$3:$C$2150,$A649)&gt;0,1,0)</f>
        <v>0</v>
      </c>
      <c r="P649">
        <f>IF(COUNTIFS('United Data'!$A$3:$A$2150,P$1,'United Data'!$C$3:$C$2150,$A649)&gt;0,1,0)</f>
        <v>0</v>
      </c>
      <c r="Q649">
        <f>IF(COUNTIFS('United Data'!$A$3:$A$2150,Q$1,'United Data'!$C$3:$C$2150,$A649)&gt;0,1,0)</f>
        <v>0</v>
      </c>
      <c r="R649">
        <f>IF(COUNTIFS('United Data'!$A$3:$A$2150,R$1,'United Data'!$C$3:$C$2150,$A649)&gt;0,1,0)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696</v>
      </c>
      <c r="B650">
        <f>IF(COUNTIFS('United Data'!$A$3:$A$2150,B$1,'United Data'!$C$3:$C$2150,$A650)&gt;0,1,0)</f>
        <v>1</v>
      </c>
      <c r="C650">
        <f>IF(COUNTIFS('United Data'!$A$3:$A$2150,C$1,'United Data'!$C$3:$C$2150,$A650)&gt;0,1,0)</f>
        <v>0</v>
      </c>
      <c r="D650">
        <f>IF(COUNTIFS('United Data'!$A$3:$A$2150,D$1,'United Data'!$C$3:$C$2150,$A650)&gt;0,1,0)</f>
        <v>0</v>
      </c>
      <c r="E650">
        <f>IF(COUNTIFS('United Data'!$A$3:$A$2150,E$1,'United Data'!$C$3:$C$2150,$A650)&gt;0,1,0)</f>
        <v>0</v>
      </c>
      <c r="F650">
        <f>IF(COUNTIFS('United Data'!$A$3:$A$2150,F$1,'United Data'!$C$3:$C$2150,$A650)&gt;0,1,0)</f>
        <v>0</v>
      </c>
      <c r="G650">
        <f>IF(COUNTIFS('United Data'!$A$3:$A$2150,G$1,'United Data'!$C$3:$C$2150,$A650)&gt;0,1,0)</f>
        <v>0</v>
      </c>
      <c r="H650">
        <f>IF(COUNTIFS('United Data'!$A$3:$A$2150,H$1,'United Data'!$C$3:$C$2150,$A650)&gt;0,1,0)</f>
        <v>0</v>
      </c>
      <c r="I650">
        <f>IF(COUNTIFS('United Data'!$A$3:$A$2150,I$1,'United Data'!$C$3:$C$2150,$A650)&gt;0,1,0)</f>
        <v>0</v>
      </c>
      <c r="J650">
        <f>IF(COUNTIFS('United Data'!$A$3:$A$2150,J$1,'United Data'!$C$3:$C$2150,$A650)&gt;0,1,0)</f>
        <v>0</v>
      </c>
      <c r="K650">
        <f>IF(COUNTIFS('United Data'!$A$3:$A$2150,K$1,'United Data'!$C$3:$C$2150,$A650)&gt;0,1,0)</f>
        <v>0</v>
      </c>
      <c r="L650">
        <f>IF(COUNTIFS('United Data'!$A$3:$A$2150,L$1,'United Data'!$C$3:$C$2150,$A650)&gt;0,1,0)</f>
        <v>0</v>
      </c>
      <c r="M650">
        <f>IF(COUNTIFS('United Data'!$A$3:$A$2150,M$1,'United Data'!$C$3:$C$2150,$A650)&gt;0,1,0)</f>
        <v>0</v>
      </c>
      <c r="N650">
        <f>IF(COUNTIFS('United Data'!$A$3:$A$2150,N$1,'United Data'!$C$3:$C$2150,$A650)&gt;0,1,0)</f>
        <v>0</v>
      </c>
      <c r="O650">
        <f>IF(COUNTIFS('United Data'!$A$3:$A$2150,O$1,'United Data'!$C$3:$C$2150,$A650)&gt;0,1,0)</f>
        <v>0</v>
      </c>
      <c r="P650">
        <f>IF(COUNTIFS('United Data'!$A$3:$A$2150,P$1,'United Data'!$C$3:$C$2150,$A650)&gt;0,1,0)</f>
        <v>0</v>
      </c>
      <c r="Q650">
        <f>IF(COUNTIFS('United Data'!$A$3:$A$2150,Q$1,'United Data'!$C$3:$C$2150,$A650)&gt;0,1,0)</f>
        <v>0</v>
      </c>
      <c r="R650">
        <f>IF(COUNTIFS('United Data'!$A$3:$A$2150,R$1,'United Data'!$C$3:$C$2150,$A650)&gt;0,1,0)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697</v>
      </c>
      <c r="B651">
        <f>IF(COUNTIFS('United Data'!$A$3:$A$2150,B$1,'United Data'!$C$3:$C$2150,$A651)&gt;0,1,0)</f>
        <v>1</v>
      </c>
      <c r="C651">
        <f>IF(COUNTIFS('United Data'!$A$3:$A$2150,C$1,'United Data'!$C$3:$C$2150,$A651)&gt;0,1,0)</f>
        <v>0</v>
      </c>
      <c r="D651">
        <f>IF(COUNTIFS('United Data'!$A$3:$A$2150,D$1,'United Data'!$C$3:$C$2150,$A651)&gt;0,1,0)</f>
        <v>0</v>
      </c>
      <c r="E651">
        <f>IF(COUNTIFS('United Data'!$A$3:$A$2150,E$1,'United Data'!$C$3:$C$2150,$A651)&gt;0,1,0)</f>
        <v>0</v>
      </c>
      <c r="F651">
        <f>IF(COUNTIFS('United Data'!$A$3:$A$2150,F$1,'United Data'!$C$3:$C$2150,$A651)&gt;0,1,0)</f>
        <v>0</v>
      </c>
      <c r="G651">
        <f>IF(COUNTIFS('United Data'!$A$3:$A$2150,G$1,'United Data'!$C$3:$C$2150,$A651)&gt;0,1,0)</f>
        <v>0</v>
      </c>
      <c r="H651">
        <f>IF(COUNTIFS('United Data'!$A$3:$A$2150,H$1,'United Data'!$C$3:$C$2150,$A651)&gt;0,1,0)</f>
        <v>0</v>
      </c>
      <c r="I651">
        <f>IF(COUNTIFS('United Data'!$A$3:$A$2150,I$1,'United Data'!$C$3:$C$2150,$A651)&gt;0,1,0)</f>
        <v>0</v>
      </c>
      <c r="J651">
        <f>IF(COUNTIFS('United Data'!$A$3:$A$2150,J$1,'United Data'!$C$3:$C$2150,$A651)&gt;0,1,0)</f>
        <v>0</v>
      </c>
      <c r="K651">
        <f>IF(COUNTIFS('United Data'!$A$3:$A$2150,K$1,'United Data'!$C$3:$C$2150,$A651)&gt;0,1,0)</f>
        <v>0</v>
      </c>
      <c r="L651">
        <f>IF(COUNTIFS('United Data'!$A$3:$A$2150,L$1,'United Data'!$C$3:$C$2150,$A651)&gt;0,1,0)</f>
        <v>0</v>
      </c>
      <c r="M651">
        <f>IF(COUNTIFS('United Data'!$A$3:$A$2150,M$1,'United Data'!$C$3:$C$2150,$A651)&gt;0,1,0)</f>
        <v>0</v>
      </c>
      <c r="N651">
        <f>IF(COUNTIFS('United Data'!$A$3:$A$2150,N$1,'United Data'!$C$3:$C$2150,$A651)&gt;0,1,0)</f>
        <v>0</v>
      </c>
      <c r="O651">
        <f>IF(COUNTIFS('United Data'!$A$3:$A$2150,O$1,'United Data'!$C$3:$C$2150,$A651)&gt;0,1,0)</f>
        <v>0</v>
      </c>
      <c r="P651">
        <f>IF(COUNTIFS('United Data'!$A$3:$A$2150,P$1,'United Data'!$C$3:$C$2150,$A651)&gt;0,1,0)</f>
        <v>0</v>
      </c>
      <c r="Q651">
        <f>IF(COUNTIFS('United Data'!$A$3:$A$2150,Q$1,'United Data'!$C$3:$C$2150,$A651)&gt;0,1,0)</f>
        <v>0</v>
      </c>
      <c r="R651">
        <f>IF(COUNTIFS('United Data'!$A$3:$A$2150,R$1,'United Data'!$C$3:$C$2150,$A651)&gt;0,1,0)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698</v>
      </c>
      <c r="B652">
        <f>IF(COUNTIFS('United Data'!$A$3:$A$2150,B$1,'United Data'!$C$3:$C$2150,$A652)&gt;0,1,0)</f>
        <v>0</v>
      </c>
      <c r="C652">
        <f>IF(COUNTIFS('United Data'!$A$3:$A$2150,C$1,'United Data'!$C$3:$C$2150,$A652)&gt;0,1,0)</f>
        <v>1</v>
      </c>
      <c r="D652">
        <f>IF(COUNTIFS('United Data'!$A$3:$A$2150,D$1,'United Data'!$C$3:$C$2150,$A652)&gt;0,1,0)</f>
        <v>0</v>
      </c>
      <c r="E652">
        <f>IF(COUNTIFS('United Data'!$A$3:$A$2150,E$1,'United Data'!$C$3:$C$2150,$A652)&gt;0,1,0)</f>
        <v>0</v>
      </c>
      <c r="F652">
        <f>IF(COUNTIFS('United Data'!$A$3:$A$2150,F$1,'United Data'!$C$3:$C$2150,$A652)&gt;0,1,0)</f>
        <v>0</v>
      </c>
      <c r="G652">
        <f>IF(COUNTIFS('United Data'!$A$3:$A$2150,G$1,'United Data'!$C$3:$C$2150,$A652)&gt;0,1,0)</f>
        <v>0</v>
      </c>
      <c r="H652">
        <f>IF(COUNTIFS('United Data'!$A$3:$A$2150,H$1,'United Data'!$C$3:$C$2150,$A652)&gt;0,1,0)</f>
        <v>0</v>
      </c>
      <c r="I652">
        <f>IF(COUNTIFS('United Data'!$A$3:$A$2150,I$1,'United Data'!$C$3:$C$2150,$A652)&gt;0,1,0)</f>
        <v>0</v>
      </c>
      <c r="J652">
        <f>IF(COUNTIFS('United Data'!$A$3:$A$2150,J$1,'United Data'!$C$3:$C$2150,$A652)&gt;0,1,0)</f>
        <v>0</v>
      </c>
      <c r="K652">
        <f>IF(COUNTIFS('United Data'!$A$3:$A$2150,K$1,'United Data'!$C$3:$C$2150,$A652)&gt;0,1,0)</f>
        <v>0</v>
      </c>
      <c r="L652">
        <f>IF(COUNTIFS('United Data'!$A$3:$A$2150,L$1,'United Data'!$C$3:$C$2150,$A652)&gt;0,1,0)</f>
        <v>0</v>
      </c>
      <c r="M652">
        <f>IF(COUNTIFS('United Data'!$A$3:$A$2150,M$1,'United Data'!$C$3:$C$2150,$A652)&gt;0,1,0)</f>
        <v>0</v>
      </c>
      <c r="N652">
        <f>IF(COUNTIFS('United Data'!$A$3:$A$2150,N$1,'United Data'!$C$3:$C$2150,$A652)&gt;0,1,0)</f>
        <v>0</v>
      </c>
      <c r="O652">
        <f>IF(COUNTIFS('United Data'!$A$3:$A$2150,O$1,'United Data'!$C$3:$C$2150,$A652)&gt;0,1,0)</f>
        <v>0</v>
      </c>
      <c r="P652">
        <f>IF(COUNTIFS('United Data'!$A$3:$A$2150,P$1,'United Data'!$C$3:$C$2150,$A652)&gt;0,1,0)</f>
        <v>0</v>
      </c>
      <c r="Q652">
        <f>IF(COUNTIFS('United Data'!$A$3:$A$2150,Q$1,'United Data'!$C$3:$C$2150,$A652)&gt;0,1,0)</f>
        <v>0</v>
      </c>
      <c r="R652">
        <f>IF(COUNTIFS('United Data'!$A$3:$A$2150,R$1,'United Data'!$C$3:$C$2150,$A652)&gt;0,1,0)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699</v>
      </c>
      <c r="B653">
        <f>IF(COUNTIFS('United Data'!$A$3:$A$2150,B$1,'United Data'!$C$3:$C$2150,$A653)&gt;0,1,0)</f>
        <v>0</v>
      </c>
      <c r="C653">
        <f>IF(COUNTIFS('United Data'!$A$3:$A$2150,C$1,'United Data'!$C$3:$C$2150,$A653)&gt;0,1,0)</f>
        <v>1</v>
      </c>
      <c r="D653">
        <f>IF(COUNTIFS('United Data'!$A$3:$A$2150,D$1,'United Data'!$C$3:$C$2150,$A653)&gt;0,1,0)</f>
        <v>0</v>
      </c>
      <c r="E653">
        <f>IF(COUNTIFS('United Data'!$A$3:$A$2150,E$1,'United Data'!$C$3:$C$2150,$A653)&gt;0,1,0)</f>
        <v>0</v>
      </c>
      <c r="F653">
        <f>IF(COUNTIFS('United Data'!$A$3:$A$2150,F$1,'United Data'!$C$3:$C$2150,$A653)&gt;0,1,0)</f>
        <v>0</v>
      </c>
      <c r="G653">
        <f>IF(COUNTIFS('United Data'!$A$3:$A$2150,G$1,'United Data'!$C$3:$C$2150,$A653)&gt;0,1,0)</f>
        <v>0</v>
      </c>
      <c r="H653">
        <f>IF(COUNTIFS('United Data'!$A$3:$A$2150,H$1,'United Data'!$C$3:$C$2150,$A653)&gt;0,1,0)</f>
        <v>0</v>
      </c>
      <c r="I653">
        <f>IF(COUNTIFS('United Data'!$A$3:$A$2150,I$1,'United Data'!$C$3:$C$2150,$A653)&gt;0,1,0)</f>
        <v>0</v>
      </c>
      <c r="J653">
        <f>IF(COUNTIFS('United Data'!$A$3:$A$2150,J$1,'United Data'!$C$3:$C$2150,$A653)&gt;0,1,0)</f>
        <v>0</v>
      </c>
      <c r="K653">
        <f>IF(COUNTIFS('United Data'!$A$3:$A$2150,K$1,'United Data'!$C$3:$C$2150,$A653)&gt;0,1,0)</f>
        <v>0</v>
      </c>
      <c r="L653">
        <f>IF(COUNTIFS('United Data'!$A$3:$A$2150,L$1,'United Data'!$C$3:$C$2150,$A653)&gt;0,1,0)</f>
        <v>0</v>
      </c>
      <c r="M653">
        <f>IF(COUNTIFS('United Data'!$A$3:$A$2150,M$1,'United Data'!$C$3:$C$2150,$A653)&gt;0,1,0)</f>
        <v>0</v>
      </c>
      <c r="N653">
        <f>IF(COUNTIFS('United Data'!$A$3:$A$2150,N$1,'United Data'!$C$3:$C$2150,$A653)&gt;0,1,0)</f>
        <v>0</v>
      </c>
      <c r="O653">
        <f>IF(COUNTIFS('United Data'!$A$3:$A$2150,O$1,'United Data'!$C$3:$C$2150,$A653)&gt;0,1,0)</f>
        <v>0</v>
      </c>
      <c r="P653">
        <f>IF(COUNTIFS('United Data'!$A$3:$A$2150,P$1,'United Data'!$C$3:$C$2150,$A653)&gt;0,1,0)</f>
        <v>0</v>
      </c>
      <c r="Q653">
        <f>IF(COUNTIFS('United Data'!$A$3:$A$2150,Q$1,'United Data'!$C$3:$C$2150,$A653)&gt;0,1,0)</f>
        <v>0</v>
      </c>
      <c r="R653">
        <f>IF(COUNTIFS('United Data'!$A$3:$A$2150,R$1,'United Data'!$C$3:$C$2150,$A653)&gt;0,1,0)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700</v>
      </c>
      <c r="B654">
        <f>IF(COUNTIFS('United Data'!$A$3:$A$2150,B$1,'United Data'!$C$3:$C$2150,$A654)&gt;0,1,0)</f>
        <v>0</v>
      </c>
      <c r="C654">
        <f>IF(COUNTIFS('United Data'!$A$3:$A$2150,C$1,'United Data'!$C$3:$C$2150,$A654)&gt;0,1,0)</f>
        <v>1</v>
      </c>
      <c r="D654">
        <f>IF(COUNTIFS('United Data'!$A$3:$A$2150,D$1,'United Data'!$C$3:$C$2150,$A654)&gt;0,1,0)</f>
        <v>0</v>
      </c>
      <c r="E654">
        <f>IF(COUNTIFS('United Data'!$A$3:$A$2150,E$1,'United Data'!$C$3:$C$2150,$A654)&gt;0,1,0)</f>
        <v>0</v>
      </c>
      <c r="F654">
        <f>IF(COUNTIFS('United Data'!$A$3:$A$2150,F$1,'United Data'!$C$3:$C$2150,$A654)&gt;0,1,0)</f>
        <v>0</v>
      </c>
      <c r="G654">
        <f>IF(COUNTIFS('United Data'!$A$3:$A$2150,G$1,'United Data'!$C$3:$C$2150,$A654)&gt;0,1,0)</f>
        <v>0</v>
      </c>
      <c r="H654">
        <f>IF(COUNTIFS('United Data'!$A$3:$A$2150,H$1,'United Data'!$C$3:$C$2150,$A654)&gt;0,1,0)</f>
        <v>0</v>
      </c>
      <c r="I654">
        <f>IF(COUNTIFS('United Data'!$A$3:$A$2150,I$1,'United Data'!$C$3:$C$2150,$A654)&gt;0,1,0)</f>
        <v>0</v>
      </c>
      <c r="J654">
        <f>IF(COUNTIFS('United Data'!$A$3:$A$2150,J$1,'United Data'!$C$3:$C$2150,$A654)&gt;0,1,0)</f>
        <v>0</v>
      </c>
      <c r="K654">
        <f>IF(COUNTIFS('United Data'!$A$3:$A$2150,K$1,'United Data'!$C$3:$C$2150,$A654)&gt;0,1,0)</f>
        <v>0</v>
      </c>
      <c r="L654">
        <f>IF(COUNTIFS('United Data'!$A$3:$A$2150,L$1,'United Data'!$C$3:$C$2150,$A654)&gt;0,1,0)</f>
        <v>0</v>
      </c>
      <c r="M654">
        <f>IF(COUNTIFS('United Data'!$A$3:$A$2150,M$1,'United Data'!$C$3:$C$2150,$A654)&gt;0,1,0)</f>
        <v>0</v>
      </c>
      <c r="N654">
        <f>IF(COUNTIFS('United Data'!$A$3:$A$2150,N$1,'United Data'!$C$3:$C$2150,$A654)&gt;0,1,0)</f>
        <v>0</v>
      </c>
      <c r="O654">
        <f>IF(COUNTIFS('United Data'!$A$3:$A$2150,O$1,'United Data'!$C$3:$C$2150,$A654)&gt;0,1,0)</f>
        <v>0</v>
      </c>
      <c r="P654">
        <f>IF(COUNTIFS('United Data'!$A$3:$A$2150,P$1,'United Data'!$C$3:$C$2150,$A654)&gt;0,1,0)</f>
        <v>0</v>
      </c>
      <c r="Q654">
        <f>IF(COUNTIFS('United Data'!$A$3:$A$2150,Q$1,'United Data'!$C$3:$C$2150,$A654)&gt;0,1,0)</f>
        <v>0</v>
      </c>
      <c r="R654">
        <f>IF(COUNTIFS('United Data'!$A$3:$A$2150,R$1,'United Data'!$C$3:$C$2150,$A654)&gt;0,1,0)</f>
        <v>0</v>
      </c>
      <c r="S654">
        <f t="shared" si="20"/>
        <v>1</v>
      </c>
      <c r="T654">
        <f t="shared" si="21"/>
        <v>1</v>
      </c>
    </row>
    <row r="655" spans="1:20" x14ac:dyDescent="0.2">
      <c r="A655" t="s">
        <v>701</v>
      </c>
      <c r="B655">
        <f>IF(COUNTIFS('United Data'!$A$3:$A$2150,B$1,'United Data'!$C$3:$C$2150,$A655)&gt;0,1,0)</f>
        <v>0</v>
      </c>
      <c r="C655">
        <f>IF(COUNTIFS('United Data'!$A$3:$A$2150,C$1,'United Data'!$C$3:$C$2150,$A655)&gt;0,1,0)</f>
        <v>1</v>
      </c>
      <c r="D655">
        <f>IF(COUNTIFS('United Data'!$A$3:$A$2150,D$1,'United Data'!$C$3:$C$2150,$A655)&gt;0,1,0)</f>
        <v>0</v>
      </c>
      <c r="E655">
        <f>IF(COUNTIFS('United Data'!$A$3:$A$2150,E$1,'United Data'!$C$3:$C$2150,$A655)&gt;0,1,0)</f>
        <v>0</v>
      </c>
      <c r="F655">
        <f>IF(COUNTIFS('United Data'!$A$3:$A$2150,F$1,'United Data'!$C$3:$C$2150,$A655)&gt;0,1,0)</f>
        <v>0</v>
      </c>
      <c r="G655">
        <f>IF(COUNTIFS('United Data'!$A$3:$A$2150,G$1,'United Data'!$C$3:$C$2150,$A655)&gt;0,1,0)</f>
        <v>0</v>
      </c>
      <c r="H655">
        <f>IF(COUNTIFS('United Data'!$A$3:$A$2150,H$1,'United Data'!$C$3:$C$2150,$A655)&gt;0,1,0)</f>
        <v>0</v>
      </c>
      <c r="I655">
        <f>IF(COUNTIFS('United Data'!$A$3:$A$2150,I$1,'United Data'!$C$3:$C$2150,$A655)&gt;0,1,0)</f>
        <v>0</v>
      </c>
      <c r="J655">
        <f>IF(COUNTIFS('United Data'!$A$3:$A$2150,J$1,'United Data'!$C$3:$C$2150,$A655)&gt;0,1,0)</f>
        <v>0</v>
      </c>
      <c r="K655">
        <f>IF(COUNTIFS('United Data'!$A$3:$A$2150,K$1,'United Data'!$C$3:$C$2150,$A655)&gt;0,1,0)</f>
        <v>0</v>
      </c>
      <c r="L655">
        <f>IF(COUNTIFS('United Data'!$A$3:$A$2150,L$1,'United Data'!$C$3:$C$2150,$A655)&gt;0,1,0)</f>
        <v>0</v>
      </c>
      <c r="M655">
        <f>IF(COUNTIFS('United Data'!$A$3:$A$2150,M$1,'United Data'!$C$3:$C$2150,$A655)&gt;0,1,0)</f>
        <v>0</v>
      </c>
      <c r="N655">
        <f>IF(COUNTIFS('United Data'!$A$3:$A$2150,N$1,'United Data'!$C$3:$C$2150,$A655)&gt;0,1,0)</f>
        <v>0</v>
      </c>
      <c r="O655">
        <f>IF(COUNTIFS('United Data'!$A$3:$A$2150,O$1,'United Data'!$C$3:$C$2150,$A655)&gt;0,1,0)</f>
        <v>0</v>
      </c>
      <c r="P655">
        <f>IF(COUNTIFS('United Data'!$A$3:$A$2150,P$1,'United Data'!$C$3:$C$2150,$A655)&gt;0,1,0)</f>
        <v>0</v>
      </c>
      <c r="Q655">
        <f>IF(COUNTIFS('United Data'!$A$3:$A$2150,Q$1,'United Data'!$C$3:$C$2150,$A655)&gt;0,1,0)</f>
        <v>0</v>
      </c>
      <c r="R655">
        <f>IF(COUNTIFS('United Data'!$A$3:$A$2150,R$1,'United Data'!$C$3:$C$2150,$A655)&gt;0,1,0)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702</v>
      </c>
      <c r="B656">
        <f>IF(COUNTIFS('United Data'!$A$3:$A$2150,B$1,'United Data'!$C$3:$C$2150,$A656)&gt;0,1,0)</f>
        <v>0</v>
      </c>
      <c r="C656">
        <f>IF(COUNTIFS('United Data'!$A$3:$A$2150,C$1,'United Data'!$C$3:$C$2150,$A656)&gt;0,1,0)</f>
        <v>1</v>
      </c>
      <c r="D656">
        <f>IF(COUNTIFS('United Data'!$A$3:$A$2150,D$1,'United Data'!$C$3:$C$2150,$A656)&gt;0,1,0)</f>
        <v>0</v>
      </c>
      <c r="E656">
        <f>IF(COUNTIFS('United Data'!$A$3:$A$2150,E$1,'United Data'!$C$3:$C$2150,$A656)&gt;0,1,0)</f>
        <v>0</v>
      </c>
      <c r="F656">
        <f>IF(COUNTIFS('United Data'!$A$3:$A$2150,F$1,'United Data'!$C$3:$C$2150,$A656)&gt;0,1,0)</f>
        <v>0</v>
      </c>
      <c r="G656">
        <f>IF(COUNTIFS('United Data'!$A$3:$A$2150,G$1,'United Data'!$C$3:$C$2150,$A656)&gt;0,1,0)</f>
        <v>0</v>
      </c>
      <c r="H656">
        <f>IF(COUNTIFS('United Data'!$A$3:$A$2150,H$1,'United Data'!$C$3:$C$2150,$A656)&gt;0,1,0)</f>
        <v>0</v>
      </c>
      <c r="I656">
        <f>IF(COUNTIFS('United Data'!$A$3:$A$2150,I$1,'United Data'!$C$3:$C$2150,$A656)&gt;0,1,0)</f>
        <v>0</v>
      </c>
      <c r="J656">
        <f>IF(COUNTIFS('United Data'!$A$3:$A$2150,J$1,'United Data'!$C$3:$C$2150,$A656)&gt;0,1,0)</f>
        <v>0</v>
      </c>
      <c r="K656">
        <f>IF(COUNTIFS('United Data'!$A$3:$A$2150,K$1,'United Data'!$C$3:$C$2150,$A656)&gt;0,1,0)</f>
        <v>0</v>
      </c>
      <c r="L656">
        <f>IF(COUNTIFS('United Data'!$A$3:$A$2150,L$1,'United Data'!$C$3:$C$2150,$A656)&gt;0,1,0)</f>
        <v>0</v>
      </c>
      <c r="M656">
        <f>IF(COUNTIFS('United Data'!$A$3:$A$2150,M$1,'United Data'!$C$3:$C$2150,$A656)&gt;0,1,0)</f>
        <v>0</v>
      </c>
      <c r="N656">
        <f>IF(COUNTIFS('United Data'!$A$3:$A$2150,N$1,'United Data'!$C$3:$C$2150,$A656)&gt;0,1,0)</f>
        <v>0</v>
      </c>
      <c r="O656">
        <f>IF(COUNTIFS('United Data'!$A$3:$A$2150,O$1,'United Data'!$C$3:$C$2150,$A656)&gt;0,1,0)</f>
        <v>0</v>
      </c>
      <c r="P656">
        <f>IF(COUNTIFS('United Data'!$A$3:$A$2150,P$1,'United Data'!$C$3:$C$2150,$A656)&gt;0,1,0)</f>
        <v>0</v>
      </c>
      <c r="Q656">
        <f>IF(COUNTIFS('United Data'!$A$3:$A$2150,Q$1,'United Data'!$C$3:$C$2150,$A656)&gt;0,1,0)</f>
        <v>0</v>
      </c>
      <c r="R656">
        <f>IF(COUNTIFS('United Data'!$A$3:$A$2150,R$1,'United Data'!$C$3:$C$2150,$A656)&gt;0,1,0)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703</v>
      </c>
      <c r="B657">
        <f>IF(COUNTIFS('United Data'!$A$3:$A$2150,B$1,'United Data'!$C$3:$C$2150,$A657)&gt;0,1,0)</f>
        <v>0</v>
      </c>
      <c r="C657">
        <f>IF(COUNTIFS('United Data'!$A$3:$A$2150,C$1,'United Data'!$C$3:$C$2150,$A657)&gt;0,1,0)</f>
        <v>1</v>
      </c>
      <c r="D657">
        <f>IF(COUNTIFS('United Data'!$A$3:$A$2150,D$1,'United Data'!$C$3:$C$2150,$A657)&gt;0,1,0)</f>
        <v>0</v>
      </c>
      <c r="E657">
        <f>IF(COUNTIFS('United Data'!$A$3:$A$2150,E$1,'United Data'!$C$3:$C$2150,$A657)&gt;0,1,0)</f>
        <v>0</v>
      </c>
      <c r="F657">
        <f>IF(COUNTIFS('United Data'!$A$3:$A$2150,F$1,'United Data'!$C$3:$C$2150,$A657)&gt;0,1,0)</f>
        <v>0</v>
      </c>
      <c r="G657">
        <f>IF(COUNTIFS('United Data'!$A$3:$A$2150,G$1,'United Data'!$C$3:$C$2150,$A657)&gt;0,1,0)</f>
        <v>0</v>
      </c>
      <c r="H657">
        <f>IF(COUNTIFS('United Data'!$A$3:$A$2150,H$1,'United Data'!$C$3:$C$2150,$A657)&gt;0,1,0)</f>
        <v>0</v>
      </c>
      <c r="I657">
        <f>IF(COUNTIFS('United Data'!$A$3:$A$2150,I$1,'United Data'!$C$3:$C$2150,$A657)&gt;0,1,0)</f>
        <v>0</v>
      </c>
      <c r="J657">
        <f>IF(COUNTIFS('United Data'!$A$3:$A$2150,J$1,'United Data'!$C$3:$C$2150,$A657)&gt;0,1,0)</f>
        <v>0</v>
      </c>
      <c r="K657">
        <f>IF(COUNTIFS('United Data'!$A$3:$A$2150,K$1,'United Data'!$C$3:$C$2150,$A657)&gt;0,1,0)</f>
        <v>0</v>
      </c>
      <c r="L657">
        <f>IF(COUNTIFS('United Data'!$A$3:$A$2150,L$1,'United Data'!$C$3:$C$2150,$A657)&gt;0,1,0)</f>
        <v>0</v>
      </c>
      <c r="M657">
        <f>IF(COUNTIFS('United Data'!$A$3:$A$2150,M$1,'United Data'!$C$3:$C$2150,$A657)&gt;0,1,0)</f>
        <v>0</v>
      </c>
      <c r="N657">
        <f>IF(COUNTIFS('United Data'!$A$3:$A$2150,N$1,'United Data'!$C$3:$C$2150,$A657)&gt;0,1,0)</f>
        <v>0</v>
      </c>
      <c r="O657">
        <f>IF(COUNTIFS('United Data'!$A$3:$A$2150,O$1,'United Data'!$C$3:$C$2150,$A657)&gt;0,1,0)</f>
        <v>0</v>
      </c>
      <c r="P657">
        <f>IF(COUNTIFS('United Data'!$A$3:$A$2150,P$1,'United Data'!$C$3:$C$2150,$A657)&gt;0,1,0)</f>
        <v>0</v>
      </c>
      <c r="Q657">
        <f>IF(COUNTIFS('United Data'!$A$3:$A$2150,Q$1,'United Data'!$C$3:$C$2150,$A657)&gt;0,1,0)</f>
        <v>0</v>
      </c>
      <c r="R657">
        <f>IF(COUNTIFS('United Data'!$A$3:$A$2150,R$1,'United Data'!$C$3:$C$2150,$A657)&gt;0,1,0)</f>
        <v>0</v>
      </c>
      <c r="S657">
        <f t="shared" si="20"/>
        <v>1</v>
      </c>
      <c r="T657">
        <f t="shared" si="21"/>
        <v>1</v>
      </c>
    </row>
    <row r="658" spans="1:20" x14ac:dyDescent="0.2">
      <c r="A658" t="s">
        <v>704</v>
      </c>
      <c r="B658">
        <f>IF(COUNTIFS('United Data'!$A$3:$A$2150,B$1,'United Data'!$C$3:$C$2150,$A658)&gt;0,1,0)</f>
        <v>0</v>
      </c>
      <c r="C658">
        <f>IF(COUNTIFS('United Data'!$A$3:$A$2150,C$1,'United Data'!$C$3:$C$2150,$A658)&gt;0,1,0)</f>
        <v>1</v>
      </c>
      <c r="D658">
        <f>IF(COUNTIFS('United Data'!$A$3:$A$2150,D$1,'United Data'!$C$3:$C$2150,$A658)&gt;0,1,0)</f>
        <v>1</v>
      </c>
      <c r="E658">
        <f>IF(COUNTIFS('United Data'!$A$3:$A$2150,E$1,'United Data'!$C$3:$C$2150,$A658)&gt;0,1,0)</f>
        <v>1</v>
      </c>
      <c r="F658">
        <f>IF(COUNTIFS('United Data'!$A$3:$A$2150,F$1,'United Data'!$C$3:$C$2150,$A658)&gt;0,1,0)</f>
        <v>1</v>
      </c>
      <c r="G658">
        <f>IF(COUNTIFS('United Data'!$A$3:$A$2150,G$1,'United Data'!$C$3:$C$2150,$A658)&gt;0,1,0)</f>
        <v>1</v>
      </c>
      <c r="H658">
        <f>IF(COUNTIFS('United Data'!$A$3:$A$2150,H$1,'United Data'!$C$3:$C$2150,$A658)&gt;0,1,0)</f>
        <v>1</v>
      </c>
      <c r="I658">
        <f>IF(COUNTIFS('United Data'!$A$3:$A$2150,I$1,'United Data'!$C$3:$C$2150,$A658)&gt;0,1,0)</f>
        <v>1</v>
      </c>
      <c r="J658">
        <f>IF(COUNTIFS('United Data'!$A$3:$A$2150,J$1,'United Data'!$C$3:$C$2150,$A658)&gt;0,1,0)</f>
        <v>1</v>
      </c>
      <c r="K658">
        <f>IF(COUNTIFS('United Data'!$A$3:$A$2150,K$1,'United Data'!$C$3:$C$2150,$A658)&gt;0,1,0)</f>
        <v>1</v>
      </c>
      <c r="L658">
        <f>IF(COUNTIFS('United Data'!$A$3:$A$2150,L$1,'United Data'!$C$3:$C$2150,$A658)&gt;0,1,0)</f>
        <v>1</v>
      </c>
      <c r="M658">
        <f>IF(COUNTIFS('United Data'!$A$3:$A$2150,M$1,'United Data'!$C$3:$C$2150,$A658)&gt;0,1,0)</f>
        <v>1</v>
      </c>
      <c r="N658">
        <f>IF(COUNTIFS('United Data'!$A$3:$A$2150,N$1,'United Data'!$C$3:$C$2150,$A658)&gt;0,1,0)</f>
        <v>1</v>
      </c>
      <c r="O658">
        <f>IF(COUNTIFS('United Data'!$A$3:$A$2150,O$1,'United Data'!$C$3:$C$2150,$A658)&gt;0,1,0)</f>
        <v>0</v>
      </c>
      <c r="P658">
        <f>IF(COUNTIFS('United Data'!$A$3:$A$2150,P$1,'United Data'!$C$3:$C$2150,$A658)&gt;0,1,0)</f>
        <v>0</v>
      </c>
      <c r="Q658">
        <f>IF(COUNTIFS('United Data'!$A$3:$A$2150,Q$1,'United Data'!$C$3:$C$2150,$A658)&gt;0,1,0)</f>
        <v>0</v>
      </c>
      <c r="R658">
        <f>IF(COUNTIFS('United Data'!$A$3:$A$2150,R$1,'United Data'!$C$3:$C$2150,$A658)&gt;0,1,0)</f>
        <v>0</v>
      </c>
      <c r="S658">
        <f t="shared" si="20"/>
        <v>12</v>
      </c>
      <c r="T658">
        <f t="shared" si="21"/>
        <v>1</v>
      </c>
    </row>
    <row r="659" spans="1:20" x14ac:dyDescent="0.2">
      <c r="A659" t="s">
        <v>705</v>
      </c>
      <c r="B659">
        <f>IF(COUNTIFS('United Data'!$A$3:$A$2150,B$1,'United Data'!$C$3:$C$2150,$A659)&gt;0,1,0)</f>
        <v>0</v>
      </c>
      <c r="C659">
        <f>IF(COUNTIFS('United Data'!$A$3:$A$2150,C$1,'United Data'!$C$3:$C$2150,$A659)&gt;0,1,0)</f>
        <v>0</v>
      </c>
      <c r="D659">
        <f>IF(COUNTIFS('United Data'!$A$3:$A$2150,D$1,'United Data'!$C$3:$C$2150,$A659)&gt;0,1,0)</f>
        <v>1</v>
      </c>
      <c r="E659">
        <f>IF(COUNTIFS('United Data'!$A$3:$A$2150,E$1,'United Data'!$C$3:$C$2150,$A659)&gt;0,1,0)</f>
        <v>0</v>
      </c>
      <c r="F659">
        <f>IF(COUNTIFS('United Data'!$A$3:$A$2150,F$1,'United Data'!$C$3:$C$2150,$A659)&gt;0,1,0)</f>
        <v>0</v>
      </c>
      <c r="G659">
        <f>IF(COUNTIFS('United Data'!$A$3:$A$2150,G$1,'United Data'!$C$3:$C$2150,$A659)&gt;0,1,0)</f>
        <v>0</v>
      </c>
      <c r="H659">
        <f>IF(COUNTIFS('United Data'!$A$3:$A$2150,H$1,'United Data'!$C$3:$C$2150,$A659)&gt;0,1,0)</f>
        <v>0</v>
      </c>
      <c r="I659">
        <f>IF(COUNTIFS('United Data'!$A$3:$A$2150,I$1,'United Data'!$C$3:$C$2150,$A659)&gt;0,1,0)</f>
        <v>0</v>
      </c>
      <c r="J659">
        <f>IF(COUNTIFS('United Data'!$A$3:$A$2150,J$1,'United Data'!$C$3:$C$2150,$A659)&gt;0,1,0)</f>
        <v>0</v>
      </c>
      <c r="K659">
        <f>IF(COUNTIFS('United Data'!$A$3:$A$2150,K$1,'United Data'!$C$3:$C$2150,$A659)&gt;0,1,0)</f>
        <v>0</v>
      </c>
      <c r="L659">
        <f>IF(COUNTIFS('United Data'!$A$3:$A$2150,L$1,'United Data'!$C$3:$C$2150,$A659)&gt;0,1,0)</f>
        <v>1</v>
      </c>
      <c r="M659">
        <f>IF(COUNTIFS('United Data'!$A$3:$A$2150,M$1,'United Data'!$C$3:$C$2150,$A659)&gt;0,1,0)</f>
        <v>0</v>
      </c>
      <c r="N659">
        <f>IF(COUNTIFS('United Data'!$A$3:$A$2150,N$1,'United Data'!$C$3:$C$2150,$A659)&gt;0,1,0)</f>
        <v>0</v>
      </c>
      <c r="O659">
        <f>IF(COUNTIFS('United Data'!$A$3:$A$2150,O$1,'United Data'!$C$3:$C$2150,$A659)&gt;0,1,0)</f>
        <v>0</v>
      </c>
      <c r="P659">
        <f>IF(COUNTIFS('United Data'!$A$3:$A$2150,P$1,'United Data'!$C$3:$C$2150,$A659)&gt;0,1,0)</f>
        <v>0</v>
      </c>
      <c r="Q659">
        <f>IF(COUNTIFS('United Data'!$A$3:$A$2150,Q$1,'United Data'!$C$3:$C$2150,$A659)&gt;0,1,0)</f>
        <v>0</v>
      </c>
      <c r="R659">
        <f>IF(COUNTIFS('United Data'!$A$3:$A$2150,R$1,'United Data'!$C$3:$C$2150,$A659)&gt;0,1,0)</f>
        <v>0</v>
      </c>
      <c r="S659">
        <f t="shared" si="20"/>
        <v>2</v>
      </c>
      <c r="T659">
        <f t="shared" si="21"/>
        <v>2</v>
      </c>
    </row>
    <row r="660" spans="1:20" x14ac:dyDescent="0.2">
      <c r="A660" t="s">
        <v>706</v>
      </c>
      <c r="B660">
        <f>IF(COUNTIFS('United Data'!$A$3:$A$2150,B$1,'United Data'!$C$3:$C$2150,$A660)&gt;0,1,0)</f>
        <v>0</v>
      </c>
      <c r="C660">
        <f>IF(COUNTIFS('United Data'!$A$3:$A$2150,C$1,'United Data'!$C$3:$C$2150,$A660)&gt;0,1,0)</f>
        <v>0</v>
      </c>
      <c r="D660">
        <f>IF(COUNTIFS('United Data'!$A$3:$A$2150,D$1,'United Data'!$C$3:$C$2150,$A660)&gt;0,1,0)</f>
        <v>1</v>
      </c>
      <c r="E660">
        <f>IF(COUNTIFS('United Data'!$A$3:$A$2150,E$1,'United Data'!$C$3:$C$2150,$A660)&gt;0,1,0)</f>
        <v>1</v>
      </c>
      <c r="F660">
        <f>IF(COUNTIFS('United Data'!$A$3:$A$2150,F$1,'United Data'!$C$3:$C$2150,$A660)&gt;0,1,0)</f>
        <v>1</v>
      </c>
      <c r="G660">
        <f>IF(COUNTIFS('United Data'!$A$3:$A$2150,G$1,'United Data'!$C$3:$C$2150,$A660)&gt;0,1,0)</f>
        <v>0</v>
      </c>
      <c r="H660">
        <f>IF(COUNTIFS('United Data'!$A$3:$A$2150,H$1,'United Data'!$C$3:$C$2150,$A660)&gt;0,1,0)</f>
        <v>0</v>
      </c>
      <c r="I660">
        <f>IF(COUNTIFS('United Data'!$A$3:$A$2150,I$1,'United Data'!$C$3:$C$2150,$A660)&gt;0,1,0)</f>
        <v>0</v>
      </c>
      <c r="J660">
        <f>IF(COUNTIFS('United Data'!$A$3:$A$2150,J$1,'United Data'!$C$3:$C$2150,$A660)&gt;0,1,0)</f>
        <v>0</v>
      </c>
      <c r="K660">
        <f>IF(COUNTIFS('United Data'!$A$3:$A$2150,K$1,'United Data'!$C$3:$C$2150,$A660)&gt;0,1,0)</f>
        <v>0</v>
      </c>
      <c r="L660">
        <f>IF(COUNTIFS('United Data'!$A$3:$A$2150,L$1,'United Data'!$C$3:$C$2150,$A660)&gt;0,1,0)</f>
        <v>0</v>
      </c>
      <c r="M660">
        <f>IF(COUNTIFS('United Data'!$A$3:$A$2150,M$1,'United Data'!$C$3:$C$2150,$A660)&gt;0,1,0)</f>
        <v>0</v>
      </c>
      <c r="N660">
        <f>IF(COUNTIFS('United Data'!$A$3:$A$2150,N$1,'United Data'!$C$3:$C$2150,$A660)&gt;0,1,0)</f>
        <v>0</v>
      </c>
      <c r="O660">
        <f>IF(COUNTIFS('United Data'!$A$3:$A$2150,O$1,'United Data'!$C$3:$C$2150,$A660)&gt;0,1,0)</f>
        <v>0</v>
      </c>
      <c r="P660">
        <f>IF(COUNTIFS('United Data'!$A$3:$A$2150,P$1,'United Data'!$C$3:$C$2150,$A660)&gt;0,1,0)</f>
        <v>0</v>
      </c>
      <c r="Q660">
        <f>IF(COUNTIFS('United Data'!$A$3:$A$2150,Q$1,'United Data'!$C$3:$C$2150,$A660)&gt;0,1,0)</f>
        <v>0</v>
      </c>
      <c r="R660">
        <f>IF(COUNTIFS('United Data'!$A$3:$A$2150,R$1,'United Data'!$C$3:$C$2150,$A660)&gt;0,1,0)</f>
        <v>0</v>
      </c>
      <c r="S660">
        <f t="shared" si="20"/>
        <v>3</v>
      </c>
      <c r="T660">
        <f t="shared" si="21"/>
        <v>1</v>
      </c>
    </row>
    <row r="661" spans="1:20" x14ac:dyDescent="0.2">
      <c r="A661" t="s">
        <v>707</v>
      </c>
      <c r="B661">
        <f>IF(COUNTIFS('United Data'!$A$3:$A$2150,B$1,'United Data'!$C$3:$C$2150,$A661)&gt;0,1,0)</f>
        <v>0</v>
      </c>
      <c r="C661">
        <f>IF(COUNTIFS('United Data'!$A$3:$A$2150,C$1,'United Data'!$C$3:$C$2150,$A661)&gt;0,1,0)</f>
        <v>0</v>
      </c>
      <c r="D661">
        <f>IF(COUNTIFS('United Data'!$A$3:$A$2150,D$1,'United Data'!$C$3:$C$2150,$A661)&gt;0,1,0)</f>
        <v>1</v>
      </c>
      <c r="E661">
        <f>IF(COUNTIFS('United Data'!$A$3:$A$2150,E$1,'United Data'!$C$3:$C$2150,$A661)&gt;0,1,0)</f>
        <v>0</v>
      </c>
      <c r="F661">
        <f>IF(COUNTIFS('United Data'!$A$3:$A$2150,F$1,'United Data'!$C$3:$C$2150,$A661)&gt;0,1,0)</f>
        <v>0</v>
      </c>
      <c r="G661">
        <f>IF(COUNTIFS('United Data'!$A$3:$A$2150,G$1,'United Data'!$C$3:$C$2150,$A661)&gt;0,1,0)</f>
        <v>0</v>
      </c>
      <c r="H661">
        <f>IF(COUNTIFS('United Data'!$A$3:$A$2150,H$1,'United Data'!$C$3:$C$2150,$A661)&gt;0,1,0)</f>
        <v>0</v>
      </c>
      <c r="I661">
        <f>IF(COUNTIFS('United Data'!$A$3:$A$2150,I$1,'United Data'!$C$3:$C$2150,$A661)&gt;0,1,0)</f>
        <v>0</v>
      </c>
      <c r="J661">
        <f>IF(COUNTIFS('United Data'!$A$3:$A$2150,J$1,'United Data'!$C$3:$C$2150,$A661)&gt;0,1,0)</f>
        <v>0</v>
      </c>
      <c r="K661">
        <f>IF(COUNTIFS('United Data'!$A$3:$A$2150,K$1,'United Data'!$C$3:$C$2150,$A661)&gt;0,1,0)</f>
        <v>0</v>
      </c>
      <c r="L661">
        <f>IF(COUNTIFS('United Data'!$A$3:$A$2150,L$1,'United Data'!$C$3:$C$2150,$A661)&gt;0,1,0)</f>
        <v>0</v>
      </c>
      <c r="M661">
        <f>IF(COUNTIFS('United Data'!$A$3:$A$2150,M$1,'United Data'!$C$3:$C$2150,$A661)&gt;0,1,0)</f>
        <v>0</v>
      </c>
      <c r="N661">
        <f>IF(COUNTIFS('United Data'!$A$3:$A$2150,N$1,'United Data'!$C$3:$C$2150,$A661)&gt;0,1,0)</f>
        <v>0</v>
      </c>
      <c r="O661">
        <f>IF(COUNTIFS('United Data'!$A$3:$A$2150,O$1,'United Data'!$C$3:$C$2150,$A661)&gt;0,1,0)</f>
        <v>0</v>
      </c>
      <c r="P661">
        <f>IF(COUNTIFS('United Data'!$A$3:$A$2150,P$1,'United Data'!$C$3:$C$2150,$A661)&gt;0,1,0)</f>
        <v>0</v>
      </c>
      <c r="Q661">
        <f>IF(COUNTIFS('United Data'!$A$3:$A$2150,Q$1,'United Data'!$C$3:$C$2150,$A661)&gt;0,1,0)</f>
        <v>0</v>
      </c>
      <c r="R661">
        <f>IF(COUNTIFS('United Data'!$A$3:$A$2150,R$1,'United Data'!$C$3:$C$2150,$A661)&gt;0,1,0)</f>
        <v>0</v>
      </c>
      <c r="S661">
        <f t="shared" si="20"/>
        <v>1</v>
      </c>
      <c r="T661">
        <f t="shared" si="21"/>
        <v>1</v>
      </c>
    </row>
    <row r="662" spans="1:20" x14ac:dyDescent="0.2">
      <c r="A662" t="s">
        <v>708</v>
      </c>
      <c r="B662">
        <f>IF(COUNTIFS('United Data'!$A$3:$A$2150,B$1,'United Data'!$C$3:$C$2150,$A662)&gt;0,1,0)</f>
        <v>0</v>
      </c>
      <c r="C662">
        <f>IF(COUNTIFS('United Data'!$A$3:$A$2150,C$1,'United Data'!$C$3:$C$2150,$A662)&gt;0,1,0)</f>
        <v>0</v>
      </c>
      <c r="D662">
        <f>IF(COUNTIFS('United Data'!$A$3:$A$2150,D$1,'United Data'!$C$3:$C$2150,$A662)&gt;0,1,0)</f>
        <v>1</v>
      </c>
      <c r="E662">
        <f>IF(COUNTIFS('United Data'!$A$3:$A$2150,E$1,'United Data'!$C$3:$C$2150,$A662)&gt;0,1,0)</f>
        <v>0</v>
      </c>
      <c r="F662">
        <f>IF(COUNTIFS('United Data'!$A$3:$A$2150,F$1,'United Data'!$C$3:$C$2150,$A662)&gt;0,1,0)</f>
        <v>0</v>
      </c>
      <c r="G662">
        <f>IF(COUNTIFS('United Data'!$A$3:$A$2150,G$1,'United Data'!$C$3:$C$2150,$A662)&gt;0,1,0)</f>
        <v>0</v>
      </c>
      <c r="H662">
        <f>IF(COUNTIFS('United Data'!$A$3:$A$2150,H$1,'United Data'!$C$3:$C$2150,$A662)&gt;0,1,0)</f>
        <v>0</v>
      </c>
      <c r="I662">
        <f>IF(COUNTIFS('United Data'!$A$3:$A$2150,I$1,'United Data'!$C$3:$C$2150,$A662)&gt;0,1,0)</f>
        <v>0</v>
      </c>
      <c r="J662">
        <f>IF(COUNTIFS('United Data'!$A$3:$A$2150,J$1,'United Data'!$C$3:$C$2150,$A662)&gt;0,1,0)</f>
        <v>0</v>
      </c>
      <c r="K662">
        <f>IF(COUNTIFS('United Data'!$A$3:$A$2150,K$1,'United Data'!$C$3:$C$2150,$A662)&gt;0,1,0)</f>
        <v>0</v>
      </c>
      <c r="L662">
        <f>IF(COUNTIFS('United Data'!$A$3:$A$2150,L$1,'United Data'!$C$3:$C$2150,$A662)&gt;0,1,0)</f>
        <v>0</v>
      </c>
      <c r="M662">
        <f>IF(COUNTIFS('United Data'!$A$3:$A$2150,M$1,'United Data'!$C$3:$C$2150,$A662)&gt;0,1,0)</f>
        <v>0</v>
      </c>
      <c r="N662">
        <f>IF(COUNTIFS('United Data'!$A$3:$A$2150,N$1,'United Data'!$C$3:$C$2150,$A662)&gt;0,1,0)</f>
        <v>0</v>
      </c>
      <c r="O662">
        <f>IF(COUNTIFS('United Data'!$A$3:$A$2150,O$1,'United Data'!$C$3:$C$2150,$A662)&gt;0,1,0)</f>
        <v>0</v>
      </c>
      <c r="P662">
        <f>IF(COUNTIFS('United Data'!$A$3:$A$2150,P$1,'United Data'!$C$3:$C$2150,$A662)&gt;0,1,0)</f>
        <v>0</v>
      </c>
      <c r="Q662">
        <f>IF(COUNTIFS('United Data'!$A$3:$A$2150,Q$1,'United Data'!$C$3:$C$2150,$A662)&gt;0,1,0)</f>
        <v>0</v>
      </c>
      <c r="R662">
        <f>IF(COUNTIFS('United Data'!$A$3:$A$2150,R$1,'United Data'!$C$3:$C$2150,$A662)&gt;0,1,0)</f>
        <v>0</v>
      </c>
      <c r="S662">
        <f t="shared" si="20"/>
        <v>1</v>
      </c>
      <c r="T662">
        <f t="shared" si="21"/>
        <v>1</v>
      </c>
    </row>
    <row r="663" spans="1:20" x14ac:dyDescent="0.2">
      <c r="A663" t="s">
        <v>709</v>
      </c>
      <c r="B663">
        <f>IF(COUNTIFS('United Data'!$A$3:$A$2150,B$1,'United Data'!$C$3:$C$2150,$A663)&gt;0,1,0)</f>
        <v>0</v>
      </c>
      <c r="C663">
        <f>IF(COUNTIFS('United Data'!$A$3:$A$2150,C$1,'United Data'!$C$3:$C$2150,$A663)&gt;0,1,0)</f>
        <v>0</v>
      </c>
      <c r="D663">
        <f>IF(COUNTIFS('United Data'!$A$3:$A$2150,D$1,'United Data'!$C$3:$C$2150,$A663)&gt;0,1,0)</f>
        <v>1</v>
      </c>
      <c r="E663">
        <f>IF(COUNTIFS('United Data'!$A$3:$A$2150,E$1,'United Data'!$C$3:$C$2150,$A663)&gt;0,1,0)</f>
        <v>0</v>
      </c>
      <c r="F663">
        <f>IF(COUNTIFS('United Data'!$A$3:$A$2150,F$1,'United Data'!$C$3:$C$2150,$A663)&gt;0,1,0)</f>
        <v>0</v>
      </c>
      <c r="G663">
        <f>IF(COUNTIFS('United Data'!$A$3:$A$2150,G$1,'United Data'!$C$3:$C$2150,$A663)&gt;0,1,0)</f>
        <v>0</v>
      </c>
      <c r="H663">
        <f>IF(COUNTIFS('United Data'!$A$3:$A$2150,H$1,'United Data'!$C$3:$C$2150,$A663)&gt;0,1,0)</f>
        <v>0</v>
      </c>
      <c r="I663">
        <f>IF(COUNTIFS('United Data'!$A$3:$A$2150,I$1,'United Data'!$C$3:$C$2150,$A663)&gt;0,1,0)</f>
        <v>0</v>
      </c>
      <c r="J663">
        <f>IF(COUNTIFS('United Data'!$A$3:$A$2150,J$1,'United Data'!$C$3:$C$2150,$A663)&gt;0,1,0)</f>
        <v>0</v>
      </c>
      <c r="K663">
        <f>IF(COUNTIFS('United Data'!$A$3:$A$2150,K$1,'United Data'!$C$3:$C$2150,$A663)&gt;0,1,0)</f>
        <v>0</v>
      </c>
      <c r="L663">
        <f>IF(COUNTIFS('United Data'!$A$3:$A$2150,L$1,'United Data'!$C$3:$C$2150,$A663)&gt;0,1,0)</f>
        <v>0</v>
      </c>
      <c r="M663">
        <f>IF(COUNTIFS('United Data'!$A$3:$A$2150,M$1,'United Data'!$C$3:$C$2150,$A663)&gt;0,1,0)</f>
        <v>0</v>
      </c>
      <c r="N663">
        <f>IF(COUNTIFS('United Data'!$A$3:$A$2150,N$1,'United Data'!$C$3:$C$2150,$A663)&gt;0,1,0)</f>
        <v>0</v>
      </c>
      <c r="O663">
        <f>IF(COUNTIFS('United Data'!$A$3:$A$2150,O$1,'United Data'!$C$3:$C$2150,$A663)&gt;0,1,0)</f>
        <v>0</v>
      </c>
      <c r="P663">
        <f>IF(COUNTIFS('United Data'!$A$3:$A$2150,P$1,'United Data'!$C$3:$C$2150,$A663)&gt;0,1,0)</f>
        <v>0</v>
      </c>
      <c r="Q663">
        <f>IF(COUNTIFS('United Data'!$A$3:$A$2150,Q$1,'United Data'!$C$3:$C$2150,$A663)&gt;0,1,0)</f>
        <v>0</v>
      </c>
      <c r="R663">
        <f>IF(COUNTIFS('United Data'!$A$3:$A$2150,R$1,'United Data'!$C$3:$C$2150,$A663)&gt;0,1,0)</f>
        <v>0</v>
      </c>
      <c r="S663">
        <f t="shared" si="20"/>
        <v>1</v>
      </c>
      <c r="T663">
        <f t="shared" si="21"/>
        <v>1</v>
      </c>
    </row>
    <row r="664" spans="1:20" x14ac:dyDescent="0.2">
      <c r="A664" t="s">
        <v>710</v>
      </c>
      <c r="B664">
        <f>IF(COUNTIFS('United Data'!$A$3:$A$2150,B$1,'United Data'!$C$3:$C$2150,$A664)&gt;0,1,0)</f>
        <v>0</v>
      </c>
      <c r="C664">
        <f>IF(COUNTIFS('United Data'!$A$3:$A$2150,C$1,'United Data'!$C$3:$C$2150,$A664)&gt;0,1,0)</f>
        <v>0</v>
      </c>
      <c r="D664">
        <f>IF(COUNTIFS('United Data'!$A$3:$A$2150,D$1,'United Data'!$C$3:$C$2150,$A664)&gt;0,1,0)</f>
        <v>1</v>
      </c>
      <c r="E664">
        <f>IF(COUNTIFS('United Data'!$A$3:$A$2150,E$1,'United Data'!$C$3:$C$2150,$A664)&gt;0,1,0)</f>
        <v>1</v>
      </c>
      <c r="F664">
        <f>IF(COUNTIFS('United Data'!$A$3:$A$2150,F$1,'United Data'!$C$3:$C$2150,$A664)&gt;0,1,0)</f>
        <v>1</v>
      </c>
      <c r="G664">
        <f>IF(COUNTIFS('United Data'!$A$3:$A$2150,G$1,'United Data'!$C$3:$C$2150,$A664)&gt;0,1,0)</f>
        <v>1</v>
      </c>
      <c r="H664">
        <f>IF(COUNTIFS('United Data'!$A$3:$A$2150,H$1,'United Data'!$C$3:$C$2150,$A664)&gt;0,1,0)</f>
        <v>1</v>
      </c>
      <c r="I664">
        <f>IF(COUNTIFS('United Data'!$A$3:$A$2150,I$1,'United Data'!$C$3:$C$2150,$A664)&gt;0,1,0)</f>
        <v>0</v>
      </c>
      <c r="J664">
        <f>IF(COUNTIFS('United Data'!$A$3:$A$2150,J$1,'United Data'!$C$3:$C$2150,$A664)&gt;0,1,0)</f>
        <v>0</v>
      </c>
      <c r="K664">
        <f>IF(COUNTIFS('United Data'!$A$3:$A$2150,K$1,'United Data'!$C$3:$C$2150,$A664)&gt;0,1,0)</f>
        <v>0</v>
      </c>
      <c r="L664">
        <f>IF(COUNTIFS('United Data'!$A$3:$A$2150,L$1,'United Data'!$C$3:$C$2150,$A664)&gt;0,1,0)</f>
        <v>0</v>
      </c>
      <c r="M664">
        <f>IF(COUNTIFS('United Data'!$A$3:$A$2150,M$1,'United Data'!$C$3:$C$2150,$A664)&gt;0,1,0)</f>
        <v>1</v>
      </c>
      <c r="N664">
        <f>IF(COUNTIFS('United Data'!$A$3:$A$2150,N$1,'United Data'!$C$3:$C$2150,$A664)&gt;0,1,0)</f>
        <v>0</v>
      </c>
      <c r="O664">
        <f>IF(COUNTIFS('United Data'!$A$3:$A$2150,O$1,'United Data'!$C$3:$C$2150,$A664)&gt;0,1,0)</f>
        <v>0</v>
      </c>
      <c r="P664">
        <f>IF(COUNTIFS('United Data'!$A$3:$A$2150,P$1,'United Data'!$C$3:$C$2150,$A664)&gt;0,1,0)</f>
        <v>0</v>
      </c>
      <c r="Q664">
        <f>IF(COUNTIFS('United Data'!$A$3:$A$2150,Q$1,'United Data'!$C$3:$C$2150,$A664)&gt;0,1,0)</f>
        <v>0</v>
      </c>
      <c r="R664">
        <f>IF(COUNTIFS('United Data'!$A$3:$A$2150,R$1,'United Data'!$C$3:$C$2150,$A664)&gt;0,1,0)</f>
        <v>0</v>
      </c>
      <c r="S664">
        <f t="shared" si="20"/>
        <v>6</v>
      </c>
      <c r="T664">
        <f t="shared" si="21"/>
        <v>2</v>
      </c>
    </row>
    <row r="665" spans="1:20" x14ac:dyDescent="0.2">
      <c r="A665" t="s">
        <v>711</v>
      </c>
      <c r="B665">
        <f>IF(COUNTIFS('United Data'!$A$3:$A$2150,B$1,'United Data'!$C$3:$C$2150,$A665)&gt;0,1,0)</f>
        <v>0</v>
      </c>
      <c r="C665">
        <f>IF(COUNTIFS('United Data'!$A$3:$A$2150,C$1,'United Data'!$C$3:$C$2150,$A665)&gt;0,1,0)</f>
        <v>0</v>
      </c>
      <c r="D665">
        <f>IF(COUNTIFS('United Data'!$A$3:$A$2150,D$1,'United Data'!$C$3:$C$2150,$A665)&gt;0,1,0)</f>
        <v>1</v>
      </c>
      <c r="E665">
        <f>IF(COUNTIFS('United Data'!$A$3:$A$2150,E$1,'United Data'!$C$3:$C$2150,$A665)&gt;0,1,0)</f>
        <v>1</v>
      </c>
      <c r="F665">
        <f>IF(COUNTIFS('United Data'!$A$3:$A$2150,F$1,'United Data'!$C$3:$C$2150,$A665)&gt;0,1,0)</f>
        <v>1</v>
      </c>
      <c r="G665">
        <f>IF(COUNTIFS('United Data'!$A$3:$A$2150,G$1,'United Data'!$C$3:$C$2150,$A665)&gt;0,1,0)</f>
        <v>1</v>
      </c>
      <c r="H665">
        <f>IF(COUNTIFS('United Data'!$A$3:$A$2150,H$1,'United Data'!$C$3:$C$2150,$A665)&gt;0,1,0)</f>
        <v>1</v>
      </c>
      <c r="I665">
        <f>IF(COUNTIFS('United Data'!$A$3:$A$2150,I$1,'United Data'!$C$3:$C$2150,$A665)&gt;0,1,0)</f>
        <v>1</v>
      </c>
      <c r="J665">
        <f>IF(COUNTIFS('United Data'!$A$3:$A$2150,J$1,'United Data'!$C$3:$C$2150,$A665)&gt;0,1,0)</f>
        <v>1</v>
      </c>
      <c r="K665">
        <f>IF(COUNTIFS('United Data'!$A$3:$A$2150,K$1,'United Data'!$C$3:$C$2150,$A665)&gt;0,1,0)</f>
        <v>1</v>
      </c>
      <c r="L665">
        <f>IF(COUNTIFS('United Data'!$A$3:$A$2150,L$1,'United Data'!$C$3:$C$2150,$A665)&gt;0,1,0)</f>
        <v>1</v>
      </c>
      <c r="M665">
        <f>IF(COUNTIFS('United Data'!$A$3:$A$2150,M$1,'United Data'!$C$3:$C$2150,$A665)&gt;0,1,0)</f>
        <v>0</v>
      </c>
      <c r="N665">
        <f>IF(COUNTIFS('United Data'!$A$3:$A$2150,N$1,'United Data'!$C$3:$C$2150,$A665)&gt;0,1,0)</f>
        <v>0</v>
      </c>
      <c r="O665">
        <f>IF(COUNTIFS('United Data'!$A$3:$A$2150,O$1,'United Data'!$C$3:$C$2150,$A665)&gt;0,1,0)</f>
        <v>0</v>
      </c>
      <c r="P665">
        <f>IF(COUNTIFS('United Data'!$A$3:$A$2150,P$1,'United Data'!$C$3:$C$2150,$A665)&gt;0,1,0)</f>
        <v>0</v>
      </c>
      <c r="Q665">
        <f>IF(COUNTIFS('United Data'!$A$3:$A$2150,Q$1,'United Data'!$C$3:$C$2150,$A665)&gt;0,1,0)</f>
        <v>0</v>
      </c>
      <c r="R665">
        <f>IF(COUNTIFS('United Data'!$A$3:$A$2150,R$1,'United Data'!$C$3:$C$2150,$A665)&gt;0,1,0)</f>
        <v>0</v>
      </c>
      <c r="S665">
        <f t="shared" si="20"/>
        <v>9</v>
      </c>
      <c r="T665">
        <f t="shared" si="21"/>
        <v>1</v>
      </c>
    </row>
    <row r="666" spans="1:20" x14ac:dyDescent="0.2">
      <c r="A666" t="s">
        <v>712</v>
      </c>
      <c r="B666">
        <f>IF(COUNTIFS('United Data'!$A$3:$A$2150,B$1,'United Data'!$C$3:$C$2150,$A666)&gt;0,1,0)</f>
        <v>0</v>
      </c>
      <c r="C666">
        <f>IF(COUNTIFS('United Data'!$A$3:$A$2150,C$1,'United Data'!$C$3:$C$2150,$A666)&gt;0,1,0)</f>
        <v>0</v>
      </c>
      <c r="D666">
        <f>IF(COUNTIFS('United Data'!$A$3:$A$2150,D$1,'United Data'!$C$3:$C$2150,$A666)&gt;0,1,0)</f>
        <v>1</v>
      </c>
      <c r="E666">
        <f>IF(COUNTIFS('United Data'!$A$3:$A$2150,E$1,'United Data'!$C$3:$C$2150,$A666)&gt;0,1,0)</f>
        <v>0</v>
      </c>
      <c r="F666">
        <f>IF(COUNTIFS('United Data'!$A$3:$A$2150,F$1,'United Data'!$C$3:$C$2150,$A666)&gt;0,1,0)</f>
        <v>0</v>
      </c>
      <c r="G666">
        <f>IF(COUNTIFS('United Data'!$A$3:$A$2150,G$1,'United Data'!$C$3:$C$2150,$A666)&gt;0,1,0)</f>
        <v>1</v>
      </c>
      <c r="H666">
        <f>IF(COUNTIFS('United Data'!$A$3:$A$2150,H$1,'United Data'!$C$3:$C$2150,$A666)&gt;0,1,0)</f>
        <v>1</v>
      </c>
      <c r="I666">
        <f>IF(COUNTIFS('United Data'!$A$3:$A$2150,I$1,'United Data'!$C$3:$C$2150,$A666)&gt;0,1,0)</f>
        <v>1</v>
      </c>
      <c r="J666">
        <f>IF(COUNTIFS('United Data'!$A$3:$A$2150,J$1,'United Data'!$C$3:$C$2150,$A666)&gt;0,1,0)</f>
        <v>1</v>
      </c>
      <c r="K666">
        <f>IF(COUNTIFS('United Data'!$A$3:$A$2150,K$1,'United Data'!$C$3:$C$2150,$A666)&gt;0,1,0)</f>
        <v>1</v>
      </c>
      <c r="L666">
        <f>IF(COUNTIFS('United Data'!$A$3:$A$2150,L$1,'United Data'!$C$3:$C$2150,$A666)&gt;0,1,0)</f>
        <v>1</v>
      </c>
      <c r="M666">
        <f>IF(COUNTIFS('United Data'!$A$3:$A$2150,M$1,'United Data'!$C$3:$C$2150,$A666)&gt;0,1,0)</f>
        <v>0</v>
      </c>
      <c r="N666">
        <f>IF(COUNTIFS('United Data'!$A$3:$A$2150,N$1,'United Data'!$C$3:$C$2150,$A666)&gt;0,1,0)</f>
        <v>0</v>
      </c>
      <c r="O666">
        <f>IF(COUNTIFS('United Data'!$A$3:$A$2150,O$1,'United Data'!$C$3:$C$2150,$A666)&gt;0,1,0)</f>
        <v>0</v>
      </c>
      <c r="P666">
        <f>IF(COUNTIFS('United Data'!$A$3:$A$2150,P$1,'United Data'!$C$3:$C$2150,$A666)&gt;0,1,0)</f>
        <v>0</v>
      </c>
      <c r="Q666">
        <f>IF(COUNTIFS('United Data'!$A$3:$A$2150,Q$1,'United Data'!$C$3:$C$2150,$A666)&gt;0,1,0)</f>
        <v>0</v>
      </c>
      <c r="R666">
        <f>IF(COUNTIFS('United Data'!$A$3:$A$2150,R$1,'United Data'!$C$3:$C$2150,$A666)&gt;0,1,0)</f>
        <v>0</v>
      </c>
      <c r="S666">
        <f t="shared" si="20"/>
        <v>7</v>
      </c>
      <c r="T666">
        <f t="shared" si="21"/>
        <v>2</v>
      </c>
    </row>
    <row r="667" spans="1:20" x14ac:dyDescent="0.2">
      <c r="A667" t="s">
        <v>713</v>
      </c>
      <c r="B667">
        <f>IF(COUNTIFS('United Data'!$A$3:$A$2150,B$1,'United Data'!$C$3:$C$2150,$A667)&gt;0,1,0)</f>
        <v>0</v>
      </c>
      <c r="C667">
        <f>IF(COUNTIFS('United Data'!$A$3:$A$2150,C$1,'United Data'!$C$3:$C$2150,$A667)&gt;0,1,0)</f>
        <v>0</v>
      </c>
      <c r="D667">
        <f>IF(COUNTIFS('United Data'!$A$3:$A$2150,D$1,'United Data'!$C$3:$C$2150,$A667)&gt;0,1,0)</f>
        <v>1</v>
      </c>
      <c r="E667">
        <f>IF(COUNTIFS('United Data'!$A$3:$A$2150,E$1,'United Data'!$C$3:$C$2150,$A667)&gt;0,1,0)</f>
        <v>1</v>
      </c>
      <c r="F667">
        <f>IF(COUNTIFS('United Data'!$A$3:$A$2150,F$1,'United Data'!$C$3:$C$2150,$A667)&gt;0,1,0)</f>
        <v>1</v>
      </c>
      <c r="G667">
        <f>IF(COUNTIFS('United Data'!$A$3:$A$2150,G$1,'United Data'!$C$3:$C$2150,$A667)&gt;0,1,0)</f>
        <v>1</v>
      </c>
      <c r="H667">
        <f>IF(COUNTIFS('United Data'!$A$3:$A$2150,H$1,'United Data'!$C$3:$C$2150,$A667)&gt;0,1,0)</f>
        <v>0</v>
      </c>
      <c r="I667">
        <f>IF(COUNTIFS('United Data'!$A$3:$A$2150,I$1,'United Data'!$C$3:$C$2150,$A667)&gt;0,1,0)</f>
        <v>0</v>
      </c>
      <c r="J667">
        <f>IF(COUNTIFS('United Data'!$A$3:$A$2150,J$1,'United Data'!$C$3:$C$2150,$A667)&gt;0,1,0)</f>
        <v>0</v>
      </c>
      <c r="K667">
        <f>IF(COUNTIFS('United Data'!$A$3:$A$2150,K$1,'United Data'!$C$3:$C$2150,$A667)&gt;0,1,0)</f>
        <v>0</v>
      </c>
      <c r="L667">
        <f>IF(COUNTIFS('United Data'!$A$3:$A$2150,L$1,'United Data'!$C$3:$C$2150,$A667)&gt;0,1,0)</f>
        <v>0</v>
      </c>
      <c r="M667">
        <f>IF(COUNTIFS('United Data'!$A$3:$A$2150,M$1,'United Data'!$C$3:$C$2150,$A667)&gt;0,1,0)</f>
        <v>0</v>
      </c>
      <c r="N667">
        <f>IF(COUNTIFS('United Data'!$A$3:$A$2150,N$1,'United Data'!$C$3:$C$2150,$A667)&gt;0,1,0)</f>
        <v>0</v>
      </c>
      <c r="O667">
        <f>IF(COUNTIFS('United Data'!$A$3:$A$2150,O$1,'United Data'!$C$3:$C$2150,$A667)&gt;0,1,0)</f>
        <v>0</v>
      </c>
      <c r="P667">
        <f>IF(COUNTIFS('United Data'!$A$3:$A$2150,P$1,'United Data'!$C$3:$C$2150,$A667)&gt;0,1,0)</f>
        <v>0</v>
      </c>
      <c r="Q667">
        <f>IF(COUNTIFS('United Data'!$A$3:$A$2150,Q$1,'United Data'!$C$3:$C$2150,$A667)&gt;0,1,0)</f>
        <v>0</v>
      </c>
      <c r="R667">
        <f>IF(COUNTIFS('United Data'!$A$3:$A$2150,R$1,'United Data'!$C$3:$C$2150,$A667)&gt;0,1,0)</f>
        <v>0</v>
      </c>
      <c r="S667">
        <f t="shared" si="20"/>
        <v>4</v>
      </c>
      <c r="T667">
        <f t="shared" si="21"/>
        <v>1</v>
      </c>
    </row>
    <row r="668" spans="1:20" x14ac:dyDescent="0.2">
      <c r="A668" t="s">
        <v>714</v>
      </c>
      <c r="B668">
        <f>IF(COUNTIFS('United Data'!$A$3:$A$2150,B$1,'United Data'!$C$3:$C$2150,$A668)&gt;0,1,0)</f>
        <v>0</v>
      </c>
      <c r="C668">
        <f>IF(COUNTIFS('United Data'!$A$3:$A$2150,C$1,'United Data'!$C$3:$C$2150,$A668)&gt;0,1,0)</f>
        <v>0</v>
      </c>
      <c r="D668">
        <f>IF(COUNTIFS('United Data'!$A$3:$A$2150,D$1,'United Data'!$C$3:$C$2150,$A668)&gt;0,1,0)</f>
        <v>0</v>
      </c>
      <c r="E668">
        <f>IF(COUNTIFS('United Data'!$A$3:$A$2150,E$1,'United Data'!$C$3:$C$2150,$A668)&gt;0,1,0)</f>
        <v>1</v>
      </c>
      <c r="F668">
        <f>IF(COUNTIFS('United Data'!$A$3:$A$2150,F$1,'United Data'!$C$3:$C$2150,$A668)&gt;0,1,0)</f>
        <v>1</v>
      </c>
      <c r="G668">
        <f>IF(COUNTIFS('United Data'!$A$3:$A$2150,G$1,'United Data'!$C$3:$C$2150,$A668)&gt;0,1,0)</f>
        <v>0</v>
      </c>
      <c r="H668">
        <f>IF(COUNTIFS('United Data'!$A$3:$A$2150,H$1,'United Data'!$C$3:$C$2150,$A668)&gt;0,1,0)</f>
        <v>0</v>
      </c>
      <c r="I668">
        <f>IF(COUNTIFS('United Data'!$A$3:$A$2150,I$1,'United Data'!$C$3:$C$2150,$A668)&gt;0,1,0)</f>
        <v>0</v>
      </c>
      <c r="J668">
        <f>IF(COUNTIFS('United Data'!$A$3:$A$2150,J$1,'United Data'!$C$3:$C$2150,$A668)&gt;0,1,0)</f>
        <v>0</v>
      </c>
      <c r="K668">
        <f>IF(COUNTIFS('United Data'!$A$3:$A$2150,K$1,'United Data'!$C$3:$C$2150,$A668)&gt;0,1,0)</f>
        <v>0</v>
      </c>
      <c r="L668">
        <f>IF(COUNTIFS('United Data'!$A$3:$A$2150,L$1,'United Data'!$C$3:$C$2150,$A668)&gt;0,1,0)</f>
        <v>0</v>
      </c>
      <c r="M668">
        <f>IF(COUNTIFS('United Data'!$A$3:$A$2150,M$1,'United Data'!$C$3:$C$2150,$A668)&gt;0,1,0)</f>
        <v>0</v>
      </c>
      <c r="N668">
        <f>IF(COUNTIFS('United Data'!$A$3:$A$2150,N$1,'United Data'!$C$3:$C$2150,$A668)&gt;0,1,0)</f>
        <v>0</v>
      </c>
      <c r="O668">
        <f>IF(COUNTIFS('United Data'!$A$3:$A$2150,O$1,'United Data'!$C$3:$C$2150,$A668)&gt;0,1,0)</f>
        <v>0</v>
      </c>
      <c r="P668">
        <f>IF(COUNTIFS('United Data'!$A$3:$A$2150,P$1,'United Data'!$C$3:$C$2150,$A668)&gt;0,1,0)</f>
        <v>0</v>
      </c>
      <c r="Q668">
        <f>IF(COUNTIFS('United Data'!$A$3:$A$2150,Q$1,'United Data'!$C$3:$C$2150,$A668)&gt;0,1,0)</f>
        <v>0</v>
      </c>
      <c r="R668">
        <f>IF(COUNTIFS('United Data'!$A$3:$A$2150,R$1,'United Data'!$C$3:$C$2150,$A668)&gt;0,1,0)</f>
        <v>0</v>
      </c>
      <c r="S668">
        <f t="shared" si="20"/>
        <v>2</v>
      </c>
      <c r="T668">
        <f t="shared" si="21"/>
        <v>1</v>
      </c>
    </row>
    <row r="669" spans="1:20" x14ac:dyDescent="0.2">
      <c r="A669" t="s">
        <v>715</v>
      </c>
      <c r="B669">
        <f>IF(COUNTIFS('United Data'!$A$3:$A$2150,B$1,'United Data'!$C$3:$C$2150,$A669)&gt;0,1,0)</f>
        <v>0</v>
      </c>
      <c r="C669">
        <f>IF(COUNTIFS('United Data'!$A$3:$A$2150,C$1,'United Data'!$C$3:$C$2150,$A669)&gt;0,1,0)</f>
        <v>0</v>
      </c>
      <c r="D669">
        <f>IF(COUNTIFS('United Data'!$A$3:$A$2150,D$1,'United Data'!$C$3:$C$2150,$A669)&gt;0,1,0)</f>
        <v>0</v>
      </c>
      <c r="E669">
        <f>IF(COUNTIFS('United Data'!$A$3:$A$2150,E$1,'United Data'!$C$3:$C$2150,$A669)&gt;0,1,0)</f>
        <v>1</v>
      </c>
      <c r="F669">
        <f>IF(COUNTIFS('United Data'!$A$3:$A$2150,F$1,'United Data'!$C$3:$C$2150,$A669)&gt;0,1,0)</f>
        <v>1</v>
      </c>
      <c r="G669">
        <f>IF(COUNTIFS('United Data'!$A$3:$A$2150,G$1,'United Data'!$C$3:$C$2150,$A669)&gt;0,1,0)</f>
        <v>1</v>
      </c>
      <c r="H669">
        <f>IF(COUNTIFS('United Data'!$A$3:$A$2150,H$1,'United Data'!$C$3:$C$2150,$A669)&gt;0,1,0)</f>
        <v>0</v>
      </c>
      <c r="I669">
        <f>IF(COUNTIFS('United Data'!$A$3:$A$2150,I$1,'United Data'!$C$3:$C$2150,$A669)&gt;0,1,0)</f>
        <v>1</v>
      </c>
      <c r="J669">
        <f>IF(COUNTIFS('United Data'!$A$3:$A$2150,J$1,'United Data'!$C$3:$C$2150,$A669)&gt;0,1,0)</f>
        <v>1</v>
      </c>
      <c r="K669">
        <f>IF(COUNTIFS('United Data'!$A$3:$A$2150,K$1,'United Data'!$C$3:$C$2150,$A669)&gt;0,1,0)</f>
        <v>1</v>
      </c>
      <c r="L669">
        <f>IF(COUNTIFS('United Data'!$A$3:$A$2150,L$1,'United Data'!$C$3:$C$2150,$A669)&gt;0,1,0)</f>
        <v>1</v>
      </c>
      <c r="M669">
        <f>IF(COUNTIFS('United Data'!$A$3:$A$2150,M$1,'United Data'!$C$3:$C$2150,$A669)&gt;0,1,0)</f>
        <v>1</v>
      </c>
      <c r="N669">
        <f>IF(COUNTIFS('United Data'!$A$3:$A$2150,N$1,'United Data'!$C$3:$C$2150,$A669)&gt;0,1,0)</f>
        <v>1</v>
      </c>
      <c r="O669">
        <f>IF(COUNTIFS('United Data'!$A$3:$A$2150,O$1,'United Data'!$C$3:$C$2150,$A669)&gt;0,1,0)</f>
        <v>1</v>
      </c>
      <c r="P669">
        <f>IF(COUNTIFS('United Data'!$A$3:$A$2150,P$1,'United Data'!$C$3:$C$2150,$A669)&gt;0,1,0)</f>
        <v>0</v>
      </c>
      <c r="Q669">
        <f>IF(COUNTIFS('United Data'!$A$3:$A$2150,Q$1,'United Data'!$C$3:$C$2150,$A669)&gt;0,1,0)</f>
        <v>0</v>
      </c>
      <c r="R669">
        <f>IF(COUNTIFS('United Data'!$A$3:$A$2150,R$1,'United Data'!$C$3:$C$2150,$A669)&gt;0,1,0)</f>
        <v>0</v>
      </c>
      <c r="S669">
        <f t="shared" si="20"/>
        <v>10</v>
      </c>
      <c r="T669">
        <f t="shared" si="21"/>
        <v>2</v>
      </c>
    </row>
    <row r="670" spans="1:20" x14ac:dyDescent="0.2">
      <c r="A670" t="s">
        <v>716</v>
      </c>
      <c r="B670">
        <f>IF(COUNTIFS('United Data'!$A$3:$A$2150,B$1,'United Data'!$C$3:$C$2150,$A670)&gt;0,1,0)</f>
        <v>0</v>
      </c>
      <c r="C670">
        <f>IF(COUNTIFS('United Data'!$A$3:$A$2150,C$1,'United Data'!$C$3:$C$2150,$A670)&gt;0,1,0)</f>
        <v>0</v>
      </c>
      <c r="D670">
        <f>IF(COUNTIFS('United Data'!$A$3:$A$2150,D$1,'United Data'!$C$3:$C$2150,$A670)&gt;0,1,0)</f>
        <v>0</v>
      </c>
      <c r="E670">
        <f>IF(COUNTIFS('United Data'!$A$3:$A$2150,E$1,'United Data'!$C$3:$C$2150,$A670)&gt;0,1,0)</f>
        <v>1</v>
      </c>
      <c r="F670">
        <f>IF(COUNTIFS('United Data'!$A$3:$A$2150,F$1,'United Data'!$C$3:$C$2150,$A670)&gt;0,1,0)</f>
        <v>1</v>
      </c>
      <c r="G670">
        <f>IF(COUNTIFS('United Data'!$A$3:$A$2150,G$1,'United Data'!$C$3:$C$2150,$A670)&gt;0,1,0)</f>
        <v>0</v>
      </c>
      <c r="H670">
        <f>IF(COUNTIFS('United Data'!$A$3:$A$2150,H$1,'United Data'!$C$3:$C$2150,$A670)&gt;0,1,0)</f>
        <v>0</v>
      </c>
      <c r="I670">
        <f>IF(COUNTIFS('United Data'!$A$3:$A$2150,I$1,'United Data'!$C$3:$C$2150,$A670)&gt;0,1,0)</f>
        <v>0</v>
      </c>
      <c r="J670">
        <f>IF(COUNTIFS('United Data'!$A$3:$A$2150,J$1,'United Data'!$C$3:$C$2150,$A670)&gt;0,1,0)</f>
        <v>0</v>
      </c>
      <c r="K670">
        <f>IF(COUNTIFS('United Data'!$A$3:$A$2150,K$1,'United Data'!$C$3:$C$2150,$A670)&gt;0,1,0)</f>
        <v>0</v>
      </c>
      <c r="L670">
        <f>IF(COUNTIFS('United Data'!$A$3:$A$2150,L$1,'United Data'!$C$3:$C$2150,$A670)&gt;0,1,0)</f>
        <v>0</v>
      </c>
      <c r="M670">
        <f>IF(COUNTIFS('United Data'!$A$3:$A$2150,M$1,'United Data'!$C$3:$C$2150,$A670)&gt;0,1,0)</f>
        <v>0</v>
      </c>
      <c r="N670">
        <f>IF(COUNTIFS('United Data'!$A$3:$A$2150,N$1,'United Data'!$C$3:$C$2150,$A670)&gt;0,1,0)</f>
        <v>0</v>
      </c>
      <c r="O670">
        <f>IF(COUNTIFS('United Data'!$A$3:$A$2150,O$1,'United Data'!$C$3:$C$2150,$A670)&gt;0,1,0)</f>
        <v>0</v>
      </c>
      <c r="P670">
        <f>IF(COUNTIFS('United Data'!$A$3:$A$2150,P$1,'United Data'!$C$3:$C$2150,$A670)&gt;0,1,0)</f>
        <v>0</v>
      </c>
      <c r="Q670">
        <f>IF(COUNTIFS('United Data'!$A$3:$A$2150,Q$1,'United Data'!$C$3:$C$2150,$A670)&gt;0,1,0)</f>
        <v>0</v>
      </c>
      <c r="R670">
        <f>IF(COUNTIFS('United Data'!$A$3:$A$2150,R$1,'United Data'!$C$3:$C$2150,$A670)&gt;0,1,0)</f>
        <v>0</v>
      </c>
      <c r="S670">
        <f t="shared" si="20"/>
        <v>2</v>
      </c>
      <c r="T670">
        <f t="shared" si="21"/>
        <v>1</v>
      </c>
    </row>
    <row r="671" spans="1:20" x14ac:dyDescent="0.2">
      <c r="A671" t="s">
        <v>717</v>
      </c>
      <c r="B671">
        <f>IF(COUNTIFS('United Data'!$A$3:$A$2150,B$1,'United Data'!$C$3:$C$2150,$A671)&gt;0,1,0)</f>
        <v>0</v>
      </c>
      <c r="C671">
        <f>IF(COUNTIFS('United Data'!$A$3:$A$2150,C$1,'United Data'!$C$3:$C$2150,$A671)&gt;0,1,0)</f>
        <v>0</v>
      </c>
      <c r="D671">
        <f>IF(COUNTIFS('United Data'!$A$3:$A$2150,D$1,'United Data'!$C$3:$C$2150,$A671)&gt;0,1,0)</f>
        <v>0</v>
      </c>
      <c r="E671">
        <f>IF(COUNTIFS('United Data'!$A$3:$A$2150,E$1,'United Data'!$C$3:$C$2150,$A671)&gt;0,1,0)</f>
        <v>1</v>
      </c>
      <c r="F671">
        <f>IF(COUNTIFS('United Data'!$A$3:$A$2150,F$1,'United Data'!$C$3:$C$2150,$A671)&gt;0,1,0)</f>
        <v>1</v>
      </c>
      <c r="G671">
        <f>IF(COUNTIFS('United Data'!$A$3:$A$2150,G$1,'United Data'!$C$3:$C$2150,$A671)&gt;0,1,0)</f>
        <v>0</v>
      </c>
      <c r="H671">
        <f>IF(COUNTIFS('United Data'!$A$3:$A$2150,H$1,'United Data'!$C$3:$C$2150,$A671)&gt;0,1,0)</f>
        <v>0</v>
      </c>
      <c r="I671">
        <f>IF(COUNTIFS('United Data'!$A$3:$A$2150,I$1,'United Data'!$C$3:$C$2150,$A671)&gt;0,1,0)</f>
        <v>0</v>
      </c>
      <c r="J671">
        <f>IF(COUNTIFS('United Data'!$A$3:$A$2150,J$1,'United Data'!$C$3:$C$2150,$A671)&gt;0,1,0)</f>
        <v>0</v>
      </c>
      <c r="K671">
        <f>IF(COUNTIFS('United Data'!$A$3:$A$2150,K$1,'United Data'!$C$3:$C$2150,$A671)&gt;0,1,0)</f>
        <v>0</v>
      </c>
      <c r="L671">
        <f>IF(COUNTIFS('United Data'!$A$3:$A$2150,L$1,'United Data'!$C$3:$C$2150,$A671)&gt;0,1,0)</f>
        <v>0</v>
      </c>
      <c r="M671">
        <f>IF(COUNTIFS('United Data'!$A$3:$A$2150,M$1,'United Data'!$C$3:$C$2150,$A671)&gt;0,1,0)</f>
        <v>0</v>
      </c>
      <c r="N671">
        <f>IF(COUNTIFS('United Data'!$A$3:$A$2150,N$1,'United Data'!$C$3:$C$2150,$A671)&gt;0,1,0)</f>
        <v>0</v>
      </c>
      <c r="O671">
        <f>IF(COUNTIFS('United Data'!$A$3:$A$2150,O$1,'United Data'!$C$3:$C$2150,$A671)&gt;0,1,0)</f>
        <v>0</v>
      </c>
      <c r="P671">
        <f>IF(COUNTIFS('United Data'!$A$3:$A$2150,P$1,'United Data'!$C$3:$C$2150,$A671)&gt;0,1,0)</f>
        <v>0</v>
      </c>
      <c r="Q671">
        <f>IF(COUNTIFS('United Data'!$A$3:$A$2150,Q$1,'United Data'!$C$3:$C$2150,$A671)&gt;0,1,0)</f>
        <v>0</v>
      </c>
      <c r="R671">
        <f>IF(COUNTIFS('United Data'!$A$3:$A$2150,R$1,'United Data'!$C$3:$C$2150,$A671)&gt;0,1,0)</f>
        <v>0</v>
      </c>
      <c r="S671">
        <f t="shared" si="20"/>
        <v>2</v>
      </c>
      <c r="T671">
        <f t="shared" si="21"/>
        <v>1</v>
      </c>
    </row>
    <row r="672" spans="1:20" x14ac:dyDescent="0.2">
      <c r="A672" t="s">
        <v>718</v>
      </c>
      <c r="B672">
        <f>IF(COUNTIFS('United Data'!$A$3:$A$2150,B$1,'United Data'!$C$3:$C$2150,$A672)&gt;0,1,0)</f>
        <v>0</v>
      </c>
      <c r="C672">
        <f>IF(COUNTIFS('United Data'!$A$3:$A$2150,C$1,'United Data'!$C$3:$C$2150,$A672)&gt;0,1,0)</f>
        <v>0</v>
      </c>
      <c r="D672">
        <f>IF(COUNTIFS('United Data'!$A$3:$A$2150,D$1,'United Data'!$C$3:$C$2150,$A672)&gt;0,1,0)</f>
        <v>0</v>
      </c>
      <c r="E672">
        <f>IF(COUNTIFS('United Data'!$A$3:$A$2150,E$1,'United Data'!$C$3:$C$2150,$A672)&gt;0,1,0)</f>
        <v>1</v>
      </c>
      <c r="F672">
        <f>IF(COUNTIFS('United Data'!$A$3:$A$2150,F$1,'United Data'!$C$3:$C$2150,$A672)&gt;0,1,0)</f>
        <v>1</v>
      </c>
      <c r="G672">
        <f>IF(COUNTIFS('United Data'!$A$3:$A$2150,G$1,'United Data'!$C$3:$C$2150,$A672)&gt;0,1,0)</f>
        <v>0</v>
      </c>
      <c r="H672">
        <f>IF(COUNTIFS('United Data'!$A$3:$A$2150,H$1,'United Data'!$C$3:$C$2150,$A672)&gt;0,1,0)</f>
        <v>0</v>
      </c>
      <c r="I672">
        <f>IF(COUNTIFS('United Data'!$A$3:$A$2150,I$1,'United Data'!$C$3:$C$2150,$A672)&gt;0,1,0)</f>
        <v>0</v>
      </c>
      <c r="J672">
        <f>IF(COUNTIFS('United Data'!$A$3:$A$2150,J$1,'United Data'!$C$3:$C$2150,$A672)&gt;0,1,0)</f>
        <v>0</v>
      </c>
      <c r="K672">
        <f>IF(COUNTIFS('United Data'!$A$3:$A$2150,K$1,'United Data'!$C$3:$C$2150,$A672)&gt;0,1,0)</f>
        <v>0</v>
      </c>
      <c r="L672">
        <f>IF(COUNTIFS('United Data'!$A$3:$A$2150,L$1,'United Data'!$C$3:$C$2150,$A672)&gt;0,1,0)</f>
        <v>0</v>
      </c>
      <c r="M672">
        <f>IF(COUNTIFS('United Data'!$A$3:$A$2150,M$1,'United Data'!$C$3:$C$2150,$A672)&gt;0,1,0)</f>
        <v>0</v>
      </c>
      <c r="N672">
        <f>IF(COUNTIFS('United Data'!$A$3:$A$2150,N$1,'United Data'!$C$3:$C$2150,$A672)&gt;0,1,0)</f>
        <v>0</v>
      </c>
      <c r="O672">
        <f>IF(COUNTIFS('United Data'!$A$3:$A$2150,O$1,'United Data'!$C$3:$C$2150,$A672)&gt;0,1,0)</f>
        <v>0</v>
      </c>
      <c r="P672">
        <f>IF(COUNTIFS('United Data'!$A$3:$A$2150,P$1,'United Data'!$C$3:$C$2150,$A672)&gt;0,1,0)</f>
        <v>0</v>
      </c>
      <c r="Q672">
        <f>IF(COUNTIFS('United Data'!$A$3:$A$2150,Q$1,'United Data'!$C$3:$C$2150,$A672)&gt;0,1,0)</f>
        <v>0</v>
      </c>
      <c r="R672">
        <f>IF(COUNTIFS('United Data'!$A$3:$A$2150,R$1,'United Data'!$C$3:$C$2150,$A672)&gt;0,1,0)</f>
        <v>0</v>
      </c>
      <c r="S672">
        <f t="shared" si="20"/>
        <v>2</v>
      </c>
      <c r="T672">
        <f t="shared" si="21"/>
        <v>1</v>
      </c>
    </row>
    <row r="673" spans="1:20" x14ac:dyDescent="0.2">
      <c r="A673" t="s">
        <v>719</v>
      </c>
      <c r="B673">
        <f>IF(COUNTIFS('United Data'!$A$3:$A$2150,B$1,'United Data'!$C$3:$C$2150,$A673)&gt;0,1,0)</f>
        <v>0</v>
      </c>
      <c r="C673">
        <f>IF(COUNTIFS('United Data'!$A$3:$A$2150,C$1,'United Data'!$C$3:$C$2150,$A673)&gt;0,1,0)</f>
        <v>0</v>
      </c>
      <c r="D673">
        <f>IF(COUNTIFS('United Data'!$A$3:$A$2150,D$1,'United Data'!$C$3:$C$2150,$A673)&gt;0,1,0)</f>
        <v>0</v>
      </c>
      <c r="E673">
        <f>IF(COUNTIFS('United Data'!$A$3:$A$2150,E$1,'United Data'!$C$3:$C$2150,$A673)&gt;0,1,0)</f>
        <v>1</v>
      </c>
      <c r="F673">
        <f>IF(COUNTIFS('United Data'!$A$3:$A$2150,F$1,'United Data'!$C$3:$C$2150,$A673)&gt;0,1,0)</f>
        <v>1</v>
      </c>
      <c r="G673">
        <f>IF(COUNTIFS('United Data'!$A$3:$A$2150,G$1,'United Data'!$C$3:$C$2150,$A673)&gt;0,1,0)</f>
        <v>0</v>
      </c>
      <c r="H673">
        <f>IF(COUNTIFS('United Data'!$A$3:$A$2150,H$1,'United Data'!$C$3:$C$2150,$A673)&gt;0,1,0)</f>
        <v>0</v>
      </c>
      <c r="I673">
        <f>IF(COUNTIFS('United Data'!$A$3:$A$2150,I$1,'United Data'!$C$3:$C$2150,$A673)&gt;0,1,0)</f>
        <v>0</v>
      </c>
      <c r="J673">
        <f>IF(COUNTIFS('United Data'!$A$3:$A$2150,J$1,'United Data'!$C$3:$C$2150,$A673)&gt;0,1,0)</f>
        <v>0</v>
      </c>
      <c r="K673">
        <f>IF(COUNTIFS('United Data'!$A$3:$A$2150,K$1,'United Data'!$C$3:$C$2150,$A673)&gt;0,1,0)</f>
        <v>0</v>
      </c>
      <c r="L673">
        <f>IF(COUNTIFS('United Data'!$A$3:$A$2150,L$1,'United Data'!$C$3:$C$2150,$A673)&gt;0,1,0)</f>
        <v>0</v>
      </c>
      <c r="M673">
        <f>IF(COUNTIFS('United Data'!$A$3:$A$2150,M$1,'United Data'!$C$3:$C$2150,$A673)&gt;0,1,0)</f>
        <v>0</v>
      </c>
      <c r="N673">
        <f>IF(COUNTIFS('United Data'!$A$3:$A$2150,N$1,'United Data'!$C$3:$C$2150,$A673)&gt;0,1,0)</f>
        <v>0</v>
      </c>
      <c r="O673">
        <f>IF(COUNTIFS('United Data'!$A$3:$A$2150,O$1,'United Data'!$C$3:$C$2150,$A673)&gt;0,1,0)</f>
        <v>0</v>
      </c>
      <c r="P673">
        <f>IF(COUNTIFS('United Data'!$A$3:$A$2150,P$1,'United Data'!$C$3:$C$2150,$A673)&gt;0,1,0)</f>
        <v>0</v>
      </c>
      <c r="Q673">
        <f>IF(COUNTIFS('United Data'!$A$3:$A$2150,Q$1,'United Data'!$C$3:$C$2150,$A673)&gt;0,1,0)</f>
        <v>0</v>
      </c>
      <c r="R673">
        <f>IF(COUNTIFS('United Data'!$A$3:$A$2150,R$1,'United Data'!$C$3:$C$2150,$A673)&gt;0,1,0)</f>
        <v>0</v>
      </c>
      <c r="S673">
        <f t="shared" si="20"/>
        <v>2</v>
      </c>
      <c r="T673">
        <f t="shared" si="21"/>
        <v>1</v>
      </c>
    </row>
    <row r="674" spans="1:20" x14ac:dyDescent="0.2">
      <c r="A674" t="s">
        <v>720</v>
      </c>
      <c r="B674">
        <f>IF(COUNTIFS('United Data'!$A$3:$A$2150,B$1,'United Data'!$C$3:$C$2150,$A674)&gt;0,1,0)</f>
        <v>0</v>
      </c>
      <c r="C674">
        <f>IF(COUNTIFS('United Data'!$A$3:$A$2150,C$1,'United Data'!$C$3:$C$2150,$A674)&gt;0,1,0)</f>
        <v>0</v>
      </c>
      <c r="D674">
        <f>IF(COUNTIFS('United Data'!$A$3:$A$2150,D$1,'United Data'!$C$3:$C$2150,$A674)&gt;0,1,0)</f>
        <v>0</v>
      </c>
      <c r="E674">
        <f>IF(COUNTIFS('United Data'!$A$3:$A$2150,E$1,'United Data'!$C$3:$C$2150,$A674)&gt;0,1,0)</f>
        <v>1</v>
      </c>
      <c r="F674">
        <f>IF(COUNTIFS('United Data'!$A$3:$A$2150,F$1,'United Data'!$C$3:$C$2150,$A674)&gt;0,1,0)</f>
        <v>1</v>
      </c>
      <c r="G674">
        <f>IF(COUNTIFS('United Data'!$A$3:$A$2150,G$1,'United Data'!$C$3:$C$2150,$A674)&gt;0,1,0)</f>
        <v>0</v>
      </c>
      <c r="H674">
        <f>IF(COUNTIFS('United Data'!$A$3:$A$2150,H$1,'United Data'!$C$3:$C$2150,$A674)&gt;0,1,0)</f>
        <v>0</v>
      </c>
      <c r="I674">
        <f>IF(COUNTIFS('United Data'!$A$3:$A$2150,I$1,'United Data'!$C$3:$C$2150,$A674)&gt;0,1,0)</f>
        <v>0</v>
      </c>
      <c r="J674">
        <f>IF(COUNTIFS('United Data'!$A$3:$A$2150,J$1,'United Data'!$C$3:$C$2150,$A674)&gt;0,1,0)</f>
        <v>0</v>
      </c>
      <c r="K674">
        <f>IF(COUNTIFS('United Data'!$A$3:$A$2150,K$1,'United Data'!$C$3:$C$2150,$A674)&gt;0,1,0)</f>
        <v>0</v>
      </c>
      <c r="L674">
        <f>IF(COUNTIFS('United Data'!$A$3:$A$2150,L$1,'United Data'!$C$3:$C$2150,$A674)&gt;0,1,0)</f>
        <v>0</v>
      </c>
      <c r="M674">
        <f>IF(COUNTIFS('United Data'!$A$3:$A$2150,M$1,'United Data'!$C$3:$C$2150,$A674)&gt;0,1,0)</f>
        <v>0</v>
      </c>
      <c r="N674">
        <f>IF(COUNTIFS('United Data'!$A$3:$A$2150,N$1,'United Data'!$C$3:$C$2150,$A674)&gt;0,1,0)</f>
        <v>0</v>
      </c>
      <c r="O674">
        <f>IF(COUNTIFS('United Data'!$A$3:$A$2150,O$1,'United Data'!$C$3:$C$2150,$A674)&gt;0,1,0)</f>
        <v>0</v>
      </c>
      <c r="P674">
        <f>IF(COUNTIFS('United Data'!$A$3:$A$2150,P$1,'United Data'!$C$3:$C$2150,$A674)&gt;0,1,0)</f>
        <v>0</v>
      </c>
      <c r="Q674">
        <f>IF(COUNTIFS('United Data'!$A$3:$A$2150,Q$1,'United Data'!$C$3:$C$2150,$A674)&gt;0,1,0)</f>
        <v>0</v>
      </c>
      <c r="R674">
        <f>IF(COUNTIFS('United Data'!$A$3:$A$2150,R$1,'United Data'!$C$3:$C$2150,$A674)&gt;0,1,0)</f>
        <v>0</v>
      </c>
      <c r="S674">
        <f t="shared" si="20"/>
        <v>2</v>
      </c>
      <c r="T674">
        <f t="shared" si="21"/>
        <v>1</v>
      </c>
    </row>
    <row r="675" spans="1:20" x14ac:dyDescent="0.2">
      <c r="A675" t="s">
        <v>721</v>
      </c>
      <c r="B675">
        <f>IF(COUNTIFS('United Data'!$A$3:$A$2150,B$1,'United Data'!$C$3:$C$2150,$A675)&gt;0,1,0)</f>
        <v>0</v>
      </c>
      <c r="C675">
        <f>IF(COUNTIFS('United Data'!$A$3:$A$2150,C$1,'United Data'!$C$3:$C$2150,$A675)&gt;0,1,0)</f>
        <v>0</v>
      </c>
      <c r="D675">
        <f>IF(COUNTIFS('United Data'!$A$3:$A$2150,D$1,'United Data'!$C$3:$C$2150,$A675)&gt;0,1,0)</f>
        <v>0</v>
      </c>
      <c r="E675">
        <f>IF(COUNTIFS('United Data'!$A$3:$A$2150,E$1,'United Data'!$C$3:$C$2150,$A675)&gt;0,1,0)</f>
        <v>0</v>
      </c>
      <c r="F675">
        <f>IF(COUNTIFS('United Data'!$A$3:$A$2150,F$1,'United Data'!$C$3:$C$2150,$A675)&gt;0,1,0)</f>
        <v>0</v>
      </c>
      <c r="G675">
        <f>IF(COUNTIFS('United Data'!$A$3:$A$2150,G$1,'United Data'!$C$3:$C$2150,$A675)&gt;0,1,0)</f>
        <v>1</v>
      </c>
      <c r="H675">
        <f>IF(COUNTIFS('United Data'!$A$3:$A$2150,H$1,'United Data'!$C$3:$C$2150,$A675)&gt;0,1,0)</f>
        <v>0</v>
      </c>
      <c r="I675">
        <f>IF(COUNTIFS('United Data'!$A$3:$A$2150,I$1,'United Data'!$C$3:$C$2150,$A675)&gt;0,1,0)</f>
        <v>0</v>
      </c>
      <c r="J675">
        <f>IF(COUNTIFS('United Data'!$A$3:$A$2150,J$1,'United Data'!$C$3:$C$2150,$A675)&gt;0,1,0)</f>
        <v>0</v>
      </c>
      <c r="K675">
        <f>IF(COUNTIFS('United Data'!$A$3:$A$2150,K$1,'United Data'!$C$3:$C$2150,$A675)&gt;0,1,0)</f>
        <v>0</v>
      </c>
      <c r="L675">
        <f>IF(COUNTIFS('United Data'!$A$3:$A$2150,L$1,'United Data'!$C$3:$C$2150,$A675)&gt;0,1,0)</f>
        <v>0</v>
      </c>
      <c r="M675">
        <f>IF(COUNTIFS('United Data'!$A$3:$A$2150,M$1,'United Data'!$C$3:$C$2150,$A675)&gt;0,1,0)</f>
        <v>0</v>
      </c>
      <c r="N675">
        <f>IF(COUNTIFS('United Data'!$A$3:$A$2150,N$1,'United Data'!$C$3:$C$2150,$A675)&gt;0,1,0)</f>
        <v>0</v>
      </c>
      <c r="O675">
        <f>IF(COUNTIFS('United Data'!$A$3:$A$2150,O$1,'United Data'!$C$3:$C$2150,$A675)&gt;0,1,0)</f>
        <v>0</v>
      </c>
      <c r="P675">
        <f>IF(COUNTIFS('United Data'!$A$3:$A$2150,P$1,'United Data'!$C$3:$C$2150,$A675)&gt;0,1,0)</f>
        <v>0</v>
      </c>
      <c r="Q675">
        <f>IF(COUNTIFS('United Data'!$A$3:$A$2150,Q$1,'United Data'!$C$3:$C$2150,$A675)&gt;0,1,0)</f>
        <v>0</v>
      </c>
      <c r="R675">
        <f>IF(COUNTIFS('United Data'!$A$3:$A$2150,R$1,'United Data'!$C$3:$C$2150,$A675)&gt;0,1,0)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722</v>
      </c>
      <c r="B676">
        <f>IF(COUNTIFS('United Data'!$A$3:$A$2150,B$1,'United Data'!$C$3:$C$2150,$A676)&gt;0,1,0)</f>
        <v>0</v>
      </c>
      <c r="C676">
        <f>IF(COUNTIFS('United Data'!$A$3:$A$2150,C$1,'United Data'!$C$3:$C$2150,$A676)&gt;0,1,0)</f>
        <v>0</v>
      </c>
      <c r="D676">
        <f>IF(COUNTIFS('United Data'!$A$3:$A$2150,D$1,'United Data'!$C$3:$C$2150,$A676)&gt;0,1,0)</f>
        <v>0</v>
      </c>
      <c r="E676">
        <f>IF(COUNTIFS('United Data'!$A$3:$A$2150,E$1,'United Data'!$C$3:$C$2150,$A676)&gt;0,1,0)</f>
        <v>0</v>
      </c>
      <c r="F676">
        <f>IF(COUNTIFS('United Data'!$A$3:$A$2150,F$1,'United Data'!$C$3:$C$2150,$A676)&gt;0,1,0)</f>
        <v>0</v>
      </c>
      <c r="G676">
        <f>IF(COUNTIFS('United Data'!$A$3:$A$2150,G$1,'United Data'!$C$3:$C$2150,$A676)&gt;0,1,0)</f>
        <v>1</v>
      </c>
      <c r="H676">
        <f>IF(COUNTIFS('United Data'!$A$3:$A$2150,H$1,'United Data'!$C$3:$C$2150,$A676)&gt;0,1,0)</f>
        <v>0</v>
      </c>
      <c r="I676">
        <f>IF(COUNTIFS('United Data'!$A$3:$A$2150,I$1,'United Data'!$C$3:$C$2150,$A676)&gt;0,1,0)</f>
        <v>0</v>
      </c>
      <c r="J676">
        <f>IF(COUNTIFS('United Data'!$A$3:$A$2150,J$1,'United Data'!$C$3:$C$2150,$A676)&gt;0,1,0)</f>
        <v>0</v>
      </c>
      <c r="K676">
        <f>IF(COUNTIFS('United Data'!$A$3:$A$2150,K$1,'United Data'!$C$3:$C$2150,$A676)&gt;0,1,0)</f>
        <v>0</v>
      </c>
      <c r="L676">
        <f>IF(COUNTIFS('United Data'!$A$3:$A$2150,L$1,'United Data'!$C$3:$C$2150,$A676)&gt;0,1,0)</f>
        <v>0</v>
      </c>
      <c r="M676">
        <f>IF(COUNTIFS('United Data'!$A$3:$A$2150,M$1,'United Data'!$C$3:$C$2150,$A676)&gt;0,1,0)</f>
        <v>0</v>
      </c>
      <c r="N676">
        <f>IF(COUNTIFS('United Data'!$A$3:$A$2150,N$1,'United Data'!$C$3:$C$2150,$A676)&gt;0,1,0)</f>
        <v>0</v>
      </c>
      <c r="O676">
        <f>IF(COUNTIFS('United Data'!$A$3:$A$2150,O$1,'United Data'!$C$3:$C$2150,$A676)&gt;0,1,0)</f>
        <v>0</v>
      </c>
      <c r="P676">
        <f>IF(COUNTIFS('United Data'!$A$3:$A$2150,P$1,'United Data'!$C$3:$C$2150,$A676)&gt;0,1,0)</f>
        <v>0</v>
      </c>
      <c r="Q676">
        <f>IF(COUNTIFS('United Data'!$A$3:$A$2150,Q$1,'United Data'!$C$3:$C$2150,$A676)&gt;0,1,0)</f>
        <v>0</v>
      </c>
      <c r="R676">
        <f>IF(COUNTIFS('United Data'!$A$3:$A$2150,R$1,'United Data'!$C$3:$C$2150,$A676)&gt;0,1,0)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723</v>
      </c>
      <c r="B677">
        <f>IF(COUNTIFS('United Data'!$A$3:$A$2150,B$1,'United Data'!$C$3:$C$2150,$A677)&gt;0,1,0)</f>
        <v>0</v>
      </c>
      <c r="C677">
        <f>IF(COUNTIFS('United Data'!$A$3:$A$2150,C$1,'United Data'!$C$3:$C$2150,$A677)&gt;0,1,0)</f>
        <v>0</v>
      </c>
      <c r="D677">
        <f>IF(COUNTIFS('United Data'!$A$3:$A$2150,D$1,'United Data'!$C$3:$C$2150,$A677)&gt;0,1,0)</f>
        <v>0</v>
      </c>
      <c r="E677">
        <f>IF(COUNTIFS('United Data'!$A$3:$A$2150,E$1,'United Data'!$C$3:$C$2150,$A677)&gt;0,1,0)</f>
        <v>0</v>
      </c>
      <c r="F677">
        <f>IF(COUNTIFS('United Data'!$A$3:$A$2150,F$1,'United Data'!$C$3:$C$2150,$A677)&gt;0,1,0)</f>
        <v>0</v>
      </c>
      <c r="G677">
        <f>IF(COUNTIFS('United Data'!$A$3:$A$2150,G$1,'United Data'!$C$3:$C$2150,$A677)&gt;0,1,0)</f>
        <v>1</v>
      </c>
      <c r="H677">
        <f>IF(COUNTIFS('United Data'!$A$3:$A$2150,H$1,'United Data'!$C$3:$C$2150,$A677)&gt;0,1,0)</f>
        <v>1</v>
      </c>
      <c r="I677">
        <f>IF(COUNTIFS('United Data'!$A$3:$A$2150,I$1,'United Data'!$C$3:$C$2150,$A677)&gt;0,1,0)</f>
        <v>1</v>
      </c>
      <c r="J677">
        <f>IF(COUNTIFS('United Data'!$A$3:$A$2150,J$1,'United Data'!$C$3:$C$2150,$A677)&gt;0,1,0)</f>
        <v>1</v>
      </c>
      <c r="K677">
        <f>IF(COUNTIFS('United Data'!$A$3:$A$2150,K$1,'United Data'!$C$3:$C$2150,$A677)&gt;0,1,0)</f>
        <v>1</v>
      </c>
      <c r="L677">
        <f>IF(COUNTIFS('United Data'!$A$3:$A$2150,L$1,'United Data'!$C$3:$C$2150,$A677)&gt;0,1,0)</f>
        <v>1</v>
      </c>
      <c r="M677">
        <f>IF(COUNTIFS('United Data'!$A$3:$A$2150,M$1,'United Data'!$C$3:$C$2150,$A677)&gt;0,1,0)</f>
        <v>0</v>
      </c>
      <c r="N677">
        <f>IF(COUNTIFS('United Data'!$A$3:$A$2150,N$1,'United Data'!$C$3:$C$2150,$A677)&gt;0,1,0)</f>
        <v>0</v>
      </c>
      <c r="O677">
        <f>IF(COUNTIFS('United Data'!$A$3:$A$2150,O$1,'United Data'!$C$3:$C$2150,$A677)&gt;0,1,0)</f>
        <v>0</v>
      </c>
      <c r="P677">
        <f>IF(COUNTIFS('United Data'!$A$3:$A$2150,P$1,'United Data'!$C$3:$C$2150,$A677)&gt;0,1,0)</f>
        <v>0</v>
      </c>
      <c r="Q677">
        <f>IF(COUNTIFS('United Data'!$A$3:$A$2150,Q$1,'United Data'!$C$3:$C$2150,$A677)&gt;0,1,0)</f>
        <v>0</v>
      </c>
      <c r="R677">
        <f>IF(COUNTIFS('United Data'!$A$3:$A$2150,R$1,'United Data'!$C$3:$C$2150,$A677)&gt;0,1,0)</f>
        <v>0</v>
      </c>
      <c r="S677">
        <f t="shared" si="20"/>
        <v>6</v>
      </c>
      <c r="T677">
        <f t="shared" si="21"/>
        <v>1</v>
      </c>
    </row>
    <row r="678" spans="1:20" x14ac:dyDescent="0.2">
      <c r="A678" t="s">
        <v>724</v>
      </c>
      <c r="B678">
        <f>IF(COUNTIFS('United Data'!$A$3:$A$2150,B$1,'United Data'!$C$3:$C$2150,$A678)&gt;0,1,0)</f>
        <v>0</v>
      </c>
      <c r="C678">
        <f>IF(COUNTIFS('United Data'!$A$3:$A$2150,C$1,'United Data'!$C$3:$C$2150,$A678)&gt;0,1,0)</f>
        <v>0</v>
      </c>
      <c r="D678">
        <f>IF(COUNTIFS('United Data'!$A$3:$A$2150,D$1,'United Data'!$C$3:$C$2150,$A678)&gt;0,1,0)</f>
        <v>0</v>
      </c>
      <c r="E678">
        <f>IF(COUNTIFS('United Data'!$A$3:$A$2150,E$1,'United Data'!$C$3:$C$2150,$A678)&gt;0,1,0)</f>
        <v>0</v>
      </c>
      <c r="F678">
        <f>IF(COUNTIFS('United Data'!$A$3:$A$2150,F$1,'United Data'!$C$3:$C$2150,$A678)&gt;0,1,0)</f>
        <v>0</v>
      </c>
      <c r="G678">
        <f>IF(COUNTIFS('United Data'!$A$3:$A$2150,G$1,'United Data'!$C$3:$C$2150,$A678)&gt;0,1,0)</f>
        <v>1</v>
      </c>
      <c r="H678">
        <f>IF(COUNTIFS('United Data'!$A$3:$A$2150,H$1,'United Data'!$C$3:$C$2150,$A678)&gt;0,1,0)</f>
        <v>1</v>
      </c>
      <c r="I678">
        <f>IF(COUNTIFS('United Data'!$A$3:$A$2150,I$1,'United Data'!$C$3:$C$2150,$A678)&gt;0,1,0)</f>
        <v>1</v>
      </c>
      <c r="J678">
        <f>IF(COUNTIFS('United Data'!$A$3:$A$2150,J$1,'United Data'!$C$3:$C$2150,$A678)&gt;0,1,0)</f>
        <v>0</v>
      </c>
      <c r="K678">
        <f>IF(COUNTIFS('United Data'!$A$3:$A$2150,K$1,'United Data'!$C$3:$C$2150,$A678)&gt;0,1,0)</f>
        <v>0</v>
      </c>
      <c r="L678">
        <f>IF(COUNTIFS('United Data'!$A$3:$A$2150,L$1,'United Data'!$C$3:$C$2150,$A678)&gt;0,1,0)</f>
        <v>0</v>
      </c>
      <c r="M678">
        <f>IF(COUNTIFS('United Data'!$A$3:$A$2150,M$1,'United Data'!$C$3:$C$2150,$A678)&gt;0,1,0)</f>
        <v>0</v>
      </c>
      <c r="N678">
        <f>IF(COUNTIFS('United Data'!$A$3:$A$2150,N$1,'United Data'!$C$3:$C$2150,$A678)&gt;0,1,0)</f>
        <v>0</v>
      </c>
      <c r="O678">
        <f>IF(COUNTIFS('United Data'!$A$3:$A$2150,O$1,'United Data'!$C$3:$C$2150,$A678)&gt;0,1,0)</f>
        <v>0</v>
      </c>
      <c r="P678">
        <f>IF(COUNTIFS('United Data'!$A$3:$A$2150,P$1,'United Data'!$C$3:$C$2150,$A678)&gt;0,1,0)</f>
        <v>0</v>
      </c>
      <c r="Q678">
        <f>IF(COUNTIFS('United Data'!$A$3:$A$2150,Q$1,'United Data'!$C$3:$C$2150,$A678)&gt;0,1,0)</f>
        <v>0</v>
      </c>
      <c r="R678">
        <f>IF(COUNTIFS('United Data'!$A$3:$A$2150,R$1,'United Data'!$C$3:$C$2150,$A678)&gt;0,1,0)</f>
        <v>0</v>
      </c>
      <c r="S678">
        <f t="shared" si="20"/>
        <v>3</v>
      </c>
      <c r="T678">
        <f t="shared" si="21"/>
        <v>1</v>
      </c>
    </row>
    <row r="679" spans="1:20" x14ac:dyDescent="0.2">
      <c r="A679" t="s">
        <v>725</v>
      </c>
      <c r="B679">
        <f>IF(COUNTIFS('United Data'!$A$3:$A$2150,B$1,'United Data'!$C$3:$C$2150,$A679)&gt;0,1,0)</f>
        <v>0</v>
      </c>
      <c r="C679">
        <f>IF(COUNTIFS('United Data'!$A$3:$A$2150,C$1,'United Data'!$C$3:$C$2150,$A679)&gt;0,1,0)</f>
        <v>0</v>
      </c>
      <c r="D679">
        <f>IF(COUNTIFS('United Data'!$A$3:$A$2150,D$1,'United Data'!$C$3:$C$2150,$A679)&gt;0,1,0)</f>
        <v>0</v>
      </c>
      <c r="E679">
        <f>IF(COUNTIFS('United Data'!$A$3:$A$2150,E$1,'United Data'!$C$3:$C$2150,$A679)&gt;0,1,0)</f>
        <v>0</v>
      </c>
      <c r="F679">
        <f>IF(COUNTIFS('United Data'!$A$3:$A$2150,F$1,'United Data'!$C$3:$C$2150,$A679)&gt;0,1,0)</f>
        <v>0</v>
      </c>
      <c r="G679">
        <f>IF(COUNTIFS('United Data'!$A$3:$A$2150,G$1,'United Data'!$C$3:$C$2150,$A679)&gt;0,1,0)</f>
        <v>0</v>
      </c>
      <c r="H679">
        <f>IF(COUNTIFS('United Data'!$A$3:$A$2150,H$1,'United Data'!$C$3:$C$2150,$A679)&gt;0,1,0)</f>
        <v>1</v>
      </c>
      <c r="I679">
        <f>IF(COUNTIFS('United Data'!$A$3:$A$2150,I$1,'United Data'!$C$3:$C$2150,$A679)&gt;0,1,0)</f>
        <v>0</v>
      </c>
      <c r="J679">
        <f>IF(COUNTIFS('United Data'!$A$3:$A$2150,J$1,'United Data'!$C$3:$C$2150,$A679)&gt;0,1,0)</f>
        <v>0</v>
      </c>
      <c r="K679">
        <f>IF(COUNTIFS('United Data'!$A$3:$A$2150,K$1,'United Data'!$C$3:$C$2150,$A679)&gt;0,1,0)</f>
        <v>0</v>
      </c>
      <c r="L679">
        <f>IF(COUNTIFS('United Data'!$A$3:$A$2150,L$1,'United Data'!$C$3:$C$2150,$A679)&gt;0,1,0)</f>
        <v>0</v>
      </c>
      <c r="M679">
        <f>IF(COUNTIFS('United Data'!$A$3:$A$2150,M$1,'United Data'!$C$3:$C$2150,$A679)&gt;0,1,0)</f>
        <v>0</v>
      </c>
      <c r="N679">
        <f>IF(COUNTIFS('United Data'!$A$3:$A$2150,N$1,'United Data'!$C$3:$C$2150,$A679)&gt;0,1,0)</f>
        <v>0</v>
      </c>
      <c r="O679">
        <f>IF(COUNTIFS('United Data'!$A$3:$A$2150,O$1,'United Data'!$C$3:$C$2150,$A679)&gt;0,1,0)</f>
        <v>0</v>
      </c>
      <c r="P679">
        <f>IF(COUNTIFS('United Data'!$A$3:$A$2150,P$1,'United Data'!$C$3:$C$2150,$A679)&gt;0,1,0)</f>
        <v>0</v>
      </c>
      <c r="Q679">
        <f>IF(COUNTIFS('United Data'!$A$3:$A$2150,Q$1,'United Data'!$C$3:$C$2150,$A679)&gt;0,1,0)</f>
        <v>0</v>
      </c>
      <c r="R679">
        <f>IF(COUNTIFS('United Data'!$A$3:$A$2150,R$1,'United Data'!$C$3:$C$2150,$A679)&gt;0,1,0)</f>
        <v>0</v>
      </c>
      <c r="S679">
        <f t="shared" si="20"/>
        <v>1</v>
      </c>
      <c r="T679">
        <f t="shared" si="21"/>
        <v>1</v>
      </c>
    </row>
    <row r="680" spans="1:20" x14ac:dyDescent="0.2">
      <c r="A680" t="s">
        <v>726</v>
      </c>
      <c r="B680">
        <f>IF(COUNTIFS('United Data'!$A$3:$A$2150,B$1,'United Data'!$C$3:$C$2150,$A680)&gt;0,1,0)</f>
        <v>0</v>
      </c>
      <c r="C680">
        <f>IF(COUNTIFS('United Data'!$A$3:$A$2150,C$1,'United Data'!$C$3:$C$2150,$A680)&gt;0,1,0)</f>
        <v>0</v>
      </c>
      <c r="D680">
        <f>IF(COUNTIFS('United Data'!$A$3:$A$2150,D$1,'United Data'!$C$3:$C$2150,$A680)&gt;0,1,0)</f>
        <v>0</v>
      </c>
      <c r="E680">
        <f>IF(COUNTIFS('United Data'!$A$3:$A$2150,E$1,'United Data'!$C$3:$C$2150,$A680)&gt;0,1,0)</f>
        <v>0</v>
      </c>
      <c r="F680">
        <f>IF(COUNTIFS('United Data'!$A$3:$A$2150,F$1,'United Data'!$C$3:$C$2150,$A680)&gt;0,1,0)</f>
        <v>0</v>
      </c>
      <c r="G680">
        <f>IF(COUNTIFS('United Data'!$A$3:$A$2150,G$1,'United Data'!$C$3:$C$2150,$A680)&gt;0,1,0)</f>
        <v>0</v>
      </c>
      <c r="H680">
        <f>IF(COUNTIFS('United Data'!$A$3:$A$2150,H$1,'United Data'!$C$3:$C$2150,$A680)&gt;0,1,0)</f>
        <v>1</v>
      </c>
      <c r="I680">
        <f>IF(COUNTIFS('United Data'!$A$3:$A$2150,I$1,'United Data'!$C$3:$C$2150,$A680)&gt;0,1,0)</f>
        <v>0</v>
      </c>
      <c r="J680">
        <f>IF(COUNTIFS('United Data'!$A$3:$A$2150,J$1,'United Data'!$C$3:$C$2150,$A680)&gt;0,1,0)</f>
        <v>0</v>
      </c>
      <c r="K680">
        <f>IF(COUNTIFS('United Data'!$A$3:$A$2150,K$1,'United Data'!$C$3:$C$2150,$A680)&gt;0,1,0)</f>
        <v>0</v>
      </c>
      <c r="L680">
        <f>IF(COUNTIFS('United Data'!$A$3:$A$2150,L$1,'United Data'!$C$3:$C$2150,$A680)&gt;0,1,0)</f>
        <v>0</v>
      </c>
      <c r="M680">
        <f>IF(COUNTIFS('United Data'!$A$3:$A$2150,M$1,'United Data'!$C$3:$C$2150,$A680)&gt;0,1,0)</f>
        <v>0</v>
      </c>
      <c r="N680">
        <f>IF(COUNTIFS('United Data'!$A$3:$A$2150,N$1,'United Data'!$C$3:$C$2150,$A680)&gt;0,1,0)</f>
        <v>0</v>
      </c>
      <c r="O680">
        <f>IF(COUNTIFS('United Data'!$A$3:$A$2150,O$1,'United Data'!$C$3:$C$2150,$A680)&gt;0,1,0)</f>
        <v>0</v>
      </c>
      <c r="P680">
        <f>IF(COUNTIFS('United Data'!$A$3:$A$2150,P$1,'United Data'!$C$3:$C$2150,$A680)&gt;0,1,0)</f>
        <v>0</v>
      </c>
      <c r="Q680">
        <f>IF(COUNTIFS('United Data'!$A$3:$A$2150,Q$1,'United Data'!$C$3:$C$2150,$A680)&gt;0,1,0)</f>
        <v>0</v>
      </c>
      <c r="R680">
        <f>IF(COUNTIFS('United Data'!$A$3:$A$2150,R$1,'United Data'!$C$3:$C$2150,$A680)&gt;0,1,0)</f>
        <v>0</v>
      </c>
      <c r="S680">
        <f t="shared" si="20"/>
        <v>1</v>
      </c>
      <c r="T680">
        <f t="shared" si="21"/>
        <v>1</v>
      </c>
    </row>
    <row r="681" spans="1:20" x14ac:dyDescent="0.2">
      <c r="A681" t="s">
        <v>727</v>
      </c>
      <c r="B681">
        <f>IF(COUNTIFS('United Data'!$A$3:$A$2150,B$1,'United Data'!$C$3:$C$2150,$A681)&gt;0,1,0)</f>
        <v>0</v>
      </c>
      <c r="C681">
        <f>IF(COUNTIFS('United Data'!$A$3:$A$2150,C$1,'United Data'!$C$3:$C$2150,$A681)&gt;0,1,0)</f>
        <v>0</v>
      </c>
      <c r="D681">
        <f>IF(COUNTIFS('United Data'!$A$3:$A$2150,D$1,'United Data'!$C$3:$C$2150,$A681)&gt;0,1,0)</f>
        <v>0</v>
      </c>
      <c r="E681">
        <f>IF(COUNTIFS('United Data'!$A$3:$A$2150,E$1,'United Data'!$C$3:$C$2150,$A681)&gt;0,1,0)</f>
        <v>0</v>
      </c>
      <c r="F681">
        <f>IF(COUNTIFS('United Data'!$A$3:$A$2150,F$1,'United Data'!$C$3:$C$2150,$A681)&gt;0,1,0)</f>
        <v>0</v>
      </c>
      <c r="G681">
        <f>IF(COUNTIFS('United Data'!$A$3:$A$2150,G$1,'United Data'!$C$3:$C$2150,$A681)&gt;0,1,0)</f>
        <v>0</v>
      </c>
      <c r="H681">
        <f>IF(COUNTIFS('United Data'!$A$3:$A$2150,H$1,'United Data'!$C$3:$C$2150,$A681)&gt;0,1,0)</f>
        <v>1</v>
      </c>
      <c r="I681">
        <f>IF(COUNTIFS('United Data'!$A$3:$A$2150,I$1,'United Data'!$C$3:$C$2150,$A681)&gt;0,1,0)</f>
        <v>0</v>
      </c>
      <c r="J681">
        <f>IF(COUNTIFS('United Data'!$A$3:$A$2150,J$1,'United Data'!$C$3:$C$2150,$A681)&gt;0,1,0)</f>
        <v>0</v>
      </c>
      <c r="K681">
        <f>IF(COUNTIFS('United Data'!$A$3:$A$2150,K$1,'United Data'!$C$3:$C$2150,$A681)&gt;0,1,0)</f>
        <v>0</v>
      </c>
      <c r="L681">
        <f>IF(COUNTIFS('United Data'!$A$3:$A$2150,L$1,'United Data'!$C$3:$C$2150,$A681)&gt;0,1,0)</f>
        <v>0</v>
      </c>
      <c r="M681">
        <f>IF(COUNTIFS('United Data'!$A$3:$A$2150,M$1,'United Data'!$C$3:$C$2150,$A681)&gt;0,1,0)</f>
        <v>0</v>
      </c>
      <c r="N681">
        <f>IF(COUNTIFS('United Data'!$A$3:$A$2150,N$1,'United Data'!$C$3:$C$2150,$A681)&gt;0,1,0)</f>
        <v>0</v>
      </c>
      <c r="O681">
        <f>IF(COUNTIFS('United Data'!$A$3:$A$2150,O$1,'United Data'!$C$3:$C$2150,$A681)&gt;0,1,0)</f>
        <v>0</v>
      </c>
      <c r="P681">
        <f>IF(COUNTIFS('United Data'!$A$3:$A$2150,P$1,'United Data'!$C$3:$C$2150,$A681)&gt;0,1,0)</f>
        <v>0</v>
      </c>
      <c r="Q681">
        <f>IF(COUNTIFS('United Data'!$A$3:$A$2150,Q$1,'United Data'!$C$3:$C$2150,$A681)&gt;0,1,0)</f>
        <v>0</v>
      </c>
      <c r="R681">
        <f>IF(COUNTIFS('United Data'!$A$3:$A$2150,R$1,'United Data'!$C$3:$C$2150,$A681)&gt;0,1,0)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728</v>
      </c>
      <c r="B682">
        <f>IF(COUNTIFS('United Data'!$A$3:$A$2150,B$1,'United Data'!$C$3:$C$2150,$A682)&gt;0,1,0)</f>
        <v>0</v>
      </c>
      <c r="C682">
        <f>IF(COUNTIFS('United Data'!$A$3:$A$2150,C$1,'United Data'!$C$3:$C$2150,$A682)&gt;0,1,0)</f>
        <v>0</v>
      </c>
      <c r="D682">
        <f>IF(COUNTIFS('United Data'!$A$3:$A$2150,D$1,'United Data'!$C$3:$C$2150,$A682)&gt;0,1,0)</f>
        <v>0</v>
      </c>
      <c r="E682">
        <f>IF(COUNTIFS('United Data'!$A$3:$A$2150,E$1,'United Data'!$C$3:$C$2150,$A682)&gt;0,1,0)</f>
        <v>0</v>
      </c>
      <c r="F682">
        <f>IF(COUNTIFS('United Data'!$A$3:$A$2150,F$1,'United Data'!$C$3:$C$2150,$A682)&gt;0,1,0)</f>
        <v>0</v>
      </c>
      <c r="G682">
        <f>IF(COUNTIFS('United Data'!$A$3:$A$2150,G$1,'United Data'!$C$3:$C$2150,$A682)&gt;0,1,0)</f>
        <v>0</v>
      </c>
      <c r="H682">
        <f>IF(COUNTIFS('United Data'!$A$3:$A$2150,H$1,'United Data'!$C$3:$C$2150,$A682)&gt;0,1,0)</f>
        <v>1</v>
      </c>
      <c r="I682">
        <f>IF(COUNTIFS('United Data'!$A$3:$A$2150,I$1,'United Data'!$C$3:$C$2150,$A682)&gt;0,1,0)</f>
        <v>0</v>
      </c>
      <c r="J682">
        <f>IF(COUNTIFS('United Data'!$A$3:$A$2150,J$1,'United Data'!$C$3:$C$2150,$A682)&gt;0,1,0)</f>
        <v>0</v>
      </c>
      <c r="K682">
        <f>IF(COUNTIFS('United Data'!$A$3:$A$2150,K$1,'United Data'!$C$3:$C$2150,$A682)&gt;0,1,0)</f>
        <v>0</v>
      </c>
      <c r="L682">
        <f>IF(COUNTIFS('United Data'!$A$3:$A$2150,L$1,'United Data'!$C$3:$C$2150,$A682)&gt;0,1,0)</f>
        <v>0</v>
      </c>
      <c r="M682">
        <f>IF(COUNTIFS('United Data'!$A$3:$A$2150,M$1,'United Data'!$C$3:$C$2150,$A682)&gt;0,1,0)</f>
        <v>0</v>
      </c>
      <c r="N682">
        <f>IF(COUNTIFS('United Data'!$A$3:$A$2150,N$1,'United Data'!$C$3:$C$2150,$A682)&gt;0,1,0)</f>
        <v>0</v>
      </c>
      <c r="O682">
        <f>IF(COUNTIFS('United Data'!$A$3:$A$2150,O$1,'United Data'!$C$3:$C$2150,$A682)&gt;0,1,0)</f>
        <v>0</v>
      </c>
      <c r="P682">
        <f>IF(COUNTIFS('United Data'!$A$3:$A$2150,P$1,'United Data'!$C$3:$C$2150,$A682)&gt;0,1,0)</f>
        <v>0</v>
      </c>
      <c r="Q682">
        <f>IF(COUNTIFS('United Data'!$A$3:$A$2150,Q$1,'United Data'!$C$3:$C$2150,$A682)&gt;0,1,0)</f>
        <v>0</v>
      </c>
      <c r="R682">
        <f>IF(COUNTIFS('United Data'!$A$3:$A$2150,R$1,'United Data'!$C$3:$C$2150,$A682)&gt;0,1,0)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729</v>
      </c>
      <c r="B683">
        <f>IF(COUNTIFS('United Data'!$A$3:$A$2150,B$1,'United Data'!$C$3:$C$2150,$A683)&gt;0,1,0)</f>
        <v>0</v>
      </c>
      <c r="C683">
        <f>IF(COUNTIFS('United Data'!$A$3:$A$2150,C$1,'United Data'!$C$3:$C$2150,$A683)&gt;0,1,0)</f>
        <v>0</v>
      </c>
      <c r="D683">
        <f>IF(COUNTIFS('United Data'!$A$3:$A$2150,D$1,'United Data'!$C$3:$C$2150,$A683)&gt;0,1,0)</f>
        <v>0</v>
      </c>
      <c r="E683">
        <f>IF(COUNTIFS('United Data'!$A$3:$A$2150,E$1,'United Data'!$C$3:$C$2150,$A683)&gt;0,1,0)</f>
        <v>0</v>
      </c>
      <c r="F683">
        <f>IF(COUNTIFS('United Data'!$A$3:$A$2150,F$1,'United Data'!$C$3:$C$2150,$A683)&gt;0,1,0)</f>
        <v>0</v>
      </c>
      <c r="G683">
        <f>IF(COUNTIFS('United Data'!$A$3:$A$2150,G$1,'United Data'!$C$3:$C$2150,$A683)&gt;0,1,0)</f>
        <v>0</v>
      </c>
      <c r="H683">
        <f>IF(COUNTIFS('United Data'!$A$3:$A$2150,H$1,'United Data'!$C$3:$C$2150,$A683)&gt;0,1,0)</f>
        <v>1</v>
      </c>
      <c r="I683">
        <f>IF(COUNTIFS('United Data'!$A$3:$A$2150,I$1,'United Data'!$C$3:$C$2150,$A683)&gt;0,1,0)</f>
        <v>0</v>
      </c>
      <c r="J683">
        <f>IF(COUNTIFS('United Data'!$A$3:$A$2150,J$1,'United Data'!$C$3:$C$2150,$A683)&gt;0,1,0)</f>
        <v>0</v>
      </c>
      <c r="K683">
        <f>IF(COUNTIFS('United Data'!$A$3:$A$2150,K$1,'United Data'!$C$3:$C$2150,$A683)&gt;0,1,0)</f>
        <v>0</v>
      </c>
      <c r="L683">
        <f>IF(COUNTIFS('United Data'!$A$3:$A$2150,L$1,'United Data'!$C$3:$C$2150,$A683)&gt;0,1,0)</f>
        <v>0</v>
      </c>
      <c r="M683">
        <f>IF(COUNTIFS('United Data'!$A$3:$A$2150,M$1,'United Data'!$C$3:$C$2150,$A683)&gt;0,1,0)</f>
        <v>0</v>
      </c>
      <c r="N683">
        <f>IF(COUNTIFS('United Data'!$A$3:$A$2150,N$1,'United Data'!$C$3:$C$2150,$A683)&gt;0,1,0)</f>
        <v>0</v>
      </c>
      <c r="O683">
        <f>IF(COUNTIFS('United Data'!$A$3:$A$2150,O$1,'United Data'!$C$3:$C$2150,$A683)&gt;0,1,0)</f>
        <v>0</v>
      </c>
      <c r="P683">
        <f>IF(COUNTIFS('United Data'!$A$3:$A$2150,P$1,'United Data'!$C$3:$C$2150,$A683)&gt;0,1,0)</f>
        <v>0</v>
      </c>
      <c r="Q683">
        <f>IF(COUNTIFS('United Data'!$A$3:$A$2150,Q$1,'United Data'!$C$3:$C$2150,$A683)&gt;0,1,0)</f>
        <v>0</v>
      </c>
      <c r="R683">
        <f>IF(COUNTIFS('United Data'!$A$3:$A$2150,R$1,'United Data'!$C$3:$C$2150,$A683)&gt;0,1,0)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730</v>
      </c>
      <c r="B684">
        <f>IF(COUNTIFS('United Data'!$A$3:$A$2150,B$1,'United Data'!$C$3:$C$2150,$A684)&gt;0,1,0)</f>
        <v>0</v>
      </c>
      <c r="C684">
        <f>IF(COUNTIFS('United Data'!$A$3:$A$2150,C$1,'United Data'!$C$3:$C$2150,$A684)&gt;0,1,0)</f>
        <v>0</v>
      </c>
      <c r="D684">
        <f>IF(COUNTIFS('United Data'!$A$3:$A$2150,D$1,'United Data'!$C$3:$C$2150,$A684)&gt;0,1,0)</f>
        <v>0</v>
      </c>
      <c r="E684">
        <f>IF(COUNTIFS('United Data'!$A$3:$A$2150,E$1,'United Data'!$C$3:$C$2150,$A684)&gt;0,1,0)</f>
        <v>0</v>
      </c>
      <c r="F684">
        <f>IF(COUNTIFS('United Data'!$A$3:$A$2150,F$1,'United Data'!$C$3:$C$2150,$A684)&gt;0,1,0)</f>
        <v>0</v>
      </c>
      <c r="G684">
        <f>IF(COUNTIFS('United Data'!$A$3:$A$2150,G$1,'United Data'!$C$3:$C$2150,$A684)&gt;0,1,0)</f>
        <v>0</v>
      </c>
      <c r="H684">
        <f>IF(COUNTIFS('United Data'!$A$3:$A$2150,H$1,'United Data'!$C$3:$C$2150,$A684)&gt;0,1,0)</f>
        <v>1</v>
      </c>
      <c r="I684">
        <f>IF(COUNTIFS('United Data'!$A$3:$A$2150,I$1,'United Data'!$C$3:$C$2150,$A684)&gt;0,1,0)</f>
        <v>0</v>
      </c>
      <c r="J684">
        <f>IF(COUNTIFS('United Data'!$A$3:$A$2150,J$1,'United Data'!$C$3:$C$2150,$A684)&gt;0,1,0)</f>
        <v>0</v>
      </c>
      <c r="K684">
        <f>IF(COUNTIFS('United Data'!$A$3:$A$2150,K$1,'United Data'!$C$3:$C$2150,$A684)&gt;0,1,0)</f>
        <v>0</v>
      </c>
      <c r="L684">
        <f>IF(COUNTIFS('United Data'!$A$3:$A$2150,L$1,'United Data'!$C$3:$C$2150,$A684)&gt;0,1,0)</f>
        <v>0</v>
      </c>
      <c r="M684">
        <f>IF(COUNTIFS('United Data'!$A$3:$A$2150,M$1,'United Data'!$C$3:$C$2150,$A684)&gt;0,1,0)</f>
        <v>0</v>
      </c>
      <c r="N684">
        <f>IF(COUNTIFS('United Data'!$A$3:$A$2150,N$1,'United Data'!$C$3:$C$2150,$A684)&gt;0,1,0)</f>
        <v>0</v>
      </c>
      <c r="O684">
        <f>IF(COUNTIFS('United Data'!$A$3:$A$2150,O$1,'United Data'!$C$3:$C$2150,$A684)&gt;0,1,0)</f>
        <v>0</v>
      </c>
      <c r="P684">
        <f>IF(COUNTIFS('United Data'!$A$3:$A$2150,P$1,'United Data'!$C$3:$C$2150,$A684)&gt;0,1,0)</f>
        <v>0</v>
      </c>
      <c r="Q684">
        <f>IF(COUNTIFS('United Data'!$A$3:$A$2150,Q$1,'United Data'!$C$3:$C$2150,$A684)&gt;0,1,0)</f>
        <v>0</v>
      </c>
      <c r="R684">
        <f>IF(COUNTIFS('United Data'!$A$3:$A$2150,R$1,'United Data'!$C$3:$C$2150,$A684)&gt;0,1,0)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731</v>
      </c>
      <c r="B685">
        <f>IF(COUNTIFS('United Data'!$A$3:$A$2150,B$1,'United Data'!$C$3:$C$2150,$A685)&gt;0,1,0)</f>
        <v>0</v>
      </c>
      <c r="C685">
        <f>IF(COUNTIFS('United Data'!$A$3:$A$2150,C$1,'United Data'!$C$3:$C$2150,$A685)&gt;0,1,0)</f>
        <v>0</v>
      </c>
      <c r="D685">
        <f>IF(COUNTIFS('United Data'!$A$3:$A$2150,D$1,'United Data'!$C$3:$C$2150,$A685)&gt;0,1,0)</f>
        <v>0</v>
      </c>
      <c r="E685">
        <f>IF(COUNTIFS('United Data'!$A$3:$A$2150,E$1,'United Data'!$C$3:$C$2150,$A685)&gt;0,1,0)</f>
        <v>0</v>
      </c>
      <c r="F685">
        <f>IF(COUNTIFS('United Data'!$A$3:$A$2150,F$1,'United Data'!$C$3:$C$2150,$A685)&gt;0,1,0)</f>
        <v>0</v>
      </c>
      <c r="G685">
        <f>IF(COUNTIFS('United Data'!$A$3:$A$2150,G$1,'United Data'!$C$3:$C$2150,$A685)&gt;0,1,0)</f>
        <v>0</v>
      </c>
      <c r="H685">
        <f>IF(COUNTIFS('United Data'!$A$3:$A$2150,H$1,'United Data'!$C$3:$C$2150,$A685)&gt;0,1,0)</f>
        <v>0</v>
      </c>
      <c r="I685">
        <f>IF(COUNTIFS('United Data'!$A$3:$A$2150,I$1,'United Data'!$C$3:$C$2150,$A685)&gt;0,1,0)</f>
        <v>1</v>
      </c>
      <c r="J685">
        <f>IF(COUNTIFS('United Data'!$A$3:$A$2150,J$1,'United Data'!$C$3:$C$2150,$A685)&gt;0,1,0)</f>
        <v>0</v>
      </c>
      <c r="K685">
        <f>IF(COUNTIFS('United Data'!$A$3:$A$2150,K$1,'United Data'!$C$3:$C$2150,$A685)&gt;0,1,0)</f>
        <v>0</v>
      </c>
      <c r="L685">
        <f>IF(COUNTIFS('United Data'!$A$3:$A$2150,L$1,'United Data'!$C$3:$C$2150,$A685)&gt;0,1,0)</f>
        <v>0</v>
      </c>
      <c r="M685">
        <f>IF(COUNTIFS('United Data'!$A$3:$A$2150,M$1,'United Data'!$C$3:$C$2150,$A685)&gt;0,1,0)</f>
        <v>0</v>
      </c>
      <c r="N685">
        <f>IF(COUNTIFS('United Data'!$A$3:$A$2150,N$1,'United Data'!$C$3:$C$2150,$A685)&gt;0,1,0)</f>
        <v>0</v>
      </c>
      <c r="O685">
        <f>IF(COUNTIFS('United Data'!$A$3:$A$2150,O$1,'United Data'!$C$3:$C$2150,$A685)&gt;0,1,0)</f>
        <v>0</v>
      </c>
      <c r="P685">
        <f>IF(COUNTIFS('United Data'!$A$3:$A$2150,P$1,'United Data'!$C$3:$C$2150,$A685)&gt;0,1,0)</f>
        <v>0</v>
      </c>
      <c r="Q685">
        <f>IF(COUNTIFS('United Data'!$A$3:$A$2150,Q$1,'United Data'!$C$3:$C$2150,$A685)&gt;0,1,0)</f>
        <v>0</v>
      </c>
      <c r="R685">
        <f>IF(COUNTIFS('United Data'!$A$3:$A$2150,R$1,'United Data'!$C$3:$C$2150,$A685)&gt;0,1,0)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732</v>
      </c>
      <c r="B686">
        <f>IF(COUNTIFS('United Data'!$A$3:$A$2150,B$1,'United Data'!$C$3:$C$2150,$A686)&gt;0,1,0)</f>
        <v>0</v>
      </c>
      <c r="C686">
        <f>IF(COUNTIFS('United Data'!$A$3:$A$2150,C$1,'United Data'!$C$3:$C$2150,$A686)&gt;0,1,0)</f>
        <v>0</v>
      </c>
      <c r="D686">
        <f>IF(COUNTIFS('United Data'!$A$3:$A$2150,D$1,'United Data'!$C$3:$C$2150,$A686)&gt;0,1,0)</f>
        <v>0</v>
      </c>
      <c r="E686">
        <f>IF(COUNTIFS('United Data'!$A$3:$A$2150,E$1,'United Data'!$C$3:$C$2150,$A686)&gt;0,1,0)</f>
        <v>0</v>
      </c>
      <c r="F686">
        <f>IF(COUNTIFS('United Data'!$A$3:$A$2150,F$1,'United Data'!$C$3:$C$2150,$A686)&gt;0,1,0)</f>
        <v>0</v>
      </c>
      <c r="G686">
        <f>IF(COUNTIFS('United Data'!$A$3:$A$2150,G$1,'United Data'!$C$3:$C$2150,$A686)&gt;0,1,0)</f>
        <v>0</v>
      </c>
      <c r="H686">
        <f>IF(COUNTIFS('United Data'!$A$3:$A$2150,H$1,'United Data'!$C$3:$C$2150,$A686)&gt;0,1,0)</f>
        <v>0</v>
      </c>
      <c r="I686">
        <f>IF(COUNTIFS('United Data'!$A$3:$A$2150,I$1,'United Data'!$C$3:$C$2150,$A686)&gt;0,1,0)</f>
        <v>1</v>
      </c>
      <c r="J686">
        <f>IF(COUNTIFS('United Data'!$A$3:$A$2150,J$1,'United Data'!$C$3:$C$2150,$A686)&gt;0,1,0)</f>
        <v>0</v>
      </c>
      <c r="K686">
        <f>IF(COUNTIFS('United Data'!$A$3:$A$2150,K$1,'United Data'!$C$3:$C$2150,$A686)&gt;0,1,0)</f>
        <v>0</v>
      </c>
      <c r="L686">
        <f>IF(COUNTIFS('United Data'!$A$3:$A$2150,L$1,'United Data'!$C$3:$C$2150,$A686)&gt;0,1,0)</f>
        <v>0</v>
      </c>
      <c r="M686">
        <f>IF(COUNTIFS('United Data'!$A$3:$A$2150,M$1,'United Data'!$C$3:$C$2150,$A686)&gt;0,1,0)</f>
        <v>0</v>
      </c>
      <c r="N686">
        <f>IF(COUNTIFS('United Data'!$A$3:$A$2150,N$1,'United Data'!$C$3:$C$2150,$A686)&gt;0,1,0)</f>
        <v>0</v>
      </c>
      <c r="O686">
        <f>IF(COUNTIFS('United Data'!$A$3:$A$2150,O$1,'United Data'!$C$3:$C$2150,$A686)&gt;0,1,0)</f>
        <v>0</v>
      </c>
      <c r="P686">
        <f>IF(COUNTIFS('United Data'!$A$3:$A$2150,P$1,'United Data'!$C$3:$C$2150,$A686)&gt;0,1,0)</f>
        <v>0</v>
      </c>
      <c r="Q686">
        <f>IF(COUNTIFS('United Data'!$A$3:$A$2150,Q$1,'United Data'!$C$3:$C$2150,$A686)&gt;0,1,0)</f>
        <v>0</v>
      </c>
      <c r="R686">
        <f>IF(COUNTIFS('United Data'!$A$3:$A$2150,R$1,'United Data'!$C$3:$C$2150,$A686)&gt;0,1,0)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733</v>
      </c>
      <c r="B687">
        <f>IF(COUNTIFS('United Data'!$A$3:$A$2150,B$1,'United Data'!$C$3:$C$2150,$A687)&gt;0,1,0)</f>
        <v>0</v>
      </c>
      <c r="C687">
        <f>IF(COUNTIFS('United Data'!$A$3:$A$2150,C$1,'United Data'!$C$3:$C$2150,$A687)&gt;0,1,0)</f>
        <v>0</v>
      </c>
      <c r="D687">
        <f>IF(COUNTIFS('United Data'!$A$3:$A$2150,D$1,'United Data'!$C$3:$C$2150,$A687)&gt;0,1,0)</f>
        <v>0</v>
      </c>
      <c r="E687">
        <f>IF(COUNTIFS('United Data'!$A$3:$A$2150,E$1,'United Data'!$C$3:$C$2150,$A687)&gt;0,1,0)</f>
        <v>0</v>
      </c>
      <c r="F687">
        <f>IF(COUNTIFS('United Data'!$A$3:$A$2150,F$1,'United Data'!$C$3:$C$2150,$A687)&gt;0,1,0)</f>
        <v>0</v>
      </c>
      <c r="G687">
        <f>IF(COUNTIFS('United Data'!$A$3:$A$2150,G$1,'United Data'!$C$3:$C$2150,$A687)&gt;0,1,0)</f>
        <v>0</v>
      </c>
      <c r="H687">
        <f>IF(COUNTIFS('United Data'!$A$3:$A$2150,H$1,'United Data'!$C$3:$C$2150,$A687)&gt;0,1,0)</f>
        <v>0</v>
      </c>
      <c r="I687">
        <f>IF(COUNTIFS('United Data'!$A$3:$A$2150,I$1,'United Data'!$C$3:$C$2150,$A687)&gt;0,1,0)</f>
        <v>1</v>
      </c>
      <c r="J687">
        <f>IF(COUNTIFS('United Data'!$A$3:$A$2150,J$1,'United Data'!$C$3:$C$2150,$A687)&gt;0,1,0)</f>
        <v>0</v>
      </c>
      <c r="K687">
        <f>IF(COUNTIFS('United Data'!$A$3:$A$2150,K$1,'United Data'!$C$3:$C$2150,$A687)&gt;0,1,0)</f>
        <v>0</v>
      </c>
      <c r="L687">
        <f>IF(COUNTIFS('United Data'!$A$3:$A$2150,L$1,'United Data'!$C$3:$C$2150,$A687)&gt;0,1,0)</f>
        <v>0</v>
      </c>
      <c r="M687">
        <f>IF(COUNTIFS('United Data'!$A$3:$A$2150,M$1,'United Data'!$C$3:$C$2150,$A687)&gt;0,1,0)</f>
        <v>0</v>
      </c>
      <c r="N687">
        <f>IF(COUNTIFS('United Data'!$A$3:$A$2150,N$1,'United Data'!$C$3:$C$2150,$A687)&gt;0,1,0)</f>
        <v>0</v>
      </c>
      <c r="O687">
        <f>IF(COUNTIFS('United Data'!$A$3:$A$2150,O$1,'United Data'!$C$3:$C$2150,$A687)&gt;0,1,0)</f>
        <v>0</v>
      </c>
      <c r="P687">
        <f>IF(COUNTIFS('United Data'!$A$3:$A$2150,P$1,'United Data'!$C$3:$C$2150,$A687)&gt;0,1,0)</f>
        <v>0</v>
      </c>
      <c r="Q687">
        <f>IF(COUNTIFS('United Data'!$A$3:$A$2150,Q$1,'United Data'!$C$3:$C$2150,$A687)&gt;0,1,0)</f>
        <v>0</v>
      </c>
      <c r="R687">
        <f>IF(COUNTIFS('United Data'!$A$3:$A$2150,R$1,'United Data'!$C$3:$C$2150,$A687)&gt;0,1,0)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734</v>
      </c>
      <c r="B688">
        <f>IF(COUNTIFS('United Data'!$A$3:$A$2150,B$1,'United Data'!$C$3:$C$2150,$A688)&gt;0,1,0)</f>
        <v>0</v>
      </c>
      <c r="C688">
        <f>IF(COUNTIFS('United Data'!$A$3:$A$2150,C$1,'United Data'!$C$3:$C$2150,$A688)&gt;0,1,0)</f>
        <v>0</v>
      </c>
      <c r="D688">
        <f>IF(COUNTIFS('United Data'!$A$3:$A$2150,D$1,'United Data'!$C$3:$C$2150,$A688)&gt;0,1,0)</f>
        <v>0</v>
      </c>
      <c r="E688">
        <f>IF(COUNTIFS('United Data'!$A$3:$A$2150,E$1,'United Data'!$C$3:$C$2150,$A688)&gt;0,1,0)</f>
        <v>0</v>
      </c>
      <c r="F688">
        <f>IF(COUNTIFS('United Data'!$A$3:$A$2150,F$1,'United Data'!$C$3:$C$2150,$A688)&gt;0,1,0)</f>
        <v>0</v>
      </c>
      <c r="G688">
        <f>IF(COUNTIFS('United Data'!$A$3:$A$2150,G$1,'United Data'!$C$3:$C$2150,$A688)&gt;0,1,0)</f>
        <v>0</v>
      </c>
      <c r="H688">
        <f>IF(COUNTIFS('United Data'!$A$3:$A$2150,H$1,'United Data'!$C$3:$C$2150,$A688)&gt;0,1,0)</f>
        <v>0</v>
      </c>
      <c r="I688">
        <f>IF(COUNTIFS('United Data'!$A$3:$A$2150,I$1,'United Data'!$C$3:$C$2150,$A688)&gt;0,1,0)</f>
        <v>1</v>
      </c>
      <c r="J688">
        <f>IF(COUNTIFS('United Data'!$A$3:$A$2150,J$1,'United Data'!$C$3:$C$2150,$A688)&gt;0,1,0)</f>
        <v>1</v>
      </c>
      <c r="K688">
        <f>IF(COUNTIFS('United Data'!$A$3:$A$2150,K$1,'United Data'!$C$3:$C$2150,$A688)&gt;0,1,0)</f>
        <v>0</v>
      </c>
      <c r="L688">
        <f>IF(COUNTIFS('United Data'!$A$3:$A$2150,L$1,'United Data'!$C$3:$C$2150,$A688)&gt;0,1,0)</f>
        <v>0</v>
      </c>
      <c r="M688">
        <f>IF(COUNTIFS('United Data'!$A$3:$A$2150,M$1,'United Data'!$C$3:$C$2150,$A688)&gt;0,1,0)</f>
        <v>0</v>
      </c>
      <c r="N688">
        <f>IF(COUNTIFS('United Data'!$A$3:$A$2150,N$1,'United Data'!$C$3:$C$2150,$A688)&gt;0,1,0)</f>
        <v>0</v>
      </c>
      <c r="O688">
        <f>IF(COUNTIFS('United Data'!$A$3:$A$2150,O$1,'United Data'!$C$3:$C$2150,$A688)&gt;0,1,0)</f>
        <v>0</v>
      </c>
      <c r="P688">
        <f>IF(COUNTIFS('United Data'!$A$3:$A$2150,P$1,'United Data'!$C$3:$C$2150,$A688)&gt;0,1,0)</f>
        <v>0</v>
      </c>
      <c r="Q688">
        <f>IF(COUNTIFS('United Data'!$A$3:$A$2150,Q$1,'United Data'!$C$3:$C$2150,$A688)&gt;0,1,0)</f>
        <v>0</v>
      </c>
      <c r="R688">
        <f>IF(COUNTIFS('United Data'!$A$3:$A$2150,R$1,'United Data'!$C$3:$C$2150,$A688)&gt;0,1,0)</f>
        <v>0</v>
      </c>
      <c r="S688">
        <f t="shared" si="20"/>
        <v>2</v>
      </c>
      <c r="T688">
        <f t="shared" si="21"/>
        <v>1</v>
      </c>
    </row>
    <row r="689" spans="1:20" x14ac:dyDescent="0.2">
      <c r="A689" t="s">
        <v>735</v>
      </c>
      <c r="B689">
        <f>IF(COUNTIFS('United Data'!$A$3:$A$2150,B$1,'United Data'!$C$3:$C$2150,$A689)&gt;0,1,0)</f>
        <v>0</v>
      </c>
      <c r="C689">
        <f>IF(COUNTIFS('United Data'!$A$3:$A$2150,C$1,'United Data'!$C$3:$C$2150,$A689)&gt;0,1,0)</f>
        <v>0</v>
      </c>
      <c r="D689">
        <f>IF(COUNTIFS('United Data'!$A$3:$A$2150,D$1,'United Data'!$C$3:$C$2150,$A689)&gt;0,1,0)</f>
        <v>0</v>
      </c>
      <c r="E689">
        <f>IF(COUNTIFS('United Data'!$A$3:$A$2150,E$1,'United Data'!$C$3:$C$2150,$A689)&gt;0,1,0)</f>
        <v>0</v>
      </c>
      <c r="F689">
        <f>IF(COUNTIFS('United Data'!$A$3:$A$2150,F$1,'United Data'!$C$3:$C$2150,$A689)&gt;0,1,0)</f>
        <v>0</v>
      </c>
      <c r="G689">
        <f>IF(COUNTIFS('United Data'!$A$3:$A$2150,G$1,'United Data'!$C$3:$C$2150,$A689)&gt;0,1,0)</f>
        <v>0</v>
      </c>
      <c r="H689">
        <f>IF(COUNTIFS('United Data'!$A$3:$A$2150,H$1,'United Data'!$C$3:$C$2150,$A689)&gt;0,1,0)</f>
        <v>0</v>
      </c>
      <c r="I689">
        <f>IF(COUNTIFS('United Data'!$A$3:$A$2150,I$1,'United Data'!$C$3:$C$2150,$A689)&gt;0,1,0)</f>
        <v>1</v>
      </c>
      <c r="J689">
        <f>IF(COUNTIFS('United Data'!$A$3:$A$2150,J$1,'United Data'!$C$3:$C$2150,$A689)&gt;0,1,0)</f>
        <v>0</v>
      </c>
      <c r="K689">
        <f>IF(COUNTIFS('United Data'!$A$3:$A$2150,K$1,'United Data'!$C$3:$C$2150,$A689)&gt;0,1,0)</f>
        <v>0</v>
      </c>
      <c r="L689">
        <f>IF(COUNTIFS('United Data'!$A$3:$A$2150,L$1,'United Data'!$C$3:$C$2150,$A689)&gt;0,1,0)</f>
        <v>0</v>
      </c>
      <c r="M689">
        <f>IF(COUNTIFS('United Data'!$A$3:$A$2150,M$1,'United Data'!$C$3:$C$2150,$A689)&gt;0,1,0)</f>
        <v>0</v>
      </c>
      <c r="N689">
        <f>IF(COUNTIFS('United Data'!$A$3:$A$2150,N$1,'United Data'!$C$3:$C$2150,$A689)&gt;0,1,0)</f>
        <v>0</v>
      </c>
      <c r="O689">
        <f>IF(COUNTIFS('United Data'!$A$3:$A$2150,O$1,'United Data'!$C$3:$C$2150,$A689)&gt;0,1,0)</f>
        <v>0</v>
      </c>
      <c r="P689">
        <f>IF(COUNTIFS('United Data'!$A$3:$A$2150,P$1,'United Data'!$C$3:$C$2150,$A689)&gt;0,1,0)</f>
        <v>0</v>
      </c>
      <c r="Q689">
        <f>IF(COUNTIFS('United Data'!$A$3:$A$2150,Q$1,'United Data'!$C$3:$C$2150,$A689)&gt;0,1,0)</f>
        <v>0</v>
      </c>
      <c r="R689">
        <f>IF(COUNTIFS('United Data'!$A$3:$A$2150,R$1,'United Data'!$C$3:$C$2150,$A689)&gt;0,1,0)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736</v>
      </c>
      <c r="B690">
        <f>IF(COUNTIFS('United Data'!$A$3:$A$2150,B$1,'United Data'!$C$3:$C$2150,$A690)&gt;0,1,0)</f>
        <v>0</v>
      </c>
      <c r="C690">
        <f>IF(COUNTIFS('United Data'!$A$3:$A$2150,C$1,'United Data'!$C$3:$C$2150,$A690)&gt;0,1,0)</f>
        <v>0</v>
      </c>
      <c r="D690">
        <f>IF(COUNTIFS('United Data'!$A$3:$A$2150,D$1,'United Data'!$C$3:$C$2150,$A690)&gt;0,1,0)</f>
        <v>0</v>
      </c>
      <c r="E690">
        <f>IF(COUNTIFS('United Data'!$A$3:$A$2150,E$1,'United Data'!$C$3:$C$2150,$A690)&gt;0,1,0)</f>
        <v>0</v>
      </c>
      <c r="F690">
        <f>IF(COUNTIFS('United Data'!$A$3:$A$2150,F$1,'United Data'!$C$3:$C$2150,$A690)&gt;0,1,0)</f>
        <v>0</v>
      </c>
      <c r="G690">
        <f>IF(COUNTIFS('United Data'!$A$3:$A$2150,G$1,'United Data'!$C$3:$C$2150,$A690)&gt;0,1,0)</f>
        <v>0</v>
      </c>
      <c r="H690">
        <f>IF(COUNTIFS('United Data'!$A$3:$A$2150,H$1,'United Data'!$C$3:$C$2150,$A690)&gt;0,1,0)</f>
        <v>0</v>
      </c>
      <c r="I690">
        <f>IF(COUNTIFS('United Data'!$A$3:$A$2150,I$1,'United Data'!$C$3:$C$2150,$A690)&gt;0,1,0)</f>
        <v>0</v>
      </c>
      <c r="J690">
        <f>IF(COUNTIFS('United Data'!$A$3:$A$2150,J$1,'United Data'!$C$3:$C$2150,$A690)&gt;0,1,0)</f>
        <v>1</v>
      </c>
      <c r="K690">
        <f>IF(COUNTIFS('United Data'!$A$3:$A$2150,K$1,'United Data'!$C$3:$C$2150,$A690)&gt;0,1,0)</f>
        <v>0</v>
      </c>
      <c r="L690">
        <f>IF(COUNTIFS('United Data'!$A$3:$A$2150,L$1,'United Data'!$C$3:$C$2150,$A690)&gt;0,1,0)</f>
        <v>0</v>
      </c>
      <c r="M690">
        <f>IF(COUNTIFS('United Data'!$A$3:$A$2150,M$1,'United Data'!$C$3:$C$2150,$A690)&gt;0,1,0)</f>
        <v>0</v>
      </c>
      <c r="N690">
        <f>IF(COUNTIFS('United Data'!$A$3:$A$2150,N$1,'United Data'!$C$3:$C$2150,$A690)&gt;0,1,0)</f>
        <v>0</v>
      </c>
      <c r="O690">
        <f>IF(COUNTIFS('United Data'!$A$3:$A$2150,O$1,'United Data'!$C$3:$C$2150,$A690)&gt;0,1,0)</f>
        <v>0</v>
      </c>
      <c r="P690">
        <f>IF(COUNTIFS('United Data'!$A$3:$A$2150,P$1,'United Data'!$C$3:$C$2150,$A690)&gt;0,1,0)</f>
        <v>0</v>
      </c>
      <c r="Q690">
        <f>IF(COUNTIFS('United Data'!$A$3:$A$2150,Q$1,'United Data'!$C$3:$C$2150,$A690)&gt;0,1,0)</f>
        <v>0</v>
      </c>
      <c r="R690">
        <f>IF(COUNTIFS('United Data'!$A$3:$A$2150,R$1,'United Data'!$C$3:$C$2150,$A690)&gt;0,1,0)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737</v>
      </c>
      <c r="B691">
        <f>IF(COUNTIFS('United Data'!$A$3:$A$2150,B$1,'United Data'!$C$3:$C$2150,$A691)&gt;0,1,0)</f>
        <v>0</v>
      </c>
      <c r="C691">
        <f>IF(COUNTIFS('United Data'!$A$3:$A$2150,C$1,'United Data'!$C$3:$C$2150,$A691)&gt;0,1,0)</f>
        <v>0</v>
      </c>
      <c r="D691">
        <f>IF(COUNTIFS('United Data'!$A$3:$A$2150,D$1,'United Data'!$C$3:$C$2150,$A691)&gt;0,1,0)</f>
        <v>0</v>
      </c>
      <c r="E691">
        <f>IF(COUNTIFS('United Data'!$A$3:$A$2150,E$1,'United Data'!$C$3:$C$2150,$A691)&gt;0,1,0)</f>
        <v>0</v>
      </c>
      <c r="F691">
        <f>IF(COUNTIFS('United Data'!$A$3:$A$2150,F$1,'United Data'!$C$3:$C$2150,$A691)&gt;0,1,0)</f>
        <v>0</v>
      </c>
      <c r="G691">
        <f>IF(COUNTIFS('United Data'!$A$3:$A$2150,G$1,'United Data'!$C$3:$C$2150,$A691)&gt;0,1,0)</f>
        <v>0</v>
      </c>
      <c r="H691">
        <f>IF(COUNTIFS('United Data'!$A$3:$A$2150,H$1,'United Data'!$C$3:$C$2150,$A691)&gt;0,1,0)</f>
        <v>0</v>
      </c>
      <c r="I691">
        <f>IF(COUNTIFS('United Data'!$A$3:$A$2150,I$1,'United Data'!$C$3:$C$2150,$A691)&gt;0,1,0)</f>
        <v>0</v>
      </c>
      <c r="J691">
        <f>IF(COUNTIFS('United Data'!$A$3:$A$2150,J$1,'United Data'!$C$3:$C$2150,$A691)&gt;0,1,0)</f>
        <v>1</v>
      </c>
      <c r="K691">
        <f>IF(COUNTIFS('United Data'!$A$3:$A$2150,K$1,'United Data'!$C$3:$C$2150,$A691)&gt;0,1,0)</f>
        <v>0</v>
      </c>
      <c r="L691">
        <f>IF(COUNTIFS('United Data'!$A$3:$A$2150,L$1,'United Data'!$C$3:$C$2150,$A691)&gt;0,1,0)</f>
        <v>0</v>
      </c>
      <c r="M691">
        <f>IF(COUNTIFS('United Data'!$A$3:$A$2150,M$1,'United Data'!$C$3:$C$2150,$A691)&gt;0,1,0)</f>
        <v>0</v>
      </c>
      <c r="N691">
        <f>IF(COUNTIFS('United Data'!$A$3:$A$2150,N$1,'United Data'!$C$3:$C$2150,$A691)&gt;0,1,0)</f>
        <v>0</v>
      </c>
      <c r="O691">
        <f>IF(COUNTIFS('United Data'!$A$3:$A$2150,O$1,'United Data'!$C$3:$C$2150,$A691)&gt;0,1,0)</f>
        <v>0</v>
      </c>
      <c r="P691">
        <f>IF(COUNTIFS('United Data'!$A$3:$A$2150,P$1,'United Data'!$C$3:$C$2150,$A691)&gt;0,1,0)</f>
        <v>0</v>
      </c>
      <c r="Q691">
        <f>IF(COUNTIFS('United Data'!$A$3:$A$2150,Q$1,'United Data'!$C$3:$C$2150,$A691)&gt;0,1,0)</f>
        <v>0</v>
      </c>
      <c r="R691">
        <f>IF(COUNTIFS('United Data'!$A$3:$A$2150,R$1,'United Data'!$C$3:$C$2150,$A691)&gt;0,1,0)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738</v>
      </c>
      <c r="B692">
        <f>IF(COUNTIFS('United Data'!$A$3:$A$2150,B$1,'United Data'!$C$3:$C$2150,$A692)&gt;0,1,0)</f>
        <v>0</v>
      </c>
      <c r="C692">
        <f>IF(COUNTIFS('United Data'!$A$3:$A$2150,C$1,'United Data'!$C$3:$C$2150,$A692)&gt;0,1,0)</f>
        <v>0</v>
      </c>
      <c r="D692">
        <f>IF(COUNTIFS('United Data'!$A$3:$A$2150,D$1,'United Data'!$C$3:$C$2150,$A692)&gt;0,1,0)</f>
        <v>0</v>
      </c>
      <c r="E692">
        <f>IF(COUNTIFS('United Data'!$A$3:$A$2150,E$1,'United Data'!$C$3:$C$2150,$A692)&gt;0,1,0)</f>
        <v>0</v>
      </c>
      <c r="F692">
        <f>IF(COUNTIFS('United Data'!$A$3:$A$2150,F$1,'United Data'!$C$3:$C$2150,$A692)&gt;0,1,0)</f>
        <v>0</v>
      </c>
      <c r="G692">
        <f>IF(COUNTIFS('United Data'!$A$3:$A$2150,G$1,'United Data'!$C$3:$C$2150,$A692)&gt;0,1,0)</f>
        <v>0</v>
      </c>
      <c r="H692">
        <f>IF(COUNTIFS('United Data'!$A$3:$A$2150,H$1,'United Data'!$C$3:$C$2150,$A692)&gt;0,1,0)</f>
        <v>0</v>
      </c>
      <c r="I692">
        <f>IF(COUNTIFS('United Data'!$A$3:$A$2150,I$1,'United Data'!$C$3:$C$2150,$A692)&gt;0,1,0)</f>
        <v>0</v>
      </c>
      <c r="J692">
        <f>IF(COUNTIFS('United Data'!$A$3:$A$2150,J$1,'United Data'!$C$3:$C$2150,$A692)&gt;0,1,0)</f>
        <v>1</v>
      </c>
      <c r="K692">
        <f>IF(COUNTIFS('United Data'!$A$3:$A$2150,K$1,'United Data'!$C$3:$C$2150,$A692)&gt;0,1,0)</f>
        <v>0</v>
      </c>
      <c r="L692">
        <f>IF(COUNTIFS('United Data'!$A$3:$A$2150,L$1,'United Data'!$C$3:$C$2150,$A692)&gt;0,1,0)</f>
        <v>0</v>
      </c>
      <c r="M692">
        <f>IF(COUNTIFS('United Data'!$A$3:$A$2150,M$1,'United Data'!$C$3:$C$2150,$A692)&gt;0,1,0)</f>
        <v>0</v>
      </c>
      <c r="N692">
        <f>IF(COUNTIFS('United Data'!$A$3:$A$2150,N$1,'United Data'!$C$3:$C$2150,$A692)&gt;0,1,0)</f>
        <v>0</v>
      </c>
      <c r="O692">
        <f>IF(COUNTIFS('United Data'!$A$3:$A$2150,O$1,'United Data'!$C$3:$C$2150,$A692)&gt;0,1,0)</f>
        <v>0</v>
      </c>
      <c r="P692">
        <f>IF(COUNTIFS('United Data'!$A$3:$A$2150,P$1,'United Data'!$C$3:$C$2150,$A692)&gt;0,1,0)</f>
        <v>0</v>
      </c>
      <c r="Q692">
        <f>IF(COUNTIFS('United Data'!$A$3:$A$2150,Q$1,'United Data'!$C$3:$C$2150,$A692)&gt;0,1,0)</f>
        <v>0</v>
      </c>
      <c r="R692">
        <f>IF(COUNTIFS('United Data'!$A$3:$A$2150,R$1,'United Data'!$C$3:$C$2150,$A692)&gt;0,1,0)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739</v>
      </c>
      <c r="B693">
        <f>IF(COUNTIFS('United Data'!$A$3:$A$2150,B$1,'United Data'!$C$3:$C$2150,$A693)&gt;0,1,0)</f>
        <v>0</v>
      </c>
      <c r="C693">
        <f>IF(COUNTIFS('United Data'!$A$3:$A$2150,C$1,'United Data'!$C$3:$C$2150,$A693)&gt;0,1,0)</f>
        <v>0</v>
      </c>
      <c r="D693">
        <f>IF(COUNTIFS('United Data'!$A$3:$A$2150,D$1,'United Data'!$C$3:$C$2150,$A693)&gt;0,1,0)</f>
        <v>0</v>
      </c>
      <c r="E693">
        <f>IF(COUNTIFS('United Data'!$A$3:$A$2150,E$1,'United Data'!$C$3:$C$2150,$A693)&gt;0,1,0)</f>
        <v>0</v>
      </c>
      <c r="F693">
        <f>IF(COUNTIFS('United Data'!$A$3:$A$2150,F$1,'United Data'!$C$3:$C$2150,$A693)&gt;0,1,0)</f>
        <v>0</v>
      </c>
      <c r="G693">
        <f>IF(COUNTIFS('United Data'!$A$3:$A$2150,G$1,'United Data'!$C$3:$C$2150,$A693)&gt;0,1,0)</f>
        <v>0</v>
      </c>
      <c r="H693">
        <f>IF(COUNTIFS('United Data'!$A$3:$A$2150,H$1,'United Data'!$C$3:$C$2150,$A693)&gt;0,1,0)</f>
        <v>0</v>
      </c>
      <c r="I693">
        <f>IF(COUNTIFS('United Data'!$A$3:$A$2150,I$1,'United Data'!$C$3:$C$2150,$A693)&gt;0,1,0)</f>
        <v>0</v>
      </c>
      <c r="J693">
        <f>IF(COUNTIFS('United Data'!$A$3:$A$2150,J$1,'United Data'!$C$3:$C$2150,$A693)&gt;0,1,0)</f>
        <v>1</v>
      </c>
      <c r="K693">
        <f>IF(COUNTIFS('United Data'!$A$3:$A$2150,K$1,'United Data'!$C$3:$C$2150,$A693)&gt;0,1,0)</f>
        <v>0</v>
      </c>
      <c r="L693">
        <f>IF(COUNTIFS('United Data'!$A$3:$A$2150,L$1,'United Data'!$C$3:$C$2150,$A693)&gt;0,1,0)</f>
        <v>0</v>
      </c>
      <c r="M693">
        <f>IF(COUNTIFS('United Data'!$A$3:$A$2150,M$1,'United Data'!$C$3:$C$2150,$A693)&gt;0,1,0)</f>
        <v>0</v>
      </c>
      <c r="N693">
        <f>IF(COUNTIFS('United Data'!$A$3:$A$2150,N$1,'United Data'!$C$3:$C$2150,$A693)&gt;0,1,0)</f>
        <v>0</v>
      </c>
      <c r="O693">
        <f>IF(COUNTIFS('United Data'!$A$3:$A$2150,O$1,'United Data'!$C$3:$C$2150,$A693)&gt;0,1,0)</f>
        <v>0</v>
      </c>
      <c r="P693">
        <f>IF(COUNTIFS('United Data'!$A$3:$A$2150,P$1,'United Data'!$C$3:$C$2150,$A693)&gt;0,1,0)</f>
        <v>0</v>
      </c>
      <c r="Q693">
        <f>IF(COUNTIFS('United Data'!$A$3:$A$2150,Q$1,'United Data'!$C$3:$C$2150,$A693)&gt;0,1,0)</f>
        <v>0</v>
      </c>
      <c r="R693">
        <f>IF(COUNTIFS('United Data'!$A$3:$A$2150,R$1,'United Data'!$C$3:$C$2150,$A693)&gt;0,1,0)</f>
        <v>0</v>
      </c>
      <c r="S693">
        <f t="shared" si="20"/>
        <v>1</v>
      </c>
      <c r="T693">
        <f t="shared" si="21"/>
        <v>1</v>
      </c>
    </row>
    <row r="694" spans="1:20" x14ac:dyDescent="0.2">
      <c r="A694" t="s">
        <v>740</v>
      </c>
      <c r="B694">
        <f>IF(COUNTIFS('United Data'!$A$3:$A$2150,B$1,'United Data'!$C$3:$C$2150,$A694)&gt;0,1,0)</f>
        <v>0</v>
      </c>
      <c r="C694">
        <f>IF(COUNTIFS('United Data'!$A$3:$A$2150,C$1,'United Data'!$C$3:$C$2150,$A694)&gt;0,1,0)</f>
        <v>0</v>
      </c>
      <c r="D694">
        <f>IF(COUNTIFS('United Data'!$A$3:$A$2150,D$1,'United Data'!$C$3:$C$2150,$A694)&gt;0,1,0)</f>
        <v>0</v>
      </c>
      <c r="E694">
        <f>IF(COUNTIFS('United Data'!$A$3:$A$2150,E$1,'United Data'!$C$3:$C$2150,$A694)&gt;0,1,0)</f>
        <v>0</v>
      </c>
      <c r="F694">
        <f>IF(COUNTIFS('United Data'!$A$3:$A$2150,F$1,'United Data'!$C$3:$C$2150,$A694)&gt;0,1,0)</f>
        <v>0</v>
      </c>
      <c r="G694">
        <f>IF(COUNTIFS('United Data'!$A$3:$A$2150,G$1,'United Data'!$C$3:$C$2150,$A694)&gt;0,1,0)</f>
        <v>0</v>
      </c>
      <c r="H694">
        <f>IF(COUNTIFS('United Data'!$A$3:$A$2150,H$1,'United Data'!$C$3:$C$2150,$A694)&gt;0,1,0)</f>
        <v>0</v>
      </c>
      <c r="I694">
        <f>IF(COUNTIFS('United Data'!$A$3:$A$2150,I$1,'United Data'!$C$3:$C$2150,$A694)&gt;0,1,0)</f>
        <v>0</v>
      </c>
      <c r="J694">
        <f>IF(COUNTIFS('United Data'!$A$3:$A$2150,J$1,'United Data'!$C$3:$C$2150,$A694)&gt;0,1,0)</f>
        <v>1</v>
      </c>
      <c r="K694">
        <f>IF(COUNTIFS('United Data'!$A$3:$A$2150,K$1,'United Data'!$C$3:$C$2150,$A694)&gt;0,1,0)</f>
        <v>0</v>
      </c>
      <c r="L694">
        <f>IF(COUNTIFS('United Data'!$A$3:$A$2150,L$1,'United Data'!$C$3:$C$2150,$A694)&gt;0,1,0)</f>
        <v>0</v>
      </c>
      <c r="M694">
        <f>IF(COUNTIFS('United Data'!$A$3:$A$2150,M$1,'United Data'!$C$3:$C$2150,$A694)&gt;0,1,0)</f>
        <v>0</v>
      </c>
      <c r="N694">
        <f>IF(COUNTIFS('United Data'!$A$3:$A$2150,N$1,'United Data'!$C$3:$C$2150,$A694)&gt;0,1,0)</f>
        <v>0</v>
      </c>
      <c r="O694">
        <f>IF(COUNTIFS('United Data'!$A$3:$A$2150,O$1,'United Data'!$C$3:$C$2150,$A694)&gt;0,1,0)</f>
        <v>0</v>
      </c>
      <c r="P694">
        <f>IF(COUNTIFS('United Data'!$A$3:$A$2150,P$1,'United Data'!$C$3:$C$2150,$A694)&gt;0,1,0)</f>
        <v>0</v>
      </c>
      <c r="Q694">
        <f>IF(COUNTIFS('United Data'!$A$3:$A$2150,Q$1,'United Data'!$C$3:$C$2150,$A694)&gt;0,1,0)</f>
        <v>0</v>
      </c>
      <c r="R694">
        <f>IF(COUNTIFS('United Data'!$A$3:$A$2150,R$1,'United Data'!$C$3:$C$2150,$A694)&gt;0,1,0)</f>
        <v>0</v>
      </c>
      <c r="S694">
        <f t="shared" si="20"/>
        <v>1</v>
      </c>
      <c r="T694">
        <f t="shared" si="21"/>
        <v>1</v>
      </c>
    </row>
    <row r="695" spans="1:20" x14ac:dyDescent="0.2">
      <c r="A695" t="s">
        <v>741</v>
      </c>
      <c r="B695">
        <f>IF(COUNTIFS('United Data'!$A$3:$A$2150,B$1,'United Data'!$C$3:$C$2150,$A695)&gt;0,1,0)</f>
        <v>0</v>
      </c>
      <c r="C695">
        <f>IF(COUNTIFS('United Data'!$A$3:$A$2150,C$1,'United Data'!$C$3:$C$2150,$A695)&gt;0,1,0)</f>
        <v>0</v>
      </c>
      <c r="D695">
        <f>IF(COUNTIFS('United Data'!$A$3:$A$2150,D$1,'United Data'!$C$3:$C$2150,$A695)&gt;0,1,0)</f>
        <v>0</v>
      </c>
      <c r="E695">
        <f>IF(COUNTIFS('United Data'!$A$3:$A$2150,E$1,'United Data'!$C$3:$C$2150,$A695)&gt;0,1,0)</f>
        <v>0</v>
      </c>
      <c r="F695">
        <f>IF(COUNTIFS('United Data'!$A$3:$A$2150,F$1,'United Data'!$C$3:$C$2150,$A695)&gt;0,1,0)</f>
        <v>0</v>
      </c>
      <c r="G695">
        <f>IF(COUNTIFS('United Data'!$A$3:$A$2150,G$1,'United Data'!$C$3:$C$2150,$A695)&gt;0,1,0)</f>
        <v>0</v>
      </c>
      <c r="H695">
        <f>IF(COUNTIFS('United Data'!$A$3:$A$2150,H$1,'United Data'!$C$3:$C$2150,$A695)&gt;0,1,0)</f>
        <v>0</v>
      </c>
      <c r="I695">
        <f>IF(COUNTIFS('United Data'!$A$3:$A$2150,I$1,'United Data'!$C$3:$C$2150,$A695)&gt;0,1,0)</f>
        <v>0</v>
      </c>
      <c r="J695">
        <f>IF(COUNTIFS('United Data'!$A$3:$A$2150,J$1,'United Data'!$C$3:$C$2150,$A695)&gt;0,1,0)</f>
        <v>0</v>
      </c>
      <c r="K695">
        <f>IF(COUNTIFS('United Data'!$A$3:$A$2150,K$1,'United Data'!$C$3:$C$2150,$A695)&gt;0,1,0)</f>
        <v>1</v>
      </c>
      <c r="L695">
        <f>IF(COUNTIFS('United Data'!$A$3:$A$2150,L$1,'United Data'!$C$3:$C$2150,$A695)&gt;0,1,0)</f>
        <v>1</v>
      </c>
      <c r="M695">
        <f>IF(COUNTIFS('United Data'!$A$3:$A$2150,M$1,'United Data'!$C$3:$C$2150,$A695)&gt;0,1,0)</f>
        <v>0</v>
      </c>
      <c r="N695">
        <f>IF(COUNTIFS('United Data'!$A$3:$A$2150,N$1,'United Data'!$C$3:$C$2150,$A695)&gt;0,1,0)</f>
        <v>0</v>
      </c>
      <c r="O695">
        <f>IF(COUNTIFS('United Data'!$A$3:$A$2150,O$1,'United Data'!$C$3:$C$2150,$A695)&gt;0,1,0)</f>
        <v>0</v>
      </c>
      <c r="P695">
        <f>IF(COUNTIFS('United Data'!$A$3:$A$2150,P$1,'United Data'!$C$3:$C$2150,$A695)&gt;0,1,0)</f>
        <v>0</v>
      </c>
      <c r="Q695">
        <f>IF(COUNTIFS('United Data'!$A$3:$A$2150,Q$1,'United Data'!$C$3:$C$2150,$A695)&gt;0,1,0)</f>
        <v>0</v>
      </c>
      <c r="R695">
        <f>IF(COUNTIFS('United Data'!$A$3:$A$2150,R$1,'United Data'!$C$3:$C$2150,$A695)&gt;0,1,0)</f>
        <v>0</v>
      </c>
      <c r="S695">
        <f t="shared" si="20"/>
        <v>2</v>
      </c>
      <c r="T695">
        <f t="shared" si="21"/>
        <v>1</v>
      </c>
    </row>
    <row r="696" spans="1:20" x14ac:dyDescent="0.2">
      <c r="A696" t="s">
        <v>742</v>
      </c>
      <c r="B696">
        <f>IF(COUNTIFS('United Data'!$A$3:$A$2150,B$1,'United Data'!$C$3:$C$2150,$A696)&gt;0,1,0)</f>
        <v>0</v>
      </c>
      <c r="C696">
        <f>IF(COUNTIFS('United Data'!$A$3:$A$2150,C$1,'United Data'!$C$3:$C$2150,$A696)&gt;0,1,0)</f>
        <v>0</v>
      </c>
      <c r="D696">
        <f>IF(COUNTIFS('United Data'!$A$3:$A$2150,D$1,'United Data'!$C$3:$C$2150,$A696)&gt;0,1,0)</f>
        <v>0</v>
      </c>
      <c r="E696">
        <f>IF(COUNTIFS('United Data'!$A$3:$A$2150,E$1,'United Data'!$C$3:$C$2150,$A696)&gt;0,1,0)</f>
        <v>0</v>
      </c>
      <c r="F696">
        <f>IF(COUNTIFS('United Data'!$A$3:$A$2150,F$1,'United Data'!$C$3:$C$2150,$A696)&gt;0,1,0)</f>
        <v>0</v>
      </c>
      <c r="G696">
        <f>IF(COUNTIFS('United Data'!$A$3:$A$2150,G$1,'United Data'!$C$3:$C$2150,$A696)&gt;0,1,0)</f>
        <v>0</v>
      </c>
      <c r="H696">
        <f>IF(COUNTIFS('United Data'!$A$3:$A$2150,H$1,'United Data'!$C$3:$C$2150,$A696)&gt;0,1,0)</f>
        <v>0</v>
      </c>
      <c r="I696">
        <f>IF(COUNTIFS('United Data'!$A$3:$A$2150,I$1,'United Data'!$C$3:$C$2150,$A696)&gt;0,1,0)</f>
        <v>0</v>
      </c>
      <c r="J696">
        <f>IF(COUNTIFS('United Data'!$A$3:$A$2150,J$1,'United Data'!$C$3:$C$2150,$A696)&gt;0,1,0)</f>
        <v>0</v>
      </c>
      <c r="K696">
        <f>IF(COUNTIFS('United Data'!$A$3:$A$2150,K$1,'United Data'!$C$3:$C$2150,$A696)&gt;0,1,0)</f>
        <v>1</v>
      </c>
      <c r="L696">
        <f>IF(COUNTIFS('United Data'!$A$3:$A$2150,L$1,'United Data'!$C$3:$C$2150,$A696)&gt;0,1,0)</f>
        <v>0</v>
      </c>
      <c r="M696">
        <f>IF(COUNTIFS('United Data'!$A$3:$A$2150,M$1,'United Data'!$C$3:$C$2150,$A696)&gt;0,1,0)</f>
        <v>0</v>
      </c>
      <c r="N696">
        <f>IF(COUNTIFS('United Data'!$A$3:$A$2150,N$1,'United Data'!$C$3:$C$2150,$A696)&gt;0,1,0)</f>
        <v>0</v>
      </c>
      <c r="O696">
        <f>IF(COUNTIFS('United Data'!$A$3:$A$2150,O$1,'United Data'!$C$3:$C$2150,$A696)&gt;0,1,0)</f>
        <v>0</v>
      </c>
      <c r="P696">
        <f>IF(COUNTIFS('United Data'!$A$3:$A$2150,P$1,'United Data'!$C$3:$C$2150,$A696)&gt;0,1,0)</f>
        <v>0</v>
      </c>
      <c r="Q696">
        <f>IF(COUNTIFS('United Data'!$A$3:$A$2150,Q$1,'United Data'!$C$3:$C$2150,$A696)&gt;0,1,0)</f>
        <v>0</v>
      </c>
      <c r="R696">
        <f>IF(COUNTIFS('United Data'!$A$3:$A$2150,R$1,'United Data'!$C$3:$C$2150,$A696)&gt;0,1,0)</f>
        <v>0</v>
      </c>
      <c r="S696">
        <f t="shared" si="20"/>
        <v>1</v>
      </c>
      <c r="T696">
        <f t="shared" si="21"/>
        <v>1</v>
      </c>
    </row>
    <row r="697" spans="1:20" x14ac:dyDescent="0.2">
      <c r="A697" t="s">
        <v>743</v>
      </c>
      <c r="B697">
        <f>IF(COUNTIFS('United Data'!$A$3:$A$2150,B$1,'United Data'!$C$3:$C$2150,$A697)&gt;0,1,0)</f>
        <v>0</v>
      </c>
      <c r="C697">
        <f>IF(COUNTIFS('United Data'!$A$3:$A$2150,C$1,'United Data'!$C$3:$C$2150,$A697)&gt;0,1,0)</f>
        <v>0</v>
      </c>
      <c r="D697">
        <f>IF(COUNTIFS('United Data'!$A$3:$A$2150,D$1,'United Data'!$C$3:$C$2150,$A697)&gt;0,1,0)</f>
        <v>0</v>
      </c>
      <c r="E697">
        <f>IF(COUNTIFS('United Data'!$A$3:$A$2150,E$1,'United Data'!$C$3:$C$2150,$A697)&gt;0,1,0)</f>
        <v>0</v>
      </c>
      <c r="F697">
        <f>IF(COUNTIFS('United Data'!$A$3:$A$2150,F$1,'United Data'!$C$3:$C$2150,$A697)&gt;0,1,0)</f>
        <v>0</v>
      </c>
      <c r="G697">
        <f>IF(COUNTIFS('United Data'!$A$3:$A$2150,G$1,'United Data'!$C$3:$C$2150,$A697)&gt;0,1,0)</f>
        <v>0</v>
      </c>
      <c r="H697">
        <f>IF(COUNTIFS('United Data'!$A$3:$A$2150,H$1,'United Data'!$C$3:$C$2150,$A697)&gt;0,1,0)</f>
        <v>0</v>
      </c>
      <c r="I697">
        <f>IF(COUNTIFS('United Data'!$A$3:$A$2150,I$1,'United Data'!$C$3:$C$2150,$A697)&gt;0,1,0)</f>
        <v>0</v>
      </c>
      <c r="J697">
        <f>IF(COUNTIFS('United Data'!$A$3:$A$2150,J$1,'United Data'!$C$3:$C$2150,$A697)&gt;0,1,0)</f>
        <v>0</v>
      </c>
      <c r="K697">
        <f>IF(COUNTIFS('United Data'!$A$3:$A$2150,K$1,'United Data'!$C$3:$C$2150,$A697)&gt;0,1,0)</f>
        <v>1</v>
      </c>
      <c r="L697">
        <f>IF(COUNTIFS('United Data'!$A$3:$A$2150,L$1,'United Data'!$C$3:$C$2150,$A697)&gt;0,1,0)</f>
        <v>0</v>
      </c>
      <c r="M697">
        <f>IF(COUNTIFS('United Data'!$A$3:$A$2150,M$1,'United Data'!$C$3:$C$2150,$A697)&gt;0,1,0)</f>
        <v>0</v>
      </c>
      <c r="N697">
        <f>IF(COUNTIFS('United Data'!$A$3:$A$2150,N$1,'United Data'!$C$3:$C$2150,$A697)&gt;0,1,0)</f>
        <v>0</v>
      </c>
      <c r="O697">
        <f>IF(COUNTIFS('United Data'!$A$3:$A$2150,O$1,'United Data'!$C$3:$C$2150,$A697)&gt;0,1,0)</f>
        <v>0</v>
      </c>
      <c r="P697">
        <f>IF(COUNTIFS('United Data'!$A$3:$A$2150,P$1,'United Data'!$C$3:$C$2150,$A697)&gt;0,1,0)</f>
        <v>0</v>
      </c>
      <c r="Q697">
        <f>IF(COUNTIFS('United Data'!$A$3:$A$2150,Q$1,'United Data'!$C$3:$C$2150,$A697)&gt;0,1,0)</f>
        <v>0</v>
      </c>
      <c r="R697">
        <f>IF(COUNTIFS('United Data'!$A$3:$A$2150,R$1,'United Data'!$C$3:$C$2150,$A697)&gt;0,1,0)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744</v>
      </c>
      <c r="B698">
        <f>IF(COUNTIFS('United Data'!$A$3:$A$2150,B$1,'United Data'!$C$3:$C$2150,$A698)&gt;0,1,0)</f>
        <v>0</v>
      </c>
      <c r="C698">
        <f>IF(COUNTIFS('United Data'!$A$3:$A$2150,C$1,'United Data'!$C$3:$C$2150,$A698)&gt;0,1,0)</f>
        <v>0</v>
      </c>
      <c r="D698">
        <f>IF(COUNTIFS('United Data'!$A$3:$A$2150,D$1,'United Data'!$C$3:$C$2150,$A698)&gt;0,1,0)</f>
        <v>0</v>
      </c>
      <c r="E698">
        <f>IF(COUNTIFS('United Data'!$A$3:$A$2150,E$1,'United Data'!$C$3:$C$2150,$A698)&gt;0,1,0)</f>
        <v>0</v>
      </c>
      <c r="F698">
        <f>IF(COUNTIFS('United Data'!$A$3:$A$2150,F$1,'United Data'!$C$3:$C$2150,$A698)&gt;0,1,0)</f>
        <v>0</v>
      </c>
      <c r="G698">
        <f>IF(COUNTIFS('United Data'!$A$3:$A$2150,G$1,'United Data'!$C$3:$C$2150,$A698)&gt;0,1,0)</f>
        <v>0</v>
      </c>
      <c r="H698">
        <f>IF(COUNTIFS('United Data'!$A$3:$A$2150,H$1,'United Data'!$C$3:$C$2150,$A698)&gt;0,1,0)</f>
        <v>0</v>
      </c>
      <c r="I698">
        <f>IF(COUNTIFS('United Data'!$A$3:$A$2150,I$1,'United Data'!$C$3:$C$2150,$A698)&gt;0,1,0)</f>
        <v>0</v>
      </c>
      <c r="J698">
        <f>IF(COUNTIFS('United Data'!$A$3:$A$2150,J$1,'United Data'!$C$3:$C$2150,$A698)&gt;0,1,0)</f>
        <v>0</v>
      </c>
      <c r="K698">
        <f>IF(COUNTIFS('United Data'!$A$3:$A$2150,K$1,'United Data'!$C$3:$C$2150,$A698)&gt;0,1,0)</f>
        <v>1</v>
      </c>
      <c r="L698">
        <f>IF(COUNTIFS('United Data'!$A$3:$A$2150,L$1,'United Data'!$C$3:$C$2150,$A698)&gt;0,1,0)</f>
        <v>1</v>
      </c>
      <c r="M698">
        <f>IF(COUNTIFS('United Data'!$A$3:$A$2150,M$1,'United Data'!$C$3:$C$2150,$A698)&gt;0,1,0)</f>
        <v>0</v>
      </c>
      <c r="N698">
        <f>IF(COUNTIFS('United Data'!$A$3:$A$2150,N$1,'United Data'!$C$3:$C$2150,$A698)&gt;0,1,0)</f>
        <v>0</v>
      </c>
      <c r="O698">
        <f>IF(COUNTIFS('United Data'!$A$3:$A$2150,O$1,'United Data'!$C$3:$C$2150,$A698)&gt;0,1,0)</f>
        <v>0</v>
      </c>
      <c r="P698">
        <f>IF(COUNTIFS('United Data'!$A$3:$A$2150,P$1,'United Data'!$C$3:$C$2150,$A698)&gt;0,1,0)</f>
        <v>0</v>
      </c>
      <c r="Q698">
        <f>IF(COUNTIFS('United Data'!$A$3:$A$2150,Q$1,'United Data'!$C$3:$C$2150,$A698)&gt;0,1,0)</f>
        <v>0</v>
      </c>
      <c r="R698">
        <f>IF(COUNTIFS('United Data'!$A$3:$A$2150,R$1,'United Data'!$C$3:$C$2150,$A698)&gt;0,1,0)</f>
        <v>0</v>
      </c>
      <c r="S698">
        <f t="shared" si="20"/>
        <v>2</v>
      </c>
      <c r="T698">
        <f t="shared" si="21"/>
        <v>1</v>
      </c>
    </row>
    <row r="699" spans="1:20" x14ac:dyDescent="0.2">
      <c r="A699" t="s">
        <v>745</v>
      </c>
      <c r="B699">
        <f>IF(COUNTIFS('United Data'!$A$3:$A$2150,B$1,'United Data'!$C$3:$C$2150,$A699)&gt;0,1,0)</f>
        <v>0</v>
      </c>
      <c r="C699">
        <f>IF(COUNTIFS('United Data'!$A$3:$A$2150,C$1,'United Data'!$C$3:$C$2150,$A699)&gt;0,1,0)</f>
        <v>0</v>
      </c>
      <c r="D699">
        <f>IF(COUNTIFS('United Data'!$A$3:$A$2150,D$1,'United Data'!$C$3:$C$2150,$A699)&gt;0,1,0)</f>
        <v>0</v>
      </c>
      <c r="E699">
        <f>IF(COUNTIFS('United Data'!$A$3:$A$2150,E$1,'United Data'!$C$3:$C$2150,$A699)&gt;0,1,0)</f>
        <v>0</v>
      </c>
      <c r="F699">
        <f>IF(COUNTIFS('United Data'!$A$3:$A$2150,F$1,'United Data'!$C$3:$C$2150,$A699)&gt;0,1,0)</f>
        <v>0</v>
      </c>
      <c r="G699">
        <f>IF(COUNTIFS('United Data'!$A$3:$A$2150,G$1,'United Data'!$C$3:$C$2150,$A699)&gt;0,1,0)</f>
        <v>0</v>
      </c>
      <c r="H699">
        <f>IF(COUNTIFS('United Data'!$A$3:$A$2150,H$1,'United Data'!$C$3:$C$2150,$A699)&gt;0,1,0)</f>
        <v>0</v>
      </c>
      <c r="I699">
        <f>IF(COUNTIFS('United Data'!$A$3:$A$2150,I$1,'United Data'!$C$3:$C$2150,$A699)&gt;0,1,0)</f>
        <v>0</v>
      </c>
      <c r="J699">
        <f>IF(COUNTIFS('United Data'!$A$3:$A$2150,J$1,'United Data'!$C$3:$C$2150,$A699)&gt;0,1,0)</f>
        <v>0</v>
      </c>
      <c r="K699">
        <f>IF(COUNTIFS('United Data'!$A$3:$A$2150,K$1,'United Data'!$C$3:$C$2150,$A699)&gt;0,1,0)</f>
        <v>1</v>
      </c>
      <c r="L699">
        <f>IF(COUNTIFS('United Data'!$A$3:$A$2150,L$1,'United Data'!$C$3:$C$2150,$A699)&gt;0,1,0)</f>
        <v>0</v>
      </c>
      <c r="M699">
        <f>IF(COUNTIFS('United Data'!$A$3:$A$2150,M$1,'United Data'!$C$3:$C$2150,$A699)&gt;0,1,0)</f>
        <v>0</v>
      </c>
      <c r="N699">
        <f>IF(COUNTIFS('United Data'!$A$3:$A$2150,N$1,'United Data'!$C$3:$C$2150,$A699)&gt;0,1,0)</f>
        <v>0</v>
      </c>
      <c r="O699">
        <f>IF(COUNTIFS('United Data'!$A$3:$A$2150,O$1,'United Data'!$C$3:$C$2150,$A699)&gt;0,1,0)</f>
        <v>0</v>
      </c>
      <c r="P699">
        <f>IF(COUNTIFS('United Data'!$A$3:$A$2150,P$1,'United Data'!$C$3:$C$2150,$A699)&gt;0,1,0)</f>
        <v>0</v>
      </c>
      <c r="Q699">
        <f>IF(COUNTIFS('United Data'!$A$3:$A$2150,Q$1,'United Data'!$C$3:$C$2150,$A699)&gt;0,1,0)</f>
        <v>0</v>
      </c>
      <c r="R699">
        <f>IF(COUNTIFS('United Data'!$A$3:$A$2150,R$1,'United Data'!$C$3:$C$2150,$A699)&gt;0,1,0)</f>
        <v>0</v>
      </c>
      <c r="S699">
        <f t="shared" si="20"/>
        <v>1</v>
      </c>
      <c r="T699">
        <f t="shared" si="21"/>
        <v>1</v>
      </c>
    </row>
    <row r="700" spans="1:20" x14ac:dyDescent="0.2">
      <c r="A700" t="s">
        <v>746</v>
      </c>
      <c r="B700">
        <f>IF(COUNTIFS('United Data'!$A$3:$A$2150,B$1,'United Data'!$C$3:$C$2150,$A700)&gt;0,1,0)</f>
        <v>0</v>
      </c>
      <c r="C700">
        <f>IF(COUNTIFS('United Data'!$A$3:$A$2150,C$1,'United Data'!$C$3:$C$2150,$A700)&gt;0,1,0)</f>
        <v>0</v>
      </c>
      <c r="D700">
        <f>IF(COUNTIFS('United Data'!$A$3:$A$2150,D$1,'United Data'!$C$3:$C$2150,$A700)&gt;0,1,0)</f>
        <v>0</v>
      </c>
      <c r="E700">
        <f>IF(COUNTIFS('United Data'!$A$3:$A$2150,E$1,'United Data'!$C$3:$C$2150,$A700)&gt;0,1,0)</f>
        <v>0</v>
      </c>
      <c r="F700">
        <f>IF(COUNTIFS('United Data'!$A$3:$A$2150,F$1,'United Data'!$C$3:$C$2150,$A700)&gt;0,1,0)</f>
        <v>0</v>
      </c>
      <c r="G700">
        <f>IF(COUNTIFS('United Data'!$A$3:$A$2150,G$1,'United Data'!$C$3:$C$2150,$A700)&gt;0,1,0)</f>
        <v>0</v>
      </c>
      <c r="H700">
        <f>IF(COUNTIFS('United Data'!$A$3:$A$2150,H$1,'United Data'!$C$3:$C$2150,$A700)&gt;0,1,0)</f>
        <v>0</v>
      </c>
      <c r="I700">
        <f>IF(COUNTIFS('United Data'!$A$3:$A$2150,I$1,'United Data'!$C$3:$C$2150,$A700)&gt;0,1,0)</f>
        <v>0</v>
      </c>
      <c r="J700">
        <f>IF(COUNTIFS('United Data'!$A$3:$A$2150,J$1,'United Data'!$C$3:$C$2150,$A700)&gt;0,1,0)</f>
        <v>0</v>
      </c>
      <c r="K700">
        <f>IF(COUNTIFS('United Data'!$A$3:$A$2150,K$1,'United Data'!$C$3:$C$2150,$A700)&gt;0,1,0)</f>
        <v>1</v>
      </c>
      <c r="L700">
        <f>IF(COUNTIFS('United Data'!$A$3:$A$2150,L$1,'United Data'!$C$3:$C$2150,$A700)&gt;0,1,0)</f>
        <v>0</v>
      </c>
      <c r="M700">
        <f>IF(COUNTIFS('United Data'!$A$3:$A$2150,M$1,'United Data'!$C$3:$C$2150,$A700)&gt;0,1,0)</f>
        <v>0</v>
      </c>
      <c r="N700">
        <f>IF(COUNTIFS('United Data'!$A$3:$A$2150,N$1,'United Data'!$C$3:$C$2150,$A700)&gt;0,1,0)</f>
        <v>0</v>
      </c>
      <c r="O700">
        <f>IF(COUNTIFS('United Data'!$A$3:$A$2150,O$1,'United Data'!$C$3:$C$2150,$A700)&gt;0,1,0)</f>
        <v>0</v>
      </c>
      <c r="P700">
        <f>IF(COUNTIFS('United Data'!$A$3:$A$2150,P$1,'United Data'!$C$3:$C$2150,$A700)&gt;0,1,0)</f>
        <v>0</v>
      </c>
      <c r="Q700">
        <f>IF(COUNTIFS('United Data'!$A$3:$A$2150,Q$1,'United Data'!$C$3:$C$2150,$A700)&gt;0,1,0)</f>
        <v>0</v>
      </c>
      <c r="R700">
        <f>IF(COUNTIFS('United Data'!$A$3:$A$2150,R$1,'United Data'!$C$3:$C$2150,$A700)&gt;0,1,0)</f>
        <v>0</v>
      </c>
      <c r="S700">
        <f t="shared" si="20"/>
        <v>1</v>
      </c>
      <c r="T700">
        <f t="shared" si="21"/>
        <v>1</v>
      </c>
    </row>
    <row r="701" spans="1:20" x14ac:dyDescent="0.2">
      <c r="A701" t="s">
        <v>747</v>
      </c>
      <c r="B701">
        <f>IF(COUNTIFS('United Data'!$A$3:$A$2150,B$1,'United Data'!$C$3:$C$2150,$A701)&gt;0,1,0)</f>
        <v>0</v>
      </c>
      <c r="C701">
        <f>IF(COUNTIFS('United Data'!$A$3:$A$2150,C$1,'United Data'!$C$3:$C$2150,$A701)&gt;0,1,0)</f>
        <v>0</v>
      </c>
      <c r="D701">
        <f>IF(COUNTIFS('United Data'!$A$3:$A$2150,D$1,'United Data'!$C$3:$C$2150,$A701)&gt;0,1,0)</f>
        <v>0</v>
      </c>
      <c r="E701">
        <f>IF(COUNTIFS('United Data'!$A$3:$A$2150,E$1,'United Data'!$C$3:$C$2150,$A701)&gt;0,1,0)</f>
        <v>0</v>
      </c>
      <c r="F701">
        <f>IF(COUNTIFS('United Data'!$A$3:$A$2150,F$1,'United Data'!$C$3:$C$2150,$A701)&gt;0,1,0)</f>
        <v>0</v>
      </c>
      <c r="G701">
        <f>IF(COUNTIFS('United Data'!$A$3:$A$2150,G$1,'United Data'!$C$3:$C$2150,$A701)&gt;0,1,0)</f>
        <v>0</v>
      </c>
      <c r="H701">
        <f>IF(COUNTIFS('United Data'!$A$3:$A$2150,H$1,'United Data'!$C$3:$C$2150,$A701)&gt;0,1,0)</f>
        <v>0</v>
      </c>
      <c r="I701">
        <f>IF(COUNTIFS('United Data'!$A$3:$A$2150,I$1,'United Data'!$C$3:$C$2150,$A701)&gt;0,1,0)</f>
        <v>0</v>
      </c>
      <c r="J701">
        <f>IF(COUNTIFS('United Data'!$A$3:$A$2150,J$1,'United Data'!$C$3:$C$2150,$A701)&gt;0,1,0)</f>
        <v>0</v>
      </c>
      <c r="K701">
        <f>IF(COUNTIFS('United Data'!$A$3:$A$2150,K$1,'United Data'!$C$3:$C$2150,$A701)&gt;0,1,0)</f>
        <v>0</v>
      </c>
      <c r="L701">
        <f>IF(COUNTIFS('United Data'!$A$3:$A$2150,L$1,'United Data'!$C$3:$C$2150,$A701)&gt;0,1,0)</f>
        <v>1</v>
      </c>
      <c r="M701">
        <f>IF(COUNTIFS('United Data'!$A$3:$A$2150,M$1,'United Data'!$C$3:$C$2150,$A701)&gt;0,1,0)</f>
        <v>0</v>
      </c>
      <c r="N701">
        <f>IF(COUNTIFS('United Data'!$A$3:$A$2150,N$1,'United Data'!$C$3:$C$2150,$A701)&gt;0,1,0)</f>
        <v>0</v>
      </c>
      <c r="O701">
        <f>IF(COUNTIFS('United Data'!$A$3:$A$2150,O$1,'United Data'!$C$3:$C$2150,$A701)&gt;0,1,0)</f>
        <v>0</v>
      </c>
      <c r="P701">
        <f>IF(COUNTIFS('United Data'!$A$3:$A$2150,P$1,'United Data'!$C$3:$C$2150,$A701)&gt;0,1,0)</f>
        <v>0</v>
      </c>
      <c r="Q701">
        <f>IF(COUNTIFS('United Data'!$A$3:$A$2150,Q$1,'United Data'!$C$3:$C$2150,$A701)&gt;0,1,0)</f>
        <v>0</v>
      </c>
      <c r="R701">
        <f>IF(COUNTIFS('United Data'!$A$3:$A$2150,R$1,'United Data'!$C$3:$C$2150,$A701)&gt;0,1,0)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748</v>
      </c>
      <c r="B702">
        <f>IF(COUNTIFS('United Data'!$A$3:$A$2150,B$1,'United Data'!$C$3:$C$2150,$A702)&gt;0,1,0)</f>
        <v>0</v>
      </c>
      <c r="C702">
        <f>IF(COUNTIFS('United Data'!$A$3:$A$2150,C$1,'United Data'!$C$3:$C$2150,$A702)&gt;0,1,0)</f>
        <v>0</v>
      </c>
      <c r="D702">
        <f>IF(COUNTIFS('United Data'!$A$3:$A$2150,D$1,'United Data'!$C$3:$C$2150,$A702)&gt;0,1,0)</f>
        <v>0</v>
      </c>
      <c r="E702">
        <f>IF(COUNTIFS('United Data'!$A$3:$A$2150,E$1,'United Data'!$C$3:$C$2150,$A702)&gt;0,1,0)</f>
        <v>0</v>
      </c>
      <c r="F702">
        <f>IF(COUNTIFS('United Data'!$A$3:$A$2150,F$1,'United Data'!$C$3:$C$2150,$A702)&gt;0,1,0)</f>
        <v>0</v>
      </c>
      <c r="G702">
        <f>IF(COUNTIFS('United Data'!$A$3:$A$2150,G$1,'United Data'!$C$3:$C$2150,$A702)&gt;0,1,0)</f>
        <v>0</v>
      </c>
      <c r="H702">
        <f>IF(COUNTIFS('United Data'!$A$3:$A$2150,H$1,'United Data'!$C$3:$C$2150,$A702)&gt;0,1,0)</f>
        <v>0</v>
      </c>
      <c r="I702">
        <f>IF(COUNTIFS('United Data'!$A$3:$A$2150,I$1,'United Data'!$C$3:$C$2150,$A702)&gt;0,1,0)</f>
        <v>0</v>
      </c>
      <c r="J702">
        <f>IF(COUNTIFS('United Data'!$A$3:$A$2150,J$1,'United Data'!$C$3:$C$2150,$A702)&gt;0,1,0)</f>
        <v>0</v>
      </c>
      <c r="K702">
        <f>IF(COUNTIFS('United Data'!$A$3:$A$2150,K$1,'United Data'!$C$3:$C$2150,$A702)&gt;0,1,0)</f>
        <v>0</v>
      </c>
      <c r="L702">
        <f>IF(COUNTIFS('United Data'!$A$3:$A$2150,L$1,'United Data'!$C$3:$C$2150,$A702)&gt;0,1,0)</f>
        <v>1</v>
      </c>
      <c r="M702">
        <f>IF(COUNTIFS('United Data'!$A$3:$A$2150,M$1,'United Data'!$C$3:$C$2150,$A702)&gt;0,1,0)</f>
        <v>0</v>
      </c>
      <c r="N702">
        <f>IF(COUNTIFS('United Data'!$A$3:$A$2150,N$1,'United Data'!$C$3:$C$2150,$A702)&gt;0,1,0)</f>
        <v>0</v>
      </c>
      <c r="O702">
        <f>IF(COUNTIFS('United Data'!$A$3:$A$2150,O$1,'United Data'!$C$3:$C$2150,$A702)&gt;0,1,0)</f>
        <v>0</v>
      </c>
      <c r="P702">
        <f>IF(COUNTIFS('United Data'!$A$3:$A$2150,P$1,'United Data'!$C$3:$C$2150,$A702)&gt;0,1,0)</f>
        <v>0</v>
      </c>
      <c r="Q702">
        <f>IF(COUNTIFS('United Data'!$A$3:$A$2150,Q$1,'United Data'!$C$3:$C$2150,$A702)&gt;0,1,0)</f>
        <v>0</v>
      </c>
      <c r="R702">
        <f>IF(COUNTIFS('United Data'!$A$3:$A$2150,R$1,'United Data'!$C$3:$C$2150,$A702)&gt;0,1,0)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749</v>
      </c>
      <c r="B703">
        <f>IF(COUNTIFS('United Data'!$A$3:$A$2150,B$1,'United Data'!$C$3:$C$2150,$A703)&gt;0,1,0)</f>
        <v>0</v>
      </c>
      <c r="C703">
        <f>IF(COUNTIFS('United Data'!$A$3:$A$2150,C$1,'United Data'!$C$3:$C$2150,$A703)&gt;0,1,0)</f>
        <v>0</v>
      </c>
      <c r="D703">
        <f>IF(COUNTIFS('United Data'!$A$3:$A$2150,D$1,'United Data'!$C$3:$C$2150,$A703)&gt;0,1,0)</f>
        <v>0</v>
      </c>
      <c r="E703">
        <f>IF(COUNTIFS('United Data'!$A$3:$A$2150,E$1,'United Data'!$C$3:$C$2150,$A703)&gt;0,1,0)</f>
        <v>0</v>
      </c>
      <c r="F703">
        <f>IF(COUNTIFS('United Data'!$A$3:$A$2150,F$1,'United Data'!$C$3:$C$2150,$A703)&gt;0,1,0)</f>
        <v>0</v>
      </c>
      <c r="G703">
        <f>IF(COUNTIFS('United Data'!$A$3:$A$2150,G$1,'United Data'!$C$3:$C$2150,$A703)&gt;0,1,0)</f>
        <v>0</v>
      </c>
      <c r="H703">
        <f>IF(COUNTIFS('United Data'!$A$3:$A$2150,H$1,'United Data'!$C$3:$C$2150,$A703)&gt;0,1,0)</f>
        <v>0</v>
      </c>
      <c r="I703">
        <f>IF(COUNTIFS('United Data'!$A$3:$A$2150,I$1,'United Data'!$C$3:$C$2150,$A703)&gt;0,1,0)</f>
        <v>0</v>
      </c>
      <c r="J703">
        <f>IF(COUNTIFS('United Data'!$A$3:$A$2150,J$1,'United Data'!$C$3:$C$2150,$A703)&gt;0,1,0)</f>
        <v>0</v>
      </c>
      <c r="K703">
        <f>IF(COUNTIFS('United Data'!$A$3:$A$2150,K$1,'United Data'!$C$3:$C$2150,$A703)&gt;0,1,0)</f>
        <v>0</v>
      </c>
      <c r="L703">
        <f>IF(COUNTIFS('United Data'!$A$3:$A$2150,L$1,'United Data'!$C$3:$C$2150,$A703)&gt;0,1,0)</f>
        <v>0</v>
      </c>
      <c r="M703">
        <f>IF(COUNTIFS('United Data'!$A$3:$A$2150,M$1,'United Data'!$C$3:$C$2150,$A703)&gt;0,1,0)</f>
        <v>1</v>
      </c>
      <c r="N703">
        <f>IF(COUNTIFS('United Data'!$A$3:$A$2150,N$1,'United Data'!$C$3:$C$2150,$A703)&gt;0,1,0)</f>
        <v>0</v>
      </c>
      <c r="O703">
        <f>IF(COUNTIFS('United Data'!$A$3:$A$2150,O$1,'United Data'!$C$3:$C$2150,$A703)&gt;0,1,0)</f>
        <v>0</v>
      </c>
      <c r="P703">
        <f>IF(COUNTIFS('United Data'!$A$3:$A$2150,P$1,'United Data'!$C$3:$C$2150,$A703)&gt;0,1,0)</f>
        <v>0</v>
      </c>
      <c r="Q703">
        <f>IF(COUNTIFS('United Data'!$A$3:$A$2150,Q$1,'United Data'!$C$3:$C$2150,$A703)&gt;0,1,0)</f>
        <v>0</v>
      </c>
      <c r="R703">
        <f>IF(COUNTIFS('United Data'!$A$3:$A$2150,R$1,'United Data'!$C$3:$C$2150,$A703)&gt;0,1,0)</f>
        <v>0</v>
      </c>
      <c r="S703">
        <f t="shared" si="20"/>
        <v>1</v>
      </c>
      <c r="T703">
        <f t="shared" si="21"/>
        <v>1</v>
      </c>
    </row>
    <row r="704" spans="1:20" x14ac:dyDescent="0.2">
      <c r="A704" t="s">
        <v>750</v>
      </c>
      <c r="B704">
        <f>IF(COUNTIFS('United Data'!$A$3:$A$2150,B$1,'United Data'!$C$3:$C$2150,$A704)&gt;0,1,0)</f>
        <v>0</v>
      </c>
      <c r="C704">
        <f>IF(COUNTIFS('United Data'!$A$3:$A$2150,C$1,'United Data'!$C$3:$C$2150,$A704)&gt;0,1,0)</f>
        <v>0</v>
      </c>
      <c r="D704">
        <f>IF(COUNTIFS('United Data'!$A$3:$A$2150,D$1,'United Data'!$C$3:$C$2150,$A704)&gt;0,1,0)</f>
        <v>0</v>
      </c>
      <c r="E704">
        <f>IF(COUNTIFS('United Data'!$A$3:$A$2150,E$1,'United Data'!$C$3:$C$2150,$A704)&gt;0,1,0)</f>
        <v>0</v>
      </c>
      <c r="F704">
        <f>IF(COUNTIFS('United Data'!$A$3:$A$2150,F$1,'United Data'!$C$3:$C$2150,$A704)&gt;0,1,0)</f>
        <v>0</v>
      </c>
      <c r="G704">
        <f>IF(COUNTIFS('United Data'!$A$3:$A$2150,G$1,'United Data'!$C$3:$C$2150,$A704)&gt;0,1,0)</f>
        <v>0</v>
      </c>
      <c r="H704">
        <f>IF(COUNTIFS('United Data'!$A$3:$A$2150,H$1,'United Data'!$C$3:$C$2150,$A704)&gt;0,1,0)</f>
        <v>0</v>
      </c>
      <c r="I704">
        <f>IF(COUNTIFS('United Data'!$A$3:$A$2150,I$1,'United Data'!$C$3:$C$2150,$A704)&gt;0,1,0)</f>
        <v>0</v>
      </c>
      <c r="J704">
        <f>IF(COUNTIFS('United Data'!$A$3:$A$2150,J$1,'United Data'!$C$3:$C$2150,$A704)&gt;0,1,0)</f>
        <v>0</v>
      </c>
      <c r="K704">
        <f>IF(COUNTIFS('United Data'!$A$3:$A$2150,K$1,'United Data'!$C$3:$C$2150,$A704)&gt;0,1,0)</f>
        <v>0</v>
      </c>
      <c r="L704">
        <f>IF(COUNTIFS('United Data'!$A$3:$A$2150,L$1,'United Data'!$C$3:$C$2150,$A704)&gt;0,1,0)</f>
        <v>0</v>
      </c>
      <c r="M704">
        <f>IF(COUNTIFS('United Data'!$A$3:$A$2150,M$1,'United Data'!$C$3:$C$2150,$A704)&gt;0,1,0)</f>
        <v>1</v>
      </c>
      <c r="N704">
        <f>IF(COUNTIFS('United Data'!$A$3:$A$2150,N$1,'United Data'!$C$3:$C$2150,$A704)&gt;0,1,0)</f>
        <v>0</v>
      </c>
      <c r="O704">
        <f>IF(COUNTIFS('United Data'!$A$3:$A$2150,O$1,'United Data'!$C$3:$C$2150,$A704)&gt;0,1,0)</f>
        <v>0</v>
      </c>
      <c r="P704">
        <f>IF(COUNTIFS('United Data'!$A$3:$A$2150,P$1,'United Data'!$C$3:$C$2150,$A704)&gt;0,1,0)</f>
        <v>0</v>
      </c>
      <c r="Q704">
        <f>IF(COUNTIFS('United Data'!$A$3:$A$2150,Q$1,'United Data'!$C$3:$C$2150,$A704)&gt;0,1,0)</f>
        <v>0</v>
      </c>
      <c r="R704">
        <f>IF(COUNTIFS('United Data'!$A$3:$A$2150,R$1,'United Data'!$C$3:$C$2150,$A704)&gt;0,1,0)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751</v>
      </c>
      <c r="B705">
        <f>IF(COUNTIFS('United Data'!$A$3:$A$2150,B$1,'United Data'!$C$3:$C$2150,$A705)&gt;0,1,0)</f>
        <v>0</v>
      </c>
      <c r="C705">
        <f>IF(COUNTIFS('United Data'!$A$3:$A$2150,C$1,'United Data'!$C$3:$C$2150,$A705)&gt;0,1,0)</f>
        <v>0</v>
      </c>
      <c r="D705">
        <f>IF(COUNTIFS('United Data'!$A$3:$A$2150,D$1,'United Data'!$C$3:$C$2150,$A705)&gt;0,1,0)</f>
        <v>0</v>
      </c>
      <c r="E705">
        <f>IF(COUNTIFS('United Data'!$A$3:$A$2150,E$1,'United Data'!$C$3:$C$2150,$A705)&gt;0,1,0)</f>
        <v>0</v>
      </c>
      <c r="F705">
        <f>IF(COUNTIFS('United Data'!$A$3:$A$2150,F$1,'United Data'!$C$3:$C$2150,$A705)&gt;0,1,0)</f>
        <v>0</v>
      </c>
      <c r="G705">
        <f>IF(COUNTIFS('United Data'!$A$3:$A$2150,G$1,'United Data'!$C$3:$C$2150,$A705)&gt;0,1,0)</f>
        <v>0</v>
      </c>
      <c r="H705">
        <f>IF(COUNTIFS('United Data'!$A$3:$A$2150,H$1,'United Data'!$C$3:$C$2150,$A705)&gt;0,1,0)</f>
        <v>0</v>
      </c>
      <c r="I705">
        <f>IF(COUNTIFS('United Data'!$A$3:$A$2150,I$1,'United Data'!$C$3:$C$2150,$A705)&gt;0,1,0)</f>
        <v>0</v>
      </c>
      <c r="J705">
        <f>IF(COUNTIFS('United Data'!$A$3:$A$2150,J$1,'United Data'!$C$3:$C$2150,$A705)&gt;0,1,0)</f>
        <v>0</v>
      </c>
      <c r="K705">
        <f>IF(COUNTIFS('United Data'!$A$3:$A$2150,K$1,'United Data'!$C$3:$C$2150,$A705)&gt;0,1,0)</f>
        <v>0</v>
      </c>
      <c r="L705">
        <f>IF(COUNTIFS('United Data'!$A$3:$A$2150,L$1,'United Data'!$C$3:$C$2150,$A705)&gt;0,1,0)</f>
        <v>0</v>
      </c>
      <c r="M705">
        <f>IF(COUNTIFS('United Data'!$A$3:$A$2150,M$1,'United Data'!$C$3:$C$2150,$A705)&gt;0,1,0)</f>
        <v>1</v>
      </c>
      <c r="N705">
        <f>IF(COUNTIFS('United Data'!$A$3:$A$2150,N$1,'United Data'!$C$3:$C$2150,$A705)&gt;0,1,0)</f>
        <v>0</v>
      </c>
      <c r="O705">
        <f>IF(COUNTIFS('United Data'!$A$3:$A$2150,O$1,'United Data'!$C$3:$C$2150,$A705)&gt;0,1,0)</f>
        <v>0</v>
      </c>
      <c r="P705">
        <f>IF(COUNTIFS('United Data'!$A$3:$A$2150,P$1,'United Data'!$C$3:$C$2150,$A705)&gt;0,1,0)</f>
        <v>0</v>
      </c>
      <c r="Q705">
        <f>IF(COUNTIFS('United Data'!$A$3:$A$2150,Q$1,'United Data'!$C$3:$C$2150,$A705)&gt;0,1,0)</f>
        <v>0</v>
      </c>
      <c r="R705">
        <f>IF(COUNTIFS('United Data'!$A$3:$A$2150,R$1,'United Data'!$C$3:$C$2150,$A705)&gt;0,1,0)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752</v>
      </c>
      <c r="B706">
        <f>IF(COUNTIFS('United Data'!$A$3:$A$2150,B$1,'United Data'!$C$3:$C$2150,$A706)&gt;0,1,0)</f>
        <v>0</v>
      </c>
      <c r="C706">
        <f>IF(COUNTIFS('United Data'!$A$3:$A$2150,C$1,'United Data'!$C$3:$C$2150,$A706)&gt;0,1,0)</f>
        <v>0</v>
      </c>
      <c r="D706">
        <f>IF(COUNTIFS('United Data'!$A$3:$A$2150,D$1,'United Data'!$C$3:$C$2150,$A706)&gt;0,1,0)</f>
        <v>0</v>
      </c>
      <c r="E706">
        <f>IF(COUNTIFS('United Data'!$A$3:$A$2150,E$1,'United Data'!$C$3:$C$2150,$A706)&gt;0,1,0)</f>
        <v>0</v>
      </c>
      <c r="F706">
        <f>IF(COUNTIFS('United Data'!$A$3:$A$2150,F$1,'United Data'!$C$3:$C$2150,$A706)&gt;0,1,0)</f>
        <v>0</v>
      </c>
      <c r="G706">
        <f>IF(COUNTIFS('United Data'!$A$3:$A$2150,G$1,'United Data'!$C$3:$C$2150,$A706)&gt;0,1,0)</f>
        <v>0</v>
      </c>
      <c r="H706">
        <f>IF(COUNTIFS('United Data'!$A$3:$A$2150,H$1,'United Data'!$C$3:$C$2150,$A706)&gt;0,1,0)</f>
        <v>0</v>
      </c>
      <c r="I706">
        <f>IF(COUNTIFS('United Data'!$A$3:$A$2150,I$1,'United Data'!$C$3:$C$2150,$A706)&gt;0,1,0)</f>
        <v>0</v>
      </c>
      <c r="J706">
        <f>IF(COUNTIFS('United Data'!$A$3:$A$2150,J$1,'United Data'!$C$3:$C$2150,$A706)&gt;0,1,0)</f>
        <v>0</v>
      </c>
      <c r="K706">
        <f>IF(COUNTIFS('United Data'!$A$3:$A$2150,K$1,'United Data'!$C$3:$C$2150,$A706)&gt;0,1,0)</f>
        <v>0</v>
      </c>
      <c r="L706">
        <f>IF(COUNTIFS('United Data'!$A$3:$A$2150,L$1,'United Data'!$C$3:$C$2150,$A706)&gt;0,1,0)</f>
        <v>0</v>
      </c>
      <c r="M706">
        <f>IF(COUNTIFS('United Data'!$A$3:$A$2150,M$1,'United Data'!$C$3:$C$2150,$A706)&gt;0,1,0)</f>
        <v>1</v>
      </c>
      <c r="N706">
        <f>IF(COUNTIFS('United Data'!$A$3:$A$2150,N$1,'United Data'!$C$3:$C$2150,$A706)&gt;0,1,0)</f>
        <v>0</v>
      </c>
      <c r="O706">
        <f>IF(COUNTIFS('United Data'!$A$3:$A$2150,O$1,'United Data'!$C$3:$C$2150,$A706)&gt;0,1,0)</f>
        <v>0</v>
      </c>
      <c r="P706">
        <f>IF(COUNTIFS('United Data'!$A$3:$A$2150,P$1,'United Data'!$C$3:$C$2150,$A706)&gt;0,1,0)</f>
        <v>0</v>
      </c>
      <c r="Q706">
        <f>IF(COUNTIFS('United Data'!$A$3:$A$2150,Q$1,'United Data'!$C$3:$C$2150,$A706)&gt;0,1,0)</f>
        <v>0</v>
      </c>
      <c r="R706">
        <f>IF(COUNTIFS('United Data'!$A$3:$A$2150,R$1,'United Data'!$C$3:$C$2150,$A706)&gt;0,1,0)</f>
        <v>0</v>
      </c>
      <c r="S706">
        <f t="shared" ref="S706:S769" si="22">SUM(B706:R706)</f>
        <v>1</v>
      </c>
      <c r="T706">
        <f t="shared" ref="T706:T769" si="23">B706+SUMPRODUCT(--(C706:R706&gt;B706:Q706))</f>
        <v>1</v>
      </c>
    </row>
    <row r="707" spans="1:20" x14ac:dyDescent="0.2">
      <c r="A707" t="s">
        <v>753</v>
      </c>
      <c r="B707">
        <f>IF(COUNTIFS('United Data'!$A$3:$A$2150,B$1,'United Data'!$C$3:$C$2150,$A707)&gt;0,1,0)</f>
        <v>0</v>
      </c>
      <c r="C707">
        <f>IF(COUNTIFS('United Data'!$A$3:$A$2150,C$1,'United Data'!$C$3:$C$2150,$A707)&gt;0,1,0)</f>
        <v>0</v>
      </c>
      <c r="D707">
        <f>IF(COUNTIFS('United Data'!$A$3:$A$2150,D$1,'United Data'!$C$3:$C$2150,$A707)&gt;0,1,0)</f>
        <v>0</v>
      </c>
      <c r="E707">
        <f>IF(COUNTIFS('United Data'!$A$3:$A$2150,E$1,'United Data'!$C$3:$C$2150,$A707)&gt;0,1,0)</f>
        <v>0</v>
      </c>
      <c r="F707">
        <f>IF(COUNTIFS('United Data'!$A$3:$A$2150,F$1,'United Data'!$C$3:$C$2150,$A707)&gt;0,1,0)</f>
        <v>0</v>
      </c>
      <c r="G707">
        <f>IF(COUNTIFS('United Data'!$A$3:$A$2150,G$1,'United Data'!$C$3:$C$2150,$A707)&gt;0,1,0)</f>
        <v>0</v>
      </c>
      <c r="H707">
        <f>IF(COUNTIFS('United Data'!$A$3:$A$2150,H$1,'United Data'!$C$3:$C$2150,$A707)&gt;0,1,0)</f>
        <v>0</v>
      </c>
      <c r="I707">
        <f>IF(COUNTIFS('United Data'!$A$3:$A$2150,I$1,'United Data'!$C$3:$C$2150,$A707)&gt;0,1,0)</f>
        <v>0</v>
      </c>
      <c r="J707">
        <f>IF(COUNTIFS('United Data'!$A$3:$A$2150,J$1,'United Data'!$C$3:$C$2150,$A707)&gt;0,1,0)</f>
        <v>0</v>
      </c>
      <c r="K707">
        <f>IF(COUNTIFS('United Data'!$A$3:$A$2150,K$1,'United Data'!$C$3:$C$2150,$A707)&gt;0,1,0)</f>
        <v>0</v>
      </c>
      <c r="L707">
        <f>IF(COUNTIFS('United Data'!$A$3:$A$2150,L$1,'United Data'!$C$3:$C$2150,$A707)&gt;0,1,0)</f>
        <v>0</v>
      </c>
      <c r="M707">
        <f>IF(COUNTIFS('United Data'!$A$3:$A$2150,M$1,'United Data'!$C$3:$C$2150,$A707)&gt;0,1,0)</f>
        <v>1</v>
      </c>
      <c r="N707">
        <f>IF(COUNTIFS('United Data'!$A$3:$A$2150,N$1,'United Data'!$C$3:$C$2150,$A707)&gt;0,1,0)</f>
        <v>0</v>
      </c>
      <c r="O707">
        <f>IF(COUNTIFS('United Data'!$A$3:$A$2150,O$1,'United Data'!$C$3:$C$2150,$A707)&gt;0,1,0)</f>
        <v>0</v>
      </c>
      <c r="P707">
        <f>IF(COUNTIFS('United Data'!$A$3:$A$2150,P$1,'United Data'!$C$3:$C$2150,$A707)&gt;0,1,0)</f>
        <v>0</v>
      </c>
      <c r="Q707">
        <f>IF(COUNTIFS('United Data'!$A$3:$A$2150,Q$1,'United Data'!$C$3:$C$2150,$A707)&gt;0,1,0)</f>
        <v>0</v>
      </c>
      <c r="R707">
        <f>IF(COUNTIFS('United Data'!$A$3:$A$2150,R$1,'United Data'!$C$3:$C$2150,$A707)&gt;0,1,0)</f>
        <v>0</v>
      </c>
      <c r="S707">
        <f t="shared" si="22"/>
        <v>1</v>
      </c>
      <c r="T707">
        <f t="shared" si="23"/>
        <v>1</v>
      </c>
    </row>
    <row r="708" spans="1:20" x14ac:dyDescent="0.2">
      <c r="A708" t="s">
        <v>754</v>
      </c>
      <c r="B708">
        <f>IF(COUNTIFS('United Data'!$A$3:$A$2150,B$1,'United Data'!$C$3:$C$2150,$A708)&gt;0,1,0)</f>
        <v>0</v>
      </c>
      <c r="C708">
        <f>IF(COUNTIFS('United Data'!$A$3:$A$2150,C$1,'United Data'!$C$3:$C$2150,$A708)&gt;0,1,0)</f>
        <v>0</v>
      </c>
      <c r="D708">
        <f>IF(COUNTIFS('United Data'!$A$3:$A$2150,D$1,'United Data'!$C$3:$C$2150,$A708)&gt;0,1,0)</f>
        <v>0</v>
      </c>
      <c r="E708">
        <f>IF(COUNTIFS('United Data'!$A$3:$A$2150,E$1,'United Data'!$C$3:$C$2150,$A708)&gt;0,1,0)</f>
        <v>0</v>
      </c>
      <c r="F708">
        <f>IF(COUNTIFS('United Data'!$A$3:$A$2150,F$1,'United Data'!$C$3:$C$2150,$A708)&gt;0,1,0)</f>
        <v>0</v>
      </c>
      <c r="G708">
        <f>IF(COUNTIFS('United Data'!$A$3:$A$2150,G$1,'United Data'!$C$3:$C$2150,$A708)&gt;0,1,0)</f>
        <v>0</v>
      </c>
      <c r="H708">
        <f>IF(COUNTIFS('United Data'!$A$3:$A$2150,H$1,'United Data'!$C$3:$C$2150,$A708)&gt;0,1,0)</f>
        <v>0</v>
      </c>
      <c r="I708">
        <f>IF(COUNTIFS('United Data'!$A$3:$A$2150,I$1,'United Data'!$C$3:$C$2150,$A708)&gt;0,1,0)</f>
        <v>0</v>
      </c>
      <c r="J708">
        <f>IF(COUNTIFS('United Data'!$A$3:$A$2150,J$1,'United Data'!$C$3:$C$2150,$A708)&gt;0,1,0)</f>
        <v>0</v>
      </c>
      <c r="K708">
        <f>IF(COUNTIFS('United Data'!$A$3:$A$2150,K$1,'United Data'!$C$3:$C$2150,$A708)&gt;0,1,0)</f>
        <v>0</v>
      </c>
      <c r="L708">
        <f>IF(COUNTIFS('United Data'!$A$3:$A$2150,L$1,'United Data'!$C$3:$C$2150,$A708)&gt;0,1,0)</f>
        <v>0</v>
      </c>
      <c r="M708">
        <f>IF(COUNTIFS('United Data'!$A$3:$A$2150,M$1,'United Data'!$C$3:$C$2150,$A708)&gt;0,1,0)</f>
        <v>0</v>
      </c>
      <c r="N708">
        <f>IF(COUNTIFS('United Data'!$A$3:$A$2150,N$1,'United Data'!$C$3:$C$2150,$A708)&gt;0,1,0)</f>
        <v>1</v>
      </c>
      <c r="O708">
        <f>IF(COUNTIFS('United Data'!$A$3:$A$2150,O$1,'United Data'!$C$3:$C$2150,$A708)&gt;0,1,0)</f>
        <v>0</v>
      </c>
      <c r="P708">
        <f>IF(COUNTIFS('United Data'!$A$3:$A$2150,P$1,'United Data'!$C$3:$C$2150,$A708)&gt;0,1,0)</f>
        <v>0</v>
      </c>
      <c r="Q708">
        <f>IF(COUNTIFS('United Data'!$A$3:$A$2150,Q$1,'United Data'!$C$3:$C$2150,$A708)&gt;0,1,0)</f>
        <v>0</v>
      </c>
      <c r="R708">
        <f>IF(COUNTIFS('United Data'!$A$3:$A$2150,R$1,'United Data'!$C$3:$C$2150,$A708)&gt;0,1,0)</f>
        <v>0</v>
      </c>
      <c r="S708">
        <f t="shared" si="22"/>
        <v>1</v>
      </c>
      <c r="T708">
        <f t="shared" si="23"/>
        <v>1</v>
      </c>
    </row>
    <row r="709" spans="1:20" x14ac:dyDescent="0.2">
      <c r="A709" t="s">
        <v>755</v>
      </c>
      <c r="B709">
        <f>IF(COUNTIFS('United Data'!$A$3:$A$2150,B$1,'United Data'!$C$3:$C$2150,$A709)&gt;0,1,0)</f>
        <v>0</v>
      </c>
      <c r="C709">
        <f>IF(COUNTIFS('United Data'!$A$3:$A$2150,C$1,'United Data'!$C$3:$C$2150,$A709)&gt;0,1,0)</f>
        <v>0</v>
      </c>
      <c r="D709">
        <f>IF(COUNTIFS('United Data'!$A$3:$A$2150,D$1,'United Data'!$C$3:$C$2150,$A709)&gt;0,1,0)</f>
        <v>0</v>
      </c>
      <c r="E709">
        <f>IF(COUNTIFS('United Data'!$A$3:$A$2150,E$1,'United Data'!$C$3:$C$2150,$A709)&gt;0,1,0)</f>
        <v>0</v>
      </c>
      <c r="F709">
        <f>IF(COUNTIFS('United Data'!$A$3:$A$2150,F$1,'United Data'!$C$3:$C$2150,$A709)&gt;0,1,0)</f>
        <v>0</v>
      </c>
      <c r="G709">
        <f>IF(COUNTIFS('United Data'!$A$3:$A$2150,G$1,'United Data'!$C$3:$C$2150,$A709)&gt;0,1,0)</f>
        <v>0</v>
      </c>
      <c r="H709">
        <f>IF(COUNTIFS('United Data'!$A$3:$A$2150,H$1,'United Data'!$C$3:$C$2150,$A709)&gt;0,1,0)</f>
        <v>0</v>
      </c>
      <c r="I709">
        <f>IF(COUNTIFS('United Data'!$A$3:$A$2150,I$1,'United Data'!$C$3:$C$2150,$A709)&gt;0,1,0)</f>
        <v>0</v>
      </c>
      <c r="J709">
        <f>IF(COUNTIFS('United Data'!$A$3:$A$2150,J$1,'United Data'!$C$3:$C$2150,$A709)&gt;0,1,0)</f>
        <v>0</v>
      </c>
      <c r="K709">
        <f>IF(COUNTIFS('United Data'!$A$3:$A$2150,K$1,'United Data'!$C$3:$C$2150,$A709)&gt;0,1,0)</f>
        <v>0</v>
      </c>
      <c r="L709">
        <f>IF(COUNTIFS('United Data'!$A$3:$A$2150,L$1,'United Data'!$C$3:$C$2150,$A709)&gt;0,1,0)</f>
        <v>0</v>
      </c>
      <c r="M709">
        <f>IF(COUNTIFS('United Data'!$A$3:$A$2150,M$1,'United Data'!$C$3:$C$2150,$A709)&gt;0,1,0)</f>
        <v>0</v>
      </c>
      <c r="N709">
        <f>IF(COUNTIFS('United Data'!$A$3:$A$2150,N$1,'United Data'!$C$3:$C$2150,$A709)&gt;0,1,0)</f>
        <v>1</v>
      </c>
      <c r="O709">
        <f>IF(COUNTIFS('United Data'!$A$3:$A$2150,O$1,'United Data'!$C$3:$C$2150,$A709)&gt;0,1,0)</f>
        <v>0</v>
      </c>
      <c r="P709">
        <f>IF(COUNTIFS('United Data'!$A$3:$A$2150,P$1,'United Data'!$C$3:$C$2150,$A709)&gt;0,1,0)</f>
        <v>0</v>
      </c>
      <c r="Q709">
        <f>IF(COUNTIFS('United Data'!$A$3:$A$2150,Q$1,'United Data'!$C$3:$C$2150,$A709)&gt;0,1,0)</f>
        <v>0</v>
      </c>
      <c r="R709">
        <f>IF(COUNTIFS('United Data'!$A$3:$A$2150,R$1,'United Data'!$C$3:$C$2150,$A709)&gt;0,1,0)</f>
        <v>0</v>
      </c>
      <c r="S709">
        <f t="shared" si="22"/>
        <v>1</v>
      </c>
      <c r="T709">
        <f t="shared" si="23"/>
        <v>1</v>
      </c>
    </row>
    <row r="710" spans="1:20" x14ac:dyDescent="0.2">
      <c r="A710" t="s">
        <v>756</v>
      </c>
      <c r="B710">
        <f>IF(COUNTIFS('United Data'!$A$3:$A$2150,B$1,'United Data'!$C$3:$C$2150,$A710)&gt;0,1,0)</f>
        <v>0</v>
      </c>
      <c r="C710">
        <f>IF(COUNTIFS('United Data'!$A$3:$A$2150,C$1,'United Data'!$C$3:$C$2150,$A710)&gt;0,1,0)</f>
        <v>0</v>
      </c>
      <c r="D710">
        <f>IF(COUNTIFS('United Data'!$A$3:$A$2150,D$1,'United Data'!$C$3:$C$2150,$A710)&gt;0,1,0)</f>
        <v>0</v>
      </c>
      <c r="E710">
        <f>IF(COUNTIFS('United Data'!$A$3:$A$2150,E$1,'United Data'!$C$3:$C$2150,$A710)&gt;0,1,0)</f>
        <v>0</v>
      </c>
      <c r="F710">
        <f>IF(COUNTIFS('United Data'!$A$3:$A$2150,F$1,'United Data'!$C$3:$C$2150,$A710)&gt;0,1,0)</f>
        <v>0</v>
      </c>
      <c r="G710">
        <f>IF(COUNTIFS('United Data'!$A$3:$A$2150,G$1,'United Data'!$C$3:$C$2150,$A710)&gt;0,1,0)</f>
        <v>0</v>
      </c>
      <c r="H710">
        <f>IF(COUNTIFS('United Data'!$A$3:$A$2150,H$1,'United Data'!$C$3:$C$2150,$A710)&gt;0,1,0)</f>
        <v>0</v>
      </c>
      <c r="I710">
        <f>IF(COUNTIFS('United Data'!$A$3:$A$2150,I$1,'United Data'!$C$3:$C$2150,$A710)&gt;0,1,0)</f>
        <v>0</v>
      </c>
      <c r="J710">
        <f>IF(COUNTIFS('United Data'!$A$3:$A$2150,J$1,'United Data'!$C$3:$C$2150,$A710)&gt;0,1,0)</f>
        <v>0</v>
      </c>
      <c r="K710">
        <f>IF(COUNTIFS('United Data'!$A$3:$A$2150,K$1,'United Data'!$C$3:$C$2150,$A710)&gt;0,1,0)</f>
        <v>0</v>
      </c>
      <c r="L710">
        <f>IF(COUNTIFS('United Data'!$A$3:$A$2150,L$1,'United Data'!$C$3:$C$2150,$A710)&gt;0,1,0)</f>
        <v>0</v>
      </c>
      <c r="M710">
        <f>IF(COUNTIFS('United Data'!$A$3:$A$2150,M$1,'United Data'!$C$3:$C$2150,$A710)&gt;0,1,0)</f>
        <v>0</v>
      </c>
      <c r="N710">
        <f>IF(COUNTIFS('United Data'!$A$3:$A$2150,N$1,'United Data'!$C$3:$C$2150,$A710)&gt;0,1,0)</f>
        <v>1</v>
      </c>
      <c r="O710">
        <f>IF(COUNTIFS('United Data'!$A$3:$A$2150,O$1,'United Data'!$C$3:$C$2150,$A710)&gt;0,1,0)</f>
        <v>0</v>
      </c>
      <c r="P710">
        <f>IF(COUNTIFS('United Data'!$A$3:$A$2150,P$1,'United Data'!$C$3:$C$2150,$A710)&gt;0,1,0)</f>
        <v>0</v>
      </c>
      <c r="Q710">
        <f>IF(COUNTIFS('United Data'!$A$3:$A$2150,Q$1,'United Data'!$C$3:$C$2150,$A710)&gt;0,1,0)</f>
        <v>0</v>
      </c>
      <c r="R710">
        <f>IF(COUNTIFS('United Data'!$A$3:$A$2150,R$1,'United Data'!$C$3:$C$2150,$A710)&gt;0,1,0)</f>
        <v>0</v>
      </c>
      <c r="S710">
        <f t="shared" si="22"/>
        <v>1</v>
      </c>
      <c r="T710">
        <f t="shared" si="23"/>
        <v>1</v>
      </c>
    </row>
    <row r="711" spans="1:20" x14ac:dyDescent="0.2">
      <c r="A711" t="s">
        <v>757</v>
      </c>
      <c r="B711">
        <f>IF(COUNTIFS('United Data'!$A$3:$A$2150,B$1,'United Data'!$C$3:$C$2150,$A711)&gt;0,1,0)</f>
        <v>0</v>
      </c>
      <c r="C711">
        <f>IF(COUNTIFS('United Data'!$A$3:$A$2150,C$1,'United Data'!$C$3:$C$2150,$A711)&gt;0,1,0)</f>
        <v>0</v>
      </c>
      <c r="D711">
        <f>IF(COUNTIFS('United Data'!$A$3:$A$2150,D$1,'United Data'!$C$3:$C$2150,$A711)&gt;0,1,0)</f>
        <v>0</v>
      </c>
      <c r="E711">
        <f>IF(COUNTIFS('United Data'!$A$3:$A$2150,E$1,'United Data'!$C$3:$C$2150,$A711)&gt;0,1,0)</f>
        <v>0</v>
      </c>
      <c r="F711">
        <f>IF(COUNTIFS('United Data'!$A$3:$A$2150,F$1,'United Data'!$C$3:$C$2150,$A711)&gt;0,1,0)</f>
        <v>0</v>
      </c>
      <c r="G711">
        <f>IF(COUNTIFS('United Data'!$A$3:$A$2150,G$1,'United Data'!$C$3:$C$2150,$A711)&gt;0,1,0)</f>
        <v>0</v>
      </c>
      <c r="H711">
        <f>IF(COUNTIFS('United Data'!$A$3:$A$2150,H$1,'United Data'!$C$3:$C$2150,$A711)&gt;0,1,0)</f>
        <v>0</v>
      </c>
      <c r="I711">
        <f>IF(COUNTIFS('United Data'!$A$3:$A$2150,I$1,'United Data'!$C$3:$C$2150,$A711)&gt;0,1,0)</f>
        <v>0</v>
      </c>
      <c r="J711">
        <f>IF(COUNTIFS('United Data'!$A$3:$A$2150,J$1,'United Data'!$C$3:$C$2150,$A711)&gt;0,1,0)</f>
        <v>0</v>
      </c>
      <c r="K711">
        <f>IF(COUNTIFS('United Data'!$A$3:$A$2150,K$1,'United Data'!$C$3:$C$2150,$A711)&gt;0,1,0)</f>
        <v>0</v>
      </c>
      <c r="L711">
        <f>IF(COUNTIFS('United Data'!$A$3:$A$2150,L$1,'United Data'!$C$3:$C$2150,$A711)&gt;0,1,0)</f>
        <v>0</v>
      </c>
      <c r="M711">
        <f>IF(COUNTIFS('United Data'!$A$3:$A$2150,M$1,'United Data'!$C$3:$C$2150,$A711)&gt;0,1,0)</f>
        <v>0</v>
      </c>
      <c r="N711">
        <f>IF(COUNTIFS('United Data'!$A$3:$A$2150,N$1,'United Data'!$C$3:$C$2150,$A711)&gt;0,1,0)</f>
        <v>1</v>
      </c>
      <c r="O711">
        <f>IF(COUNTIFS('United Data'!$A$3:$A$2150,O$1,'United Data'!$C$3:$C$2150,$A711)&gt;0,1,0)</f>
        <v>0</v>
      </c>
      <c r="P711">
        <f>IF(COUNTIFS('United Data'!$A$3:$A$2150,P$1,'United Data'!$C$3:$C$2150,$A711)&gt;0,1,0)</f>
        <v>0</v>
      </c>
      <c r="Q711">
        <f>IF(COUNTIFS('United Data'!$A$3:$A$2150,Q$1,'United Data'!$C$3:$C$2150,$A711)&gt;0,1,0)</f>
        <v>0</v>
      </c>
      <c r="R711">
        <f>IF(COUNTIFS('United Data'!$A$3:$A$2150,R$1,'United Data'!$C$3:$C$2150,$A711)&gt;0,1,0)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758</v>
      </c>
      <c r="B712">
        <f>IF(COUNTIFS('United Data'!$A$3:$A$2150,B$1,'United Data'!$C$3:$C$2150,$A712)&gt;0,1,0)</f>
        <v>0</v>
      </c>
      <c r="C712">
        <f>IF(COUNTIFS('United Data'!$A$3:$A$2150,C$1,'United Data'!$C$3:$C$2150,$A712)&gt;0,1,0)</f>
        <v>0</v>
      </c>
      <c r="D712">
        <f>IF(COUNTIFS('United Data'!$A$3:$A$2150,D$1,'United Data'!$C$3:$C$2150,$A712)&gt;0,1,0)</f>
        <v>0</v>
      </c>
      <c r="E712">
        <f>IF(COUNTIFS('United Data'!$A$3:$A$2150,E$1,'United Data'!$C$3:$C$2150,$A712)&gt;0,1,0)</f>
        <v>0</v>
      </c>
      <c r="F712">
        <f>IF(COUNTIFS('United Data'!$A$3:$A$2150,F$1,'United Data'!$C$3:$C$2150,$A712)&gt;0,1,0)</f>
        <v>0</v>
      </c>
      <c r="G712">
        <f>IF(COUNTIFS('United Data'!$A$3:$A$2150,G$1,'United Data'!$C$3:$C$2150,$A712)&gt;0,1,0)</f>
        <v>0</v>
      </c>
      <c r="H712">
        <f>IF(COUNTIFS('United Data'!$A$3:$A$2150,H$1,'United Data'!$C$3:$C$2150,$A712)&gt;0,1,0)</f>
        <v>0</v>
      </c>
      <c r="I712">
        <f>IF(COUNTIFS('United Data'!$A$3:$A$2150,I$1,'United Data'!$C$3:$C$2150,$A712)&gt;0,1,0)</f>
        <v>0</v>
      </c>
      <c r="J712">
        <f>IF(COUNTIFS('United Data'!$A$3:$A$2150,J$1,'United Data'!$C$3:$C$2150,$A712)&gt;0,1,0)</f>
        <v>0</v>
      </c>
      <c r="K712">
        <f>IF(COUNTIFS('United Data'!$A$3:$A$2150,K$1,'United Data'!$C$3:$C$2150,$A712)&gt;0,1,0)</f>
        <v>0</v>
      </c>
      <c r="L712">
        <f>IF(COUNTIFS('United Data'!$A$3:$A$2150,L$1,'United Data'!$C$3:$C$2150,$A712)&gt;0,1,0)</f>
        <v>0</v>
      </c>
      <c r="M712">
        <f>IF(COUNTIFS('United Data'!$A$3:$A$2150,M$1,'United Data'!$C$3:$C$2150,$A712)&gt;0,1,0)</f>
        <v>0</v>
      </c>
      <c r="N712">
        <f>IF(COUNTIFS('United Data'!$A$3:$A$2150,N$1,'United Data'!$C$3:$C$2150,$A712)&gt;0,1,0)</f>
        <v>1</v>
      </c>
      <c r="O712">
        <f>IF(COUNTIFS('United Data'!$A$3:$A$2150,O$1,'United Data'!$C$3:$C$2150,$A712)&gt;0,1,0)</f>
        <v>0</v>
      </c>
      <c r="P712">
        <f>IF(COUNTIFS('United Data'!$A$3:$A$2150,P$1,'United Data'!$C$3:$C$2150,$A712)&gt;0,1,0)</f>
        <v>0</v>
      </c>
      <c r="Q712">
        <f>IF(COUNTIFS('United Data'!$A$3:$A$2150,Q$1,'United Data'!$C$3:$C$2150,$A712)&gt;0,1,0)</f>
        <v>0</v>
      </c>
      <c r="R712">
        <f>IF(COUNTIFS('United Data'!$A$3:$A$2150,R$1,'United Data'!$C$3:$C$2150,$A712)&gt;0,1,0)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759</v>
      </c>
      <c r="B713">
        <f>IF(COUNTIFS('United Data'!$A$3:$A$2150,B$1,'United Data'!$C$3:$C$2150,$A713)&gt;0,1,0)</f>
        <v>0</v>
      </c>
      <c r="C713">
        <f>IF(COUNTIFS('United Data'!$A$3:$A$2150,C$1,'United Data'!$C$3:$C$2150,$A713)&gt;0,1,0)</f>
        <v>0</v>
      </c>
      <c r="D713">
        <f>IF(COUNTIFS('United Data'!$A$3:$A$2150,D$1,'United Data'!$C$3:$C$2150,$A713)&gt;0,1,0)</f>
        <v>0</v>
      </c>
      <c r="E713">
        <f>IF(COUNTIFS('United Data'!$A$3:$A$2150,E$1,'United Data'!$C$3:$C$2150,$A713)&gt;0,1,0)</f>
        <v>0</v>
      </c>
      <c r="F713">
        <f>IF(COUNTIFS('United Data'!$A$3:$A$2150,F$1,'United Data'!$C$3:$C$2150,$A713)&gt;0,1,0)</f>
        <v>0</v>
      </c>
      <c r="G713">
        <f>IF(COUNTIFS('United Data'!$A$3:$A$2150,G$1,'United Data'!$C$3:$C$2150,$A713)&gt;0,1,0)</f>
        <v>0</v>
      </c>
      <c r="H713">
        <f>IF(COUNTIFS('United Data'!$A$3:$A$2150,H$1,'United Data'!$C$3:$C$2150,$A713)&gt;0,1,0)</f>
        <v>0</v>
      </c>
      <c r="I713">
        <f>IF(COUNTIFS('United Data'!$A$3:$A$2150,I$1,'United Data'!$C$3:$C$2150,$A713)&gt;0,1,0)</f>
        <v>0</v>
      </c>
      <c r="J713">
        <f>IF(COUNTIFS('United Data'!$A$3:$A$2150,J$1,'United Data'!$C$3:$C$2150,$A713)&gt;0,1,0)</f>
        <v>0</v>
      </c>
      <c r="K713">
        <f>IF(COUNTIFS('United Data'!$A$3:$A$2150,K$1,'United Data'!$C$3:$C$2150,$A713)&gt;0,1,0)</f>
        <v>0</v>
      </c>
      <c r="L713">
        <f>IF(COUNTIFS('United Data'!$A$3:$A$2150,L$1,'United Data'!$C$3:$C$2150,$A713)&gt;0,1,0)</f>
        <v>0</v>
      </c>
      <c r="M713">
        <f>IF(COUNTIFS('United Data'!$A$3:$A$2150,M$1,'United Data'!$C$3:$C$2150,$A713)&gt;0,1,0)</f>
        <v>0</v>
      </c>
      <c r="N713">
        <f>IF(COUNTIFS('United Data'!$A$3:$A$2150,N$1,'United Data'!$C$3:$C$2150,$A713)&gt;0,1,0)</f>
        <v>1</v>
      </c>
      <c r="O713">
        <f>IF(COUNTIFS('United Data'!$A$3:$A$2150,O$1,'United Data'!$C$3:$C$2150,$A713)&gt;0,1,0)</f>
        <v>1</v>
      </c>
      <c r="P713">
        <f>IF(COUNTIFS('United Data'!$A$3:$A$2150,P$1,'United Data'!$C$3:$C$2150,$A713)&gt;0,1,0)</f>
        <v>0</v>
      </c>
      <c r="Q713">
        <f>IF(COUNTIFS('United Data'!$A$3:$A$2150,Q$1,'United Data'!$C$3:$C$2150,$A713)&gt;0,1,0)</f>
        <v>0</v>
      </c>
      <c r="R713">
        <f>IF(COUNTIFS('United Data'!$A$3:$A$2150,R$1,'United Data'!$C$3:$C$2150,$A713)&gt;0,1,0)</f>
        <v>0</v>
      </c>
      <c r="S713">
        <f t="shared" si="22"/>
        <v>2</v>
      </c>
      <c r="T713">
        <f t="shared" si="23"/>
        <v>1</v>
      </c>
    </row>
    <row r="714" spans="1:20" x14ac:dyDescent="0.2">
      <c r="A714" t="s">
        <v>760</v>
      </c>
      <c r="B714">
        <f>IF(COUNTIFS('United Data'!$A$3:$A$2150,B$1,'United Data'!$C$3:$C$2150,$A714)&gt;0,1,0)</f>
        <v>0</v>
      </c>
      <c r="C714">
        <f>IF(COUNTIFS('United Data'!$A$3:$A$2150,C$1,'United Data'!$C$3:$C$2150,$A714)&gt;0,1,0)</f>
        <v>0</v>
      </c>
      <c r="D714">
        <f>IF(COUNTIFS('United Data'!$A$3:$A$2150,D$1,'United Data'!$C$3:$C$2150,$A714)&gt;0,1,0)</f>
        <v>0</v>
      </c>
      <c r="E714">
        <f>IF(COUNTIFS('United Data'!$A$3:$A$2150,E$1,'United Data'!$C$3:$C$2150,$A714)&gt;0,1,0)</f>
        <v>0</v>
      </c>
      <c r="F714">
        <f>IF(COUNTIFS('United Data'!$A$3:$A$2150,F$1,'United Data'!$C$3:$C$2150,$A714)&gt;0,1,0)</f>
        <v>0</v>
      </c>
      <c r="G714">
        <f>IF(COUNTIFS('United Data'!$A$3:$A$2150,G$1,'United Data'!$C$3:$C$2150,$A714)&gt;0,1,0)</f>
        <v>0</v>
      </c>
      <c r="H714">
        <f>IF(COUNTIFS('United Data'!$A$3:$A$2150,H$1,'United Data'!$C$3:$C$2150,$A714)&gt;0,1,0)</f>
        <v>0</v>
      </c>
      <c r="I714">
        <f>IF(COUNTIFS('United Data'!$A$3:$A$2150,I$1,'United Data'!$C$3:$C$2150,$A714)&gt;0,1,0)</f>
        <v>0</v>
      </c>
      <c r="J714">
        <f>IF(COUNTIFS('United Data'!$A$3:$A$2150,J$1,'United Data'!$C$3:$C$2150,$A714)&gt;0,1,0)</f>
        <v>0</v>
      </c>
      <c r="K714">
        <f>IF(COUNTIFS('United Data'!$A$3:$A$2150,K$1,'United Data'!$C$3:$C$2150,$A714)&gt;0,1,0)</f>
        <v>0</v>
      </c>
      <c r="L714">
        <f>IF(COUNTIFS('United Data'!$A$3:$A$2150,L$1,'United Data'!$C$3:$C$2150,$A714)&gt;0,1,0)</f>
        <v>0</v>
      </c>
      <c r="M714">
        <f>IF(COUNTIFS('United Data'!$A$3:$A$2150,M$1,'United Data'!$C$3:$C$2150,$A714)&gt;0,1,0)</f>
        <v>0</v>
      </c>
      <c r="N714">
        <f>IF(COUNTIFS('United Data'!$A$3:$A$2150,N$1,'United Data'!$C$3:$C$2150,$A714)&gt;0,1,0)</f>
        <v>1</v>
      </c>
      <c r="O714">
        <f>IF(COUNTIFS('United Data'!$A$3:$A$2150,O$1,'United Data'!$C$3:$C$2150,$A714)&gt;0,1,0)</f>
        <v>1</v>
      </c>
      <c r="P714">
        <f>IF(COUNTIFS('United Data'!$A$3:$A$2150,P$1,'United Data'!$C$3:$C$2150,$A714)&gt;0,1,0)</f>
        <v>0</v>
      </c>
      <c r="Q714">
        <f>IF(COUNTIFS('United Data'!$A$3:$A$2150,Q$1,'United Data'!$C$3:$C$2150,$A714)&gt;0,1,0)</f>
        <v>0</v>
      </c>
      <c r="R714">
        <f>IF(COUNTIFS('United Data'!$A$3:$A$2150,R$1,'United Data'!$C$3:$C$2150,$A714)&gt;0,1,0)</f>
        <v>0</v>
      </c>
      <c r="S714">
        <f t="shared" si="22"/>
        <v>2</v>
      </c>
      <c r="T714">
        <f t="shared" si="23"/>
        <v>1</v>
      </c>
    </row>
    <row r="715" spans="1:20" x14ac:dyDescent="0.2">
      <c r="A715" t="s">
        <v>761</v>
      </c>
      <c r="B715">
        <f>IF(COUNTIFS('United Data'!$A$3:$A$2150,B$1,'United Data'!$C$3:$C$2150,$A715)&gt;0,1,0)</f>
        <v>0</v>
      </c>
      <c r="C715">
        <f>IF(COUNTIFS('United Data'!$A$3:$A$2150,C$1,'United Data'!$C$3:$C$2150,$A715)&gt;0,1,0)</f>
        <v>0</v>
      </c>
      <c r="D715">
        <f>IF(COUNTIFS('United Data'!$A$3:$A$2150,D$1,'United Data'!$C$3:$C$2150,$A715)&gt;0,1,0)</f>
        <v>0</v>
      </c>
      <c r="E715">
        <f>IF(COUNTIFS('United Data'!$A$3:$A$2150,E$1,'United Data'!$C$3:$C$2150,$A715)&gt;0,1,0)</f>
        <v>0</v>
      </c>
      <c r="F715">
        <f>IF(COUNTIFS('United Data'!$A$3:$A$2150,F$1,'United Data'!$C$3:$C$2150,$A715)&gt;0,1,0)</f>
        <v>0</v>
      </c>
      <c r="G715">
        <f>IF(COUNTIFS('United Data'!$A$3:$A$2150,G$1,'United Data'!$C$3:$C$2150,$A715)&gt;0,1,0)</f>
        <v>0</v>
      </c>
      <c r="H715">
        <f>IF(COUNTIFS('United Data'!$A$3:$A$2150,H$1,'United Data'!$C$3:$C$2150,$A715)&gt;0,1,0)</f>
        <v>0</v>
      </c>
      <c r="I715">
        <f>IF(COUNTIFS('United Data'!$A$3:$A$2150,I$1,'United Data'!$C$3:$C$2150,$A715)&gt;0,1,0)</f>
        <v>0</v>
      </c>
      <c r="J715">
        <f>IF(COUNTIFS('United Data'!$A$3:$A$2150,J$1,'United Data'!$C$3:$C$2150,$A715)&gt;0,1,0)</f>
        <v>0</v>
      </c>
      <c r="K715">
        <f>IF(COUNTIFS('United Data'!$A$3:$A$2150,K$1,'United Data'!$C$3:$C$2150,$A715)&gt;0,1,0)</f>
        <v>0</v>
      </c>
      <c r="L715">
        <f>IF(COUNTIFS('United Data'!$A$3:$A$2150,L$1,'United Data'!$C$3:$C$2150,$A715)&gt;0,1,0)</f>
        <v>0</v>
      </c>
      <c r="M715">
        <f>IF(COUNTIFS('United Data'!$A$3:$A$2150,M$1,'United Data'!$C$3:$C$2150,$A715)&gt;0,1,0)</f>
        <v>0</v>
      </c>
      <c r="N715">
        <f>IF(COUNTIFS('United Data'!$A$3:$A$2150,N$1,'United Data'!$C$3:$C$2150,$A715)&gt;0,1,0)</f>
        <v>1</v>
      </c>
      <c r="O715">
        <f>IF(COUNTIFS('United Data'!$A$3:$A$2150,O$1,'United Data'!$C$3:$C$2150,$A715)&gt;0,1,0)</f>
        <v>0</v>
      </c>
      <c r="P715">
        <f>IF(COUNTIFS('United Data'!$A$3:$A$2150,P$1,'United Data'!$C$3:$C$2150,$A715)&gt;0,1,0)</f>
        <v>0</v>
      </c>
      <c r="Q715">
        <f>IF(COUNTIFS('United Data'!$A$3:$A$2150,Q$1,'United Data'!$C$3:$C$2150,$A715)&gt;0,1,0)</f>
        <v>0</v>
      </c>
      <c r="R715">
        <f>IF(COUNTIFS('United Data'!$A$3:$A$2150,R$1,'United Data'!$C$3:$C$2150,$A715)&gt;0,1,0)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762</v>
      </c>
      <c r="B716">
        <f>IF(COUNTIFS('United Data'!$A$3:$A$2150,B$1,'United Data'!$C$3:$C$2150,$A716)&gt;0,1,0)</f>
        <v>0</v>
      </c>
      <c r="C716">
        <f>IF(COUNTIFS('United Data'!$A$3:$A$2150,C$1,'United Data'!$C$3:$C$2150,$A716)&gt;0,1,0)</f>
        <v>0</v>
      </c>
      <c r="D716">
        <f>IF(COUNTIFS('United Data'!$A$3:$A$2150,D$1,'United Data'!$C$3:$C$2150,$A716)&gt;0,1,0)</f>
        <v>0</v>
      </c>
      <c r="E716">
        <f>IF(COUNTIFS('United Data'!$A$3:$A$2150,E$1,'United Data'!$C$3:$C$2150,$A716)&gt;0,1,0)</f>
        <v>0</v>
      </c>
      <c r="F716">
        <f>IF(COUNTIFS('United Data'!$A$3:$A$2150,F$1,'United Data'!$C$3:$C$2150,$A716)&gt;0,1,0)</f>
        <v>0</v>
      </c>
      <c r="G716">
        <f>IF(COUNTIFS('United Data'!$A$3:$A$2150,G$1,'United Data'!$C$3:$C$2150,$A716)&gt;0,1,0)</f>
        <v>0</v>
      </c>
      <c r="H716">
        <f>IF(COUNTIFS('United Data'!$A$3:$A$2150,H$1,'United Data'!$C$3:$C$2150,$A716)&gt;0,1,0)</f>
        <v>0</v>
      </c>
      <c r="I716">
        <f>IF(COUNTIFS('United Data'!$A$3:$A$2150,I$1,'United Data'!$C$3:$C$2150,$A716)&gt;0,1,0)</f>
        <v>0</v>
      </c>
      <c r="J716">
        <f>IF(COUNTIFS('United Data'!$A$3:$A$2150,J$1,'United Data'!$C$3:$C$2150,$A716)&gt;0,1,0)</f>
        <v>0</v>
      </c>
      <c r="K716">
        <f>IF(COUNTIFS('United Data'!$A$3:$A$2150,K$1,'United Data'!$C$3:$C$2150,$A716)&gt;0,1,0)</f>
        <v>0</v>
      </c>
      <c r="L716">
        <f>IF(COUNTIFS('United Data'!$A$3:$A$2150,L$1,'United Data'!$C$3:$C$2150,$A716)&gt;0,1,0)</f>
        <v>0</v>
      </c>
      <c r="M716">
        <f>IF(COUNTIFS('United Data'!$A$3:$A$2150,M$1,'United Data'!$C$3:$C$2150,$A716)&gt;0,1,0)</f>
        <v>0</v>
      </c>
      <c r="N716">
        <f>IF(COUNTIFS('United Data'!$A$3:$A$2150,N$1,'United Data'!$C$3:$C$2150,$A716)&gt;0,1,0)</f>
        <v>1</v>
      </c>
      <c r="O716">
        <f>IF(COUNTIFS('United Data'!$A$3:$A$2150,O$1,'United Data'!$C$3:$C$2150,$A716)&gt;0,1,0)</f>
        <v>0</v>
      </c>
      <c r="P716">
        <f>IF(COUNTIFS('United Data'!$A$3:$A$2150,P$1,'United Data'!$C$3:$C$2150,$A716)&gt;0,1,0)</f>
        <v>0</v>
      </c>
      <c r="Q716">
        <f>IF(COUNTIFS('United Data'!$A$3:$A$2150,Q$1,'United Data'!$C$3:$C$2150,$A716)&gt;0,1,0)</f>
        <v>0</v>
      </c>
      <c r="R716">
        <f>IF(COUNTIFS('United Data'!$A$3:$A$2150,R$1,'United Data'!$C$3:$C$2150,$A716)&gt;0,1,0)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763</v>
      </c>
      <c r="B717">
        <f>IF(COUNTIFS('United Data'!$A$3:$A$2150,B$1,'United Data'!$C$3:$C$2150,$A717)&gt;0,1,0)</f>
        <v>0</v>
      </c>
      <c r="C717">
        <f>IF(COUNTIFS('United Data'!$A$3:$A$2150,C$1,'United Data'!$C$3:$C$2150,$A717)&gt;0,1,0)</f>
        <v>0</v>
      </c>
      <c r="D717">
        <f>IF(COUNTIFS('United Data'!$A$3:$A$2150,D$1,'United Data'!$C$3:$C$2150,$A717)&gt;0,1,0)</f>
        <v>0</v>
      </c>
      <c r="E717">
        <f>IF(COUNTIFS('United Data'!$A$3:$A$2150,E$1,'United Data'!$C$3:$C$2150,$A717)&gt;0,1,0)</f>
        <v>0</v>
      </c>
      <c r="F717">
        <f>IF(COUNTIFS('United Data'!$A$3:$A$2150,F$1,'United Data'!$C$3:$C$2150,$A717)&gt;0,1,0)</f>
        <v>0</v>
      </c>
      <c r="G717">
        <f>IF(COUNTIFS('United Data'!$A$3:$A$2150,G$1,'United Data'!$C$3:$C$2150,$A717)&gt;0,1,0)</f>
        <v>0</v>
      </c>
      <c r="H717">
        <f>IF(COUNTIFS('United Data'!$A$3:$A$2150,H$1,'United Data'!$C$3:$C$2150,$A717)&gt;0,1,0)</f>
        <v>0</v>
      </c>
      <c r="I717">
        <f>IF(COUNTIFS('United Data'!$A$3:$A$2150,I$1,'United Data'!$C$3:$C$2150,$A717)&gt;0,1,0)</f>
        <v>0</v>
      </c>
      <c r="J717">
        <f>IF(COUNTIFS('United Data'!$A$3:$A$2150,J$1,'United Data'!$C$3:$C$2150,$A717)&gt;0,1,0)</f>
        <v>0</v>
      </c>
      <c r="K717">
        <f>IF(COUNTIFS('United Data'!$A$3:$A$2150,K$1,'United Data'!$C$3:$C$2150,$A717)&gt;0,1,0)</f>
        <v>0</v>
      </c>
      <c r="L717">
        <f>IF(COUNTIFS('United Data'!$A$3:$A$2150,L$1,'United Data'!$C$3:$C$2150,$A717)&gt;0,1,0)</f>
        <v>0</v>
      </c>
      <c r="M717">
        <f>IF(COUNTIFS('United Data'!$A$3:$A$2150,M$1,'United Data'!$C$3:$C$2150,$A717)&gt;0,1,0)</f>
        <v>0</v>
      </c>
      <c r="N717">
        <f>IF(COUNTIFS('United Data'!$A$3:$A$2150,N$1,'United Data'!$C$3:$C$2150,$A717)&gt;0,1,0)</f>
        <v>0</v>
      </c>
      <c r="O717">
        <f>IF(COUNTIFS('United Data'!$A$3:$A$2150,O$1,'United Data'!$C$3:$C$2150,$A717)&gt;0,1,0)</f>
        <v>1</v>
      </c>
      <c r="P717">
        <f>IF(COUNTIFS('United Data'!$A$3:$A$2150,P$1,'United Data'!$C$3:$C$2150,$A717)&gt;0,1,0)</f>
        <v>0</v>
      </c>
      <c r="Q717">
        <f>IF(COUNTIFS('United Data'!$A$3:$A$2150,Q$1,'United Data'!$C$3:$C$2150,$A717)&gt;0,1,0)</f>
        <v>0</v>
      </c>
      <c r="R717">
        <f>IF(COUNTIFS('United Data'!$A$3:$A$2150,R$1,'United Data'!$C$3:$C$2150,$A717)&gt;0,1,0)</f>
        <v>0</v>
      </c>
      <c r="S717">
        <f t="shared" si="22"/>
        <v>1</v>
      </c>
      <c r="T717">
        <f t="shared" si="23"/>
        <v>1</v>
      </c>
    </row>
    <row r="718" spans="1:20" x14ac:dyDescent="0.2">
      <c r="A718" t="s">
        <v>764</v>
      </c>
      <c r="B718">
        <f>IF(COUNTIFS('United Data'!$A$3:$A$2150,B$1,'United Data'!$C$3:$C$2150,$A718)&gt;0,1,0)</f>
        <v>0</v>
      </c>
      <c r="C718">
        <f>IF(COUNTIFS('United Data'!$A$3:$A$2150,C$1,'United Data'!$C$3:$C$2150,$A718)&gt;0,1,0)</f>
        <v>0</v>
      </c>
      <c r="D718">
        <f>IF(COUNTIFS('United Data'!$A$3:$A$2150,D$1,'United Data'!$C$3:$C$2150,$A718)&gt;0,1,0)</f>
        <v>0</v>
      </c>
      <c r="E718">
        <f>IF(COUNTIFS('United Data'!$A$3:$A$2150,E$1,'United Data'!$C$3:$C$2150,$A718)&gt;0,1,0)</f>
        <v>0</v>
      </c>
      <c r="F718">
        <f>IF(COUNTIFS('United Data'!$A$3:$A$2150,F$1,'United Data'!$C$3:$C$2150,$A718)&gt;0,1,0)</f>
        <v>0</v>
      </c>
      <c r="G718">
        <f>IF(COUNTIFS('United Data'!$A$3:$A$2150,G$1,'United Data'!$C$3:$C$2150,$A718)&gt;0,1,0)</f>
        <v>0</v>
      </c>
      <c r="H718">
        <f>IF(COUNTIFS('United Data'!$A$3:$A$2150,H$1,'United Data'!$C$3:$C$2150,$A718)&gt;0,1,0)</f>
        <v>0</v>
      </c>
      <c r="I718">
        <f>IF(COUNTIFS('United Data'!$A$3:$A$2150,I$1,'United Data'!$C$3:$C$2150,$A718)&gt;0,1,0)</f>
        <v>0</v>
      </c>
      <c r="J718">
        <f>IF(COUNTIFS('United Data'!$A$3:$A$2150,J$1,'United Data'!$C$3:$C$2150,$A718)&gt;0,1,0)</f>
        <v>0</v>
      </c>
      <c r="K718">
        <f>IF(COUNTIFS('United Data'!$A$3:$A$2150,K$1,'United Data'!$C$3:$C$2150,$A718)&gt;0,1,0)</f>
        <v>0</v>
      </c>
      <c r="L718">
        <f>IF(COUNTIFS('United Data'!$A$3:$A$2150,L$1,'United Data'!$C$3:$C$2150,$A718)&gt;0,1,0)</f>
        <v>0</v>
      </c>
      <c r="M718">
        <f>IF(COUNTIFS('United Data'!$A$3:$A$2150,M$1,'United Data'!$C$3:$C$2150,$A718)&gt;0,1,0)</f>
        <v>0</v>
      </c>
      <c r="N718">
        <f>IF(COUNTIFS('United Data'!$A$3:$A$2150,N$1,'United Data'!$C$3:$C$2150,$A718)&gt;0,1,0)</f>
        <v>0</v>
      </c>
      <c r="O718">
        <f>IF(COUNTIFS('United Data'!$A$3:$A$2150,O$1,'United Data'!$C$3:$C$2150,$A718)&gt;0,1,0)</f>
        <v>1</v>
      </c>
      <c r="P718">
        <f>IF(COUNTIFS('United Data'!$A$3:$A$2150,P$1,'United Data'!$C$3:$C$2150,$A718)&gt;0,1,0)</f>
        <v>0</v>
      </c>
      <c r="Q718">
        <f>IF(COUNTIFS('United Data'!$A$3:$A$2150,Q$1,'United Data'!$C$3:$C$2150,$A718)&gt;0,1,0)</f>
        <v>0</v>
      </c>
      <c r="R718">
        <f>IF(COUNTIFS('United Data'!$A$3:$A$2150,R$1,'United Data'!$C$3:$C$2150,$A718)&gt;0,1,0)</f>
        <v>0</v>
      </c>
      <c r="S718">
        <f t="shared" si="22"/>
        <v>1</v>
      </c>
      <c r="T718">
        <f t="shared" si="23"/>
        <v>1</v>
      </c>
    </row>
    <row r="719" spans="1:20" x14ac:dyDescent="0.2">
      <c r="A719" t="s">
        <v>765</v>
      </c>
      <c r="B719">
        <f>IF(COUNTIFS('United Data'!$A$3:$A$2150,B$1,'United Data'!$C$3:$C$2150,$A719)&gt;0,1,0)</f>
        <v>0</v>
      </c>
      <c r="C719">
        <f>IF(COUNTIFS('United Data'!$A$3:$A$2150,C$1,'United Data'!$C$3:$C$2150,$A719)&gt;0,1,0)</f>
        <v>0</v>
      </c>
      <c r="D719">
        <f>IF(COUNTIFS('United Data'!$A$3:$A$2150,D$1,'United Data'!$C$3:$C$2150,$A719)&gt;0,1,0)</f>
        <v>0</v>
      </c>
      <c r="E719">
        <f>IF(COUNTIFS('United Data'!$A$3:$A$2150,E$1,'United Data'!$C$3:$C$2150,$A719)&gt;0,1,0)</f>
        <v>0</v>
      </c>
      <c r="F719">
        <f>IF(COUNTIFS('United Data'!$A$3:$A$2150,F$1,'United Data'!$C$3:$C$2150,$A719)&gt;0,1,0)</f>
        <v>0</v>
      </c>
      <c r="G719">
        <f>IF(COUNTIFS('United Data'!$A$3:$A$2150,G$1,'United Data'!$C$3:$C$2150,$A719)&gt;0,1,0)</f>
        <v>0</v>
      </c>
      <c r="H719">
        <f>IF(COUNTIFS('United Data'!$A$3:$A$2150,H$1,'United Data'!$C$3:$C$2150,$A719)&gt;0,1,0)</f>
        <v>0</v>
      </c>
      <c r="I719">
        <f>IF(COUNTIFS('United Data'!$A$3:$A$2150,I$1,'United Data'!$C$3:$C$2150,$A719)&gt;0,1,0)</f>
        <v>0</v>
      </c>
      <c r="J719">
        <f>IF(COUNTIFS('United Data'!$A$3:$A$2150,J$1,'United Data'!$C$3:$C$2150,$A719)&gt;0,1,0)</f>
        <v>0</v>
      </c>
      <c r="K719">
        <f>IF(COUNTIFS('United Data'!$A$3:$A$2150,K$1,'United Data'!$C$3:$C$2150,$A719)&gt;0,1,0)</f>
        <v>0</v>
      </c>
      <c r="L719">
        <f>IF(COUNTIFS('United Data'!$A$3:$A$2150,L$1,'United Data'!$C$3:$C$2150,$A719)&gt;0,1,0)</f>
        <v>0</v>
      </c>
      <c r="M719">
        <f>IF(COUNTIFS('United Data'!$A$3:$A$2150,M$1,'United Data'!$C$3:$C$2150,$A719)&gt;0,1,0)</f>
        <v>0</v>
      </c>
      <c r="N719">
        <f>IF(COUNTIFS('United Data'!$A$3:$A$2150,N$1,'United Data'!$C$3:$C$2150,$A719)&gt;0,1,0)</f>
        <v>0</v>
      </c>
      <c r="O719">
        <f>IF(COUNTIFS('United Data'!$A$3:$A$2150,O$1,'United Data'!$C$3:$C$2150,$A719)&gt;0,1,0)</f>
        <v>1</v>
      </c>
      <c r="P719">
        <f>IF(COUNTIFS('United Data'!$A$3:$A$2150,P$1,'United Data'!$C$3:$C$2150,$A719)&gt;0,1,0)</f>
        <v>0</v>
      </c>
      <c r="Q719">
        <f>IF(COUNTIFS('United Data'!$A$3:$A$2150,Q$1,'United Data'!$C$3:$C$2150,$A719)&gt;0,1,0)</f>
        <v>0</v>
      </c>
      <c r="R719">
        <f>IF(COUNTIFS('United Data'!$A$3:$A$2150,R$1,'United Data'!$C$3:$C$2150,$A719)&gt;0,1,0)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766</v>
      </c>
      <c r="B720">
        <f>IF(COUNTIFS('United Data'!$A$3:$A$2150,B$1,'United Data'!$C$3:$C$2150,$A720)&gt;0,1,0)</f>
        <v>0</v>
      </c>
      <c r="C720">
        <f>IF(COUNTIFS('United Data'!$A$3:$A$2150,C$1,'United Data'!$C$3:$C$2150,$A720)&gt;0,1,0)</f>
        <v>0</v>
      </c>
      <c r="D720">
        <f>IF(COUNTIFS('United Data'!$A$3:$A$2150,D$1,'United Data'!$C$3:$C$2150,$A720)&gt;0,1,0)</f>
        <v>0</v>
      </c>
      <c r="E720">
        <f>IF(COUNTIFS('United Data'!$A$3:$A$2150,E$1,'United Data'!$C$3:$C$2150,$A720)&gt;0,1,0)</f>
        <v>0</v>
      </c>
      <c r="F720">
        <f>IF(COUNTIFS('United Data'!$A$3:$A$2150,F$1,'United Data'!$C$3:$C$2150,$A720)&gt;0,1,0)</f>
        <v>0</v>
      </c>
      <c r="G720">
        <f>IF(COUNTIFS('United Data'!$A$3:$A$2150,G$1,'United Data'!$C$3:$C$2150,$A720)&gt;0,1,0)</f>
        <v>0</v>
      </c>
      <c r="H720">
        <f>IF(COUNTIFS('United Data'!$A$3:$A$2150,H$1,'United Data'!$C$3:$C$2150,$A720)&gt;0,1,0)</f>
        <v>0</v>
      </c>
      <c r="I720">
        <f>IF(COUNTIFS('United Data'!$A$3:$A$2150,I$1,'United Data'!$C$3:$C$2150,$A720)&gt;0,1,0)</f>
        <v>0</v>
      </c>
      <c r="J720">
        <f>IF(COUNTIFS('United Data'!$A$3:$A$2150,J$1,'United Data'!$C$3:$C$2150,$A720)&gt;0,1,0)</f>
        <v>0</v>
      </c>
      <c r="K720">
        <f>IF(COUNTIFS('United Data'!$A$3:$A$2150,K$1,'United Data'!$C$3:$C$2150,$A720)&gt;0,1,0)</f>
        <v>0</v>
      </c>
      <c r="L720">
        <f>IF(COUNTIFS('United Data'!$A$3:$A$2150,L$1,'United Data'!$C$3:$C$2150,$A720)&gt;0,1,0)</f>
        <v>0</v>
      </c>
      <c r="M720">
        <f>IF(COUNTIFS('United Data'!$A$3:$A$2150,M$1,'United Data'!$C$3:$C$2150,$A720)&gt;0,1,0)</f>
        <v>0</v>
      </c>
      <c r="N720">
        <f>IF(COUNTIFS('United Data'!$A$3:$A$2150,N$1,'United Data'!$C$3:$C$2150,$A720)&gt;0,1,0)</f>
        <v>0</v>
      </c>
      <c r="O720">
        <f>IF(COUNTIFS('United Data'!$A$3:$A$2150,O$1,'United Data'!$C$3:$C$2150,$A720)&gt;0,1,0)</f>
        <v>1</v>
      </c>
      <c r="P720">
        <f>IF(COUNTIFS('United Data'!$A$3:$A$2150,P$1,'United Data'!$C$3:$C$2150,$A720)&gt;0,1,0)</f>
        <v>0</v>
      </c>
      <c r="Q720">
        <f>IF(COUNTIFS('United Data'!$A$3:$A$2150,Q$1,'United Data'!$C$3:$C$2150,$A720)&gt;0,1,0)</f>
        <v>0</v>
      </c>
      <c r="R720">
        <f>IF(COUNTIFS('United Data'!$A$3:$A$2150,R$1,'United Data'!$C$3:$C$2150,$A720)&gt;0,1,0)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767</v>
      </c>
      <c r="B721">
        <f>IF(COUNTIFS('United Data'!$A$3:$A$2150,B$1,'United Data'!$C$3:$C$2150,$A721)&gt;0,1,0)</f>
        <v>0</v>
      </c>
      <c r="C721">
        <f>IF(COUNTIFS('United Data'!$A$3:$A$2150,C$1,'United Data'!$C$3:$C$2150,$A721)&gt;0,1,0)</f>
        <v>0</v>
      </c>
      <c r="D721">
        <f>IF(COUNTIFS('United Data'!$A$3:$A$2150,D$1,'United Data'!$C$3:$C$2150,$A721)&gt;0,1,0)</f>
        <v>0</v>
      </c>
      <c r="E721">
        <f>IF(COUNTIFS('United Data'!$A$3:$A$2150,E$1,'United Data'!$C$3:$C$2150,$A721)&gt;0,1,0)</f>
        <v>0</v>
      </c>
      <c r="F721">
        <f>IF(COUNTIFS('United Data'!$A$3:$A$2150,F$1,'United Data'!$C$3:$C$2150,$A721)&gt;0,1,0)</f>
        <v>0</v>
      </c>
      <c r="G721">
        <f>IF(COUNTIFS('United Data'!$A$3:$A$2150,G$1,'United Data'!$C$3:$C$2150,$A721)&gt;0,1,0)</f>
        <v>0</v>
      </c>
      <c r="H721">
        <f>IF(COUNTIFS('United Data'!$A$3:$A$2150,H$1,'United Data'!$C$3:$C$2150,$A721)&gt;0,1,0)</f>
        <v>0</v>
      </c>
      <c r="I721">
        <f>IF(COUNTIFS('United Data'!$A$3:$A$2150,I$1,'United Data'!$C$3:$C$2150,$A721)&gt;0,1,0)</f>
        <v>0</v>
      </c>
      <c r="J721">
        <f>IF(COUNTIFS('United Data'!$A$3:$A$2150,J$1,'United Data'!$C$3:$C$2150,$A721)&gt;0,1,0)</f>
        <v>0</v>
      </c>
      <c r="K721">
        <f>IF(COUNTIFS('United Data'!$A$3:$A$2150,K$1,'United Data'!$C$3:$C$2150,$A721)&gt;0,1,0)</f>
        <v>0</v>
      </c>
      <c r="L721">
        <f>IF(COUNTIFS('United Data'!$A$3:$A$2150,L$1,'United Data'!$C$3:$C$2150,$A721)&gt;0,1,0)</f>
        <v>0</v>
      </c>
      <c r="M721">
        <f>IF(COUNTIFS('United Data'!$A$3:$A$2150,M$1,'United Data'!$C$3:$C$2150,$A721)&gt;0,1,0)</f>
        <v>0</v>
      </c>
      <c r="N721">
        <f>IF(COUNTIFS('United Data'!$A$3:$A$2150,N$1,'United Data'!$C$3:$C$2150,$A721)&gt;0,1,0)</f>
        <v>0</v>
      </c>
      <c r="O721">
        <f>IF(COUNTIFS('United Data'!$A$3:$A$2150,O$1,'United Data'!$C$3:$C$2150,$A721)&gt;0,1,0)</f>
        <v>1</v>
      </c>
      <c r="P721">
        <f>IF(COUNTIFS('United Data'!$A$3:$A$2150,P$1,'United Data'!$C$3:$C$2150,$A721)&gt;0,1,0)</f>
        <v>0</v>
      </c>
      <c r="Q721">
        <f>IF(COUNTIFS('United Data'!$A$3:$A$2150,Q$1,'United Data'!$C$3:$C$2150,$A721)&gt;0,1,0)</f>
        <v>0</v>
      </c>
      <c r="R721">
        <f>IF(COUNTIFS('United Data'!$A$3:$A$2150,R$1,'United Data'!$C$3:$C$2150,$A721)&gt;0,1,0)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768</v>
      </c>
      <c r="B722">
        <f>IF(COUNTIFS('United Data'!$A$3:$A$2150,B$1,'United Data'!$C$3:$C$2150,$A722)&gt;0,1,0)</f>
        <v>0</v>
      </c>
      <c r="C722">
        <f>IF(COUNTIFS('United Data'!$A$3:$A$2150,C$1,'United Data'!$C$3:$C$2150,$A722)&gt;0,1,0)</f>
        <v>0</v>
      </c>
      <c r="D722">
        <f>IF(COUNTIFS('United Data'!$A$3:$A$2150,D$1,'United Data'!$C$3:$C$2150,$A722)&gt;0,1,0)</f>
        <v>0</v>
      </c>
      <c r="E722">
        <f>IF(COUNTIFS('United Data'!$A$3:$A$2150,E$1,'United Data'!$C$3:$C$2150,$A722)&gt;0,1,0)</f>
        <v>0</v>
      </c>
      <c r="F722">
        <f>IF(COUNTIFS('United Data'!$A$3:$A$2150,F$1,'United Data'!$C$3:$C$2150,$A722)&gt;0,1,0)</f>
        <v>0</v>
      </c>
      <c r="G722">
        <f>IF(COUNTIFS('United Data'!$A$3:$A$2150,G$1,'United Data'!$C$3:$C$2150,$A722)&gt;0,1,0)</f>
        <v>0</v>
      </c>
      <c r="H722">
        <f>IF(COUNTIFS('United Data'!$A$3:$A$2150,H$1,'United Data'!$C$3:$C$2150,$A722)&gt;0,1,0)</f>
        <v>0</v>
      </c>
      <c r="I722">
        <f>IF(COUNTIFS('United Data'!$A$3:$A$2150,I$1,'United Data'!$C$3:$C$2150,$A722)&gt;0,1,0)</f>
        <v>0</v>
      </c>
      <c r="J722">
        <f>IF(COUNTIFS('United Data'!$A$3:$A$2150,J$1,'United Data'!$C$3:$C$2150,$A722)&gt;0,1,0)</f>
        <v>0</v>
      </c>
      <c r="K722">
        <f>IF(COUNTIFS('United Data'!$A$3:$A$2150,K$1,'United Data'!$C$3:$C$2150,$A722)&gt;0,1,0)</f>
        <v>0</v>
      </c>
      <c r="L722">
        <f>IF(COUNTIFS('United Data'!$A$3:$A$2150,L$1,'United Data'!$C$3:$C$2150,$A722)&gt;0,1,0)</f>
        <v>0</v>
      </c>
      <c r="M722">
        <f>IF(COUNTIFS('United Data'!$A$3:$A$2150,M$1,'United Data'!$C$3:$C$2150,$A722)&gt;0,1,0)</f>
        <v>0</v>
      </c>
      <c r="N722">
        <f>IF(COUNTIFS('United Data'!$A$3:$A$2150,N$1,'United Data'!$C$3:$C$2150,$A722)&gt;0,1,0)</f>
        <v>0</v>
      </c>
      <c r="O722">
        <f>IF(COUNTIFS('United Data'!$A$3:$A$2150,O$1,'United Data'!$C$3:$C$2150,$A722)&gt;0,1,0)</f>
        <v>1</v>
      </c>
      <c r="P722">
        <f>IF(COUNTIFS('United Data'!$A$3:$A$2150,P$1,'United Data'!$C$3:$C$2150,$A722)&gt;0,1,0)</f>
        <v>0</v>
      </c>
      <c r="Q722">
        <f>IF(COUNTIFS('United Data'!$A$3:$A$2150,Q$1,'United Data'!$C$3:$C$2150,$A722)&gt;0,1,0)</f>
        <v>0</v>
      </c>
      <c r="R722">
        <f>IF(COUNTIFS('United Data'!$A$3:$A$2150,R$1,'United Data'!$C$3:$C$2150,$A722)&gt;0,1,0)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769</v>
      </c>
      <c r="B723">
        <f>IF(COUNTIFS('United Data'!$A$3:$A$2150,B$1,'United Data'!$C$3:$C$2150,$A723)&gt;0,1,0)</f>
        <v>0</v>
      </c>
      <c r="C723">
        <f>IF(COUNTIFS('United Data'!$A$3:$A$2150,C$1,'United Data'!$C$3:$C$2150,$A723)&gt;0,1,0)</f>
        <v>0</v>
      </c>
      <c r="D723">
        <f>IF(COUNTIFS('United Data'!$A$3:$A$2150,D$1,'United Data'!$C$3:$C$2150,$A723)&gt;0,1,0)</f>
        <v>0</v>
      </c>
      <c r="E723">
        <f>IF(COUNTIFS('United Data'!$A$3:$A$2150,E$1,'United Data'!$C$3:$C$2150,$A723)&gt;0,1,0)</f>
        <v>0</v>
      </c>
      <c r="F723">
        <f>IF(COUNTIFS('United Data'!$A$3:$A$2150,F$1,'United Data'!$C$3:$C$2150,$A723)&gt;0,1,0)</f>
        <v>0</v>
      </c>
      <c r="G723">
        <f>IF(COUNTIFS('United Data'!$A$3:$A$2150,G$1,'United Data'!$C$3:$C$2150,$A723)&gt;0,1,0)</f>
        <v>0</v>
      </c>
      <c r="H723">
        <f>IF(COUNTIFS('United Data'!$A$3:$A$2150,H$1,'United Data'!$C$3:$C$2150,$A723)&gt;0,1,0)</f>
        <v>0</v>
      </c>
      <c r="I723">
        <f>IF(COUNTIFS('United Data'!$A$3:$A$2150,I$1,'United Data'!$C$3:$C$2150,$A723)&gt;0,1,0)</f>
        <v>1</v>
      </c>
      <c r="J723">
        <f>IF(COUNTIFS('United Data'!$A$3:$A$2150,J$1,'United Data'!$C$3:$C$2150,$A723)&gt;0,1,0)</f>
        <v>1</v>
      </c>
      <c r="K723">
        <f>IF(COUNTIFS('United Data'!$A$3:$A$2150,K$1,'United Data'!$C$3:$C$2150,$A723)&gt;0,1,0)</f>
        <v>0</v>
      </c>
      <c r="L723">
        <f>IF(COUNTIFS('United Data'!$A$3:$A$2150,L$1,'United Data'!$C$3:$C$2150,$A723)&gt;0,1,0)</f>
        <v>1</v>
      </c>
      <c r="M723">
        <f>IF(COUNTIFS('United Data'!$A$3:$A$2150,M$1,'United Data'!$C$3:$C$2150,$A723)&gt;0,1,0)</f>
        <v>1</v>
      </c>
      <c r="N723">
        <f>IF(COUNTIFS('United Data'!$A$3:$A$2150,N$1,'United Data'!$C$3:$C$2150,$A723)&gt;0,1,0)</f>
        <v>0</v>
      </c>
      <c r="O723">
        <f>IF(COUNTIFS('United Data'!$A$3:$A$2150,O$1,'United Data'!$C$3:$C$2150,$A723)&gt;0,1,0)</f>
        <v>0</v>
      </c>
      <c r="P723">
        <f>IF(COUNTIFS('United Data'!$A$3:$A$2150,P$1,'United Data'!$C$3:$C$2150,$A723)&gt;0,1,0)</f>
        <v>1</v>
      </c>
      <c r="Q723">
        <f>IF(COUNTIFS('United Data'!$A$3:$A$2150,Q$1,'United Data'!$C$3:$C$2150,$A723)&gt;0,1,0)</f>
        <v>0</v>
      </c>
      <c r="R723">
        <f>IF(COUNTIFS('United Data'!$A$3:$A$2150,R$1,'United Data'!$C$3:$C$2150,$A723)&gt;0,1,0)</f>
        <v>0</v>
      </c>
      <c r="S723">
        <f t="shared" si="22"/>
        <v>5</v>
      </c>
      <c r="T723">
        <f t="shared" si="23"/>
        <v>3</v>
      </c>
    </row>
    <row r="724" spans="1:20" x14ac:dyDescent="0.2">
      <c r="A724" t="s">
        <v>770</v>
      </c>
      <c r="B724">
        <f>IF(COUNTIFS('United Data'!$A$3:$A$2150,B$1,'United Data'!$C$3:$C$2150,$A724)&gt;0,1,0)</f>
        <v>0</v>
      </c>
      <c r="C724">
        <f>IF(COUNTIFS('United Data'!$A$3:$A$2150,C$1,'United Data'!$C$3:$C$2150,$A724)&gt;0,1,0)</f>
        <v>0</v>
      </c>
      <c r="D724">
        <f>IF(COUNTIFS('United Data'!$A$3:$A$2150,D$1,'United Data'!$C$3:$C$2150,$A724)&gt;0,1,0)</f>
        <v>0</v>
      </c>
      <c r="E724">
        <f>IF(COUNTIFS('United Data'!$A$3:$A$2150,E$1,'United Data'!$C$3:$C$2150,$A724)&gt;0,1,0)</f>
        <v>0</v>
      </c>
      <c r="F724">
        <f>IF(COUNTIFS('United Data'!$A$3:$A$2150,F$1,'United Data'!$C$3:$C$2150,$A724)&gt;0,1,0)</f>
        <v>0</v>
      </c>
      <c r="G724">
        <f>IF(COUNTIFS('United Data'!$A$3:$A$2150,G$1,'United Data'!$C$3:$C$2150,$A724)&gt;0,1,0)</f>
        <v>0</v>
      </c>
      <c r="H724">
        <f>IF(COUNTIFS('United Data'!$A$3:$A$2150,H$1,'United Data'!$C$3:$C$2150,$A724)&gt;0,1,0)</f>
        <v>0</v>
      </c>
      <c r="I724">
        <f>IF(COUNTIFS('United Data'!$A$3:$A$2150,I$1,'United Data'!$C$3:$C$2150,$A724)&gt;0,1,0)</f>
        <v>0</v>
      </c>
      <c r="J724">
        <f>IF(COUNTIFS('United Data'!$A$3:$A$2150,J$1,'United Data'!$C$3:$C$2150,$A724)&gt;0,1,0)</f>
        <v>0</v>
      </c>
      <c r="K724">
        <f>IF(COUNTIFS('United Data'!$A$3:$A$2150,K$1,'United Data'!$C$3:$C$2150,$A724)&gt;0,1,0)</f>
        <v>0</v>
      </c>
      <c r="L724">
        <f>IF(COUNTIFS('United Data'!$A$3:$A$2150,L$1,'United Data'!$C$3:$C$2150,$A724)&gt;0,1,0)</f>
        <v>0</v>
      </c>
      <c r="M724">
        <f>IF(COUNTIFS('United Data'!$A$3:$A$2150,M$1,'United Data'!$C$3:$C$2150,$A724)&gt;0,1,0)</f>
        <v>0</v>
      </c>
      <c r="N724">
        <f>IF(COUNTIFS('United Data'!$A$3:$A$2150,N$1,'United Data'!$C$3:$C$2150,$A724)&gt;0,1,0)</f>
        <v>0</v>
      </c>
      <c r="O724">
        <f>IF(COUNTIFS('United Data'!$A$3:$A$2150,O$1,'United Data'!$C$3:$C$2150,$A724)&gt;0,1,0)</f>
        <v>0</v>
      </c>
      <c r="P724">
        <f>IF(COUNTIFS('United Data'!$A$3:$A$2150,P$1,'United Data'!$C$3:$C$2150,$A724)&gt;0,1,0)</f>
        <v>1</v>
      </c>
      <c r="Q724">
        <f>IF(COUNTIFS('United Data'!$A$3:$A$2150,Q$1,'United Data'!$C$3:$C$2150,$A724)&gt;0,1,0)</f>
        <v>1</v>
      </c>
      <c r="R724">
        <f>IF(COUNTIFS('United Data'!$A$3:$A$2150,R$1,'United Data'!$C$3:$C$2150,$A724)&gt;0,1,0)</f>
        <v>0</v>
      </c>
      <c r="S724">
        <f t="shared" si="22"/>
        <v>2</v>
      </c>
      <c r="T724">
        <f t="shared" si="23"/>
        <v>1</v>
      </c>
    </row>
    <row r="725" spans="1:20" x14ac:dyDescent="0.2">
      <c r="A725" t="s">
        <v>771</v>
      </c>
      <c r="B725">
        <f>IF(COUNTIFS('United Data'!$A$3:$A$2150,B$1,'United Data'!$C$3:$C$2150,$A725)&gt;0,1,0)</f>
        <v>0</v>
      </c>
      <c r="C725">
        <f>IF(COUNTIFS('United Data'!$A$3:$A$2150,C$1,'United Data'!$C$3:$C$2150,$A725)&gt;0,1,0)</f>
        <v>0</v>
      </c>
      <c r="D725">
        <f>IF(COUNTIFS('United Data'!$A$3:$A$2150,D$1,'United Data'!$C$3:$C$2150,$A725)&gt;0,1,0)</f>
        <v>0</v>
      </c>
      <c r="E725">
        <f>IF(COUNTIFS('United Data'!$A$3:$A$2150,E$1,'United Data'!$C$3:$C$2150,$A725)&gt;0,1,0)</f>
        <v>0</v>
      </c>
      <c r="F725">
        <f>IF(COUNTIFS('United Data'!$A$3:$A$2150,F$1,'United Data'!$C$3:$C$2150,$A725)&gt;0,1,0)</f>
        <v>0</v>
      </c>
      <c r="G725">
        <f>IF(COUNTIFS('United Data'!$A$3:$A$2150,G$1,'United Data'!$C$3:$C$2150,$A725)&gt;0,1,0)</f>
        <v>0</v>
      </c>
      <c r="H725">
        <f>IF(COUNTIFS('United Data'!$A$3:$A$2150,H$1,'United Data'!$C$3:$C$2150,$A725)&gt;0,1,0)</f>
        <v>0</v>
      </c>
      <c r="I725">
        <f>IF(COUNTIFS('United Data'!$A$3:$A$2150,I$1,'United Data'!$C$3:$C$2150,$A725)&gt;0,1,0)</f>
        <v>0</v>
      </c>
      <c r="J725">
        <f>IF(COUNTIFS('United Data'!$A$3:$A$2150,J$1,'United Data'!$C$3:$C$2150,$A725)&gt;0,1,0)</f>
        <v>0</v>
      </c>
      <c r="K725">
        <f>IF(COUNTIFS('United Data'!$A$3:$A$2150,K$1,'United Data'!$C$3:$C$2150,$A725)&gt;0,1,0)</f>
        <v>0</v>
      </c>
      <c r="L725">
        <f>IF(COUNTIFS('United Data'!$A$3:$A$2150,L$1,'United Data'!$C$3:$C$2150,$A725)&gt;0,1,0)</f>
        <v>0</v>
      </c>
      <c r="M725">
        <f>IF(COUNTIFS('United Data'!$A$3:$A$2150,M$1,'United Data'!$C$3:$C$2150,$A725)&gt;0,1,0)</f>
        <v>0</v>
      </c>
      <c r="N725">
        <f>IF(COUNTIFS('United Data'!$A$3:$A$2150,N$1,'United Data'!$C$3:$C$2150,$A725)&gt;0,1,0)</f>
        <v>0</v>
      </c>
      <c r="O725">
        <f>IF(COUNTIFS('United Data'!$A$3:$A$2150,O$1,'United Data'!$C$3:$C$2150,$A725)&gt;0,1,0)</f>
        <v>0</v>
      </c>
      <c r="P725">
        <f>IF(COUNTIFS('United Data'!$A$3:$A$2150,P$1,'United Data'!$C$3:$C$2150,$A725)&gt;0,1,0)</f>
        <v>1</v>
      </c>
      <c r="Q725">
        <f>IF(COUNTIFS('United Data'!$A$3:$A$2150,Q$1,'United Data'!$C$3:$C$2150,$A725)&gt;0,1,0)</f>
        <v>0</v>
      </c>
      <c r="R725">
        <f>IF(COUNTIFS('United Data'!$A$3:$A$2150,R$1,'United Data'!$C$3:$C$2150,$A725)&gt;0,1,0)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772</v>
      </c>
      <c r="B726">
        <f>IF(COUNTIFS('United Data'!$A$3:$A$2150,B$1,'United Data'!$C$3:$C$2150,$A726)&gt;0,1,0)</f>
        <v>0</v>
      </c>
      <c r="C726">
        <f>IF(COUNTIFS('United Data'!$A$3:$A$2150,C$1,'United Data'!$C$3:$C$2150,$A726)&gt;0,1,0)</f>
        <v>0</v>
      </c>
      <c r="D726">
        <f>IF(COUNTIFS('United Data'!$A$3:$A$2150,D$1,'United Data'!$C$3:$C$2150,$A726)&gt;0,1,0)</f>
        <v>0</v>
      </c>
      <c r="E726">
        <f>IF(COUNTIFS('United Data'!$A$3:$A$2150,E$1,'United Data'!$C$3:$C$2150,$A726)&gt;0,1,0)</f>
        <v>0</v>
      </c>
      <c r="F726">
        <f>IF(COUNTIFS('United Data'!$A$3:$A$2150,F$1,'United Data'!$C$3:$C$2150,$A726)&gt;0,1,0)</f>
        <v>0</v>
      </c>
      <c r="G726">
        <f>IF(COUNTIFS('United Data'!$A$3:$A$2150,G$1,'United Data'!$C$3:$C$2150,$A726)&gt;0,1,0)</f>
        <v>0</v>
      </c>
      <c r="H726">
        <f>IF(COUNTIFS('United Data'!$A$3:$A$2150,H$1,'United Data'!$C$3:$C$2150,$A726)&gt;0,1,0)</f>
        <v>0</v>
      </c>
      <c r="I726">
        <f>IF(COUNTIFS('United Data'!$A$3:$A$2150,I$1,'United Data'!$C$3:$C$2150,$A726)&gt;0,1,0)</f>
        <v>0</v>
      </c>
      <c r="J726">
        <f>IF(COUNTIFS('United Data'!$A$3:$A$2150,J$1,'United Data'!$C$3:$C$2150,$A726)&gt;0,1,0)</f>
        <v>0</v>
      </c>
      <c r="K726">
        <f>IF(COUNTIFS('United Data'!$A$3:$A$2150,K$1,'United Data'!$C$3:$C$2150,$A726)&gt;0,1,0)</f>
        <v>0</v>
      </c>
      <c r="L726">
        <f>IF(COUNTIFS('United Data'!$A$3:$A$2150,L$1,'United Data'!$C$3:$C$2150,$A726)&gt;0,1,0)</f>
        <v>0</v>
      </c>
      <c r="M726">
        <f>IF(COUNTIFS('United Data'!$A$3:$A$2150,M$1,'United Data'!$C$3:$C$2150,$A726)&gt;0,1,0)</f>
        <v>0</v>
      </c>
      <c r="N726">
        <f>IF(COUNTIFS('United Data'!$A$3:$A$2150,N$1,'United Data'!$C$3:$C$2150,$A726)&gt;0,1,0)</f>
        <v>0</v>
      </c>
      <c r="O726">
        <f>IF(COUNTIFS('United Data'!$A$3:$A$2150,O$1,'United Data'!$C$3:$C$2150,$A726)&gt;0,1,0)</f>
        <v>0</v>
      </c>
      <c r="P726">
        <f>IF(COUNTIFS('United Data'!$A$3:$A$2150,P$1,'United Data'!$C$3:$C$2150,$A726)&gt;0,1,0)</f>
        <v>0</v>
      </c>
      <c r="Q726">
        <f>IF(COUNTIFS('United Data'!$A$3:$A$2150,Q$1,'United Data'!$C$3:$C$2150,$A726)&gt;0,1,0)</f>
        <v>1</v>
      </c>
      <c r="R726">
        <f>IF(COUNTIFS('United Data'!$A$3:$A$2150,R$1,'United Data'!$C$3:$C$2150,$A726)&gt;0,1,0)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773</v>
      </c>
      <c r="B727">
        <f>IF(COUNTIFS('United Data'!$A$3:$A$2150,B$1,'United Data'!$C$3:$C$2150,$A727)&gt;0,1,0)</f>
        <v>0</v>
      </c>
      <c r="C727">
        <f>IF(COUNTIFS('United Data'!$A$3:$A$2150,C$1,'United Data'!$C$3:$C$2150,$A727)&gt;0,1,0)</f>
        <v>0</v>
      </c>
      <c r="D727">
        <f>IF(COUNTIFS('United Data'!$A$3:$A$2150,D$1,'United Data'!$C$3:$C$2150,$A727)&gt;0,1,0)</f>
        <v>0</v>
      </c>
      <c r="E727">
        <f>IF(COUNTIFS('United Data'!$A$3:$A$2150,E$1,'United Data'!$C$3:$C$2150,$A727)&gt;0,1,0)</f>
        <v>0</v>
      </c>
      <c r="F727">
        <f>IF(COUNTIFS('United Data'!$A$3:$A$2150,F$1,'United Data'!$C$3:$C$2150,$A727)&gt;0,1,0)</f>
        <v>0</v>
      </c>
      <c r="G727">
        <f>IF(COUNTIFS('United Data'!$A$3:$A$2150,G$1,'United Data'!$C$3:$C$2150,$A727)&gt;0,1,0)</f>
        <v>0</v>
      </c>
      <c r="H727">
        <f>IF(COUNTIFS('United Data'!$A$3:$A$2150,H$1,'United Data'!$C$3:$C$2150,$A727)&gt;0,1,0)</f>
        <v>0</v>
      </c>
      <c r="I727">
        <f>IF(COUNTIFS('United Data'!$A$3:$A$2150,I$1,'United Data'!$C$3:$C$2150,$A727)&gt;0,1,0)</f>
        <v>0</v>
      </c>
      <c r="J727">
        <f>IF(COUNTIFS('United Data'!$A$3:$A$2150,J$1,'United Data'!$C$3:$C$2150,$A727)&gt;0,1,0)</f>
        <v>0</v>
      </c>
      <c r="K727">
        <f>IF(COUNTIFS('United Data'!$A$3:$A$2150,K$1,'United Data'!$C$3:$C$2150,$A727)&gt;0,1,0)</f>
        <v>0</v>
      </c>
      <c r="L727">
        <f>IF(COUNTIFS('United Data'!$A$3:$A$2150,L$1,'United Data'!$C$3:$C$2150,$A727)&gt;0,1,0)</f>
        <v>0</v>
      </c>
      <c r="M727">
        <f>IF(COUNTIFS('United Data'!$A$3:$A$2150,M$1,'United Data'!$C$3:$C$2150,$A727)&gt;0,1,0)</f>
        <v>0</v>
      </c>
      <c r="N727">
        <f>IF(COUNTIFS('United Data'!$A$3:$A$2150,N$1,'United Data'!$C$3:$C$2150,$A727)&gt;0,1,0)</f>
        <v>0</v>
      </c>
      <c r="O727">
        <f>IF(COUNTIFS('United Data'!$A$3:$A$2150,O$1,'United Data'!$C$3:$C$2150,$A727)&gt;0,1,0)</f>
        <v>0</v>
      </c>
      <c r="P727">
        <f>IF(COUNTIFS('United Data'!$A$3:$A$2150,P$1,'United Data'!$C$3:$C$2150,$A727)&gt;0,1,0)</f>
        <v>0</v>
      </c>
      <c r="Q727">
        <f>IF(COUNTIFS('United Data'!$A$3:$A$2150,Q$1,'United Data'!$C$3:$C$2150,$A727)&gt;0,1,0)</f>
        <v>1</v>
      </c>
      <c r="R727">
        <f>IF(COUNTIFS('United Data'!$A$3:$A$2150,R$1,'United Data'!$C$3:$C$2150,$A727)&gt;0,1,0)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775</v>
      </c>
      <c r="B728">
        <f>IF(COUNTIFS('United Data'!$A$3:$A$2150,B$1,'United Data'!$C$3:$C$2150,$A728)&gt;0,1,0)</f>
        <v>1</v>
      </c>
      <c r="C728">
        <f>IF(COUNTIFS('United Data'!$A$3:$A$2150,C$1,'United Data'!$C$3:$C$2150,$A728)&gt;0,1,0)</f>
        <v>1</v>
      </c>
      <c r="D728">
        <f>IF(COUNTIFS('United Data'!$A$3:$A$2150,D$1,'United Data'!$C$3:$C$2150,$A728)&gt;0,1,0)</f>
        <v>1</v>
      </c>
      <c r="E728">
        <f>IF(COUNTIFS('United Data'!$A$3:$A$2150,E$1,'United Data'!$C$3:$C$2150,$A728)&gt;0,1,0)</f>
        <v>0</v>
      </c>
      <c r="F728">
        <f>IF(COUNTIFS('United Data'!$A$3:$A$2150,F$1,'United Data'!$C$3:$C$2150,$A728)&gt;0,1,0)</f>
        <v>0</v>
      </c>
      <c r="G728">
        <f>IF(COUNTIFS('United Data'!$A$3:$A$2150,G$1,'United Data'!$C$3:$C$2150,$A728)&gt;0,1,0)</f>
        <v>0</v>
      </c>
      <c r="H728">
        <f>IF(COUNTIFS('United Data'!$A$3:$A$2150,H$1,'United Data'!$C$3:$C$2150,$A728)&gt;0,1,0)</f>
        <v>0</v>
      </c>
      <c r="I728">
        <f>IF(COUNTIFS('United Data'!$A$3:$A$2150,I$1,'United Data'!$C$3:$C$2150,$A728)&gt;0,1,0)</f>
        <v>0</v>
      </c>
      <c r="J728">
        <f>IF(COUNTIFS('United Data'!$A$3:$A$2150,J$1,'United Data'!$C$3:$C$2150,$A728)&gt;0,1,0)</f>
        <v>0</v>
      </c>
      <c r="K728">
        <f>IF(COUNTIFS('United Data'!$A$3:$A$2150,K$1,'United Data'!$C$3:$C$2150,$A728)&gt;0,1,0)</f>
        <v>0</v>
      </c>
      <c r="L728">
        <f>IF(COUNTIFS('United Data'!$A$3:$A$2150,L$1,'United Data'!$C$3:$C$2150,$A728)&gt;0,1,0)</f>
        <v>0</v>
      </c>
      <c r="M728">
        <f>IF(COUNTIFS('United Data'!$A$3:$A$2150,M$1,'United Data'!$C$3:$C$2150,$A728)&gt;0,1,0)</f>
        <v>0</v>
      </c>
      <c r="N728">
        <f>IF(COUNTIFS('United Data'!$A$3:$A$2150,N$1,'United Data'!$C$3:$C$2150,$A728)&gt;0,1,0)</f>
        <v>0</v>
      </c>
      <c r="O728">
        <f>IF(COUNTIFS('United Data'!$A$3:$A$2150,O$1,'United Data'!$C$3:$C$2150,$A728)&gt;0,1,0)</f>
        <v>0</v>
      </c>
      <c r="P728">
        <f>IF(COUNTIFS('United Data'!$A$3:$A$2150,P$1,'United Data'!$C$3:$C$2150,$A728)&gt;0,1,0)</f>
        <v>0</v>
      </c>
      <c r="Q728">
        <f>IF(COUNTIFS('United Data'!$A$3:$A$2150,Q$1,'United Data'!$C$3:$C$2150,$A728)&gt;0,1,0)</f>
        <v>0</v>
      </c>
      <c r="R728">
        <f>IF(COUNTIFS('United Data'!$A$3:$A$2150,R$1,'United Data'!$C$3:$C$2150,$A728)&gt;0,1,0)</f>
        <v>0</v>
      </c>
      <c r="S728">
        <f t="shared" si="22"/>
        <v>3</v>
      </c>
      <c r="T728">
        <f t="shared" si="23"/>
        <v>1</v>
      </c>
    </row>
    <row r="729" spans="1:20" x14ac:dyDescent="0.2">
      <c r="A729" t="s">
        <v>776</v>
      </c>
      <c r="B729">
        <f>IF(COUNTIFS('United Data'!$A$3:$A$2150,B$1,'United Data'!$C$3:$C$2150,$A729)&gt;0,1,0)</f>
        <v>1</v>
      </c>
      <c r="C729">
        <f>IF(COUNTIFS('United Data'!$A$3:$A$2150,C$1,'United Data'!$C$3:$C$2150,$A729)&gt;0,1,0)</f>
        <v>1</v>
      </c>
      <c r="D729">
        <f>IF(COUNTIFS('United Data'!$A$3:$A$2150,D$1,'United Data'!$C$3:$C$2150,$A729)&gt;0,1,0)</f>
        <v>1</v>
      </c>
      <c r="E729">
        <f>IF(COUNTIFS('United Data'!$A$3:$A$2150,E$1,'United Data'!$C$3:$C$2150,$A729)&gt;0,1,0)</f>
        <v>1</v>
      </c>
      <c r="F729">
        <f>IF(COUNTIFS('United Data'!$A$3:$A$2150,F$1,'United Data'!$C$3:$C$2150,$A729)&gt;0,1,0)</f>
        <v>0</v>
      </c>
      <c r="G729">
        <f>IF(COUNTIFS('United Data'!$A$3:$A$2150,G$1,'United Data'!$C$3:$C$2150,$A729)&gt;0,1,0)</f>
        <v>0</v>
      </c>
      <c r="H729">
        <f>IF(COUNTIFS('United Data'!$A$3:$A$2150,H$1,'United Data'!$C$3:$C$2150,$A729)&gt;0,1,0)</f>
        <v>0</v>
      </c>
      <c r="I729">
        <f>IF(COUNTIFS('United Data'!$A$3:$A$2150,I$1,'United Data'!$C$3:$C$2150,$A729)&gt;0,1,0)</f>
        <v>0</v>
      </c>
      <c r="J729">
        <f>IF(COUNTIFS('United Data'!$A$3:$A$2150,J$1,'United Data'!$C$3:$C$2150,$A729)&gt;0,1,0)</f>
        <v>0</v>
      </c>
      <c r="K729">
        <f>IF(COUNTIFS('United Data'!$A$3:$A$2150,K$1,'United Data'!$C$3:$C$2150,$A729)&gt;0,1,0)</f>
        <v>0</v>
      </c>
      <c r="L729">
        <f>IF(COUNTIFS('United Data'!$A$3:$A$2150,L$1,'United Data'!$C$3:$C$2150,$A729)&gt;0,1,0)</f>
        <v>0</v>
      </c>
      <c r="M729">
        <f>IF(COUNTIFS('United Data'!$A$3:$A$2150,M$1,'United Data'!$C$3:$C$2150,$A729)&gt;0,1,0)</f>
        <v>0</v>
      </c>
      <c r="N729">
        <f>IF(COUNTIFS('United Data'!$A$3:$A$2150,N$1,'United Data'!$C$3:$C$2150,$A729)&gt;0,1,0)</f>
        <v>0</v>
      </c>
      <c r="O729">
        <f>IF(COUNTIFS('United Data'!$A$3:$A$2150,O$1,'United Data'!$C$3:$C$2150,$A729)&gt;0,1,0)</f>
        <v>0</v>
      </c>
      <c r="P729">
        <f>IF(COUNTIFS('United Data'!$A$3:$A$2150,P$1,'United Data'!$C$3:$C$2150,$A729)&gt;0,1,0)</f>
        <v>0</v>
      </c>
      <c r="Q729">
        <f>IF(COUNTIFS('United Data'!$A$3:$A$2150,Q$1,'United Data'!$C$3:$C$2150,$A729)&gt;0,1,0)</f>
        <v>0</v>
      </c>
      <c r="R729">
        <f>IF(COUNTIFS('United Data'!$A$3:$A$2150,R$1,'United Data'!$C$3:$C$2150,$A729)&gt;0,1,0)</f>
        <v>0</v>
      </c>
      <c r="S729">
        <f t="shared" si="22"/>
        <v>4</v>
      </c>
      <c r="T729">
        <f t="shared" si="23"/>
        <v>1</v>
      </c>
    </row>
    <row r="730" spans="1:20" x14ac:dyDescent="0.2">
      <c r="A730" t="s">
        <v>777</v>
      </c>
      <c r="B730">
        <f>IF(COUNTIFS('United Data'!$A$3:$A$2150,B$1,'United Data'!$C$3:$C$2150,$A730)&gt;0,1,0)</f>
        <v>1</v>
      </c>
      <c r="C730">
        <f>IF(COUNTIFS('United Data'!$A$3:$A$2150,C$1,'United Data'!$C$3:$C$2150,$A730)&gt;0,1,0)</f>
        <v>1</v>
      </c>
      <c r="D730">
        <f>IF(COUNTIFS('United Data'!$A$3:$A$2150,D$1,'United Data'!$C$3:$C$2150,$A730)&gt;0,1,0)</f>
        <v>1</v>
      </c>
      <c r="E730">
        <f>IF(COUNTIFS('United Data'!$A$3:$A$2150,E$1,'United Data'!$C$3:$C$2150,$A730)&gt;0,1,0)</f>
        <v>1</v>
      </c>
      <c r="F730">
        <f>IF(COUNTIFS('United Data'!$A$3:$A$2150,F$1,'United Data'!$C$3:$C$2150,$A730)&gt;0,1,0)</f>
        <v>0</v>
      </c>
      <c r="G730">
        <f>IF(COUNTIFS('United Data'!$A$3:$A$2150,G$1,'United Data'!$C$3:$C$2150,$A730)&gt;0,1,0)</f>
        <v>1</v>
      </c>
      <c r="H730">
        <f>IF(COUNTIFS('United Data'!$A$3:$A$2150,H$1,'United Data'!$C$3:$C$2150,$A730)&gt;0,1,0)</f>
        <v>1</v>
      </c>
      <c r="I730">
        <f>IF(COUNTIFS('United Data'!$A$3:$A$2150,I$1,'United Data'!$C$3:$C$2150,$A730)&gt;0,1,0)</f>
        <v>1</v>
      </c>
      <c r="J730">
        <f>IF(COUNTIFS('United Data'!$A$3:$A$2150,J$1,'United Data'!$C$3:$C$2150,$A730)&gt;0,1,0)</f>
        <v>1</v>
      </c>
      <c r="K730">
        <f>IF(COUNTIFS('United Data'!$A$3:$A$2150,K$1,'United Data'!$C$3:$C$2150,$A730)&gt;0,1,0)</f>
        <v>1</v>
      </c>
      <c r="L730">
        <f>IF(COUNTIFS('United Data'!$A$3:$A$2150,L$1,'United Data'!$C$3:$C$2150,$A730)&gt;0,1,0)</f>
        <v>1</v>
      </c>
      <c r="M730">
        <f>IF(COUNTIFS('United Data'!$A$3:$A$2150,M$1,'United Data'!$C$3:$C$2150,$A730)&gt;0,1,0)</f>
        <v>1</v>
      </c>
      <c r="N730">
        <f>IF(COUNTIFS('United Data'!$A$3:$A$2150,N$1,'United Data'!$C$3:$C$2150,$A730)&gt;0,1,0)</f>
        <v>0</v>
      </c>
      <c r="O730">
        <f>IF(COUNTIFS('United Data'!$A$3:$A$2150,O$1,'United Data'!$C$3:$C$2150,$A730)&gt;0,1,0)</f>
        <v>1</v>
      </c>
      <c r="P730">
        <f>IF(COUNTIFS('United Data'!$A$3:$A$2150,P$1,'United Data'!$C$3:$C$2150,$A730)&gt;0,1,0)</f>
        <v>1</v>
      </c>
      <c r="Q730">
        <f>IF(COUNTIFS('United Data'!$A$3:$A$2150,Q$1,'United Data'!$C$3:$C$2150,$A730)&gt;0,1,0)</f>
        <v>0</v>
      </c>
      <c r="R730">
        <f>IF(COUNTIFS('United Data'!$A$3:$A$2150,R$1,'United Data'!$C$3:$C$2150,$A730)&gt;0,1,0)</f>
        <v>0</v>
      </c>
      <c r="S730">
        <f t="shared" si="22"/>
        <v>13</v>
      </c>
      <c r="T730">
        <f t="shared" si="23"/>
        <v>3</v>
      </c>
    </row>
    <row r="731" spans="1:20" x14ac:dyDescent="0.2">
      <c r="A731" t="s">
        <v>778</v>
      </c>
      <c r="B731">
        <f>IF(COUNTIFS('United Data'!$A$3:$A$2150,B$1,'United Data'!$C$3:$C$2150,$A731)&gt;0,1,0)</f>
        <v>1</v>
      </c>
      <c r="C731">
        <f>IF(COUNTIFS('United Data'!$A$3:$A$2150,C$1,'United Data'!$C$3:$C$2150,$A731)&gt;0,1,0)</f>
        <v>1</v>
      </c>
      <c r="D731">
        <f>IF(COUNTIFS('United Data'!$A$3:$A$2150,D$1,'United Data'!$C$3:$C$2150,$A731)&gt;0,1,0)</f>
        <v>1</v>
      </c>
      <c r="E731">
        <f>IF(COUNTIFS('United Data'!$A$3:$A$2150,E$1,'United Data'!$C$3:$C$2150,$A731)&gt;0,1,0)</f>
        <v>1</v>
      </c>
      <c r="F731">
        <f>IF(COUNTIFS('United Data'!$A$3:$A$2150,F$1,'United Data'!$C$3:$C$2150,$A731)&gt;0,1,0)</f>
        <v>0</v>
      </c>
      <c r="G731">
        <f>IF(COUNTIFS('United Data'!$A$3:$A$2150,G$1,'United Data'!$C$3:$C$2150,$A731)&gt;0,1,0)</f>
        <v>0</v>
      </c>
      <c r="H731">
        <f>IF(COUNTIFS('United Data'!$A$3:$A$2150,H$1,'United Data'!$C$3:$C$2150,$A731)&gt;0,1,0)</f>
        <v>0</v>
      </c>
      <c r="I731">
        <f>IF(COUNTIFS('United Data'!$A$3:$A$2150,I$1,'United Data'!$C$3:$C$2150,$A731)&gt;0,1,0)</f>
        <v>1</v>
      </c>
      <c r="J731">
        <f>IF(COUNTIFS('United Data'!$A$3:$A$2150,J$1,'United Data'!$C$3:$C$2150,$A731)&gt;0,1,0)</f>
        <v>0</v>
      </c>
      <c r="K731">
        <f>IF(COUNTIFS('United Data'!$A$3:$A$2150,K$1,'United Data'!$C$3:$C$2150,$A731)&gt;0,1,0)</f>
        <v>0</v>
      </c>
      <c r="L731">
        <f>IF(COUNTIFS('United Data'!$A$3:$A$2150,L$1,'United Data'!$C$3:$C$2150,$A731)&gt;0,1,0)</f>
        <v>1</v>
      </c>
      <c r="M731">
        <f>IF(COUNTIFS('United Data'!$A$3:$A$2150,M$1,'United Data'!$C$3:$C$2150,$A731)&gt;0,1,0)</f>
        <v>1</v>
      </c>
      <c r="N731">
        <f>IF(COUNTIFS('United Data'!$A$3:$A$2150,N$1,'United Data'!$C$3:$C$2150,$A731)&gt;0,1,0)</f>
        <v>0</v>
      </c>
      <c r="O731">
        <f>IF(COUNTIFS('United Data'!$A$3:$A$2150,O$1,'United Data'!$C$3:$C$2150,$A731)&gt;0,1,0)</f>
        <v>0</v>
      </c>
      <c r="P731">
        <f>IF(COUNTIFS('United Data'!$A$3:$A$2150,P$1,'United Data'!$C$3:$C$2150,$A731)&gt;0,1,0)</f>
        <v>0</v>
      </c>
      <c r="Q731">
        <f>IF(COUNTIFS('United Data'!$A$3:$A$2150,Q$1,'United Data'!$C$3:$C$2150,$A731)&gt;0,1,0)</f>
        <v>0</v>
      </c>
      <c r="R731">
        <f>IF(COUNTIFS('United Data'!$A$3:$A$2150,R$1,'United Data'!$C$3:$C$2150,$A731)&gt;0,1,0)</f>
        <v>0</v>
      </c>
      <c r="S731">
        <f t="shared" si="22"/>
        <v>7</v>
      </c>
      <c r="T731">
        <f t="shared" si="23"/>
        <v>3</v>
      </c>
    </row>
    <row r="732" spans="1:20" x14ac:dyDescent="0.2">
      <c r="A732" t="s">
        <v>779</v>
      </c>
      <c r="B732">
        <f>IF(COUNTIFS('United Data'!$A$3:$A$2150,B$1,'United Data'!$C$3:$C$2150,$A732)&gt;0,1,0)</f>
        <v>1</v>
      </c>
      <c r="C732">
        <f>IF(COUNTIFS('United Data'!$A$3:$A$2150,C$1,'United Data'!$C$3:$C$2150,$A732)&gt;0,1,0)</f>
        <v>1</v>
      </c>
      <c r="D732">
        <f>IF(COUNTIFS('United Data'!$A$3:$A$2150,D$1,'United Data'!$C$3:$C$2150,$A732)&gt;0,1,0)</f>
        <v>1</v>
      </c>
      <c r="E732">
        <f>IF(COUNTIFS('United Data'!$A$3:$A$2150,E$1,'United Data'!$C$3:$C$2150,$A732)&gt;0,1,0)</f>
        <v>1</v>
      </c>
      <c r="F732">
        <f>IF(COUNTIFS('United Data'!$A$3:$A$2150,F$1,'United Data'!$C$3:$C$2150,$A732)&gt;0,1,0)</f>
        <v>0</v>
      </c>
      <c r="G732">
        <f>IF(COUNTIFS('United Data'!$A$3:$A$2150,G$1,'United Data'!$C$3:$C$2150,$A732)&gt;0,1,0)</f>
        <v>0</v>
      </c>
      <c r="H732">
        <f>IF(COUNTIFS('United Data'!$A$3:$A$2150,H$1,'United Data'!$C$3:$C$2150,$A732)&gt;0,1,0)</f>
        <v>1</v>
      </c>
      <c r="I732">
        <f>IF(COUNTIFS('United Data'!$A$3:$A$2150,I$1,'United Data'!$C$3:$C$2150,$A732)&gt;0,1,0)</f>
        <v>0</v>
      </c>
      <c r="J732">
        <f>IF(COUNTIFS('United Data'!$A$3:$A$2150,J$1,'United Data'!$C$3:$C$2150,$A732)&gt;0,1,0)</f>
        <v>0</v>
      </c>
      <c r="K732">
        <f>IF(COUNTIFS('United Data'!$A$3:$A$2150,K$1,'United Data'!$C$3:$C$2150,$A732)&gt;0,1,0)</f>
        <v>1</v>
      </c>
      <c r="L732">
        <f>IF(COUNTIFS('United Data'!$A$3:$A$2150,L$1,'United Data'!$C$3:$C$2150,$A732)&gt;0,1,0)</f>
        <v>1</v>
      </c>
      <c r="M732">
        <f>IF(COUNTIFS('United Data'!$A$3:$A$2150,M$1,'United Data'!$C$3:$C$2150,$A732)&gt;0,1,0)</f>
        <v>1</v>
      </c>
      <c r="N732">
        <f>IF(COUNTIFS('United Data'!$A$3:$A$2150,N$1,'United Data'!$C$3:$C$2150,$A732)&gt;0,1,0)</f>
        <v>1</v>
      </c>
      <c r="O732">
        <f>IF(COUNTIFS('United Data'!$A$3:$A$2150,O$1,'United Data'!$C$3:$C$2150,$A732)&gt;0,1,0)</f>
        <v>1</v>
      </c>
      <c r="P732">
        <f>IF(COUNTIFS('United Data'!$A$3:$A$2150,P$1,'United Data'!$C$3:$C$2150,$A732)&gt;0,1,0)</f>
        <v>1</v>
      </c>
      <c r="Q732">
        <f>IF(COUNTIFS('United Data'!$A$3:$A$2150,Q$1,'United Data'!$C$3:$C$2150,$A732)&gt;0,1,0)</f>
        <v>0</v>
      </c>
      <c r="R732">
        <f>IF(COUNTIFS('United Data'!$A$3:$A$2150,R$1,'United Data'!$C$3:$C$2150,$A732)&gt;0,1,0)</f>
        <v>0</v>
      </c>
      <c r="S732">
        <f t="shared" si="22"/>
        <v>11</v>
      </c>
      <c r="T732">
        <f t="shared" si="23"/>
        <v>3</v>
      </c>
    </row>
    <row r="733" spans="1:20" x14ac:dyDescent="0.2">
      <c r="A733" t="s">
        <v>780</v>
      </c>
      <c r="B733">
        <f>IF(COUNTIFS('United Data'!$A$3:$A$2150,B$1,'United Data'!$C$3:$C$2150,$A733)&gt;0,1,0)</f>
        <v>1</v>
      </c>
      <c r="C733">
        <f>IF(COUNTIFS('United Data'!$A$3:$A$2150,C$1,'United Data'!$C$3:$C$2150,$A733)&gt;0,1,0)</f>
        <v>1</v>
      </c>
      <c r="D733">
        <f>IF(COUNTIFS('United Data'!$A$3:$A$2150,D$1,'United Data'!$C$3:$C$2150,$A733)&gt;0,1,0)</f>
        <v>1</v>
      </c>
      <c r="E733">
        <f>IF(COUNTIFS('United Data'!$A$3:$A$2150,E$1,'United Data'!$C$3:$C$2150,$A733)&gt;0,1,0)</f>
        <v>0</v>
      </c>
      <c r="F733">
        <f>IF(COUNTIFS('United Data'!$A$3:$A$2150,F$1,'United Data'!$C$3:$C$2150,$A733)&gt;0,1,0)</f>
        <v>0</v>
      </c>
      <c r="G733">
        <f>IF(COUNTIFS('United Data'!$A$3:$A$2150,G$1,'United Data'!$C$3:$C$2150,$A733)&gt;0,1,0)</f>
        <v>0</v>
      </c>
      <c r="H733">
        <f>IF(COUNTIFS('United Data'!$A$3:$A$2150,H$1,'United Data'!$C$3:$C$2150,$A733)&gt;0,1,0)</f>
        <v>0</v>
      </c>
      <c r="I733">
        <f>IF(COUNTIFS('United Data'!$A$3:$A$2150,I$1,'United Data'!$C$3:$C$2150,$A733)&gt;0,1,0)</f>
        <v>0</v>
      </c>
      <c r="J733">
        <f>IF(COUNTIFS('United Data'!$A$3:$A$2150,J$1,'United Data'!$C$3:$C$2150,$A733)&gt;0,1,0)</f>
        <v>0</v>
      </c>
      <c r="K733">
        <f>IF(COUNTIFS('United Data'!$A$3:$A$2150,K$1,'United Data'!$C$3:$C$2150,$A733)&gt;0,1,0)</f>
        <v>0</v>
      </c>
      <c r="L733">
        <f>IF(COUNTIFS('United Data'!$A$3:$A$2150,L$1,'United Data'!$C$3:$C$2150,$A733)&gt;0,1,0)</f>
        <v>0</v>
      </c>
      <c r="M733">
        <f>IF(COUNTIFS('United Data'!$A$3:$A$2150,M$1,'United Data'!$C$3:$C$2150,$A733)&gt;0,1,0)</f>
        <v>0</v>
      </c>
      <c r="N733">
        <f>IF(COUNTIFS('United Data'!$A$3:$A$2150,N$1,'United Data'!$C$3:$C$2150,$A733)&gt;0,1,0)</f>
        <v>0</v>
      </c>
      <c r="O733">
        <f>IF(COUNTIFS('United Data'!$A$3:$A$2150,O$1,'United Data'!$C$3:$C$2150,$A733)&gt;0,1,0)</f>
        <v>0</v>
      </c>
      <c r="P733">
        <f>IF(COUNTIFS('United Data'!$A$3:$A$2150,P$1,'United Data'!$C$3:$C$2150,$A733)&gt;0,1,0)</f>
        <v>0</v>
      </c>
      <c r="Q733">
        <f>IF(COUNTIFS('United Data'!$A$3:$A$2150,Q$1,'United Data'!$C$3:$C$2150,$A733)&gt;0,1,0)</f>
        <v>0</v>
      </c>
      <c r="R733">
        <f>IF(COUNTIFS('United Data'!$A$3:$A$2150,R$1,'United Data'!$C$3:$C$2150,$A733)&gt;0,1,0)</f>
        <v>0</v>
      </c>
      <c r="S733">
        <f t="shared" si="22"/>
        <v>3</v>
      </c>
      <c r="T733">
        <f t="shared" si="23"/>
        <v>1</v>
      </c>
    </row>
    <row r="734" spans="1:20" x14ac:dyDescent="0.2">
      <c r="A734" t="s">
        <v>781</v>
      </c>
      <c r="B734">
        <f>IF(COUNTIFS('United Data'!$A$3:$A$2150,B$1,'United Data'!$C$3:$C$2150,$A734)&gt;0,1,0)</f>
        <v>1</v>
      </c>
      <c r="C734">
        <f>IF(COUNTIFS('United Data'!$A$3:$A$2150,C$1,'United Data'!$C$3:$C$2150,$A734)&gt;0,1,0)</f>
        <v>1</v>
      </c>
      <c r="D734">
        <f>IF(COUNTIFS('United Data'!$A$3:$A$2150,D$1,'United Data'!$C$3:$C$2150,$A734)&gt;0,1,0)</f>
        <v>1</v>
      </c>
      <c r="E734">
        <f>IF(COUNTIFS('United Data'!$A$3:$A$2150,E$1,'United Data'!$C$3:$C$2150,$A734)&gt;0,1,0)</f>
        <v>1</v>
      </c>
      <c r="F734">
        <f>IF(COUNTIFS('United Data'!$A$3:$A$2150,F$1,'United Data'!$C$3:$C$2150,$A734)&gt;0,1,0)</f>
        <v>0</v>
      </c>
      <c r="G734">
        <f>IF(COUNTIFS('United Data'!$A$3:$A$2150,G$1,'United Data'!$C$3:$C$2150,$A734)&gt;0,1,0)</f>
        <v>0</v>
      </c>
      <c r="H734">
        <f>IF(COUNTIFS('United Data'!$A$3:$A$2150,H$1,'United Data'!$C$3:$C$2150,$A734)&gt;0,1,0)</f>
        <v>0</v>
      </c>
      <c r="I734">
        <f>IF(COUNTIFS('United Data'!$A$3:$A$2150,I$1,'United Data'!$C$3:$C$2150,$A734)&gt;0,1,0)</f>
        <v>0</v>
      </c>
      <c r="J734">
        <f>IF(COUNTIFS('United Data'!$A$3:$A$2150,J$1,'United Data'!$C$3:$C$2150,$A734)&gt;0,1,0)</f>
        <v>0</v>
      </c>
      <c r="K734">
        <f>IF(COUNTIFS('United Data'!$A$3:$A$2150,K$1,'United Data'!$C$3:$C$2150,$A734)&gt;0,1,0)</f>
        <v>0</v>
      </c>
      <c r="L734">
        <f>IF(COUNTIFS('United Data'!$A$3:$A$2150,L$1,'United Data'!$C$3:$C$2150,$A734)&gt;0,1,0)</f>
        <v>0</v>
      </c>
      <c r="M734">
        <f>IF(COUNTIFS('United Data'!$A$3:$A$2150,M$1,'United Data'!$C$3:$C$2150,$A734)&gt;0,1,0)</f>
        <v>0</v>
      </c>
      <c r="N734">
        <f>IF(COUNTIFS('United Data'!$A$3:$A$2150,N$1,'United Data'!$C$3:$C$2150,$A734)&gt;0,1,0)</f>
        <v>0</v>
      </c>
      <c r="O734">
        <f>IF(COUNTIFS('United Data'!$A$3:$A$2150,O$1,'United Data'!$C$3:$C$2150,$A734)&gt;0,1,0)</f>
        <v>0</v>
      </c>
      <c r="P734">
        <f>IF(COUNTIFS('United Data'!$A$3:$A$2150,P$1,'United Data'!$C$3:$C$2150,$A734)&gt;0,1,0)</f>
        <v>0</v>
      </c>
      <c r="Q734">
        <f>IF(COUNTIFS('United Data'!$A$3:$A$2150,Q$1,'United Data'!$C$3:$C$2150,$A734)&gt;0,1,0)</f>
        <v>0</v>
      </c>
      <c r="R734">
        <f>IF(COUNTIFS('United Data'!$A$3:$A$2150,R$1,'United Data'!$C$3:$C$2150,$A734)&gt;0,1,0)</f>
        <v>0</v>
      </c>
      <c r="S734">
        <f t="shared" si="22"/>
        <v>4</v>
      </c>
      <c r="T734">
        <f t="shared" si="23"/>
        <v>1</v>
      </c>
    </row>
    <row r="735" spans="1:20" x14ac:dyDescent="0.2">
      <c r="A735" t="s">
        <v>782</v>
      </c>
      <c r="B735">
        <f>IF(COUNTIFS('United Data'!$A$3:$A$2150,B$1,'United Data'!$C$3:$C$2150,$A735)&gt;0,1,0)</f>
        <v>1</v>
      </c>
      <c r="C735">
        <f>IF(COUNTIFS('United Data'!$A$3:$A$2150,C$1,'United Data'!$C$3:$C$2150,$A735)&gt;0,1,0)</f>
        <v>1</v>
      </c>
      <c r="D735">
        <f>IF(COUNTIFS('United Data'!$A$3:$A$2150,D$1,'United Data'!$C$3:$C$2150,$A735)&gt;0,1,0)</f>
        <v>1</v>
      </c>
      <c r="E735">
        <f>IF(COUNTIFS('United Data'!$A$3:$A$2150,E$1,'United Data'!$C$3:$C$2150,$A735)&gt;0,1,0)</f>
        <v>1</v>
      </c>
      <c r="F735">
        <f>IF(COUNTIFS('United Data'!$A$3:$A$2150,F$1,'United Data'!$C$3:$C$2150,$A735)&gt;0,1,0)</f>
        <v>1</v>
      </c>
      <c r="G735">
        <f>IF(COUNTIFS('United Data'!$A$3:$A$2150,G$1,'United Data'!$C$3:$C$2150,$A735)&gt;0,1,0)</f>
        <v>1</v>
      </c>
      <c r="H735">
        <f>IF(COUNTIFS('United Data'!$A$3:$A$2150,H$1,'United Data'!$C$3:$C$2150,$A735)&gt;0,1,0)</f>
        <v>1</v>
      </c>
      <c r="I735">
        <f>IF(COUNTIFS('United Data'!$A$3:$A$2150,I$1,'United Data'!$C$3:$C$2150,$A735)&gt;0,1,0)</f>
        <v>1</v>
      </c>
      <c r="J735">
        <f>IF(COUNTIFS('United Data'!$A$3:$A$2150,J$1,'United Data'!$C$3:$C$2150,$A735)&gt;0,1,0)</f>
        <v>1</v>
      </c>
      <c r="K735">
        <f>IF(COUNTIFS('United Data'!$A$3:$A$2150,K$1,'United Data'!$C$3:$C$2150,$A735)&gt;0,1,0)</f>
        <v>1</v>
      </c>
      <c r="L735">
        <f>IF(COUNTIFS('United Data'!$A$3:$A$2150,L$1,'United Data'!$C$3:$C$2150,$A735)&gt;0,1,0)</f>
        <v>1</v>
      </c>
      <c r="M735">
        <f>IF(COUNTIFS('United Data'!$A$3:$A$2150,M$1,'United Data'!$C$3:$C$2150,$A735)&gt;0,1,0)</f>
        <v>1</v>
      </c>
      <c r="N735">
        <f>IF(COUNTIFS('United Data'!$A$3:$A$2150,N$1,'United Data'!$C$3:$C$2150,$A735)&gt;0,1,0)</f>
        <v>1</v>
      </c>
      <c r="O735">
        <f>IF(COUNTIFS('United Data'!$A$3:$A$2150,O$1,'United Data'!$C$3:$C$2150,$A735)&gt;0,1,0)</f>
        <v>1</v>
      </c>
      <c r="P735">
        <f>IF(COUNTIFS('United Data'!$A$3:$A$2150,P$1,'United Data'!$C$3:$C$2150,$A735)&gt;0,1,0)</f>
        <v>1</v>
      </c>
      <c r="Q735">
        <f>IF(COUNTIFS('United Data'!$A$3:$A$2150,Q$1,'United Data'!$C$3:$C$2150,$A735)&gt;0,1,0)</f>
        <v>0</v>
      </c>
      <c r="R735">
        <f>IF(COUNTIFS('United Data'!$A$3:$A$2150,R$1,'United Data'!$C$3:$C$2150,$A735)&gt;0,1,0)</f>
        <v>0</v>
      </c>
      <c r="S735">
        <f t="shared" si="22"/>
        <v>15</v>
      </c>
      <c r="T735">
        <f t="shared" si="23"/>
        <v>1</v>
      </c>
    </row>
    <row r="736" spans="1:20" x14ac:dyDescent="0.2">
      <c r="A736" t="s">
        <v>783</v>
      </c>
      <c r="B736">
        <f>IF(COUNTIFS('United Data'!$A$3:$A$2150,B$1,'United Data'!$C$3:$C$2150,$A736)&gt;0,1,0)</f>
        <v>1</v>
      </c>
      <c r="C736">
        <f>IF(COUNTIFS('United Data'!$A$3:$A$2150,C$1,'United Data'!$C$3:$C$2150,$A736)&gt;0,1,0)</f>
        <v>1</v>
      </c>
      <c r="D736">
        <f>IF(COUNTIFS('United Data'!$A$3:$A$2150,D$1,'United Data'!$C$3:$C$2150,$A736)&gt;0,1,0)</f>
        <v>1</v>
      </c>
      <c r="E736">
        <f>IF(COUNTIFS('United Data'!$A$3:$A$2150,E$1,'United Data'!$C$3:$C$2150,$A736)&gt;0,1,0)</f>
        <v>1</v>
      </c>
      <c r="F736">
        <f>IF(COUNTIFS('United Data'!$A$3:$A$2150,F$1,'United Data'!$C$3:$C$2150,$A736)&gt;0,1,0)</f>
        <v>1</v>
      </c>
      <c r="G736">
        <f>IF(COUNTIFS('United Data'!$A$3:$A$2150,G$1,'United Data'!$C$3:$C$2150,$A736)&gt;0,1,0)</f>
        <v>1</v>
      </c>
      <c r="H736">
        <f>IF(COUNTIFS('United Data'!$A$3:$A$2150,H$1,'United Data'!$C$3:$C$2150,$A736)&gt;0,1,0)</f>
        <v>1</v>
      </c>
      <c r="I736">
        <f>IF(COUNTIFS('United Data'!$A$3:$A$2150,I$1,'United Data'!$C$3:$C$2150,$A736)&gt;0,1,0)</f>
        <v>1</v>
      </c>
      <c r="J736">
        <f>IF(COUNTIFS('United Data'!$A$3:$A$2150,J$1,'United Data'!$C$3:$C$2150,$A736)&gt;0,1,0)</f>
        <v>1</v>
      </c>
      <c r="K736">
        <f>IF(COUNTIFS('United Data'!$A$3:$A$2150,K$1,'United Data'!$C$3:$C$2150,$A736)&gt;0,1,0)</f>
        <v>1</v>
      </c>
      <c r="L736">
        <f>IF(COUNTIFS('United Data'!$A$3:$A$2150,L$1,'United Data'!$C$3:$C$2150,$A736)&gt;0,1,0)</f>
        <v>1</v>
      </c>
      <c r="M736">
        <f>IF(COUNTIFS('United Data'!$A$3:$A$2150,M$1,'United Data'!$C$3:$C$2150,$A736)&gt;0,1,0)</f>
        <v>1</v>
      </c>
      <c r="N736">
        <f>IF(COUNTIFS('United Data'!$A$3:$A$2150,N$1,'United Data'!$C$3:$C$2150,$A736)&gt;0,1,0)</f>
        <v>1</v>
      </c>
      <c r="O736">
        <f>IF(COUNTIFS('United Data'!$A$3:$A$2150,O$1,'United Data'!$C$3:$C$2150,$A736)&gt;0,1,0)</f>
        <v>0</v>
      </c>
      <c r="P736">
        <f>IF(COUNTIFS('United Data'!$A$3:$A$2150,P$1,'United Data'!$C$3:$C$2150,$A736)&gt;0,1,0)</f>
        <v>1</v>
      </c>
      <c r="Q736">
        <f>IF(COUNTIFS('United Data'!$A$3:$A$2150,Q$1,'United Data'!$C$3:$C$2150,$A736)&gt;0,1,0)</f>
        <v>0</v>
      </c>
      <c r="R736">
        <f>IF(COUNTIFS('United Data'!$A$3:$A$2150,R$1,'United Data'!$C$3:$C$2150,$A736)&gt;0,1,0)</f>
        <v>0</v>
      </c>
      <c r="S736">
        <f t="shared" si="22"/>
        <v>14</v>
      </c>
      <c r="T736">
        <f t="shared" si="23"/>
        <v>2</v>
      </c>
    </row>
    <row r="737" spans="1:20" x14ac:dyDescent="0.2">
      <c r="A737" t="s">
        <v>979</v>
      </c>
      <c r="B737">
        <f>IF(COUNTIFS('United Data'!$A$3:$A$2150,B$1,'United Data'!$C$3:$C$2150,$A737)&gt;0,1,0)</f>
        <v>1</v>
      </c>
      <c r="C737">
        <f>IF(COUNTIFS('United Data'!$A$3:$A$2150,C$1,'United Data'!$C$3:$C$2150,$A737)&gt;0,1,0)</f>
        <v>0</v>
      </c>
      <c r="D737">
        <f>IF(COUNTIFS('United Data'!$A$3:$A$2150,D$1,'United Data'!$C$3:$C$2150,$A737)&gt;0,1,0)</f>
        <v>0</v>
      </c>
      <c r="E737">
        <f>IF(COUNTIFS('United Data'!$A$3:$A$2150,E$1,'United Data'!$C$3:$C$2150,$A737)&gt;0,1,0)</f>
        <v>0</v>
      </c>
      <c r="F737">
        <f>IF(COUNTIFS('United Data'!$A$3:$A$2150,F$1,'United Data'!$C$3:$C$2150,$A737)&gt;0,1,0)</f>
        <v>0</v>
      </c>
      <c r="G737">
        <f>IF(COUNTIFS('United Data'!$A$3:$A$2150,G$1,'United Data'!$C$3:$C$2150,$A737)&gt;0,1,0)</f>
        <v>0</v>
      </c>
      <c r="H737">
        <f>IF(COUNTIFS('United Data'!$A$3:$A$2150,H$1,'United Data'!$C$3:$C$2150,$A737)&gt;0,1,0)</f>
        <v>0</v>
      </c>
      <c r="I737">
        <f>IF(COUNTIFS('United Data'!$A$3:$A$2150,I$1,'United Data'!$C$3:$C$2150,$A737)&gt;0,1,0)</f>
        <v>0</v>
      </c>
      <c r="J737">
        <f>IF(COUNTIFS('United Data'!$A$3:$A$2150,J$1,'United Data'!$C$3:$C$2150,$A737)&gt;0,1,0)</f>
        <v>0</v>
      </c>
      <c r="K737">
        <f>IF(COUNTIFS('United Data'!$A$3:$A$2150,K$1,'United Data'!$C$3:$C$2150,$A737)&gt;0,1,0)</f>
        <v>0</v>
      </c>
      <c r="L737">
        <f>IF(COUNTIFS('United Data'!$A$3:$A$2150,L$1,'United Data'!$C$3:$C$2150,$A737)&gt;0,1,0)</f>
        <v>0</v>
      </c>
      <c r="M737">
        <f>IF(COUNTIFS('United Data'!$A$3:$A$2150,M$1,'United Data'!$C$3:$C$2150,$A737)&gt;0,1,0)</f>
        <v>0</v>
      </c>
      <c r="N737">
        <f>IF(COUNTIFS('United Data'!$A$3:$A$2150,N$1,'United Data'!$C$3:$C$2150,$A737)&gt;0,1,0)</f>
        <v>0</v>
      </c>
      <c r="O737">
        <f>IF(COUNTIFS('United Data'!$A$3:$A$2150,O$1,'United Data'!$C$3:$C$2150,$A737)&gt;0,1,0)</f>
        <v>0</v>
      </c>
      <c r="P737">
        <f>IF(COUNTIFS('United Data'!$A$3:$A$2150,P$1,'United Data'!$C$3:$C$2150,$A737)&gt;0,1,0)</f>
        <v>0</v>
      </c>
      <c r="Q737">
        <f>IF(COUNTIFS('United Data'!$A$3:$A$2150,Q$1,'United Data'!$C$3:$C$2150,$A737)&gt;0,1,0)</f>
        <v>0</v>
      </c>
      <c r="R737">
        <f>IF(COUNTIFS('United Data'!$A$3:$A$2150,R$1,'United Data'!$C$3:$C$2150,$A737)&gt;0,1,0)</f>
        <v>0</v>
      </c>
      <c r="S737">
        <f t="shared" si="22"/>
        <v>1</v>
      </c>
      <c r="T737">
        <f t="shared" si="23"/>
        <v>1</v>
      </c>
    </row>
    <row r="738" spans="1:20" x14ac:dyDescent="0.2">
      <c r="A738" t="s">
        <v>980</v>
      </c>
      <c r="B738">
        <f>IF(COUNTIFS('United Data'!$A$3:$A$2150,B$1,'United Data'!$C$3:$C$2150,$A738)&gt;0,1,0)</f>
        <v>0</v>
      </c>
      <c r="C738">
        <f>IF(COUNTIFS('United Data'!$A$3:$A$2150,C$1,'United Data'!$C$3:$C$2150,$A738)&gt;0,1,0)</f>
        <v>1</v>
      </c>
      <c r="D738">
        <f>IF(COUNTIFS('United Data'!$A$3:$A$2150,D$1,'United Data'!$C$3:$C$2150,$A738)&gt;0,1,0)</f>
        <v>0</v>
      </c>
      <c r="E738">
        <f>IF(COUNTIFS('United Data'!$A$3:$A$2150,E$1,'United Data'!$C$3:$C$2150,$A738)&gt;0,1,0)</f>
        <v>0</v>
      </c>
      <c r="F738">
        <f>IF(COUNTIFS('United Data'!$A$3:$A$2150,F$1,'United Data'!$C$3:$C$2150,$A738)&gt;0,1,0)</f>
        <v>0</v>
      </c>
      <c r="G738">
        <f>IF(COUNTIFS('United Data'!$A$3:$A$2150,G$1,'United Data'!$C$3:$C$2150,$A738)&gt;0,1,0)</f>
        <v>0</v>
      </c>
      <c r="H738">
        <f>IF(COUNTIFS('United Data'!$A$3:$A$2150,H$1,'United Data'!$C$3:$C$2150,$A738)&gt;0,1,0)</f>
        <v>0</v>
      </c>
      <c r="I738">
        <f>IF(COUNTIFS('United Data'!$A$3:$A$2150,I$1,'United Data'!$C$3:$C$2150,$A738)&gt;0,1,0)</f>
        <v>0</v>
      </c>
      <c r="J738">
        <f>IF(COUNTIFS('United Data'!$A$3:$A$2150,J$1,'United Data'!$C$3:$C$2150,$A738)&gt;0,1,0)</f>
        <v>0</v>
      </c>
      <c r="K738">
        <f>IF(COUNTIFS('United Data'!$A$3:$A$2150,K$1,'United Data'!$C$3:$C$2150,$A738)&gt;0,1,0)</f>
        <v>0</v>
      </c>
      <c r="L738">
        <f>IF(COUNTIFS('United Data'!$A$3:$A$2150,L$1,'United Data'!$C$3:$C$2150,$A738)&gt;0,1,0)</f>
        <v>0</v>
      </c>
      <c r="M738">
        <f>IF(COUNTIFS('United Data'!$A$3:$A$2150,M$1,'United Data'!$C$3:$C$2150,$A738)&gt;0,1,0)</f>
        <v>0</v>
      </c>
      <c r="N738">
        <f>IF(COUNTIFS('United Data'!$A$3:$A$2150,N$1,'United Data'!$C$3:$C$2150,$A738)&gt;0,1,0)</f>
        <v>0</v>
      </c>
      <c r="O738">
        <f>IF(COUNTIFS('United Data'!$A$3:$A$2150,O$1,'United Data'!$C$3:$C$2150,$A738)&gt;0,1,0)</f>
        <v>0</v>
      </c>
      <c r="P738">
        <f>IF(COUNTIFS('United Data'!$A$3:$A$2150,P$1,'United Data'!$C$3:$C$2150,$A738)&gt;0,1,0)</f>
        <v>0</v>
      </c>
      <c r="Q738">
        <f>IF(COUNTIFS('United Data'!$A$3:$A$2150,Q$1,'United Data'!$C$3:$C$2150,$A738)&gt;0,1,0)</f>
        <v>0</v>
      </c>
      <c r="R738">
        <f>IF(COUNTIFS('United Data'!$A$3:$A$2150,R$1,'United Data'!$C$3:$C$2150,$A738)&gt;0,1,0)</f>
        <v>0</v>
      </c>
      <c r="S738">
        <f t="shared" si="22"/>
        <v>1</v>
      </c>
      <c r="T738">
        <f t="shared" si="23"/>
        <v>1</v>
      </c>
    </row>
    <row r="739" spans="1:20" x14ac:dyDescent="0.2">
      <c r="A739" t="s">
        <v>784</v>
      </c>
      <c r="B739">
        <f>IF(COUNTIFS('United Data'!$A$3:$A$2150,B$1,'United Data'!$C$3:$C$2150,$A739)&gt;0,1,0)</f>
        <v>0</v>
      </c>
      <c r="C739">
        <f>IF(COUNTIFS('United Data'!$A$3:$A$2150,C$1,'United Data'!$C$3:$C$2150,$A739)&gt;0,1,0)</f>
        <v>1</v>
      </c>
      <c r="D739">
        <f>IF(COUNTIFS('United Data'!$A$3:$A$2150,D$1,'United Data'!$C$3:$C$2150,$A739)&gt;0,1,0)</f>
        <v>1</v>
      </c>
      <c r="E739">
        <f>IF(COUNTIFS('United Data'!$A$3:$A$2150,E$1,'United Data'!$C$3:$C$2150,$A739)&gt;0,1,0)</f>
        <v>0</v>
      </c>
      <c r="F739">
        <f>IF(COUNTIFS('United Data'!$A$3:$A$2150,F$1,'United Data'!$C$3:$C$2150,$A739)&gt;0,1,0)</f>
        <v>0</v>
      </c>
      <c r="G739">
        <f>IF(COUNTIFS('United Data'!$A$3:$A$2150,G$1,'United Data'!$C$3:$C$2150,$A739)&gt;0,1,0)</f>
        <v>0</v>
      </c>
      <c r="H739">
        <f>IF(COUNTIFS('United Data'!$A$3:$A$2150,H$1,'United Data'!$C$3:$C$2150,$A739)&gt;0,1,0)</f>
        <v>0</v>
      </c>
      <c r="I739">
        <f>IF(COUNTIFS('United Data'!$A$3:$A$2150,I$1,'United Data'!$C$3:$C$2150,$A739)&gt;0,1,0)</f>
        <v>0</v>
      </c>
      <c r="J739">
        <f>IF(COUNTIFS('United Data'!$A$3:$A$2150,J$1,'United Data'!$C$3:$C$2150,$A739)&gt;0,1,0)</f>
        <v>0</v>
      </c>
      <c r="K739">
        <f>IF(COUNTIFS('United Data'!$A$3:$A$2150,K$1,'United Data'!$C$3:$C$2150,$A739)&gt;0,1,0)</f>
        <v>0</v>
      </c>
      <c r="L739">
        <f>IF(COUNTIFS('United Data'!$A$3:$A$2150,L$1,'United Data'!$C$3:$C$2150,$A739)&gt;0,1,0)</f>
        <v>0</v>
      </c>
      <c r="M739">
        <f>IF(COUNTIFS('United Data'!$A$3:$A$2150,M$1,'United Data'!$C$3:$C$2150,$A739)&gt;0,1,0)</f>
        <v>0</v>
      </c>
      <c r="N739">
        <f>IF(COUNTIFS('United Data'!$A$3:$A$2150,N$1,'United Data'!$C$3:$C$2150,$A739)&gt;0,1,0)</f>
        <v>0</v>
      </c>
      <c r="O739">
        <f>IF(COUNTIFS('United Data'!$A$3:$A$2150,O$1,'United Data'!$C$3:$C$2150,$A739)&gt;0,1,0)</f>
        <v>0</v>
      </c>
      <c r="P739">
        <f>IF(COUNTIFS('United Data'!$A$3:$A$2150,P$1,'United Data'!$C$3:$C$2150,$A739)&gt;0,1,0)</f>
        <v>0</v>
      </c>
      <c r="Q739">
        <f>IF(COUNTIFS('United Data'!$A$3:$A$2150,Q$1,'United Data'!$C$3:$C$2150,$A739)&gt;0,1,0)</f>
        <v>0</v>
      </c>
      <c r="R739">
        <f>IF(COUNTIFS('United Data'!$A$3:$A$2150,R$1,'United Data'!$C$3:$C$2150,$A739)&gt;0,1,0)</f>
        <v>0</v>
      </c>
      <c r="S739">
        <f t="shared" si="22"/>
        <v>2</v>
      </c>
      <c r="T739">
        <f t="shared" si="23"/>
        <v>1</v>
      </c>
    </row>
    <row r="740" spans="1:20" x14ac:dyDescent="0.2">
      <c r="A740" t="s">
        <v>785</v>
      </c>
      <c r="B740">
        <f>IF(COUNTIFS('United Data'!$A$3:$A$2150,B$1,'United Data'!$C$3:$C$2150,$A740)&gt;0,1,0)</f>
        <v>0</v>
      </c>
      <c r="C740">
        <f>IF(COUNTIFS('United Data'!$A$3:$A$2150,C$1,'United Data'!$C$3:$C$2150,$A740)&gt;0,1,0)</f>
        <v>1</v>
      </c>
      <c r="D740">
        <f>IF(COUNTIFS('United Data'!$A$3:$A$2150,D$1,'United Data'!$C$3:$C$2150,$A740)&gt;0,1,0)</f>
        <v>1</v>
      </c>
      <c r="E740">
        <f>IF(COUNTIFS('United Data'!$A$3:$A$2150,E$1,'United Data'!$C$3:$C$2150,$A740)&gt;0,1,0)</f>
        <v>1</v>
      </c>
      <c r="F740">
        <f>IF(COUNTIFS('United Data'!$A$3:$A$2150,F$1,'United Data'!$C$3:$C$2150,$A740)&gt;0,1,0)</f>
        <v>1</v>
      </c>
      <c r="G740">
        <f>IF(COUNTIFS('United Data'!$A$3:$A$2150,G$1,'United Data'!$C$3:$C$2150,$A740)&gt;0,1,0)</f>
        <v>1</v>
      </c>
      <c r="H740">
        <f>IF(COUNTIFS('United Data'!$A$3:$A$2150,H$1,'United Data'!$C$3:$C$2150,$A740)&gt;0,1,0)</f>
        <v>1</v>
      </c>
      <c r="I740">
        <f>IF(COUNTIFS('United Data'!$A$3:$A$2150,I$1,'United Data'!$C$3:$C$2150,$A740)&gt;0,1,0)</f>
        <v>1</v>
      </c>
      <c r="J740">
        <f>IF(COUNTIFS('United Data'!$A$3:$A$2150,J$1,'United Data'!$C$3:$C$2150,$A740)&gt;0,1,0)</f>
        <v>1</v>
      </c>
      <c r="K740">
        <f>IF(COUNTIFS('United Data'!$A$3:$A$2150,K$1,'United Data'!$C$3:$C$2150,$A740)&gt;0,1,0)</f>
        <v>1</v>
      </c>
      <c r="L740">
        <f>IF(COUNTIFS('United Data'!$A$3:$A$2150,L$1,'United Data'!$C$3:$C$2150,$A740)&gt;0,1,0)</f>
        <v>1</v>
      </c>
      <c r="M740">
        <f>IF(COUNTIFS('United Data'!$A$3:$A$2150,M$1,'United Data'!$C$3:$C$2150,$A740)&gt;0,1,0)</f>
        <v>1</v>
      </c>
      <c r="N740">
        <f>IF(COUNTIFS('United Data'!$A$3:$A$2150,N$1,'United Data'!$C$3:$C$2150,$A740)&gt;0,1,0)</f>
        <v>0</v>
      </c>
      <c r="O740">
        <f>IF(COUNTIFS('United Data'!$A$3:$A$2150,O$1,'United Data'!$C$3:$C$2150,$A740)&gt;0,1,0)</f>
        <v>0</v>
      </c>
      <c r="P740">
        <f>IF(COUNTIFS('United Data'!$A$3:$A$2150,P$1,'United Data'!$C$3:$C$2150,$A740)&gt;0,1,0)</f>
        <v>0</v>
      </c>
      <c r="Q740">
        <f>IF(COUNTIFS('United Data'!$A$3:$A$2150,Q$1,'United Data'!$C$3:$C$2150,$A740)&gt;0,1,0)</f>
        <v>0</v>
      </c>
      <c r="R740">
        <f>IF(COUNTIFS('United Data'!$A$3:$A$2150,R$1,'United Data'!$C$3:$C$2150,$A740)&gt;0,1,0)</f>
        <v>0</v>
      </c>
      <c r="S740">
        <f t="shared" si="22"/>
        <v>11</v>
      </c>
      <c r="T740">
        <f t="shared" si="23"/>
        <v>1</v>
      </c>
    </row>
    <row r="741" spans="1:20" x14ac:dyDescent="0.2">
      <c r="A741" t="s">
        <v>786</v>
      </c>
      <c r="B741">
        <f>IF(COUNTIFS('United Data'!$A$3:$A$2150,B$1,'United Data'!$C$3:$C$2150,$A741)&gt;0,1,0)</f>
        <v>0</v>
      </c>
      <c r="C741">
        <f>IF(COUNTIFS('United Data'!$A$3:$A$2150,C$1,'United Data'!$C$3:$C$2150,$A741)&gt;0,1,0)</f>
        <v>0</v>
      </c>
      <c r="D741">
        <f>IF(COUNTIFS('United Data'!$A$3:$A$2150,D$1,'United Data'!$C$3:$C$2150,$A741)&gt;0,1,0)</f>
        <v>1</v>
      </c>
      <c r="E741">
        <f>IF(COUNTIFS('United Data'!$A$3:$A$2150,E$1,'United Data'!$C$3:$C$2150,$A741)&gt;0,1,0)</f>
        <v>1</v>
      </c>
      <c r="F741">
        <f>IF(COUNTIFS('United Data'!$A$3:$A$2150,F$1,'United Data'!$C$3:$C$2150,$A741)&gt;0,1,0)</f>
        <v>0</v>
      </c>
      <c r="G741">
        <f>IF(COUNTIFS('United Data'!$A$3:$A$2150,G$1,'United Data'!$C$3:$C$2150,$A741)&gt;0,1,0)</f>
        <v>1</v>
      </c>
      <c r="H741">
        <f>IF(COUNTIFS('United Data'!$A$3:$A$2150,H$1,'United Data'!$C$3:$C$2150,$A741)&gt;0,1,0)</f>
        <v>1</v>
      </c>
      <c r="I741">
        <f>IF(COUNTIFS('United Data'!$A$3:$A$2150,I$1,'United Data'!$C$3:$C$2150,$A741)&gt;0,1,0)</f>
        <v>1</v>
      </c>
      <c r="J741">
        <f>IF(COUNTIFS('United Data'!$A$3:$A$2150,J$1,'United Data'!$C$3:$C$2150,$A741)&gt;0,1,0)</f>
        <v>0</v>
      </c>
      <c r="K741">
        <f>IF(COUNTIFS('United Data'!$A$3:$A$2150,K$1,'United Data'!$C$3:$C$2150,$A741)&gt;0,1,0)</f>
        <v>1</v>
      </c>
      <c r="L741">
        <f>IF(COUNTIFS('United Data'!$A$3:$A$2150,L$1,'United Data'!$C$3:$C$2150,$A741)&gt;0,1,0)</f>
        <v>1</v>
      </c>
      <c r="M741">
        <f>IF(COUNTIFS('United Data'!$A$3:$A$2150,M$1,'United Data'!$C$3:$C$2150,$A741)&gt;0,1,0)</f>
        <v>1</v>
      </c>
      <c r="N741">
        <f>IF(COUNTIFS('United Data'!$A$3:$A$2150,N$1,'United Data'!$C$3:$C$2150,$A741)&gt;0,1,0)</f>
        <v>0</v>
      </c>
      <c r="O741">
        <f>IF(COUNTIFS('United Data'!$A$3:$A$2150,O$1,'United Data'!$C$3:$C$2150,$A741)&gt;0,1,0)</f>
        <v>0</v>
      </c>
      <c r="P741">
        <f>IF(COUNTIFS('United Data'!$A$3:$A$2150,P$1,'United Data'!$C$3:$C$2150,$A741)&gt;0,1,0)</f>
        <v>0</v>
      </c>
      <c r="Q741">
        <f>IF(COUNTIFS('United Data'!$A$3:$A$2150,Q$1,'United Data'!$C$3:$C$2150,$A741)&gt;0,1,0)</f>
        <v>0</v>
      </c>
      <c r="R741">
        <f>IF(COUNTIFS('United Data'!$A$3:$A$2150,R$1,'United Data'!$C$3:$C$2150,$A741)&gt;0,1,0)</f>
        <v>0</v>
      </c>
      <c r="S741">
        <f t="shared" si="22"/>
        <v>8</v>
      </c>
      <c r="T741">
        <f t="shared" si="23"/>
        <v>3</v>
      </c>
    </row>
    <row r="742" spans="1:20" x14ac:dyDescent="0.2">
      <c r="A742" t="s">
        <v>787</v>
      </c>
      <c r="B742">
        <f>IF(COUNTIFS('United Data'!$A$3:$A$2150,B$1,'United Data'!$C$3:$C$2150,$A742)&gt;0,1,0)</f>
        <v>0</v>
      </c>
      <c r="C742">
        <f>IF(COUNTIFS('United Data'!$A$3:$A$2150,C$1,'United Data'!$C$3:$C$2150,$A742)&gt;0,1,0)</f>
        <v>0</v>
      </c>
      <c r="D742">
        <f>IF(COUNTIFS('United Data'!$A$3:$A$2150,D$1,'United Data'!$C$3:$C$2150,$A742)&gt;0,1,0)</f>
        <v>1</v>
      </c>
      <c r="E742">
        <f>IF(COUNTIFS('United Data'!$A$3:$A$2150,E$1,'United Data'!$C$3:$C$2150,$A742)&gt;0,1,0)</f>
        <v>1</v>
      </c>
      <c r="F742">
        <f>IF(COUNTIFS('United Data'!$A$3:$A$2150,F$1,'United Data'!$C$3:$C$2150,$A742)&gt;0,1,0)</f>
        <v>1</v>
      </c>
      <c r="G742">
        <f>IF(COUNTIFS('United Data'!$A$3:$A$2150,G$1,'United Data'!$C$3:$C$2150,$A742)&gt;0,1,0)</f>
        <v>1</v>
      </c>
      <c r="H742">
        <f>IF(COUNTIFS('United Data'!$A$3:$A$2150,H$1,'United Data'!$C$3:$C$2150,$A742)&gt;0,1,0)</f>
        <v>0</v>
      </c>
      <c r="I742">
        <f>IF(COUNTIFS('United Data'!$A$3:$A$2150,I$1,'United Data'!$C$3:$C$2150,$A742)&gt;0,1,0)</f>
        <v>1</v>
      </c>
      <c r="J742">
        <f>IF(COUNTIFS('United Data'!$A$3:$A$2150,J$1,'United Data'!$C$3:$C$2150,$A742)&gt;0,1,0)</f>
        <v>0</v>
      </c>
      <c r="K742">
        <f>IF(COUNTIFS('United Data'!$A$3:$A$2150,K$1,'United Data'!$C$3:$C$2150,$A742)&gt;0,1,0)</f>
        <v>0</v>
      </c>
      <c r="L742">
        <f>IF(COUNTIFS('United Data'!$A$3:$A$2150,L$1,'United Data'!$C$3:$C$2150,$A742)&gt;0,1,0)</f>
        <v>0</v>
      </c>
      <c r="M742">
        <f>IF(COUNTIFS('United Data'!$A$3:$A$2150,M$1,'United Data'!$C$3:$C$2150,$A742)&gt;0,1,0)</f>
        <v>0</v>
      </c>
      <c r="N742">
        <f>IF(COUNTIFS('United Data'!$A$3:$A$2150,N$1,'United Data'!$C$3:$C$2150,$A742)&gt;0,1,0)</f>
        <v>0</v>
      </c>
      <c r="O742">
        <f>IF(COUNTIFS('United Data'!$A$3:$A$2150,O$1,'United Data'!$C$3:$C$2150,$A742)&gt;0,1,0)</f>
        <v>0</v>
      </c>
      <c r="P742">
        <f>IF(COUNTIFS('United Data'!$A$3:$A$2150,P$1,'United Data'!$C$3:$C$2150,$A742)&gt;0,1,0)</f>
        <v>0</v>
      </c>
      <c r="Q742">
        <f>IF(COUNTIFS('United Data'!$A$3:$A$2150,Q$1,'United Data'!$C$3:$C$2150,$A742)&gt;0,1,0)</f>
        <v>0</v>
      </c>
      <c r="R742">
        <f>IF(COUNTIFS('United Data'!$A$3:$A$2150,R$1,'United Data'!$C$3:$C$2150,$A742)&gt;0,1,0)</f>
        <v>0</v>
      </c>
      <c r="S742">
        <f t="shared" si="22"/>
        <v>5</v>
      </c>
      <c r="T742">
        <f t="shared" si="23"/>
        <v>2</v>
      </c>
    </row>
    <row r="743" spans="1:20" x14ac:dyDescent="0.2">
      <c r="A743" t="s">
        <v>788</v>
      </c>
      <c r="B743">
        <f>IF(COUNTIFS('United Data'!$A$3:$A$2150,B$1,'United Data'!$C$3:$C$2150,$A743)&gt;0,1,0)</f>
        <v>0</v>
      </c>
      <c r="C743">
        <f>IF(COUNTIFS('United Data'!$A$3:$A$2150,C$1,'United Data'!$C$3:$C$2150,$A743)&gt;0,1,0)</f>
        <v>0</v>
      </c>
      <c r="D743">
        <f>IF(COUNTIFS('United Data'!$A$3:$A$2150,D$1,'United Data'!$C$3:$C$2150,$A743)&gt;0,1,0)</f>
        <v>1</v>
      </c>
      <c r="E743">
        <f>IF(COUNTIFS('United Data'!$A$3:$A$2150,E$1,'United Data'!$C$3:$C$2150,$A743)&gt;0,1,0)</f>
        <v>1</v>
      </c>
      <c r="F743">
        <f>IF(COUNTIFS('United Data'!$A$3:$A$2150,F$1,'United Data'!$C$3:$C$2150,$A743)&gt;0,1,0)</f>
        <v>1</v>
      </c>
      <c r="G743">
        <f>IF(COUNTIFS('United Data'!$A$3:$A$2150,G$1,'United Data'!$C$3:$C$2150,$A743)&gt;0,1,0)</f>
        <v>1</v>
      </c>
      <c r="H743">
        <f>IF(COUNTIFS('United Data'!$A$3:$A$2150,H$1,'United Data'!$C$3:$C$2150,$A743)&gt;0,1,0)</f>
        <v>1</v>
      </c>
      <c r="I743">
        <f>IF(COUNTIFS('United Data'!$A$3:$A$2150,I$1,'United Data'!$C$3:$C$2150,$A743)&gt;0,1,0)</f>
        <v>1</v>
      </c>
      <c r="J743">
        <f>IF(COUNTIFS('United Data'!$A$3:$A$2150,J$1,'United Data'!$C$3:$C$2150,$A743)&gt;0,1,0)</f>
        <v>1</v>
      </c>
      <c r="K743">
        <f>IF(COUNTIFS('United Data'!$A$3:$A$2150,K$1,'United Data'!$C$3:$C$2150,$A743)&gt;0,1,0)</f>
        <v>1</v>
      </c>
      <c r="L743">
        <f>IF(COUNTIFS('United Data'!$A$3:$A$2150,L$1,'United Data'!$C$3:$C$2150,$A743)&gt;0,1,0)</f>
        <v>0</v>
      </c>
      <c r="M743">
        <f>IF(COUNTIFS('United Data'!$A$3:$A$2150,M$1,'United Data'!$C$3:$C$2150,$A743)&gt;0,1,0)</f>
        <v>0</v>
      </c>
      <c r="N743">
        <f>IF(COUNTIFS('United Data'!$A$3:$A$2150,N$1,'United Data'!$C$3:$C$2150,$A743)&gt;0,1,0)</f>
        <v>0</v>
      </c>
      <c r="O743">
        <f>IF(COUNTIFS('United Data'!$A$3:$A$2150,O$1,'United Data'!$C$3:$C$2150,$A743)&gt;0,1,0)</f>
        <v>0</v>
      </c>
      <c r="P743">
        <f>IF(COUNTIFS('United Data'!$A$3:$A$2150,P$1,'United Data'!$C$3:$C$2150,$A743)&gt;0,1,0)</f>
        <v>0</v>
      </c>
      <c r="Q743">
        <f>IF(COUNTIFS('United Data'!$A$3:$A$2150,Q$1,'United Data'!$C$3:$C$2150,$A743)&gt;0,1,0)</f>
        <v>0</v>
      </c>
      <c r="R743">
        <f>IF(COUNTIFS('United Data'!$A$3:$A$2150,R$1,'United Data'!$C$3:$C$2150,$A743)&gt;0,1,0)</f>
        <v>0</v>
      </c>
      <c r="S743">
        <f t="shared" si="22"/>
        <v>8</v>
      </c>
      <c r="T743">
        <f t="shared" si="23"/>
        <v>1</v>
      </c>
    </row>
    <row r="744" spans="1:20" x14ac:dyDescent="0.2">
      <c r="A744" t="s">
        <v>789</v>
      </c>
      <c r="B744">
        <f>IF(COUNTIFS('United Data'!$A$3:$A$2150,B$1,'United Data'!$C$3:$C$2150,$A744)&gt;0,1,0)</f>
        <v>0</v>
      </c>
      <c r="C744">
        <f>IF(COUNTIFS('United Data'!$A$3:$A$2150,C$1,'United Data'!$C$3:$C$2150,$A744)&gt;0,1,0)</f>
        <v>0</v>
      </c>
      <c r="D744">
        <f>IF(COUNTIFS('United Data'!$A$3:$A$2150,D$1,'United Data'!$C$3:$C$2150,$A744)&gt;0,1,0)</f>
        <v>1</v>
      </c>
      <c r="E744">
        <f>IF(COUNTIFS('United Data'!$A$3:$A$2150,E$1,'United Data'!$C$3:$C$2150,$A744)&gt;0,1,0)</f>
        <v>1</v>
      </c>
      <c r="F744">
        <f>IF(COUNTIFS('United Data'!$A$3:$A$2150,F$1,'United Data'!$C$3:$C$2150,$A744)&gt;0,1,0)</f>
        <v>0</v>
      </c>
      <c r="G744">
        <f>IF(COUNTIFS('United Data'!$A$3:$A$2150,G$1,'United Data'!$C$3:$C$2150,$A744)&gt;0,1,0)</f>
        <v>1</v>
      </c>
      <c r="H744">
        <f>IF(COUNTIFS('United Data'!$A$3:$A$2150,H$1,'United Data'!$C$3:$C$2150,$A744)&gt;0,1,0)</f>
        <v>1</v>
      </c>
      <c r="I744">
        <f>IF(COUNTIFS('United Data'!$A$3:$A$2150,I$1,'United Data'!$C$3:$C$2150,$A744)&gt;0,1,0)</f>
        <v>1</v>
      </c>
      <c r="J744">
        <f>IF(COUNTIFS('United Data'!$A$3:$A$2150,J$1,'United Data'!$C$3:$C$2150,$A744)&gt;0,1,0)</f>
        <v>1</v>
      </c>
      <c r="K744">
        <f>IF(COUNTIFS('United Data'!$A$3:$A$2150,K$1,'United Data'!$C$3:$C$2150,$A744)&gt;0,1,0)</f>
        <v>1</v>
      </c>
      <c r="L744">
        <f>IF(COUNTIFS('United Data'!$A$3:$A$2150,L$1,'United Data'!$C$3:$C$2150,$A744)&gt;0,1,0)</f>
        <v>1</v>
      </c>
      <c r="M744">
        <f>IF(COUNTIFS('United Data'!$A$3:$A$2150,M$1,'United Data'!$C$3:$C$2150,$A744)&gt;0,1,0)</f>
        <v>1</v>
      </c>
      <c r="N744">
        <f>IF(COUNTIFS('United Data'!$A$3:$A$2150,N$1,'United Data'!$C$3:$C$2150,$A744)&gt;0,1,0)</f>
        <v>1</v>
      </c>
      <c r="O744">
        <f>IF(COUNTIFS('United Data'!$A$3:$A$2150,O$1,'United Data'!$C$3:$C$2150,$A744)&gt;0,1,0)</f>
        <v>0</v>
      </c>
      <c r="P744">
        <f>IF(COUNTIFS('United Data'!$A$3:$A$2150,P$1,'United Data'!$C$3:$C$2150,$A744)&gt;0,1,0)</f>
        <v>0</v>
      </c>
      <c r="Q744">
        <f>IF(COUNTIFS('United Data'!$A$3:$A$2150,Q$1,'United Data'!$C$3:$C$2150,$A744)&gt;0,1,0)</f>
        <v>0</v>
      </c>
      <c r="R744">
        <f>IF(COUNTIFS('United Data'!$A$3:$A$2150,R$1,'United Data'!$C$3:$C$2150,$A744)&gt;0,1,0)</f>
        <v>0</v>
      </c>
      <c r="S744">
        <f t="shared" si="22"/>
        <v>10</v>
      </c>
      <c r="T744">
        <f t="shared" si="23"/>
        <v>2</v>
      </c>
    </row>
    <row r="745" spans="1:20" x14ac:dyDescent="0.2">
      <c r="A745" t="s">
        <v>981</v>
      </c>
      <c r="B745">
        <f>IF(COUNTIFS('United Data'!$A$3:$A$2150,B$1,'United Data'!$C$3:$C$2150,$A745)&gt;0,1,0)</f>
        <v>0</v>
      </c>
      <c r="C745">
        <f>IF(COUNTIFS('United Data'!$A$3:$A$2150,C$1,'United Data'!$C$3:$C$2150,$A745)&gt;0,1,0)</f>
        <v>0</v>
      </c>
      <c r="D745">
        <f>IF(COUNTIFS('United Data'!$A$3:$A$2150,D$1,'United Data'!$C$3:$C$2150,$A745)&gt;0,1,0)</f>
        <v>1</v>
      </c>
      <c r="E745">
        <f>IF(COUNTIFS('United Data'!$A$3:$A$2150,E$1,'United Data'!$C$3:$C$2150,$A745)&gt;0,1,0)</f>
        <v>0</v>
      </c>
      <c r="F745">
        <f>IF(COUNTIFS('United Data'!$A$3:$A$2150,F$1,'United Data'!$C$3:$C$2150,$A745)&gt;0,1,0)</f>
        <v>0</v>
      </c>
      <c r="G745">
        <f>IF(COUNTIFS('United Data'!$A$3:$A$2150,G$1,'United Data'!$C$3:$C$2150,$A745)&gt;0,1,0)</f>
        <v>0</v>
      </c>
      <c r="H745">
        <f>IF(COUNTIFS('United Data'!$A$3:$A$2150,H$1,'United Data'!$C$3:$C$2150,$A745)&gt;0,1,0)</f>
        <v>0</v>
      </c>
      <c r="I745">
        <f>IF(COUNTIFS('United Data'!$A$3:$A$2150,I$1,'United Data'!$C$3:$C$2150,$A745)&gt;0,1,0)</f>
        <v>0</v>
      </c>
      <c r="J745">
        <f>IF(COUNTIFS('United Data'!$A$3:$A$2150,J$1,'United Data'!$C$3:$C$2150,$A745)&gt;0,1,0)</f>
        <v>0</v>
      </c>
      <c r="K745">
        <f>IF(COUNTIFS('United Data'!$A$3:$A$2150,K$1,'United Data'!$C$3:$C$2150,$A745)&gt;0,1,0)</f>
        <v>0</v>
      </c>
      <c r="L745">
        <f>IF(COUNTIFS('United Data'!$A$3:$A$2150,L$1,'United Data'!$C$3:$C$2150,$A745)&gt;0,1,0)</f>
        <v>0</v>
      </c>
      <c r="M745">
        <f>IF(COUNTIFS('United Data'!$A$3:$A$2150,M$1,'United Data'!$C$3:$C$2150,$A745)&gt;0,1,0)</f>
        <v>0</v>
      </c>
      <c r="N745">
        <f>IF(COUNTIFS('United Data'!$A$3:$A$2150,N$1,'United Data'!$C$3:$C$2150,$A745)&gt;0,1,0)</f>
        <v>0</v>
      </c>
      <c r="O745">
        <f>IF(COUNTIFS('United Data'!$A$3:$A$2150,O$1,'United Data'!$C$3:$C$2150,$A745)&gt;0,1,0)</f>
        <v>0</v>
      </c>
      <c r="P745">
        <f>IF(COUNTIFS('United Data'!$A$3:$A$2150,P$1,'United Data'!$C$3:$C$2150,$A745)&gt;0,1,0)</f>
        <v>0</v>
      </c>
      <c r="Q745">
        <f>IF(COUNTIFS('United Data'!$A$3:$A$2150,Q$1,'United Data'!$C$3:$C$2150,$A745)&gt;0,1,0)</f>
        <v>0</v>
      </c>
      <c r="R745">
        <f>IF(COUNTIFS('United Data'!$A$3:$A$2150,R$1,'United Data'!$C$3:$C$2150,$A745)&gt;0,1,0)</f>
        <v>0</v>
      </c>
      <c r="S745">
        <f t="shared" si="22"/>
        <v>1</v>
      </c>
      <c r="T745">
        <f t="shared" si="23"/>
        <v>1</v>
      </c>
    </row>
    <row r="746" spans="1:20" x14ac:dyDescent="0.2">
      <c r="A746" t="s">
        <v>790</v>
      </c>
      <c r="B746">
        <f>IF(COUNTIFS('United Data'!$A$3:$A$2150,B$1,'United Data'!$C$3:$C$2150,$A746)&gt;0,1,0)</f>
        <v>0</v>
      </c>
      <c r="C746">
        <f>IF(COUNTIFS('United Data'!$A$3:$A$2150,C$1,'United Data'!$C$3:$C$2150,$A746)&gt;0,1,0)</f>
        <v>0</v>
      </c>
      <c r="D746">
        <f>IF(COUNTIFS('United Data'!$A$3:$A$2150,D$1,'United Data'!$C$3:$C$2150,$A746)&gt;0,1,0)</f>
        <v>1</v>
      </c>
      <c r="E746">
        <f>IF(COUNTIFS('United Data'!$A$3:$A$2150,E$1,'United Data'!$C$3:$C$2150,$A746)&gt;0,1,0)</f>
        <v>0</v>
      </c>
      <c r="F746">
        <f>IF(COUNTIFS('United Data'!$A$3:$A$2150,F$1,'United Data'!$C$3:$C$2150,$A746)&gt;0,1,0)</f>
        <v>0</v>
      </c>
      <c r="G746">
        <f>IF(COUNTIFS('United Data'!$A$3:$A$2150,G$1,'United Data'!$C$3:$C$2150,$A746)&gt;0,1,0)</f>
        <v>0</v>
      </c>
      <c r="H746">
        <f>IF(COUNTIFS('United Data'!$A$3:$A$2150,H$1,'United Data'!$C$3:$C$2150,$A746)&gt;0,1,0)</f>
        <v>0</v>
      </c>
      <c r="I746">
        <f>IF(COUNTIFS('United Data'!$A$3:$A$2150,I$1,'United Data'!$C$3:$C$2150,$A746)&gt;0,1,0)</f>
        <v>0</v>
      </c>
      <c r="J746">
        <f>IF(COUNTIFS('United Data'!$A$3:$A$2150,J$1,'United Data'!$C$3:$C$2150,$A746)&gt;0,1,0)</f>
        <v>0</v>
      </c>
      <c r="K746">
        <f>IF(COUNTIFS('United Data'!$A$3:$A$2150,K$1,'United Data'!$C$3:$C$2150,$A746)&gt;0,1,0)</f>
        <v>0</v>
      </c>
      <c r="L746">
        <f>IF(COUNTIFS('United Data'!$A$3:$A$2150,L$1,'United Data'!$C$3:$C$2150,$A746)&gt;0,1,0)</f>
        <v>0</v>
      </c>
      <c r="M746">
        <f>IF(COUNTIFS('United Data'!$A$3:$A$2150,M$1,'United Data'!$C$3:$C$2150,$A746)&gt;0,1,0)</f>
        <v>0</v>
      </c>
      <c r="N746">
        <f>IF(COUNTIFS('United Data'!$A$3:$A$2150,N$1,'United Data'!$C$3:$C$2150,$A746)&gt;0,1,0)</f>
        <v>0</v>
      </c>
      <c r="O746">
        <f>IF(COUNTIFS('United Data'!$A$3:$A$2150,O$1,'United Data'!$C$3:$C$2150,$A746)&gt;0,1,0)</f>
        <v>0</v>
      </c>
      <c r="P746">
        <f>IF(COUNTIFS('United Data'!$A$3:$A$2150,P$1,'United Data'!$C$3:$C$2150,$A746)&gt;0,1,0)</f>
        <v>0</v>
      </c>
      <c r="Q746">
        <f>IF(COUNTIFS('United Data'!$A$3:$A$2150,Q$1,'United Data'!$C$3:$C$2150,$A746)&gt;0,1,0)</f>
        <v>0</v>
      </c>
      <c r="R746">
        <f>IF(COUNTIFS('United Data'!$A$3:$A$2150,R$1,'United Data'!$C$3:$C$2150,$A746)&gt;0,1,0)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791</v>
      </c>
      <c r="B747">
        <f>IF(COUNTIFS('United Data'!$A$3:$A$2150,B$1,'United Data'!$C$3:$C$2150,$A747)&gt;0,1,0)</f>
        <v>0</v>
      </c>
      <c r="C747">
        <f>IF(COUNTIFS('United Data'!$A$3:$A$2150,C$1,'United Data'!$C$3:$C$2150,$A747)&gt;0,1,0)</f>
        <v>0</v>
      </c>
      <c r="D747">
        <f>IF(COUNTIFS('United Data'!$A$3:$A$2150,D$1,'United Data'!$C$3:$C$2150,$A747)&gt;0,1,0)</f>
        <v>0</v>
      </c>
      <c r="E747">
        <f>IF(COUNTIFS('United Data'!$A$3:$A$2150,E$1,'United Data'!$C$3:$C$2150,$A747)&gt;0,1,0)</f>
        <v>1</v>
      </c>
      <c r="F747">
        <f>IF(COUNTIFS('United Data'!$A$3:$A$2150,F$1,'United Data'!$C$3:$C$2150,$A747)&gt;0,1,0)</f>
        <v>0</v>
      </c>
      <c r="G747">
        <f>IF(COUNTIFS('United Data'!$A$3:$A$2150,G$1,'United Data'!$C$3:$C$2150,$A747)&gt;0,1,0)</f>
        <v>0</v>
      </c>
      <c r="H747">
        <f>IF(COUNTIFS('United Data'!$A$3:$A$2150,H$1,'United Data'!$C$3:$C$2150,$A747)&gt;0,1,0)</f>
        <v>0</v>
      </c>
      <c r="I747">
        <f>IF(COUNTIFS('United Data'!$A$3:$A$2150,I$1,'United Data'!$C$3:$C$2150,$A747)&gt;0,1,0)</f>
        <v>0</v>
      </c>
      <c r="J747">
        <f>IF(COUNTIFS('United Data'!$A$3:$A$2150,J$1,'United Data'!$C$3:$C$2150,$A747)&gt;0,1,0)</f>
        <v>0</v>
      </c>
      <c r="K747">
        <f>IF(COUNTIFS('United Data'!$A$3:$A$2150,K$1,'United Data'!$C$3:$C$2150,$A747)&gt;0,1,0)</f>
        <v>0</v>
      </c>
      <c r="L747">
        <f>IF(COUNTIFS('United Data'!$A$3:$A$2150,L$1,'United Data'!$C$3:$C$2150,$A747)&gt;0,1,0)</f>
        <v>0</v>
      </c>
      <c r="M747">
        <f>IF(COUNTIFS('United Data'!$A$3:$A$2150,M$1,'United Data'!$C$3:$C$2150,$A747)&gt;0,1,0)</f>
        <v>0</v>
      </c>
      <c r="N747">
        <f>IF(COUNTIFS('United Data'!$A$3:$A$2150,N$1,'United Data'!$C$3:$C$2150,$A747)&gt;0,1,0)</f>
        <v>0</v>
      </c>
      <c r="O747">
        <f>IF(COUNTIFS('United Data'!$A$3:$A$2150,O$1,'United Data'!$C$3:$C$2150,$A747)&gt;0,1,0)</f>
        <v>0</v>
      </c>
      <c r="P747">
        <f>IF(COUNTIFS('United Data'!$A$3:$A$2150,P$1,'United Data'!$C$3:$C$2150,$A747)&gt;0,1,0)</f>
        <v>0</v>
      </c>
      <c r="Q747">
        <f>IF(COUNTIFS('United Data'!$A$3:$A$2150,Q$1,'United Data'!$C$3:$C$2150,$A747)&gt;0,1,0)</f>
        <v>0</v>
      </c>
      <c r="R747">
        <f>IF(COUNTIFS('United Data'!$A$3:$A$2150,R$1,'United Data'!$C$3:$C$2150,$A747)&gt;0,1,0)</f>
        <v>0</v>
      </c>
      <c r="S747">
        <f t="shared" si="22"/>
        <v>1</v>
      </c>
      <c r="T747">
        <f t="shared" si="23"/>
        <v>1</v>
      </c>
    </row>
    <row r="748" spans="1:20" x14ac:dyDescent="0.2">
      <c r="A748" t="s">
        <v>792</v>
      </c>
      <c r="B748">
        <f>IF(COUNTIFS('United Data'!$A$3:$A$2150,B$1,'United Data'!$C$3:$C$2150,$A748)&gt;0,1,0)</f>
        <v>0</v>
      </c>
      <c r="C748">
        <f>IF(COUNTIFS('United Data'!$A$3:$A$2150,C$1,'United Data'!$C$3:$C$2150,$A748)&gt;0,1,0)</f>
        <v>0</v>
      </c>
      <c r="D748">
        <f>IF(COUNTIFS('United Data'!$A$3:$A$2150,D$1,'United Data'!$C$3:$C$2150,$A748)&gt;0,1,0)</f>
        <v>0</v>
      </c>
      <c r="E748">
        <f>IF(COUNTIFS('United Data'!$A$3:$A$2150,E$1,'United Data'!$C$3:$C$2150,$A748)&gt;0,1,0)</f>
        <v>1</v>
      </c>
      <c r="F748">
        <f>IF(COUNTIFS('United Data'!$A$3:$A$2150,F$1,'United Data'!$C$3:$C$2150,$A748)&gt;0,1,0)</f>
        <v>0</v>
      </c>
      <c r="G748">
        <f>IF(COUNTIFS('United Data'!$A$3:$A$2150,G$1,'United Data'!$C$3:$C$2150,$A748)&gt;0,1,0)</f>
        <v>1</v>
      </c>
      <c r="H748">
        <f>IF(COUNTIFS('United Data'!$A$3:$A$2150,H$1,'United Data'!$C$3:$C$2150,$A748)&gt;0,1,0)</f>
        <v>0</v>
      </c>
      <c r="I748">
        <f>IF(COUNTIFS('United Data'!$A$3:$A$2150,I$1,'United Data'!$C$3:$C$2150,$A748)&gt;0,1,0)</f>
        <v>0</v>
      </c>
      <c r="J748">
        <f>IF(COUNTIFS('United Data'!$A$3:$A$2150,J$1,'United Data'!$C$3:$C$2150,$A748)&gt;0,1,0)</f>
        <v>0</v>
      </c>
      <c r="K748">
        <f>IF(COUNTIFS('United Data'!$A$3:$A$2150,K$1,'United Data'!$C$3:$C$2150,$A748)&gt;0,1,0)</f>
        <v>0</v>
      </c>
      <c r="L748">
        <f>IF(COUNTIFS('United Data'!$A$3:$A$2150,L$1,'United Data'!$C$3:$C$2150,$A748)&gt;0,1,0)</f>
        <v>0</v>
      </c>
      <c r="M748">
        <f>IF(COUNTIFS('United Data'!$A$3:$A$2150,M$1,'United Data'!$C$3:$C$2150,$A748)&gt;0,1,0)</f>
        <v>0</v>
      </c>
      <c r="N748">
        <f>IF(COUNTIFS('United Data'!$A$3:$A$2150,N$1,'United Data'!$C$3:$C$2150,$A748)&gt;0,1,0)</f>
        <v>0</v>
      </c>
      <c r="O748">
        <f>IF(COUNTIFS('United Data'!$A$3:$A$2150,O$1,'United Data'!$C$3:$C$2150,$A748)&gt;0,1,0)</f>
        <v>0</v>
      </c>
      <c r="P748">
        <f>IF(COUNTIFS('United Data'!$A$3:$A$2150,P$1,'United Data'!$C$3:$C$2150,$A748)&gt;0,1,0)</f>
        <v>0</v>
      </c>
      <c r="Q748">
        <f>IF(COUNTIFS('United Data'!$A$3:$A$2150,Q$1,'United Data'!$C$3:$C$2150,$A748)&gt;0,1,0)</f>
        <v>0</v>
      </c>
      <c r="R748">
        <f>IF(COUNTIFS('United Data'!$A$3:$A$2150,R$1,'United Data'!$C$3:$C$2150,$A748)&gt;0,1,0)</f>
        <v>0</v>
      </c>
      <c r="S748">
        <f t="shared" si="22"/>
        <v>2</v>
      </c>
      <c r="T748">
        <f t="shared" si="23"/>
        <v>2</v>
      </c>
    </row>
    <row r="749" spans="1:20" x14ac:dyDescent="0.2">
      <c r="A749" t="s">
        <v>793</v>
      </c>
      <c r="B749">
        <f>IF(COUNTIFS('United Data'!$A$3:$A$2150,B$1,'United Data'!$C$3:$C$2150,$A749)&gt;0,1,0)</f>
        <v>0</v>
      </c>
      <c r="C749">
        <f>IF(COUNTIFS('United Data'!$A$3:$A$2150,C$1,'United Data'!$C$3:$C$2150,$A749)&gt;0,1,0)</f>
        <v>0</v>
      </c>
      <c r="D749">
        <f>IF(COUNTIFS('United Data'!$A$3:$A$2150,D$1,'United Data'!$C$3:$C$2150,$A749)&gt;0,1,0)</f>
        <v>0</v>
      </c>
      <c r="E749">
        <f>IF(COUNTIFS('United Data'!$A$3:$A$2150,E$1,'United Data'!$C$3:$C$2150,$A749)&gt;0,1,0)</f>
        <v>1</v>
      </c>
      <c r="F749">
        <f>IF(COUNTIFS('United Data'!$A$3:$A$2150,F$1,'United Data'!$C$3:$C$2150,$A749)&gt;0,1,0)</f>
        <v>0</v>
      </c>
      <c r="G749">
        <f>IF(COUNTIFS('United Data'!$A$3:$A$2150,G$1,'United Data'!$C$3:$C$2150,$A749)&gt;0,1,0)</f>
        <v>0</v>
      </c>
      <c r="H749">
        <f>IF(COUNTIFS('United Data'!$A$3:$A$2150,H$1,'United Data'!$C$3:$C$2150,$A749)&gt;0,1,0)</f>
        <v>0</v>
      </c>
      <c r="I749">
        <f>IF(COUNTIFS('United Data'!$A$3:$A$2150,I$1,'United Data'!$C$3:$C$2150,$A749)&gt;0,1,0)</f>
        <v>0</v>
      </c>
      <c r="J749">
        <f>IF(COUNTIFS('United Data'!$A$3:$A$2150,J$1,'United Data'!$C$3:$C$2150,$A749)&gt;0,1,0)</f>
        <v>0</v>
      </c>
      <c r="K749">
        <f>IF(COUNTIFS('United Data'!$A$3:$A$2150,K$1,'United Data'!$C$3:$C$2150,$A749)&gt;0,1,0)</f>
        <v>0</v>
      </c>
      <c r="L749">
        <f>IF(COUNTIFS('United Data'!$A$3:$A$2150,L$1,'United Data'!$C$3:$C$2150,$A749)&gt;0,1,0)</f>
        <v>0</v>
      </c>
      <c r="M749">
        <f>IF(COUNTIFS('United Data'!$A$3:$A$2150,M$1,'United Data'!$C$3:$C$2150,$A749)&gt;0,1,0)</f>
        <v>0</v>
      </c>
      <c r="N749">
        <f>IF(COUNTIFS('United Data'!$A$3:$A$2150,N$1,'United Data'!$C$3:$C$2150,$A749)&gt;0,1,0)</f>
        <v>0</v>
      </c>
      <c r="O749">
        <f>IF(COUNTIFS('United Data'!$A$3:$A$2150,O$1,'United Data'!$C$3:$C$2150,$A749)&gt;0,1,0)</f>
        <v>0</v>
      </c>
      <c r="P749">
        <f>IF(COUNTIFS('United Data'!$A$3:$A$2150,P$1,'United Data'!$C$3:$C$2150,$A749)&gt;0,1,0)</f>
        <v>0</v>
      </c>
      <c r="Q749">
        <f>IF(COUNTIFS('United Data'!$A$3:$A$2150,Q$1,'United Data'!$C$3:$C$2150,$A749)&gt;0,1,0)</f>
        <v>0</v>
      </c>
      <c r="R749">
        <f>IF(COUNTIFS('United Data'!$A$3:$A$2150,R$1,'United Data'!$C$3:$C$2150,$A749)&gt;0,1,0)</f>
        <v>0</v>
      </c>
      <c r="S749">
        <f t="shared" si="22"/>
        <v>1</v>
      </c>
      <c r="T749">
        <f t="shared" si="23"/>
        <v>1</v>
      </c>
    </row>
    <row r="750" spans="1:20" x14ac:dyDescent="0.2">
      <c r="A750" t="s">
        <v>794</v>
      </c>
      <c r="B750">
        <f>IF(COUNTIFS('United Data'!$A$3:$A$2150,B$1,'United Data'!$C$3:$C$2150,$A750)&gt;0,1,0)</f>
        <v>0</v>
      </c>
      <c r="C750">
        <f>IF(COUNTIFS('United Data'!$A$3:$A$2150,C$1,'United Data'!$C$3:$C$2150,$A750)&gt;0,1,0)</f>
        <v>0</v>
      </c>
      <c r="D750">
        <f>IF(COUNTIFS('United Data'!$A$3:$A$2150,D$1,'United Data'!$C$3:$C$2150,$A750)&gt;0,1,0)</f>
        <v>0</v>
      </c>
      <c r="E750">
        <f>IF(COUNTIFS('United Data'!$A$3:$A$2150,E$1,'United Data'!$C$3:$C$2150,$A750)&gt;0,1,0)</f>
        <v>1</v>
      </c>
      <c r="F750">
        <f>IF(COUNTIFS('United Data'!$A$3:$A$2150,F$1,'United Data'!$C$3:$C$2150,$A750)&gt;0,1,0)</f>
        <v>0</v>
      </c>
      <c r="G750">
        <f>IF(COUNTIFS('United Data'!$A$3:$A$2150,G$1,'United Data'!$C$3:$C$2150,$A750)&gt;0,1,0)</f>
        <v>0</v>
      </c>
      <c r="H750">
        <f>IF(COUNTIFS('United Data'!$A$3:$A$2150,H$1,'United Data'!$C$3:$C$2150,$A750)&gt;0,1,0)</f>
        <v>0</v>
      </c>
      <c r="I750">
        <f>IF(COUNTIFS('United Data'!$A$3:$A$2150,I$1,'United Data'!$C$3:$C$2150,$A750)&gt;0,1,0)</f>
        <v>0</v>
      </c>
      <c r="J750">
        <f>IF(COUNTIFS('United Data'!$A$3:$A$2150,J$1,'United Data'!$C$3:$C$2150,$A750)&gt;0,1,0)</f>
        <v>0</v>
      </c>
      <c r="K750">
        <f>IF(COUNTIFS('United Data'!$A$3:$A$2150,K$1,'United Data'!$C$3:$C$2150,$A750)&gt;0,1,0)</f>
        <v>0</v>
      </c>
      <c r="L750">
        <f>IF(COUNTIFS('United Data'!$A$3:$A$2150,L$1,'United Data'!$C$3:$C$2150,$A750)&gt;0,1,0)</f>
        <v>0</v>
      </c>
      <c r="M750">
        <f>IF(COUNTIFS('United Data'!$A$3:$A$2150,M$1,'United Data'!$C$3:$C$2150,$A750)&gt;0,1,0)</f>
        <v>0</v>
      </c>
      <c r="N750">
        <f>IF(COUNTIFS('United Data'!$A$3:$A$2150,N$1,'United Data'!$C$3:$C$2150,$A750)&gt;0,1,0)</f>
        <v>0</v>
      </c>
      <c r="O750">
        <f>IF(COUNTIFS('United Data'!$A$3:$A$2150,O$1,'United Data'!$C$3:$C$2150,$A750)&gt;0,1,0)</f>
        <v>0</v>
      </c>
      <c r="P750">
        <f>IF(COUNTIFS('United Data'!$A$3:$A$2150,P$1,'United Data'!$C$3:$C$2150,$A750)&gt;0,1,0)</f>
        <v>0</v>
      </c>
      <c r="Q750">
        <f>IF(COUNTIFS('United Data'!$A$3:$A$2150,Q$1,'United Data'!$C$3:$C$2150,$A750)&gt;0,1,0)</f>
        <v>0</v>
      </c>
      <c r="R750">
        <f>IF(COUNTIFS('United Data'!$A$3:$A$2150,R$1,'United Data'!$C$3:$C$2150,$A750)&gt;0,1,0)</f>
        <v>0</v>
      </c>
      <c r="S750">
        <f t="shared" si="22"/>
        <v>1</v>
      </c>
      <c r="T750">
        <f t="shared" si="23"/>
        <v>1</v>
      </c>
    </row>
    <row r="751" spans="1:20" x14ac:dyDescent="0.2">
      <c r="A751" t="s">
        <v>795</v>
      </c>
      <c r="B751">
        <f>IF(COUNTIFS('United Data'!$A$3:$A$2150,B$1,'United Data'!$C$3:$C$2150,$A751)&gt;0,1,0)</f>
        <v>0</v>
      </c>
      <c r="C751">
        <f>IF(COUNTIFS('United Data'!$A$3:$A$2150,C$1,'United Data'!$C$3:$C$2150,$A751)&gt;0,1,0)</f>
        <v>0</v>
      </c>
      <c r="D751">
        <f>IF(COUNTIFS('United Data'!$A$3:$A$2150,D$1,'United Data'!$C$3:$C$2150,$A751)&gt;0,1,0)</f>
        <v>0</v>
      </c>
      <c r="E751">
        <f>IF(COUNTIFS('United Data'!$A$3:$A$2150,E$1,'United Data'!$C$3:$C$2150,$A751)&gt;0,1,0)</f>
        <v>1</v>
      </c>
      <c r="F751">
        <f>IF(COUNTIFS('United Data'!$A$3:$A$2150,F$1,'United Data'!$C$3:$C$2150,$A751)&gt;0,1,0)</f>
        <v>0</v>
      </c>
      <c r="G751">
        <f>IF(COUNTIFS('United Data'!$A$3:$A$2150,G$1,'United Data'!$C$3:$C$2150,$A751)&gt;0,1,0)</f>
        <v>1</v>
      </c>
      <c r="H751">
        <f>IF(COUNTIFS('United Data'!$A$3:$A$2150,H$1,'United Data'!$C$3:$C$2150,$A751)&gt;0,1,0)</f>
        <v>0</v>
      </c>
      <c r="I751">
        <f>IF(COUNTIFS('United Data'!$A$3:$A$2150,I$1,'United Data'!$C$3:$C$2150,$A751)&gt;0,1,0)</f>
        <v>1</v>
      </c>
      <c r="J751">
        <f>IF(COUNTIFS('United Data'!$A$3:$A$2150,J$1,'United Data'!$C$3:$C$2150,$A751)&gt;0,1,0)</f>
        <v>1</v>
      </c>
      <c r="K751">
        <f>IF(COUNTIFS('United Data'!$A$3:$A$2150,K$1,'United Data'!$C$3:$C$2150,$A751)&gt;0,1,0)</f>
        <v>0</v>
      </c>
      <c r="L751">
        <f>IF(COUNTIFS('United Data'!$A$3:$A$2150,L$1,'United Data'!$C$3:$C$2150,$A751)&gt;0,1,0)</f>
        <v>1</v>
      </c>
      <c r="M751">
        <f>IF(COUNTIFS('United Data'!$A$3:$A$2150,M$1,'United Data'!$C$3:$C$2150,$A751)&gt;0,1,0)</f>
        <v>0</v>
      </c>
      <c r="N751">
        <f>IF(COUNTIFS('United Data'!$A$3:$A$2150,N$1,'United Data'!$C$3:$C$2150,$A751)&gt;0,1,0)</f>
        <v>0</v>
      </c>
      <c r="O751">
        <f>IF(COUNTIFS('United Data'!$A$3:$A$2150,O$1,'United Data'!$C$3:$C$2150,$A751)&gt;0,1,0)</f>
        <v>0</v>
      </c>
      <c r="P751">
        <f>IF(COUNTIFS('United Data'!$A$3:$A$2150,P$1,'United Data'!$C$3:$C$2150,$A751)&gt;0,1,0)</f>
        <v>0</v>
      </c>
      <c r="Q751">
        <f>IF(COUNTIFS('United Data'!$A$3:$A$2150,Q$1,'United Data'!$C$3:$C$2150,$A751)&gt;0,1,0)</f>
        <v>0</v>
      </c>
      <c r="R751">
        <f>IF(COUNTIFS('United Data'!$A$3:$A$2150,R$1,'United Data'!$C$3:$C$2150,$A751)&gt;0,1,0)</f>
        <v>0</v>
      </c>
      <c r="S751">
        <f t="shared" si="22"/>
        <v>5</v>
      </c>
      <c r="T751">
        <f t="shared" si="23"/>
        <v>4</v>
      </c>
    </row>
    <row r="752" spans="1:20" x14ac:dyDescent="0.2">
      <c r="A752" t="s">
        <v>796</v>
      </c>
      <c r="B752">
        <f>IF(COUNTIFS('United Data'!$A$3:$A$2150,B$1,'United Data'!$C$3:$C$2150,$A752)&gt;0,1,0)</f>
        <v>0</v>
      </c>
      <c r="C752">
        <f>IF(COUNTIFS('United Data'!$A$3:$A$2150,C$1,'United Data'!$C$3:$C$2150,$A752)&gt;0,1,0)</f>
        <v>0</v>
      </c>
      <c r="D752">
        <f>IF(COUNTIFS('United Data'!$A$3:$A$2150,D$1,'United Data'!$C$3:$C$2150,$A752)&gt;0,1,0)</f>
        <v>0</v>
      </c>
      <c r="E752">
        <f>IF(COUNTIFS('United Data'!$A$3:$A$2150,E$1,'United Data'!$C$3:$C$2150,$A752)&gt;0,1,0)</f>
        <v>1</v>
      </c>
      <c r="F752">
        <f>IF(COUNTIFS('United Data'!$A$3:$A$2150,F$1,'United Data'!$C$3:$C$2150,$A752)&gt;0,1,0)</f>
        <v>0</v>
      </c>
      <c r="G752">
        <f>IF(COUNTIFS('United Data'!$A$3:$A$2150,G$1,'United Data'!$C$3:$C$2150,$A752)&gt;0,1,0)</f>
        <v>0</v>
      </c>
      <c r="H752">
        <f>IF(COUNTIFS('United Data'!$A$3:$A$2150,H$1,'United Data'!$C$3:$C$2150,$A752)&gt;0,1,0)</f>
        <v>0</v>
      </c>
      <c r="I752">
        <f>IF(COUNTIFS('United Data'!$A$3:$A$2150,I$1,'United Data'!$C$3:$C$2150,$A752)&gt;0,1,0)</f>
        <v>0</v>
      </c>
      <c r="J752">
        <f>IF(COUNTIFS('United Data'!$A$3:$A$2150,J$1,'United Data'!$C$3:$C$2150,$A752)&gt;0,1,0)</f>
        <v>0</v>
      </c>
      <c r="K752">
        <f>IF(COUNTIFS('United Data'!$A$3:$A$2150,K$1,'United Data'!$C$3:$C$2150,$A752)&gt;0,1,0)</f>
        <v>0</v>
      </c>
      <c r="L752">
        <f>IF(COUNTIFS('United Data'!$A$3:$A$2150,L$1,'United Data'!$C$3:$C$2150,$A752)&gt;0,1,0)</f>
        <v>0</v>
      </c>
      <c r="M752">
        <f>IF(COUNTIFS('United Data'!$A$3:$A$2150,M$1,'United Data'!$C$3:$C$2150,$A752)&gt;0,1,0)</f>
        <v>0</v>
      </c>
      <c r="N752">
        <f>IF(COUNTIFS('United Data'!$A$3:$A$2150,N$1,'United Data'!$C$3:$C$2150,$A752)&gt;0,1,0)</f>
        <v>0</v>
      </c>
      <c r="O752">
        <f>IF(COUNTIFS('United Data'!$A$3:$A$2150,O$1,'United Data'!$C$3:$C$2150,$A752)&gt;0,1,0)</f>
        <v>0</v>
      </c>
      <c r="P752">
        <f>IF(COUNTIFS('United Data'!$A$3:$A$2150,P$1,'United Data'!$C$3:$C$2150,$A752)&gt;0,1,0)</f>
        <v>0</v>
      </c>
      <c r="Q752">
        <f>IF(COUNTIFS('United Data'!$A$3:$A$2150,Q$1,'United Data'!$C$3:$C$2150,$A752)&gt;0,1,0)</f>
        <v>0</v>
      </c>
      <c r="R752">
        <f>IF(COUNTIFS('United Data'!$A$3:$A$2150,R$1,'United Data'!$C$3:$C$2150,$A752)&gt;0,1,0)</f>
        <v>0</v>
      </c>
      <c r="S752">
        <f t="shared" si="22"/>
        <v>1</v>
      </c>
      <c r="T752">
        <f t="shared" si="23"/>
        <v>1</v>
      </c>
    </row>
    <row r="753" spans="1:20" x14ac:dyDescent="0.2">
      <c r="A753" t="s">
        <v>797</v>
      </c>
      <c r="B753">
        <f>IF(COUNTIFS('United Data'!$A$3:$A$2150,B$1,'United Data'!$C$3:$C$2150,$A753)&gt;0,1,0)</f>
        <v>0</v>
      </c>
      <c r="C753">
        <f>IF(COUNTIFS('United Data'!$A$3:$A$2150,C$1,'United Data'!$C$3:$C$2150,$A753)&gt;0,1,0)</f>
        <v>0</v>
      </c>
      <c r="D753">
        <f>IF(COUNTIFS('United Data'!$A$3:$A$2150,D$1,'United Data'!$C$3:$C$2150,$A753)&gt;0,1,0)</f>
        <v>0</v>
      </c>
      <c r="E753">
        <f>IF(COUNTIFS('United Data'!$A$3:$A$2150,E$1,'United Data'!$C$3:$C$2150,$A753)&gt;0,1,0)</f>
        <v>1</v>
      </c>
      <c r="F753">
        <f>IF(COUNTIFS('United Data'!$A$3:$A$2150,F$1,'United Data'!$C$3:$C$2150,$A753)&gt;0,1,0)</f>
        <v>1</v>
      </c>
      <c r="G753">
        <f>IF(COUNTIFS('United Data'!$A$3:$A$2150,G$1,'United Data'!$C$3:$C$2150,$A753)&gt;0,1,0)</f>
        <v>1</v>
      </c>
      <c r="H753">
        <f>IF(COUNTIFS('United Data'!$A$3:$A$2150,H$1,'United Data'!$C$3:$C$2150,$A753)&gt;0,1,0)</f>
        <v>0</v>
      </c>
      <c r="I753">
        <f>IF(COUNTIFS('United Data'!$A$3:$A$2150,I$1,'United Data'!$C$3:$C$2150,$A753)&gt;0,1,0)</f>
        <v>1</v>
      </c>
      <c r="J753">
        <f>IF(COUNTIFS('United Data'!$A$3:$A$2150,J$1,'United Data'!$C$3:$C$2150,$A753)&gt;0,1,0)</f>
        <v>1</v>
      </c>
      <c r="K753">
        <f>IF(COUNTIFS('United Data'!$A$3:$A$2150,K$1,'United Data'!$C$3:$C$2150,$A753)&gt;0,1,0)</f>
        <v>1</v>
      </c>
      <c r="L753">
        <f>IF(COUNTIFS('United Data'!$A$3:$A$2150,L$1,'United Data'!$C$3:$C$2150,$A753)&gt;0,1,0)</f>
        <v>0</v>
      </c>
      <c r="M753">
        <f>IF(COUNTIFS('United Data'!$A$3:$A$2150,M$1,'United Data'!$C$3:$C$2150,$A753)&gt;0,1,0)</f>
        <v>0</v>
      </c>
      <c r="N753">
        <f>IF(COUNTIFS('United Data'!$A$3:$A$2150,N$1,'United Data'!$C$3:$C$2150,$A753)&gt;0,1,0)</f>
        <v>0</v>
      </c>
      <c r="O753">
        <f>IF(COUNTIFS('United Data'!$A$3:$A$2150,O$1,'United Data'!$C$3:$C$2150,$A753)&gt;0,1,0)</f>
        <v>0</v>
      </c>
      <c r="P753">
        <f>IF(COUNTIFS('United Data'!$A$3:$A$2150,P$1,'United Data'!$C$3:$C$2150,$A753)&gt;0,1,0)</f>
        <v>0</v>
      </c>
      <c r="Q753">
        <f>IF(COUNTIFS('United Data'!$A$3:$A$2150,Q$1,'United Data'!$C$3:$C$2150,$A753)&gt;0,1,0)</f>
        <v>0</v>
      </c>
      <c r="R753">
        <f>IF(COUNTIFS('United Data'!$A$3:$A$2150,R$1,'United Data'!$C$3:$C$2150,$A753)&gt;0,1,0)</f>
        <v>0</v>
      </c>
      <c r="S753">
        <f t="shared" si="22"/>
        <v>6</v>
      </c>
      <c r="T753">
        <f t="shared" si="23"/>
        <v>2</v>
      </c>
    </row>
    <row r="754" spans="1:20" x14ac:dyDescent="0.2">
      <c r="A754" t="s">
        <v>798</v>
      </c>
      <c r="B754">
        <f>IF(COUNTIFS('United Data'!$A$3:$A$2150,B$1,'United Data'!$C$3:$C$2150,$A754)&gt;0,1,0)</f>
        <v>0</v>
      </c>
      <c r="C754">
        <f>IF(COUNTIFS('United Data'!$A$3:$A$2150,C$1,'United Data'!$C$3:$C$2150,$A754)&gt;0,1,0)</f>
        <v>0</v>
      </c>
      <c r="D754">
        <f>IF(COUNTIFS('United Data'!$A$3:$A$2150,D$1,'United Data'!$C$3:$C$2150,$A754)&gt;0,1,0)</f>
        <v>0</v>
      </c>
      <c r="E754">
        <f>IF(COUNTIFS('United Data'!$A$3:$A$2150,E$1,'United Data'!$C$3:$C$2150,$A754)&gt;0,1,0)</f>
        <v>1</v>
      </c>
      <c r="F754">
        <f>IF(COUNTIFS('United Data'!$A$3:$A$2150,F$1,'United Data'!$C$3:$C$2150,$A754)&gt;0,1,0)</f>
        <v>1</v>
      </c>
      <c r="G754">
        <f>IF(COUNTIFS('United Data'!$A$3:$A$2150,G$1,'United Data'!$C$3:$C$2150,$A754)&gt;0,1,0)</f>
        <v>0</v>
      </c>
      <c r="H754">
        <f>IF(COUNTIFS('United Data'!$A$3:$A$2150,H$1,'United Data'!$C$3:$C$2150,$A754)&gt;0,1,0)</f>
        <v>1</v>
      </c>
      <c r="I754">
        <f>IF(COUNTIFS('United Data'!$A$3:$A$2150,I$1,'United Data'!$C$3:$C$2150,$A754)&gt;0,1,0)</f>
        <v>0</v>
      </c>
      <c r="J754">
        <f>IF(COUNTIFS('United Data'!$A$3:$A$2150,J$1,'United Data'!$C$3:$C$2150,$A754)&gt;0,1,0)</f>
        <v>1</v>
      </c>
      <c r="K754">
        <f>IF(COUNTIFS('United Data'!$A$3:$A$2150,K$1,'United Data'!$C$3:$C$2150,$A754)&gt;0,1,0)</f>
        <v>0</v>
      </c>
      <c r="L754">
        <f>IF(COUNTIFS('United Data'!$A$3:$A$2150,L$1,'United Data'!$C$3:$C$2150,$A754)&gt;0,1,0)</f>
        <v>1</v>
      </c>
      <c r="M754">
        <f>IF(COUNTIFS('United Data'!$A$3:$A$2150,M$1,'United Data'!$C$3:$C$2150,$A754)&gt;0,1,0)</f>
        <v>0</v>
      </c>
      <c r="N754">
        <f>IF(COUNTIFS('United Data'!$A$3:$A$2150,N$1,'United Data'!$C$3:$C$2150,$A754)&gt;0,1,0)</f>
        <v>1</v>
      </c>
      <c r="O754">
        <f>IF(COUNTIFS('United Data'!$A$3:$A$2150,O$1,'United Data'!$C$3:$C$2150,$A754)&gt;0,1,0)</f>
        <v>1</v>
      </c>
      <c r="P754">
        <f>IF(COUNTIFS('United Data'!$A$3:$A$2150,P$1,'United Data'!$C$3:$C$2150,$A754)&gt;0,1,0)</f>
        <v>1</v>
      </c>
      <c r="Q754">
        <f>IF(COUNTIFS('United Data'!$A$3:$A$2150,Q$1,'United Data'!$C$3:$C$2150,$A754)&gt;0,1,0)</f>
        <v>0</v>
      </c>
      <c r="R754">
        <f>IF(COUNTIFS('United Data'!$A$3:$A$2150,R$1,'United Data'!$C$3:$C$2150,$A754)&gt;0,1,0)</f>
        <v>0</v>
      </c>
      <c r="S754">
        <f t="shared" si="22"/>
        <v>8</v>
      </c>
      <c r="T754">
        <f t="shared" si="23"/>
        <v>5</v>
      </c>
    </row>
    <row r="755" spans="1:20" x14ac:dyDescent="0.2">
      <c r="A755" t="s">
        <v>799</v>
      </c>
      <c r="B755">
        <f>IF(COUNTIFS('United Data'!$A$3:$A$2150,B$1,'United Data'!$C$3:$C$2150,$A755)&gt;0,1,0)</f>
        <v>0</v>
      </c>
      <c r="C755">
        <f>IF(COUNTIFS('United Data'!$A$3:$A$2150,C$1,'United Data'!$C$3:$C$2150,$A755)&gt;0,1,0)</f>
        <v>0</v>
      </c>
      <c r="D755">
        <f>IF(COUNTIFS('United Data'!$A$3:$A$2150,D$1,'United Data'!$C$3:$C$2150,$A755)&gt;0,1,0)</f>
        <v>0</v>
      </c>
      <c r="E755">
        <f>IF(COUNTIFS('United Data'!$A$3:$A$2150,E$1,'United Data'!$C$3:$C$2150,$A755)&gt;0,1,0)</f>
        <v>1</v>
      </c>
      <c r="F755">
        <f>IF(COUNTIFS('United Data'!$A$3:$A$2150,F$1,'United Data'!$C$3:$C$2150,$A755)&gt;0,1,0)</f>
        <v>0</v>
      </c>
      <c r="G755">
        <f>IF(COUNTIFS('United Data'!$A$3:$A$2150,G$1,'United Data'!$C$3:$C$2150,$A755)&gt;0,1,0)</f>
        <v>0</v>
      </c>
      <c r="H755">
        <f>IF(COUNTIFS('United Data'!$A$3:$A$2150,H$1,'United Data'!$C$3:$C$2150,$A755)&gt;0,1,0)</f>
        <v>0</v>
      </c>
      <c r="I755">
        <f>IF(COUNTIFS('United Data'!$A$3:$A$2150,I$1,'United Data'!$C$3:$C$2150,$A755)&gt;0,1,0)</f>
        <v>0</v>
      </c>
      <c r="J755">
        <f>IF(COUNTIFS('United Data'!$A$3:$A$2150,J$1,'United Data'!$C$3:$C$2150,$A755)&gt;0,1,0)</f>
        <v>0</v>
      </c>
      <c r="K755">
        <f>IF(COUNTIFS('United Data'!$A$3:$A$2150,K$1,'United Data'!$C$3:$C$2150,$A755)&gt;0,1,0)</f>
        <v>0</v>
      </c>
      <c r="L755">
        <f>IF(COUNTIFS('United Data'!$A$3:$A$2150,L$1,'United Data'!$C$3:$C$2150,$A755)&gt;0,1,0)</f>
        <v>0</v>
      </c>
      <c r="M755">
        <f>IF(COUNTIFS('United Data'!$A$3:$A$2150,M$1,'United Data'!$C$3:$C$2150,$A755)&gt;0,1,0)</f>
        <v>0</v>
      </c>
      <c r="N755">
        <f>IF(COUNTIFS('United Data'!$A$3:$A$2150,N$1,'United Data'!$C$3:$C$2150,$A755)&gt;0,1,0)</f>
        <v>0</v>
      </c>
      <c r="O755">
        <f>IF(COUNTIFS('United Data'!$A$3:$A$2150,O$1,'United Data'!$C$3:$C$2150,$A755)&gt;0,1,0)</f>
        <v>0</v>
      </c>
      <c r="P755">
        <f>IF(COUNTIFS('United Data'!$A$3:$A$2150,P$1,'United Data'!$C$3:$C$2150,$A755)&gt;0,1,0)</f>
        <v>0</v>
      </c>
      <c r="Q755">
        <f>IF(COUNTIFS('United Data'!$A$3:$A$2150,Q$1,'United Data'!$C$3:$C$2150,$A755)&gt;0,1,0)</f>
        <v>0</v>
      </c>
      <c r="R755">
        <f>IF(COUNTIFS('United Data'!$A$3:$A$2150,R$1,'United Data'!$C$3:$C$2150,$A755)&gt;0,1,0)</f>
        <v>0</v>
      </c>
      <c r="S755">
        <f t="shared" si="22"/>
        <v>1</v>
      </c>
      <c r="T755">
        <f t="shared" si="23"/>
        <v>1</v>
      </c>
    </row>
    <row r="756" spans="1:20" x14ac:dyDescent="0.2">
      <c r="A756" t="s">
        <v>800</v>
      </c>
      <c r="B756">
        <f>IF(COUNTIFS('United Data'!$A$3:$A$2150,B$1,'United Data'!$C$3:$C$2150,$A756)&gt;0,1,0)</f>
        <v>0</v>
      </c>
      <c r="C756">
        <f>IF(COUNTIFS('United Data'!$A$3:$A$2150,C$1,'United Data'!$C$3:$C$2150,$A756)&gt;0,1,0)</f>
        <v>0</v>
      </c>
      <c r="D756">
        <f>IF(COUNTIFS('United Data'!$A$3:$A$2150,D$1,'United Data'!$C$3:$C$2150,$A756)&gt;0,1,0)</f>
        <v>0</v>
      </c>
      <c r="E756">
        <f>IF(COUNTIFS('United Data'!$A$3:$A$2150,E$1,'United Data'!$C$3:$C$2150,$A756)&gt;0,1,0)</f>
        <v>1</v>
      </c>
      <c r="F756">
        <f>IF(COUNTIFS('United Data'!$A$3:$A$2150,F$1,'United Data'!$C$3:$C$2150,$A756)&gt;0,1,0)</f>
        <v>1</v>
      </c>
      <c r="G756">
        <f>IF(COUNTIFS('United Data'!$A$3:$A$2150,G$1,'United Data'!$C$3:$C$2150,$A756)&gt;0,1,0)</f>
        <v>1</v>
      </c>
      <c r="H756">
        <f>IF(COUNTIFS('United Data'!$A$3:$A$2150,H$1,'United Data'!$C$3:$C$2150,$A756)&gt;0,1,0)</f>
        <v>1</v>
      </c>
      <c r="I756">
        <f>IF(COUNTIFS('United Data'!$A$3:$A$2150,I$1,'United Data'!$C$3:$C$2150,$A756)&gt;0,1,0)</f>
        <v>1</v>
      </c>
      <c r="J756">
        <f>IF(COUNTIFS('United Data'!$A$3:$A$2150,J$1,'United Data'!$C$3:$C$2150,$A756)&gt;0,1,0)</f>
        <v>1</v>
      </c>
      <c r="K756">
        <f>IF(COUNTIFS('United Data'!$A$3:$A$2150,K$1,'United Data'!$C$3:$C$2150,$A756)&gt;0,1,0)</f>
        <v>1</v>
      </c>
      <c r="L756">
        <f>IF(COUNTIFS('United Data'!$A$3:$A$2150,L$1,'United Data'!$C$3:$C$2150,$A756)&gt;0,1,0)</f>
        <v>1</v>
      </c>
      <c r="M756">
        <f>IF(COUNTIFS('United Data'!$A$3:$A$2150,M$1,'United Data'!$C$3:$C$2150,$A756)&gt;0,1,0)</f>
        <v>1</v>
      </c>
      <c r="N756">
        <f>IF(COUNTIFS('United Data'!$A$3:$A$2150,N$1,'United Data'!$C$3:$C$2150,$A756)&gt;0,1,0)</f>
        <v>0</v>
      </c>
      <c r="O756">
        <f>IF(COUNTIFS('United Data'!$A$3:$A$2150,O$1,'United Data'!$C$3:$C$2150,$A756)&gt;0,1,0)</f>
        <v>0</v>
      </c>
      <c r="P756">
        <f>IF(COUNTIFS('United Data'!$A$3:$A$2150,P$1,'United Data'!$C$3:$C$2150,$A756)&gt;0,1,0)</f>
        <v>0</v>
      </c>
      <c r="Q756">
        <f>IF(COUNTIFS('United Data'!$A$3:$A$2150,Q$1,'United Data'!$C$3:$C$2150,$A756)&gt;0,1,0)</f>
        <v>0</v>
      </c>
      <c r="R756">
        <f>IF(COUNTIFS('United Data'!$A$3:$A$2150,R$1,'United Data'!$C$3:$C$2150,$A756)&gt;0,1,0)</f>
        <v>0</v>
      </c>
      <c r="S756">
        <f t="shared" si="22"/>
        <v>9</v>
      </c>
      <c r="T756">
        <f t="shared" si="23"/>
        <v>1</v>
      </c>
    </row>
    <row r="757" spans="1:20" x14ac:dyDescent="0.2">
      <c r="A757" t="s">
        <v>801</v>
      </c>
      <c r="B757">
        <f>IF(COUNTIFS('United Data'!$A$3:$A$2150,B$1,'United Data'!$C$3:$C$2150,$A757)&gt;0,1,0)</f>
        <v>0</v>
      </c>
      <c r="C757">
        <f>IF(COUNTIFS('United Data'!$A$3:$A$2150,C$1,'United Data'!$C$3:$C$2150,$A757)&gt;0,1,0)</f>
        <v>0</v>
      </c>
      <c r="D757">
        <f>IF(COUNTIFS('United Data'!$A$3:$A$2150,D$1,'United Data'!$C$3:$C$2150,$A757)&gt;0,1,0)</f>
        <v>0</v>
      </c>
      <c r="E757">
        <f>IF(COUNTIFS('United Data'!$A$3:$A$2150,E$1,'United Data'!$C$3:$C$2150,$A757)&gt;0,1,0)</f>
        <v>1</v>
      </c>
      <c r="F757">
        <f>IF(COUNTIFS('United Data'!$A$3:$A$2150,F$1,'United Data'!$C$3:$C$2150,$A757)&gt;0,1,0)</f>
        <v>0</v>
      </c>
      <c r="G757">
        <f>IF(COUNTIFS('United Data'!$A$3:$A$2150,G$1,'United Data'!$C$3:$C$2150,$A757)&gt;0,1,0)</f>
        <v>0</v>
      </c>
      <c r="H757">
        <f>IF(COUNTIFS('United Data'!$A$3:$A$2150,H$1,'United Data'!$C$3:$C$2150,$A757)&gt;0,1,0)</f>
        <v>0</v>
      </c>
      <c r="I757">
        <f>IF(COUNTIFS('United Data'!$A$3:$A$2150,I$1,'United Data'!$C$3:$C$2150,$A757)&gt;0,1,0)</f>
        <v>0</v>
      </c>
      <c r="J757">
        <f>IF(COUNTIFS('United Data'!$A$3:$A$2150,J$1,'United Data'!$C$3:$C$2150,$A757)&gt;0,1,0)</f>
        <v>0</v>
      </c>
      <c r="K757">
        <f>IF(COUNTIFS('United Data'!$A$3:$A$2150,K$1,'United Data'!$C$3:$C$2150,$A757)&gt;0,1,0)</f>
        <v>0</v>
      </c>
      <c r="L757">
        <f>IF(COUNTIFS('United Data'!$A$3:$A$2150,L$1,'United Data'!$C$3:$C$2150,$A757)&gt;0,1,0)</f>
        <v>0</v>
      </c>
      <c r="M757">
        <f>IF(COUNTIFS('United Data'!$A$3:$A$2150,M$1,'United Data'!$C$3:$C$2150,$A757)&gt;0,1,0)</f>
        <v>0</v>
      </c>
      <c r="N757">
        <f>IF(COUNTIFS('United Data'!$A$3:$A$2150,N$1,'United Data'!$C$3:$C$2150,$A757)&gt;0,1,0)</f>
        <v>0</v>
      </c>
      <c r="O757">
        <f>IF(COUNTIFS('United Data'!$A$3:$A$2150,O$1,'United Data'!$C$3:$C$2150,$A757)&gt;0,1,0)</f>
        <v>0</v>
      </c>
      <c r="P757">
        <f>IF(COUNTIFS('United Data'!$A$3:$A$2150,P$1,'United Data'!$C$3:$C$2150,$A757)&gt;0,1,0)</f>
        <v>0</v>
      </c>
      <c r="Q757">
        <f>IF(COUNTIFS('United Data'!$A$3:$A$2150,Q$1,'United Data'!$C$3:$C$2150,$A757)&gt;0,1,0)</f>
        <v>0</v>
      </c>
      <c r="R757">
        <f>IF(COUNTIFS('United Data'!$A$3:$A$2150,R$1,'United Data'!$C$3:$C$2150,$A757)&gt;0,1,0)</f>
        <v>0</v>
      </c>
      <c r="S757">
        <f t="shared" si="22"/>
        <v>1</v>
      </c>
      <c r="T757">
        <f t="shared" si="23"/>
        <v>1</v>
      </c>
    </row>
    <row r="758" spans="1:20" x14ac:dyDescent="0.2">
      <c r="A758" t="s">
        <v>802</v>
      </c>
      <c r="B758">
        <f>IF(COUNTIFS('United Data'!$A$3:$A$2150,B$1,'United Data'!$C$3:$C$2150,$A758)&gt;0,1,0)</f>
        <v>0</v>
      </c>
      <c r="C758">
        <f>IF(COUNTIFS('United Data'!$A$3:$A$2150,C$1,'United Data'!$C$3:$C$2150,$A758)&gt;0,1,0)</f>
        <v>0</v>
      </c>
      <c r="D758">
        <f>IF(COUNTIFS('United Data'!$A$3:$A$2150,D$1,'United Data'!$C$3:$C$2150,$A758)&gt;0,1,0)</f>
        <v>0</v>
      </c>
      <c r="E758">
        <f>IF(COUNTIFS('United Data'!$A$3:$A$2150,E$1,'United Data'!$C$3:$C$2150,$A758)&gt;0,1,0)</f>
        <v>1</v>
      </c>
      <c r="F758">
        <f>IF(COUNTIFS('United Data'!$A$3:$A$2150,F$1,'United Data'!$C$3:$C$2150,$A758)&gt;0,1,0)</f>
        <v>0</v>
      </c>
      <c r="G758">
        <f>IF(COUNTIFS('United Data'!$A$3:$A$2150,G$1,'United Data'!$C$3:$C$2150,$A758)&gt;0,1,0)</f>
        <v>0</v>
      </c>
      <c r="H758">
        <f>IF(COUNTIFS('United Data'!$A$3:$A$2150,H$1,'United Data'!$C$3:$C$2150,$A758)&gt;0,1,0)</f>
        <v>0</v>
      </c>
      <c r="I758">
        <f>IF(COUNTIFS('United Data'!$A$3:$A$2150,I$1,'United Data'!$C$3:$C$2150,$A758)&gt;0,1,0)</f>
        <v>0</v>
      </c>
      <c r="J758">
        <f>IF(COUNTIFS('United Data'!$A$3:$A$2150,J$1,'United Data'!$C$3:$C$2150,$A758)&gt;0,1,0)</f>
        <v>0</v>
      </c>
      <c r="K758">
        <f>IF(COUNTIFS('United Data'!$A$3:$A$2150,K$1,'United Data'!$C$3:$C$2150,$A758)&gt;0,1,0)</f>
        <v>0</v>
      </c>
      <c r="L758">
        <f>IF(COUNTIFS('United Data'!$A$3:$A$2150,L$1,'United Data'!$C$3:$C$2150,$A758)&gt;0,1,0)</f>
        <v>0</v>
      </c>
      <c r="M758">
        <f>IF(COUNTIFS('United Data'!$A$3:$A$2150,M$1,'United Data'!$C$3:$C$2150,$A758)&gt;0,1,0)</f>
        <v>0</v>
      </c>
      <c r="N758">
        <f>IF(COUNTIFS('United Data'!$A$3:$A$2150,N$1,'United Data'!$C$3:$C$2150,$A758)&gt;0,1,0)</f>
        <v>0</v>
      </c>
      <c r="O758">
        <f>IF(COUNTIFS('United Data'!$A$3:$A$2150,O$1,'United Data'!$C$3:$C$2150,$A758)&gt;0,1,0)</f>
        <v>0</v>
      </c>
      <c r="P758">
        <f>IF(COUNTIFS('United Data'!$A$3:$A$2150,P$1,'United Data'!$C$3:$C$2150,$A758)&gt;0,1,0)</f>
        <v>0</v>
      </c>
      <c r="Q758">
        <f>IF(COUNTIFS('United Data'!$A$3:$A$2150,Q$1,'United Data'!$C$3:$C$2150,$A758)&gt;0,1,0)</f>
        <v>0</v>
      </c>
      <c r="R758">
        <f>IF(COUNTIFS('United Data'!$A$3:$A$2150,R$1,'United Data'!$C$3:$C$2150,$A758)&gt;0,1,0)</f>
        <v>0</v>
      </c>
      <c r="S758">
        <f t="shared" si="22"/>
        <v>1</v>
      </c>
      <c r="T758">
        <f t="shared" si="23"/>
        <v>1</v>
      </c>
    </row>
    <row r="759" spans="1:20" x14ac:dyDescent="0.2">
      <c r="A759" t="s">
        <v>803</v>
      </c>
      <c r="B759">
        <f>IF(COUNTIFS('United Data'!$A$3:$A$2150,B$1,'United Data'!$C$3:$C$2150,$A759)&gt;0,1,0)</f>
        <v>0</v>
      </c>
      <c r="C759">
        <f>IF(COUNTIFS('United Data'!$A$3:$A$2150,C$1,'United Data'!$C$3:$C$2150,$A759)&gt;0,1,0)</f>
        <v>0</v>
      </c>
      <c r="D759">
        <f>IF(COUNTIFS('United Data'!$A$3:$A$2150,D$1,'United Data'!$C$3:$C$2150,$A759)&gt;0,1,0)</f>
        <v>0</v>
      </c>
      <c r="E759">
        <f>IF(COUNTIFS('United Data'!$A$3:$A$2150,E$1,'United Data'!$C$3:$C$2150,$A759)&gt;0,1,0)</f>
        <v>1</v>
      </c>
      <c r="F759">
        <f>IF(COUNTIFS('United Data'!$A$3:$A$2150,F$1,'United Data'!$C$3:$C$2150,$A759)&gt;0,1,0)</f>
        <v>1</v>
      </c>
      <c r="G759">
        <f>IF(COUNTIFS('United Data'!$A$3:$A$2150,G$1,'United Data'!$C$3:$C$2150,$A759)&gt;0,1,0)</f>
        <v>0</v>
      </c>
      <c r="H759">
        <f>IF(COUNTIFS('United Data'!$A$3:$A$2150,H$1,'United Data'!$C$3:$C$2150,$A759)&gt;0,1,0)</f>
        <v>1</v>
      </c>
      <c r="I759">
        <f>IF(COUNTIFS('United Data'!$A$3:$A$2150,I$1,'United Data'!$C$3:$C$2150,$A759)&gt;0,1,0)</f>
        <v>1</v>
      </c>
      <c r="J759">
        <f>IF(COUNTIFS('United Data'!$A$3:$A$2150,J$1,'United Data'!$C$3:$C$2150,$A759)&gt;0,1,0)</f>
        <v>0</v>
      </c>
      <c r="K759">
        <f>IF(COUNTIFS('United Data'!$A$3:$A$2150,K$1,'United Data'!$C$3:$C$2150,$A759)&gt;0,1,0)</f>
        <v>1</v>
      </c>
      <c r="L759">
        <f>IF(COUNTIFS('United Data'!$A$3:$A$2150,L$1,'United Data'!$C$3:$C$2150,$A759)&gt;0,1,0)</f>
        <v>1</v>
      </c>
      <c r="M759">
        <f>IF(COUNTIFS('United Data'!$A$3:$A$2150,M$1,'United Data'!$C$3:$C$2150,$A759)&gt;0,1,0)</f>
        <v>0</v>
      </c>
      <c r="N759">
        <f>IF(COUNTIFS('United Data'!$A$3:$A$2150,N$1,'United Data'!$C$3:$C$2150,$A759)&gt;0,1,0)</f>
        <v>0</v>
      </c>
      <c r="O759">
        <f>IF(COUNTIFS('United Data'!$A$3:$A$2150,O$1,'United Data'!$C$3:$C$2150,$A759)&gt;0,1,0)</f>
        <v>0</v>
      </c>
      <c r="P759">
        <f>IF(COUNTIFS('United Data'!$A$3:$A$2150,P$1,'United Data'!$C$3:$C$2150,$A759)&gt;0,1,0)</f>
        <v>0</v>
      </c>
      <c r="Q759">
        <f>IF(COUNTIFS('United Data'!$A$3:$A$2150,Q$1,'United Data'!$C$3:$C$2150,$A759)&gt;0,1,0)</f>
        <v>0</v>
      </c>
      <c r="R759">
        <f>IF(COUNTIFS('United Data'!$A$3:$A$2150,R$1,'United Data'!$C$3:$C$2150,$A759)&gt;0,1,0)</f>
        <v>0</v>
      </c>
      <c r="S759">
        <f t="shared" si="22"/>
        <v>6</v>
      </c>
      <c r="T759">
        <f t="shared" si="23"/>
        <v>3</v>
      </c>
    </row>
    <row r="760" spans="1:20" x14ac:dyDescent="0.2">
      <c r="A760" t="s">
        <v>804</v>
      </c>
      <c r="B760">
        <f>IF(COUNTIFS('United Data'!$A$3:$A$2150,B$1,'United Data'!$C$3:$C$2150,$A760)&gt;0,1,0)</f>
        <v>0</v>
      </c>
      <c r="C760">
        <f>IF(COUNTIFS('United Data'!$A$3:$A$2150,C$1,'United Data'!$C$3:$C$2150,$A760)&gt;0,1,0)</f>
        <v>0</v>
      </c>
      <c r="D760">
        <f>IF(COUNTIFS('United Data'!$A$3:$A$2150,D$1,'United Data'!$C$3:$C$2150,$A760)&gt;0,1,0)</f>
        <v>0</v>
      </c>
      <c r="E760">
        <f>IF(COUNTIFS('United Data'!$A$3:$A$2150,E$1,'United Data'!$C$3:$C$2150,$A760)&gt;0,1,0)</f>
        <v>1</v>
      </c>
      <c r="F760">
        <f>IF(COUNTIFS('United Data'!$A$3:$A$2150,F$1,'United Data'!$C$3:$C$2150,$A760)&gt;0,1,0)</f>
        <v>0</v>
      </c>
      <c r="G760">
        <f>IF(COUNTIFS('United Data'!$A$3:$A$2150,G$1,'United Data'!$C$3:$C$2150,$A760)&gt;0,1,0)</f>
        <v>1</v>
      </c>
      <c r="H760">
        <f>IF(COUNTIFS('United Data'!$A$3:$A$2150,H$1,'United Data'!$C$3:$C$2150,$A760)&gt;0,1,0)</f>
        <v>1</v>
      </c>
      <c r="I760">
        <f>IF(COUNTIFS('United Data'!$A$3:$A$2150,I$1,'United Data'!$C$3:$C$2150,$A760)&gt;0,1,0)</f>
        <v>1</v>
      </c>
      <c r="J760">
        <f>IF(COUNTIFS('United Data'!$A$3:$A$2150,J$1,'United Data'!$C$3:$C$2150,$A760)&gt;0,1,0)</f>
        <v>1</v>
      </c>
      <c r="K760">
        <f>IF(COUNTIFS('United Data'!$A$3:$A$2150,K$1,'United Data'!$C$3:$C$2150,$A760)&gt;0,1,0)</f>
        <v>1</v>
      </c>
      <c r="L760">
        <f>IF(COUNTIFS('United Data'!$A$3:$A$2150,L$1,'United Data'!$C$3:$C$2150,$A760)&gt;0,1,0)</f>
        <v>1</v>
      </c>
      <c r="M760">
        <f>IF(COUNTIFS('United Data'!$A$3:$A$2150,M$1,'United Data'!$C$3:$C$2150,$A760)&gt;0,1,0)</f>
        <v>1</v>
      </c>
      <c r="N760">
        <f>IF(COUNTIFS('United Data'!$A$3:$A$2150,N$1,'United Data'!$C$3:$C$2150,$A760)&gt;0,1,0)</f>
        <v>1</v>
      </c>
      <c r="O760">
        <f>IF(COUNTIFS('United Data'!$A$3:$A$2150,O$1,'United Data'!$C$3:$C$2150,$A760)&gt;0,1,0)</f>
        <v>0</v>
      </c>
      <c r="P760">
        <f>IF(COUNTIFS('United Data'!$A$3:$A$2150,P$1,'United Data'!$C$3:$C$2150,$A760)&gt;0,1,0)</f>
        <v>0</v>
      </c>
      <c r="Q760">
        <f>IF(COUNTIFS('United Data'!$A$3:$A$2150,Q$1,'United Data'!$C$3:$C$2150,$A760)&gt;0,1,0)</f>
        <v>0</v>
      </c>
      <c r="R760">
        <f>IF(COUNTIFS('United Data'!$A$3:$A$2150,R$1,'United Data'!$C$3:$C$2150,$A760)&gt;0,1,0)</f>
        <v>0</v>
      </c>
      <c r="S760">
        <f t="shared" si="22"/>
        <v>9</v>
      </c>
      <c r="T760">
        <f t="shared" si="23"/>
        <v>2</v>
      </c>
    </row>
    <row r="761" spans="1:20" x14ac:dyDescent="0.2">
      <c r="A761" t="s">
        <v>805</v>
      </c>
      <c r="B761">
        <f>IF(COUNTIFS('United Data'!$A$3:$A$2150,B$1,'United Data'!$C$3:$C$2150,$A761)&gt;0,1,0)</f>
        <v>0</v>
      </c>
      <c r="C761">
        <f>IF(COUNTIFS('United Data'!$A$3:$A$2150,C$1,'United Data'!$C$3:$C$2150,$A761)&gt;0,1,0)</f>
        <v>0</v>
      </c>
      <c r="D761">
        <f>IF(COUNTIFS('United Data'!$A$3:$A$2150,D$1,'United Data'!$C$3:$C$2150,$A761)&gt;0,1,0)</f>
        <v>0</v>
      </c>
      <c r="E761">
        <f>IF(COUNTIFS('United Data'!$A$3:$A$2150,E$1,'United Data'!$C$3:$C$2150,$A761)&gt;0,1,0)</f>
        <v>1</v>
      </c>
      <c r="F761">
        <f>IF(COUNTIFS('United Data'!$A$3:$A$2150,F$1,'United Data'!$C$3:$C$2150,$A761)&gt;0,1,0)</f>
        <v>0</v>
      </c>
      <c r="G761">
        <f>IF(COUNTIFS('United Data'!$A$3:$A$2150,G$1,'United Data'!$C$3:$C$2150,$A761)&gt;0,1,0)</f>
        <v>0</v>
      </c>
      <c r="H761">
        <f>IF(COUNTIFS('United Data'!$A$3:$A$2150,H$1,'United Data'!$C$3:$C$2150,$A761)&gt;0,1,0)</f>
        <v>1</v>
      </c>
      <c r="I761">
        <f>IF(COUNTIFS('United Data'!$A$3:$A$2150,I$1,'United Data'!$C$3:$C$2150,$A761)&gt;0,1,0)</f>
        <v>0</v>
      </c>
      <c r="J761">
        <f>IF(COUNTIFS('United Data'!$A$3:$A$2150,J$1,'United Data'!$C$3:$C$2150,$A761)&gt;0,1,0)</f>
        <v>1</v>
      </c>
      <c r="K761">
        <f>IF(COUNTIFS('United Data'!$A$3:$A$2150,K$1,'United Data'!$C$3:$C$2150,$A761)&gt;0,1,0)</f>
        <v>1</v>
      </c>
      <c r="L761">
        <f>IF(COUNTIFS('United Data'!$A$3:$A$2150,L$1,'United Data'!$C$3:$C$2150,$A761)&gt;0,1,0)</f>
        <v>0</v>
      </c>
      <c r="M761">
        <f>IF(COUNTIFS('United Data'!$A$3:$A$2150,M$1,'United Data'!$C$3:$C$2150,$A761)&gt;0,1,0)</f>
        <v>1</v>
      </c>
      <c r="N761">
        <f>IF(COUNTIFS('United Data'!$A$3:$A$2150,N$1,'United Data'!$C$3:$C$2150,$A761)&gt;0,1,0)</f>
        <v>0</v>
      </c>
      <c r="O761">
        <f>IF(COUNTIFS('United Data'!$A$3:$A$2150,O$1,'United Data'!$C$3:$C$2150,$A761)&gt;0,1,0)</f>
        <v>0</v>
      </c>
      <c r="P761">
        <f>IF(COUNTIFS('United Data'!$A$3:$A$2150,P$1,'United Data'!$C$3:$C$2150,$A761)&gt;0,1,0)</f>
        <v>0</v>
      </c>
      <c r="Q761">
        <f>IF(COUNTIFS('United Data'!$A$3:$A$2150,Q$1,'United Data'!$C$3:$C$2150,$A761)&gt;0,1,0)</f>
        <v>0</v>
      </c>
      <c r="R761">
        <f>IF(COUNTIFS('United Data'!$A$3:$A$2150,R$1,'United Data'!$C$3:$C$2150,$A761)&gt;0,1,0)</f>
        <v>0</v>
      </c>
      <c r="S761">
        <f t="shared" si="22"/>
        <v>5</v>
      </c>
      <c r="T761">
        <f t="shared" si="23"/>
        <v>4</v>
      </c>
    </row>
    <row r="762" spans="1:20" x14ac:dyDescent="0.2">
      <c r="A762" t="s">
        <v>806</v>
      </c>
      <c r="B762">
        <f>IF(COUNTIFS('United Data'!$A$3:$A$2150,B$1,'United Data'!$C$3:$C$2150,$A762)&gt;0,1,0)</f>
        <v>0</v>
      </c>
      <c r="C762">
        <f>IF(COUNTIFS('United Data'!$A$3:$A$2150,C$1,'United Data'!$C$3:$C$2150,$A762)&gt;0,1,0)</f>
        <v>0</v>
      </c>
      <c r="D762">
        <f>IF(COUNTIFS('United Data'!$A$3:$A$2150,D$1,'United Data'!$C$3:$C$2150,$A762)&gt;0,1,0)</f>
        <v>0</v>
      </c>
      <c r="E762">
        <f>IF(COUNTIFS('United Data'!$A$3:$A$2150,E$1,'United Data'!$C$3:$C$2150,$A762)&gt;0,1,0)</f>
        <v>1</v>
      </c>
      <c r="F762">
        <f>IF(COUNTIFS('United Data'!$A$3:$A$2150,F$1,'United Data'!$C$3:$C$2150,$A762)&gt;0,1,0)</f>
        <v>0</v>
      </c>
      <c r="G762">
        <f>IF(COUNTIFS('United Data'!$A$3:$A$2150,G$1,'United Data'!$C$3:$C$2150,$A762)&gt;0,1,0)</f>
        <v>0</v>
      </c>
      <c r="H762">
        <f>IF(COUNTIFS('United Data'!$A$3:$A$2150,H$1,'United Data'!$C$3:$C$2150,$A762)&gt;0,1,0)</f>
        <v>0</v>
      </c>
      <c r="I762">
        <f>IF(COUNTIFS('United Data'!$A$3:$A$2150,I$1,'United Data'!$C$3:$C$2150,$A762)&gt;0,1,0)</f>
        <v>0</v>
      </c>
      <c r="J762">
        <f>IF(COUNTIFS('United Data'!$A$3:$A$2150,J$1,'United Data'!$C$3:$C$2150,$A762)&gt;0,1,0)</f>
        <v>0</v>
      </c>
      <c r="K762">
        <f>IF(COUNTIFS('United Data'!$A$3:$A$2150,K$1,'United Data'!$C$3:$C$2150,$A762)&gt;0,1,0)</f>
        <v>0</v>
      </c>
      <c r="L762">
        <f>IF(COUNTIFS('United Data'!$A$3:$A$2150,L$1,'United Data'!$C$3:$C$2150,$A762)&gt;0,1,0)</f>
        <v>0</v>
      </c>
      <c r="M762">
        <f>IF(COUNTIFS('United Data'!$A$3:$A$2150,M$1,'United Data'!$C$3:$C$2150,$A762)&gt;0,1,0)</f>
        <v>0</v>
      </c>
      <c r="N762">
        <f>IF(COUNTIFS('United Data'!$A$3:$A$2150,N$1,'United Data'!$C$3:$C$2150,$A762)&gt;0,1,0)</f>
        <v>0</v>
      </c>
      <c r="O762">
        <f>IF(COUNTIFS('United Data'!$A$3:$A$2150,O$1,'United Data'!$C$3:$C$2150,$A762)&gt;0,1,0)</f>
        <v>0</v>
      </c>
      <c r="P762">
        <f>IF(COUNTIFS('United Data'!$A$3:$A$2150,P$1,'United Data'!$C$3:$C$2150,$A762)&gt;0,1,0)</f>
        <v>0</v>
      </c>
      <c r="Q762">
        <f>IF(COUNTIFS('United Data'!$A$3:$A$2150,Q$1,'United Data'!$C$3:$C$2150,$A762)&gt;0,1,0)</f>
        <v>0</v>
      </c>
      <c r="R762">
        <f>IF(COUNTIFS('United Data'!$A$3:$A$2150,R$1,'United Data'!$C$3:$C$2150,$A762)&gt;0,1,0)</f>
        <v>0</v>
      </c>
      <c r="S762">
        <f t="shared" si="22"/>
        <v>1</v>
      </c>
      <c r="T762">
        <f t="shared" si="23"/>
        <v>1</v>
      </c>
    </row>
    <row r="763" spans="1:20" x14ac:dyDescent="0.2">
      <c r="A763" t="s">
        <v>807</v>
      </c>
      <c r="B763">
        <f>IF(COUNTIFS('United Data'!$A$3:$A$2150,B$1,'United Data'!$C$3:$C$2150,$A763)&gt;0,1,0)</f>
        <v>0</v>
      </c>
      <c r="C763">
        <f>IF(COUNTIFS('United Data'!$A$3:$A$2150,C$1,'United Data'!$C$3:$C$2150,$A763)&gt;0,1,0)</f>
        <v>0</v>
      </c>
      <c r="D763">
        <f>IF(COUNTIFS('United Data'!$A$3:$A$2150,D$1,'United Data'!$C$3:$C$2150,$A763)&gt;0,1,0)</f>
        <v>0</v>
      </c>
      <c r="E763">
        <f>IF(COUNTIFS('United Data'!$A$3:$A$2150,E$1,'United Data'!$C$3:$C$2150,$A763)&gt;0,1,0)</f>
        <v>1</v>
      </c>
      <c r="F763">
        <f>IF(COUNTIFS('United Data'!$A$3:$A$2150,F$1,'United Data'!$C$3:$C$2150,$A763)&gt;0,1,0)</f>
        <v>1</v>
      </c>
      <c r="G763">
        <f>IF(COUNTIFS('United Data'!$A$3:$A$2150,G$1,'United Data'!$C$3:$C$2150,$A763)&gt;0,1,0)</f>
        <v>1</v>
      </c>
      <c r="H763">
        <f>IF(COUNTIFS('United Data'!$A$3:$A$2150,H$1,'United Data'!$C$3:$C$2150,$A763)&gt;0,1,0)</f>
        <v>1</v>
      </c>
      <c r="I763">
        <f>IF(COUNTIFS('United Data'!$A$3:$A$2150,I$1,'United Data'!$C$3:$C$2150,$A763)&gt;0,1,0)</f>
        <v>1</v>
      </c>
      <c r="J763">
        <f>IF(COUNTIFS('United Data'!$A$3:$A$2150,J$1,'United Data'!$C$3:$C$2150,$A763)&gt;0,1,0)</f>
        <v>1</v>
      </c>
      <c r="K763">
        <f>IF(COUNTIFS('United Data'!$A$3:$A$2150,K$1,'United Data'!$C$3:$C$2150,$A763)&gt;0,1,0)</f>
        <v>1</v>
      </c>
      <c r="L763">
        <f>IF(COUNTIFS('United Data'!$A$3:$A$2150,L$1,'United Data'!$C$3:$C$2150,$A763)&gt;0,1,0)</f>
        <v>1</v>
      </c>
      <c r="M763">
        <f>IF(COUNTIFS('United Data'!$A$3:$A$2150,M$1,'United Data'!$C$3:$C$2150,$A763)&gt;0,1,0)</f>
        <v>1</v>
      </c>
      <c r="N763">
        <f>IF(COUNTIFS('United Data'!$A$3:$A$2150,N$1,'United Data'!$C$3:$C$2150,$A763)&gt;0,1,0)</f>
        <v>1</v>
      </c>
      <c r="O763">
        <f>IF(COUNTIFS('United Data'!$A$3:$A$2150,O$1,'United Data'!$C$3:$C$2150,$A763)&gt;0,1,0)</f>
        <v>1</v>
      </c>
      <c r="P763">
        <f>IF(COUNTIFS('United Data'!$A$3:$A$2150,P$1,'United Data'!$C$3:$C$2150,$A763)&gt;0,1,0)</f>
        <v>0</v>
      </c>
      <c r="Q763">
        <f>IF(COUNTIFS('United Data'!$A$3:$A$2150,Q$1,'United Data'!$C$3:$C$2150,$A763)&gt;0,1,0)</f>
        <v>0</v>
      </c>
      <c r="R763">
        <f>IF(COUNTIFS('United Data'!$A$3:$A$2150,R$1,'United Data'!$C$3:$C$2150,$A763)&gt;0,1,0)</f>
        <v>0</v>
      </c>
      <c r="S763">
        <f t="shared" si="22"/>
        <v>11</v>
      </c>
      <c r="T763">
        <f t="shared" si="23"/>
        <v>1</v>
      </c>
    </row>
    <row r="764" spans="1:20" x14ac:dyDescent="0.2">
      <c r="A764" t="s">
        <v>808</v>
      </c>
      <c r="B764">
        <f>IF(COUNTIFS('United Data'!$A$3:$A$2150,B$1,'United Data'!$C$3:$C$2150,$A764)&gt;0,1,0)</f>
        <v>0</v>
      </c>
      <c r="C764">
        <f>IF(COUNTIFS('United Data'!$A$3:$A$2150,C$1,'United Data'!$C$3:$C$2150,$A764)&gt;0,1,0)</f>
        <v>0</v>
      </c>
      <c r="D764">
        <f>IF(COUNTIFS('United Data'!$A$3:$A$2150,D$1,'United Data'!$C$3:$C$2150,$A764)&gt;0,1,0)</f>
        <v>0</v>
      </c>
      <c r="E764">
        <f>IF(COUNTIFS('United Data'!$A$3:$A$2150,E$1,'United Data'!$C$3:$C$2150,$A764)&gt;0,1,0)</f>
        <v>1</v>
      </c>
      <c r="F764">
        <f>IF(COUNTIFS('United Data'!$A$3:$A$2150,F$1,'United Data'!$C$3:$C$2150,$A764)&gt;0,1,0)</f>
        <v>0</v>
      </c>
      <c r="G764">
        <f>IF(COUNTIFS('United Data'!$A$3:$A$2150,G$1,'United Data'!$C$3:$C$2150,$A764)&gt;0,1,0)</f>
        <v>0</v>
      </c>
      <c r="H764">
        <f>IF(COUNTIFS('United Data'!$A$3:$A$2150,H$1,'United Data'!$C$3:$C$2150,$A764)&gt;0,1,0)</f>
        <v>0</v>
      </c>
      <c r="I764">
        <f>IF(COUNTIFS('United Data'!$A$3:$A$2150,I$1,'United Data'!$C$3:$C$2150,$A764)&gt;0,1,0)</f>
        <v>0</v>
      </c>
      <c r="J764">
        <f>IF(COUNTIFS('United Data'!$A$3:$A$2150,J$1,'United Data'!$C$3:$C$2150,$A764)&gt;0,1,0)</f>
        <v>0</v>
      </c>
      <c r="K764">
        <f>IF(COUNTIFS('United Data'!$A$3:$A$2150,K$1,'United Data'!$C$3:$C$2150,$A764)&gt;0,1,0)</f>
        <v>0</v>
      </c>
      <c r="L764">
        <f>IF(COUNTIFS('United Data'!$A$3:$A$2150,L$1,'United Data'!$C$3:$C$2150,$A764)&gt;0,1,0)</f>
        <v>0</v>
      </c>
      <c r="M764">
        <f>IF(COUNTIFS('United Data'!$A$3:$A$2150,M$1,'United Data'!$C$3:$C$2150,$A764)&gt;0,1,0)</f>
        <v>0</v>
      </c>
      <c r="N764">
        <f>IF(COUNTIFS('United Data'!$A$3:$A$2150,N$1,'United Data'!$C$3:$C$2150,$A764)&gt;0,1,0)</f>
        <v>0</v>
      </c>
      <c r="O764">
        <f>IF(COUNTIFS('United Data'!$A$3:$A$2150,O$1,'United Data'!$C$3:$C$2150,$A764)&gt;0,1,0)</f>
        <v>0</v>
      </c>
      <c r="P764">
        <f>IF(COUNTIFS('United Data'!$A$3:$A$2150,P$1,'United Data'!$C$3:$C$2150,$A764)&gt;0,1,0)</f>
        <v>0</v>
      </c>
      <c r="Q764">
        <f>IF(COUNTIFS('United Data'!$A$3:$A$2150,Q$1,'United Data'!$C$3:$C$2150,$A764)&gt;0,1,0)</f>
        <v>0</v>
      </c>
      <c r="R764">
        <f>IF(COUNTIFS('United Data'!$A$3:$A$2150,R$1,'United Data'!$C$3:$C$2150,$A764)&gt;0,1,0)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809</v>
      </c>
      <c r="B765">
        <f>IF(COUNTIFS('United Data'!$A$3:$A$2150,B$1,'United Data'!$C$3:$C$2150,$A765)&gt;0,1,0)</f>
        <v>0</v>
      </c>
      <c r="C765">
        <f>IF(COUNTIFS('United Data'!$A$3:$A$2150,C$1,'United Data'!$C$3:$C$2150,$A765)&gt;0,1,0)</f>
        <v>0</v>
      </c>
      <c r="D765">
        <f>IF(COUNTIFS('United Data'!$A$3:$A$2150,D$1,'United Data'!$C$3:$C$2150,$A765)&gt;0,1,0)</f>
        <v>0</v>
      </c>
      <c r="E765">
        <f>IF(COUNTIFS('United Data'!$A$3:$A$2150,E$1,'United Data'!$C$3:$C$2150,$A765)&gt;0,1,0)</f>
        <v>1</v>
      </c>
      <c r="F765">
        <f>IF(COUNTIFS('United Data'!$A$3:$A$2150,F$1,'United Data'!$C$3:$C$2150,$A765)&gt;0,1,0)</f>
        <v>0</v>
      </c>
      <c r="G765">
        <f>IF(COUNTIFS('United Data'!$A$3:$A$2150,G$1,'United Data'!$C$3:$C$2150,$A765)&gt;0,1,0)</f>
        <v>0</v>
      </c>
      <c r="H765">
        <f>IF(COUNTIFS('United Data'!$A$3:$A$2150,H$1,'United Data'!$C$3:$C$2150,$A765)&gt;0,1,0)</f>
        <v>0</v>
      </c>
      <c r="I765">
        <f>IF(COUNTIFS('United Data'!$A$3:$A$2150,I$1,'United Data'!$C$3:$C$2150,$A765)&gt;0,1,0)</f>
        <v>0</v>
      </c>
      <c r="J765">
        <f>IF(COUNTIFS('United Data'!$A$3:$A$2150,J$1,'United Data'!$C$3:$C$2150,$A765)&gt;0,1,0)</f>
        <v>0</v>
      </c>
      <c r="K765">
        <f>IF(COUNTIFS('United Data'!$A$3:$A$2150,K$1,'United Data'!$C$3:$C$2150,$A765)&gt;0,1,0)</f>
        <v>0</v>
      </c>
      <c r="L765">
        <f>IF(COUNTIFS('United Data'!$A$3:$A$2150,L$1,'United Data'!$C$3:$C$2150,$A765)&gt;0,1,0)</f>
        <v>0</v>
      </c>
      <c r="M765">
        <f>IF(COUNTIFS('United Data'!$A$3:$A$2150,M$1,'United Data'!$C$3:$C$2150,$A765)&gt;0,1,0)</f>
        <v>0</v>
      </c>
      <c r="N765">
        <f>IF(COUNTIFS('United Data'!$A$3:$A$2150,N$1,'United Data'!$C$3:$C$2150,$A765)&gt;0,1,0)</f>
        <v>0</v>
      </c>
      <c r="O765">
        <f>IF(COUNTIFS('United Data'!$A$3:$A$2150,O$1,'United Data'!$C$3:$C$2150,$A765)&gt;0,1,0)</f>
        <v>0</v>
      </c>
      <c r="P765">
        <f>IF(COUNTIFS('United Data'!$A$3:$A$2150,P$1,'United Data'!$C$3:$C$2150,$A765)&gt;0,1,0)</f>
        <v>0</v>
      </c>
      <c r="Q765">
        <f>IF(COUNTIFS('United Data'!$A$3:$A$2150,Q$1,'United Data'!$C$3:$C$2150,$A765)&gt;0,1,0)</f>
        <v>0</v>
      </c>
      <c r="R765">
        <f>IF(COUNTIFS('United Data'!$A$3:$A$2150,R$1,'United Data'!$C$3:$C$2150,$A765)&gt;0,1,0)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810</v>
      </c>
      <c r="B766">
        <f>IF(COUNTIFS('United Data'!$A$3:$A$2150,B$1,'United Data'!$C$3:$C$2150,$A766)&gt;0,1,0)</f>
        <v>0</v>
      </c>
      <c r="C766">
        <f>IF(COUNTIFS('United Data'!$A$3:$A$2150,C$1,'United Data'!$C$3:$C$2150,$A766)&gt;0,1,0)</f>
        <v>0</v>
      </c>
      <c r="D766">
        <f>IF(COUNTIFS('United Data'!$A$3:$A$2150,D$1,'United Data'!$C$3:$C$2150,$A766)&gt;0,1,0)</f>
        <v>0</v>
      </c>
      <c r="E766">
        <f>IF(COUNTIFS('United Data'!$A$3:$A$2150,E$1,'United Data'!$C$3:$C$2150,$A766)&gt;0,1,0)</f>
        <v>1</v>
      </c>
      <c r="F766">
        <f>IF(COUNTIFS('United Data'!$A$3:$A$2150,F$1,'United Data'!$C$3:$C$2150,$A766)&gt;0,1,0)</f>
        <v>0</v>
      </c>
      <c r="G766">
        <f>IF(COUNTIFS('United Data'!$A$3:$A$2150,G$1,'United Data'!$C$3:$C$2150,$A766)&gt;0,1,0)</f>
        <v>1</v>
      </c>
      <c r="H766">
        <f>IF(COUNTIFS('United Data'!$A$3:$A$2150,H$1,'United Data'!$C$3:$C$2150,$A766)&gt;0,1,0)</f>
        <v>0</v>
      </c>
      <c r="I766">
        <f>IF(COUNTIFS('United Data'!$A$3:$A$2150,I$1,'United Data'!$C$3:$C$2150,$A766)&gt;0,1,0)</f>
        <v>0</v>
      </c>
      <c r="J766">
        <f>IF(COUNTIFS('United Data'!$A$3:$A$2150,J$1,'United Data'!$C$3:$C$2150,$A766)&gt;0,1,0)</f>
        <v>0</v>
      </c>
      <c r="K766">
        <f>IF(COUNTIFS('United Data'!$A$3:$A$2150,K$1,'United Data'!$C$3:$C$2150,$A766)&gt;0,1,0)</f>
        <v>0</v>
      </c>
      <c r="L766">
        <f>IF(COUNTIFS('United Data'!$A$3:$A$2150,L$1,'United Data'!$C$3:$C$2150,$A766)&gt;0,1,0)</f>
        <v>0</v>
      </c>
      <c r="M766">
        <f>IF(COUNTIFS('United Data'!$A$3:$A$2150,M$1,'United Data'!$C$3:$C$2150,$A766)&gt;0,1,0)</f>
        <v>0</v>
      </c>
      <c r="N766">
        <f>IF(COUNTIFS('United Data'!$A$3:$A$2150,N$1,'United Data'!$C$3:$C$2150,$A766)&gt;0,1,0)</f>
        <v>0</v>
      </c>
      <c r="O766">
        <f>IF(COUNTIFS('United Data'!$A$3:$A$2150,O$1,'United Data'!$C$3:$C$2150,$A766)&gt;0,1,0)</f>
        <v>0</v>
      </c>
      <c r="P766">
        <f>IF(COUNTIFS('United Data'!$A$3:$A$2150,P$1,'United Data'!$C$3:$C$2150,$A766)&gt;0,1,0)</f>
        <v>0</v>
      </c>
      <c r="Q766">
        <f>IF(COUNTIFS('United Data'!$A$3:$A$2150,Q$1,'United Data'!$C$3:$C$2150,$A766)&gt;0,1,0)</f>
        <v>0</v>
      </c>
      <c r="R766">
        <f>IF(COUNTIFS('United Data'!$A$3:$A$2150,R$1,'United Data'!$C$3:$C$2150,$A766)&gt;0,1,0)</f>
        <v>0</v>
      </c>
      <c r="S766">
        <f t="shared" si="22"/>
        <v>2</v>
      </c>
      <c r="T766">
        <f t="shared" si="23"/>
        <v>2</v>
      </c>
    </row>
    <row r="767" spans="1:20" x14ac:dyDescent="0.2">
      <c r="A767" t="s">
        <v>811</v>
      </c>
      <c r="B767">
        <f>IF(COUNTIFS('United Data'!$A$3:$A$2150,B$1,'United Data'!$C$3:$C$2150,$A767)&gt;0,1,0)</f>
        <v>0</v>
      </c>
      <c r="C767">
        <f>IF(COUNTIFS('United Data'!$A$3:$A$2150,C$1,'United Data'!$C$3:$C$2150,$A767)&gt;0,1,0)</f>
        <v>0</v>
      </c>
      <c r="D767">
        <f>IF(COUNTIFS('United Data'!$A$3:$A$2150,D$1,'United Data'!$C$3:$C$2150,$A767)&gt;0,1,0)</f>
        <v>0</v>
      </c>
      <c r="E767">
        <f>IF(COUNTIFS('United Data'!$A$3:$A$2150,E$1,'United Data'!$C$3:$C$2150,$A767)&gt;0,1,0)</f>
        <v>1</v>
      </c>
      <c r="F767">
        <f>IF(COUNTIFS('United Data'!$A$3:$A$2150,F$1,'United Data'!$C$3:$C$2150,$A767)&gt;0,1,0)</f>
        <v>0</v>
      </c>
      <c r="G767">
        <f>IF(COUNTIFS('United Data'!$A$3:$A$2150,G$1,'United Data'!$C$3:$C$2150,$A767)&gt;0,1,0)</f>
        <v>0</v>
      </c>
      <c r="H767">
        <f>IF(COUNTIFS('United Data'!$A$3:$A$2150,H$1,'United Data'!$C$3:$C$2150,$A767)&gt;0,1,0)</f>
        <v>0</v>
      </c>
      <c r="I767">
        <f>IF(COUNTIFS('United Data'!$A$3:$A$2150,I$1,'United Data'!$C$3:$C$2150,$A767)&gt;0,1,0)</f>
        <v>0</v>
      </c>
      <c r="J767">
        <f>IF(COUNTIFS('United Data'!$A$3:$A$2150,J$1,'United Data'!$C$3:$C$2150,$A767)&gt;0,1,0)</f>
        <v>0</v>
      </c>
      <c r="K767">
        <f>IF(COUNTIFS('United Data'!$A$3:$A$2150,K$1,'United Data'!$C$3:$C$2150,$A767)&gt;0,1,0)</f>
        <v>0</v>
      </c>
      <c r="L767">
        <f>IF(COUNTIFS('United Data'!$A$3:$A$2150,L$1,'United Data'!$C$3:$C$2150,$A767)&gt;0,1,0)</f>
        <v>0</v>
      </c>
      <c r="M767">
        <f>IF(COUNTIFS('United Data'!$A$3:$A$2150,M$1,'United Data'!$C$3:$C$2150,$A767)&gt;0,1,0)</f>
        <v>0</v>
      </c>
      <c r="N767">
        <f>IF(COUNTIFS('United Data'!$A$3:$A$2150,N$1,'United Data'!$C$3:$C$2150,$A767)&gt;0,1,0)</f>
        <v>0</v>
      </c>
      <c r="O767">
        <f>IF(COUNTIFS('United Data'!$A$3:$A$2150,O$1,'United Data'!$C$3:$C$2150,$A767)&gt;0,1,0)</f>
        <v>0</v>
      </c>
      <c r="P767">
        <f>IF(COUNTIFS('United Data'!$A$3:$A$2150,P$1,'United Data'!$C$3:$C$2150,$A767)&gt;0,1,0)</f>
        <v>0</v>
      </c>
      <c r="Q767">
        <f>IF(COUNTIFS('United Data'!$A$3:$A$2150,Q$1,'United Data'!$C$3:$C$2150,$A767)&gt;0,1,0)</f>
        <v>0</v>
      </c>
      <c r="R767">
        <f>IF(COUNTIFS('United Data'!$A$3:$A$2150,R$1,'United Data'!$C$3:$C$2150,$A767)&gt;0,1,0)</f>
        <v>0</v>
      </c>
      <c r="S767">
        <f t="shared" si="22"/>
        <v>1</v>
      </c>
      <c r="T767">
        <f t="shared" si="23"/>
        <v>1</v>
      </c>
    </row>
    <row r="768" spans="1:20" x14ac:dyDescent="0.2">
      <c r="A768" t="s">
        <v>812</v>
      </c>
      <c r="B768">
        <f>IF(COUNTIFS('United Data'!$A$3:$A$2150,B$1,'United Data'!$C$3:$C$2150,$A768)&gt;0,1,0)</f>
        <v>0</v>
      </c>
      <c r="C768">
        <f>IF(COUNTIFS('United Data'!$A$3:$A$2150,C$1,'United Data'!$C$3:$C$2150,$A768)&gt;0,1,0)</f>
        <v>0</v>
      </c>
      <c r="D768">
        <f>IF(COUNTIFS('United Data'!$A$3:$A$2150,D$1,'United Data'!$C$3:$C$2150,$A768)&gt;0,1,0)</f>
        <v>0</v>
      </c>
      <c r="E768">
        <f>IF(COUNTIFS('United Data'!$A$3:$A$2150,E$1,'United Data'!$C$3:$C$2150,$A768)&gt;0,1,0)</f>
        <v>1</v>
      </c>
      <c r="F768">
        <f>IF(COUNTIFS('United Data'!$A$3:$A$2150,F$1,'United Data'!$C$3:$C$2150,$A768)&gt;0,1,0)</f>
        <v>1</v>
      </c>
      <c r="G768">
        <f>IF(COUNTIFS('United Data'!$A$3:$A$2150,G$1,'United Data'!$C$3:$C$2150,$A768)&gt;0,1,0)</f>
        <v>1</v>
      </c>
      <c r="H768">
        <f>IF(COUNTIFS('United Data'!$A$3:$A$2150,H$1,'United Data'!$C$3:$C$2150,$A768)&gt;0,1,0)</f>
        <v>1</v>
      </c>
      <c r="I768">
        <f>IF(COUNTIFS('United Data'!$A$3:$A$2150,I$1,'United Data'!$C$3:$C$2150,$A768)&gt;0,1,0)</f>
        <v>1</v>
      </c>
      <c r="J768">
        <f>IF(COUNTIFS('United Data'!$A$3:$A$2150,J$1,'United Data'!$C$3:$C$2150,$A768)&gt;0,1,0)</f>
        <v>1</v>
      </c>
      <c r="K768">
        <f>IF(COUNTIFS('United Data'!$A$3:$A$2150,K$1,'United Data'!$C$3:$C$2150,$A768)&gt;0,1,0)</f>
        <v>1</v>
      </c>
      <c r="L768">
        <f>IF(COUNTIFS('United Data'!$A$3:$A$2150,L$1,'United Data'!$C$3:$C$2150,$A768)&gt;0,1,0)</f>
        <v>1</v>
      </c>
      <c r="M768">
        <f>IF(COUNTIFS('United Data'!$A$3:$A$2150,M$1,'United Data'!$C$3:$C$2150,$A768)&gt;0,1,0)</f>
        <v>1</v>
      </c>
      <c r="N768">
        <f>IF(COUNTIFS('United Data'!$A$3:$A$2150,N$1,'United Data'!$C$3:$C$2150,$A768)&gt;0,1,0)</f>
        <v>1</v>
      </c>
      <c r="O768">
        <f>IF(COUNTIFS('United Data'!$A$3:$A$2150,O$1,'United Data'!$C$3:$C$2150,$A768)&gt;0,1,0)</f>
        <v>0</v>
      </c>
      <c r="P768">
        <f>IF(COUNTIFS('United Data'!$A$3:$A$2150,P$1,'United Data'!$C$3:$C$2150,$A768)&gt;0,1,0)</f>
        <v>0</v>
      </c>
      <c r="Q768">
        <f>IF(COUNTIFS('United Data'!$A$3:$A$2150,Q$1,'United Data'!$C$3:$C$2150,$A768)&gt;0,1,0)</f>
        <v>0</v>
      </c>
      <c r="R768">
        <f>IF(COUNTIFS('United Data'!$A$3:$A$2150,R$1,'United Data'!$C$3:$C$2150,$A768)&gt;0,1,0)</f>
        <v>0</v>
      </c>
      <c r="S768">
        <f t="shared" si="22"/>
        <v>10</v>
      </c>
      <c r="T768">
        <f t="shared" si="23"/>
        <v>1</v>
      </c>
    </row>
    <row r="769" spans="1:20" x14ac:dyDescent="0.2">
      <c r="A769" t="s">
        <v>813</v>
      </c>
      <c r="B769">
        <f>IF(COUNTIFS('United Data'!$A$3:$A$2150,B$1,'United Data'!$C$3:$C$2150,$A769)&gt;0,1,0)</f>
        <v>0</v>
      </c>
      <c r="C769">
        <f>IF(COUNTIFS('United Data'!$A$3:$A$2150,C$1,'United Data'!$C$3:$C$2150,$A769)&gt;0,1,0)</f>
        <v>0</v>
      </c>
      <c r="D769">
        <f>IF(COUNTIFS('United Data'!$A$3:$A$2150,D$1,'United Data'!$C$3:$C$2150,$A769)&gt;0,1,0)</f>
        <v>0</v>
      </c>
      <c r="E769">
        <f>IF(COUNTIFS('United Data'!$A$3:$A$2150,E$1,'United Data'!$C$3:$C$2150,$A769)&gt;0,1,0)</f>
        <v>1</v>
      </c>
      <c r="F769">
        <f>IF(COUNTIFS('United Data'!$A$3:$A$2150,F$1,'United Data'!$C$3:$C$2150,$A769)&gt;0,1,0)</f>
        <v>1</v>
      </c>
      <c r="G769">
        <f>IF(COUNTIFS('United Data'!$A$3:$A$2150,G$1,'United Data'!$C$3:$C$2150,$A769)&gt;0,1,0)</f>
        <v>1</v>
      </c>
      <c r="H769">
        <f>IF(COUNTIFS('United Data'!$A$3:$A$2150,H$1,'United Data'!$C$3:$C$2150,$A769)&gt;0,1,0)</f>
        <v>1</v>
      </c>
      <c r="I769">
        <f>IF(COUNTIFS('United Data'!$A$3:$A$2150,I$1,'United Data'!$C$3:$C$2150,$A769)&gt;0,1,0)</f>
        <v>0</v>
      </c>
      <c r="J769">
        <f>IF(COUNTIFS('United Data'!$A$3:$A$2150,J$1,'United Data'!$C$3:$C$2150,$A769)&gt;0,1,0)</f>
        <v>1</v>
      </c>
      <c r="K769">
        <f>IF(COUNTIFS('United Data'!$A$3:$A$2150,K$1,'United Data'!$C$3:$C$2150,$A769)&gt;0,1,0)</f>
        <v>0</v>
      </c>
      <c r="L769">
        <f>IF(COUNTIFS('United Data'!$A$3:$A$2150,L$1,'United Data'!$C$3:$C$2150,$A769)&gt;0,1,0)</f>
        <v>0</v>
      </c>
      <c r="M769">
        <f>IF(COUNTIFS('United Data'!$A$3:$A$2150,M$1,'United Data'!$C$3:$C$2150,$A769)&gt;0,1,0)</f>
        <v>1</v>
      </c>
      <c r="N769">
        <f>IF(COUNTIFS('United Data'!$A$3:$A$2150,N$1,'United Data'!$C$3:$C$2150,$A769)&gt;0,1,0)</f>
        <v>0</v>
      </c>
      <c r="O769">
        <f>IF(COUNTIFS('United Data'!$A$3:$A$2150,O$1,'United Data'!$C$3:$C$2150,$A769)&gt;0,1,0)</f>
        <v>0</v>
      </c>
      <c r="P769">
        <f>IF(COUNTIFS('United Data'!$A$3:$A$2150,P$1,'United Data'!$C$3:$C$2150,$A769)&gt;0,1,0)</f>
        <v>0</v>
      </c>
      <c r="Q769">
        <f>IF(COUNTIFS('United Data'!$A$3:$A$2150,Q$1,'United Data'!$C$3:$C$2150,$A769)&gt;0,1,0)</f>
        <v>0</v>
      </c>
      <c r="R769">
        <f>IF(COUNTIFS('United Data'!$A$3:$A$2150,R$1,'United Data'!$C$3:$C$2150,$A769)&gt;0,1,0)</f>
        <v>0</v>
      </c>
      <c r="S769">
        <f t="shared" si="22"/>
        <v>6</v>
      </c>
      <c r="T769">
        <f t="shared" si="23"/>
        <v>3</v>
      </c>
    </row>
    <row r="770" spans="1:20" x14ac:dyDescent="0.2">
      <c r="A770" t="s">
        <v>814</v>
      </c>
      <c r="B770">
        <f>IF(COUNTIFS('United Data'!$A$3:$A$2150,B$1,'United Data'!$C$3:$C$2150,$A770)&gt;0,1,0)</f>
        <v>0</v>
      </c>
      <c r="C770">
        <f>IF(COUNTIFS('United Data'!$A$3:$A$2150,C$1,'United Data'!$C$3:$C$2150,$A770)&gt;0,1,0)</f>
        <v>0</v>
      </c>
      <c r="D770">
        <f>IF(COUNTIFS('United Data'!$A$3:$A$2150,D$1,'United Data'!$C$3:$C$2150,$A770)&gt;0,1,0)</f>
        <v>0</v>
      </c>
      <c r="E770">
        <f>IF(COUNTIFS('United Data'!$A$3:$A$2150,E$1,'United Data'!$C$3:$C$2150,$A770)&gt;0,1,0)</f>
        <v>1</v>
      </c>
      <c r="F770">
        <f>IF(COUNTIFS('United Data'!$A$3:$A$2150,F$1,'United Data'!$C$3:$C$2150,$A770)&gt;0,1,0)</f>
        <v>1</v>
      </c>
      <c r="G770">
        <f>IF(COUNTIFS('United Data'!$A$3:$A$2150,G$1,'United Data'!$C$3:$C$2150,$A770)&gt;0,1,0)</f>
        <v>0</v>
      </c>
      <c r="H770">
        <f>IF(COUNTIFS('United Data'!$A$3:$A$2150,H$1,'United Data'!$C$3:$C$2150,$A770)&gt;0,1,0)</f>
        <v>0</v>
      </c>
      <c r="I770">
        <f>IF(COUNTIFS('United Data'!$A$3:$A$2150,I$1,'United Data'!$C$3:$C$2150,$A770)&gt;0,1,0)</f>
        <v>0</v>
      </c>
      <c r="J770">
        <f>IF(COUNTIFS('United Data'!$A$3:$A$2150,J$1,'United Data'!$C$3:$C$2150,$A770)&gt;0,1,0)</f>
        <v>0</v>
      </c>
      <c r="K770">
        <f>IF(COUNTIFS('United Data'!$A$3:$A$2150,K$1,'United Data'!$C$3:$C$2150,$A770)&gt;0,1,0)</f>
        <v>0</v>
      </c>
      <c r="L770">
        <f>IF(COUNTIFS('United Data'!$A$3:$A$2150,L$1,'United Data'!$C$3:$C$2150,$A770)&gt;0,1,0)</f>
        <v>0</v>
      </c>
      <c r="M770">
        <f>IF(COUNTIFS('United Data'!$A$3:$A$2150,M$1,'United Data'!$C$3:$C$2150,$A770)&gt;0,1,0)</f>
        <v>0</v>
      </c>
      <c r="N770">
        <f>IF(COUNTIFS('United Data'!$A$3:$A$2150,N$1,'United Data'!$C$3:$C$2150,$A770)&gt;0,1,0)</f>
        <v>0</v>
      </c>
      <c r="O770">
        <f>IF(COUNTIFS('United Data'!$A$3:$A$2150,O$1,'United Data'!$C$3:$C$2150,$A770)&gt;0,1,0)</f>
        <v>0</v>
      </c>
      <c r="P770">
        <f>IF(COUNTIFS('United Data'!$A$3:$A$2150,P$1,'United Data'!$C$3:$C$2150,$A770)&gt;0,1,0)</f>
        <v>0</v>
      </c>
      <c r="Q770">
        <f>IF(COUNTIFS('United Data'!$A$3:$A$2150,Q$1,'United Data'!$C$3:$C$2150,$A770)&gt;0,1,0)</f>
        <v>0</v>
      </c>
      <c r="R770">
        <f>IF(COUNTIFS('United Data'!$A$3:$A$2150,R$1,'United Data'!$C$3:$C$2150,$A770)&gt;0,1,0)</f>
        <v>0</v>
      </c>
      <c r="S770">
        <f t="shared" ref="S770:S833" si="24">SUM(B770:R770)</f>
        <v>2</v>
      </c>
      <c r="T770">
        <f t="shared" ref="T770:T833" si="25">B770+SUMPRODUCT(--(C770:R770&gt;B770:Q770))</f>
        <v>1</v>
      </c>
    </row>
    <row r="771" spans="1:20" x14ac:dyDescent="0.2">
      <c r="A771" t="s">
        <v>815</v>
      </c>
      <c r="B771">
        <f>IF(COUNTIFS('United Data'!$A$3:$A$2150,B$1,'United Data'!$C$3:$C$2150,$A771)&gt;0,1,0)</f>
        <v>0</v>
      </c>
      <c r="C771">
        <f>IF(COUNTIFS('United Data'!$A$3:$A$2150,C$1,'United Data'!$C$3:$C$2150,$A771)&gt;0,1,0)</f>
        <v>0</v>
      </c>
      <c r="D771">
        <f>IF(COUNTIFS('United Data'!$A$3:$A$2150,D$1,'United Data'!$C$3:$C$2150,$A771)&gt;0,1,0)</f>
        <v>0</v>
      </c>
      <c r="E771">
        <f>IF(COUNTIFS('United Data'!$A$3:$A$2150,E$1,'United Data'!$C$3:$C$2150,$A771)&gt;0,1,0)</f>
        <v>1</v>
      </c>
      <c r="F771">
        <f>IF(COUNTIFS('United Data'!$A$3:$A$2150,F$1,'United Data'!$C$3:$C$2150,$A771)&gt;0,1,0)</f>
        <v>0</v>
      </c>
      <c r="G771">
        <f>IF(COUNTIFS('United Data'!$A$3:$A$2150,G$1,'United Data'!$C$3:$C$2150,$A771)&gt;0,1,0)</f>
        <v>0</v>
      </c>
      <c r="H771">
        <f>IF(COUNTIFS('United Data'!$A$3:$A$2150,H$1,'United Data'!$C$3:$C$2150,$A771)&gt;0,1,0)</f>
        <v>0</v>
      </c>
      <c r="I771">
        <f>IF(COUNTIFS('United Data'!$A$3:$A$2150,I$1,'United Data'!$C$3:$C$2150,$A771)&gt;0,1,0)</f>
        <v>0</v>
      </c>
      <c r="J771">
        <f>IF(COUNTIFS('United Data'!$A$3:$A$2150,J$1,'United Data'!$C$3:$C$2150,$A771)&gt;0,1,0)</f>
        <v>0</v>
      </c>
      <c r="K771">
        <f>IF(COUNTIFS('United Data'!$A$3:$A$2150,K$1,'United Data'!$C$3:$C$2150,$A771)&gt;0,1,0)</f>
        <v>0</v>
      </c>
      <c r="L771">
        <f>IF(COUNTIFS('United Data'!$A$3:$A$2150,L$1,'United Data'!$C$3:$C$2150,$A771)&gt;0,1,0)</f>
        <v>0</v>
      </c>
      <c r="M771">
        <f>IF(COUNTIFS('United Data'!$A$3:$A$2150,M$1,'United Data'!$C$3:$C$2150,$A771)&gt;0,1,0)</f>
        <v>0</v>
      </c>
      <c r="N771">
        <f>IF(COUNTIFS('United Data'!$A$3:$A$2150,N$1,'United Data'!$C$3:$C$2150,$A771)&gt;0,1,0)</f>
        <v>0</v>
      </c>
      <c r="O771">
        <f>IF(COUNTIFS('United Data'!$A$3:$A$2150,O$1,'United Data'!$C$3:$C$2150,$A771)&gt;0,1,0)</f>
        <v>0</v>
      </c>
      <c r="P771">
        <f>IF(COUNTIFS('United Data'!$A$3:$A$2150,P$1,'United Data'!$C$3:$C$2150,$A771)&gt;0,1,0)</f>
        <v>0</v>
      </c>
      <c r="Q771">
        <f>IF(COUNTIFS('United Data'!$A$3:$A$2150,Q$1,'United Data'!$C$3:$C$2150,$A771)&gt;0,1,0)</f>
        <v>0</v>
      </c>
      <c r="R771">
        <f>IF(COUNTIFS('United Data'!$A$3:$A$2150,R$1,'United Data'!$C$3:$C$2150,$A771)&gt;0,1,0)</f>
        <v>0</v>
      </c>
      <c r="S771">
        <f t="shared" si="24"/>
        <v>1</v>
      </c>
      <c r="T771">
        <f t="shared" si="25"/>
        <v>1</v>
      </c>
    </row>
    <row r="772" spans="1:20" x14ac:dyDescent="0.2">
      <c r="A772" t="s">
        <v>816</v>
      </c>
      <c r="B772">
        <f>IF(COUNTIFS('United Data'!$A$3:$A$2150,B$1,'United Data'!$C$3:$C$2150,$A772)&gt;0,1,0)</f>
        <v>0</v>
      </c>
      <c r="C772">
        <f>IF(COUNTIFS('United Data'!$A$3:$A$2150,C$1,'United Data'!$C$3:$C$2150,$A772)&gt;0,1,0)</f>
        <v>0</v>
      </c>
      <c r="D772">
        <f>IF(COUNTIFS('United Data'!$A$3:$A$2150,D$1,'United Data'!$C$3:$C$2150,$A772)&gt;0,1,0)</f>
        <v>0</v>
      </c>
      <c r="E772">
        <f>IF(COUNTIFS('United Data'!$A$3:$A$2150,E$1,'United Data'!$C$3:$C$2150,$A772)&gt;0,1,0)</f>
        <v>1</v>
      </c>
      <c r="F772">
        <f>IF(COUNTIFS('United Data'!$A$3:$A$2150,F$1,'United Data'!$C$3:$C$2150,$A772)&gt;0,1,0)</f>
        <v>0</v>
      </c>
      <c r="G772">
        <f>IF(COUNTIFS('United Data'!$A$3:$A$2150,G$1,'United Data'!$C$3:$C$2150,$A772)&gt;0,1,0)</f>
        <v>1</v>
      </c>
      <c r="H772">
        <f>IF(COUNTIFS('United Data'!$A$3:$A$2150,H$1,'United Data'!$C$3:$C$2150,$A772)&gt;0,1,0)</f>
        <v>0</v>
      </c>
      <c r="I772">
        <f>IF(COUNTIFS('United Data'!$A$3:$A$2150,I$1,'United Data'!$C$3:$C$2150,$A772)&gt;0,1,0)</f>
        <v>1</v>
      </c>
      <c r="J772">
        <f>IF(COUNTIFS('United Data'!$A$3:$A$2150,J$1,'United Data'!$C$3:$C$2150,$A772)&gt;0,1,0)</f>
        <v>1</v>
      </c>
      <c r="K772">
        <f>IF(COUNTIFS('United Data'!$A$3:$A$2150,K$1,'United Data'!$C$3:$C$2150,$A772)&gt;0,1,0)</f>
        <v>1</v>
      </c>
      <c r="L772">
        <f>IF(COUNTIFS('United Data'!$A$3:$A$2150,L$1,'United Data'!$C$3:$C$2150,$A772)&gt;0,1,0)</f>
        <v>1</v>
      </c>
      <c r="M772">
        <f>IF(COUNTIFS('United Data'!$A$3:$A$2150,M$1,'United Data'!$C$3:$C$2150,$A772)&gt;0,1,0)</f>
        <v>1</v>
      </c>
      <c r="N772">
        <f>IF(COUNTIFS('United Data'!$A$3:$A$2150,N$1,'United Data'!$C$3:$C$2150,$A772)&gt;0,1,0)</f>
        <v>0</v>
      </c>
      <c r="O772">
        <f>IF(COUNTIFS('United Data'!$A$3:$A$2150,O$1,'United Data'!$C$3:$C$2150,$A772)&gt;0,1,0)</f>
        <v>0</v>
      </c>
      <c r="P772">
        <f>IF(COUNTIFS('United Data'!$A$3:$A$2150,P$1,'United Data'!$C$3:$C$2150,$A772)&gt;0,1,0)</f>
        <v>0</v>
      </c>
      <c r="Q772">
        <f>IF(COUNTIFS('United Data'!$A$3:$A$2150,Q$1,'United Data'!$C$3:$C$2150,$A772)&gt;0,1,0)</f>
        <v>0</v>
      </c>
      <c r="R772">
        <f>IF(COUNTIFS('United Data'!$A$3:$A$2150,R$1,'United Data'!$C$3:$C$2150,$A772)&gt;0,1,0)</f>
        <v>0</v>
      </c>
      <c r="S772">
        <f t="shared" si="24"/>
        <v>7</v>
      </c>
      <c r="T772">
        <f t="shared" si="25"/>
        <v>3</v>
      </c>
    </row>
    <row r="773" spans="1:20" x14ac:dyDescent="0.2">
      <c r="A773" t="s">
        <v>817</v>
      </c>
      <c r="B773">
        <f>IF(COUNTIFS('United Data'!$A$3:$A$2150,B$1,'United Data'!$C$3:$C$2150,$A773)&gt;0,1,0)</f>
        <v>0</v>
      </c>
      <c r="C773">
        <f>IF(COUNTIFS('United Data'!$A$3:$A$2150,C$1,'United Data'!$C$3:$C$2150,$A773)&gt;0,1,0)</f>
        <v>0</v>
      </c>
      <c r="D773">
        <f>IF(COUNTIFS('United Data'!$A$3:$A$2150,D$1,'United Data'!$C$3:$C$2150,$A773)&gt;0,1,0)</f>
        <v>0</v>
      </c>
      <c r="E773">
        <f>IF(COUNTIFS('United Data'!$A$3:$A$2150,E$1,'United Data'!$C$3:$C$2150,$A773)&gt;0,1,0)</f>
        <v>1</v>
      </c>
      <c r="F773">
        <f>IF(COUNTIFS('United Data'!$A$3:$A$2150,F$1,'United Data'!$C$3:$C$2150,$A773)&gt;0,1,0)</f>
        <v>1</v>
      </c>
      <c r="G773">
        <f>IF(COUNTIFS('United Data'!$A$3:$A$2150,G$1,'United Data'!$C$3:$C$2150,$A773)&gt;0,1,0)</f>
        <v>0</v>
      </c>
      <c r="H773">
        <f>IF(COUNTIFS('United Data'!$A$3:$A$2150,H$1,'United Data'!$C$3:$C$2150,$A773)&gt;0,1,0)</f>
        <v>0</v>
      </c>
      <c r="I773">
        <f>IF(COUNTIFS('United Data'!$A$3:$A$2150,I$1,'United Data'!$C$3:$C$2150,$A773)&gt;0,1,0)</f>
        <v>0</v>
      </c>
      <c r="J773">
        <f>IF(COUNTIFS('United Data'!$A$3:$A$2150,J$1,'United Data'!$C$3:$C$2150,$A773)&gt;0,1,0)</f>
        <v>0</v>
      </c>
      <c r="K773">
        <f>IF(COUNTIFS('United Data'!$A$3:$A$2150,K$1,'United Data'!$C$3:$C$2150,$A773)&gt;0,1,0)</f>
        <v>0</v>
      </c>
      <c r="L773">
        <f>IF(COUNTIFS('United Data'!$A$3:$A$2150,L$1,'United Data'!$C$3:$C$2150,$A773)&gt;0,1,0)</f>
        <v>0</v>
      </c>
      <c r="M773">
        <f>IF(COUNTIFS('United Data'!$A$3:$A$2150,M$1,'United Data'!$C$3:$C$2150,$A773)&gt;0,1,0)</f>
        <v>0</v>
      </c>
      <c r="N773">
        <f>IF(COUNTIFS('United Data'!$A$3:$A$2150,N$1,'United Data'!$C$3:$C$2150,$A773)&gt;0,1,0)</f>
        <v>0</v>
      </c>
      <c r="O773">
        <f>IF(COUNTIFS('United Data'!$A$3:$A$2150,O$1,'United Data'!$C$3:$C$2150,$A773)&gt;0,1,0)</f>
        <v>0</v>
      </c>
      <c r="P773">
        <f>IF(COUNTIFS('United Data'!$A$3:$A$2150,P$1,'United Data'!$C$3:$C$2150,$A773)&gt;0,1,0)</f>
        <v>0</v>
      </c>
      <c r="Q773">
        <f>IF(COUNTIFS('United Data'!$A$3:$A$2150,Q$1,'United Data'!$C$3:$C$2150,$A773)&gt;0,1,0)</f>
        <v>0</v>
      </c>
      <c r="R773">
        <f>IF(COUNTIFS('United Data'!$A$3:$A$2150,R$1,'United Data'!$C$3:$C$2150,$A773)&gt;0,1,0)</f>
        <v>0</v>
      </c>
      <c r="S773">
        <f t="shared" si="24"/>
        <v>2</v>
      </c>
      <c r="T773">
        <f t="shared" si="25"/>
        <v>1</v>
      </c>
    </row>
    <row r="774" spans="1:20" x14ac:dyDescent="0.2">
      <c r="A774" t="s">
        <v>818</v>
      </c>
      <c r="B774">
        <f>IF(COUNTIFS('United Data'!$A$3:$A$2150,B$1,'United Data'!$C$3:$C$2150,$A774)&gt;0,1,0)</f>
        <v>0</v>
      </c>
      <c r="C774">
        <f>IF(COUNTIFS('United Data'!$A$3:$A$2150,C$1,'United Data'!$C$3:$C$2150,$A774)&gt;0,1,0)</f>
        <v>0</v>
      </c>
      <c r="D774">
        <f>IF(COUNTIFS('United Data'!$A$3:$A$2150,D$1,'United Data'!$C$3:$C$2150,$A774)&gt;0,1,0)</f>
        <v>0</v>
      </c>
      <c r="E774">
        <f>IF(COUNTIFS('United Data'!$A$3:$A$2150,E$1,'United Data'!$C$3:$C$2150,$A774)&gt;0,1,0)</f>
        <v>1</v>
      </c>
      <c r="F774">
        <f>IF(COUNTIFS('United Data'!$A$3:$A$2150,F$1,'United Data'!$C$3:$C$2150,$A774)&gt;0,1,0)</f>
        <v>1</v>
      </c>
      <c r="G774">
        <f>IF(COUNTIFS('United Data'!$A$3:$A$2150,G$1,'United Data'!$C$3:$C$2150,$A774)&gt;0,1,0)</f>
        <v>1</v>
      </c>
      <c r="H774">
        <f>IF(COUNTIFS('United Data'!$A$3:$A$2150,H$1,'United Data'!$C$3:$C$2150,$A774)&gt;0,1,0)</f>
        <v>1</v>
      </c>
      <c r="I774">
        <f>IF(COUNTIFS('United Data'!$A$3:$A$2150,I$1,'United Data'!$C$3:$C$2150,$A774)&gt;0,1,0)</f>
        <v>0</v>
      </c>
      <c r="J774">
        <f>IF(COUNTIFS('United Data'!$A$3:$A$2150,J$1,'United Data'!$C$3:$C$2150,$A774)&gt;0,1,0)</f>
        <v>0</v>
      </c>
      <c r="K774">
        <f>IF(COUNTIFS('United Data'!$A$3:$A$2150,K$1,'United Data'!$C$3:$C$2150,$A774)&gt;0,1,0)</f>
        <v>1</v>
      </c>
      <c r="L774">
        <f>IF(COUNTIFS('United Data'!$A$3:$A$2150,L$1,'United Data'!$C$3:$C$2150,$A774)&gt;0,1,0)</f>
        <v>0</v>
      </c>
      <c r="M774">
        <f>IF(COUNTIFS('United Data'!$A$3:$A$2150,M$1,'United Data'!$C$3:$C$2150,$A774)&gt;0,1,0)</f>
        <v>0</v>
      </c>
      <c r="N774">
        <f>IF(COUNTIFS('United Data'!$A$3:$A$2150,N$1,'United Data'!$C$3:$C$2150,$A774)&gt;0,1,0)</f>
        <v>0</v>
      </c>
      <c r="O774">
        <f>IF(COUNTIFS('United Data'!$A$3:$A$2150,O$1,'United Data'!$C$3:$C$2150,$A774)&gt;0,1,0)</f>
        <v>0</v>
      </c>
      <c r="P774">
        <f>IF(COUNTIFS('United Data'!$A$3:$A$2150,P$1,'United Data'!$C$3:$C$2150,$A774)&gt;0,1,0)</f>
        <v>0</v>
      </c>
      <c r="Q774">
        <f>IF(COUNTIFS('United Data'!$A$3:$A$2150,Q$1,'United Data'!$C$3:$C$2150,$A774)&gt;0,1,0)</f>
        <v>0</v>
      </c>
      <c r="R774">
        <f>IF(COUNTIFS('United Data'!$A$3:$A$2150,R$1,'United Data'!$C$3:$C$2150,$A774)&gt;0,1,0)</f>
        <v>0</v>
      </c>
      <c r="S774">
        <f t="shared" si="24"/>
        <v>5</v>
      </c>
      <c r="T774">
        <f t="shared" si="25"/>
        <v>2</v>
      </c>
    </row>
    <row r="775" spans="1:20" x14ac:dyDescent="0.2">
      <c r="A775" t="s">
        <v>819</v>
      </c>
      <c r="B775">
        <f>IF(COUNTIFS('United Data'!$A$3:$A$2150,B$1,'United Data'!$C$3:$C$2150,$A775)&gt;0,1,0)</f>
        <v>0</v>
      </c>
      <c r="C775">
        <f>IF(COUNTIFS('United Data'!$A$3:$A$2150,C$1,'United Data'!$C$3:$C$2150,$A775)&gt;0,1,0)</f>
        <v>0</v>
      </c>
      <c r="D775">
        <f>IF(COUNTIFS('United Data'!$A$3:$A$2150,D$1,'United Data'!$C$3:$C$2150,$A775)&gt;0,1,0)</f>
        <v>0</v>
      </c>
      <c r="E775">
        <f>IF(COUNTIFS('United Data'!$A$3:$A$2150,E$1,'United Data'!$C$3:$C$2150,$A775)&gt;0,1,0)</f>
        <v>1</v>
      </c>
      <c r="F775">
        <f>IF(COUNTIFS('United Data'!$A$3:$A$2150,F$1,'United Data'!$C$3:$C$2150,$A775)&gt;0,1,0)</f>
        <v>0</v>
      </c>
      <c r="G775">
        <f>IF(COUNTIFS('United Data'!$A$3:$A$2150,G$1,'United Data'!$C$3:$C$2150,$A775)&gt;0,1,0)</f>
        <v>0</v>
      </c>
      <c r="H775">
        <f>IF(COUNTIFS('United Data'!$A$3:$A$2150,H$1,'United Data'!$C$3:$C$2150,$A775)&gt;0,1,0)</f>
        <v>1</v>
      </c>
      <c r="I775">
        <f>IF(COUNTIFS('United Data'!$A$3:$A$2150,I$1,'United Data'!$C$3:$C$2150,$A775)&gt;0,1,0)</f>
        <v>0</v>
      </c>
      <c r="J775">
        <f>IF(COUNTIFS('United Data'!$A$3:$A$2150,J$1,'United Data'!$C$3:$C$2150,$A775)&gt;0,1,0)</f>
        <v>1</v>
      </c>
      <c r="K775">
        <f>IF(COUNTIFS('United Data'!$A$3:$A$2150,K$1,'United Data'!$C$3:$C$2150,$A775)&gt;0,1,0)</f>
        <v>1</v>
      </c>
      <c r="L775">
        <f>IF(COUNTIFS('United Data'!$A$3:$A$2150,L$1,'United Data'!$C$3:$C$2150,$A775)&gt;0,1,0)</f>
        <v>1</v>
      </c>
      <c r="M775">
        <f>IF(COUNTIFS('United Data'!$A$3:$A$2150,M$1,'United Data'!$C$3:$C$2150,$A775)&gt;0,1,0)</f>
        <v>1</v>
      </c>
      <c r="N775">
        <f>IF(COUNTIFS('United Data'!$A$3:$A$2150,N$1,'United Data'!$C$3:$C$2150,$A775)&gt;0,1,0)</f>
        <v>0</v>
      </c>
      <c r="O775">
        <f>IF(COUNTIFS('United Data'!$A$3:$A$2150,O$1,'United Data'!$C$3:$C$2150,$A775)&gt;0,1,0)</f>
        <v>0</v>
      </c>
      <c r="P775">
        <f>IF(COUNTIFS('United Data'!$A$3:$A$2150,P$1,'United Data'!$C$3:$C$2150,$A775)&gt;0,1,0)</f>
        <v>0</v>
      </c>
      <c r="Q775">
        <f>IF(COUNTIFS('United Data'!$A$3:$A$2150,Q$1,'United Data'!$C$3:$C$2150,$A775)&gt;0,1,0)</f>
        <v>0</v>
      </c>
      <c r="R775">
        <f>IF(COUNTIFS('United Data'!$A$3:$A$2150,R$1,'United Data'!$C$3:$C$2150,$A775)&gt;0,1,0)</f>
        <v>0</v>
      </c>
      <c r="S775">
        <f t="shared" si="24"/>
        <v>6</v>
      </c>
      <c r="T775">
        <f t="shared" si="25"/>
        <v>3</v>
      </c>
    </row>
    <row r="776" spans="1:20" x14ac:dyDescent="0.2">
      <c r="A776" t="s">
        <v>820</v>
      </c>
      <c r="B776">
        <f>IF(COUNTIFS('United Data'!$A$3:$A$2150,B$1,'United Data'!$C$3:$C$2150,$A776)&gt;0,1,0)</f>
        <v>0</v>
      </c>
      <c r="C776">
        <f>IF(COUNTIFS('United Data'!$A$3:$A$2150,C$1,'United Data'!$C$3:$C$2150,$A776)&gt;0,1,0)</f>
        <v>0</v>
      </c>
      <c r="D776">
        <f>IF(COUNTIFS('United Data'!$A$3:$A$2150,D$1,'United Data'!$C$3:$C$2150,$A776)&gt;0,1,0)</f>
        <v>0</v>
      </c>
      <c r="E776">
        <f>IF(COUNTIFS('United Data'!$A$3:$A$2150,E$1,'United Data'!$C$3:$C$2150,$A776)&gt;0,1,0)</f>
        <v>1</v>
      </c>
      <c r="F776">
        <f>IF(COUNTIFS('United Data'!$A$3:$A$2150,F$1,'United Data'!$C$3:$C$2150,$A776)&gt;0,1,0)</f>
        <v>0</v>
      </c>
      <c r="G776">
        <f>IF(COUNTIFS('United Data'!$A$3:$A$2150,G$1,'United Data'!$C$3:$C$2150,$A776)&gt;0,1,0)</f>
        <v>1</v>
      </c>
      <c r="H776">
        <f>IF(COUNTIFS('United Data'!$A$3:$A$2150,H$1,'United Data'!$C$3:$C$2150,$A776)&gt;0,1,0)</f>
        <v>1</v>
      </c>
      <c r="I776">
        <f>IF(COUNTIFS('United Data'!$A$3:$A$2150,I$1,'United Data'!$C$3:$C$2150,$A776)&gt;0,1,0)</f>
        <v>1</v>
      </c>
      <c r="J776">
        <f>IF(COUNTIFS('United Data'!$A$3:$A$2150,J$1,'United Data'!$C$3:$C$2150,$A776)&gt;0,1,0)</f>
        <v>1</v>
      </c>
      <c r="K776">
        <f>IF(COUNTIFS('United Data'!$A$3:$A$2150,K$1,'United Data'!$C$3:$C$2150,$A776)&gt;0,1,0)</f>
        <v>1</v>
      </c>
      <c r="L776">
        <f>IF(COUNTIFS('United Data'!$A$3:$A$2150,L$1,'United Data'!$C$3:$C$2150,$A776)&gt;0,1,0)</f>
        <v>1</v>
      </c>
      <c r="M776">
        <f>IF(COUNTIFS('United Data'!$A$3:$A$2150,M$1,'United Data'!$C$3:$C$2150,$A776)&gt;0,1,0)</f>
        <v>1</v>
      </c>
      <c r="N776">
        <f>IF(COUNTIFS('United Data'!$A$3:$A$2150,N$1,'United Data'!$C$3:$C$2150,$A776)&gt;0,1,0)</f>
        <v>1</v>
      </c>
      <c r="O776">
        <f>IF(COUNTIFS('United Data'!$A$3:$A$2150,O$1,'United Data'!$C$3:$C$2150,$A776)&gt;0,1,0)</f>
        <v>1</v>
      </c>
      <c r="P776">
        <f>IF(COUNTIFS('United Data'!$A$3:$A$2150,P$1,'United Data'!$C$3:$C$2150,$A776)&gt;0,1,0)</f>
        <v>0</v>
      </c>
      <c r="Q776">
        <f>IF(COUNTIFS('United Data'!$A$3:$A$2150,Q$1,'United Data'!$C$3:$C$2150,$A776)&gt;0,1,0)</f>
        <v>0</v>
      </c>
      <c r="R776">
        <f>IF(COUNTIFS('United Data'!$A$3:$A$2150,R$1,'United Data'!$C$3:$C$2150,$A776)&gt;0,1,0)</f>
        <v>0</v>
      </c>
      <c r="S776">
        <f t="shared" si="24"/>
        <v>10</v>
      </c>
      <c r="T776">
        <f t="shared" si="25"/>
        <v>2</v>
      </c>
    </row>
    <row r="777" spans="1:20" x14ac:dyDescent="0.2">
      <c r="A777" t="s">
        <v>821</v>
      </c>
      <c r="B777">
        <f>IF(COUNTIFS('United Data'!$A$3:$A$2150,B$1,'United Data'!$C$3:$C$2150,$A777)&gt;0,1,0)</f>
        <v>0</v>
      </c>
      <c r="C777">
        <f>IF(COUNTIFS('United Data'!$A$3:$A$2150,C$1,'United Data'!$C$3:$C$2150,$A777)&gt;0,1,0)</f>
        <v>0</v>
      </c>
      <c r="D777">
        <f>IF(COUNTIFS('United Data'!$A$3:$A$2150,D$1,'United Data'!$C$3:$C$2150,$A777)&gt;0,1,0)</f>
        <v>0</v>
      </c>
      <c r="E777">
        <f>IF(COUNTIFS('United Data'!$A$3:$A$2150,E$1,'United Data'!$C$3:$C$2150,$A777)&gt;0,1,0)</f>
        <v>1</v>
      </c>
      <c r="F777">
        <f>IF(COUNTIFS('United Data'!$A$3:$A$2150,F$1,'United Data'!$C$3:$C$2150,$A777)&gt;0,1,0)</f>
        <v>0</v>
      </c>
      <c r="G777">
        <f>IF(COUNTIFS('United Data'!$A$3:$A$2150,G$1,'United Data'!$C$3:$C$2150,$A777)&gt;0,1,0)</f>
        <v>1</v>
      </c>
      <c r="H777">
        <f>IF(COUNTIFS('United Data'!$A$3:$A$2150,H$1,'United Data'!$C$3:$C$2150,$A777)&gt;0,1,0)</f>
        <v>1</v>
      </c>
      <c r="I777">
        <f>IF(COUNTIFS('United Data'!$A$3:$A$2150,I$1,'United Data'!$C$3:$C$2150,$A777)&gt;0,1,0)</f>
        <v>1</v>
      </c>
      <c r="J777">
        <f>IF(COUNTIFS('United Data'!$A$3:$A$2150,J$1,'United Data'!$C$3:$C$2150,$A777)&gt;0,1,0)</f>
        <v>0</v>
      </c>
      <c r="K777">
        <f>IF(COUNTIFS('United Data'!$A$3:$A$2150,K$1,'United Data'!$C$3:$C$2150,$A777)&gt;0,1,0)</f>
        <v>1</v>
      </c>
      <c r="L777">
        <f>IF(COUNTIFS('United Data'!$A$3:$A$2150,L$1,'United Data'!$C$3:$C$2150,$A777)&gt;0,1,0)</f>
        <v>0</v>
      </c>
      <c r="M777">
        <f>IF(COUNTIFS('United Data'!$A$3:$A$2150,M$1,'United Data'!$C$3:$C$2150,$A777)&gt;0,1,0)</f>
        <v>0</v>
      </c>
      <c r="N777">
        <f>IF(COUNTIFS('United Data'!$A$3:$A$2150,N$1,'United Data'!$C$3:$C$2150,$A777)&gt;0,1,0)</f>
        <v>0</v>
      </c>
      <c r="O777">
        <f>IF(COUNTIFS('United Data'!$A$3:$A$2150,O$1,'United Data'!$C$3:$C$2150,$A777)&gt;0,1,0)</f>
        <v>0</v>
      </c>
      <c r="P777">
        <f>IF(COUNTIFS('United Data'!$A$3:$A$2150,P$1,'United Data'!$C$3:$C$2150,$A777)&gt;0,1,0)</f>
        <v>0</v>
      </c>
      <c r="Q777">
        <f>IF(COUNTIFS('United Data'!$A$3:$A$2150,Q$1,'United Data'!$C$3:$C$2150,$A777)&gt;0,1,0)</f>
        <v>0</v>
      </c>
      <c r="R777">
        <f>IF(COUNTIFS('United Data'!$A$3:$A$2150,R$1,'United Data'!$C$3:$C$2150,$A777)&gt;0,1,0)</f>
        <v>0</v>
      </c>
      <c r="S777">
        <f t="shared" si="24"/>
        <v>5</v>
      </c>
      <c r="T777">
        <f t="shared" si="25"/>
        <v>3</v>
      </c>
    </row>
    <row r="778" spans="1:20" x14ac:dyDescent="0.2">
      <c r="A778" t="s">
        <v>822</v>
      </c>
      <c r="B778">
        <f>IF(COUNTIFS('United Data'!$A$3:$A$2150,B$1,'United Data'!$C$3:$C$2150,$A778)&gt;0,1,0)</f>
        <v>0</v>
      </c>
      <c r="C778">
        <f>IF(COUNTIFS('United Data'!$A$3:$A$2150,C$1,'United Data'!$C$3:$C$2150,$A778)&gt;0,1,0)</f>
        <v>0</v>
      </c>
      <c r="D778">
        <f>IF(COUNTIFS('United Data'!$A$3:$A$2150,D$1,'United Data'!$C$3:$C$2150,$A778)&gt;0,1,0)</f>
        <v>0</v>
      </c>
      <c r="E778">
        <f>IF(COUNTIFS('United Data'!$A$3:$A$2150,E$1,'United Data'!$C$3:$C$2150,$A778)&gt;0,1,0)</f>
        <v>1</v>
      </c>
      <c r="F778">
        <f>IF(COUNTIFS('United Data'!$A$3:$A$2150,F$1,'United Data'!$C$3:$C$2150,$A778)&gt;0,1,0)</f>
        <v>0</v>
      </c>
      <c r="G778">
        <f>IF(COUNTIFS('United Data'!$A$3:$A$2150,G$1,'United Data'!$C$3:$C$2150,$A778)&gt;0,1,0)</f>
        <v>1</v>
      </c>
      <c r="H778">
        <f>IF(COUNTIFS('United Data'!$A$3:$A$2150,H$1,'United Data'!$C$3:$C$2150,$A778)&gt;0,1,0)</f>
        <v>0</v>
      </c>
      <c r="I778">
        <f>IF(COUNTIFS('United Data'!$A$3:$A$2150,I$1,'United Data'!$C$3:$C$2150,$A778)&gt;0,1,0)</f>
        <v>1</v>
      </c>
      <c r="J778">
        <f>IF(COUNTIFS('United Data'!$A$3:$A$2150,J$1,'United Data'!$C$3:$C$2150,$A778)&gt;0,1,0)</f>
        <v>1</v>
      </c>
      <c r="K778">
        <f>IF(COUNTIFS('United Data'!$A$3:$A$2150,K$1,'United Data'!$C$3:$C$2150,$A778)&gt;0,1,0)</f>
        <v>1</v>
      </c>
      <c r="L778">
        <f>IF(COUNTIFS('United Data'!$A$3:$A$2150,L$1,'United Data'!$C$3:$C$2150,$A778)&gt;0,1,0)</f>
        <v>1</v>
      </c>
      <c r="M778">
        <f>IF(COUNTIFS('United Data'!$A$3:$A$2150,M$1,'United Data'!$C$3:$C$2150,$A778)&gt;0,1,0)</f>
        <v>1</v>
      </c>
      <c r="N778">
        <f>IF(COUNTIFS('United Data'!$A$3:$A$2150,N$1,'United Data'!$C$3:$C$2150,$A778)&gt;0,1,0)</f>
        <v>1</v>
      </c>
      <c r="O778">
        <f>IF(COUNTIFS('United Data'!$A$3:$A$2150,O$1,'United Data'!$C$3:$C$2150,$A778)&gt;0,1,0)</f>
        <v>0</v>
      </c>
      <c r="P778">
        <f>IF(COUNTIFS('United Data'!$A$3:$A$2150,P$1,'United Data'!$C$3:$C$2150,$A778)&gt;0,1,0)</f>
        <v>0</v>
      </c>
      <c r="Q778">
        <f>IF(COUNTIFS('United Data'!$A$3:$A$2150,Q$1,'United Data'!$C$3:$C$2150,$A778)&gt;0,1,0)</f>
        <v>0</v>
      </c>
      <c r="R778">
        <f>IF(COUNTIFS('United Data'!$A$3:$A$2150,R$1,'United Data'!$C$3:$C$2150,$A778)&gt;0,1,0)</f>
        <v>0</v>
      </c>
      <c r="S778">
        <f t="shared" si="24"/>
        <v>8</v>
      </c>
      <c r="T778">
        <f t="shared" si="25"/>
        <v>3</v>
      </c>
    </row>
    <row r="779" spans="1:20" x14ac:dyDescent="0.2">
      <c r="A779" t="s">
        <v>823</v>
      </c>
      <c r="B779">
        <f>IF(COUNTIFS('United Data'!$A$3:$A$2150,B$1,'United Data'!$C$3:$C$2150,$A779)&gt;0,1,0)</f>
        <v>0</v>
      </c>
      <c r="C779">
        <f>IF(COUNTIFS('United Data'!$A$3:$A$2150,C$1,'United Data'!$C$3:$C$2150,$A779)&gt;0,1,0)</f>
        <v>0</v>
      </c>
      <c r="D779">
        <f>IF(COUNTIFS('United Data'!$A$3:$A$2150,D$1,'United Data'!$C$3:$C$2150,$A779)&gt;0,1,0)</f>
        <v>0</v>
      </c>
      <c r="E779">
        <f>IF(COUNTIFS('United Data'!$A$3:$A$2150,E$1,'United Data'!$C$3:$C$2150,$A779)&gt;0,1,0)</f>
        <v>1</v>
      </c>
      <c r="F779">
        <f>IF(COUNTIFS('United Data'!$A$3:$A$2150,F$1,'United Data'!$C$3:$C$2150,$A779)&gt;0,1,0)</f>
        <v>0</v>
      </c>
      <c r="G779">
        <f>IF(COUNTIFS('United Data'!$A$3:$A$2150,G$1,'United Data'!$C$3:$C$2150,$A779)&gt;0,1,0)</f>
        <v>0</v>
      </c>
      <c r="H779">
        <f>IF(COUNTIFS('United Data'!$A$3:$A$2150,H$1,'United Data'!$C$3:$C$2150,$A779)&gt;0,1,0)</f>
        <v>0</v>
      </c>
      <c r="I779">
        <f>IF(COUNTIFS('United Data'!$A$3:$A$2150,I$1,'United Data'!$C$3:$C$2150,$A779)&gt;0,1,0)</f>
        <v>0</v>
      </c>
      <c r="J779">
        <f>IF(COUNTIFS('United Data'!$A$3:$A$2150,J$1,'United Data'!$C$3:$C$2150,$A779)&gt;0,1,0)</f>
        <v>0</v>
      </c>
      <c r="K779">
        <f>IF(COUNTIFS('United Data'!$A$3:$A$2150,K$1,'United Data'!$C$3:$C$2150,$A779)&gt;0,1,0)</f>
        <v>0</v>
      </c>
      <c r="L779">
        <f>IF(COUNTIFS('United Data'!$A$3:$A$2150,L$1,'United Data'!$C$3:$C$2150,$A779)&gt;0,1,0)</f>
        <v>0</v>
      </c>
      <c r="M779">
        <f>IF(COUNTIFS('United Data'!$A$3:$A$2150,M$1,'United Data'!$C$3:$C$2150,$A779)&gt;0,1,0)</f>
        <v>0</v>
      </c>
      <c r="N779">
        <f>IF(COUNTIFS('United Data'!$A$3:$A$2150,N$1,'United Data'!$C$3:$C$2150,$A779)&gt;0,1,0)</f>
        <v>0</v>
      </c>
      <c r="O779">
        <f>IF(COUNTIFS('United Data'!$A$3:$A$2150,O$1,'United Data'!$C$3:$C$2150,$A779)&gt;0,1,0)</f>
        <v>0</v>
      </c>
      <c r="P779">
        <f>IF(COUNTIFS('United Data'!$A$3:$A$2150,P$1,'United Data'!$C$3:$C$2150,$A779)&gt;0,1,0)</f>
        <v>0</v>
      </c>
      <c r="Q779">
        <f>IF(COUNTIFS('United Data'!$A$3:$A$2150,Q$1,'United Data'!$C$3:$C$2150,$A779)&gt;0,1,0)</f>
        <v>0</v>
      </c>
      <c r="R779">
        <f>IF(COUNTIFS('United Data'!$A$3:$A$2150,R$1,'United Data'!$C$3:$C$2150,$A779)&gt;0,1,0)</f>
        <v>0</v>
      </c>
      <c r="S779">
        <f t="shared" si="24"/>
        <v>1</v>
      </c>
      <c r="T779">
        <f t="shared" si="25"/>
        <v>1</v>
      </c>
    </row>
    <row r="780" spans="1:20" x14ac:dyDescent="0.2">
      <c r="A780" t="s">
        <v>824</v>
      </c>
      <c r="B780">
        <f>IF(COUNTIFS('United Data'!$A$3:$A$2150,B$1,'United Data'!$C$3:$C$2150,$A780)&gt;0,1,0)</f>
        <v>0</v>
      </c>
      <c r="C780">
        <f>IF(COUNTIFS('United Data'!$A$3:$A$2150,C$1,'United Data'!$C$3:$C$2150,$A780)&gt;0,1,0)</f>
        <v>0</v>
      </c>
      <c r="D780">
        <f>IF(COUNTIFS('United Data'!$A$3:$A$2150,D$1,'United Data'!$C$3:$C$2150,$A780)&gt;0,1,0)</f>
        <v>0</v>
      </c>
      <c r="E780">
        <f>IF(COUNTIFS('United Data'!$A$3:$A$2150,E$1,'United Data'!$C$3:$C$2150,$A780)&gt;0,1,0)</f>
        <v>1</v>
      </c>
      <c r="F780">
        <f>IF(COUNTIFS('United Data'!$A$3:$A$2150,F$1,'United Data'!$C$3:$C$2150,$A780)&gt;0,1,0)</f>
        <v>0</v>
      </c>
      <c r="G780">
        <f>IF(COUNTIFS('United Data'!$A$3:$A$2150,G$1,'United Data'!$C$3:$C$2150,$A780)&gt;0,1,0)</f>
        <v>1</v>
      </c>
      <c r="H780">
        <f>IF(COUNTIFS('United Data'!$A$3:$A$2150,H$1,'United Data'!$C$3:$C$2150,$A780)&gt;0,1,0)</f>
        <v>0</v>
      </c>
      <c r="I780">
        <f>IF(COUNTIFS('United Data'!$A$3:$A$2150,I$1,'United Data'!$C$3:$C$2150,$A780)&gt;0,1,0)</f>
        <v>1</v>
      </c>
      <c r="J780">
        <f>IF(COUNTIFS('United Data'!$A$3:$A$2150,J$1,'United Data'!$C$3:$C$2150,$A780)&gt;0,1,0)</f>
        <v>1</v>
      </c>
      <c r="K780">
        <f>IF(COUNTIFS('United Data'!$A$3:$A$2150,K$1,'United Data'!$C$3:$C$2150,$A780)&gt;0,1,0)</f>
        <v>1</v>
      </c>
      <c r="L780">
        <f>IF(COUNTIFS('United Data'!$A$3:$A$2150,L$1,'United Data'!$C$3:$C$2150,$A780)&gt;0,1,0)</f>
        <v>0</v>
      </c>
      <c r="M780">
        <f>IF(COUNTIFS('United Data'!$A$3:$A$2150,M$1,'United Data'!$C$3:$C$2150,$A780)&gt;0,1,0)</f>
        <v>1</v>
      </c>
      <c r="N780">
        <f>IF(COUNTIFS('United Data'!$A$3:$A$2150,N$1,'United Data'!$C$3:$C$2150,$A780)&gt;0,1,0)</f>
        <v>1</v>
      </c>
      <c r="O780">
        <f>IF(COUNTIFS('United Data'!$A$3:$A$2150,O$1,'United Data'!$C$3:$C$2150,$A780)&gt;0,1,0)</f>
        <v>0</v>
      </c>
      <c r="P780">
        <f>IF(COUNTIFS('United Data'!$A$3:$A$2150,P$1,'United Data'!$C$3:$C$2150,$A780)&gt;0,1,0)</f>
        <v>0</v>
      </c>
      <c r="Q780">
        <f>IF(COUNTIFS('United Data'!$A$3:$A$2150,Q$1,'United Data'!$C$3:$C$2150,$A780)&gt;0,1,0)</f>
        <v>0</v>
      </c>
      <c r="R780">
        <f>IF(COUNTIFS('United Data'!$A$3:$A$2150,R$1,'United Data'!$C$3:$C$2150,$A780)&gt;0,1,0)</f>
        <v>0</v>
      </c>
      <c r="S780">
        <f t="shared" si="24"/>
        <v>7</v>
      </c>
      <c r="T780">
        <f t="shared" si="25"/>
        <v>4</v>
      </c>
    </row>
    <row r="781" spans="1:20" x14ac:dyDescent="0.2">
      <c r="A781" t="s">
        <v>825</v>
      </c>
      <c r="B781">
        <f>IF(COUNTIFS('United Data'!$A$3:$A$2150,B$1,'United Data'!$C$3:$C$2150,$A781)&gt;0,1,0)</f>
        <v>0</v>
      </c>
      <c r="C781">
        <f>IF(COUNTIFS('United Data'!$A$3:$A$2150,C$1,'United Data'!$C$3:$C$2150,$A781)&gt;0,1,0)</f>
        <v>0</v>
      </c>
      <c r="D781">
        <f>IF(COUNTIFS('United Data'!$A$3:$A$2150,D$1,'United Data'!$C$3:$C$2150,$A781)&gt;0,1,0)</f>
        <v>0</v>
      </c>
      <c r="E781">
        <f>IF(COUNTIFS('United Data'!$A$3:$A$2150,E$1,'United Data'!$C$3:$C$2150,$A781)&gt;0,1,0)</f>
        <v>1</v>
      </c>
      <c r="F781">
        <f>IF(COUNTIFS('United Data'!$A$3:$A$2150,F$1,'United Data'!$C$3:$C$2150,$A781)&gt;0,1,0)</f>
        <v>0</v>
      </c>
      <c r="G781">
        <f>IF(COUNTIFS('United Data'!$A$3:$A$2150,G$1,'United Data'!$C$3:$C$2150,$A781)&gt;0,1,0)</f>
        <v>1</v>
      </c>
      <c r="H781">
        <f>IF(COUNTIFS('United Data'!$A$3:$A$2150,H$1,'United Data'!$C$3:$C$2150,$A781)&gt;0,1,0)</f>
        <v>1</v>
      </c>
      <c r="I781">
        <f>IF(COUNTIFS('United Data'!$A$3:$A$2150,I$1,'United Data'!$C$3:$C$2150,$A781)&gt;0,1,0)</f>
        <v>1</v>
      </c>
      <c r="J781">
        <f>IF(COUNTIFS('United Data'!$A$3:$A$2150,J$1,'United Data'!$C$3:$C$2150,$A781)&gt;0,1,0)</f>
        <v>1</v>
      </c>
      <c r="K781">
        <f>IF(COUNTIFS('United Data'!$A$3:$A$2150,K$1,'United Data'!$C$3:$C$2150,$A781)&gt;0,1,0)</f>
        <v>1</v>
      </c>
      <c r="L781">
        <f>IF(COUNTIFS('United Data'!$A$3:$A$2150,L$1,'United Data'!$C$3:$C$2150,$A781)&gt;0,1,0)</f>
        <v>1</v>
      </c>
      <c r="M781">
        <f>IF(COUNTIFS('United Data'!$A$3:$A$2150,M$1,'United Data'!$C$3:$C$2150,$A781)&gt;0,1,0)</f>
        <v>1</v>
      </c>
      <c r="N781">
        <f>IF(COUNTIFS('United Data'!$A$3:$A$2150,N$1,'United Data'!$C$3:$C$2150,$A781)&gt;0,1,0)</f>
        <v>0</v>
      </c>
      <c r="O781">
        <f>IF(COUNTIFS('United Data'!$A$3:$A$2150,O$1,'United Data'!$C$3:$C$2150,$A781)&gt;0,1,0)</f>
        <v>0</v>
      </c>
      <c r="P781">
        <f>IF(COUNTIFS('United Data'!$A$3:$A$2150,P$1,'United Data'!$C$3:$C$2150,$A781)&gt;0,1,0)</f>
        <v>0</v>
      </c>
      <c r="Q781">
        <f>IF(COUNTIFS('United Data'!$A$3:$A$2150,Q$1,'United Data'!$C$3:$C$2150,$A781)&gt;0,1,0)</f>
        <v>0</v>
      </c>
      <c r="R781">
        <f>IF(COUNTIFS('United Data'!$A$3:$A$2150,R$1,'United Data'!$C$3:$C$2150,$A781)&gt;0,1,0)</f>
        <v>0</v>
      </c>
      <c r="S781">
        <f t="shared" si="24"/>
        <v>8</v>
      </c>
      <c r="T781">
        <f t="shared" si="25"/>
        <v>2</v>
      </c>
    </row>
    <row r="782" spans="1:20" x14ac:dyDescent="0.2">
      <c r="A782" t="s">
        <v>826</v>
      </c>
      <c r="B782">
        <f>IF(COUNTIFS('United Data'!$A$3:$A$2150,B$1,'United Data'!$C$3:$C$2150,$A782)&gt;0,1,0)</f>
        <v>0</v>
      </c>
      <c r="C782">
        <f>IF(COUNTIFS('United Data'!$A$3:$A$2150,C$1,'United Data'!$C$3:$C$2150,$A782)&gt;0,1,0)</f>
        <v>0</v>
      </c>
      <c r="D782">
        <f>IF(COUNTIFS('United Data'!$A$3:$A$2150,D$1,'United Data'!$C$3:$C$2150,$A782)&gt;0,1,0)</f>
        <v>0</v>
      </c>
      <c r="E782">
        <f>IF(COUNTIFS('United Data'!$A$3:$A$2150,E$1,'United Data'!$C$3:$C$2150,$A782)&gt;0,1,0)</f>
        <v>1</v>
      </c>
      <c r="F782">
        <f>IF(COUNTIFS('United Data'!$A$3:$A$2150,F$1,'United Data'!$C$3:$C$2150,$A782)&gt;0,1,0)</f>
        <v>1</v>
      </c>
      <c r="G782">
        <f>IF(COUNTIFS('United Data'!$A$3:$A$2150,G$1,'United Data'!$C$3:$C$2150,$A782)&gt;0,1,0)</f>
        <v>0</v>
      </c>
      <c r="H782">
        <f>IF(COUNTIFS('United Data'!$A$3:$A$2150,H$1,'United Data'!$C$3:$C$2150,$A782)&gt;0,1,0)</f>
        <v>0</v>
      </c>
      <c r="I782">
        <f>IF(COUNTIFS('United Data'!$A$3:$A$2150,I$1,'United Data'!$C$3:$C$2150,$A782)&gt;0,1,0)</f>
        <v>0</v>
      </c>
      <c r="J782">
        <f>IF(COUNTIFS('United Data'!$A$3:$A$2150,J$1,'United Data'!$C$3:$C$2150,$A782)&gt;0,1,0)</f>
        <v>0</v>
      </c>
      <c r="K782">
        <f>IF(COUNTIFS('United Data'!$A$3:$A$2150,K$1,'United Data'!$C$3:$C$2150,$A782)&gt;0,1,0)</f>
        <v>0</v>
      </c>
      <c r="L782">
        <f>IF(COUNTIFS('United Data'!$A$3:$A$2150,L$1,'United Data'!$C$3:$C$2150,$A782)&gt;0,1,0)</f>
        <v>0</v>
      </c>
      <c r="M782">
        <f>IF(COUNTIFS('United Data'!$A$3:$A$2150,M$1,'United Data'!$C$3:$C$2150,$A782)&gt;0,1,0)</f>
        <v>0</v>
      </c>
      <c r="N782">
        <f>IF(COUNTIFS('United Data'!$A$3:$A$2150,N$1,'United Data'!$C$3:$C$2150,$A782)&gt;0,1,0)</f>
        <v>1</v>
      </c>
      <c r="O782">
        <f>IF(COUNTIFS('United Data'!$A$3:$A$2150,O$1,'United Data'!$C$3:$C$2150,$A782)&gt;0,1,0)</f>
        <v>0</v>
      </c>
      <c r="P782">
        <f>IF(COUNTIFS('United Data'!$A$3:$A$2150,P$1,'United Data'!$C$3:$C$2150,$A782)&gt;0,1,0)</f>
        <v>0</v>
      </c>
      <c r="Q782">
        <f>IF(COUNTIFS('United Data'!$A$3:$A$2150,Q$1,'United Data'!$C$3:$C$2150,$A782)&gt;0,1,0)</f>
        <v>0</v>
      </c>
      <c r="R782">
        <f>IF(COUNTIFS('United Data'!$A$3:$A$2150,R$1,'United Data'!$C$3:$C$2150,$A782)&gt;0,1,0)</f>
        <v>0</v>
      </c>
      <c r="S782">
        <f t="shared" si="24"/>
        <v>3</v>
      </c>
      <c r="T782">
        <f t="shared" si="25"/>
        <v>2</v>
      </c>
    </row>
    <row r="783" spans="1:20" x14ac:dyDescent="0.2">
      <c r="A783" t="s">
        <v>827</v>
      </c>
      <c r="B783">
        <f>IF(COUNTIFS('United Data'!$A$3:$A$2150,B$1,'United Data'!$C$3:$C$2150,$A783)&gt;0,1,0)</f>
        <v>0</v>
      </c>
      <c r="C783">
        <f>IF(COUNTIFS('United Data'!$A$3:$A$2150,C$1,'United Data'!$C$3:$C$2150,$A783)&gt;0,1,0)</f>
        <v>0</v>
      </c>
      <c r="D783">
        <f>IF(COUNTIFS('United Data'!$A$3:$A$2150,D$1,'United Data'!$C$3:$C$2150,$A783)&gt;0,1,0)</f>
        <v>0</v>
      </c>
      <c r="E783">
        <f>IF(COUNTIFS('United Data'!$A$3:$A$2150,E$1,'United Data'!$C$3:$C$2150,$A783)&gt;0,1,0)</f>
        <v>1</v>
      </c>
      <c r="F783">
        <f>IF(COUNTIFS('United Data'!$A$3:$A$2150,F$1,'United Data'!$C$3:$C$2150,$A783)&gt;0,1,0)</f>
        <v>0</v>
      </c>
      <c r="G783">
        <f>IF(COUNTIFS('United Data'!$A$3:$A$2150,G$1,'United Data'!$C$3:$C$2150,$A783)&gt;0,1,0)</f>
        <v>0</v>
      </c>
      <c r="H783">
        <f>IF(COUNTIFS('United Data'!$A$3:$A$2150,H$1,'United Data'!$C$3:$C$2150,$A783)&gt;0,1,0)</f>
        <v>0</v>
      </c>
      <c r="I783">
        <f>IF(COUNTIFS('United Data'!$A$3:$A$2150,I$1,'United Data'!$C$3:$C$2150,$A783)&gt;0,1,0)</f>
        <v>0</v>
      </c>
      <c r="J783">
        <f>IF(COUNTIFS('United Data'!$A$3:$A$2150,J$1,'United Data'!$C$3:$C$2150,$A783)&gt;0,1,0)</f>
        <v>0</v>
      </c>
      <c r="K783">
        <f>IF(COUNTIFS('United Data'!$A$3:$A$2150,K$1,'United Data'!$C$3:$C$2150,$A783)&gt;0,1,0)</f>
        <v>0</v>
      </c>
      <c r="L783">
        <f>IF(COUNTIFS('United Data'!$A$3:$A$2150,L$1,'United Data'!$C$3:$C$2150,$A783)&gt;0,1,0)</f>
        <v>0</v>
      </c>
      <c r="M783">
        <f>IF(COUNTIFS('United Data'!$A$3:$A$2150,M$1,'United Data'!$C$3:$C$2150,$A783)&gt;0,1,0)</f>
        <v>0</v>
      </c>
      <c r="N783">
        <f>IF(COUNTIFS('United Data'!$A$3:$A$2150,N$1,'United Data'!$C$3:$C$2150,$A783)&gt;0,1,0)</f>
        <v>0</v>
      </c>
      <c r="O783">
        <f>IF(COUNTIFS('United Data'!$A$3:$A$2150,O$1,'United Data'!$C$3:$C$2150,$A783)&gt;0,1,0)</f>
        <v>0</v>
      </c>
      <c r="P783">
        <f>IF(COUNTIFS('United Data'!$A$3:$A$2150,P$1,'United Data'!$C$3:$C$2150,$A783)&gt;0,1,0)</f>
        <v>0</v>
      </c>
      <c r="Q783">
        <f>IF(COUNTIFS('United Data'!$A$3:$A$2150,Q$1,'United Data'!$C$3:$C$2150,$A783)&gt;0,1,0)</f>
        <v>0</v>
      </c>
      <c r="R783">
        <f>IF(COUNTIFS('United Data'!$A$3:$A$2150,R$1,'United Data'!$C$3:$C$2150,$A783)&gt;0,1,0)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828</v>
      </c>
      <c r="B784">
        <f>IF(COUNTIFS('United Data'!$A$3:$A$2150,B$1,'United Data'!$C$3:$C$2150,$A784)&gt;0,1,0)</f>
        <v>0</v>
      </c>
      <c r="C784">
        <f>IF(COUNTIFS('United Data'!$A$3:$A$2150,C$1,'United Data'!$C$3:$C$2150,$A784)&gt;0,1,0)</f>
        <v>0</v>
      </c>
      <c r="D784">
        <f>IF(COUNTIFS('United Data'!$A$3:$A$2150,D$1,'United Data'!$C$3:$C$2150,$A784)&gt;0,1,0)</f>
        <v>0</v>
      </c>
      <c r="E784">
        <f>IF(COUNTIFS('United Data'!$A$3:$A$2150,E$1,'United Data'!$C$3:$C$2150,$A784)&gt;0,1,0)</f>
        <v>1</v>
      </c>
      <c r="F784">
        <f>IF(COUNTIFS('United Data'!$A$3:$A$2150,F$1,'United Data'!$C$3:$C$2150,$A784)&gt;0,1,0)</f>
        <v>0</v>
      </c>
      <c r="G784">
        <f>IF(COUNTIFS('United Data'!$A$3:$A$2150,G$1,'United Data'!$C$3:$C$2150,$A784)&gt;0,1,0)</f>
        <v>0</v>
      </c>
      <c r="H784">
        <f>IF(COUNTIFS('United Data'!$A$3:$A$2150,H$1,'United Data'!$C$3:$C$2150,$A784)&gt;0,1,0)</f>
        <v>0</v>
      </c>
      <c r="I784">
        <f>IF(COUNTIFS('United Data'!$A$3:$A$2150,I$1,'United Data'!$C$3:$C$2150,$A784)&gt;0,1,0)</f>
        <v>0</v>
      </c>
      <c r="J784">
        <f>IF(COUNTIFS('United Data'!$A$3:$A$2150,J$1,'United Data'!$C$3:$C$2150,$A784)&gt;0,1,0)</f>
        <v>0</v>
      </c>
      <c r="K784">
        <f>IF(COUNTIFS('United Data'!$A$3:$A$2150,K$1,'United Data'!$C$3:$C$2150,$A784)&gt;0,1,0)</f>
        <v>0</v>
      </c>
      <c r="L784">
        <f>IF(COUNTIFS('United Data'!$A$3:$A$2150,L$1,'United Data'!$C$3:$C$2150,$A784)&gt;0,1,0)</f>
        <v>0</v>
      </c>
      <c r="M784">
        <f>IF(COUNTIFS('United Data'!$A$3:$A$2150,M$1,'United Data'!$C$3:$C$2150,$A784)&gt;0,1,0)</f>
        <v>0</v>
      </c>
      <c r="N784">
        <f>IF(COUNTIFS('United Data'!$A$3:$A$2150,N$1,'United Data'!$C$3:$C$2150,$A784)&gt;0,1,0)</f>
        <v>0</v>
      </c>
      <c r="O784">
        <f>IF(COUNTIFS('United Data'!$A$3:$A$2150,O$1,'United Data'!$C$3:$C$2150,$A784)&gt;0,1,0)</f>
        <v>0</v>
      </c>
      <c r="P784">
        <f>IF(COUNTIFS('United Data'!$A$3:$A$2150,P$1,'United Data'!$C$3:$C$2150,$A784)&gt;0,1,0)</f>
        <v>0</v>
      </c>
      <c r="Q784">
        <f>IF(COUNTIFS('United Data'!$A$3:$A$2150,Q$1,'United Data'!$C$3:$C$2150,$A784)&gt;0,1,0)</f>
        <v>0</v>
      </c>
      <c r="R784">
        <f>IF(COUNTIFS('United Data'!$A$3:$A$2150,R$1,'United Data'!$C$3:$C$2150,$A784)&gt;0,1,0)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829</v>
      </c>
      <c r="B785">
        <f>IF(COUNTIFS('United Data'!$A$3:$A$2150,B$1,'United Data'!$C$3:$C$2150,$A785)&gt;0,1,0)</f>
        <v>0</v>
      </c>
      <c r="C785">
        <f>IF(COUNTIFS('United Data'!$A$3:$A$2150,C$1,'United Data'!$C$3:$C$2150,$A785)&gt;0,1,0)</f>
        <v>0</v>
      </c>
      <c r="D785">
        <f>IF(COUNTIFS('United Data'!$A$3:$A$2150,D$1,'United Data'!$C$3:$C$2150,$A785)&gt;0,1,0)</f>
        <v>0</v>
      </c>
      <c r="E785">
        <f>IF(COUNTIFS('United Data'!$A$3:$A$2150,E$1,'United Data'!$C$3:$C$2150,$A785)&gt;0,1,0)</f>
        <v>1</v>
      </c>
      <c r="F785">
        <f>IF(COUNTIFS('United Data'!$A$3:$A$2150,F$1,'United Data'!$C$3:$C$2150,$A785)&gt;0,1,0)</f>
        <v>0</v>
      </c>
      <c r="G785">
        <f>IF(COUNTIFS('United Data'!$A$3:$A$2150,G$1,'United Data'!$C$3:$C$2150,$A785)&gt;0,1,0)</f>
        <v>0</v>
      </c>
      <c r="H785">
        <f>IF(COUNTIFS('United Data'!$A$3:$A$2150,H$1,'United Data'!$C$3:$C$2150,$A785)&gt;0,1,0)</f>
        <v>0</v>
      </c>
      <c r="I785">
        <f>IF(COUNTIFS('United Data'!$A$3:$A$2150,I$1,'United Data'!$C$3:$C$2150,$A785)&gt;0,1,0)</f>
        <v>0</v>
      </c>
      <c r="J785">
        <f>IF(COUNTIFS('United Data'!$A$3:$A$2150,J$1,'United Data'!$C$3:$C$2150,$A785)&gt;0,1,0)</f>
        <v>0</v>
      </c>
      <c r="K785">
        <f>IF(COUNTIFS('United Data'!$A$3:$A$2150,K$1,'United Data'!$C$3:$C$2150,$A785)&gt;0,1,0)</f>
        <v>0</v>
      </c>
      <c r="L785">
        <f>IF(COUNTIFS('United Data'!$A$3:$A$2150,L$1,'United Data'!$C$3:$C$2150,$A785)&gt;0,1,0)</f>
        <v>0</v>
      </c>
      <c r="M785">
        <f>IF(COUNTIFS('United Data'!$A$3:$A$2150,M$1,'United Data'!$C$3:$C$2150,$A785)&gt;0,1,0)</f>
        <v>0</v>
      </c>
      <c r="N785">
        <f>IF(COUNTIFS('United Data'!$A$3:$A$2150,N$1,'United Data'!$C$3:$C$2150,$A785)&gt;0,1,0)</f>
        <v>0</v>
      </c>
      <c r="O785">
        <f>IF(COUNTIFS('United Data'!$A$3:$A$2150,O$1,'United Data'!$C$3:$C$2150,$A785)&gt;0,1,0)</f>
        <v>0</v>
      </c>
      <c r="P785">
        <f>IF(COUNTIFS('United Data'!$A$3:$A$2150,P$1,'United Data'!$C$3:$C$2150,$A785)&gt;0,1,0)</f>
        <v>0</v>
      </c>
      <c r="Q785">
        <f>IF(COUNTIFS('United Data'!$A$3:$A$2150,Q$1,'United Data'!$C$3:$C$2150,$A785)&gt;0,1,0)</f>
        <v>0</v>
      </c>
      <c r="R785">
        <f>IF(COUNTIFS('United Data'!$A$3:$A$2150,R$1,'United Data'!$C$3:$C$2150,$A785)&gt;0,1,0)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830</v>
      </c>
      <c r="B786">
        <f>IF(COUNTIFS('United Data'!$A$3:$A$2150,B$1,'United Data'!$C$3:$C$2150,$A786)&gt;0,1,0)</f>
        <v>0</v>
      </c>
      <c r="C786">
        <f>IF(COUNTIFS('United Data'!$A$3:$A$2150,C$1,'United Data'!$C$3:$C$2150,$A786)&gt;0,1,0)</f>
        <v>0</v>
      </c>
      <c r="D786">
        <f>IF(COUNTIFS('United Data'!$A$3:$A$2150,D$1,'United Data'!$C$3:$C$2150,$A786)&gt;0,1,0)</f>
        <v>0</v>
      </c>
      <c r="E786">
        <f>IF(COUNTIFS('United Data'!$A$3:$A$2150,E$1,'United Data'!$C$3:$C$2150,$A786)&gt;0,1,0)</f>
        <v>1</v>
      </c>
      <c r="F786">
        <f>IF(COUNTIFS('United Data'!$A$3:$A$2150,F$1,'United Data'!$C$3:$C$2150,$A786)&gt;0,1,0)</f>
        <v>0</v>
      </c>
      <c r="G786">
        <f>IF(COUNTIFS('United Data'!$A$3:$A$2150,G$1,'United Data'!$C$3:$C$2150,$A786)&gt;0,1,0)</f>
        <v>0</v>
      </c>
      <c r="H786">
        <f>IF(COUNTIFS('United Data'!$A$3:$A$2150,H$1,'United Data'!$C$3:$C$2150,$A786)&gt;0,1,0)</f>
        <v>0</v>
      </c>
      <c r="I786">
        <f>IF(COUNTIFS('United Data'!$A$3:$A$2150,I$1,'United Data'!$C$3:$C$2150,$A786)&gt;0,1,0)</f>
        <v>0</v>
      </c>
      <c r="J786">
        <f>IF(COUNTIFS('United Data'!$A$3:$A$2150,J$1,'United Data'!$C$3:$C$2150,$A786)&gt;0,1,0)</f>
        <v>0</v>
      </c>
      <c r="K786">
        <f>IF(COUNTIFS('United Data'!$A$3:$A$2150,K$1,'United Data'!$C$3:$C$2150,$A786)&gt;0,1,0)</f>
        <v>0</v>
      </c>
      <c r="L786">
        <f>IF(COUNTIFS('United Data'!$A$3:$A$2150,L$1,'United Data'!$C$3:$C$2150,$A786)&gt;0,1,0)</f>
        <v>0</v>
      </c>
      <c r="M786">
        <f>IF(COUNTIFS('United Data'!$A$3:$A$2150,M$1,'United Data'!$C$3:$C$2150,$A786)&gt;0,1,0)</f>
        <v>0</v>
      </c>
      <c r="N786">
        <f>IF(COUNTIFS('United Data'!$A$3:$A$2150,N$1,'United Data'!$C$3:$C$2150,$A786)&gt;0,1,0)</f>
        <v>0</v>
      </c>
      <c r="O786">
        <f>IF(COUNTIFS('United Data'!$A$3:$A$2150,O$1,'United Data'!$C$3:$C$2150,$A786)&gt;0,1,0)</f>
        <v>0</v>
      </c>
      <c r="P786">
        <f>IF(COUNTIFS('United Data'!$A$3:$A$2150,P$1,'United Data'!$C$3:$C$2150,$A786)&gt;0,1,0)</f>
        <v>0</v>
      </c>
      <c r="Q786">
        <f>IF(COUNTIFS('United Data'!$A$3:$A$2150,Q$1,'United Data'!$C$3:$C$2150,$A786)&gt;0,1,0)</f>
        <v>0</v>
      </c>
      <c r="R786">
        <f>IF(COUNTIFS('United Data'!$A$3:$A$2150,R$1,'United Data'!$C$3:$C$2150,$A786)&gt;0,1,0)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831</v>
      </c>
      <c r="B787">
        <f>IF(COUNTIFS('United Data'!$A$3:$A$2150,B$1,'United Data'!$C$3:$C$2150,$A787)&gt;0,1,0)</f>
        <v>0</v>
      </c>
      <c r="C787">
        <f>IF(COUNTIFS('United Data'!$A$3:$A$2150,C$1,'United Data'!$C$3:$C$2150,$A787)&gt;0,1,0)</f>
        <v>0</v>
      </c>
      <c r="D787">
        <f>IF(COUNTIFS('United Data'!$A$3:$A$2150,D$1,'United Data'!$C$3:$C$2150,$A787)&gt;0,1,0)</f>
        <v>0</v>
      </c>
      <c r="E787">
        <f>IF(COUNTIFS('United Data'!$A$3:$A$2150,E$1,'United Data'!$C$3:$C$2150,$A787)&gt;0,1,0)</f>
        <v>1</v>
      </c>
      <c r="F787">
        <f>IF(COUNTIFS('United Data'!$A$3:$A$2150,F$1,'United Data'!$C$3:$C$2150,$A787)&gt;0,1,0)</f>
        <v>0</v>
      </c>
      <c r="G787">
        <f>IF(COUNTIFS('United Data'!$A$3:$A$2150,G$1,'United Data'!$C$3:$C$2150,$A787)&gt;0,1,0)</f>
        <v>1</v>
      </c>
      <c r="H787">
        <f>IF(COUNTIFS('United Data'!$A$3:$A$2150,H$1,'United Data'!$C$3:$C$2150,$A787)&gt;0,1,0)</f>
        <v>0</v>
      </c>
      <c r="I787">
        <f>IF(COUNTIFS('United Data'!$A$3:$A$2150,I$1,'United Data'!$C$3:$C$2150,$A787)&gt;0,1,0)</f>
        <v>1</v>
      </c>
      <c r="J787">
        <f>IF(COUNTIFS('United Data'!$A$3:$A$2150,J$1,'United Data'!$C$3:$C$2150,$A787)&gt;0,1,0)</f>
        <v>0</v>
      </c>
      <c r="K787">
        <f>IF(COUNTIFS('United Data'!$A$3:$A$2150,K$1,'United Data'!$C$3:$C$2150,$A787)&gt;0,1,0)</f>
        <v>1</v>
      </c>
      <c r="L787">
        <f>IF(COUNTIFS('United Data'!$A$3:$A$2150,L$1,'United Data'!$C$3:$C$2150,$A787)&gt;0,1,0)</f>
        <v>1</v>
      </c>
      <c r="M787">
        <f>IF(COUNTIFS('United Data'!$A$3:$A$2150,M$1,'United Data'!$C$3:$C$2150,$A787)&gt;0,1,0)</f>
        <v>1</v>
      </c>
      <c r="N787">
        <f>IF(COUNTIFS('United Data'!$A$3:$A$2150,N$1,'United Data'!$C$3:$C$2150,$A787)&gt;0,1,0)</f>
        <v>1</v>
      </c>
      <c r="O787">
        <f>IF(COUNTIFS('United Data'!$A$3:$A$2150,O$1,'United Data'!$C$3:$C$2150,$A787)&gt;0,1,0)</f>
        <v>0</v>
      </c>
      <c r="P787">
        <f>IF(COUNTIFS('United Data'!$A$3:$A$2150,P$1,'United Data'!$C$3:$C$2150,$A787)&gt;0,1,0)</f>
        <v>0</v>
      </c>
      <c r="Q787">
        <f>IF(COUNTIFS('United Data'!$A$3:$A$2150,Q$1,'United Data'!$C$3:$C$2150,$A787)&gt;0,1,0)</f>
        <v>0</v>
      </c>
      <c r="R787">
        <f>IF(COUNTIFS('United Data'!$A$3:$A$2150,R$1,'United Data'!$C$3:$C$2150,$A787)&gt;0,1,0)</f>
        <v>0</v>
      </c>
      <c r="S787">
        <f t="shared" si="24"/>
        <v>7</v>
      </c>
      <c r="T787">
        <f t="shared" si="25"/>
        <v>4</v>
      </c>
    </row>
    <row r="788" spans="1:20" x14ac:dyDescent="0.2">
      <c r="A788" t="s">
        <v>832</v>
      </c>
      <c r="B788">
        <f>IF(COUNTIFS('United Data'!$A$3:$A$2150,B$1,'United Data'!$C$3:$C$2150,$A788)&gt;0,1,0)</f>
        <v>0</v>
      </c>
      <c r="C788">
        <f>IF(COUNTIFS('United Data'!$A$3:$A$2150,C$1,'United Data'!$C$3:$C$2150,$A788)&gt;0,1,0)</f>
        <v>0</v>
      </c>
      <c r="D788">
        <f>IF(COUNTIFS('United Data'!$A$3:$A$2150,D$1,'United Data'!$C$3:$C$2150,$A788)&gt;0,1,0)</f>
        <v>0</v>
      </c>
      <c r="E788">
        <f>IF(COUNTIFS('United Data'!$A$3:$A$2150,E$1,'United Data'!$C$3:$C$2150,$A788)&gt;0,1,0)</f>
        <v>1</v>
      </c>
      <c r="F788">
        <f>IF(COUNTIFS('United Data'!$A$3:$A$2150,F$1,'United Data'!$C$3:$C$2150,$A788)&gt;0,1,0)</f>
        <v>0</v>
      </c>
      <c r="G788">
        <f>IF(COUNTIFS('United Data'!$A$3:$A$2150,G$1,'United Data'!$C$3:$C$2150,$A788)&gt;0,1,0)</f>
        <v>0</v>
      </c>
      <c r="H788">
        <f>IF(COUNTIFS('United Data'!$A$3:$A$2150,H$1,'United Data'!$C$3:$C$2150,$A788)&gt;0,1,0)</f>
        <v>0</v>
      </c>
      <c r="I788">
        <f>IF(COUNTIFS('United Data'!$A$3:$A$2150,I$1,'United Data'!$C$3:$C$2150,$A788)&gt;0,1,0)</f>
        <v>0</v>
      </c>
      <c r="J788">
        <f>IF(COUNTIFS('United Data'!$A$3:$A$2150,J$1,'United Data'!$C$3:$C$2150,$A788)&gt;0,1,0)</f>
        <v>0</v>
      </c>
      <c r="K788">
        <f>IF(COUNTIFS('United Data'!$A$3:$A$2150,K$1,'United Data'!$C$3:$C$2150,$A788)&gt;0,1,0)</f>
        <v>0</v>
      </c>
      <c r="L788">
        <f>IF(COUNTIFS('United Data'!$A$3:$A$2150,L$1,'United Data'!$C$3:$C$2150,$A788)&gt;0,1,0)</f>
        <v>0</v>
      </c>
      <c r="M788">
        <f>IF(COUNTIFS('United Data'!$A$3:$A$2150,M$1,'United Data'!$C$3:$C$2150,$A788)&gt;0,1,0)</f>
        <v>0</v>
      </c>
      <c r="N788">
        <f>IF(COUNTIFS('United Data'!$A$3:$A$2150,N$1,'United Data'!$C$3:$C$2150,$A788)&gt;0,1,0)</f>
        <v>0</v>
      </c>
      <c r="O788">
        <f>IF(COUNTIFS('United Data'!$A$3:$A$2150,O$1,'United Data'!$C$3:$C$2150,$A788)&gt;0,1,0)</f>
        <v>0</v>
      </c>
      <c r="P788">
        <f>IF(COUNTIFS('United Data'!$A$3:$A$2150,P$1,'United Data'!$C$3:$C$2150,$A788)&gt;0,1,0)</f>
        <v>0</v>
      </c>
      <c r="Q788">
        <f>IF(COUNTIFS('United Data'!$A$3:$A$2150,Q$1,'United Data'!$C$3:$C$2150,$A788)&gt;0,1,0)</f>
        <v>0</v>
      </c>
      <c r="R788">
        <f>IF(COUNTIFS('United Data'!$A$3:$A$2150,R$1,'United Data'!$C$3:$C$2150,$A788)&gt;0,1,0)</f>
        <v>0</v>
      </c>
      <c r="S788">
        <f t="shared" si="24"/>
        <v>1</v>
      </c>
      <c r="T788">
        <f t="shared" si="25"/>
        <v>1</v>
      </c>
    </row>
    <row r="789" spans="1:20" x14ac:dyDescent="0.2">
      <c r="A789" t="s">
        <v>833</v>
      </c>
      <c r="B789">
        <f>IF(COUNTIFS('United Data'!$A$3:$A$2150,B$1,'United Data'!$C$3:$C$2150,$A789)&gt;0,1,0)</f>
        <v>0</v>
      </c>
      <c r="C789">
        <f>IF(COUNTIFS('United Data'!$A$3:$A$2150,C$1,'United Data'!$C$3:$C$2150,$A789)&gt;0,1,0)</f>
        <v>0</v>
      </c>
      <c r="D789">
        <f>IF(COUNTIFS('United Data'!$A$3:$A$2150,D$1,'United Data'!$C$3:$C$2150,$A789)&gt;0,1,0)</f>
        <v>0</v>
      </c>
      <c r="E789">
        <f>IF(COUNTIFS('United Data'!$A$3:$A$2150,E$1,'United Data'!$C$3:$C$2150,$A789)&gt;0,1,0)</f>
        <v>1</v>
      </c>
      <c r="F789">
        <f>IF(COUNTIFS('United Data'!$A$3:$A$2150,F$1,'United Data'!$C$3:$C$2150,$A789)&gt;0,1,0)</f>
        <v>0</v>
      </c>
      <c r="G789">
        <f>IF(COUNTIFS('United Data'!$A$3:$A$2150,G$1,'United Data'!$C$3:$C$2150,$A789)&gt;0,1,0)</f>
        <v>0</v>
      </c>
      <c r="H789">
        <f>IF(COUNTIFS('United Data'!$A$3:$A$2150,H$1,'United Data'!$C$3:$C$2150,$A789)&gt;0,1,0)</f>
        <v>0</v>
      </c>
      <c r="I789">
        <f>IF(COUNTIFS('United Data'!$A$3:$A$2150,I$1,'United Data'!$C$3:$C$2150,$A789)&gt;0,1,0)</f>
        <v>0</v>
      </c>
      <c r="J789">
        <f>IF(COUNTIFS('United Data'!$A$3:$A$2150,J$1,'United Data'!$C$3:$C$2150,$A789)&gt;0,1,0)</f>
        <v>0</v>
      </c>
      <c r="K789">
        <f>IF(COUNTIFS('United Data'!$A$3:$A$2150,K$1,'United Data'!$C$3:$C$2150,$A789)&gt;0,1,0)</f>
        <v>0</v>
      </c>
      <c r="L789">
        <f>IF(COUNTIFS('United Data'!$A$3:$A$2150,L$1,'United Data'!$C$3:$C$2150,$A789)&gt;0,1,0)</f>
        <v>0</v>
      </c>
      <c r="M789">
        <f>IF(COUNTIFS('United Data'!$A$3:$A$2150,M$1,'United Data'!$C$3:$C$2150,$A789)&gt;0,1,0)</f>
        <v>0</v>
      </c>
      <c r="N789">
        <f>IF(COUNTIFS('United Data'!$A$3:$A$2150,N$1,'United Data'!$C$3:$C$2150,$A789)&gt;0,1,0)</f>
        <v>0</v>
      </c>
      <c r="O789">
        <f>IF(COUNTIFS('United Data'!$A$3:$A$2150,O$1,'United Data'!$C$3:$C$2150,$A789)&gt;0,1,0)</f>
        <v>0</v>
      </c>
      <c r="P789">
        <f>IF(COUNTIFS('United Data'!$A$3:$A$2150,P$1,'United Data'!$C$3:$C$2150,$A789)&gt;0,1,0)</f>
        <v>0</v>
      </c>
      <c r="Q789">
        <f>IF(COUNTIFS('United Data'!$A$3:$A$2150,Q$1,'United Data'!$C$3:$C$2150,$A789)&gt;0,1,0)</f>
        <v>0</v>
      </c>
      <c r="R789">
        <f>IF(COUNTIFS('United Data'!$A$3:$A$2150,R$1,'United Data'!$C$3:$C$2150,$A789)&gt;0,1,0)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834</v>
      </c>
      <c r="B790">
        <f>IF(COUNTIFS('United Data'!$A$3:$A$2150,B$1,'United Data'!$C$3:$C$2150,$A790)&gt;0,1,0)</f>
        <v>0</v>
      </c>
      <c r="C790">
        <f>IF(COUNTIFS('United Data'!$A$3:$A$2150,C$1,'United Data'!$C$3:$C$2150,$A790)&gt;0,1,0)</f>
        <v>0</v>
      </c>
      <c r="D790">
        <f>IF(COUNTIFS('United Data'!$A$3:$A$2150,D$1,'United Data'!$C$3:$C$2150,$A790)&gt;0,1,0)</f>
        <v>0</v>
      </c>
      <c r="E790">
        <f>IF(COUNTIFS('United Data'!$A$3:$A$2150,E$1,'United Data'!$C$3:$C$2150,$A790)&gt;0,1,0)</f>
        <v>1</v>
      </c>
      <c r="F790">
        <f>IF(COUNTIFS('United Data'!$A$3:$A$2150,F$1,'United Data'!$C$3:$C$2150,$A790)&gt;0,1,0)</f>
        <v>0</v>
      </c>
      <c r="G790">
        <f>IF(COUNTIFS('United Data'!$A$3:$A$2150,G$1,'United Data'!$C$3:$C$2150,$A790)&gt;0,1,0)</f>
        <v>0</v>
      </c>
      <c r="H790">
        <f>IF(COUNTIFS('United Data'!$A$3:$A$2150,H$1,'United Data'!$C$3:$C$2150,$A790)&gt;0,1,0)</f>
        <v>0</v>
      </c>
      <c r="I790">
        <f>IF(COUNTIFS('United Data'!$A$3:$A$2150,I$1,'United Data'!$C$3:$C$2150,$A790)&gt;0,1,0)</f>
        <v>0</v>
      </c>
      <c r="J790">
        <f>IF(COUNTIFS('United Data'!$A$3:$A$2150,J$1,'United Data'!$C$3:$C$2150,$A790)&gt;0,1,0)</f>
        <v>0</v>
      </c>
      <c r="K790">
        <f>IF(COUNTIFS('United Data'!$A$3:$A$2150,K$1,'United Data'!$C$3:$C$2150,$A790)&gt;0,1,0)</f>
        <v>0</v>
      </c>
      <c r="L790">
        <f>IF(COUNTIFS('United Data'!$A$3:$A$2150,L$1,'United Data'!$C$3:$C$2150,$A790)&gt;0,1,0)</f>
        <v>0</v>
      </c>
      <c r="M790">
        <f>IF(COUNTIFS('United Data'!$A$3:$A$2150,M$1,'United Data'!$C$3:$C$2150,$A790)&gt;0,1,0)</f>
        <v>0</v>
      </c>
      <c r="N790">
        <f>IF(COUNTIFS('United Data'!$A$3:$A$2150,N$1,'United Data'!$C$3:$C$2150,$A790)&gt;0,1,0)</f>
        <v>0</v>
      </c>
      <c r="O790">
        <f>IF(COUNTIFS('United Data'!$A$3:$A$2150,O$1,'United Data'!$C$3:$C$2150,$A790)&gt;0,1,0)</f>
        <v>0</v>
      </c>
      <c r="P790">
        <f>IF(COUNTIFS('United Data'!$A$3:$A$2150,P$1,'United Data'!$C$3:$C$2150,$A790)&gt;0,1,0)</f>
        <v>0</v>
      </c>
      <c r="Q790">
        <f>IF(COUNTIFS('United Data'!$A$3:$A$2150,Q$1,'United Data'!$C$3:$C$2150,$A790)&gt;0,1,0)</f>
        <v>0</v>
      </c>
      <c r="R790">
        <f>IF(COUNTIFS('United Data'!$A$3:$A$2150,R$1,'United Data'!$C$3:$C$2150,$A790)&gt;0,1,0)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835</v>
      </c>
      <c r="B791">
        <f>IF(COUNTIFS('United Data'!$A$3:$A$2150,B$1,'United Data'!$C$3:$C$2150,$A791)&gt;0,1,0)</f>
        <v>0</v>
      </c>
      <c r="C791">
        <f>IF(COUNTIFS('United Data'!$A$3:$A$2150,C$1,'United Data'!$C$3:$C$2150,$A791)&gt;0,1,0)</f>
        <v>0</v>
      </c>
      <c r="D791">
        <f>IF(COUNTIFS('United Data'!$A$3:$A$2150,D$1,'United Data'!$C$3:$C$2150,$A791)&gt;0,1,0)</f>
        <v>0</v>
      </c>
      <c r="E791">
        <f>IF(COUNTIFS('United Data'!$A$3:$A$2150,E$1,'United Data'!$C$3:$C$2150,$A791)&gt;0,1,0)</f>
        <v>0</v>
      </c>
      <c r="F791">
        <f>IF(COUNTIFS('United Data'!$A$3:$A$2150,F$1,'United Data'!$C$3:$C$2150,$A791)&gt;0,1,0)</f>
        <v>1</v>
      </c>
      <c r="G791">
        <f>IF(COUNTIFS('United Data'!$A$3:$A$2150,G$1,'United Data'!$C$3:$C$2150,$A791)&gt;0,1,0)</f>
        <v>1</v>
      </c>
      <c r="H791">
        <f>IF(COUNTIFS('United Data'!$A$3:$A$2150,H$1,'United Data'!$C$3:$C$2150,$A791)&gt;0,1,0)</f>
        <v>1</v>
      </c>
      <c r="I791">
        <f>IF(COUNTIFS('United Data'!$A$3:$A$2150,I$1,'United Data'!$C$3:$C$2150,$A791)&gt;0,1,0)</f>
        <v>0</v>
      </c>
      <c r="J791">
        <f>IF(COUNTIFS('United Data'!$A$3:$A$2150,J$1,'United Data'!$C$3:$C$2150,$A791)&gt;0,1,0)</f>
        <v>1</v>
      </c>
      <c r="K791">
        <f>IF(COUNTIFS('United Data'!$A$3:$A$2150,K$1,'United Data'!$C$3:$C$2150,$A791)&gt;0,1,0)</f>
        <v>0</v>
      </c>
      <c r="L791">
        <f>IF(COUNTIFS('United Data'!$A$3:$A$2150,L$1,'United Data'!$C$3:$C$2150,$A791)&gt;0,1,0)</f>
        <v>0</v>
      </c>
      <c r="M791">
        <f>IF(COUNTIFS('United Data'!$A$3:$A$2150,M$1,'United Data'!$C$3:$C$2150,$A791)&gt;0,1,0)</f>
        <v>0</v>
      </c>
      <c r="N791">
        <f>IF(COUNTIFS('United Data'!$A$3:$A$2150,N$1,'United Data'!$C$3:$C$2150,$A791)&gt;0,1,0)</f>
        <v>0</v>
      </c>
      <c r="O791">
        <f>IF(COUNTIFS('United Data'!$A$3:$A$2150,O$1,'United Data'!$C$3:$C$2150,$A791)&gt;0,1,0)</f>
        <v>0</v>
      </c>
      <c r="P791">
        <f>IF(COUNTIFS('United Data'!$A$3:$A$2150,P$1,'United Data'!$C$3:$C$2150,$A791)&gt;0,1,0)</f>
        <v>0</v>
      </c>
      <c r="Q791">
        <f>IF(COUNTIFS('United Data'!$A$3:$A$2150,Q$1,'United Data'!$C$3:$C$2150,$A791)&gt;0,1,0)</f>
        <v>0</v>
      </c>
      <c r="R791">
        <f>IF(COUNTIFS('United Data'!$A$3:$A$2150,R$1,'United Data'!$C$3:$C$2150,$A791)&gt;0,1,0)</f>
        <v>0</v>
      </c>
      <c r="S791">
        <f t="shared" si="24"/>
        <v>4</v>
      </c>
      <c r="T791">
        <f t="shared" si="25"/>
        <v>2</v>
      </c>
    </row>
    <row r="792" spans="1:20" x14ac:dyDescent="0.2">
      <c r="A792" t="s">
        <v>836</v>
      </c>
      <c r="B792">
        <f>IF(COUNTIFS('United Data'!$A$3:$A$2150,B$1,'United Data'!$C$3:$C$2150,$A792)&gt;0,1,0)</f>
        <v>0</v>
      </c>
      <c r="C792">
        <f>IF(COUNTIFS('United Data'!$A$3:$A$2150,C$1,'United Data'!$C$3:$C$2150,$A792)&gt;0,1,0)</f>
        <v>0</v>
      </c>
      <c r="D792">
        <f>IF(COUNTIFS('United Data'!$A$3:$A$2150,D$1,'United Data'!$C$3:$C$2150,$A792)&gt;0,1,0)</f>
        <v>0</v>
      </c>
      <c r="E792">
        <f>IF(COUNTIFS('United Data'!$A$3:$A$2150,E$1,'United Data'!$C$3:$C$2150,$A792)&gt;0,1,0)</f>
        <v>0</v>
      </c>
      <c r="F792">
        <f>IF(COUNTIFS('United Data'!$A$3:$A$2150,F$1,'United Data'!$C$3:$C$2150,$A792)&gt;0,1,0)</f>
        <v>1</v>
      </c>
      <c r="G792">
        <f>IF(COUNTIFS('United Data'!$A$3:$A$2150,G$1,'United Data'!$C$3:$C$2150,$A792)&gt;0,1,0)</f>
        <v>1</v>
      </c>
      <c r="H792">
        <f>IF(COUNTIFS('United Data'!$A$3:$A$2150,H$1,'United Data'!$C$3:$C$2150,$A792)&gt;0,1,0)</f>
        <v>1</v>
      </c>
      <c r="I792">
        <f>IF(COUNTIFS('United Data'!$A$3:$A$2150,I$1,'United Data'!$C$3:$C$2150,$A792)&gt;0,1,0)</f>
        <v>0</v>
      </c>
      <c r="J792">
        <f>IF(COUNTIFS('United Data'!$A$3:$A$2150,J$1,'United Data'!$C$3:$C$2150,$A792)&gt;0,1,0)</f>
        <v>1</v>
      </c>
      <c r="K792">
        <f>IF(COUNTIFS('United Data'!$A$3:$A$2150,K$1,'United Data'!$C$3:$C$2150,$A792)&gt;0,1,0)</f>
        <v>1</v>
      </c>
      <c r="L792">
        <f>IF(COUNTIFS('United Data'!$A$3:$A$2150,L$1,'United Data'!$C$3:$C$2150,$A792)&gt;0,1,0)</f>
        <v>1</v>
      </c>
      <c r="M792">
        <f>IF(COUNTIFS('United Data'!$A$3:$A$2150,M$1,'United Data'!$C$3:$C$2150,$A792)&gt;0,1,0)</f>
        <v>1</v>
      </c>
      <c r="N792">
        <f>IF(COUNTIFS('United Data'!$A$3:$A$2150,N$1,'United Data'!$C$3:$C$2150,$A792)&gt;0,1,0)</f>
        <v>1</v>
      </c>
      <c r="O792">
        <f>IF(COUNTIFS('United Data'!$A$3:$A$2150,O$1,'United Data'!$C$3:$C$2150,$A792)&gt;0,1,0)</f>
        <v>0</v>
      </c>
      <c r="P792">
        <f>IF(COUNTIFS('United Data'!$A$3:$A$2150,P$1,'United Data'!$C$3:$C$2150,$A792)&gt;0,1,0)</f>
        <v>0</v>
      </c>
      <c r="Q792">
        <f>IF(COUNTIFS('United Data'!$A$3:$A$2150,Q$1,'United Data'!$C$3:$C$2150,$A792)&gt;0,1,0)</f>
        <v>0</v>
      </c>
      <c r="R792">
        <f>IF(COUNTIFS('United Data'!$A$3:$A$2150,R$1,'United Data'!$C$3:$C$2150,$A792)&gt;0,1,0)</f>
        <v>0</v>
      </c>
      <c r="S792">
        <f t="shared" si="24"/>
        <v>8</v>
      </c>
      <c r="T792">
        <f t="shared" si="25"/>
        <v>2</v>
      </c>
    </row>
    <row r="793" spans="1:20" x14ac:dyDescent="0.2">
      <c r="A793" t="s">
        <v>837</v>
      </c>
      <c r="B793">
        <f>IF(COUNTIFS('United Data'!$A$3:$A$2150,B$1,'United Data'!$C$3:$C$2150,$A793)&gt;0,1,0)</f>
        <v>0</v>
      </c>
      <c r="C793">
        <f>IF(COUNTIFS('United Data'!$A$3:$A$2150,C$1,'United Data'!$C$3:$C$2150,$A793)&gt;0,1,0)</f>
        <v>0</v>
      </c>
      <c r="D793">
        <f>IF(COUNTIFS('United Data'!$A$3:$A$2150,D$1,'United Data'!$C$3:$C$2150,$A793)&gt;0,1,0)</f>
        <v>0</v>
      </c>
      <c r="E793">
        <f>IF(COUNTIFS('United Data'!$A$3:$A$2150,E$1,'United Data'!$C$3:$C$2150,$A793)&gt;0,1,0)</f>
        <v>0</v>
      </c>
      <c r="F793">
        <f>IF(COUNTIFS('United Data'!$A$3:$A$2150,F$1,'United Data'!$C$3:$C$2150,$A793)&gt;0,1,0)</f>
        <v>1</v>
      </c>
      <c r="G793">
        <f>IF(COUNTIFS('United Data'!$A$3:$A$2150,G$1,'United Data'!$C$3:$C$2150,$A793)&gt;0,1,0)</f>
        <v>1</v>
      </c>
      <c r="H793">
        <f>IF(COUNTIFS('United Data'!$A$3:$A$2150,H$1,'United Data'!$C$3:$C$2150,$A793)&gt;0,1,0)</f>
        <v>1</v>
      </c>
      <c r="I793">
        <f>IF(COUNTIFS('United Data'!$A$3:$A$2150,I$1,'United Data'!$C$3:$C$2150,$A793)&gt;0,1,0)</f>
        <v>1</v>
      </c>
      <c r="J793">
        <f>IF(COUNTIFS('United Data'!$A$3:$A$2150,J$1,'United Data'!$C$3:$C$2150,$A793)&gt;0,1,0)</f>
        <v>1</v>
      </c>
      <c r="K793">
        <f>IF(COUNTIFS('United Data'!$A$3:$A$2150,K$1,'United Data'!$C$3:$C$2150,$A793)&gt;0,1,0)</f>
        <v>0</v>
      </c>
      <c r="L793">
        <f>IF(COUNTIFS('United Data'!$A$3:$A$2150,L$1,'United Data'!$C$3:$C$2150,$A793)&gt;0,1,0)</f>
        <v>1</v>
      </c>
      <c r="M793">
        <f>IF(COUNTIFS('United Data'!$A$3:$A$2150,M$1,'United Data'!$C$3:$C$2150,$A793)&gt;0,1,0)</f>
        <v>1</v>
      </c>
      <c r="N793">
        <f>IF(COUNTIFS('United Data'!$A$3:$A$2150,N$1,'United Data'!$C$3:$C$2150,$A793)&gt;0,1,0)</f>
        <v>0</v>
      </c>
      <c r="O793">
        <f>IF(COUNTIFS('United Data'!$A$3:$A$2150,O$1,'United Data'!$C$3:$C$2150,$A793)&gt;0,1,0)</f>
        <v>0</v>
      </c>
      <c r="P793">
        <f>IF(COUNTIFS('United Data'!$A$3:$A$2150,P$1,'United Data'!$C$3:$C$2150,$A793)&gt;0,1,0)</f>
        <v>0</v>
      </c>
      <c r="Q793">
        <f>IF(COUNTIFS('United Data'!$A$3:$A$2150,Q$1,'United Data'!$C$3:$C$2150,$A793)&gt;0,1,0)</f>
        <v>0</v>
      </c>
      <c r="R793">
        <f>IF(COUNTIFS('United Data'!$A$3:$A$2150,R$1,'United Data'!$C$3:$C$2150,$A793)&gt;0,1,0)</f>
        <v>0</v>
      </c>
      <c r="S793">
        <f t="shared" si="24"/>
        <v>7</v>
      </c>
      <c r="T793">
        <f t="shared" si="25"/>
        <v>2</v>
      </c>
    </row>
    <row r="794" spans="1:20" x14ac:dyDescent="0.2">
      <c r="A794" t="s">
        <v>838</v>
      </c>
      <c r="B794">
        <f>IF(COUNTIFS('United Data'!$A$3:$A$2150,B$1,'United Data'!$C$3:$C$2150,$A794)&gt;0,1,0)</f>
        <v>0</v>
      </c>
      <c r="C794">
        <f>IF(COUNTIFS('United Data'!$A$3:$A$2150,C$1,'United Data'!$C$3:$C$2150,$A794)&gt;0,1,0)</f>
        <v>0</v>
      </c>
      <c r="D794">
        <f>IF(COUNTIFS('United Data'!$A$3:$A$2150,D$1,'United Data'!$C$3:$C$2150,$A794)&gt;0,1,0)</f>
        <v>0</v>
      </c>
      <c r="E794">
        <f>IF(COUNTIFS('United Data'!$A$3:$A$2150,E$1,'United Data'!$C$3:$C$2150,$A794)&gt;0,1,0)</f>
        <v>0</v>
      </c>
      <c r="F794">
        <f>IF(COUNTIFS('United Data'!$A$3:$A$2150,F$1,'United Data'!$C$3:$C$2150,$A794)&gt;0,1,0)</f>
        <v>1</v>
      </c>
      <c r="G794">
        <f>IF(COUNTIFS('United Data'!$A$3:$A$2150,G$1,'United Data'!$C$3:$C$2150,$A794)&gt;0,1,0)</f>
        <v>0</v>
      </c>
      <c r="H794">
        <f>IF(COUNTIFS('United Data'!$A$3:$A$2150,H$1,'United Data'!$C$3:$C$2150,$A794)&gt;0,1,0)</f>
        <v>0</v>
      </c>
      <c r="I794">
        <f>IF(COUNTIFS('United Data'!$A$3:$A$2150,I$1,'United Data'!$C$3:$C$2150,$A794)&gt;0,1,0)</f>
        <v>0</v>
      </c>
      <c r="J794">
        <f>IF(COUNTIFS('United Data'!$A$3:$A$2150,J$1,'United Data'!$C$3:$C$2150,$A794)&gt;0,1,0)</f>
        <v>0</v>
      </c>
      <c r="K794">
        <f>IF(COUNTIFS('United Data'!$A$3:$A$2150,K$1,'United Data'!$C$3:$C$2150,$A794)&gt;0,1,0)</f>
        <v>0</v>
      </c>
      <c r="L794">
        <f>IF(COUNTIFS('United Data'!$A$3:$A$2150,L$1,'United Data'!$C$3:$C$2150,$A794)&gt;0,1,0)</f>
        <v>0</v>
      </c>
      <c r="M794">
        <f>IF(COUNTIFS('United Data'!$A$3:$A$2150,M$1,'United Data'!$C$3:$C$2150,$A794)&gt;0,1,0)</f>
        <v>0</v>
      </c>
      <c r="N794">
        <f>IF(COUNTIFS('United Data'!$A$3:$A$2150,N$1,'United Data'!$C$3:$C$2150,$A794)&gt;0,1,0)</f>
        <v>0</v>
      </c>
      <c r="O794">
        <f>IF(COUNTIFS('United Data'!$A$3:$A$2150,O$1,'United Data'!$C$3:$C$2150,$A794)&gt;0,1,0)</f>
        <v>0</v>
      </c>
      <c r="P794">
        <f>IF(COUNTIFS('United Data'!$A$3:$A$2150,P$1,'United Data'!$C$3:$C$2150,$A794)&gt;0,1,0)</f>
        <v>0</v>
      </c>
      <c r="Q794">
        <f>IF(COUNTIFS('United Data'!$A$3:$A$2150,Q$1,'United Data'!$C$3:$C$2150,$A794)&gt;0,1,0)</f>
        <v>0</v>
      </c>
      <c r="R794">
        <f>IF(COUNTIFS('United Data'!$A$3:$A$2150,R$1,'United Data'!$C$3:$C$2150,$A794)&gt;0,1,0)</f>
        <v>0</v>
      </c>
      <c r="S794">
        <f t="shared" si="24"/>
        <v>1</v>
      </c>
      <c r="T794">
        <f t="shared" si="25"/>
        <v>1</v>
      </c>
    </row>
    <row r="795" spans="1:20" x14ac:dyDescent="0.2">
      <c r="A795" t="s">
        <v>839</v>
      </c>
      <c r="B795">
        <f>IF(COUNTIFS('United Data'!$A$3:$A$2150,B$1,'United Data'!$C$3:$C$2150,$A795)&gt;0,1,0)</f>
        <v>0</v>
      </c>
      <c r="C795">
        <f>IF(COUNTIFS('United Data'!$A$3:$A$2150,C$1,'United Data'!$C$3:$C$2150,$A795)&gt;0,1,0)</f>
        <v>0</v>
      </c>
      <c r="D795">
        <f>IF(COUNTIFS('United Data'!$A$3:$A$2150,D$1,'United Data'!$C$3:$C$2150,$A795)&gt;0,1,0)</f>
        <v>0</v>
      </c>
      <c r="E795">
        <f>IF(COUNTIFS('United Data'!$A$3:$A$2150,E$1,'United Data'!$C$3:$C$2150,$A795)&gt;0,1,0)</f>
        <v>0</v>
      </c>
      <c r="F795">
        <f>IF(COUNTIFS('United Data'!$A$3:$A$2150,F$1,'United Data'!$C$3:$C$2150,$A795)&gt;0,1,0)</f>
        <v>1</v>
      </c>
      <c r="G795">
        <f>IF(COUNTIFS('United Data'!$A$3:$A$2150,G$1,'United Data'!$C$3:$C$2150,$A795)&gt;0,1,0)</f>
        <v>0</v>
      </c>
      <c r="H795">
        <f>IF(COUNTIFS('United Data'!$A$3:$A$2150,H$1,'United Data'!$C$3:$C$2150,$A795)&gt;0,1,0)</f>
        <v>0</v>
      </c>
      <c r="I795">
        <f>IF(COUNTIFS('United Data'!$A$3:$A$2150,I$1,'United Data'!$C$3:$C$2150,$A795)&gt;0,1,0)</f>
        <v>0</v>
      </c>
      <c r="J795">
        <f>IF(COUNTIFS('United Data'!$A$3:$A$2150,J$1,'United Data'!$C$3:$C$2150,$A795)&gt;0,1,0)</f>
        <v>0</v>
      </c>
      <c r="K795">
        <f>IF(COUNTIFS('United Data'!$A$3:$A$2150,K$1,'United Data'!$C$3:$C$2150,$A795)&gt;0,1,0)</f>
        <v>0</v>
      </c>
      <c r="L795">
        <f>IF(COUNTIFS('United Data'!$A$3:$A$2150,L$1,'United Data'!$C$3:$C$2150,$A795)&gt;0,1,0)</f>
        <v>0</v>
      </c>
      <c r="M795">
        <f>IF(COUNTIFS('United Data'!$A$3:$A$2150,M$1,'United Data'!$C$3:$C$2150,$A795)&gt;0,1,0)</f>
        <v>0</v>
      </c>
      <c r="N795">
        <f>IF(COUNTIFS('United Data'!$A$3:$A$2150,N$1,'United Data'!$C$3:$C$2150,$A795)&gt;0,1,0)</f>
        <v>0</v>
      </c>
      <c r="O795">
        <f>IF(COUNTIFS('United Data'!$A$3:$A$2150,O$1,'United Data'!$C$3:$C$2150,$A795)&gt;0,1,0)</f>
        <v>0</v>
      </c>
      <c r="P795">
        <f>IF(COUNTIFS('United Data'!$A$3:$A$2150,P$1,'United Data'!$C$3:$C$2150,$A795)&gt;0,1,0)</f>
        <v>0</v>
      </c>
      <c r="Q795">
        <f>IF(COUNTIFS('United Data'!$A$3:$A$2150,Q$1,'United Data'!$C$3:$C$2150,$A795)&gt;0,1,0)</f>
        <v>0</v>
      </c>
      <c r="R795">
        <f>IF(COUNTIFS('United Data'!$A$3:$A$2150,R$1,'United Data'!$C$3:$C$2150,$A795)&gt;0,1,0)</f>
        <v>0</v>
      </c>
      <c r="S795">
        <f t="shared" si="24"/>
        <v>1</v>
      </c>
      <c r="T795">
        <f t="shared" si="25"/>
        <v>1</v>
      </c>
    </row>
    <row r="796" spans="1:20" x14ac:dyDescent="0.2">
      <c r="A796" t="s">
        <v>840</v>
      </c>
      <c r="B796">
        <f>IF(COUNTIFS('United Data'!$A$3:$A$2150,B$1,'United Data'!$C$3:$C$2150,$A796)&gt;0,1,0)</f>
        <v>0</v>
      </c>
      <c r="C796">
        <f>IF(COUNTIFS('United Data'!$A$3:$A$2150,C$1,'United Data'!$C$3:$C$2150,$A796)&gt;0,1,0)</f>
        <v>0</v>
      </c>
      <c r="D796">
        <f>IF(COUNTIFS('United Data'!$A$3:$A$2150,D$1,'United Data'!$C$3:$C$2150,$A796)&gt;0,1,0)</f>
        <v>0</v>
      </c>
      <c r="E796">
        <f>IF(COUNTIFS('United Data'!$A$3:$A$2150,E$1,'United Data'!$C$3:$C$2150,$A796)&gt;0,1,0)</f>
        <v>0</v>
      </c>
      <c r="F796">
        <f>IF(COUNTIFS('United Data'!$A$3:$A$2150,F$1,'United Data'!$C$3:$C$2150,$A796)&gt;0,1,0)</f>
        <v>1</v>
      </c>
      <c r="G796">
        <f>IF(COUNTIFS('United Data'!$A$3:$A$2150,G$1,'United Data'!$C$3:$C$2150,$A796)&gt;0,1,0)</f>
        <v>1</v>
      </c>
      <c r="H796">
        <f>IF(COUNTIFS('United Data'!$A$3:$A$2150,H$1,'United Data'!$C$3:$C$2150,$A796)&gt;0,1,0)</f>
        <v>1</v>
      </c>
      <c r="I796">
        <f>IF(COUNTIFS('United Data'!$A$3:$A$2150,I$1,'United Data'!$C$3:$C$2150,$A796)&gt;0,1,0)</f>
        <v>1</v>
      </c>
      <c r="J796">
        <f>IF(COUNTIFS('United Data'!$A$3:$A$2150,J$1,'United Data'!$C$3:$C$2150,$A796)&gt;0,1,0)</f>
        <v>0</v>
      </c>
      <c r="K796">
        <f>IF(COUNTIFS('United Data'!$A$3:$A$2150,K$1,'United Data'!$C$3:$C$2150,$A796)&gt;0,1,0)</f>
        <v>0</v>
      </c>
      <c r="L796">
        <f>IF(COUNTIFS('United Data'!$A$3:$A$2150,L$1,'United Data'!$C$3:$C$2150,$A796)&gt;0,1,0)</f>
        <v>0</v>
      </c>
      <c r="M796">
        <f>IF(COUNTIFS('United Data'!$A$3:$A$2150,M$1,'United Data'!$C$3:$C$2150,$A796)&gt;0,1,0)</f>
        <v>0</v>
      </c>
      <c r="N796">
        <f>IF(COUNTIFS('United Data'!$A$3:$A$2150,N$1,'United Data'!$C$3:$C$2150,$A796)&gt;0,1,0)</f>
        <v>0</v>
      </c>
      <c r="O796">
        <f>IF(COUNTIFS('United Data'!$A$3:$A$2150,O$1,'United Data'!$C$3:$C$2150,$A796)&gt;0,1,0)</f>
        <v>0</v>
      </c>
      <c r="P796">
        <f>IF(COUNTIFS('United Data'!$A$3:$A$2150,P$1,'United Data'!$C$3:$C$2150,$A796)&gt;0,1,0)</f>
        <v>0</v>
      </c>
      <c r="Q796">
        <f>IF(COUNTIFS('United Data'!$A$3:$A$2150,Q$1,'United Data'!$C$3:$C$2150,$A796)&gt;0,1,0)</f>
        <v>0</v>
      </c>
      <c r="R796">
        <f>IF(COUNTIFS('United Data'!$A$3:$A$2150,R$1,'United Data'!$C$3:$C$2150,$A796)&gt;0,1,0)</f>
        <v>0</v>
      </c>
      <c r="S796">
        <f t="shared" si="24"/>
        <v>4</v>
      </c>
      <c r="T796">
        <f t="shared" si="25"/>
        <v>1</v>
      </c>
    </row>
    <row r="797" spans="1:20" x14ac:dyDescent="0.2">
      <c r="A797" t="s">
        <v>841</v>
      </c>
      <c r="B797">
        <f>IF(COUNTIFS('United Data'!$A$3:$A$2150,B$1,'United Data'!$C$3:$C$2150,$A797)&gt;0,1,0)</f>
        <v>0</v>
      </c>
      <c r="C797">
        <f>IF(COUNTIFS('United Data'!$A$3:$A$2150,C$1,'United Data'!$C$3:$C$2150,$A797)&gt;0,1,0)</f>
        <v>0</v>
      </c>
      <c r="D797">
        <f>IF(COUNTIFS('United Data'!$A$3:$A$2150,D$1,'United Data'!$C$3:$C$2150,$A797)&gt;0,1,0)</f>
        <v>0</v>
      </c>
      <c r="E797">
        <f>IF(COUNTIFS('United Data'!$A$3:$A$2150,E$1,'United Data'!$C$3:$C$2150,$A797)&gt;0,1,0)</f>
        <v>0</v>
      </c>
      <c r="F797">
        <f>IF(COUNTIFS('United Data'!$A$3:$A$2150,F$1,'United Data'!$C$3:$C$2150,$A797)&gt;0,1,0)</f>
        <v>1</v>
      </c>
      <c r="G797">
        <f>IF(COUNTIFS('United Data'!$A$3:$A$2150,G$1,'United Data'!$C$3:$C$2150,$A797)&gt;0,1,0)</f>
        <v>0</v>
      </c>
      <c r="H797">
        <f>IF(COUNTIFS('United Data'!$A$3:$A$2150,H$1,'United Data'!$C$3:$C$2150,$A797)&gt;0,1,0)</f>
        <v>1</v>
      </c>
      <c r="I797">
        <f>IF(COUNTIFS('United Data'!$A$3:$A$2150,I$1,'United Data'!$C$3:$C$2150,$A797)&gt;0,1,0)</f>
        <v>0</v>
      </c>
      <c r="J797">
        <f>IF(COUNTIFS('United Data'!$A$3:$A$2150,J$1,'United Data'!$C$3:$C$2150,$A797)&gt;0,1,0)</f>
        <v>1</v>
      </c>
      <c r="K797">
        <f>IF(COUNTIFS('United Data'!$A$3:$A$2150,K$1,'United Data'!$C$3:$C$2150,$A797)&gt;0,1,0)</f>
        <v>0</v>
      </c>
      <c r="L797">
        <f>IF(COUNTIFS('United Data'!$A$3:$A$2150,L$1,'United Data'!$C$3:$C$2150,$A797)&gt;0,1,0)</f>
        <v>1</v>
      </c>
      <c r="M797">
        <f>IF(COUNTIFS('United Data'!$A$3:$A$2150,M$1,'United Data'!$C$3:$C$2150,$A797)&gt;0,1,0)</f>
        <v>0</v>
      </c>
      <c r="N797">
        <f>IF(COUNTIFS('United Data'!$A$3:$A$2150,N$1,'United Data'!$C$3:$C$2150,$A797)&gt;0,1,0)</f>
        <v>0</v>
      </c>
      <c r="O797">
        <f>IF(COUNTIFS('United Data'!$A$3:$A$2150,O$1,'United Data'!$C$3:$C$2150,$A797)&gt;0,1,0)</f>
        <v>0</v>
      </c>
      <c r="P797">
        <f>IF(COUNTIFS('United Data'!$A$3:$A$2150,P$1,'United Data'!$C$3:$C$2150,$A797)&gt;0,1,0)</f>
        <v>0</v>
      </c>
      <c r="Q797">
        <f>IF(COUNTIFS('United Data'!$A$3:$A$2150,Q$1,'United Data'!$C$3:$C$2150,$A797)&gt;0,1,0)</f>
        <v>0</v>
      </c>
      <c r="R797">
        <f>IF(COUNTIFS('United Data'!$A$3:$A$2150,R$1,'United Data'!$C$3:$C$2150,$A797)&gt;0,1,0)</f>
        <v>0</v>
      </c>
      <c r="S797">
        <f t="shared" si="24"/>
        <v>4</v>
      </c>
      <c r="T797">
        <f t="shared" si="25"/>
        <v>4</v>
      </c>
    </row>
    <row r="798" spans="1:20" x14ac:dyDescent="0.2">
      <c r="A798" t="s">
        <v>842</v>
      </c>
      <c r="B798">
        <f>IF(COUNTIFS('United Data'!$A$3:$A$2150,B$1,'United Data'!$C$3:$C$2150,$A798)&gt;0,1,0)</f>
        <v>0</v>
      </c>
      <c r="C798">
        <f>IF(COUNTIFS('United Data'!$A$3:$A$2150,C$1,'United Data'!$C$3:$C$2150,$A798)&gt;0,1,0)</f>
        <v>0</v>
      </c>
      <c r="D798">
        <f>IF(COUNTIFS('United Data'!$A$3:$A$2150,D$1,'United Data'!$C$3:$C$2150,$A798)&gt;0,1,0)</f>
        <v>0</v>
      </c>
      <c r="E798">
        <f>IF(COUNTIFS('United Data'!$A$3:$A$2150,E$1,'United Data'!$C$3:$C$2150,$A798)&gt;0,1,0)</f>
        <v>0</v>
      </c>
      <c r="F798">
        <f>IF(COUNTIFS('United Data'!$A$3:$A$2150,F$1,'United Data'!$C$3:$C$2150,$A798)&gt;0,1,0)</f>
        <v>1</v>
      </c>
      <c r="G798">
        <f>IF(COUNTIFS('United Data'!$A$3:$A$2150,G$1,'United Data'!$C$3:$C$2150,$A798)&gt;0,1,0)</f>
        <v>0</v>
      </c>
      <c r="H798">
        <f>IF(COUNTIFS('United Data'!$A$3:$A$2150,H$1,'United Data'!$C$3:$C$2150,$A798)&gt;0,1,0)</f>
        <v>0</v>
      </c>
      <c r="I798">
        <f>IF(COUNTIFS('United Data'!$A$3:$A$2150,I$1,'United Data'!$C$3:$C$2150,$A798)&gt;0,1,0)</f>
        <v>0</v>
      </c>
      <c r="J798">
        <f>IF(COUNTIFS('United Data'!$A$3:$A$2150,J$1,'United Data'!$C$3:$C$2150,$A798)&gt;0,1,0)</f>
        <v>0</v>
      </c>
      <c r="K798">
        <f>IF(COUNTIFS('United Data'!$A$3:$A$2150,K$1,'United Data'!$C$3:$C$2150,$A798)&gt;0,1,0)</f>
        <v>0</v>
      </c>
      <c r="L798">
        <f>IF(COUNTIFS('United Data'!$A$3:$A$2150,L$1,'United Data'!$C$3:$C$2150,$A798)&gt;0,1,0)</f>
        <v>0</v>
      </c>
      <c r="M798">
        <f>IF(COUNTIFS('United Data'!$A$3:$A$2150,M$1,'United Data'!$C$3:$C$2150,$A798)&gt;0,1,0)</f>
        <v>0</v>
      </c>
      <c r="N798">
        <f>IF(COUNTIFS('United Data'!$A$3:$A$2150,N$1,'United Data'!$C$3:$C$2150,$A798)&gt;0,1,0)</f>
        <v>0</v>
      </c>
      <c r="O798">
        <f>IF(COUNTIFS('United Data'!$A$3:$A$2150,O$1,'United Data'!$C$3:$C$2150,$A798)&gt;0,1,0)</f>
        <v>0</v>
      </c>
      <c r="P798">
        <f>IF(COUNTIFS('United Data'!$A$3:$A$2150,P$1,'United Data'!$C$3:$C$2150,$A798)&gt;0,1,0)</f>
        <v>0</v>
      </c>
      <c r="Q798">
        <f>IF(COUNTIFS('United Data'!$A$3:$A$2150,Q$1,'United Data'!$C$3:$C$2150,$A798)&gt;0,1,0)</f>
        <v>0</v>
      </c>
      <c r="R798">
        <f>IF(COUNTIFS('United Data'!$A$3:$A$2150,R$1,'United Data'!$C$3:$C$2150,$A798)&gt;0,1,0)</f>
        <v>0</v>
      </c>
      <c r="S798">
        <f t="shared" si="24"/>
        <v>1</v>
      </c>
      <c r="T798">
        <f t="shared" si="25"/>
        <v>1</v>
      </c>
    </row>
    <row r="799" spans="1:20" x14ac:dyDescent="0.2">
      <c r="A799" t="s">
        <v>843</v>
      </c>
      <c r="B799">
        <f>IF(COUNTIFS('United Data'!$A$3:$A$2150,B$1,'United Data'!$C$3:$C$2150,$A799)&gt;0,1,0)</f>
        <v>0</v>
      </c>
      <c r="C799">
        <f>IF(COUNTIFS('United Data'!$A$3:$A$2150,C$1,'United Data'!$C$3:$C$2150,$A799)&gt;0,1,0)</f>
        <v>0</v>
      </c>
      <c r="D799">
        <f>IF(COUNTIFS('United Data'!$A$3:$A$2150,D$1,'United Data'!$C$3:$C$2150,$A799)&gt;0,1,0)</f>
        <v>0</v>
      </c>
      <c r="E799">
        <f>IF(COUNTIFS('United Data'!$A$3:$A$2150,E$1,'United Data'!$C$3:$C$2150,$A799)&gt;0,1,0)</f>
        <v>0</v>
      </c>
      <c r="F799">
        <f>IF(COUNTIFS('United Data'!$A$3:$A$2150,F$1,'United Data'!$C$3:$C$2150,$A799)&gt;0,1,0)</f>
        <v>1</v>
      </c>
      <c r="G799">
        <f>IF(COUNTIFS('United Data'!$A$3:$A$2150,G$1,'United Data'!$C$3:$C$2150,$A799)&gt;0,1,0)</f>
        <v>1</v>
      </c>
      <c r="H799">
        <f>IF(COUNTIFS('United Data'!$A$3:$A$2150,H$1,'United Data'!$C$3:$C$2150,$A799)&gt;0,1,0)</f>
        <v>1</v>
      </c>
      <c r="I799">
        <f>IF(COUNTIFS('United Data'!$A$3:$A$2150,I$1,'United Data'!$C$3:$C$2150,$A799)&gt;0,1,0)</f>
        <v>1</v>
      </c>
      <c r="J799">
        <f>IF(COUNTIFS('United Data'!$A$3:$A$2150,J$1,'United Data'!$C$3:$C$2150,$A799)&gt;0,1,0)</f>
        <v>1</v>
      </c>
      <c r="K799">
        <f>IF(COUNTIFS('United Data'!$A$3:$A$2150,K$1,'United Data'!$C$3:$C$2150,$A799)&gt;0,1,0)</f>
        <v>1</v>
      </c>
      <c r="L799">
        <f>IF(COUNTIFS('United Data'!$A$3:$A$2150,L$1,'United Data'!$C$3:$C$2150,$A799)&gt;0,1,0)</f>
        <v>0</v>
      </c>
      <c r="M799">
        <f>IF(COUNTIFS('United Data'!$A$3:$A$2150,M$1,'United Data'!$C$3:$C$2150,$A799)&gt;0,1,0)</f>
        <v>1</v>
      </c>
      <c r="N799">
        <f>IF(COUNTIFS('United Data'!$A$3:$A$2150,N$1,'United Data'!$C$3:$C$2150,$A799)&gt;0,1,0)</f>
        <v>0</v>
      </c>
      <c r="O799">
        <f>IF(COUNTIFS('United Data'!$A$3:$A$2150,O$1,'United Data'!$C$3:$C$2150,$A799)&gt;0,1,0)</f>
        <v>0</v>
      </c>
      <c r="P799">
        <f>IF(COUNTIFS('United Data'!$A$3:$A$2150,P$1,'United Data'!$C$3:$C$2150,$A799)&gt;0,1,0)</f>
        <v>0</v>
      </c>
      <c r="Q799">
        <f>IF(COUNTIFS('United Data'!$A$3:$A$2150,Q$1,'United Data'!$C$3:$C$2150,$A799)&gt;0,1,0)</f>
        <v>0</v>
      </c>
      <c r="R799">
        <f>IF(COUNTIFS('United Data'!$A$3:$A$2150,R$1,'United Data'!$C$3:$C$2150,$A799)&gt;0,1,0)</f>
        <v>0</v>
      </c>
      <c r="S799">
        <f t="shared" si="24"/>
        <v>7</v>
      </c>
      <c r="T799">
        <f t="shared" si="25"/>
        <v>2</v>
      </c>
    </row>
    <row r="800" spans="1:20" x14ac:dyDescent="0.2">
      <c r="A800" t="s">
        <v>844</v>
      </c>
      <c r="B800">
        <f>IF(COUNTIFS('United Data'!$A$3:$A$2150,B$1,'United Data'!$C$3:$C$2150,$A800)&gt;0,1,0)</f>
        <v>0</v>
      </c>
      <c r="C800">
        <f>IF(COUNTIFS('United Data'!$A$3:$A$2150,C$1,'United Data'!$C$3:$C$2150,$A800)&gt;0,1,0)</f>
        <v>0</v>
      </c>
      <c r="D800">
        <f>IF(COUNTIFS('United Data'!$A$3:$A$2150,D$1,'United Data'!$C$3:$C$2150,$A800)&gt;0,1,0)</f>
        <v>0</v>
      </c>
      <c r="E800">
        <f>IF(COUNTIFS('United Data'!$A$3:$A$2150,E$1,'United Data'!$C$3:$C$2150,$A800)&gt;0,1,0)</f>
        <v>0</v>
      </c>
      <c r="F800">
        <f>IF(COUNTIFS('United Data'!$A$3:$A$2150,F$1,'United Data'!$C$3:$C$2150,$A800)&gt;0,1,0)</f>
        <v>1</v>
      </c>
      <c r="G800">
        <f>IF(COUNTIFS('United Data'!$A$3:$A$2150,G$1,'United Data'!$C$3:$C$2150,$A800)&gt;0,1,0)</f>
        <v>1</v>
      </c>
      <c r="H800">
        <f>IF(COUNTIFS('United Data'!$A$3:$A$2150,H$1,'United Data'!$C$3:$C$2150,$A800)&gt;0,1,0)</f>
        <v>1</v>
      </c>
      <c r="I800">
        <f>IF(COUNTIFS('United Data'!$A$3:$A$2150,I$1,'United Data'!$C$3:$C$2150,$A800)&gt;0,1,0)</f>
        <v>1</v>
      </c>
      <c r="J800">
        <f>IF(COUNTIFS('United Data'!$A$3:$A$2150,J$1,'United Data'!$C$3:$C$2150,$A800)&gt;0,1,0)</f>
        <v>1</v>
      </c>
      <c r="K800">
        <f>IF(COUNTIFS('United Data'!$A$3:$A$2150,K$1,'United Data'!$C$3:$C$2150,$A800)&gt;0,1,0)</f>
        <v>0</v>
      </c>
      <c r="L800">
        <f>IF(COUNTIFS('United Data'!$A$3:$A$2150,L$1,'United Data'!$C$3:$C$2150,$A800)&gt;0,1,0)</f>
        <v>1</v>
      </c>
      <c r="M800">
        <f>IF(COUNTIFS('United Data'!$A$3:$A$2150,M$1,'United Data'!$C$3:$C$2150,$A800)&gt;0,1,0)</f>
        <v>1</v>
      </c>
      <c r="N800">
        <f>IF(COUNTIFS('United Data'!$A$3:$A$2150,N$1,'United Data'!$C$3:$C$2150,$A800)&gt;0,1,0)</f>
        <v>1</v>
      </c>
      <c r="O800">
        <f>IF(COUNTIFS('United Data'!$A$3:$A$2150,O$1,'United Data'!$C$3:$C$2150,$A800)&gt;0,1,0)</f>
        <v>0</v>
      </c>
      <c r="P800">
        <f>IF(COUNTIFS('United Data'!$A$3:$A$2150,P$1,'United Data'!$C$3:$C$2150,$A800)&gt;0,1,0)</f>
        <v>0</v>
      </c>
      <c r="Q800">
        <f>IF(COUNTIFS('United Data'!$A$3:$A$2150,Q$1,'United Data'!$C$3:$C$2150,$A800)&gt;0,1,0)</f>
        <v>0</v>
      </c>
      <c r="R800">
        <f>IF(COUNTIFS('United Data'!$A$3:$A$2150,R$1,'United Data'!$C$3:$C$2150,$A800)&gt;0,1,0)</f>
        <v>0</v>
      </c>
      <c r="S800">
        <f t="shared" si="24"/>
        <v>8</v>
      </c>
      <c r="T800">
        <f t="shared" si="25"/>
        <v>2</v>
      </c>
    </row>
    <row r="801" spans="1:20" x14ac:dyDescent="0.2">
      <c r="A801" t="s">
        <v>845</v>
      </c>
      <c r="B801">
        <f>IF(COUNTIFS('United Data'!$A$3:$A$2150,B$1,'United Data'!$C$3:$C$2150,$A801)&gt;0,1,0)</f>
        <v>0</v>
      </c>
      <c r="C801">
        <f>IF(COUNTIFS('United Data'!$A$3:$A$2150,C$1,'United Data'!$C$3:$C$2150,$A801)&gt;0,1,0)</f>
        <v>0</v>
      </c>
      <c r="D801">
        <f>IF(COUNTIFS('United Data'!$A$3:$A$2150,D$1,'United Data'!$C$3:$C$2150,$A801)&gt;0,1,0)</f>
        <v>0</v>
      </c>
      <c r="E801">
        <f>IF(COUNTIFS('United Data'!$A$3:$A$2150,E$1,'United Data'!$C$3:$C$2150,$A801)&gt;0,1,0)</f>
        <v>0</v>
      </c>
      <c r="F801">
        <f>IF(COUNTIFS('United Data'!$A$3:$A$2150,F$1,'United Data'!$C$3:$C$2150,$A801)&gt;0,1,0)</f>
        <v>1</v>
      </c>
      <c r="G801">
        <f>IF(COUNTIFS('United Data'!$A$3:$A$2150,G$1,'United Data'!$C$3:$C$2150,$A801)&gt;0,1,0)</f>
        <v>1</v>
      </c>
      <c r="H801">
        <f>IF(COUNTIFS('United Data'!$A$3:$A$2150,H$1,'United Data'!$C$3:$C$2150,$A801)&gt;0,1,0)</f>
        <v>0</v>
      </c>
      <c r="I801">
        <f>IF(COUNTIFS('United Data'!$A$3:$A$2150,I$1,'United Data'!$C$3:$C$2150,$A801)&gt;0,1,0)</f>
        <v>0</v>
      </c>
      <c r="J801">
        <f>IF(COUNTIFS('United Data'!$A$3:$A$2150,J$1,'United Data'!$C$3:$C$2150,$A801)&gt;0,1,0)</f>
        <v>0</v>
      </c>
      <c r="K801">
        <f>IF(COUNTIFS('United Data'!$A$3:$A$2150,K$1,'United Data'!$C$3:$C$2150,$A801)&gt;0,1,0)</f>
        <v>0</v>
      </c>
      <c r="L801">
        <f>IF(COUNTIFS('United Data'!$A$3:$A$2150,L$1,'United Data'!$C$3:$C$2150,$A801)&gt;0,1,0)</f>
        <v>1</v>
      </c>
      <c r="M801">
        <f>IF(COUNTIFS('United Data'!$A$3:$A$2150,M$1,'United Data'!$C$3:$C$2150,$A801)&gt;0,1,0)</f>
        <v>1</v>
      </c>
      <c r="N801">
        <f>IF(COUNTIFS('United Data'!$A$3:$A$2150,N$1,'United Data'!$C$3:$C$2150,$A801)&gt;0,1,0)</f>
        <v>0</v>
      </c>
      <c r="O801">
        <f>IF(COUNTIFS('United Data'!$A$3:$A$2150,O$1,'United Data'!$C$3:$C$2150,$A801)&gt;0,1,0)</f>
        <v>0</v>
      </c>
      <c r="P801">
        <f>IF(COUNTIFS('United Data'!$A$3:$A$2150,P$1,'United Data'!$C$3:$C$2150,$A801)&gt;0,1,0)</f>
        <v>0</v>
      </c>
      <c r="Q801">
        <f>IF(COUNTIFS('United Data'!$A$3:$A$2150,Q$1,'United Data'!$C$3:$C$2150,$A801)&gt;0,1,0)</f>
        <v>0</v>
      </c>
      <c r="R801">
        <f>IF(COUNTIFS('United Data'!$A$3:$A$2150,R$1,'United Data'!$C$3:$C$2150,$A801)&gt;0,1,0)</f>
        <v>0</v>
      </c>
      <c r="S801">
        <f t="shared" si="24"/>
        <v>4</v>
      </c>
      <c r="T801">
        <f t="shared" si="25"/>
        <v>2</v>
      </c>
    </row>
    <row r="802" spans="1:20" x14ac:dyDescent="0.2">
      <c r="A802" t="s">
        <v>846</v>
      </c>
      <c r="B802">
        <f>IF(COUNTIFS('United Data'!$A$3:$A$2150,B$1,'United Data'!$C$3:$C$2150,$A802)&gt;0,1,0)</f>
        <v>0</v>
      </c>
      <c r="C802">
        <f>IF(COUNTIFS('United Data'!$A$3:$A$2150,C$1,'United Data'!$C$3:$C$2150,$A802)&gt;0,1,0)</f>
        <v>0</v>
      </c>
      <c r="D802">
        <f>IF(COUNTIFS('United Data'!$A$3:$A$2150,D$1,'United Data'!$C$3:$C$2150,$A802)&gt;0,1,0)</f>
        <v>0</v>
      </c>
      <c r="E802">
        <f>IF(COUNTIFS('United Data'!$A$3:$A$2150,E$1,'United Data'!$C$3:$C$2150,$A802)&gt;0,1,0)</f>
        <v>0</v>
      </c>
      <c r="F802">
        <f>IF(COUNTIFS('United Data'!$A$3:$A$2150,F$1,'United Data'!$C$3:$C$2150,$A802)&gt;0,1,0)</f>
        <v>1</v>
      </c>
      <c r="G802">
        <f>IF(COUNTIFS('United Data'!$A$3:$A$2150,G$1,'United Data'!$C$3:$C$2150,$A802)&gt;0,1,0)</f>
        <v>0</v>
      </c>
      <c r="H802">
        <f>IF(COUNTIFS('United Data'!$A$3:$A$2150,H$1,'United Data'!$C$3:$C$2150,$A802)&gt;0,1,0)</f>
        <v>0</v>
      </c>
      <c r="I802">
        <f>IF(COUNTIFS('United Data'!$A$3:$A$2150,I$1,'United Data'!$C$3:$C$2150,$A802)&gt;0,1,0)</f>
        <v>0</v>
      </c>
      <c r="J802">
        <f>IF(COUNTIFS('United Data'!$A$3:$A$2150,J$1,'United Data'!$C$3:$C$2150,$A802)&gt;0,1,0)</f>
        <v>0</v>
      </c>
      <c r="K802">
        <f>IF(COUNTIFS('United Data'!$A$3:$A$2150,K$1,'United Data'!$C$3:$C$2150,$A802)&gt;0,1,0)</f>
        <v>0</v>
      </c>
      <c r="L802">
        <f>IF(COUNTIFS('United Data'!$A$3:$A$2150,L$1,'United Data'!$C$3:$C$2150,$A802)&gt;0,1,0)</f>
        <v>0</v>
      </c>
      <c r="M802">
        <f>IF(COUNTIFS('United Data'!$A$3:$A$2150,M$1,'United Data'!$C$3:$C$2150,$A802)&gt;0,1,0)</f>
        <v>0</v>
      </c>
      <c r="N802">
        <f>IF(COUNTIFS('United Data'!$A$3:$A$2150,N$1,'United Data'!$C$3:$C$2150,$A802)&gt;0,1,0)</f>
        <v>0</v>
      </c>
      <c r="O802">
        <f>IF(COUNTIFS('United Data'!$A$3:$A$2150,O$1,'United Data'!$C$3:$C$2150,$A802)&gt;0,1,0)</f>
        <v>0</v>
      </c>
      <c r="P802">
        <f>IF(COUNTIFS('United Data'!$A$3:$A$2150,P$1,'United Data'!$C$3:$C$2150,$A802)&gt;0,1,0)</f>
        <v>0</v>
      </c>
      <c r="Q802">
        <f>IF(COUNTIFS('United Data'!$A$3:$A$2150,Q$1,'United Data'!$C$3:$C$2150,$A802)&gt;0,1,0)</f>
        <v>0</v>
      </c>
      <c r="R802">
        <f>IF(COUNTIFS('United Data'!$A$3:$A$2150,R$1,'United Data'!$C$3:$C$2150,$A802)&gt;0,1,0)</f>
        <v>0</v>
      </c>
      <c r="S802">
        <f t="shared" si="24"/>
        <v>1</v>
      </c>
      <c r="T802">
        <f t="shared" si="25"/>
        <v>1</v>
      </c>
    </row>
    <row r="803" spans="1:20" x14ac:dyDescent="0.2">
      <c r="A803" t="s">
        <v>847</v>
      </c>
      <c r="B803">
        <f>IF(COUNTIFS('United Data'!$A$3:$A$2150,B$1,'United Data'!$C$3:$C$2150,$A803)&gt;0,1,0)</f>
        <v>0</v>
      </c>
      <c r="C803">
        <f>IF(COUNTIFS('United Data'!$A$3:$A$2150,C$1,'United Data'!$C$3:$C$2150,$A803)&gt;0,1,0)</f>
        <v>0</v>
      </c>
      <c r="D803">
        <f>IF(COUNTIFS('United Data'!$A$3:$A$2150,D$1,'United Data'!$C$3:$C$2150,$A803)&gt;0,1,0)</f>
        <v>0</v>
      </c>
      <c r="E803">
        <f>IF(COUNTIFS('United Data'!$A$3:$A$2150,E$1,'United Data'!$C$3:$C$2150,$A803)&gt;0,1,0)</f>
        <v>0</v>
      </c>
      <c r="F803">
        <f>IF(COUNTIFS('United Data'!$A$3:$A$2150,F$1,'United Data'!$C$3:$C$2150,$A803)&gt;0,1,0)</f>
        <v>1</v>
      </c>
      <c r="G803">
        <f>IF(COUNTIFS('United Data'!$A$3:$A$2150,G$1,'United Data'!$C$3:$C$2150,$A803)&gt;0,1,0)</f>
        <v>1</v>
      </c>
      <c r="H803">
        <f>IF(COUNTIFS('United Data'!$A$3:$A$2150,H$1,'United Data'!$C$3:$C$2150,$A803)&gt;0,1,0)</f>
        <v>0</v>
      </c>
      <c r="I803">
        <f>IF(COUNTIFS('United Data'!$A$3:$A$2150,I$1,'United Data'!$C$3:$C$2150,$A803)&gt;0,1,0)</f>
        <v>1</v>
      </c>
      <c r="J803">
        <f>IF(COUNTIFS('United Data'!$A$3:$A$2150,J$1,'United Data'!$C$3:$C$2150,$A803)&gt;0,1,0)</f>
        <v>1</v>
      </c>
      <c r="K803">
        <f>IF(COUNTIFS('United Data'!$A$3:$A$2150,K$1,'United Data'!$C$3:$C$2150,$A803)&gt;0,1,0)</f>
        <v>1</v>
      </c>
      <c r="L803">
        <f>IF(COUNTIFS('United Data'!$A$3:$A$2150,L$1,'United Data'!$C$3:$C$2150,$A803)&gt;0,1,0)</f>
        <v>1</v>
      </c>
      <c r="M803">
        <f>IF(COUNTIFS('United Data'!$A$3:$A$2150,M$1,'United Data'!$C$3:$C$2150,$A803)&gt;0,1,0)</f>
        <v>1</v>
      </c>
      <c r="N803">
        <f>IF(COUNTIFS('United Data'!$A$3:$A$2150,N$1,'United Data'!$C$3:$C$2150,$A803)&gt;0,1,0)</f>
        <v>1</v>
      </c>
      <c r="O803">
        <f>IF(COUNTIFS('United Data'!$A$3:$A$2150,O$1,'United Data'!$C$3:$C$2150,$A803)&gt;0,1,0)</f>
        <v>0</v>
      </c>
      <c r="P803">
        <f>IF(COUNTIFS('United Data'!$A$3:$A$2150,P$1,'United Data'!$C$3:$C$2150,$A803)&gt;0,1,0)</f>
        <v>0</v>
      </c>
      <c r="Q803">
        <f>IF(COUNTIFS('United Data'!$A$3:$A$2150,Q$1,'United Data'!$C$3:$C$2150,$A803)&gt;0,1,0)</f>
        <v>0</v>
      </c>
      <c r="R803">
        <f>IF(COUNTIFS('United Data'!$A$3:$A$2150,R$1,'United Data'!$C$3:$C$2150,$A803)&gt;0,1,0)</f>
        <v>0</v>
      </c>
      <c r="S803">
        <f t="shared" si="24"/>
        <v>8</v>
      </c>
      <c r="T803">
        <f t="shared" si="25"/>
        <v>2</v>
      </c>
    </row>
    <row r="804" spans="1:20" x14ac:dyDescent="0.2">
      <c r="A804" t="s">
        <v>848</v>
      </c>
      <c r="B804">
        <f>IF(COUNTIFS('United Data'!$A$3:$A$2150,B$1,'United Data'!$C$3:$C$2150,$A804)&gt;0,1,0)</f>
        <v>0</v>
      </c>
      <c r="C804">
        <f>IF(COUNTIFS('United Data'!$A$3:$A$2150,C$1,'United Data'!$C$3:$C$2150,$A804)&gt;0,1,0)</f>
        <v>0</v>
      </c>
      <c r="D804">
        <f>IF(COUNTIFS('United Data'!$A$3:$A$2150,D$1,'United Data'!$C$3:$C$2150,$A804)&gt;0,1,0)</f>
        <v>0</v>
      </c>
      <c r="E804">
        <f>IF(COUNTIFS('United Data'!$A$3:$A$2150,E$1,'United Data'!$C$3:$C$2150,$A804)&gt;0,1,0)</f>
        <v>0</v>
      </c>
      <c r="F804">
        <f>IF(COUNTIFS('United Data'!$A$3:$A$2150,F$1,'United Data'!$C$3:$C$2150,$A804)&gt;0,1,0)</f>
        <v>1</v>
      </c>
      <c r="G804">
        <f>IF(COUNTIFS('United Data'!$A$3:$A$2150,G$1,'United Data'!$C$3:$C$2150,$A804)&gt;0,1,0)</f>
        <v>0</v>
      </c>
      <c r="H804">
        <f>IF(COUNTIFS('United Data'!$A$3:$A$2150,H$1,'United Data'!$C$3:$C$2150,$A804)&gt;0,1,0)</f>
        <v>1</v>
      </c>
      <c r="I804">
        <f>IF(COUNTIFS('United Data'!$A$3:$A$2150,I$1,'United Data'!$C$3:$C$2150,$A804)&gt;0,1,0)</f>
        <v>1</v>
      </c>
      <c r="J804">
        <f>IF(COUNTIFS('United Data'!$A$3:$A$2150,J$1,'United Data'!$C$3:$C$2150,$A804)&gt;0,1,0)</f>
        <v>1</v>
      </c>
      <c r="K804">
        <f>IF(COUNTIFS('United Data'!$A$3:$A$2150,K$1,'United Data'!$C$3:$C$2150,$A804)&gt;0,1,0)</f>
        <v>1</v>
      </c>
      <c r="L804">
        <f>IF(COUNTIFS('United Data'!$A$3:$A$2150,L$1,'United Data'!$C$3:$C$2150,$A804)&gt;0,1,0)</f>
        <v>0</v>
      </c>
      <c r="M804">
        <f>IF(COUNTIFS('United Data'!$A$3:$A$2150,M$1,'United Data'!$C$3:$C$2150,$A804)&gt;0,1,0)</f>
        <v>0</v>
      </c>
      <c r="N804">
        <f>IF(COUNTIFS('United Data'!$A$3:$A$2150,N$1,'United Data'!$C$3:$C$2150,$A804)&gt;0,1,0)</f>
        <v>0</v>
      </c>
      <c r="O804">
        <f>IF(COUNTIFS('United Data'!$A$3:$A$2150,O$1,'United Data'!$C$3:$C$2150,$A804)&gt;0,1,0)</f>
        <v>0</v>
      </c>
      <c r="P804">
        <f>IF(COUNTIFS('United Data'!$A$3:$A$2150,P$1,'United Data'!$C$3:$C$2150,$A804)&gt;0,1,0)</f>
        <v>0</v>
      </c>
      <c r="Q804">
        <f>IF(COUNTIFS('United Data'!$A$3:$A$2150,Q$1,'United Data'!$C$3:$C$2150,$A804)&gt;0,1,0)</f>
        <v>0</v>
      </c>
      <c r="R804">
        <f>IF(COUNTIFS('United Data'!$A$3:$A$2150,R$1,'United Data'!$C$3:$C$2150,$A804)&gt;0,1,0)</f>
        <v>0</v>
      </c>
      <c r="S804">
        <f t="shared" si="24"/>
        <v>5</v>
      </c>
      <c r="T804">
        <f t="shared" si="25"/>
        <v>2</v>
      </c>
    </row>
    <row r="805" spans="1:20" x14ac:dyDescent="0.2">
      <c r="A805" t="s">
        <v>849</v>
      </c>
      <c r="B805">
        <f>IF(COUNTIFS('United Data'!$A$3:$A$2150,B$1,'United Data'!$C$3:$C$2150,$A805)&gt;0,1,0)</f>
        <v>0</v>
      </c>
      <c r="C805">
        <f>IF(COUNTIFS('United Data'!$A$3:$A$2150,C$1,'United Data'!$C$3:$C$2150,$A805)&gt;0,1,0)</f>
        <v>0</v>
      </c>
      <c r="D805">
        <f>IF(COUNTIFS('United Data'!$A$3:$A$2150,D$1,'United Data'!$C$3:$C$2150,$A805)&gt;0,1,0)</f>
        <v>0</v>
      </c>
      <c r="E805">
        <f>IF(COUNTIFS('United Data'!$A$3:$A$2150,E$1,'United Data'!$C$3:$C$2150,$A805)&gt;0,1,0)</f>
        <v>0</v>
      </c>
      <c r="F805">
        <f>IF(COUNTIFS('United Data'!$A$3:$A$2150,F$1,'United Data'!$C$3:$C$2150,$A805)&gt;0,1,0)</f>
        <v>1</v>
      </c>
      <c r="G805">
        <f>IF(COUNTIFS('United Data'!$A$3:$A$2150,G$1,'United Data'!$C$3:$C$2150,$A805)&gt;0,1,0)</f>
        <v>0</v>
      </c>
      <c r="H805">
        <f>IF(COUNTIFS('United Data'!$A$3:$A$2150,H$1,'United Data'!$C$3:$C$2150,$A805)&gt;0,1,0)</f>
        <v>0</v>
      </c>
      <c r="I805">
        <f>IF(COUNTIFS('United Data'!$A$3:$A$2150,I$1,'United Data'!$C$3:$C$2150,$A805)&gt;0,1,0)</f>
        <v>0</v>
      </c>
      <c r="J805">
        <f>IF(COUNTIFS('United Data'!$A$3:$A$2150,J$1,'United Data'!$C$3:$C$2150,$A805)&gt;0,1,0)</f>
        <v>0</v>
      </c>
      <c r="K805">
        <f>IF(COUNTIFS('United Data'!$A$3:$A$2150,K$1,'United Data'!$C$3:$C$2150,$A805)&gt;0,1,0)</f>
        <v>0</v>
      </c>
      <c r="L805">
        <f>IF(COUNTIFS('United Data'!$A$3:$A$2150,L$1,'United Data'!$C$3:$C$2150,$A805)&gt;0,1,0)</f>
        <v>0</v>
      </c>
      <c r="M805">
        <f>IF(COUNTIFS('United Data'!$A$3:$A$2150,M$1,'United Data'!$C$3:$C$2150,$A805)&gt;0,1,0)</f>
        <v>0</v>
      </c>
      <c r="N805">
        <f>IF(COUNTIFS('United Data'!$A$3:$A$2150,N$1,'United Data'!$C$3:$C$2150,$A805)&gt;0,1,0)</f>
        <v>0</v>
      </c>
      <c r="O805">
        <f>IF(COUNTIFS('United Data'!$A$3:$A$2150,O$1,'United Data'!$C$3:$C$2150,$A805)&gt;0,1,0)</f>
        <v>0</v>
      </c>
      <c r="P805">
        <f>IF(COUNTIFS('United Data'!$A$3:$A$2150,P$1,'United Data'!$C$3:$C$2150,$A805)&gt;0,1,0)</f>
        <v>0</v>
      </c>
      <c r="Q805">
        <f>IF(COUNTIFS('United Data'!$A$3:$A$2150,Q$1,'United Data'!$C$3:$C$2150,$A805)&gt;0,1,0)</f>
        <v>0</v>
      </c>
      <c r="R805">
        <f>IF(COUNTIFS('United Data'!$A$3:$A$2150,R$1,'United Data'!$C$3:$C$2150,$A805)&gt;0,1,0)</f>
        <v>0</v>
      </c>
      <c r="S805">
        <f t="shared" si="24"/>
        <v>1</v>
      </c>
      <c r="T805">
        <f t="shared" si="25"/>
        <v>1</v>
      </c>
    </row>
    <row r="806" spans="1:20" x14ac:dyDescent="0.2">
      <c r="A806" t="s">
        <v>850</v>
      </c>
      <c r="B806">
        <f>IF(COUNTIFS('United Data'!$A$3:$A$2150,B$1,'United Data'!$C$3:$C$2150,$A806)&gt;0,1,0)</f>
        <v>0</v>
      </c>
      <c r="C806">
        <f>IF(COUNTIFS('United Data'!$A$3:$A$2150,C$1,'United Data'!$C$3:$C$2150,$A806)&gt;0,1,0)</f>
        <v>0</v>
      </c>
      <c r="D806">
        <f>IF(COUNTIFS('United Data'!$A$3:$A$2150,D$1,'United Data'!$C$3:$C$2150,$A806)&gt;0,1,0)</f>
        <v>0</v>
      </c>
      <c r="E806">
        <f>IF(COUNTIFS('United Data'!$A$3:$A$2150,E$1,'United Data'!$C$3:$C$2150,$A806)&gt;0,1,0)</f>
        <v>0</v>
      </c>
      <c r="F806">
        <f>IF(COUNTIFS('United Data'!$A$3:$A$2150,F$1,'United Data'!$C$3:$C$2150,$A806)&gt;0,1,0)</f>
        <v>1</v>
      </c>
      <c r="G806">
        <f>IF(COUNTIFS('United Data'!$A$3:$A$2150,G$1,'United Data'!$C$3:$C$2150,$A806)&gt;0,1,0)</f>
        <v>0</v>
      </c>
      <c r="H806">
        <f>IF(COUNTIFS('United Data'!$A$3:$A$2150,H$1,'United Data'!$C$3:$C$2150,$A806)&gt;0,1,0)</f>
        <v>0</v>
      </c>
      <c r="I806">
        <f>IF(COUNTIFS('United Data'!$A$3:$A$2150,I$1,'United Data'!$C$3:$C$2150,$A806)&gt;0,1,0)</f>
        <v>0</v>
      </c>
      <c r="J806">
        <f>IF(COUNTIFS('United Data'!$A$3:$A$2150,J$1,'United Data'!$C$3:$C$2150,$A806)&gt;0,1,0)</f>
        <v>0</v>
      </c>
      <c r="K806">
        <f>IF(COUNTIFS('United Data'!$A$3:$A$2150,K$1,'United Data'!$C$3:$C$2150,$A806)&gt;0,1,0)</f>
        <v>0</v>
      </c>
      <c r="L806">
        <f>IF(COUNTIFS('United Data'!$A$3:$A$2150,L$1,'United Data'!$C$3:$C$2150,$A806)&gt;0,1,0)</f>
        <v>0</v>
      </c>
      <c r="M806">
        <f>IF(COUNTIFS('United Data'!$A$3:$A$2150,M$1,'United Data'!$C$3:$C$2150,$A806)&gt;0,1,0)</f>
        <v>0</v>
      </c>
      <c r="N806">
        <f>IF(COUNTIFS('United Data'!$A$3:$A$2150,N$1,'United Data'!$C$3:$C$2150,$A806)&gt;0,1,0)</f>
        <v>0</v>
      </c>
      <c r="O806">
        <f>IF(COUNTIFS('United Data'!$A$3:$A$2150,O$1,'United Data'!$C$3:$C$2150,$A806)&gt;0,1,0)</f>
        <v>0</v>
      </c>
      <c r="P806">
        <f>IF(COUNTIFS('United Data'!$A$3:$A$2150,P$1,'United Data'!$C$3:$C$2150,$A806)&gt;0,1,0)</f>
        <v>0</v>
      </c>
      <c r="Q806">
        <f>IF(COUNTIFS('United Data'!$A$3:$A$2150,Q$1,'United Data'!$C$3:$C$2150,$A806)&gt;0,1,0)</f>
        <v>0</v>
      </c>
      <c r="R806">
        <f>IF(COUNTIFS('United Data'!$A$3:$A$2150,R$1,'United Data'!$C$3:$C$2150,$A806)&gt;0,1,0)</f>
        <v>0</v>
      </c>
      <c r="S806">
        <f t="shared" si="24"/>
        <v>1</v>
      </c>
      <c r="T806">
        <f t="shared" si="25"/>
        <v>1</v>
      </c>
    </row>
    <row r="807" spans="1:20" x14ac:dyDescent="0.2">
      <c r="A807" t="s">
        <v>851</v>
      </c>
      <c r="B807">
        <f>IF(COUNTIFS('United Data'!$A$3:$A$2150,B$1,'United Data'!$C$3:$C$2150,$A807)&gt;0,1,0)</f>
        <v>0</v>
      </c>
      <c r="C807">
        <f>IF(COUNTIFS('United Data'!$A$3:$A$2150,C$1,'United Data'!$C$3:$C$2150,$A807)&gt;0,1,0)</f>
        <v>0</v>
      </c>
      <c r="D807">
        <f>IF(COUNTIFS('United Data'!$A$3:$A$2150,D$1,'United Data'!$C$3:$C$2150,$A807)&gt;0,1,0)</f>
        <v>0</v>
      </c>
      <c r="E807">
        <f>IF(COUNTIFS('United Data'!$A$3:$A$2150,E$1,'United Data'!$C$3:$C$2150,$A807)&gt;0,1,0)</f>
        <v>0</v>
      </c>
      <c r="F807">
        <f>IF(COUNTIFS('United Data'!$A$3:$A$2150,F$1,'United Data'!$C$3:$C$2150,$A807)&gt;0,1,0)</f>
        <v>1</v>
      </c>
      <c r="G807">
        <f>IF(COUNTIFS('United Data'!$A$3:$A$2150,G$1,'United Data'!$C$3:$C$2150,$A807)&gt;0,1,0)</f>
        <v>0</v>
      </c>
      <c r="H807">
        <f>IF(COUNTIFS('United Data'!$A$3:$A$2150,H$1,'United Data'!$C$3:$C$2150,$A807)&gt;0,1,0)</f>
        <v>0</v>
      </c>
      <c r="I807">
        <f>IF(COUNTIFS('United Data'!$A$3:$A$2150,I$1,'United Data'!$C$3:$C$2150,$A807)&gt;0,1,0)</f>
        <v>0</v>
      </c>
      <c r="J807">
        <f>IF(COUNTIFS('United Data'!$A$3:$A$2150,J$1,'United Data'!$C$3:$C$2150,$A807)&gt;0,1,0)</f>
        <v>0</v>
      </c>
      <c r="K807">
        <f>IF(COUNTIFS('United Data'!$A$3:$A$2150,K$1,'United Data'!$C$3:$C$2150,$A807)&gt;0,1,0)</f>
        <v>0</v>
      </c>
      <c r="L807">
        <f>IF(COUNTIFS('United Data'!$A$3:$A$2150,L$1,'United Data'!$C$3:$C$2150,$A807)&gt;0,1,0)</f>
        <v>0</v>
      </c>
      <c r="M807">
        <f>IF(COUNTIFS('United Data'!$A$3:$A$2150,M$1,'United Data'!$C$3:$C$2150,$A807)&gt;0,1,0)</f>
        <v>0</v>
      </c>
      <c r="N807">
        <f>IF(COUNTIFS('United Data'!$A$3:$A$2150,N$1,'United Data'!$C$3:$C$2150,$A807)&gt;0,1,0)</f>
        <v>0</v>
      </c>
      <c r="O807">
        <f>IF(COUNTIFS('United Data'!$A$3:$A$2150,O$1,'United Data'!$C$3:$C$2150,$A807)&gt;0,1,0)</f>
        <v>0</v>
      </c>
      <c r="P807">
        <f>IF(COUNTIFS('United Data'!$A$3:$A$2150,P$1,'United Data'!$C$3:$C$2150,$A807)&gt;0,1,0)</f>
        <v>0</v>
      </c>
      <c r="Q807">
        <f>IF(COUNTIFS('United Data'!$A$3:$A$2150,Q$1,'United Data'!$C$3:$C$2150,$A807)&gt;0,1,0)</f>
        <v>0</v>
      </c>
      <c r="R807">
        <f>IF(COUNTIFS('United Data'!$A$3:$A$2150,R$1,'United Data'!$C$3:$C$2150,$A807)&gt;0,1,0)</f>
        <v>0</v>
      </c>
      <c r="S807">
        <f t="shared" si="24"/>
        <v>1</v>
      </c>
      <c r="T807">
        <f t="shared" si="25"/>
        <v>1</v>
      </c>
    </row>
    <row r="808" spans="1:20" x14ac:dyDescent="0.2">
      <c r="A808" t="s">
        <v>852</v>
      </c>
      <c r="B808">
        <f>IF(COUNTIFS('United Data'!$A$3:$A$2150,B$1,'United Data'!$C$3:$C$2150,$A808)&gt;0,1,0)</f>
        <v>0</v>
      </c>
      <c r="C808">
        <f>IF(COUNTIFS('United Data'!$A$3:$A$2150,C$1,'United Data'!$C$3:$C$2150,$A808)&gt;0,1,0)</f>
        <v>0</v>
      </c>
      <c r="D808">
        <f>IF(COUNTIFS('United Data'!$A$3:$A$2150,D$1,'United Data'!$C$3:$C$2150,$A808)&gt;0,1,0)</f>
        <v>0</v>
      </c>
      <c r="E808">
        <f>IF(COUNTIFS('United Data'!$A$3:$A$2150,E$1,'United Data'!$C$3:$C$2150,$A808)&gt;0,1,0)</f>
        <v>0</v>
      </c>
      <c r="F808">
        <f>IF(COUNTIFS('United Data'!$A$3:$A$2150,F$1,'United Data'!$C$3:$C$2150,$A808)&gt;0,1,0)</f>
        <v>1</v>
      </c>
      <c r="G808">
        <f>IF(COUNTIFS('United Data'!$A$3:$A$2150,G$1,'United Data'!$C$3:$C$2150,$A808)&gt;0,1,0)</f>
        <v>0</v>
      </c>
      <c r="H808">
        <f>IF(COUNTIFS('United Data'!$A$3:$A$2150,H$1,'United Data'!$C$3:$C$2150,$A808)&gt;0,1,0)</f>
        <v>0</v>
      </c>
      <c r="I808">
        <f>IF(COUNTIFS('United Data'!$A$3:$A$2150,I$1,'United Data'!$C$3:$C$2150,$A808)&gt;0,1,0)</f>
        <v>0</v>
      </c>
      <c r="J808">
        <f>IF(COUNTIFS('United Data'!$A$3:$A$2150,J$1,'United Data'!$C$3:$C$2150,$A808)&gt;0,1,0)</f>
        <v>0</v>
      </c>
      <c r="K808">
        <f>IF(COUNTIFS('United Data'!$A$3:$A$2150,K$1,'United Data'!$C$3:$C$2150,$A808)&gt;0,1,0)</f>
        <v>0</v>
      </c>
      <c r="L808">
        <f>IF(COUNTIFS('United Data'!$A$3:$A$2150,L$1,'United Data'!$C$3:$C$2150,$A808)&gt;0,1,0)</f>
        <v>0</v>
      </c>
      <c r="M808">
        <f>IF(COUNTIFS('United Data'!$A$3:$A$2150,M$1,'United Data'!$C$3:$C$2150,$A808)&gt;0,1,0)</f>
        <v>0</v>
      </c>
      <c r="N808">
        <f>IF(COUNTIFS('United Data'!$A$3:$A$2150,N$1,'United Data'!$C$3:$C$2150,$A808)&gt;0,1,0)</f>
        <v>0</v>
      </c>
      <c r="O808">
        <f>IF(COUNTIFS('United Data'!$A$3:$A$2150,O$1,'United Data'!$C$3:$C$2150,$A808)&gt;0,1,0)</f>
        <v>0</v>
      </c>
      <c r="P808">
        <f>IF(COUNTIFS('United Data'!$A$3:$A$2150,P$1,'United Data'!$C$3:$C$2150,$A808)&gt;0,1,0)</f>
        <v>0</v>
      </c>
      <c r="Q808">
        <f>IF(COUNTIFS('United Data'!$A$3:$A$2150,Q$1,'United Data'!$C$3:$C$2150,$A808)&gt;0,1,0)</f>
        <v>0</v>
      </c>
      <c r="R808">
        <f>IF(COUNTIFS('United Data'!$A$3:$A$2150,R$1,'United Data'!$C$3:$C$2150,$A808)&gt;0,1,0)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853</v>
      </c>
      <c r="B809">
        <f>IF(COUNTIFS('United Data'!$A$3:$A$2150,B$1,'United Data'!$C$3:$C$2150,$A809)&gt;0,1,0)</f>
        <v>0</v>
      </c>
      <c r="C809">
        <f>IF(COUNTIFS('United Data'!$A$3:$A$2150,C$1,'United Data'!$C$3:$C$2150,$A809)&gt;0,1,0)</f>
        <v>0</v>
      </c>
      <c r="D809">
        <f>IF(COUNTIFS('United Data'!$A$3:$A$2150,D$1,'United Data'!$C$3:$C$2150,$A809)&gt;0,1,0)</f>
        <v>0</v>
      </c>
      <c r="E809">
        <f>IF(COUNTIFS('United Data'!$A$3:$A$2150,E$1,'United Data'!$C$3:$C$2150,$A809)&gt;0,1,0)</f>
        <v>0</v>
      </c>
      <c r="F809">
        <f>IF(COUNTIFS('United Data'!$A$3:$A$2150,F$1,'United Data'!$C$3:$C$2150,$A809)&gt;0,1,0)</f>
        <v>1</v>
      </c>
      <c r="G809">
        <f>IF(COUNTIFS('United Data'!$A$3:$A$2150,G$1,'United Data'!$C$3:$C$2150,$A809)&gt;0,1,0)</f>
        <v>1</v>
      </c>
      <c r="H809">
        <f>IF(COUNTIFS('United Data'!$A$3:$A$2150,H$1,'United Data'!$C$3:$C$2150,$A809)&gt;0,1,0)</f>
        <v>0</v>
      </c>
      <c r="I809">
        <f>IF(COUNTIFS('United Data'!$A$3:$A$2150,I$1,'United Data'!$C$3:$C$2150,$A809)&gt;0,1,0)</f>
        <v>0</v>
      </c>
      <c r="J809">
        <f>IF(COUNTIFS('United Data'!$A$3:$A$2150,J$1,'United Data'!$C$3:$C$2150,$A809)&gt;0,1,0)</f>
        <v>0</v>
      </c>
      <c r="K809">
        <f>IF(COUNTIFS('United Data'!$A$3:$A$2150,K$1,'United Data'!$C$3:$C$2150,$A809)&gt;0,1,0)</f>
        <v>0</v>
      </c>
      <c r="L809">
        <f>IF(COUNTIFS('United Data'!$A$3:$A$2150,L$1,'United Data'!$C$3:$C$2150,$A809)&gt;0,1,0)</f>
        <v>0</v>
      </c>
      <c r="M809">
        <f>IF(COUNTIFS('United Data'!$A$3:$A$2150,M$1,'United Data'!$C$3:$C$2150,$A809)&gt;0,1,0)</f>
        <v>0</v>
      </c>
      <c r="N809">
        <f>IF(COUNTIFS('United Data'!$A$3:$A$2150,N$1,'United Data'!$C$3:$C$2150,$A809)&gt;0,1,0)</f>
        <v>0</v>
      </c>
      <c r="O809">
        <f>IF(COUNTIFS('United Data'!$A$3:$A$2150,O$1,'United Data'!$C$3:$C$2150,$A809)&gt;0,1,0)</f>
        <v>0</v>
      </c>
      <c r="P809">
        <f>IF(COUNTIFS('United Data'!$A$3:$A$2150,P$1,'United Data'!$C$3:$C$2150,$A809)&gt;0,1,0)</f>
        <v>0</v>
      </c>
      <c r="Q809">
        <f>IF(COUNTIFS('United Data'!$A$3:$A$2150,Q$1,'United Data'!$C$3:$C$2150,$A809)&gt;0,1,0)</f>
        <v>0</v>
      </c>
      <c r="R809">
        <f>IF(COUNTIFS('United Data'!$A$3:$A$2150,R$1,'United Data'!$C$3:$C$2150,$A809)&gt;0,1,0)</f>
        <v>0</v>
      </c>
      <c r="S809">
        <f t="shared" si="24"/>
        <v>2</v>
      </c>
      <c r="T809">
        <f t="shared" si="25"/>
        <v>1</v>
      </c>
    </row>
    <row r="810" spans="1:20" x14ac:dyDescent="0.2">
      <c r="A810" t="s">
        <v>855</v>
      </c>
      <c r="B810">
        <f>IF(COUNTIFS('United Data'!$A$3:$A$2150,B$1,'United Data'!$C$3:$C$2150,$A810)&gt;0,1,0)</f>
        <v>0</v>
      </c>
      <c r="C810">
        <f>IF(COUNTIFS('United Data'!$A$3:$A$2150,C$1,'United Data'!$C$3:$C$2150,$A810)&gt;0,1,0)</f>
        <v>0</v>
      </c>
      <c r="D810">
        <f>IF(COUNTIFS('United Data'!$A$3:$A$2150,D$1,'United Data'!$C$3:$C$2150,$A810)&gt;0,1,0)</f>
        <v>0</v>
      </c>
      <c r="E810">
        <f>IF(COUNTIFS('United Data'!$A$3:$A$2150,E$1,'United Data'!$C$3:$C$2150,$A810)&gt;0,1,0)</f>
        <v>0</v>
      </c>
      <c r="F810">
        <f>IF(COUNTIFS('United Data'!$A$3:$A$2150,F$1,'United Data'!$C$3:$C$2150,$A810)&gt;0,1,0)</f>
        <v>0</v>
      </c>
      <c r="G810">
        <f>IF(COUNTIFS('United Data'!$A$3:$A$2150,G$1,'United Data'!$C$3:$C$2150,$A810)&gt;0,1,0)</f>
        <v>1</v>
      </c>
      <c r="H810">
        <f>IF(COUNTIFS('United Data'!$A$3:$A$2150,H$1,'United Data'!$C$3:$C$2150,$A810)&gt;0,1,0)</f>
        <v>0</v>
      </c>
      <c r="I810">
        <f>IF(COUNTIFS('United Data'!$A$3:$A$2150,I$1,'United Data'!$C$3:$C$2150,$A810)&gt;0,1,0)</f>
        <v>0</v>
      </c>
      <c r="J810">
        <f>IF(COUNTIFS('United Data'!$A$3:$A$2150,J$1,'United Data'!$C$3:$C$2150,$A810)&gt;0,1,0)</f>
        <v>0</v>
      </c>
      <c r="K810">
        <f>IF(COUNTIFS('United Data'!$A$3:$A$2150,K$1,'United Data'!$C$3:$C$2150,$A810)&gt;0,1,0)</f>
        <v>0</v>
      </c>
      <c r="L810">
        <f>IF(COUNTIFS('United Data'!$A$3:$A$2150,L$1,'United Data'!$C$3:$C$2150,$A810)&gt;0,1,0)</f>
        <v>0</v>
      </c>
      <c r="M810">
        <f>IF(COUNTIFS('United Data'!$A$3:$A$2150,M$1,'United Data'!$C$3:$C$2150,$A810)&gt;0,1,0)</f>
        <v>0</v>
      </c>
      <c r="N810">
        <f>IF(COUNTIFS('United Data'!$A$3:$A$2150,N$1,'United Data'!$C$3:$C$2150,$A810)&gt;0,1,0)</f>
        <v>0</v>
      </c>
      <c r="O810">
        <f>IF(COUNTIFS('United Data'!$A$3:$A$2150,O$1,'United Data'!$C$3:$C$2150,$A810)&gt;0,1,0)</f>
        <v>0</v>
      </c>
      <c r="P810">
        <f>IF(COUNTIFS('United Data'!$A$3:$A$2150,P$1,'United Data'!$C$3:$C$2150,$A810)&gt;0,1,0)</f>
        <v>1</v>
      </c>
      <c r="Q810">
        <f>IF(COUNTIFS('United Data'!$A$3:$A$2150,Q$1,'United Data'!$C$3:$C$2150,$A810)&gt;0,1,0)</f>
        <v>0</v>
      </c>
      <c r="R810">
        <f>IF(COUNTIFS('United Data'!$A$3:$A$2150,R$1,'United Data'!$C$3:$C$2150,$A810)&gt;0,1,0)</f>
        <v>0</v>
      </c>
      <c r="S810">
        <f t="shared" si="24"/>
        <v>2</v>
      </c>
      <c r="T810">
        <f t="shared" si="25"/>
        <v>2</v>
      </c>
    </row>
    <row r="811" spans="1:20" x14ac:dyDescent="0.2">
      <c r="A811" t="s">
        <v>856</v>
      </c>
      <c r="B811">
        <f>IF(COUNTIFS('United Data'!$A$3:$A$2150,B$1,'United Data'!$C$3:$C$2150,$A811)&gt;0,1,0)</f>
        <v>0</v>
      </c>
      <c r="C811">
        <f>IF(COUNTIFS('United Data'!$A$3:$A$2150,C$1,'United Data'!$C$3:$C$2150,$A811)&gt;0,1,0)</f>
        <v>0</v>
      </c>
      <c r="D811">
        <f>IF(COUNTIFS('United Data'!$A$3:$A$2150,D$1,'United Data'!$C$3:$C$2150,$A811)&gt;0,1,0)</f>
        <v>0</v>
      </c>
      <c r="E811">
        <f>IF(COUNTIFS('United Data'!$A$3:$A$2150,E$1,'United Data'!$C$3:$C$2150,$A811)&gt;0,1,0)</f>
        <v>0</v>
      </c>
      <c r="F811">
        <f>IF(COUNTIFS('United Data'!$A$3:$A$2150,F$1,'United Data'!$C$3:$C$2150,$A811)&gt;0,1,0)</f>
        <v>0</v>
      </c>
      <c r="G811">
        <f>IF(COUNTIFS('United Data'!$A$3:$A$2150,G$1,'United Data'!$C$3:$C$2150,$A811)&gt;0,1,0)</f>
        <v>1</v>
      </c>
      <c r="H811">
        <f>IF(COUNTIFS('United Data'!$A$3:$A$2150,H$1,'United Data'!$C$3:$C$2150,$A811)&gt;0,1,0)</f>
        <v>0</v>
      </c>
      <c r="I811">
        <f>IF(COUNTIFS('United Data'!$A$3:$A$2150,I$1,'United Data'!$C$3:$C$2150,$A811)&gt;0,1,0)</f>
        <v>0</v>
      </c>
      <c r="J811">
        <f>IF(COUNTIFS('United Data'!$A$3:$A$2150,J$1,'United Data'!$C$3:$C$2150,$A811)&gt;0,1,0)</f>
        <v>0</v>
      </c>
      <c r="K811">
        <f>IF(COUNTIFS('United Data'!$A$3:$A$2150,K$1,'United Data'!$C$3:$C$2150,$A811)&gt;0,1,0)</f>
        <v>0</v>
      </c>
      <c r="L811">
        <f>IF(COUNTIFS('United Data'!$A$3:$A$2150,L$1,'United Data'!$C$3:$C$2150,$A811)&gt;0,1,0)</f>
        <v>0</v>
      </c>
      <c r="M811">
        <f>IF(COUNTIFS('United Data'!$A$3:$A$2150,M$1,'United Data'!$C$3:$C$2150,$A811)&gt;0,1,0)</f>
        <v>0</v>
      </c>
      <c r="N811">
        <f>IF(COUNTIFS('United Data'!$A$3:$A$2150,N$1,'United Data'!$C$3:$C$2150,$A811)&gt;0,1,0)</f>
        <v>0</v>
      </c>
      <c r="O811">
        <f>IF(COUNTIFS('United Data'!$A$3:$A$2150,O$1,'United Data'!$C$3:$C$2150,$A811)&gt;0,1,0)</f>
        <v>0</v>
      </c>
      <c r="P811">
        <f>IF(COUNTIFS('United Data'!$A$3:$A$2150,P$1,'United Data'!$C$3:$C$2150,$A811)&gt;0,1,0)</f>
        <v>0</v>
      </c>
      <c r="Q811">
        <f>IF(COUNTIFS('United Data'!$A$3:$A$2150,Q$1,'United Data'!$C$3:$C$2150,$A811)&gt;0,1,0)</f>
        <v>0</v>
      </c>
      <c r="R811">
        <f>IF(COUNTIFS('United Data'!$A$3:$A$2150,R$1,'United Data'!$C$3:$C$2150,$A811)&gt;0,1,0)</f>
        <v>0</v>
      </c>
      <c r="S811">
        <f t="shared" si="24"/>
        <v>1</v>
      </c>
      <c r="T811">
        <f t="shared" si="25"/>
        <v>1</v>
      </c>
    </row>
    <row r="812" spans="1:20" x14ac:dyDescent="0.2">
      <c r="A812" t="s">
        <v>857</v>
      </c>
      <c r="B812">
        <f>IF(COUNTIFS('United Data'!$A$3:$A$2150,B$1,'United Data'!$C$3:$C$2150,$A812)&gt;0,1,0)</f>
        <v>0</v>
      </c>
      <c r="C812">
        <f>IF(COUNTIFS('United Data'!$A$3:$A$2150,C$1,'United Data'!$C$3:$C$2150,$A812)&gt;0,1,0)</f>
        <v>0</v>
      </c>
      <c r="D812">
        <f>IF(COUNTIFS('United Data'!$A$3:$A$2150,D$1,'United Data'!$C$3:$C$2150,$A812)&gt;0,1,0)</f>
        <v>0</v>
      </c>
      <c r="E812">
        <f>IF(COUNTIFS('United Data'!$A$3:$A$2150,E$1,'United Data'!$C$3:$C$2150,$A812)&gt;0,1,0)</f>
        <v>0</v>
      </c>
      <c r="F812">
        <f>IF(COUNTIFS('United Data'!$A$3:$A$2150,F$1,'United Data'!$C$3:$C$2150,$A812)&gt;0,1,0)</f>
        <v>0</v>
      </c>
      <c r="G812">
        <f>IF(COUNTIFS('United Data'!$A$3:$A$2150,G$1,'United Data'!$C$3:$C$2150,$A812)&gt;0,1,0)</f>
        <v>1</v>
      </c>
      <c r="H812">
        <f>IF(COUNTIFS('United Data'!$A$3:$A$2150,H$1,'United Data'!$C$3:$C$2150,$A812)&gt;0,1,0)</f>
        <v>1</v>
      </c>
      <c r="I812">
        <f>IF(COUNTIFS('United Data'!$A$3:$A$2150,I$1,'United Data'!$C$3:$C$2150,$A812)&gt;0,1,0)</f>
        <v>0</v>
      </c>
      <c r="J812">
        <f>IF(COUNTIFS('United Data'!$A$3:$A$2150,J$1,'United Data'!$C$3:$C$2150,$A812)&gt;0,1,0)</f>
        <v>0</v>
      </c>
      <c r="K812">
        <f>IF(COUNTIFS('United Data'!$A$3:$A$2150,K$1,'United Data'!$C$3:$C$2150,$A812)&gt;0,1,0)</f>
        <v>0</v>
      </c>
      <c r="L812">
        <f>IF(COUNTIFS('United Data'!$A$3:$A$2150,L$1,'United Data'!$C$3:$C$2150,$A812)&gt;0,1,0)</f>
        <v>0</v>
      </c>
      <c r="M812">
        <f>IF(COUNTIFS('United Data'!$A$3:$A$2150,M$1,'United Data'!$C$3:$C$2150,$A812)&gt;0,1,0)</f>
        <v>0</v>
      </c>
      <c r="N812">
        <f>IF(COUNTIFS('United Data'!$A$3:$A$2150,N$1,'United Data'!$C$3:$C$2150,$A812)&gt;0,1,0)</f>
        <v>0</v>
      </c>
      <c r="O812">
        <f>IF(COUNTIFS('United Data'!$A$3:$A$2150,O$1,'United Data'!$C$3:$C$2150,$A812)&gt;0,1,0)</f>
        <v>0</v>
      </c>
      <c r="P812">
        <f>IF(COUNTIFS('United Data'!$A$3:$A$2150,P$1,'United Data'!$C$3:$C$2150,$A812)&gt;0,1,0)</f>
        <v>0</v>
      </c>
      <c r="Q812">
        <f>IF(COUNTIFS('United Data'!$A$3:$A$2150,Q$1,'United Data'!$C$3:$C$2150,$A812)&gt;0,1,0)</f>
        <v>0</v>
      </c>
      <c r="R812">
        <f>IF(COUNTIFS('United Data'!$A$3:$A$2150,R$1,'United Data'!$C$3:$C$2150,$A812)&gt;0,1,0)</f>
        <v>0</v>
      </c>
      <c r="S812">
        <f t="shared" si="24"/>
        <v>2</v>
      </c>
      <c r="T812">
        <f t="shared" si="25"/>
        <v>1</v>
      </c>
    </row>
    <row r="813" spans="1:20" x14ac:dyDescent="0.2">
      <c r="A813" t="s">
        <v>858</v>
      </c>
      <c r="B813">
        <f>IF(COUNTIFS('United Data'!$A$3:$A$2150,B$1,'United Data'!$C$3:$C$2150,$A813)&gt;0,1,0)</f>
        <v>0</v>
      </c>
      <c r="C813">
        <f>IF(COUNTIFS('United Data'!$A$3:$A$2150,C$1,'United Data'!$C$3:$C$2150,$A813)&gt;0,1,0)</f>
        <v>0</v>
      </c>
      <c r="D813">
        <f>IF(COUNTIFS('United Data'!$A$3:$A$2150,D$1,'United Data'!$C$3:$C$2150,$A813)&gt;0,1,0)</f>
        <v>0</v>
      </c>
      <c r="E813">
        <f>IF(COUNTIFS('United Data'!$A$3:$A$2150,E$1,'United Data'!$C$3:$C$2150,$A813)&gt;0,1,0)</f>
        <v>0</v>
      </c>
      <c r="F813">
        <f>IF(COUNTIFS('United Data'!$A$3:$A$2150,F$1,'United Data'!$C$3:$C$2150,$A813)&gt;0,1,0)</f>
        <v>0</v>
      </c>
      <c r="G813">
        <f>IF(COUNTIFS('United Data'!$A$3:$A$2150,G$1,'United Data'!$C$3:$C$2150,$A813)&gt;0,1,0)</f>
        <v>1</v>
      </c>
      <c r="H813">
        <f>IF(COUNTIFS('United Data'!$A$3:$A$2150,H$1,'United Data'!$C$3:$C$2150,$A813)&gt;0,1,0)</f>
        <v>0</v>
      </c>
      <c r="I813">
        <f>IF(COUNTIFS('United Data'!$A$3:$A$2150,I$1,'United Data'!$C$3:$C$2150,$A813)&gt;0,1,0)</f>
        <v>0</v>
      </c>
      <c r="J813">
        <f>IF(COUNTIFS('United Data'!$A$3:$A$2150,J$1,'United Data'!$C$3:$C$2150,$A813)&gt;0,1,0)</f>
        <v>0</v>
      </c>
      <c r="K813">
        <f>IF(COUNTIFS('United Data'!$A$3:$A$2150,K$1,'United Data'!$C$3:$C$2150,$A813)&gt;0,1,0)</f>
        <v>0</v>
      </c>
      <c r="L813">
        <f>IF(COUNTIFS('United Data'!$A$3:$A$2150,L$1,'United Data'!$C$3:$C$2150,$A813)&gt;0,1,0)</f>
        <v>0</v>
      </c>
      <c r="M813">
        <f>IF(COUNTIFS('United Data'!$A$3:$A$2150,M$1,'United Data'!$C$3:$C$2150,$A813)&gt;0,1,0)</f>
        <v>0</v>
      </c>
      <c r="N813">
        <f>IF(COUNTIFS('United Data'!$A$3:$A$2150,N$1,'United Data'!$C$3:$C$2150,$A813)&gt;0,1,0)</f>
        <v>0</v>
      </c>
      <c r="O813">
        <f>IF(COUNTIFS('United Data'!$A$3:$A$2150,O$1,'United Data'!$C$3:$C$2150,$A813)&gt;0,1,0)</f>
        <v>0</v>
      </c>
      <c r="P813">
        <f>IF(COUNTIFS('United Data'!$A$3:$A$2150,P$1,'United Data'!$C$3:$C$2150,$A813)&gt;0,1,0)</f>
        <v>0</v>
      </c>
      <c r="Q813">
        <f>IF(COUNTIFS('United Data'!$A$3:$A$2150,Q$1,'United Data'!$C$3:$C$2150,$A813)&gt;0,1,0)</f>
        <v>0</v>
      </c>
      <c r="R813">
        <f>IF(COUNTIFS('United Data'!$A$3:$A$2150,R$1,'United Data'!$C$3:$C$2150,$A813)&gt;0,1,0)</f>
        <v>0</v>
      </c>
      <c r="S813">
        <f t="shared" si="24"/>
        <v>1</v>
      </c>
      <c r="T813">
        <f t="shared" si="25"/>
        <v>1</v>
      </c>
    </row>
    <row r="814" spans="1:20" x14ac:dyDescent="0.2">
      <c r="A814" t="s">
        <v>859</v>
      </c>
      <c r="B814">
        <f>IF(COUNTIFS('United Data'!$A$3:$A$2150,B$1,'United Data'!$C$3:$C$2150,$A814)&gt;0,1,0)</f>
        <v>0</v>
      </c>
      <c r="C814">
        <f>IF(COUNTIFS('United Data'!$A$3:$A$2150,C$1,'United Data'!$C$3:$C$2150,$A814)&gt;0,1,0)</f>
        <v>0</v>
      </c>
      <c r="D814">
        <f>IF(COUNTIFS('United Data'!$A$3:$A$2150,D$1,'United Data'!$C$3:$C$2150,$A814)&gt;0,1,0)</f>
        <v>0</v>
      </c>
      <c r="E814">
        <f>IF(COUNTIFS('United Data'!$A$3:$A$2150,E$1,'United Data'!$C$3:$C$2150,$A814)&gt;0,1,0)</f>
        <v>0</v>
      </c>
      <c r="F814">
        <f>IF(COUNTIFS('United Data'!$A$3:$A$2150,F$1,'United Data'!$C$3:$C$2150,$A814)&gt;0,1,0)</f>
        <v>0</v>
      </c>
      <c r="G814">
        <f>IF(COUNTIFS('United Data'!$A$3:$A$2150,G$1,'United Data'!$C$3:$C$2150,$A814)&gt;0,1,0)</f>
        <v>1</v>
      </c>
      <c r="H814">
        <f>IF(COUNTIFS('United Data'!$A$3:$A$2150,H$1,'United Data'!$C$3:$C$2150,$A814)&gt;0,1,0)</f>
        <v>0</v>
      </c>
      <c r="I814">
        <f>IF(COUNTIFS('United Data'!$A$3:$A$2150,I$1,'United Data'!$C$3:$C$2150,$A814)&gt;0,1,0)</f>
        <v>0</v>
      </c>
      <c r="J814">
        <f>IF(COUNTIFS('United Data'!$A$3:$A$2150,J$1,'United Data'!$C$3:$C$2150,$A814)&gt;0,1,0)</f>
        <v>0</v>
      </c>
      <c r="K814">
        <f>IF(COUNTIFS('United Data'!$A$3:$A$2150,K$1,'United Data'!$C$3:$C$2150,$A814)&gt;0,1,0)</f>
        <v>0</v>
      </c>
      <c r="L814">
        <f>IF(COUNTIFS('United Data'!$A$3:$A$2150,L$1,'United Data'!$C$3:$C$2150,$A814)&gt;0,1,0)</f>
        <v>0</v>
      </c>
      <c r="M814">
        <f>IF(COUNTIFS('United Data'!$A$3:$A$2150,M$1,'United Data'!$C$3:$C$2150,$A814)&gt;0,1,0)</f>
        <v>0</v>
      </c>
      <c r="N814">
        <f>IF(COUNTIFS('United Data'!$A$3:$A$2150,N$1,'United Data'!$C$3:$C$2150,$A814)&gt;0,1,0)</f>
        <v>0</v>
      </c>
      <c r="O814">
        <f>IF(COUNTIFS('United Data'!$A$3:$A$2150,O$1,'United Data'!$C$3:$C$2150,$A814)&gt;0,1,0)</f>
        <v>0</v>
      </c>
      <c r="P814">
        <f>IF(COUNTIFS('United Data'!$A$3:$A$2150,P$1,'United Data'!$C$3:$C$2150,$A814)&gt;0,1,0)</f>
        <v>0</v>
      </c>
      <c r="Q814">
        <f>IF(COUNTIFS('United Data'!$A$3:$A$2150,Q$1,'United Data'!$C$3:$C$2150,$A814)&gt;0,1,0)</f>
        <v>0</v>
      </c>
      <c r="R814">
        <f>IF(COUNTIFS('United Data'!$A$3:$A$2150,R$1,'United Data'!$C$3:$C$2150,$A814)&gt;0,1,0)</f>
        <v>0</v>
      </c>
      <c r="S814">
        <f t="shared" si="24"/>
        <v>1</v>
      </c>
      <c r="T814">
        <f t="shared" si="25"/>
        <v>1</v>
      </c>
    </row>
    <row r="815" spans="1:20" x14ac:dyDescent="0.2">
      <c r="A815" t="s">
        <v>860</v>
      </c>
      <c r="B815">
        <f>IF(COUNTIFS('United Data'!$A$3:$A$2150,B$1,'United Data'!$C$3:$C$2150,$A815)&gt;0,1,0)</f>
        <v>0</v>
      </c>
      <c r="C815">
        <f>IF(COUNTIFS('United Data'!$A$3:$A$2150,C$1,'United Data'!$C$3:$C$2150,$A815)&gt;0,1,0)</f>
        <v>0</v>
      </c>
      <c r="D815">
        <f>IF(COUNTIFS('United Data'!$A$3:$A$2150,D$1,'United Data'!$C$3:$C$2150,$A815)&gt;0,1,0)</f>
        <v>0</v>
      </c>
      <c r="E815">
        <f>IF(COUNTIFS('United Data'!$A$3:$A$2150,E$1,'United Data'!$C$3:$C$2150,$A815)&gt;0,1,0)</f>
        <v>0</v>
      </c>
      <c r="F815">
        <f>IF(COUNTIFS('United Data'!$A$3:$A$2150,F$1,'United Data'!$C$3:$C$2150,$A815)&gt;0,1,0)</f>
        <v>0</v>
      </c>
      <c r="G815">
        <f>IF(COUNTIFS('United Data'!$A$3:$A$2150,G$1,'United Data'!$C$3:$C$2150,$A815)&gt;0,1,0)</f>
        <v>1</v>
      </c>
      <c r="H815">
        <f>IF(COUNTIFS('United Data'!$A$3:$A$2150,H$1,'United Data'!$C$3:$C$2150,$A815)&gt;0,1,0)</f>
        <v>0</v>
      </c>
      <c r="I815">
        <f>IF(COUNTIFS('United Data'!$A$3:$A$2150,I$1,'United Data'!$C$3:$C$2150,$A815)&gt;0,1,0)</f>
        <v>0</v>
      </c>
      <c r="J815">
        <f>IF(COUNTIFS('United Data'!$A$3:$A$2150,J$1,'United Data'!$C$3:$C$2150,$A815)&gt;0,1,0)</f>
        <v>0</v>
      </c>
      <c r="K815">
        <f>IF(COUNTIFS('United Data'!$A$3:$A$2150,K$1,'United Data'!$C$3:$C$2150,$A815)&gt;0,1,0)</f>
        <v>0</v>
      </c>
      <c r="L815">
        <f>IF(COUNTIFS('United Data'!$A$3:$A$2150,L$1,'United Data'!$C$3:$C$2150,$A815)&gt;0,1,0)</f>
        <v>0</v>
      </c>
      <c r="M815">
        <f>IF(COUNTIFS('United Data'!$A$3:$A$2150,M$1,'United Data'!$C$3:$C$2150,$A815)&gt;0,1,0)</f>
        <v>0</v>
      </c>
      <c r="N815">
        <f>IF(COUNTIFS('United Data'!$A$3:$A$2150,N$1,'United Data'!$C$3:$C$2150,$A815)&gt;0,1,0)</f>
        <v>0</v>
      </c>
      <c r="O815">
        <f>IF(COUNTIFS('United Data'!$A$3:$A$2150,O$1,'United Data'!$C$3:$C$2150,$A815)&gt;0,1,0)</f>
        <v>0</v>
      </c>
      <c r="P815">
        <f>IF(COUNTIFS('United Data'!$A$3:$A$2150,P$1,'United Data'!$C$3:$C$2150,$A815)&gt;0,1,0)</f>
        <v>0</v>
      </c>
      <c r="Q815">
        <f>IF(COUNTIFS('United Data'!$A$3:$A$2150,Q$1,'United Data'!$C$3:$C$2150,$A815)&gt;0,1,0)</f>
        <v>0</v>
      </c>
      <c r="R815">
        <f>IF(COUNTIFS('United Data'!$A$3:$A$2150,R$1,'United Data'!$C$3:$C$2150,$A815)&gt;0,1,0)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861</v>
      </c>
      <c r="B816">
        <f>IF(COUNTIFS('United Data'!$A$3:$A$2150,B$1,'United Data'!$C$3:$C$2150,$A816)&gt;0,1,0)</f>
        <v>0</v>
      </c>
      <c r="C816">
        <f>IF(COUNTIFS('United Data'!$A$3:$A$2150,C$1,'United Data'!$C$3:$C$2150,$A816)&gt;0,1,0)</f>
        <v>0</v>
      </c>
      <c r="D816">
        <f>IF(COUNTIFS('United Data'!$A$3:$A$2150,D$1,'United Data'!$C$3:$C$2150,$A816)&gt;0,1,0)</f>
        <v>0</v>
      </c>
      <c r="E816">
        <f>IF(COUNTIFS('United Data'!$A$3:$A$2150,E$1,'United Data'!$C$3:$C$2150,$A816)&gt;0,1,0)</f>
        <v>0</v>
      </c>
      <c r="F816">
        <f>IF(COUNTIFS('United Data'!$A$3:$A$2150,F$1,'United Data'!$C$3:$C$2150,$A816)&gt;0,1,0)</f>
        <v>0</v>
      </c>
      <c r="G816">
        <f>IF(COUNTIFS('United Data'!$A$3:$A$2150,G$1,'United Data'!$C$3:$C$2150,$A816)&gt;0,1,0)</f>
        <v>1</v>
      </c>
      <c r="H816">
        <f>IF(COUNTIFS('United Data'!$A$3:$A$2150,H$1,'United Data'!$C$3:$C$2150,$A816)&gt;0,1,0)</f>
        <v>1</v>
      </c>
      <c r="I816">
        <f>IF(COUNTIFS('United Data'!$A$3:$A$2150,I$1,'United Data'!$C$3:$C$2150,$A816)&gt;0,1,0)</f>
        <v>1</v>
      </c>
      <c r="J816">
        <f>IF(COUNTIFS('United Data'!$A$3:$A$2150,J$1,'United Data'!$C$3:$C$2150,$A816)&gt;0,1,0)</f>
        <v>1</v>
      </c>
      <c r="K816">
        <f>IF(COUNTIFS('United Data'!$A$3:$A$2150,K$1,'United Data'!$C$3:$C$2150,$A816)&gt;0,1,0)</f>
        <v>0</v>
      </c>
      <c r="L816">
        <f>IF(COUNTIFS('United Data'!$A$3:$A$2150,L$1,'United Data'!$C$3:$C$2150,$A816)&gt;0,1,0)</f>
        <v>0</v>
      </c>
      <c r="M816">
        <f>IF(COUNTIFS('United Data'!$A$3:$A$2150,M$1,'United Data'!$C$3:$C$2150,$A816)&gt;0,1,0)</f>
        <v>0</v>
      </c>
      <c r="N816">
        <f>IF(COUNTIFS('United Data'!$A$3:$A$2150,N$1,'United Data'!$C$3:$C$2150,$A816)&gt;0,1,0)</f>
        <v>0</v>
      </c>
      <c r="O816">
        <f>IF(COUNTIFS('United Data'!$A$3:$A$2150,O$1,'United Data'!$C$3:$C$2150,$A816)&gt;0,1,0)</f>
        <v>0</v>
      </c>
      <c r="P816">
        <f>IF(COUNTIFS('United Data'!$A$3:$A$2150,P$1,'United Data'!$C$3:$C$2150,$A816)&gt;0,1,0)</f>
        <v>0</v>
      </c>
      <c r="Q816">
        <f>IF(COUNTIFS('United Data'!$A$3:$A$2150,Q$1,'United Data'!$C$3:$C$2150,$A816)&gt;0,1,0)</f>
        <v>0</v>
      </c>
      <c r="R816">
        <f>IF(COUNTIFS('United Data'!$A$3:$A$2150,R$1,'United Data'!$C$3:$C$2150,$A816)&gt;0,1,0)</f>
        <v>0</v>
      </c>
      <c r="S816">
        <f t="shared" si="24"/>
        <v>4</v>
      </c>
      <c r="T816">
        <f t="shared" si="25"/>
        <v>1</v>
      </c>
    </row>
    <row r="817" spans="1:20" x14ac:dyDescent="0.2">
      <c r="A817" t="s">
        <v>862</v>
      </c>
      <c r="B817">
        <f>IF(COUNTIFS('United Data'!$A$3:$A$2150,B$1,'United Data'!$C$3:$C$2150,$A817)&gt;0,1,0)</f>
        <v>0</v>
      </c>
      <c r="C817">
        <f>IF(COUNTIFS('United Data'!$A$3:$A$2150,C$1,'United Data'!$C$3:$C$2150,$A817)&gt;0,1,0)</f>
        <v>0</v>
      </c>
      <c r="D817">
        <f>IF(COUNTIFS('United Data'!$A$3:$A$2150,D$1,'United Data'!$C$3:$C$2150,$A817)&gt;0,1,0)</f>
        <v>0</v>
      </c>
      <c r="E817">
        <f>IF(COUNTIFS('United Data'!$A$3:$A$2150,E$1,'United Data'!$C$3:$C$2150,$A817)&gt;0,1,0)</f>
        <v>0</v>
      </c>
      <c r="F817">
        <f>IF(COUNTIFS('United Data'!$A$3:$A$2150,F$1,'United Data'!$C$3:$C$2150,$A817)&gt;0,1,0)</f>
        <v>0</v>
      </c>
      <c r="G817">
        <f>IF(COUNTIFS('United Data'!$A$3:$A$2150,G$1,'United Data'!$C$3:$C$2150,$A817)&gt;0,1,0)</f>
        <v>1</v>
      </c>
      <c r="H817">
        <f>IF(COUNTIFS('United Data'!$A$3:$A$2150,H$1,'United Data'!$C$3:$C$2150,$A817)&gt;0,1,0)</f>
        <v>0</v>
      </c>
      <c r="I817">
        <f>IF(COUNTIFS('United Data'!$A$3:$A$2150,I$1,'United Data'!$C$3:$C$2150,$A817)&gt;0,1,0)</f>
        <v>0</v>
      </c>
      <c r="J817">
        <f>IF(COUNTIFS('United Data'!$A$3:$A$2150,J$1,'United Data'!$C$3:$C$2150,$A817)&gt;0,1,0)</f>
        <v>0</v>
      </c>
      <c r="K817">
        <f>IF(COUNTIFS('United Data'!$A$3:$A$2150,K$1,'United Data'!$C$3:$C$2150,$A817)&gt;0,1,0)</f>
        <v>0</v>
      </c>
      <c r="L817">
        <f>IF(COUNTIFS('United Data'!$A$3:$A$2150,L$1,'United Data'!$C$3:$C$2150,$A817)&gt;0,1,0)</f>
        <v>0</v>
      </c>
      <c r="M817">
        <f>IF(COUNTIFS('United Data'!$A$3:$A$2150,M$1,'United Data'!$C$3:$C$2150,$A817)&gt;0,1,0)</f>
        <v>0</v>
      </c>
      <c r="N817">
        <f>IF(COUNTIFS('United Data'!$A$3:$A$2150,N$1,'United Data'!$C$3:$C$2150,$A817)&gt;0,1,0)</f>
        <v>0</v>
      </c>
      <c r="O817">
        <f>IF(COUNTIFS('United Data'!$A$3:$A$2150,O$1,'United Data'!$C$3:$C$2150,$A817)&gt;0,1,0)</f>
        <v>0</v>
      </c>
      <c r="P817">
        <f>IF(COUNTIFS('United Data'!$A$3:$A$2150,P$1,'United Data'!$C$3:$C$2150,$A817)&gt;0,1,0)</f>
        <v>0</v>
      </c>
      <c r="Q817">
        <f>IF(COUNTIFS('United Data'!$A$3:$A$2150,Q$1,'United Data'!$C$3:$C$2150,$A817)&gt;0,1,0)</f>
        <v>0</v>
      </c>
      <c r="R817">
        <f>IF(COUNTIFS('United Data'!$A$3:$A$2150,R$1,'United Data'!$C$3:$C$2150,$A817)&gt;0,1,0)</f>
        <v>0</v>
      </c>
      <c r="S817">
        <f t="shared" si="24"/>
        <v>1</v>
      </c>
      <c r="T817">
        <f t="shared" si="25"/>
        <v>1</v>
      </c>
    </row>
    <row r="818" spans="1:20" x14ac:dyDescent="0.2">
      <c r="A818" t="s">
        <v>863</v>
      </c>
      <c r="B818">
        <f>IF(COUNTIFS('United Data'!$A$3:$A$2150,B$1,'United Data'!$C$3:$C$2150,$A818)&gt;0,1,0)</f>
        <v>0</v>
      </c>
      <c r="C818">
        <f>IF(COUNTIFS('United Data'!$A$3:$A$2150,C$1,'United Data'!$C$3:$C$2150,$A818)&gt;0,1,0)</f>
        <v>0</v>
      </c>
      <c r="D818">
        <f>IF(COUNTIFS('United Data'!$A$3:$A$2150,D$1,'United Data'!$C$3:$C$2150,$A818)&gt;0,1,0)</f>
        <v>0</v>
      </c>
      <c r="E818">
        <f>IF(COUNTIFS('United Data'!$A$3:$A$2150,E$1,'United Data'!$C$3:$C$2150,$A818)&gt;0,1,0)</f>
        <v>0</v>
      </c>
      <c r="F818">
        <f>IF(COUNTIFS('United Data'!$A$3:$A$2150,F$1,'United Data'!$C$3:$C$2150,$A818)&gt;0,1,0)</f>
        <v>0</v>
      </c>
      <c r="G818">
        <f>IF(COUNTIFS('United Data'!$A$3:$A$2150,G$1,'United Data'!$C$3:$C$2150,$A818)&gt;0,1,0)</f>
        <v>1</v>
      </c>
      <c r="H818">
        <f>IF(COUNTIFS('United Data'!$A$3:$A$2150,H$1,'United Data'!$C$3:$C$2150,$A818)&gt;0,1,0)</f>
        <v>0</v>
      </c>
      <c r="I818">
        <f>IF(COUNTIFS('United Data'!$A$3:$A$2150,I$1,'United Data'!$C$3:$C$2150,$A818)&gt;0,1,0)</f>
        <v>1</v>
      </c>
      <c r="J818">
        <f>IF(COUNTIFS('United Data'!$A$3:$A$2150,J$1,'United Data'!$C$3:$C$2150,$A818)&gt;0,1,0)</f>
        <v>0</v>
      </c>
      <c r="K818">
        <f>IF(COUNTIFS('United Data'!$A$3:$A$2150,K$1,'United Data'!$C$3:$C$2150,$A818)&gt;0,1,0)</f>
        <v>0</v>
      </c>
      <c r="L818">
        <f>IF(COUNTIFS('United Data'!$A$3:$A$2150,L$1,'United Data'!$C$3:$C$2150,$A818)&gt;0,1,0)</f>
        <v>0</v>
      </c>
      <c r="M818">
        <f>IF(COUNTIFS('United Data'!$A$3:$A$2150,M$1,'United Data'!$C$3:$C$2150,$A818)&gt;0,1,0)</f>
        <v>0</v>
      </c>
      <c r="N818">
        <f>IF(COUNTIFS('United Data'!$A$3:$A$2150,N$1,'United Data'!$C$3:$C$2150,$A818)&gt;0,1,0)</f>
        <v>0</v>
      </c>
      <c r="O818">
        <f>IF(COUNTIFS('United Data'!$A$3:$A$2150,O$1,'United Data'!$C$3:$C$2150,$A818)&gt;0,1,0)</f>
        <v>0</v>
      </c>
      <c r="P818">
        <f>IF(COUNTIFS('United Data'!$A$3:$A$2150,P$1,'United Data'!$C$3:$C$2150,$A818)&gt;0,1,0)</f>
        <v>0</v>
      </c>
      <c r="Q818">
        <f>IF(COUNTIFS('United Data'!$A$3:$A$2150,Q$1,'United Data'!$C$3:$C$2150,$A818)&gt;0,1,0)</f>
        <v>0</v>
      </c>
      <c r="R818">
        <f>IF(COUNTIFS('United Data'!$A$3:$A$2150,R$1,'United Data'!$C$3:$C$2150,$A818)&gt;0,1,0)</f>
        <v>0</v>
      </c>
      <c r="S818">
        <f t="shared" si="24"/>
        <v>2</v>
      </c>
      <c r="T818">
        <f t="shared" si="25"/>
        <v>2</v>
      </c>
    </row>
    <row r="819" spans="1:20" x14ac:dyDescent="0.2">
      <c r="A819" t="s">
        <v>864</v>
      </c>
      <c r="B819">
        <f>IF(COUNTIFS('United Data'!$A$3:$A$2150,B$1,'United Data'!$C$3:$C$2150,$A819)&gt;0,1,0)</f>
        <v>0</v>
      </c>
      <c r="C819">
        <f>IF(COUNTIFS('United Data'!$A$3:$A$2150,C$1,'United Data'!$C$3:$C$2150,$A819)&gt;0,1,0)</f>
        <v>0</v>
      </c>
      <c r="D819">
        <f>IF(COUNTIFS('United Data'!$A$3:$A$2150,D$1,'United Data'!$C$3:$C$2150,$A819)&gt;0,1,0)</f>
        <v>0</v>
      </c>
      <c r="E819">
        <f>IF(COUNTIFS('United Data'!$A$3:$A$2150,E$1,'United Data'!$C$3:$C$2150,$A819)&gt;0,1,0)</f>
        <v>0</v>
      </c>
      <c r="F819">
        <f>IF(COUNTIFS('United Data'!$A$3:$A$2150,F$1,'United Data'!$C$3:$C$2150,$A819)&gt;0,1,0)</f>
        <v>0</v>
      </c>
      <c r="G819">
        <f>IF(COUNTIFS('United Data'!$A$3:$A$2150,G$1,'United Data'!$C$3:$C$2150,$A819)&gt;0,1,0)</f>
        <v>1</v>
      </c>
      <c r="H819">
        <f>IF(COUNTIFS('United Data'!$A$3:$A$2150,H$1,'United Data'!$C$3:$C$2150,$A819)&gt;0,1,0)</f>
        <v>1</v>
      </c>
      <c r="I819">
        <f>IF(COUNTIFS('United Data'!$A$3:$A$2150,I$1,'United Data'!$C$3:$C$2150,$A819)&gt;0,1,0)</f>
        <v>0</v>
      </c>
      <c r="J819">
        <f>IF(COUNTIFS('United Data'!$A$3:$A$2150,J$1,'United Data'!$C$3:$C$2150,$A819)&gt;0,1,0)</f>
        <v>0</v>
      </c>
      <c r="K819">
        <f>IF(COUNTIFS('United Data'!$A$3:$A$2150,K$1,'United Data'!$C$3:$C$2150,$A819)&gt;0,1,0)</f>
        <v>0</v>
      </c>
      <c r="L819">
        <f>IF(COUNTIFS('United Data'!$A$3:$A$2150,L$1,'United Data'!$C$3:$C$2150,$A819)&gt;0,1,0)</f>
        <v>0</v>
      </c>
      <c r="M819">
        <f>IF(COUNTIFS('United Data'!$A$3:$A$2150,M$1,'United Data'!$C$3:$C$2150,$A819)&gt;0,1,0)</f>
        <v>0</v>
      </c>
      <c r="N819">
        <f>IF(COUNTIFS('United Data'!$A$3:$A$2150,N$1,'United Data'!$C$3:$C$2150,$A819)&gt;0,1,0)</f>
        <v>0</v>
      </c>
      <c r="O819">
        <f>IF(COUNTIFS('United Data'!$A$3:$A$2150,O$1,'United Data'!$C$3:$C$2150,$A819)&gt;0,1,0)</f>
        <v>0</v>
      </c>
      <c r="P819">
        <f>IF(COUNTIFS('United Data'!$A$3:$A$2150,P$1,'United Data'!$C$3:$C$2150,$A819)&gt;0,1,0)</f>
        <v>0</v>
      </c>
      <c r="Q819">
        <f>IF(COUNTIFS('United Data'!$A$3:$A$2150,Q$1,'United Data'!$C$3:$C$2150,$A819)&gt;0,1,0)</f>
        <v>0</v>
      </c>
      <c r="R819">
        <f>IF(COUNTIFS('United Data'!$A$3:$A$2150,R$1,'United Data'!$C$3:$C$2150,$A819)&gt;0,1,0)</f>
        <v>0</v>
      </c>
      <c r="S819">
        <f t="shared" si="24"/>
        <v>2</v>
      </c>
      <c r="T819">
        <f t="shared" si="25"/>
        <v>1</v>
      </c>
    </row>
    <row r="820" spans="1:20" x14ac:dyDescent="0.2">
      <c r="A820" t="s">
        <v>865</v>
      </c>
      <c r="B820">
        <f>IF(COUNTIFS('United Data'!$A$3:$A$2150,B$1,'United Data'!$C$3:$C$2150,$A820)&gt;0,1,0)</f>
        <v>0</v>
      </c>
      <c r="C820">
        <f>IF(COUNTIFS('United Data'!$A$3:$A$2150,C$1,'United Data'!$C$3:$C$2150,$A820)&gt;0,1,0)</f>
        <v>0</v>
      </c>
      <c r="D820">
        <f>IF(COUNTIFS('United Data'!$A$3:$A$2150,D$1,'United Data'!$C$3:$C$2150,$A820)&gt;0,1,0)</f>
        <v>0</v>
      </c>
      <c r="E820">
        <f>IF(COUNTIFS('United Data'!$A$3:$A$2150,E$1,'United Data'!$C$3:$C$2150,$A820)&gt;0,1,0)</f>
        <v>0</v>
      </c>
      <c r="F820">
        <f>IF(COUNTIFS('United Data'!$A$3:$A$2150,F$1,'United Data'!$C$3:$C$2150,$A820)&gt;0,1,0)</f>
        <v>0</v>
      </c>
      <c r="G820">
        <f>IF(COUNTIFS('United Data'!$A$3:$A$2150,G$1,'United Data'!$C$3:$C$2150,$A820)&gt;0,1,0)</f>
        <v>1</v>
      </c>
      <c r="H820">
        <f>IF(COUNTIFS('United Data'!$A$3:$A$2150,H$1,'United Data'!$C$3:$C$2150,$A820)&gt;0,1,0)</f>
        <v>0</v>
      </c>
      <c r="I820">
        <f>IF(COUNTIFS('United Data'!$A$3:$A$2150,I$1,'United Data'!$C$3:$C$2150,$A820)&gt;0,1,0)</f>
        <v>0</v>
      </c>
      <c r="J820">
        <f>IF(COUNTIFS('United Data'!$A$3:$A$2150,J$1,'United Data'!$C$3:$C$2150,$A820)&gt;0,1,0)</f>
        <v>0</v>
      </c>
      <c r="K820">
        <f>IF(COUNTIFS('United Data'!$A$3:$A$2150,K$1,'United Data'!$C$3:$C$2150,$A820)&gt;0,1,0)</f>
        <v>0</v>
      </c>
      <c r="L820">
        <f>IF(COUNTIFS('United Data'!$A$3:$A$2150,L$1,'United Data'!$C$3:$C$2150,$A820)&gt;0,1,0)</f>
        <v>0</v>
      </c>
      <c r="M820">
        <f>IF(COUNTIFS('United Data'!$A$3:$A$2150,M$1,'United Data'!$C$3:$C$2150,$A820)&gt;0,1,0)</f>
        <v>0</v>
      </c>
      <c r="N820">
        <f>IF(COUNTIFS('United Data'!$A$3:$A$2150,N$1,'United Data'!$C$3:$C$2150,$A820)&gt;0,1,0)</f>
        <v>0</v>
      </c>
      <c r="O820">
        <f>IF(COUNTIFS('United Data'!$A$3:$A$2150,O$1,'United Data'!$C$3:$C$2150,$A820)&gt;0,1,0)</f>
        <v>0</v>
      </c>
      <c r="P820">
        <f>IF(COUNTIFS('United Data'!$A$3:$A$2150,P$1,'United Data'!$C$3:$C$2150,$A820)&gt;0,1,0)</f>
        <v>0</v>
      </c>
      <c r="Q820">
        <f>IF(COUNTIFS('United Data'!$A$3:$A$2150,Q$1,'United Data'!$C$3:$C$2150,$A820)&gt;0,1,0)</f>
        <v>0</v>
      </c>
      <c r="R820">
        <f>IF(COUNTIFS('United Data'!$A$3:$A$2150,R$1,'United Data'!$C$3:$C$2150,$A820)&gt;0,1,0)</f>
        <v>0</v>
      </c>
      <c r="S820">
        <f t="shared" si="24"/>
        <v>1</v>
      </c>
      <c r="T820">
        <f t="shared" si="25"/>
        <v>1</v>
      </c>
    </row>
    <row r="821" spans="1:20" x14ac:dyDescent="0.2">
      <c r="A821" t="s">
        <v>866</v>
      </c>
      <c r="B821">
        <f>IF(COUNTIFS('United Data'!$A$3:$A$2150,B$1,'United Data'!$C$3:$C$2150,$A821)&gt;0,1,0)</f>
        <v>0</v>
      </c>
      <c r="C821">
        <f>IF(COUNTIFS('United Data'!$A$3:$A$2150,C$1,'United Data'!$C$3:$C$2150,$A821)&gt;0,1,0)</f>
        <v>0</v>
      </c>
      <c r="D821">
        <f>IF(COUNTIFS('United Data'!$A$3:$A$2150,D$1,'United Data'!$C$3:$C$2150,$A821)&gt;0,1,0)</f>
        <v>0</v>
      </c>
      <c r="E821">
        <f>IF(COUNTIFS('United Data'!$A$3:$A$2150,E$1,'United Data'!$C$3:$C$2150,$A821)&gt;0,1,0)</f>
        <v>0</v>
      </c>
      <c r="F821">
        <f>IF(COUNTIFS('United Data'!$A$3:$A$2150,F$1,'United Data'!$C$3:$C$2150,$A821)&gt;0,1,0)</f>
        <v>0</v>
      </c>
      <c r="G821">
        <f>IF(COUNTIFS('United Data'!$A$3:$A$2150,G$1,'United Data'!$C$3:$C$2150,$A821)&gt;0,1,0)</f>
        <v>1</v>
      </c>
      <c r="H821">
        <f>IF(COUNTIFS('United Data'!$A$3:$A$2150,H$1,'United Data'!$C$3:$C$2150,$A821)&gt;0,1,0)</f>
        <v>1</v>
      </c>
      <c r="I821">
        <f>IF(COUNTIFS('United Data'!$A$3:$A$2150,I$1,'United Data'!$C$3:$C$2150,$A821)&gt;0,1,0)</f>
        <v>1</v>
      </c>
      <c r="J821">
        <f>IF(COUNTIFS('United Data'!$A$3:$A$2150,J$1,'United Data'!$C$3:$C$2150,$A821)&gt;0,1,0)</f>
        <v>1</v>
      </c>
      <c r="K821">
        <f>IF(COUNTIFS('United Data'!$A$3:$A$2150,K$1,'United Data'!$C$3:$C$2150,$A821)&gt;0,1,0)</f>
        <v>1</v>
      </c>
      <c r="L821">
        <f>IF(COUNTIFS('United Data'!$A$3:$A$2150,L$1,'United Data'!$C$3:$C$2150,$A821)&gt;0,1,0)</f>
        <v>0</v>
      </c>
      <c r="M821">
        <f>IF(COUNTIFS('United Data'!$A$3:$A$2150,M$1,'United Data'!$C$3:$C$2150,$A821)&gt;0,1,0)</f>
        <v>0</v>
      </c>
      <c r="N821">
        <f>IF(COUNTIFS('United Data'!$A$3:$A$2150,N$1,'United Data'!$C$3:$C$2150,$A821)&gt;0,1,0)</f>
        <v>0</v>
      </c>
      <c r="O821">
        <f>IF(COUNTIFS('United Data'!$A$3:$A$2150,O$1,'United Data'!$C$3:$C$2150,$A821)&gt;0,1,0)</f>
        <v>0</v>
      </c>
      <c r="P821">
        <f>IF(COUNTIFS('United Data'!$A$3:$A$2150,P$1,'United Data'!$C$3:$C$2150,$A821)&gt;0,1,0)</f>
        <v>0</v>
      </c>
      <c r="Q821">
        <f>IF(COUNTIFS('United Data'!$A$3:$A$2150,Q$1,'United Data'!$C$3:$C$2150,$A821)&gt;0,1,0)</f>
        <v>0</v>
      </c>
      <c r="R821">
        <f>IF(COUNTIFS('United Data'!$A$3:$A$2150,R$1,'United Data'!$C$3:$C$2150,$A821)&gt;0,1,0)</f>
        <v>0</v>
      </c>
      <c r="S821">
        <f t="shared" si="24"/>
        <v>5</v>
      </c>
      <c r="T821">
        <f t="shared" si="25"/>
        <v>1</v>
      </c>
    </row>
    <row r="822" spans="1:20" x14ac:dyDescent="0.2">
      <c r="A822" t="s">
        <v>867</v>
      </c>
      <c r="B822">
        <f>IF(COUNTIFS('United Data'!$A$3:$A$2150,B$1,'United Data'!$C$3:$C$2150,$A822)&gt;0,1,0)</f>
        <v>0</v>
      </c>
      <c r="C822">
        <f>IF(COUNTIFS('United Data'!$A$3:$A$2150,C$1,'United Data'!$C$3:$C$2150,$A822)&gt;0,1,0)</f>
        <v>0</v>
      </c>
      <c r="D822">
        <f>IF(COUNTIFS('United Data'!$A$3:$A$2150,D$1,'United Data'!$C$3:$C$2150,$A822)&gt;0,1,0)</f>
        <v>0</v>
      </c>
      <c r="E822">
        <f>IF(COUNTIFS('United Data'!$A$3:$A$2150,E$1,'United Data'!$C$3:$C$2150,$A822)&gt;0,1,0)</f>
        <v>0</v>
      </c>
      <c r="F822">
        <f>IF(COUNTIFS('United Data'!$A$3:$A$2150,F$1,'United Data'!$C$3:$C$2150,$A822)&gt;0,1,0)</f>
        <v>0</v>
      </c>
      <c r="G822">
        <f>IF(COUNTIFS('United Data'!$A$3:$A$2150,G$1,'United Data'!$C$3:$C$2150,$A822)&gt;0,1,0)</f>
        <v>1</v>
      </c>
      <c r="H822">
        <f>IF(COUNTIFS('United Data'!$A$3:$A$2150,H$1,'United Data'!$C$3:$C$2150,$A822)&gt;0,1,0)</f>
        <v>0</v>
      </c>
      <c r="I822">
        <f>IF(COUNTIFS('United Data'!$A$3:$A$2150,I$1,'United Data'!$C$3:$C$2150,$A822)&gt;0,1,0)</f>
        <v>0</v>
      </c>
      <c r="J822">
        <f>IF(COUNTIFS('United Data'!$A$3:$A$2150,J$1,'United Data'!$C$3:$C$2150,$A822)&gt;0,1,0)</f>
        <v>0</v>
      </c>
      <c r="K822">
        <f>IF(COUNTIFS('United Data'!$A$3:$A$2150,K$1,'United Data'!$C$3:$C$2150,$A822)&gt;0,1,0)</f>
        <v>1</v>
      </c>
      <c r="L822">
        <f>IF(COUNTIFS('United Data'!$A$3:$A$2150,L$1,'United Data'!$C$3:$C$2150,$A822)&gt;0,1,0)</f>
        <v>0</v>
      </c>
      <c r="M822">
        <f>IF(COUNTIFS('United Data'!$A$3:$A$2150,M$1,'United Data'!$C$3:$C$2150,$A822)&gt;0,1,0)</f>
        <v>1</v>
      </c>
      <c r="N822">
        <f>IF(COUNTIFS('United Data'!$A$3:$A$2150,N$1,'United Data'!$C$3:$C$2150,$A822)&gt;0,1,0)</f>
        <v>0</v>
      </c>
      <c r="O822">
        <f>IF(COUNTIFS('United Data'!$A$3:$A$2150,O$1,'United Data'!$C$3:$C$2150,$A822)&gt;0,1,0)</f>
        <v>0</v>
      </c>
      <c r="P822">
        <f>IF(COUNTIFS('United Data'!$A$3:$A$2150,P$1,'United Data'!$C$3:$C$2150,$A822)&gt;0,1,0)</f>
        <v>0</v>
      </c>
      <c r="Q822">
        <f>IF(COUNTIFS('United Data'!$A$3:$A$2150,Q$1,'United Data'!$C$3:$C$2150,$A822)&gt;0,1,0)</f>
        <v>0</v>
      </c>
      <c r="R822">
        <f>IF(COUNTIFS('United Data'!$A$3:$A$2150,R$1,'United Data'!$C$3:$C$2150,$A822)&gt;0,1,0)</f>
        <v>0</v>
      </c>
      <c r="S822">
        <f t="shared" si="24"/>
        <v>3</v>
      </c>
      <c r="T822">
        <f t="shared" si="25"/>
        <v>3</v>
      </c>
    </row>
    <row r="823" spans="1:20" x14ac:dyDescent="0.2">
      <c r="A823" t="s">
        <v>868</v>
      </c>
      <c r="B823">
        <f>IF(COUNTIFS('United Data'!$A$3:$A$2150,B$1,'United Data'!$C$3:$C$2150,$A823)&gt;0,1,0)</f>
        <v>0</v>
      </c>
      <c r="C823">
        <f>IF(COUNTIFS('United Data'!$A$3:$A$2150,C$1,'United Data'!$C$3:$C$2150,$A823)&gt;0,1,0)</f>
        <v>0</v>
      </c>
      <c r="D823">
        <f>IF(COUNTIFS('United Data'!$A$3:$A$2150,D$1,'United Data'!$C$3:$C$2150,$A823)&gt;0,1,0)</f>
        <v>0</v>
      </c>
      <c r="E823">
        <f>IF(COUNTIFS('United Data'!$A$3:$A$2150,E$1,'United Data'!$C$3:$C$2150,$A823)&gt;0,1,0)</f>
        <v>0</v>
      </c>
      <c r="F823">
        <f>IF(COUNTIFS('United Data'!$A$3:$A$2150,F$1,'United Data'!$C$3:$C$2150,$A823)&gt;0,1,0)</f>
        <v>0</v>
      </c>
      <c r="G823">
        <f>IF(COUNTIFS('United Data'!$A$3:$A$2150,G$1,'United Data'!$C$3:$C$2150,$A823)&gt;0,1,0)</f>
        <v>1</v>
      </c>
      <c r="H823">
        <f>IF(COUNTIFS('United Data'!$A$3:$A$2150,H$1,'United Data'!$C$3:$C$2150,$A823)&gt;0,1,0)</f>
        <v>0</v>
      </c>
      <c r="I823">
        <f>IF(COUNTIFS('United Data'!$A$3:$A$2150,I$1,'United Data'!$C$3:$C$2150,$A823)&gt;0,1,0)</f>
        <v>0</v>
      </c>
      <c r="J823">
        <f>IF(COUNTIFS('United Data'!$A$3:$A$2150,J$1,'United Data'!$C$3:$C$2150,$A823)&gt;0,1,0)</f>
        <v>0</v>
      </c>
      <c r="K823">
        <f>IF(COUNTIFS('United Data'!$A$3:$A$2150,K$1,'United Data'!$C$3:$C$2150,$A823)&gt;0,1,0)</f>
        <v>0</v>
      </c>
      <c r="L823">
        <f>IF(COUNTIFS('United Data'!$A$3:$A$2150,L$1,'United Data'!$C$3:$C$2150,$A823)&gt;0,1,0)</f>
        <v>0</v>
      </c>
      <c r="M823">
        <f>IF(COUNTIFS('United Data'!$A$3:$A$2150,M$1,'United Data'!$C$3:$C$2150,$A823)&gt;0,1,0)</f>
        <v>0</v>
      </c>
      <c r="N823">
        <f>IF(COUNTIFS('United Data'!$A$3:$A$2150,N$1,'United Data'!$C$3:$C$2150,$A823)&gt;0,1,0)</f>
        <v>0</v>
      </c>
      <c r="O823">
        <f>IF(COUNTIFS('United Data'!$A$3:$A$2150,O$1,'United Data'!$C$3:$C$2150,$A823)&gt;0,1,0)</f>
        <v>0</v>
      </c>
      <c r="P823">
        <f>IF(COUNTIFS('United Data'!$A$3:$A$2150,P$1,'United Data'!$C$3:$C$2150,$A823)&gt;0,1,0)</f>
        <v>0</v>
      </c>
      <c r="Q823">
        <f>IF(COUNTIFS('United Data'!$A$3:$A$2150,Q$1,'United Data'!$C$3:$C$2150,$A823)&gt;0,1,0)</f>
        <v>0</v>
      </c>
      <c r="R823">
        <f>IF(COUNTIFS('United Data'!$A$3:$A$2150,R$1,'United Data'!$C$3:$C$2150,$A823)&gt;0,1,0)</f>
        <v>0</v>
      </c>
      <c r="S823">
        <f t="shared" si="24"/>
        <v>1</v>
      </c>
      <c r="T823">
        <f t="shared" si="25"/>
        <v>1</v>
      </c>
    </row>
    <row r="824" spans="1:20" x14ac:dyDescent="0.2">
      <c r="A824" t="s">
        <v>869</v>
      </c>
      <c r="B824">
        <f>IF(COUNTIFS('United Data'!$A$3:$A$2150,B$1,'United Data'!$C$3:$C$2150,$A824)&gt;0,1,0)</f>
        <v>0</v>
      </c>
      <c r="C824">
        <f>IF(COUNTIFS('United Data'!$A$3:$A$2150,C$1,'United Data'!$C$3:$C$2150,$A824)&gt;0,1,0)</f>
        <v>0</v>
      </c>
      <c r="D824">
        <f>IF(COUNTIFS('United Data'!$A$3:$A$2150,D$1,'United Data'!$C$3:$C$2150,$A824)&gt;0,1,0)</f>
        <v>0</v>
      </c>
      <c r="E824">
        <f>IF(COUNTIFS('United Data'!$A$3:$A$2150,E$1,'United Data'!$C$3:$C$2150,$A824)&gt;0,1,0)</f>
        <v>0</v>
      </c>
      <c r="F824">
        <f>IF(COUNTIFS('United Data'!$A$3:$A$2150,F$1,'United Data'!$C$3:$C$2150,$A824)&gt;0,1,0)</f>
        <v>0</v>
      </c>
      <c r="G824">
        <f>IF(COUNTIFS('United Data'!$A$3:$A$2150,G$1,'United Data'!$C$3:$C$2150,$A824)&gt;0,1,0)</f>
        <v>1</v>
      </c>
      <c r="H824">
        <f>IF(COUNTIFS('United Data'!$A$3:$A$2150,H$1,'United Data'!$C$3:$C$2150,$A824)&gt;0,1,0)</f>
        <v>1</v>
      </c>
      <c r="I824">
        <f>IF(COUNTIFS('United Data'!$A$3:$A$2150,I$1,'United Data'!$C$3:$C$2150,$A824)&gt;0,1,0)</f>
        <v>1</v>
      </c>
      <c r="J824">
        <f>IF(COUNTIFS('United Data'!$A$3:$A$2150,J$1,'United Data'!$C$3:$C$2150,$A824)&gt;0,1,0)</f>
        <v>1</v>
      </c>
      <c r="K824">
        <f>IF(COUNTIFS('United Data'!$A$3:$A$2150,K$1,'United Data'!$C$3:$C$2150,$A824)&gt;0,1,0)</f>
        <v>1</v>
      </c>
      <c r="L824">
        <f>IF(COUNTIFS('United Data'!$A$3:$A$2150,L$1,'United Data'!$C$3:$C$2150,$A824)&gt;0,1,0)</f>
        <v>1</v>
      </c>
      <c r="M824">
        <f>IF(COUNTIFS('United Data'!$A$3:$A$2150,M$1,'United Data'!$C$3:$C$2150,$A824)&gt;0,1,0)</f>
        <v>1</v>
      </c>
      <c r="N824">
        <f>IF(COUNTIFS('United Data'!$A$3:$A$2150,N$1,'United Data'!$C$3:$C$2150,$A824)&gt;0,1,0)</f>
        <v>1</v>
      </c>
      <c r="O824">
        <f>IF(COUNTIFS('United Data'!$A$3:$A$2150,O$1,'United Data'!$C$3:$C$2150,$A824)&gt;0,1,0)</f>
        <v>0</v>
      </c>
      <c r="P824">
        <f>IF(COUNTIFS('United Data'!$A$3:$A$2150,P$1,'United Data'!$C$3:$C$2150,$A824)&gt;0,1,0)</f>
        <v>0</v>
      </c>
      <c r="Q824">
        <f>IF(COUNTIFS('United Data'!$A$3:$A$2150,Q$1,'United Data'!$C$3:$C$2150,$A824)&gt;0,1,0)</f>
        <v>0</v>
      </c>
      <c r="R824">
        <f>IF(COUNTIFS('United Data'!$A$3:$A$2150,R$1,'United Data'!$C$3:$C$2150,$A824)&gt;0,1,0)</f>
        <v>0</v>
      </c>
      <c r="S824">
        <f t="shared" si="24"/>
        <v>8</v>
      </c>
      <c r="T824">
        <f t="shared" si="25"/>
        <v>1</v>
      </c>
    </row>
    <row r="825" spans="1:20" x14ac:dyDescent="0.2">
      <c r="A825" t="s">
        <v>870</v>
      </c>
      <c r="B825">
        <f>IF(COUNTIFS('United Data'!$A$3:$A$2150,B$1,'United Data'!$C$3:$C$2150,$A825)&gt;0,1,0)</f>
        <v>0</v>
      </c>
      <c r="C825">
        <f>IF(COUNTIFS('United Data'!$A$3:$A$2150,C$1,'United Data'!$C$3:$C$2150,$A825)&gt;0,1,0)</f>
        <v>0</v>
      </c>
      <c r="D825">
        <f>IF(COUNTIFS('United Data'!$A$3:$A$2150,D$1,'United Data'!$C$3:$C$2150,$A825)&gt;0,1,0)</f>
        <v>0</v>
      </c>
      <c r="E825">
        <f>IF(COUNTIFS('United Data'!$A$3:$A$2150,E$1,'United Data'!$C$3:$C$2150,$A825)&gt;0,1,0)</f>
        <v>0</v>
      </c>
      <c r="F825">
        <f>IF(COUNTIFS('United Data'!$A$3:$A$2150,F$1,'United Data'!$C$3:$C$2150,$A825)&gt;0,1,0)</f>
        <v>0</v>
      </c>
      <c r="G825">
        <f>IF(COUNTIFS('United Data'!$A$3:$A$2150,G$1,'United Data'!$C$3:$C$2150,$A825)&gt;0,1,0)</f>
        <v>1</v>
      </c>
      <c r="H825">
        <f>IF(COUNTIFS('United Data'!$A$3:$A$2150,H$1,'United Data'!$C$3:$C$2150,$A825)&gt;0,1,0)</f>
        <v>0</v>
      </c>
      <c r="I825">
        <f>IF(COUNTIFS('United Data'!$A$3:$A$2150,I$1,'United Data'!$C$3:$C$2150,$A825)&gt;0,1,0)</f>
        <v>0</v>
      </c>
      <c r="J825">
        <f>IF(COUNTIFS('United Data'!$A$3:$A$2150,J$1,'United Data'!$C$3:$C$2150,$A825)&gt;0,1,0)</f>
        <v>0</v>
      </c>
      <c r="K825">
        <f>IF(COUNTIFS('United Data'!$A$3:$A$2150,K$1,'United Data'!$C$3:$C$2150,$A825)&gt;0,1,0)</f>
        <v>0</v>
      </c>
      <c r="L825">
        <f>IF(COUNTIFS('United Data'!$A$3:$A$2150,L$1,'United Data'!$C$3:$C$2150,$A825)&gt;0,1,0)</f>
        <v>0</v>
      </c>
      <c r="M825">
        <f>IF(COUNTIFS('United Data'!$A$3:$A$2150,M$1,'United Data'!$C$3:$C$2150,$A825)&gt;0,1,0)</f>
        <v>0</v>
      </c>
      <c r="N825">
        <f>IF(COUNTIFS('United Data'!$A$3:$A$2150,N$1,'United Data'!$C$3:$C$2150,$A825)&gt;0,1,0)</f>
        <v>0</v>
      </c>
      <c r="O825">
        <f>IF(COUNTIFS('United Data'!$A$3:$A$2150,O$1,'United Data'!$C$3:$C$2150,$A825)&gt;0,1,0)</f>
        <v>0</v>
      </c>
      <c r="P825">
        <f>IF(COUNTIFS('United Data'!$A$3:$A$2150,P$1,'United Data'!$C$3:$C$2150,$A825)&gt;0,1,0)</f>
        <v>0</v>
      </c>
      <c r="Q825">
        <f>IF(COUNTIFS('United Data'!$A$3:$A$2150,Q$1,'United Data'!$C$3:$C$2150,$A825)&gt;0,1,0)</f>
        <v>0</v>
      </c>
      <c r="R825">
        <f>IF(COUNTIFS('United Data'!$A$3:$A$2150,R$1,'United Data'!$C$3:$C$2150,$A825)&gt;0,1,0)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871</v>
      </c>
      <c r="B826">
        <f>IF(COUNTIFS('United Data'!$A$3:$A$2150,B$1,'United Data'!$C$3:$C$2150,$A826)&gt;0,1,0)</f>
        <v>0</v>
      </c>
      <c r="C826">
        <f>IF(COUNTIFS('United Data'!$A$3:$A$2150,C$1,'United Data'!$C$3:$C$2150,$A826)&gt;0,1,0)</f>
        <v>0</v>
      </c>
      <c r="D826">
        <f>IF(COUNTIFS('United Data'!$A$3:$A$2150,D$1,'United Data'!$C$3:$C$2150,$A826)&gt;0,1,0)</f>
        <v>0</v>
      </c>
      <c r="E826">
        <f>IF(COUNTIFS('United Data'!$A$3:$A$2150,E$1,'United Data'!$C$3:$C$2150,$A826)&gt;0,1,0)</f>
        <v>0</v>
      </c>
      <c r="F826">
        <f>IF(COUNTIFS('United Data'!$A$3:$A$2150,F$1,'United Data'!$C$3:$C$2150,$A826)&gt;0,1,0)</f>
        <v>0</v>
      </c>
      <c r="G826">
        <f>IF(COUNTIFS('United Data'!$A$3:$A$2150,G$1,'United Data'!$C$3:$C$2150,$A826)&gt;0,1,0)</f>
        <v>1</v>
      </c>
      <c r="H826">
        <f>IF(COUNTIFS('United Data'!$A$3:$A$2150,H$1,'United Data'!$C$3:$C$2150,$A826)&gt;0,1,0)</f>
        <v>0</v>
      </c>
      <c r="I826">
        <f>IF(COUNTIFS('United Data'!$A$3:$A$2150,I$1,'United Data'!$C$3:$C$2150,$A826)&gt;0,1,0)</f>
        <v>0</v>
      </c>
      <c r="J826">
        <f>IF(COUNTIFS('United Data'!$A$3:$A$2150,J$1,'United Data'!$C$3:$C$2150,$A826)&gt;0,1,0)</f>
        <v>0</v>
      </c>
      <c r="K826">
        <f>IF(COUNTIFS('United Data'!$A$3:$A$2150,K$1,'United Data'!$C$3:$C$2150,$A826)&gt;0,1,0)</f>
        <v>0</v>
      </c>
      <c r="L826">
        <f>IF(COUNTIFS('United Data'!$A$3:$A$2150,L$1,'United Data'!$C$3:$C$2150,$A826)&gt;0,1,0)</f>
        <v>0</v>
      </c>
      <c r="M826">
        <f>IF(COUNTIFS('United Data'!$A$3:$A$2150,M$1,'United Data'!$C$3:$C$2150,$A826)&gt;0,1,0)</f>
        <v>1</v>
      </c>
      <c r="N826">
        <f>IF(COUNTIFS('United Data'!$A$3:$A$2150,N$1,'United Data'!$C$3:$C$2150,$A826)&gt;0,1,0)</f>
        <v>0</v>
      </c>
      <c r="O826">
        <f>IF(COUNTIFS('United Data'!$A$3:$A$2150,O$1,'United Data'!$C$3:$C$2150,$A826)&gt;0,1,0)</f>
        <v>0</v>
      </c>
      <c r="P826">
        <f>IF(COUNTIFS('United Data'!$A$3:$A$2150,P$1,'United Data'!$C$3:$C$2150,$A826)&gt;0,1,0)</f>
        <v>0</v>
      </c>
      <c r="Q826">
        <f>IF(COUNTIFS('United Data'!$A$3:$A$2150,Q$1,'United Data'!$C$3:$C$2150,$A826)&gt;0,1,0)</f>
        <v>0</v>
      </c>
      <c r="R826">
        <f>IF(COUNTIFS('United Data'!$A$3:$A$2150,R$1,'United Data'!$C$3:$C$2150,$A826)&gt;0,1,0)</f>
        <v>0</v>
      </c>
      <c r="S826">
        <f t="shared" si="24"/>
        <v>2</v>
      </c>
      <c r="T826">
        <f t="shared" si="25"/>
        <v>2</v>
      </c>
    </row>
    <row r="827" spans="1:20" x14ac:dyDescent="0.2">
      <c r="A827" t="s">
        <v>872</v>
      </c>
      <c r="B827">
        <f>IF(COUNTIFS('United Data'!$A$3:$A$2150,B$1,'United Data'!$C$3:$C$2150,$A827)&gt;0,1,0)</f>
        <v>0</v>
      </c>
      <c r="C827">
        <f>IF(COUNTIFS('United Data'!$A$3:$A$2150,C$1,'United Data'!$C$3:$C$2150,$A827)&gt;0,1,0)</f>
        <v>0</v>
      </c>
      <c r="D827">
        <f>IF(COUNTIFS('United Data'!$A$3:$A$2150,D$1,'United Data'!$C$3:$C$2150,$A827)&gt;0,1,0)</f>
        <v>0</v>
      </c>
      <c r="E827">
        <f>IF(COUNTIFS('United Data'!$A$3:$A$2150,E$1,'United Data'!$C$3:$C$2150,$A827)&gt;0,1,0)</f>
        <v>0</v>
      </c>
      <c r="F827">
        <f>IF(COUNTIFS('United Data'!$A$3:$A$2150,F$1,'United Data'!$C$3:$C$2150,$A827)&gt;0,1,0)</f>
        <v>0</v>
      </c>
      <c r="G827">
        <f>IF(COUNTIFS('United Data'!$A$3:$A$2150,G$1,'United Data'!$C$3:$C$2150,$A827)&gt;0,1,0)</f>
        <v>1</v>
      </c>
      <c r="H827">
        <f>IF(COUNTIFS('United Data'!$A$3:$A$2150,H$1,'United Data'!$C$3:$C$2150,$A827)&gt;0,1,0)</f>
        <v>0</v>
      </c>
      <c r="I827">
        <f>IF(COUNTIFS('United Data'!$A$3:$A$2150,I$1,'United Data'!$C$3:$C$2150,$A827)&gt;0,1,0)</f>
        <v>0</v>
      </c>
      <c r="J827">
        <f>IF(COUNTIFS('United Data'!$A$3:$A$2150,J$1,'United Data'!$C$3:$C$2150,$A827)&gt;0,1,0)</f>
        <v>0</v>
      </c>
      <c r="K827">
        <f>IF(COUNTIFS('United Data'!$A$3:$A$2150,K$1,'United Data'!$C$3:$C$2150,$A827)&gt;0,1,0)</f>
        <v>0</v>
      </c>
      <c r="L827">
        <f>IF(COUNTIFS('United Data'!$A$3:$A$2150,L$1,'United Data'!$C$3:$C$2150,$A827)&gt;0,1,0)</f>
        <v>0</v>
      </c>
      <c r="M827">
        <f>IF(COUNTIFS('United Data'!$A$3:$A$2150,M$1,'United Data'!$C$3:$C$2150,$A827)&gt;0,1,0)</f>
        <v>0</v>
      </c>
      <c r="N827">
        <f>IF(COUNTIFS('United Data'!$A$3:$A$2150,N$1,'United Data'!$C$3:$C$2150,$A827)&gt;0,1,0)</f>
        <v>0</v>
      </c>
      <c r="O827">
        <f>IF(COUNTIFS('United Data'!$A$3:$A$2150,O$1,'United Data'!$C$3:$C$2150,$A827)&gt;0,1,0)</f>
        <v>0</v>
      </c>
      <c r="P827">
        <f>IF(COUNTIFS('United Data'!$A$3:$A$2150,P$1,'United Data'!$C$3:$C$2150,$A827)&gt;0,1,0)</f>
        <v>0</v>
      </c>
      <c r="Q827">
        <f>IF(COUNTIFS('United Data'!$A$3:$A$2150,Q$1,'United Data'!$C$3:$C$2150,$A827)&gt;0,1,0)</f>
        <v>0</v>
      </c>
      <c r="R827">
        <f>IF(COUNTIFS('United Data'!$A$3:$A$2150,R$1,'United Data'!$C$3:$C$2150,$A827)&gt;0,1,0)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873</v>
      </c>
      <c r="B828">
        <f>IF(COUNTIFS('United Data'!$A$3:$A$2150,B$1,'United Data'!$C$3:$C$2150,$A828)&gt;0,1,0)</f>
        <v>0</v>
      </c>
      <c r="C828">
        <f>IF(COUNTIFS('United Data'!$A$3:$A$2150,C$1,'United Data'!$C$3:$C$2150,$A828)&gt;0,1,0)</f>
        <v>0</v>
      </c>
      <c r="D828">
        <f>IF(COUNTIFS('United Data'!$A$3:$A$2150,D$1,'United Data'!$C$3:$C$2150,$A828)&gt;0,1,0)</f>
        <v>0</v>
      </c>
      <c r="E828">
        <f>IF(COUNTIFS('United Data'!$A$3:$A$2150,E$1,'United Data'!$C$3:$C$2150,$A828)&gt;0,1,0)</f>
        <v>0</v>
      </c>
      <c r="F828">
        <f>IF(COUNTIFS('United Data'!$A$3:$A$2150,F$1,'United Data'!$C$3:$C$2150,$A828)&gt;0,1,0)</f>
        <v>0</v>
      </c>
      <c r="G828">
        <f>IF(COUNTIFS('United Data'!$A$3:$A$2150,G$1,'United Data'!$C$3:$C$2150,$A828)&gt;0,1,0)</f>
        <v>1</v>
      </c>
      <c r="H828">
        <f>IF(COUNTIFS('United Data'!$A$3:$A$2150,H$1,'United Data'!$C$3:$C$2150,$A828)&gt;0,1,0)</f>
        <v>1</v>
      </c>
      <c r="I828">
        <f>IF(COUNTIFS('United Data'!$A$3:$A$2150,I$1,'United Data'!$C$3:$C$2150,$A828)&gt;0,1,0)</f>
        <v>0</v>
      </c>
      <c r="J828">
        <f>IF(COUNTIFS('United Data'!$A$3:$A$2150,J$1,'United Data'!$C$3:$C$2150,$A828)&gt;0,1,0)</f>
        <v>0</v>
      </c>
      <c r="K828">
        <f>IF(COUNTIFS('United Data'!$A$3:$A$2150,K$1,'United Data'!$C$3:$C$2150,$A828)&gt;0,1,0)</f>
        <v>0</v>
      </c>
      <c r="L828">
        <f>IF(COUNTIFS('United Data'!$A$3:$A$2150,L$1,'United Data'!$C$3:$C$2150,$A828)&gt;0,1,0)</f>
        <v>0</v>
      </c>
      <c r="M828">
        <f>IF(COUNTIFS('United Data'!$A$3:$A$2150,M$1,'United Data'!$C$3:$C$2150,$A828)&gt;0,1,0)</f>
        <v>0</v>
      </c>
      <c r="N828">
        <f>IF(COUNTIFS('United Data'!$A$3:$A$2150,N$1,'United Data'!$C$3:$C$2150,$A828)&gt;0,1,0)</f>
        <v>0</v>
      </c>
      <c r="O828">
        <f>IF(COUNTIFS('United Data'!$A$3:$A$2150,O$1,'United Data'!$C$3:$C$2150,$A828)&gt;0,1,0)</f>
        <v>0</v>
      </c>
      <c r="P828">
        <f>IF(COUNTIFS('United Data'!$A$3:$A$2150,P$1,'United Data'!$C$3:$C$2150,$A828)&gt;0,1,0)</f>
        <v>0</v>
      </c>
      <c r="Q828">
        <f>IF(COUNTIFS('United Data'!$A$3:$A$2150,Q$1,'United Data'!$C$3:$C$2150,$A828)&gt;0,1,0)</f>
        <v>0</v>
      </c>
      <c r="R828">
        <f>IF(COUNTIFS('United Data'!$A$3:$A$2150,R$1,'United Data'!$C$3:$C$2150,$A828)&gt;0,1,0)</f>
        <v>0</v>
      </c>
      <c r="S828">
        <f t="shared" si="24"/>
        <v>2</v>
      </c>
      <c r="T828">
        <f t="shared" si="25"/>
        <v>1</v>
      </c>
    </row>
    <row r="829" spans="1:20" x14ac:dyDescent="0.2">
      <c r="A829" t="s">
        <v>874</v>
      </c>
      <c r="B829">
        <f>IF(COUNTIFS('United Data'!$A$3:$A$2150,B$1,'United Data'!$C$3:$C$2150,$A829)&gt;0,1,0)</f>
        <v>0</v>
      </c>
      <c r="C829">
        <f>IF(COUNTIFS('United Data'!$A$3:$A$2150,C$1,'United Data'!$C$3:$C$2150,$A829)&gt;0,1,0)</f>
        <v>0</v>
      </c>
      <c r="D829">
        <f>IF(COUNTIFS('United Data'!$A$3:$A$2150,D$1,'United Data'!$C$3:$C$2150,$A829)&gt;0,1,0)</f>
        <v>0</v>
      </c>
      <c r="E829">
        <f>IF(COUNTIFS('United Data'!$A$3:$A$2150,E$1,'United Data'!$C$3:$C$2150,$A829)&gt;0,1,0)</f>
        <v>0</v>
      </c>
      <c r="F829">
        <f>IF(COUNTIFS('United Data'!$A$3:$A$2150,F$1,'United Data'!$C$3:$C$2150,$A829)&gt;0,1,0)</f>
        <v>0</v>
      </c>
      <c r="G829">
        <f>IF(COUNTIFS('United Data'!$A$3:$A$2150,G$1,'United Data'!$C$3:$C$2150,$A829)&gt;0,1,0)</f>
        <v>0</v>
      </c>
      <c r="H829">
        <f>IF(COUNTIFS('United Data'!$A$3:$A$2150,H$1,'United Data'!$C$3:$C$2150,$A829)&gt;0,1,0)</f>
        <v>1</v>
      </c>
      <c r="I829">
        <f>IF(COUNTIFS('United Data'!$A$3:$A$2150,I$1,'United Data'!$C$3:$C$2150,$A829)&gt;0,1,0)</f>
        <v>0</v>
      </c>
      <c r="J829">
        <f>IF(COUNTIFS('United Data'!$A$3:$A$2150,J$1,'United Data'!$C$3:$C$2150,$A829)&gt;0,1,0)</f>
        <v>0</v>
      </c>
      <c r="K829">
        <f>IF(COUNTIFS('United Data'!$A$3:$A$2150,K$1,'United Data'!$C$3:$C$2150,$A829)&gt;0,1,0)</f>
        <v>0</v>
      </c>
      <c r="L829">
        <f>IF(COUNTIFS('United Data'!$A$3:$A$2150,L$1,'United Data'!$C$3:$C$2150,$A829)&gt;0,1,0)</f>
        <v>1</v>
      </c>
      <c r="M829">
        <f>IF(COUNTIFS('United Data'!$A$3:$A$2150,M$1,'United Data'!$C$3:$C$2150,$A829)&gt;0,1,0)</f>
        <v>0</v>
      </c>
      <c r="N829">
        <f>IF(COUNTIFS('United Data'!$A$3:$A$2150,N$1,'United Data'!$C$3:$C$2150,$A829)&gt;0,1,0)</f>
        <v>0</v>
      </c>
      <c r="O829">
        <f>IF(COUNTIFS('United Data'!$A$3:$A$2150,O$1,'United Data'!$C$3:$C$2150,$A829)&gt;0,1,0)</f>
        <v>0</v>
      </c>
      <c r="P829">
        <f>IF(COUNTIFS('United Data'!$A$3:$A$2150,P$1,'United Data'!$C$3:$C$2150,$A829)&gt;0,1,0)</f>
        <v>0</v>
      </c>
      <c r="Q829">
        <f>IF(COUNTIFS('United Data'!$A$3:$A$2150,Q$1,'United Data'!$C$3:$C$2150,$A829)&gt;0,1,0)</f>
        <v>0</v>
      </c>
      <c r="R829">
        <f>IF(COUNTIFS('United Data'!$A$3:$A$2150,R$1,'United Data'!$C$3:$C$2150,$A829)&gt;0,1,0)</f>
        <v>0</v>
      </c>
      <c r="S829">
        <f t="shared" si="24"/>
        <v>2</v>
      </c>
      <c r="T829">
        <f t="shared" si="25"/>
        <v>2</v>
      </c>
    </row>
    <row r="830" spans="1:20" x14ac:dyDescent="0.2">
      <c r="A830" t="s">
        <v>875</v>
      </c>
      <c r="B830">
        <f>IF(COUNTIFS('United Data'!$A$3:$A$2150,B$1,'United Data'!$C$3:$C$2150,$A830)&gt;0,1,0)</f>
        <v>0</v>
      </c>
      <c r="C830">
        <f>IF(COUNTIFS('United Data'!$A$3:$A$2150,C$1,'United Data'!$C$3:$C$2150,$A830)&gt;0,1,0)</f>
        <v>0</v>
      </c>
      <c r="D830">
        <f>IF(COUNTIFS('United Data'!$A$3:$A$2150,D$1,'United Data'!$C$3:$C$2150,$A830)&gt;0,1,0)</f>
        <v>0</v>
      </c>
      <c r="E830">
        <f>IF(COUNTIFS('United Data'!$A$3:$A$2150,E$1,'United Data'!$C$3:$C$2150,$A830)&gt;0,1,0)</f>
        <v>0</v>
      </c>
      <c r="F830">
        <f>IF(COUNTIFS('United Data'!$A$3:$A$2150,F$1,'United Data'!$C$3:$C$2150,$A830)&gt;0,1,0)</f>
        <v>0</v>
      </c>
      <c r="G830">
        <f>IF(COUNTIFS('United Data'!$A$3:$A$2150,G$1,'United Data'!$C$3:$C$2150,$A830)&gt;0,1,0)</f>
        <v>0</v>
      </c>
      <c r="H830">
        <f>IF(COUNTIFS('United Data'!$A$3:$A$2150,H$1,'United Data'!$C$3:$C$2150,$A830)&gt;0,1,0)</f>
        <v>1</v>
      </c>
      <c r="I830">
        <f>IF(COUNTIFS('United Data'!$A$3:$A$2150,I$1,'United Data'!$C$3:$C$2150,$A830)&gt;0,1,0)</f>
        <v>1</v>
      </c>
      <c r="J830">
        <f>IF(COUNTIFS('United Data'!$A$3:$A$2150,J$1,'United Data'!$C$3:$C$2150,$A830)&gt;0,1,0)</f>
        <v>1</v>
      </c>
      <c r="K830">
        <f>IF(COUNTIFS('United Data'!$A$3:$A$2150,K$1,'United Data'!$C$3:$C$2150,$A830)&gt;0,1,0)</f>
        <v>1</v>
      </c>
      <c r="L830">
        <f>IF(COUNTIFS('United Data'!$A$3:$A$2150,L$1,'United Data'!$C$3:$C$2150,$A830)&gt;0,1,0)</f>
        <v>1</v>
      </c>
      <c r="M830">
        <f>IF(COUNTIFS('United Data'!$A$3:$A$2150,M$1,'United Data'!$C$3:$C$2150,$A830)&gt;0,1,0)</f>
        <v>1</v>
      </c>
      <c r="N830">
        <f>IF(COUNTIFS('United Data'!$A$3:$A$2150,N$1,'United Data'!$C$3:$C$2150,$A830)&gt;0,1,0)</f>
        <v>1</v>
      </c>
      <c r="O830">
        <f>IF(COUNTIFS('United Data'!$A$3:$A$2150,O$1,'United Data'!$C$3:$C$2150,$A830)&gt;0,1,0)</f>
        <v>1</v>
      </c>
      <c r="P830">
        <f>IF(COUNTIFS('United Data'!$A$3:$A$2150,P$1,'United Data'!$C$3:$C$2150,$A830)&gt;0,1,0)</f>
        <v>0</v>
      </c>
      <c r="Q830">
        <f>IF(COUNTIFS('United Data'!$A$3:$A$2150,Q$1,'United Data'!$C$3:$C$2150,$A830)&gt;0,1,0)</f>
        <v>0</v>
      </c>
      <c r="R830">
        <f>IF(COUNTIFS('United Data'!$A$3:$A$2150,R$1,'United Data'!$C$3:$C$2150,$A830)&gt;0,1,0)</f>
        <v>0</v>
      </c>
      <c r="S830">
        <f t="shared" si="24"/>
        <v>8</v>
      </c>
      <c r="T830">
        <f t="shared" si="25"/>
        <v>1</v>
      </c>
    </row>
    <row r="831" spans="1:20" x14ac:dyDescent="0.2">
      <c r="A831" t="s">
        <v>876</v>
      </c>
      <c r="B831">
        <f>IF(COUNTIFS('United Data'!$A$3:$A$2150,B$1,'United Data'!$C$3:$C$2150,$A831)&gt;0,1,0)</f>
        <v>0</v>
      </c>
      <c r="C831">
        <f>IF(COUNTIFS('United Data'!$A$3:$A$2150,C$1,'United Data'!$C$3:$C$2150,$A831)&gt;0,1,0)</f>
        <v>0</v>
      </c>
      <c r="D831">
        <f>IF(COUNTIFS('United Data'!$A$3:$A$2150,D$1,'United Data'!$C$3:$C$2150,$A831)&gt;0,1,0)</f>
        <v>0</v>
      </c>
      <c r="E831">
        <f>IF(COUNTIFS('United Data'!$A$3:$A$2150,E$1,'United Data'!$C$3:$C$2150,$A831)&gt;0,1,0)</f>
        <v>0</v>
      </c>
      <c r="F831">
        <f>IF(COUNTIFS('United Data'!$A$3:$A$2150,F$1,'United Data'!$C$3:$C$2150,$A831)&gt;0,1,0)</f>
        <v>0</v>
      </c>
      <c r="G831">
        <f>IF(COUNTIFS('United Data'!$A$3:$A$2150,G$1,'United Data'!$C$3:$C$2150,$A831)&gt;0,1,0)</f>
        <v>0</v>
      </c>
      <c r="H831">
        <f>IF(COUNTIFS('United Data'!$A$3:$A$2150,H$1,'United Data'!$C$3:$C$2150,$A831)&gt;0,1,0)</f>
        <v>1</v>
      </c>
      <c r="I831">
        <f>IF(COUNTIFS('United Data'!$A$3:$A$2150,I$1,'United Data'!$C$3:$C$2150,$A831)&gt;0,1,0)</f>
        <v>0</v>
      </c>
      <c r="J831">
        <f>IF(COUNTIFS('United Data'!$A$3:$A$2150,J$1,'United Data'!$C$3:$C$2150,$A831)&gt;0,1,0)</f>
        <v>0</v>
      </c>
      <c r="K831">
        <f>IF(COUNTIFS('United Data'!$A$3:$A$2150,K$1,'United Data'!$C$3:$C$2150,$A831)&gt;0,1,0)</f>
        <v>0</v>
      </c>
      <c r="L831">
        <f>IF(COUNTIFS('United Data'!$A$3:$A$2150,L$1,'United Data'!$C$3:$C$2150,$A831)&gt;0,1,0)</f>
        <v>0</v>
      </c>
      <c r="M831">
        <f>IF(COUNTIFS('United Data'!$A$3:$A$2150,M$1,'United Data'!$C$3:$C$2150,$A831)&gt;0,1,0)</f>
        <v>0</v>
      </c>
      <c r="N831">
        <f>IF(COUNTIFS('United Data'!$A$3:$A$2150,N$1,'United Data'!$C$3:$C$2150,$A831)&gt;0,1,0)</f>
        <v>0</v>
      </c>
      <c r="O831">
        <f>IF(COUNTIFS('United Data'!$A$3:$A$2150,O$1,'United Data'!$C$3:$C$2150,$A831)&gt;0,1,0)</f>
        <v>0</v>
      </c>
      <c r="P831">
        <f>IF(COUNTIFS('United Data'!$A$3:$A$2150,P$1,'United Data'!$C$3:$C$2150,$A831)&gt;0,1,0)</f>
        <v>0</v>
      </c>
      <c r="Q831">
        <f>IF(COUNTIFS('United Data'!$A$3:$A$2150,Q$1,'United Data'!$C$3:$C$2150,$A831)&gt;0,1,0)</f>
        <v>0</v>
      </c>
      <c r="R831">
        <f>IF(COUNTIFS('United Data'!$A$3:$A$2150,R$1,'United Data'!$C$3:$C$2150,$A831)&gt;0,1,0)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877</v>
      </c>
      <c r="B832">
        <f>IF(COUNTIFS('United Data'!$A$3:$A$2150,B$1,'United Data'!$C$3:$C$2150,$A832)&gt;0,1,0)</f>
        <v>0</v>
      </c>
      <c r="C832">
        <f>IF(COUNTIFS('United Data'!$A$3:$A$2150,C$1,'United Data'!$C$3:$C$2150,$A832)&gt;0,1,0)</f>
        <v>0</v>
      </c>
      <c r="D832">
        <f>IF(COUNTIFS('United Data'!$A$3:$A$2150,D$1,'United Data'!$C$3:$C$2150,$A832)&gt;0,1,0)</f>
        <v>0</v>
      </c>
      <c r="E832">
        <f>IF(COUNTIFS('United Data'!$A$3:$A$2150,E$1,'United Data'!$C$3:$C$2150,$A832)&gt;0,1,0)</f>
        <v>0</v>
      </c>
      <c r="F832">
        <f>IF(COUNTIFS('United Data'!$A$3:$A$2150,F$1,'United Data'!$C$3:$C$2150,$A832)&gt;0,1,0)</f>
        <v>0</v>
      </c>
      <c r="G832">
        <f>IF(COUNTIFS('United Data'!$A$3:$A$2150,G$1,'United Data'!$C$3:$C$2150,$A832)&gt;0,1,0)</f>
        <v>0</v>
      </c>
      <c r="H832">
        <f>IF(COUNTIFS('United Data'!$A$3:$A$2150,H$1,'United Data'!$C$3:$C$2150,$A832)&gt;0,1,0)</f>
        <v>1</v>
      </c>
      <c r="I832">
        <f>IF(COUNTIFS('United Data'!$A$3:$A$2150,I$1,'United Data'!$C$3:$C$2150,$A832)&gt;0,1,0)</f>
        <v>0</v>
      </c>
      <c r="J832">
        <f>IF(COUNTIFS('United Data'!$A$3:$A$2150,J$1,'United Data'!$C$3:$C$2150,$A832)&gt;0,1,0)</f>
        <v>0</v>
      </c>
      <c r="K832">
        <f>IF(COUNTIFS('United Data'!$A$3:$A$2150,K$1,'United Data'!$C$3:$C$2150,$A832)&gt;0,1,0)</f>
        <v>0</v>
      </c>
      <c r="L832">
        <f>IF(COUNTIFS('United Data'!$A$3:$A$2150,L$1,'United Data'!$C$3:$C$2150,$A832)&gt;0,1,0)</f>
        <v>0</v>
      </c>
      <c r="M832">
        <f>IF(COUNTIFS('United Data'!$A$3:$A$2150,M$1,'United Data'!$C$3:$C$2150,$A832)&gt;0,1,0)</f>
        <v>0</v>
      </c>
      <c r="N832">
        <f>IF(COUNTIFS('United Data'!$A$3:$A$2150,N$1,'United Data'!$C$3:$C$2150,$A832)&gt;0,1,0)</f>
        <v>0</v>
      </c>
      <c r="O832">
        <f>IF(COUNTIFS('United Data'!$A$3:$A$2150,O$1,'United Data'!$C$3:$C$2150,$A832)&gt;0,1,0)</f>
        <v>0</v>
      </c>
      <c r="P832">
        <f>IF(COUNTIFS('United Data'!$A$3:$A$2150,P$1,'United Data'!$C$3:$C$2150,$A832)&gt;0,1,0)</f>
        <v>0</v>
      </c>
      <c r="Q832">
        <f>IF(COUNTIFS('United Data'!$A$3:$A$2150,Q$1,'United Data'!$C$3:$C$2150,$A832)&gt;0,1,0)</f>
        <v>0</v>
      </c>
      <c r="R832">
        <f>IF(COUNTIFS('United Data'!$A$3:$A$2150,R$1,'United Data'!$C$3:$C$2150,$A832)&gt;0,1,0)</f>
        <v>0</v>
      </c>
      <c r="S832">
        <f t="shared" si="24"/>
        <v>1</v>
      </c>
      <c r="T832">
        <f t="shared" si="25"/>
        <v>1</v>
      </c>
    </row>
    <row r="833" spans="1:20" x14ac:dyDescent="0.2">
      <c r="A833" t="s">
        <v>878</v>
      </c>
      <c r="B833">
        <f>IF(COUNTIFS('United Data'!$A$3:$A$2150,B$1,'United Data'!$C$3:$C$2150,$A833)&gt;0,1,0)</f>
        <v>0</v>
      </c>
      <c r="C833">
        <f>IF(COUNTIFS('United Data'!$A$3:$A$2150,C$1,'United Data'!$C$3:$C$2150,$A833)&gt;0,1,0)</f>
        <v>0</v>
      </c>
      <c r="D833">
        <f>IF(COUNTIFS('United Data'!$A$3:$A$2150,D$1,'United Data'!$C$3:$C$2150,$A833)&gt;0,1,0)</f>
        <v>0</v>
      </c>
      <c r="E833">
        <f>IF(COUNTIFS('United Data'!$A$3:$A$2150,E$1,'United Data'!$C$3:$C$2150,$A833)&gt;0,1,0)</f>
        <v>0</v>
      </c>
      <c r="F833">
        <f>IF(COUNTIFS('United Data'!$A$3:$A$2150,F$1,'United Data'!$C$3:$C$2150,$A833)&gt;0,1,0)</f>
        <v>0</v>
      </c>
      <c r="G833">
        <f>IF(COUNTIFS('United Data'!$A$3:$A$2150,G$1,'United Data'!$C$3:$C$2150,$A833)&gt;0,1,0)</f>
        <v>0</v>
      </c>
      <c r="H833">
        <f>IF(COUNTIFS('United Data'!$A$3:$A$2150,H$1,'United Data'!$C$3:$C$2150,$A833)&gt;0,1,0)</f>
        <v>1</v>
      </c>
      <c r="I833">
        <f>IF(COUNTIFS('United Data'!$A$3:$A$2150,I$1,'United Data'!$C$3:$C$2150,$A833)&gt;0,1,0)</f>
        <v>1</v>
      </c>
      <c r="J833">
        <f>IF(COUNTIFS('United Data'!$A$3:$A$2150,J$1,'United Data'!$C$3:$C$2150,$A833)&gt;0,1,0)</f>
        <v>1</v>
      </c>
      <c r="K833">
        <f>IF(COUNTIFS('United Data'!$A$3:$A$2150,K$1,'United Data'!$C$3:$C$2150,$A833)&gt;0,1,0)</f>
        <v>0</v>
      </c>
      <c r="L833">
        <f>IF(COUNTIFS('United Data'!$A$3:$A$2150,L$1,'United Data'!$C$3:$C$2150,$A833)&gt;0,1,0)</f>
        <v>0</v>
      </c>
      <c r="M833">
        <f>IF(COUNTIFS('United Data'!$A$3:$A$2150,M$1,'United Data'!$C$3:$C$2150,$A833)&gt;0,1,0)</f>
        <v>0</v>
      </c>
      <c r="N833">
        <f>IF(COUNTIFS('United Data'!$A$3:$A$2150,N$1,'United Data'!$C$3:$C$2150,$A833)&gt;0,1,0)</f>
        <v>0</v>
      </c>
      <c r="O833">
        <f>IF(COUNTIFS('United Data'!$A$3:$A$2150,O$1,'United Data'!$C$3:$C$2150,$A833)&gt;0,1,0)</f>
        <v>0</v>
      </c>
      <c r="P833">
        <f>IF(COUNTIFS('United Data'!$A$3:$A$2150,P$1,'United Data'!$C$3:$C$2150,$A833)&gt;0,1,0)</f>
        <v>0</v>
      </c>
      <c r="Q833">
        <f>IF(COUNTIFS('United Data'!$A$3:$A$2150,Q$1,'United Data'!$C$3:$C$2150,$A833)&gt;0,1,0)</f>
        <v>0</v>
      </c>
      <c r="R833">
        <f>IF(COUNTIFS('United Data'!$A$3:$A$2150,R$1,'United Data'!$C$3:$C$2150,$A833)&gt;0,1,0)</f>
        <v>0</v>
      </c>
      <c r="S833">
        <f t="shared" si="24"/>
        <v>3</v>
      </c>
      <c r="T833">
        <f t="shared" si="25"/>
        <v>1</v>
      </c>
    </row>
    <row r="834" spans="1:20" x14ac:dyDescent="0.2">
      <c r="A834" t="s">
        <v>879</v>
      </c>
      <c r="B834">
        <f>IF(COUNTIFS('United Data'!$A$3:$A$2150,B$1,'United Data'!$C$3:$C$2150,$A834)&gt;0,1,0)</f>
        <v>0</v>
      </c>
      <c r="C834">
        <f>IF(COUNTIFS('United Data'!$A$3:$A$2150,C$1,'United Data'!$C$3:$C$2150,$A834)&gt;0,1,0)</f>
        <v>0</v>
      </c>
      <c r="D834">
        <f>IF(COUNTIFS('United Data'!$A$3:$A$2150,D$1,'United Data'!$C$3:$C$2150,$A834)&gt;0,1,0)</f>
        <v>0</v>
      </c>
      <c r="E834">
        <f>IF(COUNTIFS('United Data'!$A$3:$A$2150,E$1,'United Data'!$C$3:$C$2150,$A834)&gt;0,1,0)</f>
        <v>0</v>
      </c>
      <c r="F834">
        <f>IF(COUNTIFS('United Data'!$A$3:$A$2150,F$1,'United Data'!$C$3:$C$2150,$A834)&gt;0,1,0)</f>
        <v>0</v>
      </c>
      <c r="G834">
        <f>IF(COUNTIFS('United Data'!$A$3:$A$2150,G$1,'United Data'!$C$3:$C$2150,$A834)&gt;0,1,0)</f>
        <v>0</v>
      </c>
      <c r="H834">
        <f>IF(COUNTIFS('United Data'!$A$3:$A$2150,H$1,'United Data'!$C$3:$C$2150,$A834)&gt;0,1,0)</f>
        <v>1</v>
      </c>
      <c r="I834">
        <f>IF(COUNTIFS('United Data'!$A$3:$A$2150,I$1,'United Data'!$C$3:$C$2150,$A834)&gt;0,1,0)</f>
        <v>0</v>
      </c>
      <c r="J834">
        <f>IF(COUNTIFS('United Data'!$A$3:$A$2150,J$1,'United Data'!$C$3:$C$2150,$A834)&gt;0,1,0)</f>
        <v>0</v>
      </c>
      <c r="K834">
        <f>IF(COUNTIFS('United Data'!$A$3:$A$2150,K$1,'United Data'!$C$3:$C$2150,$A834)&gt;0,1,0)</f>
        <v>0</v>
      </c>
      <c r="L834">
        <f>IF(COUNTIFS('United Data'!$A$3:$A$2150,L$1,'United Data'!$C$3:$C$2150,$A834)&gt;0,1,0)</f>
        <v>0</v>
      </c>
      <c r="M834">
        <f>IF(COUNTIFS('United Data'!$A$3:$A$2150,M$1,'United Data'!$C$3:$C$2150,$A834)&gt;0,1,0)</f>
        <v>0</v>
      </c>
      <c r="N834">
        <f>IF(COUNTIFS('United Data'!$A$3:$A$2150,N$1,'United Data'!$C$3:$C$2150,$A834)&gt;0,1,0)</f>
        <v>0</v>
      </c>
      <c r="O834">
        <f>IF(COUNTIFS('United Data'!$A$3:$A$2150,O$1,'United Data'!$C$3:$C$2150,$A834)&gt;0,1,0)</f>
        <v>0</v>
      </c>
      <c r="P834">
        <f>IF(COUNTIFS('United Data'!$A$3:$A$2150,P$1,'United Data'!$C$3:$C$2150,$A834)&gt;0,1,0)</f>
        <v>0</v>
      </c>
      <c r="Q834">
        <f>IF(COUNTIFS('United Data'!$A$3:$A$2150,Q$1,'United Data'!$C$3:$C$2150,$A834)&gt;0,1,0)</f>
        <v>0</v>
      </c>
      <c r="R834">
        <f>IF(COUNTIFS('United Data'!$A$3:$A$2150,R$1,'United Data'!$C$3:$C$2150,$A834)&gt;0,1,0)</f>
        <v>0</v>
      </c>
      <c r="S834">
        <f t="shared" ref="S834:S897" si="26">SUM(B834:R834)</f>
        <v>1</v>
      </c>
      <c r="T834">
        <f t="shared" ref="T834:T897" si="27">B834+SUMPRODUCT(--(C834:R834&gt;B834:Q834))</f>
        <v>1</v>
      </c>
    </row>
    <row r="835" spans="1:20" x14ac:dyDescent="0.2">
      <c r="A835" t="s">
        <v>880</v>
      </c>
      <c r="B835">
        <f>IF(COUNTIFS('United Data'!$A$3:$A$2150,B$1,'United Data'!$C$3:$C$2150,$A835)&gt;0,1,0)</f>
        <v>0</v>
      </c>
      <c r="C835">
        <f>IF(COUNTIFS('United Data'!$A$3:$A$2150,C$1,'United Data'!$C$3:$C$2150,$A835)&gt;0,1,0)</f>
        <v>0</v>
      </c>
      <c r="D835">
        <f>IF(COUNTIFS('United Data'!$A$3:$A$2150,D$1,'United Data'!$C$3:$C$2150,$A835)&gt;0,1,0)</f>
        <v>0</v>
      </c>
      <c r="E835">
        <f>IF(COUNTIFS('United Data'!$A$3:$A$2150,E$1,'United Data'!$C$3:$C$2150,$A835)&gt;0,1,0)</f>
        <v>0</v>
      </c>
      <c r="F835">
        <f>IF(COUNTIFS('United Data'!$A$3:$A$2150,F$1,'United Data'!$C$3:$C$2150,$A835)&gt;0,1,0)</f>
        <v>0</v>
      </c>
      <c r="G835">
        <f>IF(COUNTIFS('United Data'!$A$3:$A$2150,G$1,'United Data'!$C$3:$C$2150,$A835)&gt;0,1,0)</f>
        <v>0</v>
      </c>
      <c r="H835">
        <f>IF(COUNTIFS('United Data'!$A$3:$A$2150,H$1,'United Data'!$C$3:$C$2150,$A835)&gt;0,1,0)</f>
        <v>1</v>
      </c>
      <c r="I835">
        <f>IF(COUNTIFS('United Data'!$A$3:$A$2150,I$1,'United Data'!$C$3:$C$2150,$A835)&gt;0,1,0)</f>
        <v>1</v>
      </c>
      <c r="J835">
        <f>IF(COUNTIFS('United Data'!$A$3:$A$2150,J$1,'United Data'!$C$3:$C$2150,$A835)&gt;0,1,0)</f>
        <v>0</v>
      </c>
      <c r="K835">
        <f>IF(COUNTIFS('United Data'!$A$3:$A$2150,K$1,'United Data'!$C$3:$C$2150,$A835)&gt;0,1,0)</f>
        <v>0</v>
      </c>
      <c r="L835">
        <f>IF(COUNTIFS('United Data'!$A$3:$A$2150,L$1,'United Data'!$C$3:$C$2150,$A835)&gt;0,1,0)</f>
        <v>0</v>
      </c>
      <c r="M835">
        <f>IF(COUNTIFS('United Data'!$A$3:$A$2150,M$1,'United Data'!$C$3:$C$2150,$A835)&gt;0,1,0)</f>
        <v>0</v>
      </c>
      <c r="N835">
        <f>IF(COUNTIFS('United Data'!$A$3:$A$2150,N$1,'United Data'!$C$3:$C$2150,$A835)&gt;0,1,0)</f>
        <v>0</v>
      </c>
      <c r="O835">
        <f>IF(COUNTIFS('United Data'!$A$3:$A$2150,O$1,'United Data'!$C$3:$C$2150,$A835)&gt;0,1,0)</f>
        <v>0</v>
      </c>
      <c r="P835">
        <f>IF(COUNTIFS('United Data'!$A$3:$A$2150,P$1,'United Data'!$C$3:$C$2150,$A835)&gt;0,1,0)</f>
        <v>0</v>
      </c>
      <c r="Q835">
        <f>IF(COUNTIFS('United Data'!$A$3:$A$2150,Q$1,'United Data'!$C$3:$C$2150,$A835)&gt;0,1,0)</f>
        <v>0</v>
      </c>
      <c r="R835">
        <f>IF(COUNTIFS('United Data'!$A$3:$A$2150,R$1,'United Data'!$C$3:$C$2150,$A835)&gt;0,1,0)</f>
        <v>0</v>
      </c>
      <c r="S835">
        <f t="shared" si="26"/>
        <v>2</v>
      </c>
      <c r="T835">
        <f t="shared" si="27"/>
        <v>1</v>
      </c>
    </row>
    <row r="836" spans="1:20" x14ac:dyDescent="0.2">
      <c r="A836" t="s">
        <v>881</v>
      </c>
      <c r="B836">
        <f>IF(COUNTIFS('United Data'!$A$3:$A$2150,B$1,'United Data'!$C$3:$C$2150,$A836)&gt;0,1,0)</f>
        <v>0</v>
      </c>
      <c r="C836">
        <f>IF(COUNTIFS('United Data'!$A$3:$A$2150,C$1,'United Data'!$C$3:$C$2150,$A836)&gt;0,1,0)</f>
        <v>0</v>
      </c>
      <c r="D836">
        <f>IF(COUNTIFS('United Data'!$A$3:$A$2150,D$1,'United Data'!$C$3:$C$2150,$A836)&gt;0,1,0)</f>
        <v>0</v>
      </c>
      <c r="E836">
        <f>IF(COUNTIFS('United Data'!$A$3:$A$2150,E$1,'United Data'!$C$3:$C$2150,$A836)&gt;0,1,0)</f>
        <v>0</v>
      </c>
      <c r="F836">
        <f>IF(COUNTIFS('United Data'!$A$3:$A$2150,F$1,'United Data'!$C$3:$C$2150,$A836)&gt;0,1,0)</f>
        <v>0</v>
      </c>
      <c r="G836">
        <f>IF(COUNTIFS('United Data'!$A$3:$A$2150,G$1,'United Data'!$C$3:$C$2150,$A836)&gt;0,1,0)</f>
        <v>0</v>
      </c>
      <c r="H836">
        <f>IF(COUNTIFS('United Data'!$A$3:$A$2150,H$1,'United Data'!$C$3:$C$2150,$A836)&gt;0,1,0)</f>
        <v>1</v>
      </c>
      <c r="I836">
        <f>IF(COUNTIFS('United Data'!$A$3:$A$2150,I$1,'United Data'!$C$3:$C$2150,$A836)&gt;0,1,0)</f>
        <v>0</v>
      </c>
      <c r="J836">
        <f>IF(COUNTIFS('United Data'!$A$3:$A$2150,J$1,'United Data'!$C$3:$C$2150,$A836)&gt;0,1,0)</f>
        <v>0</v>
      </c>
      <c r="K836">
        <f>IF(COUNTIFS('United Data'!$A$3:$A$2150,K$1,'United Data'!$C$3:$C$2150,$A836)&gt;0,1,0)</f>
        <v>0</v>
      </c>
      <c r="L836">
        <f>IF(COUNTIFS('United Data'!$A$3:$A$2150,L$1,'United Data'!$C$3:$C$2150,$A836)&gt;0,1,0)</f>
        <v>0</v>
      </c>
      <c r="M836">
        <f>IF(COUNTIFS('United Data'!$A$3:$A$2150,M$1,'United Data'!$C$3:$C$2150,$A836)&gt;0,1,0)</f>
        <v>0</v>
      </c>
      <c r="N836">
        <f>IF(COUNTIFS('United Data'!$A$3:$A$2150,N$1,'United Data'!$C$3:$C$2150,$A836)&gt;0,1,0)</f>
        <v>0</v>
      </c>
      <c r="O836">
        <f>IF(COUNTIFS('United Data'!$A$3:$A$2150,O$1,'United Data'!$C$3:$C$2150,$A836)&gt;0,1,0)</f>
        <v>0</v>
      </c>
      <c r="P836">
        <f>IF(COUNTIFS('United Data'!$A$3:$A$2150,P$1,'United Data'!$C$3:$C$2150,$A836)&gt;0,1,0)</f>
        <v>0</v>
      </c>
      <c r="Q836">
        <f>IF(COUNTIFS('United Data'!$A$3:$A$2150,Q$1,'United Data'!$C$3:$C$2150,$A836)&gt;0,1,0)</f>
        <v>0</v>
      </c>
      <c r="R836">
        <f>IF(COUNTIFS('United Data'!$A$3:$A$2150,R$1,'United Data'!$C$3:$C$2150,$A836)&gt;0,1,0)</f>
        <v>0</v>
      </c>
      <c r="S836">
        <f t="shared" si="26"/>
        <v>1</v>
      </c>
      <c r="T836">
        <f t="shared" si="27"/>
        <v>1</v>
      </c>
    </row>
    <row r="837" spans="1:20" x14ac:dyDescent="0.2">
      <c r="A837" t="s">
        <v>882</v>
      </c>
      <c r="B837">
        <f>IF(COUNTIFS('United Data'!$A$3:$A$2150,B$1,'United Data'!$C$3:$C$2150,$A837)&gt;0,1,0)</f>
        <v>0</v>
      </c>
      <c r="C837">
        <f>IF(COUNTIFS('United Data'!$A$3:$A$2150,C$1,'United Data'!$C$3:$C$2150,$A837)&gt;0,1,0)</f>
        <v>0</v>
      </c>
      <c r="D837">
        <f>IF(COUNTIFS('United Data'!$A$3:$A$2150,D$1,'United Data'!$C$3:$C$2150,$A837)&gt;0,1,0)</f>
        <v>0</v>
      </c>
      <c r="E837">
        <f>IF(COUNTIFS('United Data'!$A$3:$A$2150,E$1,'United Data'!$C$3:$C$2150,$A837)&gt;0,1,0)</f>
        <v>0</v>
      </c>
      <c r="F837">
        <f>IF(COUNTIFS('United Data'!$A$3:$A$2150,F$1,'United Data'!$C$3:$C$2150,$A837)&gt;0,1,0)</f>
        <v>0</v>
      </c>
      <c r="G837">
        <f>IF(COUNTIFS('United Data'!$A$3:$A$2150,G$1,'United Data'!$C$3:$C$2150,$A837)&gt;0,1,0)</f>
        <v>0</v>
      </c>
      <c r="H837">
        <f>IF(COUNTIFS('United Data'!$A$3:$A$2150,H$1,'United Data'!$C$3:$C$2150,$A837)&gt;0,1,0)</f>
        <v>1</v>
      </c>
      <c r="I837">
        <f>IF(COUNTIFS('United Data'!$A$3:$A$2150,I$1,'United Data'!$C$3:$C$2150,$A837)&gt;0,1,0)</f>
        <v>1</v>
      </c>
      <c r="J837">
        <f>IF(COUNTIFS('United Data'!$A$3:$A$2150,J$1,'United Data'!$C$3:$C$2150,$A837)&gt;0,1,0)</f>
        <v>0</v>
      </c>
      <c r="K837">
        <f>IF(COUNTIFS('United Data'!$A$3:$A$2150,K$1,'United Data'!$C$3:$C$2150,$A837)&gt;0,1,0)</f>
        <v>0</v>
      </c>
      <c r="L837">
        <f>IF(COUNTIFS('United Data'!$A$3:$A$2150,L$1,'United Data'!$C$3:$C$2150,$A837)&gt;0,1,0)</f>
        <v>1</v>
      </c>
      <c r="M837">
        <f>IF(COUNTIFS('United Data'!$A$3:$A$2150,M$1,'United Data'!$C$3:$C$2150,$A837)&gt;0,1,0)</f>
        <v>1</v>
      </c>
      <c r="N837">
        <f>IF(COUNTIFS('United Data'!$A$3:$A$2150,N$1,'United Data'!$C$3:$C$2150,$A837)&gt;0,1,0)</f>
        <v>1</v>
      </c>
      <c r="O837">
        <f>IF(COUNTIFS('United Data'!$A$3:$A$2150,O$1,'United Data'!$C$3:$C$2150,$A837)&gt;0,1,0)</f>
        <v>1</v>
      </c>
      <c r="P837">
        <f>IF(COUNTIFS('United Data'!$A$3:$A$2150,P$1,'United Data'!$C$3:$C$2150,$A837)&gt;0,1,0)</f>
        <v>1</v>
      </c>
      <c r="Q837">
        <f>IF(COUNTIFS('United Data'!$A$3:$A$2150,Q$1,'United Data'!$C$3:$C$2150,$A837)&gt;0,1,0)</f>
        <v>0</v>
      </c>
      <c r="R837">
        <f>IF(COUNTIFS('United Data'!$A$3:$A$2150,R$1,'United Data'!$C$3:$C$2150,$A837)&gt;0,1,0)</f>
        <v>0</v>
      </c>
      <c r="S837">
        <f t="shared" si="26"/>
        <v>7</v>
      </c>
      <c r="T837">
        <f t="shared" si="27"/>
        <v>2</v>
      </c>
    </row>
    <row r="838" spans="1:20" x14ac:dyDescent="0.2">
      <c r="A838" t="s">
        <v>883</v>
      </c>
      <c r="B838">
        <f>IF(COUNTIFS('United Data'!$A$3:$A$2150,B$1,'United Data'!$C$3:$C$2150,$A838)&gt;0,1,0)</f>
        <v>0</v>
      </c>
      <c r="C838">
        <f>IF(COUNTIFS('United Data'!$A$3:$A$2150,C$1,'United Data'!$C$3:$C$2150,$A838)&gt;0,1,0)</f>
        <v>0</v>
      </c>
      <c r="D838">
        <f>IF(COUNTIFS('United Data'!$A$3:$A$2150,D$1,'United Data'!$C$3:$C$2150,$A838)&gt;0,1,0)</f>
        <v>0</v>
      </c>
      <c r="E838">
        <f>IF(COUNTIFS('United Data'!$A$3:$A$2150,E$1,'United Data'!$C$3:$C$2150,$A838)&gt;0,1,0)</f>
        <v>0</v>
      </c>
      <c r="F838">
        <f>IF(COUNTIFS('United Data'!$A$3:$A$2150,F$1,'United Data'!$C$3:$C$2150,$A838)&gt;0,1,0)</f>
        <v>0</v>
      </c>
      <c r="G838">
        <f>IF(COUNTIFS('United Data'!$A$3:$A$2150,G$1,'United Data'!$C$3:$C$2150,$A838)&gt;0,1,0)</f>
        <v>0</v>
      </c>
      <c r="H838">
        <f>IF(COUNTIFS('United Data'!$A$3:$A$2150,H$1,'United Data'!$C$3:$C$2150,$A838)&gt;0,1,0)</f>
        <v>1</v>
      </c>
      <c r="I838">
        <f>IF(COUNTIFS('United Data'!$A$3:$A$2150,I$1,'United Data'!$C$3:$C$2150,$A838)&gt;0,1,0)</f>
        <v>1</v>
      </c>
      <c r="J838">
        <f>IF(COUNTIFS('United Data'!$A$3:$A$2150,J$1,'United Data'!$C$3:$C$2150,$A838)&gt;0,1,0)</f>
        <v>1</v>
      </c>
      <c r="K838">
        <f>IF(COUNTIFS('United Data'!$A$3:$A$2150,K$1,'United Data'!$C$3:$C$2150,$A838)&gt;0,1,0)</f>
        <v>0</v>
      </c>
      <c r="L838">
        <f>IF(COUNTIFS('United Data'!$A$3:$A$2150,L$1,'United Data'!$C$3:$C$2150,$A838)&gt;0,1,0)</f>
        <v>0</v>
      </c>
      <c r="M838">
        <f>IF(COUNTIFS('United Data'!$A$3:$A$2150,M$1,'United Data'!$C$3:$C$2150,$A838)&gt;0,1,0)</f>
        <v>0</v>
      </c>
      <c r="N838">
        <f>IF(COUNTIFS('United Data'!$A$3:$A$2150,N$1,'United Data'!$C$3:$C$2150,$A838)&gt;0,1,0)</f>
        <v>0</v>
      </c>
      <c r="O838">
        <f>IF(COUNTIFS('United Data'!$A$3:$A$2150,O$1,'United Data'!$C$3:$C$2150,$A838)&gt;0,1,0)</f>
        <v>0</v>
      </c>
      <c r="P838">
        <f>IF(COUNTIFS('United Data'!$A$3:$A$2150,P$1,'United Data'!$C$3:$C$2150,$A838)&gt;0,1,0)</f>
        <v>0</v>
      </c>
      <c r="Q838">
        <f>IF(COUNTIFS('United Data'!$A$3:$A$2150,Q$1,'United Data'!$C$3:$C$2150,$A838)&gt;0,1,0)</f>
        <v>0</v>
      </c>
      <c r="R838">
        <f>IF(COUNTIFS('United Data'!$A$3:$A$2150,R$1,'United Data'!$C$3:$C$2150,$A838)&gt;0,1,0)</f>
        <v>0</v>
      </c>
      <c r="S838">
        <f t="shared" si="26"/>
        <v>3</v>
      </c>
      <c r="T838">
        <f t="shared" si="27"/>
        <v>1</v>
      </c>
    </row>
    <row r="839" spans="1:20" x14ac:dyDescent="0.2">
      <c r="A839" t="s">
        <v>884</v>
      </c>
      <c r="B839">
        <f>IF(COUNTIFS('United Data'!$A$3:$A$2150,B$1,'United Data'!$C$3:$C$2150,$A839)&gt;0,1,0)</f>
        <v>0</v>
      </c>
      <c r="C839">
        <f>IF(COUNTIFS('United Data'!$A$3:$A$2150,C$1,'United Data'!$C$3:$C$2150,$A839)&gt;0,1,0)</f>
        <v>0</v>
      </c>
      <c r="D839">
        <f>IF(COUNTIFS('United Data'!$A$3:$A$2150,D$1,'United Data'!$C$3:$C$2150,$A839)&gt;0,1,0)</f>
        <v>0</v>
      </c>
      <c r="E839">
        <f>IF(COUNTIFS('United Data'!$A$3:$A$2150,E$1,'United Data'!$C$3:$C$2150,$A839)&gt;0,1,0)</f>
        <v>0</v>
      </c>
      <c r="F839">
        <f>IF(COUNTIFS('United Data'!$A$3:$A$2150,F$1,'United Data'!$C$3:$C$2150,$A839)&gt;0,1,0)</f>
        <v>0</v>
      </c>
      <c r="G839">
        <f>IF(COUNTIFS('United Data'!$A$3:$A$2150,G$1,'United Data'!$C$3:$C$2150,$A839)&gt;0,1,0)</f>
        <v>0</v>
      </c>
      <c r="H839">
        <f>IF(COUNTIFS('United Data'!$A$3:$A$2150,H$1,'United Data'!$C$3:$C$2150,$A839)&gt;0,1,0)</f>
        <v>1</v>
      </c>
      <c r="I839">
        <f>IF(COUNTIFS('United Data'!$A$3:$A$2150,I$1,'United Data'!$C$3:$C$2150,$A839)&gt;0,1,0)</f>
        <v>0</v>
      </c>
      <c r="J839">
        <f>IF(COUNTIFS('United Data'!$A$3:$A$2150,J$1,'United Data'!$C$3:$C$2150,$A839)&gt;0,1,0)</f>
        <v>0</v>
      </c>
      <c r="K839">
        <f>IF(COUNTIFS('United Data'!$A$3:$A$2150,K$1,'United Data'!$C$3:$C$2150,$A839)&gt;0,1,0)</f>
        <v>0</v>
      </c>
      <c r="L839">
        <f>IF(COUNTIFS('United Data'!$A$3:$A$2150,L$1,'United Data'!$C$3:$C$2150,$A839)&gt;0,1,0)</f>
        <v>0</v>
      </c>
      <c r="M839">
        <f>IF(COUNTIFS('United Data'!$A$3:$A$2150,M$1,'United Data'!$C$3:$C$2150,$A839)&gt;0,1,0)</f>
        <v>0</v>
      </c>
      <c r="N839">
        <f>IF(COUNTIFS('United Data'!$A$3:$A$2150,N$1,'United Data'!$C$3:$C$2150,$A839)&gt;0,1,0)</f>
        <v>0</v>
      </c>
      <c r="O839">
        <f>IF(COUNTIFS('United Data'!$A$3:$A$2150,O$1,'United Data'!$C$3:$C$2150,$A839)&gt;0,1,0)</f>
        <v>0</v>
      </c>
      <c r="P839">
        <f>IF(COUNTIFS('United Data'!$A$3:$A$2150,P$1,'United Data'!$C$3:$C$2150,$A839)&gt;0,1,0)</f>
        <v>0</v>
      </c>
      <c r="Q839">
        <f>IF(COUNTIFS('United Data'!$A$3:$A$2150,Q$1,'United Data'!$C$3:$C$2150,$A839)&gt;0,1,0)</f>
        <v>0</v>
      </c>
      <c r="R839">
        <f>IF(COUNTIFS('United Data'!$A$3:$A$2150,R$1,'United Data'!$C$3:$C$2150,$A839)&gt;0,1,0)</f>
        <v>0</v>
      </c>
      <c r="S839">
        <f t="shared" si="26"/>
        <v>1</v>
      </c>
      <c r="T839">
        <f t="shared" si="27"/>
        <v>1</v>
      </c>
    </row>
    <row r="840" spans="1:20" x14ac:dyDescent="0.2">
      <c r="A840" t="s">
        <v>885</v>
      </c>
      <c r="B840">
        <f>IF(COUNTIFS('United Data'!$A$3:$A$2150,B$1,'United Data'!$C$3:$C$2150,$A840)&gt;0,1,0)</f>
        <v>0</v>
      </c>
      <c r="C840">
        <f>IF(COUNTIFS('United Data'!$A$3:$A$2150,C$1,'United Data'!$C$3:$C$2150,$A840)&gt;0,1,0)</f>
        <v>0</v>
      </c>
      <c r="D840">
        <f>IF(COUNTIFS('United Data'!$A$3:$A$2150,D$1,'United Data'!$C$3:$C$2150,$A840)&gt;0,1,0)</f>
        <v>0</v>
      </c>
      <c r="E840">
        <f>IF(COUNTIFS('United Data'!$A$3:$A$2150,E$1,'United Data'!$C$3:$C$2150,$A840)&gt;0,1,0)</f>
        <v>0</v>
      </c>
      <c r="F840">
        <f>IF(COUNTIFS('United Data'!$A$3:$A$2150,F$1,'United Data'!$C$3:$C$2150,$A840)&gt;0,1,0)</f>
        <v>0</v>
      </c>
      <c r="G840">
        <f>IF(COUNTIFS('United Data'!$A$3:$A$2150,G$1,'United Data'!$C$3:$C$2150,$A840)&gt;0,1,0)</f>
        <v>0</v>
      </c>
      <c r="H840">
        <f>IF(COUNTIFS('United Data'!$A$3:$A$2150,H$1,'United Data'!$C$3:$C$2150,$A840)&gt;0,1,0)</f>
        <v>1</v>
      </c>
      <c r="I840">
        <f>IF(COUNTIFS('United Data'!$A$3:$A$2150,I$1,'United Data'!$C$3:$C$2150,$A840)&gt;0,1,0)</f>
        <v>0</v>
      </c>
      <c r="J840">
        <f>IF(COUNTIFS('United Data'!$A$3:$A$2150,J$1,'United Data'!$C$3:$C$2150,$A840)&gt;0,1,0)</f>
        <v>1</v>
      </c>
      <c r="K840">
        <f>IF(COUNTIFS('United Data'!$A$3:$A$2150,K$1,'United Data'!$C$3:$C$2150,$A840)&gt;0,1,0)</f>
        <v>0</v>
      </c>
      <c r="L840">
        <f>IF(COUNTIFS('United Data'!$A$3:$A$2150,L$1,'United Data'!$C$3:$C$2150,$A840)&gt;0,1,0)</f>
        <v>1</v>
      </c>
      <c r="M840">
        <f>IF(COUNTIFS('United Data'!$A$3:$A$2150,M$1,'United Data'!$C$3:$C$2150,$A840)&gt;0,1,0)</f>
        <v>0</v>
      </c>
      <c r="N840">
        <f>IF(COUNTIFS('United Data'!$A$3:$A$2150,N$1,'United Data'!$C$3:$C$2150,$A840)&gt;0,1,0)</f>
        <v>0</v>
      </c>
      <c r="O840">
        <f>IF(COUNTIFS('United Data'!$A$3:$A$2150,O$1,'United Data'!$C$3:$C$2150,$A840)&gt;0,1,0)</f>
        <v>0</v>
      </c>
      <c r="P840">
        <f>IF(COUNTIFS('United Data'!$A$3:$A$2150,P$1,'United Data'!$C$3:$C$2150,$A840)&gt;0,1,0)</f>
        <v>0</v>
      </c>
      <c r="Q840">
        <f>IF(COUNTIFS('United Data'!$A$3:$A$2150,Q$1,'United Data'!$C$3:$C$2150,$A840)&gt;0,1,0)</f>
        <v>0</v>
      </c>
      <c r="R840">
        <f>IF(COUNTIFS('United Data'!$A$3:$A$2150,R$1,'United Data'!$C$3:$C$2150,$A840)&gt;0,1,0)</f>
        <v>0</v>
      </c>
      <c r="S840">
        <f t="shared" si="26"/>
        <v>3</v>
      </c>
      <c r="T840">
        <f t="shared" si="27"/>
        <v>3</v>
      </c>
    </row>
    <row r="841" spans="1:20" x14ac:dyDescent="0.2">
      <c r="A841" t="s">
        <v>886</v>
      </c>
      <c r="B841">
        <f>IF(COUNTIFS('United Data'!$A$3:$A$2150,B$1,'United Data'!$C$3:$C$2150,$A841)&gt;0,1,0)</f>
        <v>0</v>
      </c>
      <c r="C841">
        <f>IF(COUNTIFS('United Data'!$A$3:$A$2150,C$1,'United Data'!$C$3:$C$2150,$A841)&gt;0,1,0)</f>
        <v>0</v>
      </c>
      <c r="D841">
        <f>IF(COUNTIFS('United Data'!$A$3:$A$2150,D$1,'United Data'!$C$3:$C$2150,$A841)&gt;0,1,0)</f>
        <v>0</v>
      </c>
      <c r="E841">
        <f>IF(COUNTIFS('United Data'!$A$3:$A$2150,E$1,'United Data'!$C$3:$C$2150,$A841)&gt;0,1,0)</f>
        <v>0</v>
      </c>
      <c r="F841">
        <f>IF(COUNTIFS('United Data'!$A$3:$A$2150,F$1,'United Data'!$C$3:$C$2150,$A841)&gt;0,1,0)</f>
        <v>0</v>
      </c>
      <c r="G841">
        <f>IF(COUNTIFS('United Data'!$A$3:$A$2150,G$1,'United Data'!$C$3:$C$2150,$A841)&gt;0,1,0)</f>
        <v>0</v>
      </c>
      <c r="H841">
        <f>IF(COUNTIFS('United Data'!$A$3:$A$2150,H$1,'United Data'!$C$3:$C$2150,$A841)&gt;0,1,0)</f>
        <v>1</v>
      </c>
      <c r="I841">
        <f>IF(COUNTIFS('United Data'!$A$3:$A$2150,I$1,'United Data'!$C$3:$C$2150,$A841)&gt;0,1,0)</f>
        <v>0</v>
      </c>
      <c r="J841">
        <f>IF(COUNTIFS('United Data'!$A$3:$A$2150,J$1,'United Data'!$C$3:$C$2150,$A841)&gt;0,1,0)</f>
        <v>0</v>
      </c>
      <c r="K841">
        <f>IF(COUNTIFS('United Data'!$A$3:$A$2150,K$1,'United Data'!$C$3:$C$2150,$A841)&gt;0,1,0)</f>
        <v>0</v>
      </c>
      <c r="L841">
        <f>IF(COUNTIFS('United Data'!$A$3:$A$2150,L$1,'United Data'!$C$3:$C$2150,$A841)&gt;0,1,0)</f>
        <v>0</v>
      </c>
      <c r="M841">
        <f>IF(COUNTIFS('United Data'!$A$3:$A$2150,M$1,'United Data'!$C$3:$C$2150,$A841)&gt;0,1,0)</f>
        <v>0</v>
      </c>
      <c r="N841">
        <f>IF(COUNTIFS('United Data'!$A$3:$A$2150,N$1,'United Data'!$C$3:$C$2150,$A841)&gt;0,1,0)</f>
        <v>0</v>
      </c>
      <c r="O841">
        <f>IF(COUNTIFS('United Data'!$A$3:$A$2150,O$1,'United Data'!$C$3:$C$2150,$A841)&gt;0,1,0)</f>
        <v>0</v>
      </c>
      <c r="P841">
        <f>IF(COUNTIFS('United Data'!$A$3:$A$2150,P$1,'United Data'!$C$3:$C$2150,$A841)&gt;0,1,0)</f>
        <v>0</v>
      </c>
      <c r="Q841">
        <f>IF(COUNTIFS('United Data'!$A$3:$A$2150,Q$1,'United Data'!$C$3:$C$2150,$A841)&gt;0,1,0)</f>
        <v>0</v>
      </c>
      <c r="R841">
        <f>IF(COUNTIFS('United Data'!$A$3:$A$2150,R$1,'United Data'!$C$3:$C$2150,$A841)&gt;0,1,0)</f>
        <v>0</v>
      </c>
      <c r="S841">
        <f t="shared" si="26"/>
        <v>1</v>
      </c>
      <c r="T841">
        <f t="shared" si="27"/>
        <v>1</v>
      </c>
    </row>
    <row r="842" spans="1:20" x14ac:dyDescent="0.2">
      <c r="A842" t="s">
        <v>887</v>
      </c>
      <c r="B842">
        <f>IF(COUNTIFS('United Data'!$A$3:$A$2150,B$1,'United Data'!$C$3:$C$2150,$A842)&gt;0,1,0)</f>
        <v>0</v>
      </c>
      <c r="C842">
        <f>IF(COUNTIFS('United Data'!$A$3:$A$2150,C$1,'United Data'!$C$3:$C$2150,$A842)&gt;0,1,0)</f>
        <v>0</v>
      </c>
      <c r="D842">
        <f>IF(COUNTIFS('United Data'!$A$3:$A$2150,D$1,'United Data'!$C$3:$C$2150,$A842)&gt;0,1,0)</f>
        <v>0</v>
      </c>
      <c r="E842">
        <f>IF(COUNTIFS('United Data'!$A$3:$A$2150,E$1,'United Data'!$C$3:$C$2150,$A842)&gt;0,1,0)</f>
        <v>0</v>
      </c>
      <c r="F842">
        <f>IF(COUNTIFS('United Data'!$A$3:$A$2150,F$1,'United Data'!$C$3:$C$2150,$A842)&gt;0,1,0)</f>
        <v>0</v>
      </c>
      <c r="G842">
        <f>IF(COUNTIFS('United Data'!$A$3:$A$2150,G$1,'United Data'!$C$3:$C$2150,$A842)&gt;0,1,0)</f>
        <v>0</v>
      </c>
      <c r="H842">
        <f>IF(COUNTIFS('United Data'!$A$3:$A$2150,H$1,'United Data'!$C$3:$C$2150,$A842)&gt;0,1,0)</f>
        <v>1</v>
      </c>
      <c r="I842">
        <f>IF(COUNTIFS('United Data'!$A$3:$A$2150,I$1,'United Data'!$C$3:$C$2150,$A842)&gt;0,1,0)</f>
        <v>1</v>
      </c>
      <c r="J842">
        <f>IF(COUNTIFS('United Data'!$A$3:$A$2150,J$1,'United Data'!$C$3:$C$2150,$A842)&gt;0,1,0)</f>
        <v>0</v>
      </c>
      <c r="K842">
        <f>IF(COUNTIFS('United Data'!$A$3:$A$2150,K$1,'United Data'!$C$3:$C$2150,$A842)&gt;0,1,0)</f>
        <v>1</v>
      </c>
      <c r="L842">
        <f>IF(COUNTIFS('United Data'!$A$3:$A$2150,L$1,'United Data'!$C$3:$C$2150,$A842)&gt;0,1,0)</f>
        <v>1</v>
      </c>
      <c r="M842">
        <f>IF(COUNTIFS('United Data'!$A$3:$A$2150,M$1,'United Data'!$C$3:$C$2150,$A842)&gt;0,1,0)</f>
        <v>1</v>
      </c>
      <c r="N842">
        <f>IF(COUNTIFS('United Data'!$A$3:$A$2150,N$1,'United Data'!$C$3:$C$2150,$A842)&gt;0,1,0)</f>
        <v>1</v>
      </c>
      <c r="O842">
        <f>IF(COUNTIFS('United Data'!$A$3:$A$2150,O$1,'United Data'!$C$3:$C$2150,$A842)&gt;0,1,0)</f>
        <v>1</v>
      </c>
      <c r="P842">
        <f>IF(COUNTIFS('United Data'!$A$3:$A$2150,P$1,'United Data'!$C$3:$C$2150,$A842)&gt;0,1,0)</f>
        <v>0</v>
      </c>
      <c r="Q842">
        <f>IF(COUNTIFS('United Data'!$A$3:$A$2150,Q$1,'United Data'!$C$3:$C$2150,$A842)&gt;0,1,0)</f>
        <v>0</v>
      </c>
      <c r="R842">
        <f>IF(COUNTIFS('United Data'!$A$3:$A$2150,R$1,'United Data'!$C$3:$C$2150,$A842)&gt;0,1,0)</f>
        <v>0</v>
      </c>
      <c r="S842">
        <f t="shared" si="26"/>
        <v>7</v>
      </c>
      <c r="T842">
        <f t="shared" si="27"/>
        <v>2</v>
      </c>
    </row>
    <row r="843" spans="1:20" x14ac:dyDescent="0.2">
      <c r="A843" t="s">
        <v>888</v>
      </c>
      <c r="B843">
        <f>IF(COUNTIFS('United Data'!$A$3:$A$2150,B$1,'United Data'!$C$3:$C$2150,$A843)&gt;0,1,0)</f>
        <v>0</v>
      </c>
      <c r="C843">
        <f>IF(COUNTIFS('United Data'!$A$3:$A$2150,C$1,'United Data'!$C$3:$C$2150,$A843)&gt;0,1,0)</f>
        <v>0</v>
      </c>
      <c r="D843">
        <f>IF(COUNTIFS('United Data'!$A$3:$A$2150,D$1,'United Data'!$C$3:$C$2150,$A843)&gt;0,1,0)</f>
        <v>0</v>
      </c>
      <c r="E843">
        <f>IF(COUNTIFS('United Data'!$A$3:$A$2150,E$1,'United Data'!$C$3:$C$2150,$A843)&gt;0,1,0)</f>
        <v>0</v>
      </c>
      <c r="F843">
        <f>IF(COUNTIFS('United Data'!$A$3:$A$2150,F$1,'United Data'!$C$3:$C$2150,$A843)&gt;0,1,0)</f>
        <v>0</v>
      </c>
      <c r="G843">
        <f>IF(COUNTIFS('United Data'!$A$3:$A$2150,G$1,'United Data'!$C$3:$C$2150,$A843)&gt;0,1,0)</f>
        <v>0</v>
      </c>
      <c r="H843">
        <f>IF(COUNTIFS('United Data'!$A$3:$A$2150,H$1,'United Data'!$C$3:$C$2150,$A843)&gt;0,1,0)</f>
        <v>1</v>
      </c>
      <c r="I843">
        <f>IF(COUNTIFS('United Data'!$A$3:$A$2150,I$1,'United Data'!$C$3:$C$2150,$A843)&gt;0,1,0)</f>
        <v>0</v>
      </c>
      <c r="J843">
        <f>IF(COUNTIFS('United Data'!$A$3:$A$2150,J$1,'United Data'!$C$3:$C$2150,$A843)&gt;0,1,0)</f>
        <v>0</v>
      </c>
      <c r="K843">
        <f>IF(COUNTIFS('United Data'!$A$3:$A$2150,K$1,'United Data'!$C$3:$C$2150,$A843)&gt;0,1,0)</f>
        <v>0</v>
      </c>
      <c r="L843">
        <f>IF(COUNTIFS('United Data'!$A$3:$A$2150,L$1,'United Data'!$C$3:$C$2150,$A843)&gt;0,1,0)</f>
        <v>0</v>
      </c>
      <c r="M843">
        <f>IF(COUNTIFS('United Data'!$A$3:$A$2150,M$1,'United Data'!$C$3:$C$2150,$A843)&gt;0,1,0)</f>
        <v>0</v>
      </c>
      <c r="N843">
        <f>IF(COUNTIFS('United Data'!$A$3:$A$2150,N$1,'United Data'!$C$3:$C$2150,$A843)&gt;0,1,0)</f>
        <v>0</v>
      </c>
      <c r="O843">
        <f>IF(COUNTIFS('United Data'!$A$3:$A$2150,O$1,'United Data'!$C$3:$C$2150,$A843)&gt;0,1,0)</f>
        <v>0</v>
      </c>
      <c r="P843">
        <f>IF(COUNTIFS('United Data'!$A$3:$A$2150,P$1,'United Data'!$C$3:$C$2150,$A843)&gt;0,1,0)</f>
        <v>0</v>
      </c>
      <c r="Q843">
        <f>IF(COUNTIFS('United Data'!$A$3:$A$2150,Q$1,'United Data'!$C$3:$C$2150,$A843)&gt;0,1,0)</f>
        <v>0</v>
      </c>
      <c r="R843">
        <f>IF(COUNTIFS('United Data'!$A$3:$A$2150,R$1,'United Data'!$C$3:$C$2150,$A843)&gt;0,1,0)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889</v>
      </c>
      <c r="B844">
        <f>IF(COUNTIFS('United Data'!$A$3:$A$2150,B$1,'United Data'!$C$3:$C$2150,$A844)&gt;0,1,0)</f>
        <v>0</v>
      </c>
      <c r="C844">
        <f>IF(COUNTIFS('United Data'!$A$3:$A$2150,C$1,'United Data'!$C$3:$C$2150,$A844)&gt;0,1,0)</f>
        <v>0</v>
      </c>
      <c r="D844">
        <f>IF(COUNTIFS('United Data'!$A$3:$A$2150,D$1,'United Data'!$C$3:$C$2150,$A844)&gt;0,1,0)</f>
        <v>0</v>
      </c>
      <c r="E844">
        <f>IF(COUNTIFS('United Data'!$A$3:$A$2150,E$1,'United Data'!$C$3:$C$2150,$A844)&gt;0,1,0)</f>
        <v>0</v>
      </c>
      <c r="F844">
        <f>IF(COUNTIFS('United Data'!$A$3:$A$2150,F$1,'United Data'!$C$3:$C$2150,$A844)&gt;0,1,0)</f>
        <v>0</v>
      </c>
      <c r="G844">
        <f>IF(COUNTIFS('United Data'!$A$3:$A$2150,G$1,'United Data'!$C$3:$C$2150,$A844)&gt;0,1,0)</f>
        <v>0</v>
      </c>
      <c r="H844">
        <f>IF(COUNTIFS('United Data'!$A$3:$A$2150,H$1,'United Data'!$C$3:$C$2150,$A844)&gt;0,1,0)</f>
        <v>1</v>
      </c>
      <c r="I844">
        <f>IF(COUNTIFS('United Data'!$A$3:$A$2150,I$1,'United Data'!$C$3:$C$2150,$A844)&gt;0,1,0)</f>
        <v>1</v>
      </c>
      <c r="J844">
        <f>IF(COUNTIFS('United Data'!$A$3:$A$2150,J$1,'United Data'!$C$3:$C$2150,$A844)&gt;0,1,0)</f>
        <v>0</v>
      </c>
      <c r="K844">
        <f>IF(COUNTIFS('United Data'!$A$3:$A$2150,K$1,'United Data'!$C$3:$C$2150,$A844)&gt;0,1,0)</f>
        <v>1</v>
      </c>
      <c r="L844">
        <f>IF(COUNTIFS('United Data'!$A$3:$A$2150,L$1,'United Data'!$C$3:$C$2150,$A844)&gt;0,1,0)</f>
        <v>0</v>
      </c>
      <c r="M844">
        <f>IF(COUNTIFS('United Data'!$A$3:$A$2150,M$1,'United Data'!$C$3:$C$2150,$A844)&gt;0,1,0)</f>
        <v>1</v>
      </c>
      <c r="N844">
        <f>IF(COUNTIFS('United Data'!$A$3:$A$2150,N$1,'United Data'!$C$3:$C$2150,$A844)&gt;0,1,0)</f>
        <v>0</v>
      </c>
      <c r="O844">
        <f>IF(COUNTIFS('United Data'!$A$3:$A$2150,O$1,'United Data'!$C$3:$C$2150,$A844)&gt;0,1,0)</f>
        <v>0</v>
      </c>
      <c r="P844">
        <f>IF(COUNTIFS('United Data'!$A$3:$A$2150,P$1,'United Data'!$C$3:$C$2150,$A844)&gt;0,1,0)</f>
        <v>0</v>
      </c>
      <c r="Q844">
        <f>IF(COUNTIFS('United Data'!$A$3:$A$2150,Q$1,'United Data'!$C$3:$C$2150,$A844)&gt;0,1,0)</f>
        <v>0</v>
      </c>
      <c r="R844">
        <f>IF(COUNTIFS('United Data'!$A$3:$A$2150,R$1,'United Data'!$C$3:$C$2150,$A844)&gt;0,1,0)</f>
        <v>0</v>
      </c>
      <c r="S844">
        <f t="shared" si="26"/>
        <v>4</v>
      </c>
      <c r="T844">
        <f t="shared" si="27"/>
        <v>3</v>
      </c>
    </row>
    <row r="845" spans="1:20" x14ac:dyDescent="0.2">
      <c r="A845" t="s">
        <v>890</v>
      </c>
      <c r="B845">
        <f>IF(COUNTIFS('United Data'!$A$3:$A$2150,B$1,'United Data'!$C$3:$C$2150,$A845)&gt;0,1,0)</f>
        <v>0</v>
      </c>
      <c r="C845">
        <f>IF(COUNTIFS('United Data'!$A$3:$A$2150,C$1,'United Data'!$C$3:$C$2150,$A845)&gt;0,1,0)</f>
        <v>0</v>
      </c>
      <c r="D845">
        <f>IF(COUNTIFS('United Data'!$A$3:$A$2150,D$1,'United Data'!$C$3:$C$2150,$A845)&gt;0,1,0)</f>
        <v>0</v>
      </c>
      <c r="E845">
        <f>IF(COUNTIFS('United Data'!$A$3:$A$2150,E$1,'United Data'!$C$3:$C$2150,$A845)&gt;0,1,0)</f>
        <v>0</v>
      </c>
      <c r="F845">
        <f>IF(COUNTIFS('United Data'!$A$3:$A$2150,F$1,'United Data'!$C$3:$C$2150,$A845)&gt;0,1,0)</f>
        <v>0</v>
      </c>
      <c r="G845">
        <f>IF(COUNTIFS('United Data'!$A$3:$A$2150,G$1,'United Data'!$C$3:$C$2150,$A845)&gt;0,1,0)</f>
        <v>0</v>
      </c>
      <c r="H845">
        <f>IF(COUNTIFS('United Data'!$A$3:$A$2150,H$1,'United Data'!$C$3:$C$2150,$A845)&gt;0,1,0)</f>
        <v>1</v>
      </c>
      <c r="I845">
        <f>IF(COUNTIFS('United Data'!$A$3:$A$2150,I$1,'United Data'!$C$3:$C$2150,$A845)&gt;0,1,0)</f>
        <v>0</v>
      </c>
      <c r="J845">
        <f>IF(COUNTIFS('United Data'!$A$3:$A$2150,J$1,'United Data'!$C$3:$C$2150,$A845)&gt;0,1,0)</f>
        <v>0</v>
      </c>
      <c r="K845">
        <f>IF(COUNTIFS('United Data'!$A$3:$A$2150,K$1,'United Data'!$C$3:$C$2150,$A845)&gt;0,1,0)</f>
        <v>0</v>
      </c>
      <c r="L845">
        <f>IF(COUNTIFS('United Data'!$A$3:$A$2150,L$1,'United Data'!$C$3:$C$2150,$A845)&gt;0,1,0)</f>
        <v>0</v>
      </c>
      <c r="M845">
        <f>IF(COUNTIFS('United Data'!$A$3:$A$2150,M$1,'United Data'!$C$3:$C$2150,$A845)&gt;0,1,0)</f>
        <v>0</v>
      </c>
      <c r="N845">
        <f>IF(COUNTIFS('United Data'!$A$3:$A$2150,N$1,'United Data'!$C$3:$C$2150,$A845)&gt;0,1,0)</f>
        <v>0</v>
      </c>
      <c r="O845">
        <f>IF(COUNTIFS('United Data'!$A$3:$A$2150,O$1,'United Data'!$C$3:$C$2150,$A845)&gt;0,1,0)</f>
        <v>0</v>
      </c>
      <c r="P845">
        <f>IF(COUNTIFS('United Data'!$A$3:$A$2150,P$1,'United Data'!$C$3:$C$2150,$A845)&gt;0,1,0)</f>
        <v>0</v>
      </c>
      <c r="Q845">
        <f>IF(COUNTIFS('United Data'!$A$3:$A$2150,Q$1,'United Data'!$C$3:$C$2150,$A845)&gt;0,1,0)</f>
        <v>0</v>
      </c>
      <c r="R845">
        <f>IF(COUNTIFS('United Data'!$A$3:$A$2150,R$1,'United Data'!$C$3:$C$2150,$A845)&gt;0,1,0)</f>
        <v>0</v>
      </c>
      <c r="S845">
        <f t="shared" si="26"/>
        <v>1</v>
      </c>
      <c r="T845">
        <f t="shared" si="27"/>
        <v>1</v>
      </c>
    </row>
    <row r="846" spans="1:20" x14ac:dyDescent="0.2">
      <c r="A846" t="s">
        <v>891</v>
      </c>
      <c r="B846">
        <f>IF(COUNTIFS('United Data'!$A$3:$A$2150,B$1,'United Data'!$C$3:$C$2150,$A846)&gt;0,1,0)</f>
        <v>0</v>
      </c>
      <c r="C846">
        <f>IF(COUNTIFS('United Data'!$A$3:$A$2150,C$1,'United Data'!$C$3:$C$2150,$A846)&gt;0,1,0)</f>
        <v>0</v>
      </c>
      <c r="D846">
        <f>IF(COUNTIFS('United Data'!$A$3:$A$2150,D$1,'United Data'!$C$3:$C$2150,$A846)&gt;0,1,0)</f>
        <v>0</v>
      </c>
      <c r="E846">
        <f>IF(COUNTIFS('United Data'!$A$3:$A$2150,E$1,'United Data'!$C$3:$C$2150,$A846)&gt;0,1,0)</f>
        <v>0</v>
      </c>
      <c r="F846">
        <f>IF(COUNTIFS('United Data'!$A$3:$A$2150,F$1,'United Data'!$C$3:$C$2150,$A846)&gt;0,1,0)</f>
        <v>0</v>
      </c>
      <c r="G846">
        <f>IF(COUNTIFS('United Data'!$A$3:$A$2150,G$1,'United Data'!$C$3:$C$2150,$A846)&gt;0,1,0)</f>
        <v>0</v>
      </c>
      <c r="H846">
        <f>IF(COUNTIFS('United Data'!$A$3:$A$2150,H$1,'United Data'!$C$3:$C$2150,$A846)&gt;0,1,0)</f>
        <v>1</v>
      </c>
      <c r="I846">
        <f>IF(COUNTIFS('United Data'!$A$3:$A$2150,I$1,'United Data'!$C$3:$C$2150,$A846)&gt;0,1,0)</f>
        <v>1</v>
      </c>
      <c r="J846">
        <f>IF(COUNTIFS('United Data'!$A$3:$A$2150,J$1,'United Data'!$C$3:$C$2150,$A846)&gt;0,1,0)</f>
        <v>1</v>
      </c>
      <c r="K846">
        <f>IF(COUNTIFS('United Data'!$A$3:$A$2150,K$1,'United Data'!$C$3:$C$2150,$A846)&gt;0,1,0)</f>
        <v>1</v>
      </c>
      <c r="L846">
        <f>IF(COUNTIFS('United Data'!$A$3:$A$2150,L$1,'United Data'!$C$3:$C$2150,$A846)&gt;0,1,0)</f>
        <v>1</v>
      </c>
      <c r="M846">
        <f>IF(COUNTIFS('United Data'!$A$3:$A$2150,M$1,'United Data'!$C$3:$C$2150,$A846)&gt;0,1,0)</f>
        <v>0</v>
      </c>
      <c r="N846">
        <f>IF(COUNTIFS('United Data'!$A$3:$A$2150,N$1,'United Data'!$C$3:$C$2150,$A846)&gt;0,1,0)</f>
        <v>0</v>
      </c>
      <c r="O846">
        <f>IF(COUNTIFS('United Data'!$A$3:$A$2150,O$1,'United Data'!$C$3:$C$2150,$A846)&gt;0,1,0)</f>
        <v>0</v>
      </c>
      <c r="P846">
        <f>IF(COUNTIFS('United Data'!$A$3:$A$2150,P$1,'United Data'!$C$3:$C$2150,$A846)&gt;0,1,0)</f>
        <v>0</v>
      </c>
      <c r="Q846">
        <f>IF(COUNTIFS('United Data'!$A$3:$A$2150,Q$1,'United Data'!$C$3:$C$2150,$A846)&gt;0,1,0)</f>
        <v>0</v>
      </c>
      <c r="R846">
        <f>IF(COUNTIFS('United Data'!$A$3:$A$2150,R$1,'United Data'!$C$3:$C$2150,$A846)&gt;0,1,0)</f>
        <v>0</v>
      </c>
      <c r="S846">
        <f t="shared" si="26"/>
        <v>5</v>
      </c>
      <c r="T846">
        <f t="shared" si="27"/>
        <v>1</v>
      </c>
    </row>
    <row r="847" spans="1:20" x14ac:dyDescent="0.2">
      <c r="A847" t="s">
        <v>892</v>
      </c>
      <c r="B847">
        <f>IF(COUNTIFS('United Data'!$A$3:$A$2150,B$1,'United Data'!$C$3:$C$2150,$A847)&gt;0,1,0)</f>
        <v>0</v>
      </c>
      <c r="C847">
        <f>IF(COUNTIFS('United Data'!$A$3:$A$2150,C$1,'United Data'!$C$3:$C$2150,$A847)&gt;0,1,0)</f>
        <v>0</v>
      </c>
      <c r="D847">
        <f>IF(COUNTIFS('United Data'!$A$3:$A$2150,D$1,'United Data'!$C$3:$C$2150,$A847)&gt;0,1,0)</f>
        <v>0</v>
      </c>
      <c r="E847">
        <f>IF(COUNTIFS('United Data'!$A$3:$A$2150,E$1,'United Data'!$C$3:$C$2150,$A847)&gt;0,1,0)</f>
        <v>0</v>
      </c>
      <c r="F847">
        <f>IF(COUNTIFS('United Data'!$A$3:$A$2150,F$1,'United Data'!$C$3:$C$2150,$A847)&gt;0,1,0)</f>
        <v>0</v>
      </c>
      <c r="G847">
        <f>IF(COUNTIFS('United Data'!$A$3:$A$2150,G$1,'United Data'!$C$3:$C$2150,$A847)&gt;0,1,0)</f>
        <v>0</v>
      </c>
      <c r="H847">
        <f>IF(COUNTIFS('United Data'!$A$3:$A$2150,H$1,'United Data'!$C$3:$C$2150,$A847)&gt;0,1,0)</f>
        <v>1</v>
      </c>
      <c r="I847">
        <f>IF(COUNTIFS('United Data'!$A$3:$A$2150,I$1,'United Data'!$C$3:$C$2150,$A847)&gt;0,1,0)</f>
        <v>0</v>
      </c>
      <c r="J847">
        <f>IF(COUNTIFS('United Data'!$A$3:$A$2150,J$1,'United Data'!$C$3:$C$2150,$A847)&gt;0,1,0)</f>
        <v>0</v>
      </c>
      <c r="K847">
        <f>IF(COUNTIFS('United Data'!$A$3:$A$2150,K$1,'United Data'!$C$3:$C$2150,$A847)&gt;0,1,0)</f>
        <v>0</v>
      </c>
      <c r="L847">
        <f>IF(COUNTIFS('United Data'!$A$3:$A$2150,L$1,'United Data'!$C$3:$C$2150,$A847)&gt;0,1,0)</f>
        <v>0</v>
      </c>
      <c r="M847">
        <f>IF(COUNTIFS('United Data'!$A$3:$A$2150,M$1,'United Data'!$C$3:$C$2150,$A847)&gt;0,1,0)</f>
        <v>0</v>
      </c>
      <c r="N847">
        <f>IF(COUNTIFS('United Data'!$A$3:$A$2150,N$1,'United Data'!$C$3:$C$2150,$A847)&gt;0,1,0)</f>
        <v>0</v>
      </c>
      <c r="O847">
        <f>IF(COUNTIFS('United Data'!$A$3:$A$2150,O$1,'United Data'!$C$3:$C$2150,$A847)&gt;0,1,0)</f>
        <v>0</v>
      </c>
      <c r="P847">
        <f>IF(COUNTIFS('United Data'!$A$3:$A$2150,P$1,'United Data'!$C$3:$C$2150,$A847)&gt;0,1,0)</f>
        <v>0</v>
      </c>
      <c r="Q847">
        <f>IF(COUNTIFS('United Data'!$A$3:$A$2150,Q$1,'United Data'!$C$3:$C$2150,$A847)&gt;0,1,0)</f>
        <v>0</v>
      </c>
      <c r="R847">
        <f>IF(COUNTIFS('United Data'!$A$3:$A$2150,R$1,'United Data'!$C$3:$C$2150,$A847)&gt;0,1,0)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893</v>
      </c>
      <c r="B848">
        <f>IF(COUNTIFS('United Data'!$A$3:$A$2150,B$1,'United Data'!$C$3:$C$2150,$A848)&gt;0,1,0)</f>
        <v>0</v>
      </c>
      <c r="C848">
        <f>IF(COUNTIFS('United Data'!$A$3:$A$2150,C$1,'United Data'!$C$3:$C$2150,$A848)&gt;0,1,0)</f>
        <v>0</v>
      </c>
      <c r="D848">
        <f>IF(COUNTIFS('United Data'!$A$3:$A$2150,D$1,'United Data'!$C$3:$C$2150,$A848)&gt;0,1,0)</f>
        <v>0</v>
      </c>
      <c r="E848">
        <f>IF(COUNTIFS('United Data'!$A$3:$A$2150,E$1,'United Data'!$C$3:$C$2150,$A848)&gt;0,1,0)</f>
        <v>0</v>
      </c>
      <c r="F848">
        <f>IF(COUNTIFS('United Data'!$A$3:$A$2150,F$1,'United Data'!$C$3:$C$2150,$A848)&gt;0,1,0)</f>
        <v>0</v>
      </c>
      <c r="G848">
        <f>IF(COUNTIFS('United Data'!$A$3:$A$2150,G$1,'United Data'!$C$3:$C$2150,$A848)&gt;0,1,0)</f>
        <v>0</v>
      </c>
      <c r="H848">
        <f>IF(COUNTIFS('United Data'!$A$3:$A$2150,H$1,'United Data'!$C$3:$C$2150,$A848)&gt;0,1,0)</f>
        <v>1</v>
      </c>
      <c r="I848">
        <f>IF(COUNTIFS('United Data'!$A$3:$A$2150,I$1,'United Data'!$C$3:$C$2150,$A848)&gt;0,1,0)</f>
        <v>1</v>
      </c>
      <c r="J848">
        <f>IF(COUNTIFS('United Data'!$A$3:$A$2150,J$1,'United Data'!$C$3:$C$2150,$A848)&gt;0,1,0)</f>
        <v>1</v>
      </c>
      <c r="K848">
        <f>IF(COUNTIFS('United Data'!$A$3:$A$2150,K$1,'United Data'!$C$3:$C$2150,$A848)&gt;0,1,0)</f>
        <v>1</v>
      </c>
      <c r="L848">
        <f>IF(COUNTIFS('United Data'!$A$3:$A$2150,L$1,'United Data'!$C$3:$C$2150,$A848)&gt;0,1,0)</f>
        <v>1</v>
      </c>
      <c r="M848">
        <f>IF(COUNTIFS('United Data'!$A$3:$A$2150,M$1,'United Data'!$C$3:$C$2150,$A848)&gt;0,1,0)</f>
        <v>1</v>
      </c>
      <c r="N848">
        <f>IF(COUNTIFS('United Data'!$A$3:$A$2150,N$1,'United Data'!$C$3:$C$2150,$A848)&gt;0,1,0)</f>
        <v>0</v>
      </c>
      <c r="O848">
        <f>IF(COUNTIFS('United Data'!$A$3:$A$2150,O$1,'United Data'!$C$3:$C$2150,$A848)&gt;0,1,0)</f>
        <v>0</v>
      </c>
      <c r="P848">
        <f>IF(COUNTIFS('United Data'!$A$3:$A$2150,P$1,'United Data'!$C$3:$C$2150,$A848)&gt;0,1,0)</f>
        <v>0</v>
      </c>
      <c r="Q848">
        <f>IF(COUNTIFS('United Data'!$A$3:$A$2150,Q$1,'United Data'!$C$3:$C$2150,$A848)&gt;0,1,0)</f>
        <v>0</v>
      </c>
      <c r="R848">
        <f>IF(COUNTIFS('United Data'!$A$3:$A$2150,R$1,'United Data'!$C$3:$C$2150,$A848)&gt;0,1,0)</f>
        <v>0</v>
      </c>
      <c r="S848">
        <f t="shared" si="26"/>
        <v>6</v>
      </c>
      <c r="T848">
        <f t="shared" si="27"/>
        <v>1</v>
      </c>
    </row>
    <row r="849" spans="1:20" x14ac:dyDescent="0.2">
      <c r="A849" t="s">
        <v>894</v>
      </c>
      <c r="B849">
        <f>IF(COUNTIFS('United Data'!$A$3:$A$2150,B$1,'United Data'!$C$3:$C$2150,$A849)&gt;0,1,0)</f>
        <v>0</v>
      </c>
      <c r="C849">
        <f>IF(COUNTIFS('United Data'!$A$3:$A$2150,C$1,'United Data'!$C$3:$C$2150,$A849)&gt;0,1,0)</f>
        <v>0</v>
      </c>
      <c r="D849">
        <f>IF(COUNTIFS('United Data'!$A$3:$A$2150,D$1,'United Data'!$C$3:$C$2150,$A849)&gt;0,1,0)</f>
        <v>0</v>
      </c>
      <c r="E849">
        <f>IF(COUNTIFS('United Data'!$A$3:$A$2150,E$1,'United Data'!$C$3:$C$2150,$A849)&gt;0,1,0)</f>
        <v>0</v>
      </c>
      <c r="F849">
        <f>IF(COUNTIFS('United Data'!$A$3:$A$2150,F$1,'United Data'!$C$3:$C$2150,$A849)&gt;0,1,0)</f>
        <v>0</v>
      </c>
      <c r="G849">
        <f>IF(COUNTIFS('United Data'!$A$3:$A$2150,G$1,'United Data'!$C$3:$C$2150,$A849)&gt;0,1,0)</f>
        <v>0</v>
      </c>
      <c r="H849">
        <f>IF(COUNTIFS('United Data'!$A$3:$A$2150,H$1,'United Data'!$C$3:$C$2150,$A849)&gt;0,1,0)</f>
        <v>0</v>
      </c>
      <c r="I849">
        <f>IF(COUNTIFS('United Data'!$A$3:$A$2150,I$1,'United Data'!$C$3:$C$2150,$A849)&gt;0,1,0)</f>
        <v>1</v>
      </c>
      <c r="J849">
        <f>IF(COUNTIFS('United Data'!$A$3:$A$2150,J$1,'United Data'!$C$3:$C$2150,$A849)&gt;0,1,0)</f>
        <v>1</v>
      </c>
      <c r="K849">
        <f>IF(COUNTIFS('United Data'!$A$3:$A$2150,K$1,'United Data'!$C$3:$C$2150,$A849)&gt;0,1,0)</f>
        <v>0</v>
      </c>
      <c r="L849">
        <f>IF(COUNTIFS('United Data'!$A$3:$A$2150,L$1,'United Data'!$C$3:$C$2150,$A849)&gt;0,1,0)</f>
        <v>0</v>
      </c>
      <c r="M849">
        <f>IF(COUNTIFS('United Data'!$A$3:$A$2150,M$1,'United Data'!$C$3:$C$2150,$A849)&gt;0,1,0)</f>
        <v>0</v>
      </c>
      <c r="N849">
        <f>IF(COUNTIFS('United Data'!$A$3:$A$2150,N$1,'United Data'!$C$3:$C$2150,$A849)&gt;0,1,0)</f>
        <v>0</v>
      </c>
      <c r="O849">
        <f>IF(COUNTIFS('United Data'!$A$3:$A$2150,O$1,'United Data'!$C$3:$C$2150,$A849)&gt;0,1,0)</f>
        <v>0</v>
      </c>
      <c r="P849">
        <f>IF(COUNTIFS('United Data'!$A$3:$A$2150,P$1,'United Data'!$C$3:$C$2150,$A849)&gt;0,1,0)</f>
        <v>0</v>
      </c>
      <c r="Q849">
        <f>IF(COUNTIFS('United Data'!$A$3:$A$2150,Q$1,'United Data'!$C$3:$C$2150,$A849)&gt;0,1,0)</f>
        <v>0</v>
      </c>
      <c r="R849">
        <f>IF(COUNTIFS('United Data'!$A$3:$A$2150,R$1,'United Data'!$C$3:$C$2150,$A849)&gt;0,1,0)</f>
        <v>0</v>
      </c>
      <c r="S849">
        <f t="shared" si="26"/>
        <v>2</v>
      </c>
      <c r="T849">
        <f t="shared" si="27"/>
        <v>1</v>
      </c>
    </row>
    <row r="850" spans="1:20" x14ac:dyDescent="0.2">
      <c r="A850" t="s">
        <v>895</v>
      </c>
      <c r="B850">
        <f>IF(COUNTIFS('United Data'!$A$3:$A$2150,B$1,'United Data'!$C$3:$C$2150,$A850)&gt;0,1,0)</f>
        <v>0</v>
      </c>
      <c r="C850">
        <f>IF(COUNTIFS('United Data'!$A$3:$A$2150,C$1,'United Data'!$C$3:$C$2150,$A850)&gt;0,1,0)</f>
        <v>0</v>
      </c>
      <c r="D850">
        <f>IF(COUNTIFS('United Data'!$A$3:$A$2150,D$1,'United Data'!$C$3:$C$2150,$A850)&gt;0,1,0)</f>
        <v>0</v>
      </c>
      <c r="E850">
        <f>IF(COUNTIFS('United Data'!$A$3:$A$2150,E$1,'United Data'!$C$3:$C$2150,$A850)&gt;0,1,0)</f>
        <v>0</v>
      </c>
      <c r="F850">
        <f>IF(COUNTIFS('United Data'!$A$3:$A$2150,F$1,'United Data'!$C$3:$C$2150,$A850)&gt;0,1,0)</f>
        <v>0</v>
      </c>
      <c r="G850">
        <f>IF(COUNTIFS('United Data'!$A$3:$A$2150,G$1,'United Data'!$C$3:$C$2150,$A850)&gt;0,1,0)</f>
        <v>0</v>
      </c>
      <c r="H850">
        <f>IF(COUNTIFS('United Data'!$A$3:$A$2150,H$1,'United Data'!$C$3:$C$2150,$A850)&gt;0,1,0)</f>
        <v>0</v>
      </c>
      <c r="I850">
        <f>IF(COUNTIFS('United Data'!$A$3:$A$2150,I$1,'United Data'!$C$3:$C$2150,$A850)&gt;0,1,0)</f>
        <v>1</v>
      </c>
      <c r="J850">
        <f>IF(COUNTIFS('United Data'!$A$3:$A$2150,J$1,'United Data'!$C$3:$C$2150,$A850)&gt;0,1,0)</f>
        <v>0</v>
      </c>
      <c r="K850">
        <f>IF(COUNTIFS('United Data'!$A$3:$A$2150,K$1,'United Data'!$C$3:$C$2150,$A850)&gt;0,1,0)</f>
        <v>0</v>
      </c>
      <c r="L850">
        <f>IF(COUNTIFS('United Data'!$A$3:$A$2150,L$1,'United Data'!$C$3:$C$2150,$A850)&gt;0,1,0)</f>
        <v>0</v>
      </c>
      <c r="M850">
        <f>IF(COUNTIFS('United Data'!$A$3:$A$2150,M$1,'United Data'!$C$3:$C$2150,$A850)&gt;0,1,0)</f>
        <v>0</v>
      </c>
      <c r="N850">
        <f>IF(COUNTIFS('United Data'!$A$3:$A$2150,N$1,'United Data'!$C$3:$C$2150,$A850)&gt;0,1,0)</f>
        <v>0</v>
      </c>
      <c r="O850">
        <f>IF(COUNTIFS('United Data'!$A$3:$A$2150,O$1,'United Data'!$C$3:$C$2150,$A850)&gt;0,1,0)</f>
        <v>0</v>
      </c>
      <c r="P850">
        <f>IF(COUNTIFS('United Data'!$A$3:$A$2150,P$1,'United Data'!$C$3:$C$2150,$A850)&gt;0,1,0)</f>
        <v>0</v>
      </c>
      <c r="Q850">
        <f>IF(COUNTIFS('United Data'!$A$3:$A$2150,Q$1,'United Data'!$C$3:$C$2150,$A850)&gt;0,1,0)</f>
        <v>0</v>
      </c>
      <c r="R850">
        <f>IF(COUNTIFS('United Data'!$A$3:$A$2150,R$1,'United Data'!$C$3:$C$2150,$A850)&gt;0,1,0)</f>
        <v>0</v>
      </c>
      <c r="S850">
        <f t="shared" si="26"/>
        <v>1</v>
      </c>
      <c r="T850">
        <f t="shared" si="27"/>
        <v>1</v>
      </c>
    </row>
    <row r="851" spans="1:20" x14ac:dyDescent="0.2">
      <c r="A851" t="s">
        <v>896</v>
      </c>
      <c r="B851">
        <f>IF(COUNTIFS('United Data'!$A$3:$A$2150,B$1,'United Data'!$C$3:$C$2150,$A851)&gt;0,1,0)</f>
        <v>0</v>
      </c>
      <c r="C851">
        <f>IF(COUNTIFS('United Data'!$A$3:$A$2150,C$1,'United Data'!$C$3:$C$2150,$A851)&gt;0,1,0)</f>
        <v>0</v>
      </c>
      <c r="D851">
        <f>IF(COUNTIFS('United Data'!$A$3:$A$2150,D$1,'United Data'!$C$3:$C$2150,$A851)&gt;0,1,0)</f>
        <v>0</v>
      </c>
      <c r="E851">
        <f>IF(COUNTIFS('United Data'!$A$3:$A$2150,E$1,'United Data'!$C$3:$C$2150,$A851)&gt;0,1,0)</f>
        <v>0</v>
      </c>
      <c r="F851">
        <f>IF(COUNTIFS('United Data'!$A$3:$A$2150,F$1,'United Data'!$C$3:$C$2150,$A851)&gt;0,1,0)</f>
        <v>0</v>
      </c>
      <c r="G851">
        <f>IF(COUNTIFS('United Data'!$A$3:$A$2150,G$1,'United Data'!$C$3:$C$2150,$A851)&gt;0,1,0)</f>
        <v>0</v>
      </c>
      <c r="H851">
        <f>IF(COUNTIFS('United Data'!$A$3:$A$2150,H$1,'United Data'!$C$3:$C$2150,$A851)&gt;0,1,0)</f>
        <v>0</v>
      </c>
      <c r="I851">
        <f>IF(COUNTIFS('United Data'!$A$3:$A$2150,I$1,'United Data'!$C$3:$C$2150,$A851)&gt;0,1,0)</f>
        <v>1</v>
      </c>
      <c r="J851">
        <f>IF(COUNTIFS('United Data'!$A$3:$A$2150,J$1,'United Data'!$C$3:$C$2150,$A851)&gt;0,1,0)</f>
        <v>0</v>
      </c>
      <c r="K851">
        <f>IF(COUNTIFS('United Data'!$A$3:$A$2150,K$1,'United Data'!$C$3:$C$2150,$A851)&gt;0,1,0)</f>
        <v>0</v>
      </c>
      <c r="L851">
        <f>IF(COUNTIFS('United Data'!$A$3:$A$2150,L$1,'United Data'!$C$3:$C$2150,$A851)&gt;0,1,0)</f>
        <v>0</v>
      </c>
      <c r="M851">
        <f>IF(COUNTIFS('United Data'!$A$3:$A$2150,M$1,'United Data'!$C$3:$C$2150,$A851)&gt;0,1,0)</f>
        <v>0</v>
      </c>
      <c r="N851">
        <f>IF(COUNTIFS('United Data'!$A$3:$A$2150,N$1,'United Data'!$C$3:$C$2150,$A851)&gt;0,1,0)</f>
        <v>0</v>
      </c>
      <c r="O851">
        <f>IF(COUNTIFS('United Data'!$A$3:$A$2150,O$1,'United Data'!$C$3:$C$2150,$A851)&gt;0,1,0)</f>
        <v>0</v>
      </c>
      <c r="P851">
        <f>IF(COUNTIFS('United Data'!$A$3:$A$2150,P$1,'United Data'!$C$3:$C$2150,$A851)&gt;0,1,0)</f>
        <v>0</v>
      </c>
      <c r="Q851">
        <f>IF(COUNTIFS('United Data'!$A$3:$A$2150,Q$1,'United Data'!$C$3:$C$2150,$A851)&gt;0,1,0)</f>
        <v>0</v>
      </c>
      <c r="R851">
        <f>IF(COUNTIFS('United Data'!$A$3:$A$2150,R$1,'United Data'!$C$3:$C$2150,$A851)&gt;0,1,0)</f>
        <v>0</v>
      </c>
      <c r="S851">
        <f t="shared" si="26"/>
        <v>1</v>
      </c>
      <c r="T851">
        <f t="shared" si="27"/>
        <v>1</v>
      </c>
    </row>
    <row r="852" spans="1:20" x14ac:dyDescent="0.2">
      <c r="A852" t="s">
        <v>897</v>
      </c>
      <c r="B852">
        <f>IF(COUNTIFS('United Data'!$A$3:$A$2150,B$1,'United Data'!$C$3:$C$2150,$A852)&gt;0,1,0)</f>
        <v>0</v>
      </c>
      <c r="C852">
        <f>IF(COUNTIFS('United Data'!$A$3:$A$2150,C$1,'United Data'!$C$3:$C$2150,$A852)&gt;0,1,0)</f>
        <v>0</v>
      </c>
      <c r="D852">
        <f>IF(COUNTIFS('United Data'!$A$3:$A$2150,D$1,'United Data'!$C$3:$C$2150,$A852)&gt;0,1,0)</f>
        <v>0</v>
      </c>
      <c r="E852">
        <f>IF(COUNTIFS('United Data'!$A$3:$A$2150,E$1,'United Data'!$C$3:$C$2150,$A852)&gt;0,1,0)</f>
        <v>0</v>
      </c>
      <c r="F852">
        <f>IF(COUNTIFS('United Data'!$A$3:$A$2150,F$1,'United Data'!$C$3:$C$2150,$A852)&gt;0,1,0)</f>
        <v>0</v>
      </c>
      <c r="G852">
        <f>IF(COUNTIFS('United Data'!$A$3:$A$2150,G$1,'United Data'!$C$3:$C$2150,$A852)&gt;0,1,0)</f>
        <v>0</v>
      </c>
      <c r="H852">
        <f>IF(COUNTIFS('United Data'!$A$3:$A$2150,H$1,'United Data'!$C$3:$C$2150,$A852)&gt;0,1,0)</f>
        <v>0</v>
      </c>
      <c r="I852">
        <f>IF(COUNTIFS('United Data'!$A$3:$A$2150,I$1,'United Data'!$C$3:$C$2150,$A852)&gt;0,1,0)</f>
        <v>1</v>
      </c>
      <c r="J852">
        <f>IF(COUNTIFS('United Data'!$A$3:$A$2150,J$1,'United Data'!$C$3:$C$2150,$A852)&gt;0,1,0)</f>
        <v>0</v>
      </c>
      <c r="K852">
        <f>IF(COUNTIFS('United Data'!$A$3:$A$2150,K$1,'United Data'!$C$3:$C$2150,$A852)&gt;0,1,0)</f>
        <v>0</v>
      </c>
      <c r="L852">
        <f>IF(COUNTIFS('United Data'!$A$3:$A$2150,L$1,'United Data'!$C$3:$C$2150,$A852)&gt;0,1,0)</f>
        <v>0</v>
      </c>
      <c r="M852">
        <f>IF(COUNTIFS('United Data'!$A$3:$A$2150,M$1,'United Data'!$C$3:$C$2150,$A852)&gt;0,1,0)</f>
        <v>0</v>
      </c>
      <c r="N852">
        <f>IF(COUNTIFS('United Data'!$A$3:$A$2150,N$1,'United Data'!$C$3:$C$2150,$A852)&gt;0,1,0)</f>
        <v>0</v>
      </c>
      <c r="O852">
        <f>IF(COUNTIFS('United Data'!$A$3:$A$2150,O$1,'United Data'!$C$3:$C$2150,$A852)&gt;0,1,0)</f>
        <v>0</v>
      </c>
      <c r="P852">
        <f>IF(COUNTIFS('United Data'!$A$3:$A$2150,P$1,'United Data'!$C$3:$C$2150,$A852)&gt;0,1,0)</f>
        <v>0</v>
      </c>
      <c r="Q852">
        <f>IF(COUNTIFS('United Data'!$A$3:$A$2150,Q$1,'United Data'!$C$3:$C$2150,$A852)&gt;0,1,0)</f>
        <v>0</v>
      </c>
      <c r="R852">
        <f>IF(COUNTIFS('United Data'!$A$3:$A$2150,R$1,'United Data'!$C$3:$C$2150,$A852)&gt;0,1,0)</f>
        <v>0</v>
      </c>
      <c r="S852">
        <f t="shared" si="26"/>
        <v>1</v>
      </c>
      <c r="T852">
        <f t="shared" si="27"/>
        <v>1</v>
      </c>
    </row>
    <row r="853" spans="1:20" x14ac:dyDescent="0.2">
      <c r="A853" t="s">
        <v>898</v>
      </c>
      <c r="B853">
        <f>IF(COUNTIFS('United Data'!$A$3:$A$2150,B$1,'United Data'!$C$3:$C$2150,$A853)&gt;0,1,0)</f>
        <v>0</v>
      </c>
      <c r="C853">
        <f>IF(COUNTIFS('United Data'!$A$3:$A$2150,C$1,'United Data'!$C$3:$C$2150,$A853)&gt;0,1,0)</f>
        <v>0</v>
      </c>
      <c r="D853">
        <f>IF(COUNTIFS('United Data'!$A$3:$A$2150,D$1,'United Data'!$C$3:$C$2150,$A853)&gt;0,1,0)</f>
        <v>0</v>
      </c>
      <c r="E853">
        <f>IF(COUNTIFS('United Data'!$A$3:$A$2150,E$1,'United Data'!$C$3:$C$2150,$A853)&gt;0,1,0)</f>
        <v>0</v>
      </c>
      <c r="F853">
        <f>IF(COUNTIFS('United Data'!$A$3:$A$2150,F$1,'United Data'!$C$3:$C$2150,$A853)&gt;0,1,0)</f>
        <v>0</v>
      </c>
      <c r="G853">
        <f>IF(COUNTIFS('United Data'!$A$3:$A$2150,G$1,'United Data'!$C$3:$C$2150,$A853)&gt;0,1,0)</f>
        <v>0</v>
      </c>
      <c r="H853">
        <f>IF(COUNTIFS('United Data'!$A$3:$A$2150,H$1,'United Data'!$C$3:$C$2150,$A853)&gt;0,1,0)</f>
        <v>0</v>
      </c>
      <c r="I853">
        <f>IF(COUNTIFS('United Data'!$A$3:$A$2150,I$1,'United Data'!$C$3:$C$2150,$A853)&gt;0,1,0)</f>
        <v>1</v>
      </c>
      <c r="J853">
        <f>IF(COUNTIFS('United Data'!$A$3:$A$2150,J$1,'United Data'!$C$3:$C$2150,$A853)&gt;0,1,0)</f>
        <v>0</v>
      </c>
      <c r="K853">
        <f>IF(COUNTIFS('United Data'!$A$3:$A$2150,K$1,'United Data'!$C$3:$C$2150,$A853)&gt;0,1,0)</f>
        <v>0</v>
      </c>
      <c r="L853">
        <f>IF(COUNTIFS('United Data'!$A$3:$A$2150,L$1,'United Data'!$C$3:$C$2150,$A853)&gt;0,1,0)</f>
        <v>0</v>
      </c>
      <c r="M853">
        <f>IF(COUNTIFS('United Data'!$A$3:$A$2150,M$1,'United Data'!$C$3:$C$2150,$A853)&gt;0,1,0)</f>
        <v>0</v>
      </c>
      <c r="N853">
        <f>IF(COUNTIFS('United Data'!$A$3:$A$2150,N$1,'United Data'!$C$3:$C$2150,$A853)&gt;0,1,0)</f>
        <v>0</v>
      </c>
      <c r="O853">
        <f>IF(COUNTIFS('United Data'!$A$3:$A$2150,O$1,'United Data'!$C$3:$C$2150,$A853)&gt;0,1,0)</f>
        <v>0</v>
      </c>
      <c r="P853">
        <f>IF(COUNTIFS('United Data'!$A$3:$A$2150,P$1,'United Data'!$C$3:$C$2150,$A853)&gt;0,1,0)</f>
        <v>0</v>
      </c>
      <c r="Q853">
        <f>IF(COUNTIFS('United Data'!$A$3:$A$2150,Q$1,'United Data'!$C$3:$C$2150,$A853)&gt;0,1,0)</f>
        <v>0</v>
      </c>
      <c r="R853">
        <f>IF(COUNTIFS('United Data'!$A$3:$A$2150,R$1,'United Data'!$C$3:$C$2150,$A853)&gt;0,1,0)</f>
        <v>0</v>
      </c>
      <c r="S853">
        <f t="shared" si="26"/>
        <v>1</v>
      </c>
      <c r="T853">
        <f t="shared" si="27"/>
        <v>1</v>
      </c>
    </row>
    <row r="854" spans="1:20" x14ac:dyDescent="0.2">
      <c r="A854" t="s">
        <v>899</v>
      </c>
      <c r="B854">
        <f>IF(COUNTIFS('United Data'!$A$3:$A$2150,B$1,'United Data'!$C$3:$C$2150,$A854)&gt;0,1,0)</f>
        <v>0</v>
      </c>
      <c r="C854">
        <f>IF(COUNTIFS('United Data'!$A$3:$A$2150,C$1,'United Data'!$C$3:$C$2150,$A854)&gt;0,1,0)</f>
        <v>0</v>
      </c>
      <c r="D854">
        <f>IF(COUNTIFS('United Data'!$A$3:$A$2150,D$1,'United Data'!$C$3:$C$2150,$A854)&gt;0,1,0)</f>
        <v>0</v>
      </c>
      <c r="E854">
        <f>IF(COUNTIFS('United Data'!$A$3:$A$2150,E$1,'United Data'!$C$3:$C$2150,$A854)&gt;0,1,0)</f>
        <v>0</v>
      </c>
      <c r="F854">
        <f>IF(COUNTIFS('United Data'!$A$3:$A$2150,F$1,'United Data'!$C$3:$C$2150,$A854)&gt;0,1,0)</f>
        <v>0</v>
      </c>
      <c r="G854">
        <f>IF(COUNTIFS('United Data'!$A$3:$A$2150,G$1,'United Data'!$C$3:$C$2150,$A854)&gt;0,1,0)</f>
        <v>0</v>
      </c>
      <c r="H854">
        <f>IF(COUNTIFS('United Data'!$A$3:$A$2150,H$1,'United Data'!$C$3:$C$2150,$A854)&gt;0,1,0)</f>
        <v>0</v>
      </c>
      <c r="I854">
        <f>IF(COUNTIFS('United Data'!$A$3:$A$2150,I$1,'United Data'!$C$3:$C$2150,$A854)&gt;0,1,0)</f>
        <v>1</v>
      </c>
      <c r="J854">
        <f>IF(COUNTIFS('United Data'!$A$3:$A$2150,J$1,'United Data'!$C$3:$C$2150,$A854)&gt;0,1,0)</f>
        <v>1</v>
      </c>
      <c r="K854">
        <f>IF(COUNTIFS('United Data'!$A$3:$A$2150,K$1,'United Data'!$C$3:$C$2150,$A854)&gt;0,1,0)</f>
        <v>1</v>
      </c>
      <c r="L854">
        <f>IF(COUNTIFS('United Data'!$A$3:$A$2150,L$1,'United Data'!$C$3:$C$2150,$A854)&gt;0,1,0)</f>
        <v>1</v>
      </c>
      <c r="M854">
        <f>IF(COUNTIFS('United Data'!$A$3:$A$2150,M$1,'United Data'!$C$3:$C$2150,$A854)&gt;0,1,0)</f>
        <v>1</v>
      </c>
      <c r="N854">
        <f>IF(COUNTIFS('United Data'!$A$3:$A$2150,N$1,'United Data'!$C$3:$C$2150,$A854)&gt;0,1,0)</f>
        <v>1</v>
      </c>
      <c r="O854">
        <f>IF(COUNTIFS('United Data'!$A$3:$A$2150,O$1,'United Data'!$C$3:$C$2150,$A854)&gt;0,1,0)</f>
        <v>0</v>
      </c>
      <c r="P854">
        <f>IF(COUNTIFS('United Data'!$A$3:$A$2150,P$1,'United Data'!$C$3:$C$2150,$A854)&gt;0,1,0)</f>
        <v>0</v>
      </c>
      <c r="Q854">
        <f>IF(COUNTIFS('United Data'!$A$3:$A$2150,Q$1,'United Data'!$C$3:$C$2150,$A854)&gt;0,1,0)</f>
        <v>0</v>
      </c>
      <c r="R854">
        <f>IF(COUNTIFS('United Data'!$A$3:$A$2150,R$1,'United Data'!$C$3:$C$2150,$A854)&gt;0,1,0)</f>
        <v>0</v>
      </c>
      <c r="S854">
        <f t="shared" si="26"/>
        <v>6</v>
      </c>
      <c r="T854">
        <f t="shared" si="27"/>
        <v>1</v>
      </c>
    </row>
    <row r="855" spans="1:20" x14ac:dyDescent="0.2">
      <c r="A855" t="s">
        <v>900</v>
      </c>
      <c r="B855">
        <f>IF(COUNTIFS('United Data'!$A$3:$A$2150,B$1,'United Data'!$C$3:$C$2150,$A855)&gt;0,1,0)</f>
        <v>0</v>
      </c>
      <c r="C855">
        <f>IF(COUNTIFS('United Data'!$A$3:$A$2150,C$1,'United Data'!$C$3:$C$2150,$A855)&gt;0,1,0)</f>
        <v>0</v>
      </c>
      <c r="D855">
        <f>IF(COUNTIFS('United Data'!$A$3:$A$2150,D$1,'United Data'!$C$3:$C$2150,$A855)&gt;0,1,0)</f>
        <v>0</v>
      </c>
      <c r="E855">
        <f>IF(COUNTIFS('United Data'!$A$3:$A$2150,E$1,'United Data'!$C$3:$C$2150,$A855)&gt;0,1,0)</f>
        <v>0</v>
      </c>
      <c r="F855">
        <f>IF(COUNTIFS('United Data'!$A$3:$A$2150,F$1,'United Data'!$C$3:$C$2150,$A855)&gt;0,1,0)</f>
        <v>0</v>
      </c>
      <c r="G855">
        <f>IF(COUNTIFS('United Data'!$A$3:$A$2150,G$1,'United Data'!$C$3:$C$2150,$A855)&gt;0,1,0)</f>
        <v>0</v>
      </c>
      <c r="H855">
        <f>IF(COUNTIFS('United Data'!$A$3:$A$2150,H$1,'United Data'!$C$3:$C$2150,$A855)&gt;0,1,0)</f>
        <v>0</v>
      </c>
      <c r="I855">
        <f>IF(COUNTIFS('United Data'!$A$3:$A$2150,I$1,'United Data'!$C$3:$C$2150,$A855)&gt;0,1,0)</f>
        <v>1</v>
      </c>
      <c r="J855">
        <f>IF(COUNTIFS('United Data'!$A$3:$A$2150,J$1,'United Data'!$C$3:$C$2150,$A855)&gt;0,1,0)</f>
        <v>0</v>
      </c>
      <c r="K855">
        <f>IF(COUNTIFS('United Data'!$A$3:$A$2150,K$1,'United Data'!$C$3:$C$2150,$A855)&gt;0,1,0)</f>
        <v>1</v>
      </c>
      <c r="L855">
        <f>IF(COUNTIFS('United Data'!$A$3:$A$2150,L$1,'United Data'!$C$3:$C$2150,$A855)&gt;0,1,0)</f>
        <v>0</v>
      </c>
      <c r="M855">
        <f>IF(COUNTIFS('United Data'!$A$3:$A$2150,M$1,'United Data'!$C$3:$C$2150,$A855)&gt;0,1,0)</f>
        <v>0</v>
      </c>
      <c r="N855">
        <f>IF(COUNTIFS('United Data'!$A$3:$A$2150,N$1,'United Data'!$C$3:$C$2150,$A855)&gt;0,1,0)</f>
        <v>0</v>
      </c>
      <c r="O855">
        <f>IF(COUNTIFS('United Data'!$A$3:$A$2150,O$1,'United Data'!$C$3:$C$2150,$A855)&gt;0,1,0)</f>
        <v>0</v>
      </c>
      <c r="P855">
        <f>IF(COUNTIFS('United Data'!$A$3:$A$2150,P$1,'United Data'!$C$3:$C$2150,$A855)&gt;0,1,0)</f>
        <v>0</v>
      </c>
      <c r="Q855">
        <f>IF(COUNTIFS('United Data'!$A$3:$A$2150,Q$1,'United Data'!$C$3:$C$2150,$A855)&gt;0,1,0)</f>
        <v>0</v>
      </c>
      <c r="R855">
        <f>IF(COUNTIFS('United Data'!$A$3:$A$2150,R$1,'United Data'!$C$3:$C$2150,$A855)&gt;0,1,0)</f>
        <v>0</v>
      </c>
      <c r="S855">
        <f t="shared" si="26"/>
        <v>2</v>
      </c>
      <c r="T855">
        <f t="shared" si="27"/>
        <v>2</v>
      </c>
    </row>
    <row r="856" spans="1:20" x14ac:dyDescent="0.2">
      <c r="A856" t="s">
        <v>901</v>
      </c>
      <c r="B856">
        <f>IF(COUNTIFS('United Data'!$A$3:$A$2150,B$1,'United Data'!$C$3:$C$2150,$A856)&gt;0,1,0)</f>
        <v>0</v>
      </c>
      <c r="C856">
        <f>IF(COUNTIFS('United Data'!$A$3:$A$2150,C$1,'United Data'!$C$3:$C$2150,$A856)&gt;0,1,0)</f>
        <v>0</v>
      </c>
      <c r="D856">
        <f>IF(COUNTIFS('United Data'!$A$3:$A$2150,D$1,'United Data'!$C$3:$C$2150,$A856)&gt;0,1,0)</f>
        <v>0</v>
      </c>
      <c r="E856">
        <f>IF(COUNTIFS('United Data'!$A$3:$A$2150,E$1,'United Data'!$C$3:$C$2150,$A856)&gt;0,1,0)</f>
        <v>0</v>
      </c>
      <c r="F856">
        <f>IF(COUNTIFS('United Data'!$A$3:$A$2150,F$1,'United Data'!$C$3:$C$2150,$A856)&gt;0,1,0)</f>
        <v>0</v>
      </c>
      <c r="G856">
        <f>IF(COUNTIFS('United Data'!$A$3:$A$2150,G$1,'United Data'!$C$3:$C$2150,$A856)&gt;0,1,0)</f>
        <v>0</v>
      </c>
      <c r="H856">
        <f>IF(COUNTIFS('United Data'!$A$3:$A$2150,H$1,'United Data'!$C$3:$C$2150,$A856)&gt;0,1,0)</f>
        <v>0</v>
      </c>
      <c r="I856">
        <f>IF(COUNTIFS('United Data'!$A$3:$A$2150,I$1,'United Data'!$C$3:$C$2150,$A856)&gt;0,1,0)</f>
        <v>1</v>
      </c>
      <c r="J856">
        <f>IF(COUNTIFS('United Data'!$A$3:$A$2150,J$1,'United Data'!$C$3:$C$2150,$A856)&gt;0,1,0)</f>
        <v>0</v>
      </c>
      <c r="K856">
        <f>IF(COUNTIFS('United Data'!$A$3:$A$2150,K$1,'United Data'!$C$3:$C$2150,$A856)&gt;0,1,0)</f>
        <v>0</v>
      </c>
      <c r="L856">
        <f>IF(COUNTIFS('United Data'!$A$3:$A$2150,L$1,'United Data'!$C$3:$C$2150,$A856)&gt;0,1,0)</f>
        <v>0</v>
      </c>
      <c r="M856">
        <f>IF(COUNTIFS('United Data'!$A$3:$A$2150,M$1,'United Data'!$C$3:$C$2150,$A856)&gt;0,1,0)</f>
        <v>0</v>
      </c>
      <c r="N856">
        <f>IF(COUNTIFS('United Data'!$A$3:$A$2150,N$1,'United Data'!$C$3:$C$2150,$A856)&gt;0,1,0)</f>
        <v>0</v>
      </c>
      <c r="O856">
        <f>IF(COUNTIFS('United Data'!$A$3:$A$2150,O$1,'United Data'!$C$3:$C$2150,$A856)&gt;0,1,0)</f>
        <v>0</v>
      </c>
      <c r="P856">
        <f>IF(COUNTIFS('United Data'!$A$3:$A$2150,P$1,'United Data'!$C$3:$C$2150,$A856)&gt;0,1,0)</f>
        <v>0</v>
      </c>
      <c r="Q856">
        <f>IF(COUNTIFS('United Data'!$A$3:$A$2150,Q$1,'United Data'!$C$3:$C$2150,$A856)&gt;0,1,0)</f>
        <v>0</v>
      </c>
      <c r="R856">
        <f>IF(COUNTIFS('United Data'!$A$3:$A$2150,R$1,'United Data'!$C$3:$C$2150,$A856)&gt;0,1,0)</f>
        <v>0</v>
      </c>
      <c r="S856">
        <f t="shared" si="26"/>
        <v>1</v>
      </c>
      <c r="T856">
        <f t="shared" si="27"/>
        <v>1</v>
      </c>
    </row>
    <row r="857" spans="1:20" x14ac:dyDescent="0.2">
      <c r="A857" t="s">
        <v>902</v>
      </c>
      <c r="B857">
        <f>IF(COUNTIFS('United Data'!$A$3:$A$2150,B$1,'United Data'!$C$3:$C$2150,$A857)&gt;0,1,0)</f>
        <v>0</v>
      </c>
      <c r="C857">
        <f>IF(COUNTIFS('United Data'!$A$3:$A$2150,C$1,'United Data'!$C$3:$C$2150,$A857)&gt;0,1,0)</f>
        <v>0</v>
      </c>
      <c r="D857">
        <f>IF(COUNTIFS('United Data'!$A$3:$A$2150,D$1,'United Data'!$C$3:$C$2150,$A857)&gt;0,1,0)</f>
        <v>0</v>
      </c>
      <c r="E857">
        <f>IF(COUNTIFS('United Data'!$A$3:$A$2150,E$1,'United Data'!$C$3:$C$2150,$A857)&gt;0,1,0)</f>
        <v>0</v>
      </c>
      <c r="F857">
        <f>IF(COUNTIFS('United Data'!$A$3:$A$2150,F$1,'United Data'!$C$3:$C$2150,$A857)&gt;0,1,0)</f>
        <v>0</v>
      </c>
      <c r="G857">
        <f>IF(COUNTIFS('United Data'!$A$3:$A$2150,G$1,'United Data'!$C$3:$C$2150,$A857)&gt;0,1,0)</f>
        <v>0</v>
      </c>
      <c r="H857">
        <f>IF(COUNTIFS('United Data'!$A$3:$A$2150,H$1,'United Data'!$C$3:$C$2150,$A857)&gt;0,1,0)</f>
        <v>0</v>
      </c>
      <c r="I857">
        <f>IF(COUNTIFS('United Data'!$A$3:$A$2150,I$1,'United Data'!$C$3:$C$2150,$A857)&gt;0,1,0)</f>
        <v>1</v>
      </c>
      <c r="J857">
        <f>IF(COUNTIFS('United Data'!$A$3:$A$2150,J$1,'United Data'!$C$3:$C$2150,$A857)&gt;0,1,0)</f>
        <v>0</v>
      </c>
      <c r="K857">
        <f>IF(COUNTIFS('United Data'!$A$3:$A$2150,K$1,'United Data'!$C$3:$C$2150,$A857)&gt;0,1,0)</f>
        <v>0</v>
      </c>
      <c r="L857">
        <f>IF(COUNTIFS('United Data'!$A$3:$A$2150,L$1,'United Data'!$C$3:$C$2150,$A857)&gt;0,1,0)</f>
        <v>0</v>
      </c>
      <c r="M857">
        <f>IF(COUNTIFS('United Data'!$A$3:$A$2150,M$1,'United Data'!$C$3:$C$2150,$A857)&gt;0,1,0)</f>
        <v>0</v>
      </c>
      <c r="N857">
        <f>IF(COUNTIFS('United Data'!$A$3:$A$2150,N$1,'United Data'!$C$3:$C$2150,$A857)&gt;0,1,0)</f>
        <v>0</v>
      </c>
      <c r="O857">
        <f>IF(COUNTIFS('United Data'!$A$3:$A$2150,O$1,'United Data'!$C$3:$C$2150,$A857)&gt;0,1,0)</f>
        <v>0</v>
      </c>
      <c r="P857">
        <f>IF(COUNTIFS('United Data'!$A$3:$A$2150,P$1,'United Data'!$C$3:$C$2150,$A857)&gt;0,1,0)</f>
        <v>0</v>
      </c>
      <c r="Q857">
        <f>IF(COUNTIFS('United Data'!$A$3:$A$2150,Q$1,'United Data'!$C$3:$C$2150,$A857)&gt;0,1,0)</f>
        <v>0</v>
      </c>
      <c r="R857">
        <f>IF(COUNTIFS('United Data'!$A$3:$A$2150,R$1,'United Data'!$C$3:$C$2150,$A857)&gt;0,1,0)</f>
        <v>0</v>
      </c>
      <c r="S857">
        <f t="shared" si="26"/>
        <v>1</v>
      </c>
      <c r="T857">
        <f t="shared" si="27"/>
        <v>1</v>
      </c>
    </row>
    <row r="858" spans="1:20" x14ac:dyDescent="0.2">
      <c r="A858" t="s">
        <v>903</v>
      </c>
      <c r="B858">
        <f>IF(COUNTIFS('United Data'!$A$3:$A$2150,B$1,'United Data'!$C$3:$C$2150,$A858)&gt;0,1,0)</f>
        <v>0</v>
      </c>
      <c r="C858">
        <f>IF(COUNTIFS('United Data'!$A$3:$A$2150,C$1,'United Data'!$C$3:$C$2150,$A858)&gt;0,1,0)</f>
        <v>0</v>
      </c>
      <c r="D858">
        <f>IF(COUNTIFS('United Data'!$A$3:$A$2150,D$1,'United Data'!$C$3:$C$2150,$A858)&gt;0,1,0)</f>
        <v>0</v>
      </c>
      <c r="E858">
        <f>IF(COUNTIFS('United Data'!$A$3:$A$2150,E$1,'United Data'!$C$3:$C$2150,$A858)&gt;0,1,0)</f>
        <v>0</v>
      </c>
      <c r="F858">
        <f>IF(COUNTIFS('United Data'!$A$3:$A$2150,F$1,'United Data'!$C$3:$C$2150,$A858)&gt;0,1,0)</f>
        <v>0</v>
      </c>
      <c r="G858">
        <f>IF(COUNTIFS('United Data'!$A$3:$A$2150,G$1,'United Data'!$C$3:$C$2150,$A858)&gt;0,1,0)</f>
        <v>0</v>
      </c>
      <c r="H858">
        <f>IF(COUNTIFS('United Data'!$A$3:$A$2150,H$1,'United Data'!$C$3:$C$2150,$A858)&gt;0,1,0)</f>
        <v>0</v>
      </c>
      <c r="I858">
        <f>IF(COUNTIFS('United Data'!$A$3:$A$2150,I$1,'United Data'!$C$3:$C$2150,$A858)&gt;0,1,0)</f>
        <v>1</v>
      </c>
      <c r="J858">
        <f>IF(COUNTIFS('United Data'!$A$3:$A$2150,J$1,'United Data'!$C$3:$C$2150,$A858)&gt;0,1,0)</f>
        <v>0</v>
      </c>
      <c r="K858">
        <f>IF(COUNTIFS('United Data'!$A$3:$A$2150,K$1,'United Data'!$C$3:$C$2150,$A858)&gt;0,1,0)</f>
        <v>1</v>
      </c>
      <c r="L858">
        <f>IF(COUNTIFS('United Data'!$A$3:$A$2150,L$1,'United Data'!$C$3:$C$2150,$A858)&gt;0,1,0)</f>
        <v>0</v>
      </c>
      <c r="M858">
        <f>IF(COUNTIFS('United Data'!$A$3:$A$2150,M$1,'United Data'!$C$3:$C$2150,$A858)&gt;0,1,0)</f>
        <v>1</v>
      </c>
      <c r="N858">
        <f>IF(COUNTIFS('United Data'!$A$3:$A$2150,N$1,'United Data'!$C$3:$C$2150,$A858)&gt;0,1,0)</f>
        <v>0</v>
      </c>
      <c r="O858">
        <f>IF(COUNTIFS('United Data'!$A$3:$A$2150,O$1,'United Data'!$C$3:$C$2150,$A858)&gt;0,1,0)</f>
        <v>0</v>
      </c>
      <c r="P858">
        <f>IF(COUNTIFS('United Data'!$A$3:$A$2150,P$1,'United Data'!$C$3:$C$2150,$A858)&gt;0,1,0)</f>
        <v>0</v>
      </c>
      <c r="Q858">
        <f>IF(COUNTIFS('United Data'!$A$3:$A$2150,Q$1,'United Data'!$C$3:$C$2150,$A858)&gt;0,1,0)</f>
        <v>0</v>
      </c>
      <c r="R858">
        <f>IF(COUNTIFS('United Data'!$A$3:$A$2150,R$1,'United Data'!$C$3:$C$2150,$A858)&gt;0,1,0)</f>
        <v>0</v>
      </c>
      <c r="S858">
        <f t="shared" si="26"/>
        <v>3</v>
      </c>
      <c r="T858">
        <f t="shared" si="27"/>
        <v>3</v>
      </c>
    </row>
    <row r="859" spans="1:20" x14ac:dyDescent="0.2">
      <c r="A859" t="s">
        <v>904</v>
      </c>
      <c r="B859">
        <f>IF(COUNTIFS('United Data'!$A$3:$A$2150,B$1,'United Data'!$C$3:$C$2150,$A859)&gt;0,1,0)</f>
        <v>0</v>
      </c>
      <c r="C859">
        <f>IF(COUNTIFS('United Data'!$A$3:$A$2150,C$1,'United Data'!$C$3:$C$2150,$A859)&gt;0,1,0)</f>
        <v>0</v>
      </c>
      <c r="D859">
        <f>IF(COUNTIFS('United Data'!$A$3:$A$2150,D$1,'United Data'!$C$3:$C$2150,$A859)&gt;0,1,0)</f>
        <v>0</v>
      </c>
      <c r="E859">
        <f>IF(COUNTIFS('United Data'!$A$3:$A$2150,E$1,'United Data'!$C$3:$C$2150,$A859)&gt;0,1,0)</f>
        <v>0</v>
      </c>
      <c r="F859">
        <f>IF(COUNTIFS('United Data'!$A$3:$A$2150,F$1,'United Data'!$C$3:$C$2150,$A859)&gt;0,1,0)</f>
        <v>0</v>
      </c>
      <c r="G859">
        <f>IF(COUNTIFS('United Data'!$A$3:$A$2150,G$1,'United Data'!$C$3:$C$2150,$A859)&gt;0,1,0)</f>
        <v>0</v>
      </c>
      <c r="H859">
        <f>IF(COUNTIFS('United Data'!$A$3:$A$2150,H$1,'United Data'!$C$3:$C$2150,$A859)&gt;0,1,0)</f>
        <v>0</v>
      </c>
      <c r="I859">
        <f>IF(COUNTIFS('United Data'!$A$3:$A$2150,I$1,'United Data'!$C$3:$C$2150,$A859)&gt;0,1,0)</f>
        <v>1</v>
      </c>
      <c r="J859">
        <f>IF(COUNTIFS('United Data'!$A$3:$A$2150,J$1,'United Data'!$C$3:$C$2150,$A859)&gt;0,1,0)</f>
        <v>0</v>
      </c>
      <c r="K859">
        <f>IF(COUNTIFS('United Data'!$A$3:$A$2150,K$1,'United Data'!$C$3:$C$2150,$A859)&gt;0,1,0)</f>
        <v>0</v>
      </c>
      <c r="L859">
        <f>IF(COUNTIFS('United Data'!$A$3:$A$2150,L$1,'United Data'!$C$3:$C$2150,$A859)&gt;0,1,0)</f>
        <v>0</v>
      </c>
      <c r="M859">
        <f>IF(COUNTIFS('United Data'!$A$3:$A$2150,M$1,'United Data'!$C$3:$C$2150,$A859)&gt;0,1,0)</f>
        <v>0</v>
      </c>
      <c r="N859">
        <f>IF(COUNTIFS('United Data'!$A$3:$A$2150,N$1,'United Data'!$C$3:$C$2150,$A859)&gt;0,1,0)</f>
        <v>0</v>
      </c>
      <c r="O859">
        <f>IF(COUNTIFS('United Data'!$A$3:$A$2150,O$1,'United Data'!$C$3:$C$2150,$A859)&gt;0,1,0)</f>
        <v>0</v>
      </c>
      <c r="P859">
        <f>IF(COUNTIFS('United Data'!$A$3:$A$2150,P$1,'United Data'!$C$3:$C$2150,$A859)&gt;0,1,0)</f>
        <v>0</v>
      </c>
      <c r="Q859">
        <f>IF(COUNTIFS('United Data'!$A$3:$A$2150,Q$1,'United Data'!$C$3:$C$2150,$A859)&gt;0,1,0)</f>
        <v>0</v>
      </c>
      <c r="R859">
        <f>IF(COUNTIFS('United Data'!$A$3:$A$2150,R$1,'United Data'!$C$3:$C$2150,$A859)&gt;0,1,0)</f>
        <v>0</v>
      </c>
      <c r="S859">
        <f t="shared" si="26"/>
        <v>1</v>
      </c>
      <c r="T859">
        <f t="shared" si="27"/>
        <v>1</v>
      </c>
    </row>
    <row r="860" spans="1:20" x14ac:dyDescent="0.2">
      <c r="A860" t="s">
        <v>905</v>
      </c>
      <c r="B860">
        <f>IF(COUNTIFS('United Data'!$A$3:$A$2150,B$1,'United Data'!$C$3:$C$2150,$A860)&gt;0,1,0)</f>
        <v>0</v>
      </c>
      <c r="C860">
        <f>IF(COUNTIFS('United Data'!$A$3:$A$2150,C$1,'United Data'!$C$3:$C$2150,$A860)&gt;0,1,0)</f>
        <v>0</v>
      </c>
      <c r="D860">
        <f>IF(COUNTIFS('United Data'!$A$3:$A$2150,D$1,'United Data'!$C$3:$C$2150,$A860)&gt;0,1,0)</f>
        <v>0</v>
      </c>
      <c r="E860">
        <f>IF(COUNTIFS('United Data'!$A$3:$A$2150,E$1,'United Data'!$C$3:$C$2150,$A860)&gt;0,1,0)</f>
        <v>0</v>
      </c>
      <c r="F860">
        <f>IF(COUNTIFS('United Data'!$A$3:$A$2150,F$1,'United Data'!$C$3:$C$2150,$A860)&gt;0,1,0)</f>
        <v>0</v>
      </c>
      <c r="G860">
        <f>IF(COUNTIFS('United Data'!$A$3:$A$2150,G$1,'United Data'!$C$3:$C$2150,$A860)&gt;0,1,0)</f>
        <v>0</v>
      </c>
      <c r="H860">
        <f>IF(COUNTIFS('United Data'!$A$3:$A$2150,H$1,'United Data'!$C$3:$C$2150,$A860)&gt;0,1,0)</f>
        <v>0</v>
      </c>
      <c r="I860">
        <f>IF(COUNTIFS('United Data'!$A$3:$A$2150,I$1,'United Data'!$C$3:$C$2150,$A860)&gt;0,1,0)</f>
        <v>1</v>
      </c>
      <c r="J860">
        <f>IF(COUNTIFS('United Data'!$A$3:$A$2150,J$1,'United Data'!$C$3:$C$2150,$A860)&gt;0,1,0)</f>
        <v>0</v>
      </c>
      <c r="K860">
        <f>IF(COUNTIFS('United Data'!$A$3:$A$2150,K$1,'United Data'!$C$3:$C$2150,$A860)&gt;0,1,0)</f>
        <v>0</v>
      </c>
      <c r="L860">
        <f>IF(COUNTIFS('United Data'!$A$3:$A$2150,L$1,'United Data'!$C$3:$C$2150,$A860)&gt;0,1,0)</f>
        <v>0</v>
      </c>
      <c r="M860">
        <f>IF(COUNTIFS('United Data'!$A$3:$A$2150,M$1,'United Data'!$C$3:$C$2150,$A860)&gt;0,1,0)</f>
        <v>0</v>
      </c>
      <c r="N860">
        <f>IF(COUNTIFS('United Data'!$A$3:$A$2150,N$1,'United Data'!$C$3:$C$2150,$A860)&gt;0,1,0)</f>
        <v>0</v>
      </c>
      <c r="O860">
        <f>IF(COUNTIFS('United Data'!$A$3:$A$2150,O$1,'United Data'!$C$3:$C$2150,$A860)&gt;0,1,0)</f>
        <v>0</v>
      </c>
      <c r="P860">
        <f>IF(COUNTIFS('United Data'!$A$3:$A$2150,P$1,'United Data'!$C$3:$C$2150,$A860)&gt;0,1,0)</f>
        <v>0</v>
      </c>
      <c r="Q860">
        <f>IF(COUNTIFS('United Data'!$A$3:$A$2150,Q$1,'United Data'!$C$3:$C$2150,$A860)&gt;0,1,0)</f>
        <v>0</v>
      </c>
      <c r="R860">
        <f>IF(COUNTIFS('United Data'!$A$3:$A$2150,R$1,'United Data'!$C$3:$C$2150,$A860)&gt;0,1,0)</f>
        <v>0</v>
      </c>
      <c r="S860">
        <f t="shared" si="26"/>
        <v>1</v>
      </c>
      <c r="T860">
        <f t="shared" si="27"/>
        <v>1</v>
      </c>
    </row>
    <row r="861" spans="1:20" x14ac:dyDescent="0.2">
      <c r="A861" t="s">
        <v>906</v>
      </c>
      <c r="B861">
        <f>IF(COUNTIFS('United Data'!$A$3:$A$2150,B$1,'United Data'!$C$3:$C$2150,$A861)&gt;0,1,0)</f>
        <v>0</v>
      </c>
      <c r="C861">
        <f>IF(COUNTIFS('United Data'!$A$3:$A$2150,C$1,'United Data'!$C$3:$C$2150,$A861)&gt;0,1,0)</f>
        <v>0</v>
      </c>
      <c r="D861">
        <f>IF(COUNTIFS('United Data'!$A$3:$A$2150,D$1,'United Data'!$C$3:$C$2150,$A861)&gt;0,1,0)</f>
        <v>0</v>
      </c>
      <c r="E861">
        <f>IF(COUNTIFS('United Data'!$A$3:$A$2150,E$1,'United Data'!$C$3:$C$2150,$A861)&gt;0,1,0)</f>
        <v>0</v>
      </c>
      <c r="F861">
        <f>IF(COUNTIFS('United Data'!$A$3:$A$2150,F$1,'United Data'!$C$3:$C$2150,$A861)&gt;0,1,0)</f>
        <v>0</v>
      </c>
      <c r="G861">
        <f>IF(COUNTIFS('United Data'!$A$3:$A$2150,G$1,'United Data'!$C$3:$C$2150,$A861)&gt;0,1,0)</f>
        <v>0</v>
      </c>
      <c r="H861">
        <f>IF(COUNTIFS('United Data'!$A$3:$A$2150,H$1,'United Data'!$C$3:$C$2150,$A861)&gt;0,1,0)</f>
        <v>0</v>
      </c>
      <c r="I861">
        <f>IF(COUNTIFS('United Data'!$A$3:$A$2150,I$1,'United Data'!$C$3:$C$2150,$A861)&gt;0,1,0)</f>
        <v>1</v>
      </c>
      <c r="J861">
        <f>IF(COUNTIFS('United Data'!$A$3:$A$2150,J$1,'United Data'!$C$3:$C$2150,$A861)&gt;0,1,0)</f>
        <v>0</v>
      </c>
      <c r="K861">
        <f>IF(COUNTIFS('United Data'!$A$3:$A$2150,K$1,'United Data'!$C$3:$C$2150,$A861)&gt;0,1,0)</f>
        <v>1</v>
      </c>
      <c r="L861">
        <f>IF(COUNTIFS('United Data'!$A$3:$A$2150,L$1,'United Data'!$C$3:$C$2150,$A861)&gt;0,1,0)</f>
        <v>1</v>
      </c>
      <c r="M861">
        <f>IF(COUNTIFS('United Data'!$A$3:$A$2150,M$1,'United Data'!$C$3:$C$2150,$A861)&gt;0,1,0)</f>
        <v>1</v>
      </c>
      <c r="N861">
        <f>IF(COUNTIFS('United Data'!$A$3:$A$2150,N$1,'United Data'!$C$3:$C$2150,$A861)&gt;0,1,0)</f>
        <v>1</v>
      </c>
      <c r="O861">
        <f>IF(COUNTIFS('United Data'!$A$3:$A$2150,O$1,'United Data'!$C$3:$C$2150,$A861)&gt;0,1,0)</f>
        <v>0</v>
      </c>
      <c r="P861">
        <f>IF(COUNTIFS('United Data'!$A$3:$A$2150,P$1,'United Data'!$C$3:$C$2150,$A861)&gt;0,1,0)</f>
        <v>0</v>
      </c>
      <c r="Q861">
        <f>IF(COUNTIFS('United Data'!$A$3:$A$2150,Q$1,'United Data'!$C$3:$C$2150,$A861)&gt;0,1,0)</f>
        <v>0</v>
      </c>
      <c r="R861">
        <f>IF(COUNTIFS('United Data'!$A$3:$A$2150,R$1,'United Data'!$C$3:$C$2150,$A861)&gt;0,1,0)</f>
        <v>0</v>
      </c>
      <c r="S861">
        <f t="shared" si="26"/>
        <v>5</v>
      </c>
      <c r="T861">
        <f t="shared" si="27"/>
        <v>2</v>
      </c>
    </row>
    <row r="862" spans="1:20" x14ac:dyDescent="0.2">
      <c r="A862" t="s">
        <v>907</v>
      </c>
      <c r="B862">
        <f>IF(COUNTIFS('United Data'!$A$3:$A$2150,B$1,'United Data'!$C$3:$C$2150,$A862)&gt;0,1,0)</f>
        <v>0</v>
      </c>
      <c r="C862">
        <f>IF(COUNTIFS('United Data'!$A$3:$A$2150,C$1,'United Data'!$C$3:$C$2150,$A862)&gt;0,1,0)</f>
        <v>0</v>
      </c>
      <c r="D862">
        <f>IF(COUNTIFS('United Data'!$A$3:$A$2150,D$1,'United Data'!$C$3:$C$2150,$A862)&gt;0,1,0)</f>
        <v>0</v>
      </c>
      <c r="E862">
        <f>IF(COUNTIFS('United Data'!$A$3:$A$2150,E$1,'United Data'!$C$3:$C$2150,$A862)&gt;0,1,0)</f>
        <v>0</v>
      </c>
      <c r="F862">
        <f>IF(COUNTIFS('United Data'!$A$3:$A$2150,F$1,'United Data'!$C$3:$C$2150,$A862)&gt;0,1,0)</f>
        <v>0</v>
      </c>
      <c r="G862">
        <f>IF(COUNTIFS('United Data'!$A$3:$A$2150,G$1,'United Data'!$C$3:$C$2150,$A862)&gt;0,1,0)</f>
        <v>0</v>
      </c>
      <c r="H862">
        <f>IF(COUNTIFS('United Data'!$A$3:$A$2150,H$1,'United Data'!$C$3:$C$2150,$A862)&gt;0,1,0)</f>
        <v>0</v>
      </c>
      <c r="I862">
        <f>IF(COUNTIFS('United Data'!$A$3:$A$2150,I$1,'United Data'!$C$3:$C$2150,$A862)&gt;0,1,0)</f>
        <v>1</v>
      </c>
      <c r="J862">
        <f>IF(COUNTIFS('United Data'!$A$3:$A$2150,J$1,'United Data'!$C$3:$C$2150,$A862)&gt;0,1,0)</f>
        <v>0</v>
      </c>
      <c r="K862">
        <f>IF(COUNTIFS('United Data'!$A$3:$A$2150,K$1,'United Data'!$C$3:$C$2150,$A862)&gt;0,1,0)</f>
        <v>1</v>
      </c>
      <c r="L862">
        <f>IF(COUNTIFS('United Data'!$A$3:$A$2150,L$1,'United Data'!$C$3:$C$2150,$A862)&gt;0,1,0)</f>
        <v>1</v>
      </c>
      <c r="M862">
        <f>IF(COUNTIFS('United Data'!$A$3:$A$2150,M$1,'United Data'!$C$3:$C$2150,$A862)&gt;0,1,0)</f>
        <v>1</v>
      </c>
      <c r="N862">
        <f>IF(COUNTIFS('United Data'!$A$3:$A$2150,N$1,'United Data'!$C$3:$C$2150,$A862)&gt;0,1,0)</f>
        <v>0</v>
      </c>
      <c r="O862">
        <f>IF(COUNTIFS('United Data'!$A$3:$A$2150,O$1,'United Data'!$C$3:$C$2150,$A862)&gt;0,1,0)</f>
        <v>0</v>
      </c>
      <c r="P862">
        <f>IF(COUNTIFS('United Data'!$A$3:$A$2150,P$1,'United Data'!$C$3:$C$2150,$A862)&gt;0,1,0)</f>
        <v>0</v>
      </c>
      <c r="Q862">
        <f>IF(COUNTIFS('United Data'!$A$3:$A$2150,Q$1,'United Data'!$C$3:$C$2150,$A862)&gt;0,1,0)</f>
        <v>0</v>
      </c>
      <c r="R862">
        <f>IF(COUNTIFS('United Data'!$A$3:$A$2150,R$1,'United Data'!$C$3:$C$2150,$A862)&gt;0,1,0)</f>
        <v>0</v>
      </c>
      <c r="S862">
        <f t="shared" si="26"/>
        <v>4</v>
      </c>
      <c r="T862">
        <f t="shared" si="27"/>
        <v>2</v>
      </c>
    </row>
    <row r="863" spans="1:20" x14ac:dyDescent="0.2">
      <c r="A863" t="s">
        <v>908</v>
      </c>
      <c r="B863">
        <f>IF(COUNTIFS('United Data'!$A$3:$A$2150,B$1,'United Data'!$C$3:$C$2150,$A863)&gt;0,1,0)</f>
        <v>0</v>
      </c>
      <c r="C863">
        <f>IF(COUNTIFS('United Data'!$A$3:$A$2150,C$1,'United Data'!$C$3:$C$2150,$A863)&gt;0,1,0)</f>
        <v>0</v>
      </c>
      <c r="D863">
        <f>IF(COUNTIFS('United Data'!$A$3:$A$2150,D$1,'United Data'!$C$3:$C$2150,$A863)&gt;0,1,0)</f>
        <v>0</v>
      </c>
      <c r="E863">
        <f>IF(COUNTIFS('United Data'!$A$3:$A$2150,E$1,'United Data'!$C$3:$C$2150,$A863)&gt;0,1,0)</f>
        <v>0</v>
      </c>
      <c r="F863">
        <f>IF(COUNTIFS('United Data'!$A$3:$A$2150,F$1,'United Data'!$C$3:$C$2150,$A863)&gt;0,1,0)</f>
        <v>0</v>
      </c>
      <c r="G863">
        <f>IF(COUNTIFS('United Data'!$A$3:$A$2150,G$1,'United Data'!$C$3:$C$2150,$A863)&gt;0,1,0)</f>
        <v>0</v>
      </c>
      <c r="H863">
        <f>IF(COUNTIFS('United Data'!$A$3:$A$2150,H$1,'United Data'!$C$3:$C$2150,$A863)&gt;0,1,0)</f>
        <v>0</v>
      </c>
      <c r="I863">
        <f>IF(COUNTIFS('United Data'!$A$3:$A$2150,I$1,'United Data'!$C$3:$C$2150,$A863)&gt;0,1,0)</f>
        <v>1</v>
      </c>
      <c r="J863">
        <f>IF(COUNTIFS('United Data'!$A$3:$A$2150,J$1,'United Data'!$C$3:$C$2150,$A863)&gt;0,1,0)</f>
        <v>0</v>
      </c>
      <c r="K863">
        <f>IF(COUNTIFS('United Data'!$A$3:$A$2150,K$1,'United Data'!$C$3:$C$2150,$A863)&gt;0,1,0)</f>
        <v>0</v>
      </c>
      <c r="L863">
        <f>IF(COUNTIFS('United Data'!$A$3:$A$2150,L$1,'United Data'!$C$3:$C$2150,$A863)&gt;0,1,0)</f>
        <v>0</v>
      </c>
      <c r="M863">
        <f>IF(COUNTIFS('United Data'!$A$3:$A$2150,M$1,'United Data'!$C$3:$C$2150,$A863)&gt;0,1,0)</f>
        <v>0</v>
      </c>
      <c r="N863">
        <f>IF(COUNTIFS('United Data'!$A$3:$A$2150,N$1,'United Data'!$C$3:$C$2150,$A863)&gt;0,1,0)</f>
        <v>0</v>
      </c>
      <c r="O863">
        <f>IF(COUNTIFS('United Data'!$A$3:$A$2150,O$1,'United Data'!$C$3:$C$2150,$A863)&gt;0,1,0)</f>
        <v>0</v>
      </c>
      <c r="P863">
        <f>IF(COUNTIFS('United Data'!$A$3:$A$2150,P$1,'United Data'!$C$3:$C$2150,$A863)&gt;0,1,0)</f>
        <v>0</v>
      </c>
      <c r="Q863">
        <f>IF(COUNTIFS('United Data'!$A$3:$A$2150,Q$1,'United Data'!$C$3:$C$2150,$A863)&gt;0,1,0)</f>
        <v>0</v>
      </c>
      <c r="R863">
        <f>IF(COUNTIFS('United Data'!$A$3:$A$2150,R$1,'United Data'!$C$3:$C$2150,$A863)&gt;0,1,0)</f>
        <v>0</v>
      </c>
      <c r="S863">
        <f t="shared" si="26"/>
        <v>1</v>
      </c>
      <c r="T863">
        <f t="shared" si="27"/>
        <v>1</v>
      </c>
    </row>
    <row r="864" spans="1:20" x14ac:dyDescent="0.2">
      <c r="A864" t="s">
        <v>909</v>
      </c>
      <c r="B864">
        <f>IF(COUNTIFS('United Data'!$A$3:$A$2150,B$1,'United Data'!$C$3:$C$2150,$A864)&gt;0,1,0)</f>
        <v>0</v>
      </c>
      <c r="C864">
        <f>IF(COUNTIFS('United Data'!$A$3:$A$2150,C$1,'United Data'!$C$3:$C$2150,$A864)&gt;0,1,0)</f>
        <v>0</v>
      </c>
      <c r="D864">
        <f>IF(COUNTIFS('United Data'!$A$3:$A$2150,D$1,'United Data'!$C$3:$C$2150,$A864)&gt;0,1,0)</f>
        <v>0</v>
      </c>
      <c r="E864">
        <f>IF(COUNTIFS('United Data'!$A$3:$A$2150,E$1,'United Data'!$C$3:$C$2150,$A864)&gt;0,1,0)</f>
        <v>0</v>
      </c>
      <c r="F864">
        <f>IF(COUNTIFS('United Data'!$A$3:$A$2150,F$1,'United Data'!$C$3:$C$2150,$A864)&gt;0,1,0)</f>
        <v>0</v>
      </c>
      <c r="G864">
        <f>IF(COUNTIFS('United Data'!$A$3:$A$2150,G$1,'United Data'!$C$3:$C$2150,$A864)&gt;0,1,0)</f>
        <v>0</v>
      </c>
      <c r="H864">
        <f>IF(COUNTIFS('United Data'!$A$3:$A$2150,H$1,'United Data'!$C$3:$C$2150,$A864)&gt;0,1,0)</f>
        <v>0</v>
      </c>
      <c r="I864">
        <f>IF(COUNTIFS('United Data'!$A$3:$A$2150,I$1,'United Data'!$C$3:$C$2150,$A864)&gt;0,1,0)</f>
        <v>1</v>
      </c>
      <c r="J864">
        <f>IF(COUNTIFS('United Data'!$A$3:$A$2150,J$1,'United Data'!$C$3:$C$2150,$A864)&gt;0,1,0)</f>
        <v>0</v>
      </c>
      <c r="K864">
        <f>IF(COUNTIFS('United Data'!$A$3:$A$2150,K$1,'United Data'!$C$3:$C$2150,$A864)&gt;0,1,0)</f>
        <v>0</v>
      </c>
      <c r="L864">
        <f>IF(COUNTIFS('United Data'!$A$3:$A$2150,L$1,'United Data'!$C$3:$C$2150,$A864)&gt;0,1,0)</f>
        <v>0</v>
      </c>
      <c r="M864">
        <f>IF(COUNTIFS('United Data'!$A$3:$A$2150,M$1,'United Data'!$C$3:$C$2150,$A864)&gt;0,1,0)</f>
        <v>0</v>
      </c>
      <c r="N864">
        <f>IF(COUNTIFS('United Data'!$A$3:$A$2150,N$1,'United Data'!$C$3:$C$2150,$A864)&gt;0,1,0)</f>
        <v>0</v>
      </c>
      <c r="O864">
        <f>IF(COUNTIFS('United Data'!$A$3:$A$2150,O$1,'United Data'!$C$3:$C$2150,$A864)&gt;0,1,0)</f>
        <v>0</v>
      </c>
      <c r="P864">
        <f>IF(COUNTIFS('United Data'!$A$3:$A$2150,P$1,'United Data'!$C$3:$C$2150,$A864)&gt;0,1,0)</f>
        <v>0</v>
      </c>
      <c r="Q864">
        <f>IF(COUNTIFS('United Data'!$A$3:$A$2150,Q$1,'United Data'!$C$3:$C$2150,$A864)&gt;0,1,0)</f>
        <v>0</v>
      </c>
      <c r="R864">
        <f>IF(COUNTIFS('United Data'!$A$3:$A$2150,R$1,'United Data'!$C$3:$C$2150,$A864)&gt;0,1,0)</f>
        <v>0</v>
      </c>
      <c r="S864">
        <f t="shared" si="26"/>
        <v>1</v>
      </c>
      <c r="T864">
        <f t="shared" si="27"/>
        <v>1</v>
      </c>
    </row>
    <row r="865" spans="1:20" x14ac:dyDescent="0.2">
      <c r="A865" t="s">
        <v>910</v>
      </c>
      <c r="B865">
        <f>IF(COUNTIFS('United Data'!$A$3:$A$2150,B$1,'United Data'!$C$3:$C$2150,$A865)&gt;0,1,0)</f>
        <v>0</v>
      </c>
      <c r="C865">
        <f>IF(COUNTIFS('United Data'!$A$3:$A$2150,C$1,'United Data'!$C$3:$C$2150,$A865)&gt;0,1,0)</f>
        <v>0</v>
      </c>
      <c r="D865">
        <f>IF(COUNTIFS('United Data'!$A$3:$A$2150,D$1,'United Data'!$C$3:$C$2150,$A865)&gt;0,1,0)</f>
        <v>0</v>
      </c>
      <c r="E865">
        <f>IF(COUNTIFS('United Data'!$A$3:$A$2150,E$1,'United Data'!$C$3:$C$2150,$A865)&gt;0,1,0)</f>
        <v>0</v>
      </c>
      <c r="F865">
        <f>IF(COUNTIFS('United Data'!$A$3:$A$2150,F$1,'United Data'!$C$3:$C$2150,$A865)&gt;0,1,0)</f>
        <v>0</v>
      </c>
      <c r="G865">
        <f>IF(COUNTIFS('United Data'!$A$3:$A$2150,G$1,'United Data'!$C$3:$C$2150,$A865)&gt;0,1,0)</f>
        <v>0</v>
      </c>
      <c r="H865">
        <f>IF(COUNTIFS('United Data'!$A$3:$A$2150,H$1,'United Data'!$C$3:$C$2150,$A865)&gt;0,1,0)</f>
        <v>0</v>
      </c>
      <c r="I865">
        <f>IF(COUNTIFS('United Data'!$A$3:$A$2150,I$1,'United Data'!$C$3:$C$2150,$A865)&gt;0,1,0)</f>
        <v>0</v>
      </c>
      <c r="J865">
        <f>IF(COUNTIFS('United Data'!$A$3:$A$2150,J$1,'United Data'!$C$3:$C$2150,$A865)&gt;0,1,0)</f>
        <v>1</v>
      </c>
      <c r="K865">
        <f>IF(COUNTIFS('United Data'!$A$3:$A$2150,K$1,'United Data'!$C$3:$C$2150,$A865)&gt;0,1,0)</f>
        <v>0</v>
      </c>
      <c r="L865">
        <f>IF(COUNTIFS('United Data'!$A$3:$A$2150,L$1,'United Data'!$C$3:$C$2150,$A865)&gt;0,1,0)</f>
        <v>0</v>
      </c>
      <c r="M865">
        <f>IF(COUNTIFS('United Data'!$A$3:$A$2150,M$1,'United Data'!$C$3:$C$2150,$A865)&gt;0,1,0)</f>
        <v>0</v>
      </c>
      <c r="N865">
        <f>IF(COUNTIFS('United Data'!$A$3:$A$2150,N$1,'United Data'!$C$3:$C$2150,$A865)&gt;0,1,0)</f>
        <v>0</v>
      </c>
      <c r="O865">
        <f>IF(COUNTIFS('United Data'!$A$3:$A$2150,O$1,'United Data'!$C$3:$C$2150,$A865)&gt;0,1,0)</f>
        <v>0</v>
      </c>
      <c r="P865">
        <f>IF(COUNTIFS('United Data'!$A$3:$A$2150,P$1,'United Data'!$C$3:$C$2150,$A865)&gt;0,1,0)</f>
        <v>0</v>
      </c>
      <c r="Q865">
        <f>IF(COUNTIFS('United Data'!$A$3:$A$2150,Q$1,'United Data'!$C$3:$C$2150,$A865)&gt;0,1,0)</f>
        <v>0</v>
      </c>
      <c r="R865">
        <f>IF(COUNTIFS('United Data'!$A$3:$A$2150,R$1,'United Data'!$C$3:$C$2150,$A865)&gt;0,1,0)</f>
        <v>0</v>
      </c>
      <c r="S865">
        <f t="shared" si="26"/>
        <v>1</v>
      </c>
      <c r="T865">
        <f t="shared" si="27"/>
        <v>1</v>
      </c>
    </row>
    <row r="866" spans="1:20" x14ac:dyDescent="0.2">
      <c r="A866" t="s">
        <v>911</v>
      </c>
      <c r="B866">
        <f>IF(COUNTIFS('United Data'!$A$3:$A$2150,B$1,'United Data'!$C$3:$C$2150,$A866)&gt;0,1,0)</f>
        <v>0</v>
      </c>
      <c r="C866">
        <f>IF(COUNTIFS('United Data'!$A$3:$A$2150,C$1,'United Data'!$C$3:$C$2150,$A866)&gt;0,1,0)</f>
        <v>0</v>
      </c>
      <c r="D866">
        <f>IF(COUNTIFS('United Data'!$A$3:$A$2150,D$1,'United Data'!$C$3:$C$2150,$A866)&gt;0,1,0)</f>
        <v>0</v>
      </c>
      <c r="E866">
        <f>IF(COUNTIFS('United Data'!$A$3:$A$2150,E$1,'United Data'!$C$3:$C$2150,$A866)&gt;0,1,0)</f>
        <v>0</v>
      </c>
      <c r="F866">
        <f>IF(COUNTIFS('United Data'!$A$3:$A$2150,F$1,'United Data'!$C$3:$C$2150,$A866)&gt;0,1,0)</f>
        <v>0</v>
      </c>
      <c r="G866">
        <f>IF(COUNTIFS('United Data'!$A$3:$A$2150,G$1,'United Data'!$C$3:$C$2150,$A866)&gt;0,1,0)</f>
        <v>0</v>
      </c>
      <c r="H866">
        <f>IF(COUNTIFS('United Data'!$A$3:$A$2150,H$1,'United Data'!$C$3:$C$2150,$A866)&gt;0,1,0)</f>
        <v>0</v>
      </c>
      <c r="I866">
        <f>IF(COUNTIFS('United Data'!$A$3:$A$2150,I$1,'United Data'!$C$3:$C$2150,$A866)&gt;0,1,0)</f>
        <v>0</v>
      </c>
      <c r="J866">
        <f>IF(COUNTIFS('United Data'!$A$3:$A$2150,J$1,'United Data'!$C$3:$C$2150,$A866)&gt;0,1,0)</f>
        <v>1</v>
      </c>
      <c r="K866">
        <f>IF(COUNTIFS('United Data'!$A$3:$A$2150,K$1,'United Data'!$C$3:$C$2150,$A866)&gt;0,1,0)</f>
        <v>0</v>
      </c>
      <c r="L866">
        <f>IF(COUNTIFS('United Data'!$A$3:$A$2150,L$1,'United Data'!$C$3:$C$2150,$A866)&gt;0,1,0)</f>
        <v>0</v>
      </c>
      <c r="M866">
        <f>IF(COUNTIFS('United Data'!$A$3:$A$2150,M$1,'United Data'!$C$3:$C$2150,$A866)&gt;0,1,0)</f>
        <v>0</v>
      </c>
      <c r="N866">
        <f>IF(COUNTIFS('United Data'!$A$3:$A$2150,N$1,'United Data'!$C$3:$C$2150,$A866)&gt;0,1,0)</f>
        <v>0</v>
      </c>
      <c r="O866">
        <f>IF(COUNTIFS('United Data'!$A$3:$A$2150,O$1,'United Data'!$C$3:$C$2150,$A866)&gt;0,1,0)</f>
        <v>0</v>
      </c>
      <c r="P866">
        <f>IF(COUNTIFS('United Data'!$A$3:$A$2150,P$1,'United Data'!$C$3:$C$2150,$A866)&gt;0,1,0)</f>
        <v>0</v>
      </c>
      <c r="Q866">
        <f>IF(COUNTIFS('United Data'!$A$3:$A$2150,Q$1,'United Data'!$C$3:$C$2150,$A866)&gt;0,1,0)</f>
        <v>0</v>
      </c>
      <c r="R866">
        <f>IF(COUNTIFS('United Data'!$A$3:$A$2150,R$1,'United Data'!$C$3:$C$2150,$A866)&gt;0,1,0)</f>
        <v>0</v>
      </c>
      <c r="S866">
        <f t="shared" si="26"/>
        <v>1</v>
      </c>
      <c r="T866">
        <f t="shared" si="27"/>
        <v>1</v>
      </c>
    </row>
    <row r="867" spans="1:20" x14ac:dyDescent="0.2">
      <c r="A867" t="s">
        <v>912</v>
      </c>
      <c r="B867">
        <f>IF(COUNTIFS('United Data'!$A$3:$A$2150,B$1,'United Data'!$C$3:$C$2150,$A867)&gt;0,1,0)</f>
        <v>0</v>
      </c>
      <c r="C867">
        <f>IF(COUNTIFS('United Data'!$A$3:$A$2150,C$1,'United Data'!$C$3:$C$2150,$A867)&gt;0,1,0)</f>
        <v>0</v>
      </c>
      <c r="D867">
        <f>IF(COUNTIFS('United Data'!$A$3:$A$2150,D$1,'United Data'!$C$3:$C$2150,$A867)&gt;0,1,0)</f>
        <v>0</v>
      </c>
      <c r="E867">
        <f>IF(COUNTIFS('United Data'!$A$3:$A$2150,E$1,'United Data'!$C$3:$C$2150,$A867)&gt;0,1,0)</f>
        <v>0</v>
      </c>
      <c r="F867">
        <f>IF(COUNTIFS('United Data'!$A$3:$A$2150,F$1,'United Data'!$C$3:$C$2150,$A867)&gt;0,1,0)</f>
        <v>0</v>
      </c>
      <c r="G867">
        <f>IF(COUNTIFS('United Data'!$A$3:$A$2150,G$1,'United Data'!$C$3:$C$2150,$A867)&gt;0,1,0)</f>
        <v>0</v>
      </c>
      <c r="H867">
        <f>IF(COUNTIFS('United Data'!$A$3:$A$2150,H$1,'United Data'!$C$3:$C$2150,$A867)&gt;0,1,0)</f>
        <v>0</v>
      </c>
      <c r="I867">
        <f>IF(COUNTIFS('United Data'!$A$3:$A$2150,I$1,'United Data'!$C$3:$C$2150,$A867)&gt;0,1,0)</f>
        <v>0</v>
      </c>
      <c r="J867">
        <f>IF(COUNTIFS('United Data'!$A$3:$A$2150,J$1,'United Data'!$C$3:$C$2150,$A867)&gt;0,1,0)</f>
        <v>1</v>
      </c>
      <c r="K867">
        <f>IF(COUNTIFS('United Data'!$A$3:$A$2150,K$1,'United Data'!$C$3:$C$2150,$A867)&gt;0,1,0)</f>
        <v>0</v>
      </c>
      <c r="L867">
        <f>IF(COUNTIFS('United Data'!$A$3:$A$2150,L$1,'United Data'!$C$3:$C$2150,$A867)&gt;0,1,0)</f>
        <v>0</v>
      </c>
      <c r="M867">
        <f>IF(COUNTIFS('United Data'!$A$3:$A$2150,M$1,'United Data'!$C$3:$C$2150,$A867)&gt;0,1,0)</f>
        <v>0</v>
      </c>
      <c r="N867">
        <f>IF(COUNTIFS('United Data'!$A$3:$A$2150,N$1,'United Data'!$C$3:$C$2150,$A867)&gt;0,1,0)</f>
        <v>0</v>
      </c>
      <c r="O867">
        <f>IF(COUNTIFS('United Data'!$A$3:$A$2150,O$1,'United Data'!$C$3:$C$2150,$A867)&gt;0,1,0)</f>
        <v>0</v>
      </c>
      <c r="P867">
        <f>IF(COUNTIFS('United Data'!$A$3:$A$2150,P$1,'United Data'!$C$3:$C$2150,$A867)&gt;0,1,0)</f>
        <v>0</v>
      </c>
      <c r="Q867">
        <f>IF(COUNTIFS('United Data'!$A$3:$A$2150,Q$1,'United Data'!$C$3:$C$2150,$A867)&gt;0,1,0)</f>
        <v>0</v>
      </c>
      <c r="R867">
        <f>IF(COUNTIFS('United Data'!$A$3:$A$2150,R$1,'United Data'!$C$3:$C$2150,$A867)&gt;0,1,0)</f>
        <v>0</v>
      </c>
      <c r="S867">
        <f t="shared" si="26"/>
        <v>1</v>
      </c>
      <c r="T867">
        <f t="shared" si="27"/>
        <v>1</v>
      </c>
    </row>
    <row r="868" spans="1:20" x14ac:dyDescent="0.2">
      <c r="A868" t="s">
        <v>913</v>
      </c>
      <c r="B868">
        <f>IF(COUNTIFS('United Data'!$A$3:$A$2150,B$1,'United Data'!$C$3:$C$2150,$A868)&gt;0,1,0)</f>
        <v>0</v>
      </c>
      <c r="C868">
        <f>IF(COUNTIFS('United Data'!$A$3:$A$2150,C$1,'United Data'!$C$3:$C$2150,$A868)&gt;0,1,0)</f>
        <v>0</v>
      </c>
      <c r="D868">
        <f>IF(COUNTIFS('United Data'!$A$3:$A$2150,D$1,'United Data'!$C$3:$C$2150,$A868)&gt;0,1,0)</f>
        <v>0</v>
      </c>
      <c r="E868">
        <f>IF(COUNTIFS('United Data'!$A$3:$A$2150,E$1,'United Data'!$C$3:$C$2150,$A868)&gt;0,1,0)</f>
        <v>0</v>
      </c>
      <c r="F868">
        <f>IF(COUNTIFS('United Data'!$A$3:$A$2150,F$1,'United Data'!$C$3:$C$2150,$A868)&gt;0,1,0)</f>
        <v>0</v>
      </c>
      <c r="G868">
        <f>IF(COUNTIFS('United Data'!$A$3:$A$2150,G$1,'United Data'!$C$3:$C$2150,$A868)&gt;0,1,0)</f>
        <v>0</v>
      </c>
      <c r="H868">
        <f>IF(COUNTIFS('United Data'!$A$3:$A$2150,H$1,'United Data'!$C$3:$C$2150,$A868)&gt;0,1,0)</f>
        <v>0</v>
      </c>
      <c r="I868">
        <f>IF(COUNTIFS('United Data'!$A$3:$A$2150,I$1,'United Data'!$C$3:$C$2150,$A868)&gt;0,1,0)</f>
        <v>0</v>
      </c>
      <c r="J868">
        <f>IF(COUNTIFS('United Data'!$A$3:$A$2150,J$1,'United Data'!$C$3:$C$2150,$A868)&gt;0,1,0)</f>
        <v>1</v>
      </c>
      <c r="K868">
        <f>IF(COUNTIFS('United Data'!$A$3:$A$2150,K$1,'United Data'!$C$3:$C$2150,$A868)&gt;0,1,0)</f>
        <v>0</v>
      </c>
      <c r="L868">
        <f>IF(COUNTIFS('United Data'!$A$3:$A$2150,L$1,'United Data'!$C$3:$C$2150,$A868)&gt;0,1,0)</f>
        <v>0</v>
      </c>
      <c r="M868">
        <f>IF(COUNTIFS('United Data'!$A$3:$A$2150,M$1,'United Data'!$C$3:$C$2150,$A868)&gt;0,1,0)</f>
        <v>0</v>
      </c>
      <c r="N868">
        <f>IF(COUNTIFS('United Data'!$A$3:$A$2150,N$1,'United Data'!$C$3:$C$2150,$A868)&gt;0,1,0)</f>
        <v>0</v>
      </c>
      <c r="O868">
        <f>IF(COUNTIFS('United Data'!$A$3:$A$2150,O$1,'United Data'!$C$3:$C$2150,$A868)&gt;0,1,0)</f>
        <v>0</v>
      </c>
      <c r="P868">
        <f>IF(COUNTIFS('United Data'!$A$3:$A$2150,P$1,'United Data'!$C$3:$C$2150,$A868)&gt;0,1,0)</f>
        <v>0</v>
      </c>
      <c r="Q868">
        <f>IF(COUNTIFS('United Data'!$A$3:$A$2150,Q$1,'United Data'!$C$3:$C$2150,$A868)&gt;0,1,0)</f>
        <v>0</v>
      </c>
      <c r="R868">
        <f>IF(COUNTIFS('United Data'!$A$3:$A$2150,R$1,'United Data'!$C$3:$C$2150,$A868)&gt;0,1,0)</f>
        <v>0</v>
      </c>
      <c r="S868">
        <f t="shared" si="26"/>
        <v>1</v>
      </c>
      <c r="T868">
        <f t="shared" si="27"/>
        <v>1</v>
      </c>
    </row>
    <row r="869" spans="1:20" x14ac:dyDescent="0.2">
      <c r="A869" t="s">
        <v>914</v>
      </c>
      <c r="B869">
        <f>IF(COUNTIFS('United Data'!$A$3:$A$2150,B$1,'United Data'!$C$3:$C$2150,$A869)&gt;0,1,0)</f>
        <v>0</v>
      </c>
      <c r="C869">
        <f>IF(COUNTIFS('United Data'!$A$3:$A$2150,C$1,'United Data'!$C$3:$C$2150,$A869)&gt;0,1,0)</f>
        <v>0</v>
      </c>
      <c r="D869">
        <f>IF(COUNTIFS('United Data'!$A$3:$A$2150,D$1,'United Data'!$C$3:$C$2150,$A869)&gt;0,1,0)</f>
        <v>0</v>
      </c>
      <c r="E869">
        <f>IF(COUNTIFS('United Data'!$A$3:$A$2150,E$1,'United Data'!$C$3:$C$2150,$A869)&gt;0,1,0)</f>
        <v>0</v>
      </c>
      <c r="F869">
        <f>IF(COUNTIFS('United Data'!$A$3:$A$2150,F$1,'United Data'!$C$3:$C$2150,$A869)&gt;0,1,0)</f>
        <v>0</v>
      </c>
      <c r="G869">
        <f>IF(COUNTIFS('United Data'!$A$3:$A$2150,G$1,'United Data'!$C$3:$C$2150,$A869)&gt;0,1,0)</f>
        <v>0</v>
      </c>
      <c r="H869">
        <f>IF(COUNTIFS('United Data'!$A$3:$A$2150,H$1,'United Data'!$C$3:$C$2150,$A869)&gt;0,1,0)</f>
        <v>0</v>
      </c>
      <c r="I869">
        <f>IF(COUNTIFS('United Data'!$A$3:$A$2150,I$1,'United Data'!$C$3:$C$2150,$A869)&gt;0,1,0)</f>
        <v>0</v>
      </c>
      <c r="J869">
        <f>IF(COUNTIFS('United Data'!$A$3:$A$2150,J$1,'United Data'!$C$3:$C$2150,$A869)&gt;0,1,0)</f>
        <v>1</v>
      </c>
      <c r="K869">
        <f>IF(COUNTIFS('United Data'!$A$3:$A$2150,K$1,'United Data'!$C$3:$C$2150,$A869)&gt;0,1,0)</f>
        <v>0</v>
      </c>
      <c r="L869">
        <f>IF(COUNTIFS('United Data'!$A$3:$A$2150,L$1,'United Data'!$C$3:$C$2150,$A869)&gt;0,1,0)</f>
        <v>0</v>
      </c>
      <c r="M869">
        <f>IF(COUNTIFS('United Data'!$A$3:$A$2150,M$1,'United Data'!$C$3:$C$2150,$A869)&gt;0,1,0)</f>
        <v>0</v>
      </c>
      <c r="N869">
        <f>IF(COUNTIFS('United Data'!$A$3:$A$2150,N$1,'United Data'!$C$3:$C$2150,$A869)&gt;0,1,0)</f>
        <v>0</v>
      </c>
      <c r="O869">
        <f>IF(COUNTIFS('United Data'!$A$3:$A$2150,O$1,'United Data'!$C$3:$C$2150,$A869)&gt;0,1,0)</f>
        <v>0</v>
      </c>
      <c r="P869">
        <f>IF(COUNTIFS('United Data'!$A$3:$A$2150,P$1,'United Data'!$C$3:$C$2150,$A869)&gt;0,1,0)</f>
        <v>0</v>
      </c>
      <c r="Q869">
        <f>IF(COUNTIFS('United Data'!$A$3:$A$2150,Q$1,'United Data'!$C$3:$C$2150,$A869)&gt;0,1,0)</f>
        <v>0</v>
      </c>
      <c r="R869">
        <f>IF(COUNTIFS('United Data'!$A$3:$A$2150,R$1,'United Data'!$C$3:$C$2150,$A869)&gt;0,1,0)</f>
        <v>0</v>
      </c>
      <c r="S869">
        <f t="shared" si="26"/>
        <v>1</v>
      </c>
      <c r="T869">
        <f t="shared" si="27"/>
        <v>1</v>
      </c>
    </row>
    <row r="870" spans="1:20" x14ac:dyDescent="0.2">
      <c r="A870" t="s">
        <v>915</v>
      </c>
      <c r="B870">
        <f>IF(COUNTIFS('United Data'!$A$3:$A$2150,B$1,'United Data'!$C$3:$C$2150,$A870)&gt;0,1,0)</f>
        <v>0</v>
      </c>
      <c r="C870">
        <f>IF(COUNTIFS('United Data'!$A$3:$A$2150,C$1,'United Data'!$C$3:$C$2150,$A870)&gt;0,1,0)</f>
        <v>0</v>
      </c>
      <c r="D870">
        <f>IF(COUNTIFS('United Data'!$A$3:$A$2150,D$1,'United Data'!$C$3:$C$2150,$A870)&gt;0,1,0)</f>
        <v>0</v>
      </c>
      <c r="E870">
        <f>IF(COUNTIFS('United Data'!$A$3:$A$2150,E$1,'United Data'!$C$3:$C$2150,$A870)&gt;0,1,0)</f>
        <v>0</v>
      </c>
      <c r="F870">
        <f>IF(COUNTIFS('United Data'!$A$3:$A$2150,F$1,'United Data'!$C$3:$C$2150,$A870)&gt;0,1,0)</f>
        <v>0</v>
      </c>
      <c r="G870">
        <f>IF(COUNTIFS('United Data'!$A$3:$A$2150,G$1,'United Data'!$C$3:$C$2150,$A870)&gt;0,1,0)</f>
        <v>0</v>
      </c>
      <c r="H870">
        <f>IF(COUNTIFS('United Data'!$A$3:$A$2150,H$1,'United Data'!$C$3:$C$2150,$A870)&gt;0,1,0)</f>
        <v>0</v>
      </c>
      <c r="I870">
        <f>IF(COUNTIFS('United Data'!$A$3:$A$2150,I$1,'United Data'!$C$3:$C$2150,$A870)&gt;0,1,0)</f>
        <v>0</v>
      </c>
      <c r="J870">
        <f>IF(COUNTIFS('United Data'!$A$3:$A$2150,J$1,'United Data'!$C$3:$C$2150,$A870)&gt;0,1,0)</f>
        <v>1</v>
      </c>
      <c r="K870">
        <f>IF(COUNTIFS('United Data'!$A$3:$A$2150,K$1,'United Data'!$C$3:$C$2150,$A870)&gt;0,1,0)</f>
        <v>0</v>
      </c>
      <c r="L870">
        <f>IF(COUNTIFS('United Data'!$A$3:$A$2150,L$1,'United Data'!$C$3:$C$2150,$A870)&gt;0,1,0)</f>
        <v>0</v>
      </c>
      <c r="M870">
        <f>IF(COUNTIFS('United Data'!$A$3:$A$2150,M$1,'United Data'!$C$3:$C$2150,$A870)&gt;0,1,0)</f>
        <v>0</v>
      </c>
      <c r="N870">
        <f>IF(COUNTIFS('United Data'!$A$3:$A$2150,N$1,'United Data'!$C$3:$C$2150,$A870)&gt;0,1,0)</f>
        <v>0</v>
      </c>
      <c r="O870">
        <f>IF(COUNTIFS('United Data'!$A$3:$A$2150,O$1,'United Data'!$C$3:$C$2150,$A870)&gt;0,1,0)</f>
        <v>0</v>
      </c>
      <c r="P870">
        <f>IF(COUNTIFS('United Data'!$A$3:$A$2150,P$1,'United Data'!$C$3:$C$2150,$A870)&gt;0,1,0)</f>
        <v>0</v>
      </c>
      <c r="Q870">
        <f>IF(COUNTIFS('United Data'!$A$3:$A$2150,Q$1,'United Data'!$C$3:$C$2150,$A870)&gt;0,1,0)</f>
        <v>0</v>
      </c>
      <c r="R870">
        <f>IF(COUNTIFS('United Data'!$A$3:$A$2150,R$1,'United Data'!$C$3:$C$2150,$A870)&gt;0,1,0)</f>
        <v>0</v>
      </c>
      <c r="S870">
        <f t="shared" si="26"/>
        <v>1</v>
      </c>
      <c r="T870">
        <f t="shared" si="27"/>
        <v>1</v>
      </c>
    </row>
    <row r="871" spans="1:20" x14ac:dyDescent="0.2">
      <c r="A871" t="s">
        <v>916</v>
      </c>
      <c r="B871">
        <f>IF(COUNTIFS('United Data'!$A$3:$A$2150,B$1,'United Data'!$C$3:$C$2150,$A871)&gt;0,1,0)</f>
        <v>0</v>
      </c>
      <c r="C871">
        <f>IF(COUNTIFS('United Data'!$A$3:$A$2150,C$1,'United Data'!$C$3:$C$2150,$A871)&gt;0,1,0)</f>
        <v>0</v>
      </c>
      <c r="D871">
        <f>IF(COUNTIFS('United Data'!$A$3:$A$2150,D$1,'United Data'!$C$3:$C$2150,$A871)&gt;0,1,0)</f>
        <v>0</v>
      </c>
      <c r="E871">
        <f>IF(COUNTIFS('United Data'!$A$3:$A$2150,E$1,'United Data'!$C$3:$C$2150,$A871)&gt;0,1,0)</f>
        <v>0</v>
      </c>
      <c r="F871">
        <f>IF(COUNTIFS('United Data'!$A$3:$A$2150,F$1,'United Data'!$C$3:$C$2150,$A871)&gt;0,1,0)</f>
        <v>0</v>
      </c>
      <c r="G871">
        <f>IF(COUNTIFS('United Data'!$A$3:$A$2150,G$1,'United Data'!$C$3:$C$2150,$A871)&gt;0,1,0)</f>
        <v>0</v>
      </c>
      <c r="H871">
        <f>IF(COUNTIFS('United Data'!$A$3:$A$2150,H$1,'United Data'!$C$3:$C$2150,$A871)&gt;0,1,0)</f>
        <v>0</v>
      </c>
      <c r="I871">
        <f>IF(COUNTIFS('United Data'!$A$3:$A$2150,I$1,'United Data'!$C$3:$C$2150,$A871)&gt;0,1,0)</f>
        <v>0</v>
      </c>
      <c r="J871">
        <f>IF(COUNTIFS('United Data'!$A$3:$A$2150,J$1,'United Data'!$C$3:$C$2150,$A871)&gt;0,1,0)</f>
        <v>1</v>
      </c>
      <c r="K871">
        <f>IF(COUNTIFS('United Data'!$A$3:$A$2150,K$1,'United Data'!$C$3:$C$2150,$A871)&gt;0,1,0)</f>
        <v>0</v>
      </c>
      <c r="L871">
        <f>IF(COUNTIFS('United Data'!$A$3:$A$2150,L$1,'United Data'!$C$3:$C$2150,$A871)&gt;0,1,0)</f>
        <v>0</v>
      </c>
      <c r="M871">
        <f>IF(COUNTIFS('United Data'!$A$3:$A$2150,M$1,'United Data'!$C$3:$C$2150,$A871)&gt;0,1,0)</f>
        <v>0</v>
      </c>
      <c r="N871">
        <f>IF(COUNTIFS('United Data'!$A$3:$A$2150,N$1,'United Data'!$C$3:$C$2150,$A871)&gt;0,1,0)</f>
        <v>0</v>
      </c>
      <c r="O871">
        <f>IF(COUNTIFS('United Data'!$A$3:$A$2150,O$1,'United Data'!$C$3:$C$2150,$A871)&gt;0,1,0)</f>
        <v>0</v>
      </c>
      <c r="P871">
        <f>IF(COUNTIFS('United Data'!$A$3:$A$2150,P$1,'United Data'!$C$3:$C$2150,$A871)&gt;0,1,0)</f>
        <v>0</v>
      </c>
      <c r="Q871">
        <f>IF(COUNTIFS('United Data'!$A$3:$A$2150,Q$1,'United Data'!$C$3:$C$2150,$A871)&gt;0,1,0)</f>
        <v>0</v>
      </c>
      <c r="R871">
        <f>IF(COUNTIFS('United Data'!$A$3:$A$2150,R$1,'United Data'!$C$3:$C$2150,$A871)&gt;0,1,0)</f>
        <v>0</v>
      </c>
      <c r="S871">
        <f t="shared" si="26"/>
        <v>1</v>
      </c>
      <c r="T871">
        <f t="shared" si="27"/>
        <v>1</v>
      </c>
    </row>
    <row r="872" spans="1:20" x14ac:dyDescent="0.2">
      <c r="A872" t="s">
        <v>917</v>
      </c>
      <c r="B872">
        <f>IF(COUNTIFS('United Data'!$A$3:$A$2150,B$1,'United Data'!$C$3:$C$2150,$A872)&gt;0,1,0)</f>
        <v>0</v>
      </c>
      <c r="C872">
        <f>IF(COUNTIFS('United Data'!$A$3:$A$2150,C$1,'United Data'!$C$3:$C$2150,$A872)&gt;0,1,0)</f>
        <v>0</v>
      </c>
      <c r="D872">
        <f>IF(COUNTIFS('United Data'!$A$3:$A$2150,D$1,'United Data'!$C$3:$C$2150,$A872)&gt;0,1,0)</f>
        <v>0</v>
      </c>
      <c r="E872">
        <f>IF(COUNTIFS('United Data'!$A$3:$A$2150,E$1,'United Data'!$C$3:$C$2150,$A872)&gt;0,1,0)</f>
        <v>0</v>
      </c>
      <c r="F872">
        <f>IF(COUNTIFS('United Data'!$A$3:$A$2150,F$1,'United Data'!$C$3:$C$2150,$A872)&gt;0,1,0)</f>
        <v>0</v>
      </c>
      <c r="G872">
        <f>IF(COUNTIFS('United Data'!$A$3:$A$2150,G$1,'United Data'!$C$3:$C$2150,$A872)&gt;0,1,0)</f>
        <v>0</v>
      </c>
      <c r="H872">
        <f>IF(COUNTIFS('United Data'!$A$3:$A$2150,H$1,'United Data'!$C$3:$C$2150,$A872)&gt;0,1,0)</f>
        <v>0</v>
      </c>
      <c r="I872">
        <f>IF(COUNTIFS('United Data'!$A$3:$A$2150,I$1,'United Data'!$C$3:$C$2150,$A872)&gt;0,1,0)</f>
        <v>0</v>
      </c>
      <c r="J872">
        <f>IF(COUNTIFS('United Data'!$A$3:$A$2150,J$1,'United Data'!$C$3:$C$2150,$A872)&gt;0,1,0)</f>
        <v>1</v>
      </c>
      <c r="K872">
        <f>IF(COUNTIFS('United Data'!$A$3:$A$2150,K$1,'United Data'!$C$3:$C$2150,$A872)&gt;0,1,0)</f>
        <v>0</v>
      </c>
      <c r="L872">
        <f>IF(COUNTIFS('United Data'!$A$3:$A$2150,L$1,'United Data'!$C$3:$C$2150,$A872)&gt;0,1,0)</f>
        <v>0</v>
      </c>
      <c r="M872">
        <f>IF(COUNTIFS('United Data'!$A$3:$A$2150,M$1,'United Data'!$C$3:$C$2150,$A872)&gt;0,1,0)</f>
        <v>0</v>
      </c>
      <c r="N872">
        <f>IF(COUNTIFS('United Data'!$A$3:$A$2150,N$1,'United Data'!$C$3:$C$2150,$A872)&gt;0,1,0)</f>
        <v>0</v>
      </c>
      <c r="O872">
        <f>IF(COUNTIFS('United Data'!$A$3:$A$2150,O$1,'United Data'!$C$3:$C$2150,$A872)&gt;0,1,0)</f>
        <v>0</v>
      </c>
      <c r="P872">
        <f>IF(COUNTIFS('United Data'!$A$3:$A$2150,P$1,'United Data'!$C$3:$C$2150,$A872)&gt;0,1,0)</f>
        <v>0</v>
      </c>
      <c r="Q872">
        <f>IF(COUNTIFS('United Data'!$A$3:$A$2150,Q$1,'United Data'!$C$3:$C$2150,$A872)&gt;0,1,0)</f>
        <v>0</v>
      </c>
      <c r="R872">
        <f>IF(COUNTIFS('United Data'!$A$3:$A$2150,R$1,'United Data'!$C$3:$C$2150,$A872)&gt;0,1,0)</f>
        <v>0</v>
      </c>
      <c r="S872">
        <f t="shared" si="26"/>
        <v>1</v>
      </c>
      <c r="T872">
        <f t="shared" si="27"/>
        <v>1</v>
      </c>
    </row>
    <row r="873" spans="1:20" x14ac:dyDescent="0.2">
      <c r="A873" t="s">
        <v>918</v>
      </c>
      <c r="B873">
        <f>IF(COUNTIFS('United Data'!$A$3:$A$2150,B$1,'United Data'!$C$3:$C$2150,$A873)&gt;0,1,0)</f>
        <v>0</v>
      </c>
      <c r="C873">
        <f>IF(COUNTIFS('United Data'!$A$3:$A$2150,C$1,'United Data'!$C$3:$C$2150,$A873)&gt;0,1,0)</f>
        <v>0</v>
      </c>
      <c r="D873">
        <f>IF(COUNTIFS('United Data'!$A$3:$A$2150,D$1,'United Data'!$C$3:$C$2150,$A873)&gt;0,1,0)</f>
        <v>0</v>
      </c>
      <c r="E873">
        <f>IF(COUNTIFS('United Data'!$A$3:$A$2150,E$1,'United Data'!$C$3:$C$2150,$A873)&gt;0,1,0)</f>
        <v>0</v>
      </c>
      <c r="F873">
        <f>IF(COUNTIFS('United Data'!$A$3:$A$2150,F$1,'United Data'!$C$3:$C$2150,$A873)&gt;0,1,0)</f>
        <v>0</v>
      </c>
      <c r="G873">
        <f>IF(COUNTIFS('United Data'!$A$3:$A$2150,G$1,'United Data'!$C$3:$C$2150,$A873)&gt;0,1,0)</f>
        <v>0</v>
      </c>
      <c r="H873">
        <f>IF(COUNTIFS('United Data'!$A$3:$A$2150,H$1,'United Data'!$C$3:$C$2150,$A873)&gt;0,1,0)</f>
        <v>0</v>
      </c>
      <c r="I873">
        <f>IF(COUNTIFS('United Data'!$A$3:$A$2150,I$1,'United Data'!$C$3:$C$2150,$A873)&gt;0,1,0)</f>
        <v>0</v>
      </c>
      <c r="J873">
        <f>IF(COUNTIFS('United Data'!$A$3:$A$2150,J$1,'United Data'!$C$3:$C$2150,$A873)&gt;0,1,0)</f>
        <v>1</v>
      </c>
      <c r="K873">
        <f>IF(COUNTIFS('United Data'!$A$3:$A$2150,K$1,'United Data'!$C$3:$C$2150,$A873)&gt;0,1,0)</f>
        <v>0</v>
      </c>
      <c r="L873">
        <f>IF(COUNTIFS('United Data'!$A$3:$A$2150,L$1,'United Data'!$C$3:$C$2150,$A873)&gt;0,1,0)</f>
        <v>0</v>
      </c>
      <c r="M873">
        <f>IF(COUNTIFS('United Data'!$A$3:$A$2150,M$1,'United Data'!$C$3:$C$2150,$A873)&gt;0,1,0)</f>
        <v>0</v>
      </c>
      <c r="N873">
        <f>IF(COUNTIFS('United Data'!$A$3:$A$2150,N$1,'United Data'!$C$3:$C$2150,$A873)&gt;0,1,0)</f>
        <v>0</v>
      </c>
      <c r="O873">
        <f>IF(COUNTIFS('United Data'!$A$3:$A$2150,O$1,'United Data'!$C$3:$C$2150,$A873)&gt;0,1,0)</f>
        <v>0</v>
      </c>
      <c r="P873">
        <f>IF(COUNTIFS('United Data'!$A$3:$A$2150,P$1,'United Data'!$C$3:$C$2150,$A873)&gt;0,1,0)</f>
        <v>0</v>
      </c>
      <c r="Q873">
        <f>IF(COUNTIFS('United Data'!$A$3:$A$2150,Q$1,'United Data'!$C$3:$C$2150,$A873)&gt;0,1,0)</f>
        <v>0</v>
      </c>
      <c r="R873">
        <f>IF(COUNTIFS('United Data'!$A$3:$A$2150,R$1,'United Data'!$C$3:$C$2150,$A873)&gt;0,1,0)</f>
        <v>0</v>
      </c>
      <c r="S873">
        <f t="shared" si="26"/>
        <v>1</v>
      </c>
      <c r="T873">
        <f t="shared" si="27"/>
        <v>1</v>
      </c>
    </row>
    <row r="874" spans="1:20" x14ac:dyDescent="0.2">
      <c r="A874" t="s">
        <v>919</v>
      </c>
      <c r="B874">
        <f>IF(COUNTIFS('United Data'!$A$3:$A$2150,B$1,'United Data'!$C$3:$C$2150,$A874)&gt;0,1,0)</f>
        <v>0</v>
      </c>
      <c r="C874">
        <f>IF(COUNTIFS('United Data'!$A$3:$A$2150,C$1,'United Data'!$C$3:$C$2150,$A874)&gt;0,1,0)</f>
        <v>0</v>
      </c>
      <c r="D874">
        <f>IF(COUNTIFS('United Data'!$A$3:$A$2150,D$1,'United Data'!$C$3:$C$2150,$A874)&gt;0,1,0)</f>
        <v>0</v>
      </c>
      <c r="E874">
        <f>IF(COUNTIFS('United Data'!$A$3:$A$2150,E$1,'United Data'!$C$3:$C$2150,$A874)&gt;0,1,0)</f>
        <v>0</v>
      </c>
      <c r="F874">
        <f>IF(COUNTIFS('United Data'!$A$3:$A$2150,F$1,'United Data'!$C$3:$C$2150,$A874)&gt;0,1,0)</f>
        <v>0</v>
      </c>
      <c r="G874">
        <f>IF(COUNTIFS('United Data'!$A$3:$A$2150,G$1,'United Data'!$C$3:$C$2150,$A874)&gt;0,1,0)</f>
        <v>0</v>
      </c>
      <c r="H874">
        <f>IF(COUNTIFS('United Data'!$A$3:$A$2150,H$1,'United Data'!$C$3:$C$2150,$A874)&gt;0,1,0)</f>
        <v>0</v>
      </c>
      <c r="I874">
        <f>IF(COUNTIFS('United Data'!$A$3:$A$2150,I$1,'United Data'!$C$3:$C$2150,$A874)&gt;0,1,0)</f>
        <v>0</v>
      </c>
      <c r="J874">
        <f>IF(COUNTIFS('United Data'!$A$3:$A$2150,J$1,'United Data'!$C$3:$C$2150,$A874)&gt;0,1,0)</f>
        <v>0</v>
      </c>
      <c r="K874">
        <f>IF(COUNTIFS('United Data'!$A$3:$A$2150,K$1,'United Data'!$C$3:$C$2150,$A874)&gt;0,1,0)</f>
        <v>1</v>
      </c>
      <c r="L874">
        <f>IF(COUNTIFS('United Data'!$A$3:$A$2150,L$1,'United Data'!$C$3:$C$2150,$A874)&gt;0,1,0)</f>
        <v>0</v>
      </c>
      <c r="M874">
        <f>IF(COUNTIFS('United Data'!$A$3:$A$2150,M$1,'United Data'!$C$3:$C$2150,$A874)&gt;0,1,0)</f>
        <v>0</v>
      </c>
      <c r="N874">
        <f>IF(COUNTIFS('United Data'!$A$3:$A$2150,N$1,'United Data'!$C$3:$C$2150,$A874)&gt;0,1,0)</f>
        <v>0</v>
      </c>
      <c r="O874">
        <f>IF(COUNTIFS('United Data'!$A$3:$A$2150,O$1,'United Data'!$C$3:$C$2150,$A874)&gt;0,1,0)</f>
        <v>0</v>
      </c>
      <c r="P874">
        <f>IF(COUNTIFS('United Data'!$A$3:$A$2150,P$1,'United Data'!$C$3:$C$2150,$A874)&gt;0,1,0)</f>
        <v>0</v>
      </c>
      <c r="Q874">
        <f>IF(COUNTIFS('United Data'!$A$3:$A$2150,Q$1,'United Data'!$C$3:$C$2150,$A874)&gt;0,1,0)</f>
        <v>0</v>
      </c>
      <c r="R874">
        <f>IF(COUNTIFS('United Data'!$A$3:$A$2150,R$1,'United Data'!$C$3:$C$2150,$A874)&gt;0,1,0)</f>
        <v>0</v>
      </c>
      <c r="S874">
        <f t="shared" si="26"/>
        <v>1</v>
      </c>
      <c r="T874">
        <f t="shared" si="27"/>
        <v>1</v>
      </c>
    </row>
    <row r="875" spans="1:20" x14ac:dyDescent="0.2">
      <c r="A875" t="s">
        <v>920</v>
      </c>
      <c r="B875">
        <f>IF(COUNTIFS('United Data'!$A$3:$A$2150,B$1,'United Data'!$C$3:$C$2150,$A875)&gt;0,1,0)</f>
        <v>0</v>
      </c>
      <c r="C875">
        <f>IF(COUNTIFS('United Data'!$A$3:$A$2150,C$1,'United Data'!$C$3:$C$2150,$A875)&gt;0,1,0)</f>
        <v>0</v>
      </c>
      <c r="D875">
        <f>IF(COUNTIFS('United Data'!$A$3:$A$2150,D$1,'United Data'!$C$3:$C$2150,$A875)&gt;0,1,0)</f>
        <v>0</v>
      </c>
      <c r="E875">
        <f>IF(COUNTIFS('United Data'!$A$3:$A$2150,E$1,'United Data'!$C$3:$C$2150,$A875)&gt;0,1,0)</f>
        <v>0</v>
      </c>
      <c r="F875">
        <f>IF(COUNTIFS('United Data'!$A$3:$A$2150,F$1,'United Data'!$C$3:$C$2150,$A875)&gt;0,1,0)</f>
        <v>0</v>
      </c>
      <c r="G875">
        <f>IF(COUNTIFS('United Data'!$A$3:$A$2150,G$1,'United Data'!$C$3:$C$2150,$A875)&gt;0,1,0)</f>
        <v>0</v>
      </c>
      <c r="H875">
        <f>IF(COUNTIFS('United Data'!$A$3:$A$2150,H$1,'United Data'!$C$3:$C$2150,$A875)&gt;0,1,0)</f>
        <v>0</v>
      </c>
      <c r="I875">
        <f>IF(COUNTIFS('United Data'!$A$3:$A$2150,I$1,'United Data'!$C$3:$C$2150,$A875)&gt;0,1,0)</f>
        <v>0</v>
      </c>
      <c r="J875">
        <f>IF(COUNTIFS('United Data'!$A$3:$A$2150,J$1,'United Data'!$C$3:$C$2150,$A875)&gt;0,1,0)</f>
        <v>0</v>
      </c>
      <c r="K875">
        <f>IF(COUNTIFS('United Data'!$A$3:$A$2150,K$1,'United Data'!$C$3:$C$2150,$A875)&gt;0,1,0)</f>
        <v>1</v>
      </c>
      <c r="L875">
        <f>IF(COUNTIFS('United Data'!$A$3:$A$2150,L$1,'United Data'!$C$3:$C$2150,$A875)&gt;0,1,0)</f>
        <v>0</v>
      </c>
      <c r="M875">
        <f>IF(COUNTIFS('United Data'!$A$3:$A$2150,M$1,'United Data'!$C$3:$C$2150,$A875)&gt;0,1,0)</f>
        <v>0</v>
      </c>
      <c r="N875">
        <f>IF(COUNTIFS('United Data'!$A$3:$A$2150,N$1,'United Data'!$C$3:$C$2150,$A875)&gt;0,1,0)</f>
        <v>0</v>
      </c>
      <c r="O875">
        <f>IF(COUNTIFS('United Data'!$A$3:$A$2150,O$1,'United Data'!$C$3:$C$2150,$A875)&gt;0,1,0)</f>
        <v>0</v>
      </c>
      <c r="P875">
        <f>IF(COUNTIFS('United Data'!$A$3:$A$2150,P$1,'United Data'!$C$3:$C$2150,$A875)&gt;0,1,0)</f>
        <v>0</v>
      </c>
      <c r="Q875">
        <f>IF(COUNTIFS('United Data'!$A$3:$A$2150,Q$1,'United Data'!$C$3:$C$2150,$A875)&gt;0,1,0)</f>
        <v>0</v>
      </c>
      <c r="R875">
        <f>IF(COUNTIFS('United Data'!$A$3:$A$2150,R$1,'United Data'!$C$3:$C$2150,$A875)&gt;0,1,0)</f>
        <v>0</v>
      </c>
      <c r="S875">
        <f t="shared" si="26"/>
        <v>1</v>
      </c>
      <c r="T875">
        <f t="shared" si="27"/>
        <v>1</v>
      </c>
    </row>
    <row r="876" spans="1:20" x14ac:dyDescent="0.2">
      <c r="A876" t="s">
        <v>921</v>
      </c>
      <c r="B876">
        <f>IF(COUNTIFS('United Data'!$A$3:$A$2150,B$1,'United Data'!$C$3:$C$2150,$A876)&gt;0,1,0)</f>
        <v>0</v>
      </c>
      <c r="C876">
        <f>IF(COUNTIFS('United Data'!$A$3:$A$2150,C$1,'United Data'!$C$3:$C$2150,$A876)&gt;0,1,0)</f>
        <v>0</v>
      </c>
      <c r="D876">
        <f>IF(COUNTIFS('United Data'!$A$3:$A$2150,D$1,'United Data'!$C$3:$C$2150,$A876)&gt;0,1,0)</f>
        <v>0</v>
      </c>
      <c r="E876">
        <f>IF(COUNTIFS('United Data'!$A$3:$A$2150,E$1,'United Data'!$C$3:$C$2150,$A876)&gt;0,1,0)</f>
        <v>0</v>
      </c>
      <c r="F876">
        <f>IF(COUNTIFS('United Data'!$A$3:$A$2150,F$1,'United Data'!$C$3:$C$2150,$A876)&gt;0,1,0)</f>
        <v>0</v>
      </c>
      <c r="G876">
        <f>IF(COUNTIFS('United Data'!$A$3:$A$2150,G$1,'United Data'!$C$3:$C$2150,$A876)&gt;0,1,0)</f>
        <v>0</v>
      </c>
      <c r="H876">
        <f>IF(COUNTIFS('United Data'!$A$3:$A$2150,H$1,'United Data'!$C$3:$C$2150,$A876)&gt;0,1,0)</f>
        <v>0</v>
      </c>
      <c r="I876">
        <f>IF(COUNTIFS('United Data'!$A$3:$A$2150,I$1,'United Data'!$C$3:$C$2150,$A876)&gt;0,1,0)</f>
        <v>0</v>
      </c>
      <c r="J876">
        <f>IF(COUNTIFS('United Data'!$A$3:$A$2150,J$1,'United Data'!$C$3:$C$2150,$A876)&gt;0,1,0)</f>
        <v>0</v>
      </c>
      <c r="K876">
        <f>IF(COUNTIFS('United Data'!$A$3:$A$2150,K$1,'United Data'!$C$3:$C$2150,$A876)&gt;0,1,0)</f>
        <v>1</v>
      </c>
      <c r="L876">
        <f>IF(COUNTIFS('United Data'!$A$3:$A$2150,L$1,'United Data'!$C$3:$C$2150,$A876)&gt;0,1,0)</f>
        <v>0</v>
      </c>
      <c r="M876">
        <f>IF(COUNTIFS('United Data'!$A$3:$A$2150,M$1,'United Data'!$C$3:$C$2150,$A876)&gt;0,1,0)</f>
        <v>0</v>
      </c>
      <c r="N876">
        <f>IF(COUNTIFS('United Data'!$A$3:$A$2150,N$1,'United Data'!$C$3:$C$2150,$A876)&gt;0,1,0)</f>
        <v>0</v>
      </c>
      <c r="O876">
        <f>IF(COUNTIFS('United Data'!$A$3:$A$2150,O$1,'United Data'!$C$3:$C$2150,$A876)&gt;0,1,0)</f>
        <v>0</v>
      </c>
      <c r="P876">
        <f>IF(COUNTIFS('United Data'!$A$3:$A$2150,P$1,'United Data'!$C$3:$C$2150,$A876)&gt;0,1,0)</f>
        <v>0</v>
      </c>
      <c r="Q876">
        <f>IF(COUNTIFS('United Data'!$A$3:$A$2150,Q$1,'United Data'!$C$3:$C$2150,$A876)&gt;0,1,0)</f>
        <v>0</v>
      </c>
      <c r="R876">
        <f>IF(COUNTIFS('United Data'!$A$3:$A$2150,R$1,'United Data'!$C$3:$C$2150,$A876)&gt;0,1,0)</f>
        <v>0</v>
      </c>
      <c r="S876">
        <f t="shared" si="26"/>
        <v>1</v>
      </c>
      <c r="T876">
        <f t="shared" si="27"/>
        <v>1</v>
      </c>
    </row>
    <row r="877" spans="1:20" x14ac:dyDescent="0.2">
      <c r="A877" t="s">
        <v>922</v>
      </c>
      <c r="B877">
        <f>IF(COUNTIFS('United Data'!$A$3:$A$2150,B$1,'United Data'!$C$3:$C$2150,$A877)&gt;0,1,0)</f>
        <v>0</v>
      </c>
      <c r="C877">
        <f>IF(COUNTIFS('United Data'!$A$3:$A$2150,C$1,'United Data'!$C$3:$C$2150,$A877)&gt;0,1,0)</f>
        <v>0</v>
      </c>
      <c r="D877">
        <f>IF(COUNTIFS('United Data'!$A$3:$A$2150,D$1,'United Data'!$C$3:$C$2150,$A877)&gt;0,1,0)</f>
        <v>0</v>
      </c>
      <c r="E877">
        <f>IF(COUNTIFS('United Data'!$A$3:$A$2150,E$1,'United Data'!$C$3:$C$2150,$A877)&gt;0,1,0)</f>
        <v>0</v>
      </c>
      <c r="F877">
        <f>IF(COUNTIFS('United Data'!$A$3:$A$2150,F$1,'United Data'!$C$3:$C$2150,$A877)&gt;0,1,0)</f>
        <v>0</v>
      </c>
      <c r="G877">
        <f>IF(COUNTIFS('United Data'!$A$3:$A$2150,G$1,'United Data'!$C$3:$C$2150,$A877)&gt;0,1,0)</f>
        <v>0</v>
      </c>
      <c r="H877">
        <f>IF(COUNTIFS('United Data'!$A$3:$A$2150,H$1,'United Data'!$C$3:$C$2150,$A877)&gt;0,1,0)</f>
        <v>0</v>
      </c>
      <c r="I877">
        <f>IF(COUNTIFS('United Data'!$A$3:$A$2150,I$1,'United Data'!$C$3:$C$2150,$A877)&gt;0,1,0)</f>
        <v>0</v>
      </c>
      <c r="J877">
        <f>IF(COUNTIFS('United Data'!$A$3:$A$2150,J$1,'United Data'!$C$3:$C$2150,$A877)&gt;0,1,0)</f>
        <v>0</v>
      </c>
      <c r="K877">
        <f>IF(COUNTIFS('United Data'!$A$3:$A$2150,K$1,'United Data'!$C$3:$C$2150,$A877)&gt;0,1,0)</f>
        <v>1</v>
      </c>
      <c r="L877">
        <f>IF(COUNTIFS('United Data'!$A$3:$A$2150,L$1,'United Data'!$C$3:$C$2150,$A877)&gt;0,1,0)</f>
        <v>0</v>
      </c>
      <c r="M877">
        <f>IF(COUNTIFS('United Data'!$A$3:$A$2150,M$1,'United Data'!$C$3:$C$2150,$A877)&gt;0,1,0)</f>
        <v>0</v>
      </c>
      <c r="N877">
        <f>IF(COUNTIFS('United Data'!$A$3:$A$2150,N$1,'United Data'!$C$3:$C$2150,$A877)&gt;0,1,0)</f>
        <v>0</v>
      </c>
      <c r="O877">
        <f>IF(COUNTIFS('United Data'!$A$3:$A$2150,O$1,'United Data'!$C$3:$C$2150,$A877)&gt;0,1,0)</f>
        <v>0</v>
      </c>
      <c r="P877">
        <f>IF(COUNTIFS('United Data'!$A$3:$A$2150,P$1,'United Data'!$C$3:$C$2150,$A877)&gt;0,1,0)</f>
        <v>0</v>
      </c>
      <c r="Q877">
        <f>IF(COUNTIFS('United Data'!$A$3:$A$2150,Q$1,'United Data'!$C$3:$C$2150,$A877)&gt;0,1,0)</f>
        <v>0</v>
      </c>
      <c r="R877">
        <f>IF(COUNTIFS('United Data'!$A$3:$A$2150,R$1,'United Data'!$C$3:$C$2150,$A877)&gt;0,1,0)</f>
        <v>0</v>
      </c>
      <c r="S877">
        <f t="shared" si="26"/>
        <v>1</v>
      </c>
      <c r="T877">
        <f t="shared" si="27"/>
        <v>1</v>
      </c>
    </row>
    <row r="878" spans="1:20" x14ac:dyDescent="0.2">
      <c r="A878" t="s">
        <v>923</v>
      </c>
      <c r="B878">
        <f>IF(COUNTIFS('United Data'!$A$3:$A$2150,B$1,'United Data'!$C$3:$C$2150,$A878)&gt;0,1,0)</f>
        <v>0</v>
      </c>
      <c r="C878">
        <f>IF(COUNTIFS('United Data'!$A$3:$A$2150,C$1,'United Data'!$C$3:$C$2150,$A878)&gt;0,1,0)</f>
        <v>0</v>
      </c>
      <c r="D878">
        <f>IF(COUNTIFS('United Data'!$A$3:$A$2150,D$1,'United Data'!$C$3:$C$2150,$A878)&gt;0,1,0)</f>
        <v>0</v>
      </c>
      <c r="E878">
        <f>IF(COUNTIFS('United Data'!$A$3:$A$2150,E$1,'United Data'!$C$3:$C$2150,$A878)&gt;0,1,0)</f>
        <v>0</v>
      </c>
      <c r="F878">
        <f>IF(COUNTIFS('United Data'!$A$3:$A$2150,F$1,'United Data'!$C$3:$C$2150,$A878)&gt;0,1,0)</f>
        <v>0</v>
      </c>
      <c r="G878">
        <f>IF(COUNTIFS('United Data'!$A$3:$A$2150,G$1,'United Data'!$C$3:$C$2150,$A878)&gt;0,1,0)</f>
        <v>0</v>
      </c>
      <c r="H878">
        <f>IF(COUNTIFS('United Data'!$A$3:$A$2150,H$1,'United Data'!$C$3:$C$2150,$A878)&gt;0,1,0)</f>
        <v>0</v>
      </c>
      <c r="I878">
        <f>IF(COUNTIFS('United Data'!$A$3:$A$2150,I$1,'United Data'!$C$3:$C$2150,$A878)&gt;0,1,0)</f>
        <v>0</v>
      </c>
      <c r="J878">
        <f>IF(COUNTIFS('United Data'!$A$3:$A$2150,J$1,'United Data'!$C$3:$C$2150,$A878)&gt;0,1,0)</f>
        <v>0</v>
      </c>
      <c r="K878">
        <f>IF(COUNTIFS('United Data'!$A$3:$A$2150,K$1,'United Data'!$C$3:$C$2150,$A878)&gt;0,1,0)</f>
        <v>1</v>
      </c>
      <c r="L878">
        <f>IF(COUNTIFS('United Data'!$A$3:$A$2150,L$1,'United Data'!$C$3:$C$2150,$A878)&gt;0,1,0)</f>
        <v>0</v>
      </c>
      <c r="M878">
        <f>IF(COUNTIFS('United Data'!$A$3:$A$2150,M$1,'United Data'!$C$3:$C$2150,$A878)&gt;0,1,0)</f>
        <v>0</v>
      </c>
      <c r="N878">
        <f>IF(COUNTIFS('United Data'!$A$3:$A$2150,N$1,'United Data'!$C$3:$C$2150,$A878)&gt;0,1,0)</f>
        <v>0</v>
      </c>
      <c r="O878">
        <f>IF(COUNTIFS('United Data'!$A$3:$A$2150,O$1,'United Data'!$C$3:$C$2150,$A878)&gt;0,1,0)</f>
        <v>0</v>
      </c>
      <c r="P878">
        <f>IF(COUNTIFS('United Data'!$A$3:$A$2150,P$1,'United Data'!$C$3:$C$2150,$A878)&gt;0,1,0)</f>
        <v>0</v>
      </c>
      <c r="Q878">
        <f>IF(COUNTIFS('United Data'!$A$3:$A$2150,Q$1,'United Data'!$C$3:$C$2150,$A878)&gt;0,1,0)</f>
        <v>0</v>
      </c>
      <c r="R878">
        <f>IF(COUNTIFS('United Data'!$A$3:$A$2150,R$1,'United Data'!$C$3:$C$2150,$A878)&gt;0,1,0)</f>
        <v>0</v>
      </c>
      <c r="S878">
        <f t="shared" si="26"/>
        <v>1</v>
      </c>
      <c r="T878">
        <f t="shared" si="27"/>
        <v>1</v>
      </c>
    </row>
    <row r="879" spans="1:20" x14ac:dyDescent="0.2">
      <c r="A879" t="s">
        <v>924</v>
      </c>
      <c r="B879">
        <f>IF(COUNTIFS('United Data'!$A$3:$A$2150,B$1,'United Data'!$C$3:$C$2150,$A879)&gt;0,1,0)</f>
        <v>0</v>
      </c>
      <c r="C879">
        <f>IF(COUNTIFS('United Data'!$A$3:$A$2150,C$1,'United Data'!$C$3:$C$2150,$A879)&gt;0,1,0)</f>
        <v>0</v>
      </c>
      <c r="D879">
        <f>IF(COUNTIFS('United Data'!$A$3:$A$2150,D$1,'United Data'!$C$3:$C$2150,$A879)&gt;0,1,0)</f>
        <v>0</v>
      </c>
      <c r="E879">
        <f>IF(COUNTIFS('United Data'!$A$3:$A$2150,E$1,'United Data'!$C$3:$C$2150,$A879)&gt;0,1,0)</f>
        <v>0</v>
      </c>
      <c r="F879">
        <f>IF(COUNTIFS('United Data'!$A$3:$A$2150,F$1,'United Data'!$C$3:$C$2150,$A879)&gt;0,1,0)</f>
        <v>0</v>
      </c>
      <c r="G879">
        <f>IF(COUNTIFS('United Data'!$A$3:$A$2150,G$1,'United Data'!$C$3:$C$2150,$A879)&gt;0,1,0)</f>
        <v>0</v>
      </c>
      <c r="H879">
        <f>IF(COUNTIFS('United Data'!$A$3:$A$2150,H$1,'United Data'!$C$3:$C$2150,$A879)&gt;0,1,0)</f>
        <v>0</v>
      </c>
      <c r="I879">
        <f>IF(COUNTIFS('United Data'!$A$3:$A$2150,I$1,'United Data'!$C$3:$C$2150,$A879)&gt;0,1,0)</f>
        <v>0</v>
      </c>
      <c r="J879">
        <f>IF(COUNTIFS('United Data'!$A$3:$A$2150,J$1,'United Data'!$C$3:$C$2150,$A879)&gt;0,1,0)</f>
        <v>0</v>
      </c>
      <c r="K879">
        <f>IF(COUNTIFS('United Data'!$A$3:$A$2150,K$1,'United Data'!$C$3:$C$2150,$A879)&gt;0,1,0)</f>
        <v>1</v>
      </c>
      <c r="L879">
        <f>IF(COUNTIFS('United Data'!$A$3:$A$2150,L$1,'United Data'!$C$3:$C$2150,$A879)&gt;0,1,0)</f>
        <v>0</v>
      </c>
      <c r="M879">
        <f>IF(COUNTIFS('United Data'!$A$3:$A$2150,M$1,'United Data'!$C$3:$C$2150,$A879)&gt;0,1,0)</f>
        <v>0</v>
      </c>
      <c r="N879">
        <f>IF(COUNTIFS('United Data'!$A$3:$A$2150,N$1,'United Data'!$C$3:$C$2150,$A879)&gt;0,1,0)</f>
        <v>0</v>
      </c>
      <c r="O879">
        <f>IF(COUNTIFS('United Data'!$A$3:$A$2150,O$1,'United Data'!$C$3:$C$2150,$A879)&gt;0,1,0)</f>
        <v>0</v>
      </c>
      <c r="P879">
        <f>IF(COUNTIFS('United Data'!$A$3:$A$2150,P$1,'United Data'!$C$3:$C$2150,$A879)&gt;0,1,0)</f>
        <v>0</v>
      </c>
      <c r="Q879">
        <f>IF(COUNTIFS('United Data'!$A$3:$A$2150,Q$1,'United Data'!$C$3:$C$2150,$A879)&gt;0,1,0)</f>
        <v>0</v>
      </c>
      <c r="R879">
        <f>IF(COUNTIFS('United Data'!$A$3:$A$2150,R$1,'United Data'!$C$3:$C$2150,$A879)&gt;0,1,0)</f>
        <v>0</v>
      </c>
      <c r="S879">
        <f t="shared" si="26"/>
        <v>1</v>
      </c>
      <c r="T879">
        <f t="shared" si="27"/>
        <v>1</v>
      </c>
    </row>
    <row r="880" spans="1:20" x14ac:dyDescent="0.2">
      <c r="A880" t="s">
        <v>925</v>
      </c>
      <c r="B880">
        <f>IF(COUNTIFS('United Data'!$A$3:$A$2150,B$1,'United Data'!$C$3:$C$2150,$A880)&gt;0,1,0)</f>
        <v>0</v>
      </c>
      <c r="C880">
        <f>IF(COUNTIFS('United Data'!$A$3:$A$2150,C$1,'United Data'!$C$3:$C$2150,$A880)&gt;0,1,0)</f>
        <v>0</v>
      </c>
      <c r="D880">
        <f>IF(COUNTIFS('United Data'!$A$3:$A$2150,D$1,'United Data'!$C$3:$C$2150,$A880)&gt;0,1,0)</f>
        <v>0</v>
      </c>
      <c r="E880">
        <f>IF(COUNTIFS('United Data'!$A$3:$A$2150,E$1,'United Data'!$C$3:$C$2150,$A880)&gt;0,1,0)</f>
        <v>0</v>
      </c>
      <c r="F880">
        <f>IF(COUNTIFS('United Data'!$A$3:$A$2150,F$1,'United Data'!$C$3:$C$2150,$A880)&gt;0,1,0)</f>
        <v>0</v>
      </c>
      <c r="G880">
        <f>IF(COUNTIFS('United Data'!$A$3:$A$2150,G$1,'United Data'!$C$3:$C$2150,$A880)&gt;0,1,0)</f>
        <v>0</v>
      </c>
      <c r="H880">
        <f>IF(COUNTIFS('United Data'!$A$3:$A$2150,H$1,'United Data'!$C$3:$C$2150,$A880)&gt;0,1,0)</f>
        <v>0</v>
      </c>
      <c r="I880">
        <f>IF(COUNTIFS('United Data'!$A$3:$A$2150,I$1,'United Data'!$C$3:$C$2150,$A880)&gt;0,1,0)</f>
        <v>0</v>
      </c>
      <c r="J880">
        <f>IF(COUNTIFS('United Data'!$A$3:$A$2150,J$1,'United Data'!$C$3:$C$2150,$A880)&gt;0,1,0)</f>
        <v>0</v>
      </c>
      <c r="K880">
        <f>IF(COUNTIFS('United Data'!$A$3:$A$2150,K$1,'United Data'!$C$3:$C$2150,$A880)&gt;0,1,0)</f>
        <v>1</v>
      </c>
      <c r="L880">
        <f>IF(COUNTIFS('United Data'!$A$3:$A$2150,L$1,'United Data'!$C$3:$C$2150,$A880)&gt;0,1,0)</f>
        <v>0</v>
      </c>
      <c r="M880">
        <f>IF(COUNTIFS('United Data'!$A$3:$A$2150,M$1,'United Data'!$C$3:$C$2150,$A880)&gt;0,1,0)</f>
        <v>0</v>
      </c>
      <c r="N880">
        <f>IF(COUNTIFS('United Data'!$A$3:$A$2150,N$1,'United Data'!$C$3:$C$2150,$A880)&gt;0,1,0)</f>
        <v>0</v>
      </c>
      <c r="O880">
        <f>IF(COUNTIFS('United Data'!$A$3:$A$2150,O$1,'United Data'!$C$3:$C$2150,$A880)&gt;0,1,0)</f>
        <v>0</v>
      </c>
      <c r="P880">
        <f>IF(COUNTIFS('United Data'!$A$3:$A$2150,P$1,'United Data'!$C$3:$C$2150,$A880)&gt;0,1,0)</f>
        <v>0</v>
      </c>
      <c r="Q880">
        <f>IF(COUNTIFS('United Data'!$A$3:$A$2150,Q$1,'United Data'!$C$3:$C$2150,$A880)&gt;0,1,0)</f>
        <v>0</v>
      </c>
      <c r="R880">
        <f>IF(COUNTIFS('United Data'!$A$3:$A$2150,R$1,'United Data'!$C$3:$C$2150,$A880)&gt;0,1,0)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926</v>
      </c>
      <c r="B881">
        <f>IF(COUNTIFS('United Data'!$A$3:$A$2150,B$1,'United Data'!$C$3:$C$2150,$A881)&gt;0,1,0)</f>
        <v>0</v>
      </c>
      <c r="C881">
        <f>IF(COUNTIFS('United Data'!$A$3:$A$2150,C$1,'United Data'!$C$3:$C$2150,$A881)&gt;0,1,0)</f>
        <v>0</v>
      </c>
      <c r="D881">
        <f>IF(COUNTIFS('United Data'!$A$3:$A$2150,D$1,'United Data'!$C$3:$C$2150,$A881)&gt;0,1,0)</f>
        <v>0</v>
      </c>
      <c r="E881">
        <f>IF(COUNTIFS('United Data'!$A$3:$A$2150,E$1,'United Data'!$C$3:$C$2150,$A881)&gt;0,1,0)</f>
        <v>0</v>
      </c>
      <c r="F881">
        <f>IF(COUNTIFS('United Data'!$A$3:$A$2150,F$1,'United Data'!$C$3:$C$2150,$A881)&gt;0,1,0)</f>
        <v>0</v>
      </c>
      <c r="G881">
        <f>IF(COUNTIFS('United Data'!$A$3:$A$2150,G$1,'United Data'!$C$3:$C$2150,$A881)&gt;0,1,0)</f>
        <v>0</v>
      </c>
      <c r="H881">
        <f>IF(COUNTIFS('United Data'!$A$3:$A$2150,H$1,'United Data'!$C$3:$C$2150,$A881)&gt;0,1,0)</f>
        <v>0</v>
      </c>
      <c r="I881">
        <f>IF(COUNTIFS('United Data'!$A$3:$A$2150,I$1,'United Data'!$C$3:$C$2150,$A881)&gt;0,1,0)</f>
        <v>0</v>
      </c>
      <c r="J881">
        <f>IF(COUNTIFS('United Data'!$A$3:$A$2150,J$1,'United Data'!$C$3:$C$2150,$A881)&gt;0,1,0)</f>
        <v>0</v>
      </c>
      <c r="K881">
        <f>IF(COUNTIFS('United Data'!$A$3:$A$2150,K$1,'United Data'!$C$3:$C$2150,$A881)&gt;0,1,0)</f>
        <v>1</v>
      </c>
      <c r="L881">
        <f>IF(COUNTIFS('United Data'!$A$3:$A$2150,L$1,'United Data'!$C$3:$C$2150,$A881)&gt;0,1,0)</f>
        <v>0</v>
      </c>
      <c r="M881">
        <f>IF(COUNTIFS('United Data'!$A$3:$A$2150,M$1,'United Data'!$C$3:$C$2150,$A881)&gt;0,1,0)</f>
        <v>0</v>
      </c>
      <c r="N881">
        <f>IF(COUNTIFS('United Data'!$A$3:$A$2150,N$1,'United Data'!$C$3:$C$2150,$A881)&gt;0,1,0)</f>
        <v>0</v>
      </c>
      <c r="O881">
        <f>IF(COUNTIFS('United Data'!$A$3:$A$2150,O$1,'United Data'!$C$3:$C$2150,$A881)&gt;0,1,0)</f>
        <v>0</v>
      </c>
      <c r="P881">
        <f>IF(COUNTIFS('United Data'!$A$3:$A$2150,P$1,'United Data'!$C$3:$C$2150,$A881)&gt;0,1,0)</f>
        <v>0</v>
      </c>
      <c r="Q881">
        <f>IF(COUNTIFS('United Data'!$A$3:$A$2150,Q$1,'United Data'!$C$3:$C$2150,$A881)&gt;0,1,0)</f>
        <v>0</v>
      </c>
      <c r="R881">
        <f>IF(COUNTIFS('United Data'!$A$3:$A$2150,R$1,'United Data'!$C$3:$C$2150,$A881)&gt;0,1,0)</f>
        <v>0</v>
      </c>
      <c r="S881">
        <f t="shared" si="26"/>
        <v>1</v>
      </c>
      <c r="T881">
        <f t="shared" si="27"/>
        <v>1</v>
      </c>
    </row>
    <row r="882" spans="1:20" x14ac:dyDescent="0.2">
      <c r="A882" t="s">
        <v>927</v>
      </c>
      <c r="B882">
        <f>IF(COUNTIFS('United Data'!$A$3:$A$2150,B$1,'United Data'!$C$3:$C$2150,$A882)&gt;0,1,0)</f>
        <v>0</v>
      </c>
      <c r="C882">
        <f>IF(COUNTIFS('United Data'!$A$3:$A$2150,C$1,'United Data'!$C$3:$C$2150,$A882)&gt;0,1,0)</f>
        <v>0</v>
      </c>
      <c r="D882">
        <f>IF(COUNTIFS('United Data'!$A$3:$A$2150,D$1,'United Data'!$C$3:$C$2150,$A882)&gt;0,1,0)</f>
        <v>0</v>
      </c>
      <c r="E882">
        <f>IF(COUNTIFS('United Data'!$A$3:$A$2150,E$1,'United Data'!$C$3:$C$2150,$A882)&gt;0,1,0)</f>
        <v>0</v>
      </c>
      <c r="F882">
        <f>IF(COUNTIFS('United Data'!$A$3:$A$2150,F$1,'United Data'!$C$3:$C$2150,$A882)&gt;0,1,0)</f>
        <v>0</v>
      </c>
      <c r="G882">
        <f>IF(COUNTIFS('United Data'!$A$3:$A$2150,G$1,'United Data'!$C$3:$C$2150,$A882)&gt;0,1,0)</f>
        <v>0</v>
      </c>
      <c r="H882">
        <f>IF(COUNTIFS('United Data'!$A$3:$A$2150,H$1,'United Data'!$C$3:$C$2150,$A882)&gt;0,1,0)</f>
        <v>0</v>
      </c>
      <c r="I882">
        <f>IF(COUNTIFS('United Data'!$A$3:$A$2150,I$1,'United Data'!$C$3:$C$2150,$A882)&gt;0,1,0)</f>
        <v>0</v>
      </c>
      <c r="J882">
        <f>IF(COUNTIFS('United Data'!$A$3:$A$2150,J$1,'United Data'!$C$3:$C$2150,$A882)&gt;0,1,0)</f>
        <v>0</v>
      </c>
      <c r="K882">
        <f>IF(COUNTIFS('United Data'!$A$3:$A$2150,K$1,'United Data'!$C$3:$C$2150,$A882)&gt;0,1,0)</f>
        <v>1</v>
      </c>
      <c r="L882">
        <f>IF(COUNTIFS('United Data'!$A$3:$A$2150,L$1,'United Data'!$C$3:$C$2150,$A882)&gt;0,1,0)</f>
        <v>1</v>
      </c>
      <c r="M882">
        <f>IF(COUNTIFS('United Data'!$A$3:$A$2150,M$1,'United Data'!$C$3:$C$2150,$A882)&gt;0,1,0)</f>
        <v>0</v>
      </c>
      <c r="N882">
        <f>IF(COUNTIFS('United Data'!$A$3:$A$2150,N$1,'United Data'!$C$3:$C$2150,$A882)&gt;0,1,0)</f>
        <v>0</v>
      </c>
      <c r="O882">
        <f>IF(COUNTIFS('United Data'!$A$3:$A$2150,O$1,'United Data'!$C$3:$C$2150,$A882)&gt;0,1,0)</f>
        <v>0</v>
      </c>
      <c r="P882">
        <f>IF(COUNTIFS('United Data'!$A$3:$A$2150,P$1,'United Data'!$C$3:$C$2150,$A882)&gt;0,1,0)</f>
        <v>0</v>
      </c>
      <c r="Q882">
        <f>IF(COUNTIFS('United Data'!$A$3:$A$2150,Q$1,'United Data'!$C$3:$C$2150,$A882)&gt;0,1,0)</f>
        <v>0</v>
      </c>
      <c r="R882">
        <f>IF(COUNTIFS('United Data'!$A$3:$A$2150,R$1,'United Data'!$C$3:$C$2150,$A882)&gt;0,1,0)</f>
        <v>0</v>
      </c>
      <c r="S882">
        <f t="shared" si="26"/>
        <v>2</v>
      </c>
      <c r="T882">
        <f t="shared" si="27"/>
        <v>1</v>
      </c>
    </row>
    <row r="883" spans="1:20" x14ac:dyDescent="0.2">
      <c r="A883" t="s">
        <v>928</v>
      </c>
      <c r="B883">
        <f>IF(COUNTIFS('United Data'!$A$3:$A$2150,B$1,'United Data'!$C$3:$C$2150,$A883)&gt;0,1,0)</f>
        <v>0</v>
      </c>
      <c r="C883">
        <f>IF(COUNTIFS('United Data'!$A$3:$A$2150,C$1,'United Data'!$C$3:$C$2150,$A883)&gt;0,1,0)</f>
        <v>0</v>
      </c>
      <c r="D883">
        <f>IF(COUNTIFS('United Data'!$A$3:$A$2150,D$1,'United Data'!$C$3:$C$2150,$A883)&gt;0,1,0)</f>
        <v>0</v>
      </c>
      <c r="E883">
        <f>IF(COUNTIFS('United Data'!$A$3:$A$2150,E$1,'United Data'!$C$3:$C$2150,$A883)&gt;0,1,0)</f>
        <v>0</v>
      </c>
      <c r="F883">
        <f>IF(COUNTIFS('United Data'!$A$3:$A$2150,F$1,'United Data'!$C$3:$C$2150,$A883)&gt;0,1,0)</f>
        <v>0</v>
      </c>
      <c r="G883">
        <f>IF(COUNTIFS('United Data'!$A$3:$A$2150,G$1,'United Data'!$C$3:$C$2150,$A883)&gt;0,1,0)</f>
        <v>0</v>
      </c>
      <c r="H883">
        <f>IF(COUNTIFS('United Data'!$A$3:$A$2150,H$1,'United Data'!$C$3:$C$2150,$A883)&gt;0,1,0)</f>
        <v>0</v>
      </c>
      <c r="I883">
        <f>IF(COUNTIFS('United Data'!$A$3:$A$2150,I$1,'United Data'!$C$3:$C$2150,$A883)&gt;0,1,0)</f>
        <v>0</v>
      </c>
      <c r="J883">
        <f>IF(COUNTIFS('United Data'!$A$3:$A$2150,J$1,'United Data'!$C$3:$C$2150,$A883)&gt;0,1,0)</f>
        <v>0</v>
      </c>
      <c r="K883">
        <f>IF(COUNTIFS('United Data'!$A$3:$A$2150,K$1,'United Data'!$C$3:$C$2150,$A883)&gt;0,1,0)</f>
        <v>1</v>
      </c>
      <c r="L883">
        <f>IF(COUNTIFS('United Data'!$A$3:$A$2150,L$1,'United Data'!$C$3:$C$2150,$A883)&gt;0,1,0)</f>
        <v>0</v>
      </c>
      <c r="M883">
        <f>IF(COUNTIFS('United Data'!$A$3:$A$2150,M$1,'United Data'!$C$3:$C$2150,$A883)&gt;0,1,0)</f>
        <v>0</v>
      </c>
      <c r="N883">
        <f>IF(COUNTIFS('United Data'!$A$3:$A$2150,N$1,'United Data'!$C$3:$C$2150,$A883)&gt;0,1,0)</f>
        <v>0</v>
      </c>
      <c r="O883">
        <f>IF(COUNTIFS('United Data'!$A$3:$A$2150,O$1,'United Data'!$C$3:$C$2150,$A883)&gt;0,1,0)</f>
        <v>0</v>
      </c>
      <c r="P883">
        <f>IF(COUNTIFS('United Data'!$A$3:$A$2150,P$1,'United Data'!$C$3:$C$2150,$A883)&gt;0,1,0)</f>
        <v>0</v>
      </c>
      <c r="Q883">
        <f>IF(COUNTIFS('United Data'!$A$3:$A$2150,Q$1,'United Data'!$C$3:$C$2150,$A883)&gt;0,1,0)</f>
        <v>0</v>
      </c>
      <c r="R883">
        <f>IF(COUNTIFS('United Data'!$A$3:$A$2150,R$1,'United Data'!$C$3:$C$2150,$A883)&gt;0,1,0)</f>
        <v>0</v>
      </c>
      <c r="S883">
        <f t="shared" si="26"/>
        <v>1</v>
      </c>
      <c r="T883">
        <f t="shared" si="27"/>
        <v>1</v>
      </c>
    </row>
    <row r="884" spans="1:20" x14ac:dyDescent="0.2">
      <c r="A884" t="s">
        <v>929</v>
      </c>
      <c r="B884">
        <f>IF(COUNTIFS('United Data'!$A$3:$A$2150,B$1,'United Data'!$C$3:$C$2150,$A884)&gt;0,1,0)</f>
        <v>0</v>
      </c>
      <c r="C884">
        <f>IF(COUNTIFS('United Data'!$A$3:$A$2150,C$1,'United Data'!$C$3:$C$2150,$A884)&gt;0,1,0)</f>
        <v>0</v>
      </c>
      <c r="D884">
        <f>IF(COUNTIFS('United Data'!$A$3:$A$2150,D$1,'United Data'!$C$3:$C$2150,$A884)&gt;0,1,0)</f>
        <v>0</v>
      </c>
      <c r="E884">
        <f>IF(COUNTIFS('United Data'!$A$3:$A$2150,E$1,'United Data'!$C$3:$C$2150,$A884)&gt;0,1,0)</f>
        <v>0</v>
      </c>
      <c r="F884">
        <f>IF(COUNTIFS('United Data'!$A$3:$A$2150,F$1,'United Data'!$C$3:$C$2150,$A884)&gt;0,1,0)</f>
        <v>0</v>
      </c>
      <c r="G884">
        <f>IF(COUNTIFS('United Data'!$A$3:$A$2150,G$1,'United Data'!$C$3:$C$2150,$A884)&gt;0,1,0)</f>
        <v>0</v>
      </c>
      <c r="H884">
        <f>IF(COUNTIFS('United Data'!$A$3:$A$2150,H$1,'United Data'!$C$3:$C$2150,$A884)&gt;0,1,0)</f>
        <v>0</v>
      </c>
      <c r="I884">
        <f>IF(COUNTIFS('United Data'!$A$3:$A$2150,I$1,'United Data'!$C$3:$C$2150,$A884)&gt;0,1,0)</f>
        <v>0</v>
      </c>
      <c r="J884">
        <f>IF(COUNTIFS('United Data'!$A$3:$A$2150,J$1,'United Data'!$C$3:$C$2150,$A884)&gt;0,1,0)</f>
        <v>0</v>
      </c>
      <c r="K884">
        <f>IF(COUNTIFS('United Data'!$A$3:$A$2150,K$1,'United Data'!$C$3:$C$2150,$A884)&gt;0,1,0)</f>
        <v>1</v>
      </c>
      <c r="L884">
        <f>IF(COUNTIFS('United Data'!$A$3:$A$2150,L$1,'United Data'!$C$3:$C$2150,$A884)&gt;0,1,0)</f>
        <v>0</v>
      </c>
      <c r="M884">
        <f>IF(COUNTIFS('United Data'!$A$3:$A$2150,M$1,'United Data'!$C$3:$C$2150,$A884)&gt;0,1,0)</f>
        <v>0</v>
      </c>
      <c r="N884">
        <f>IF(COUNTIFS('United Data'!$A$3:$A$2150,N$1,'United Data'!$C$3:$C$2150,$A884)&gt;0,1,0)</f>
        <v>0</v>
      </c>
      <c r="O884">
        <f>IF(COUNTIFS('United Data'!$A$3:$A$2150,O$1,'United Data'!$C$3:$C$2150,$A884)&gt;0,1,0)</f>
        <v>0</v>
      </c>
      <c r="P884">
        <f>IF(COUNTIFS('United Data'!$A$3:$A$2150,P$1,'United Data'!$C$3:$C$2150,$A884)&gt;0,1,0)</f>
        <v>0</v>
      </c>
      <c r="Q884">
        <f>IF(COUNTIFS('United Data'!$A$3:$A$2150,Q$1,'United Data'!$C$3:$C$2150,$A884)&gt;0,1,0)</f>
        <v>0</v>
      </c>
      <c r="R884">
        <f>IF(COUNTIFS('United Data'!$A$3:$A$2150,R$1,'United Data'!$C$3:$C$2150,$A884)&gt;0,1,0)</f>
        <v>0</v>
      </c>
      <c r="S884">
        <f t="shared" si="26"/>
        <v>1</v>
      </c>
      <c r="T884">
        <f t="shared" si="27"/>
        <v>1</v>
      </c>
    </row>
    <row r="885" spans="1:20" x14ac:dyDescent="0.2">
      <c r="A885" t="s">
        <v>930</v>
      </c>
      <c r="B885">
        <f>IF(COUNTIFS('United Data'!$A$3:$A$2150,B$1,'United Data'!$C$3:$C$2150,$A885)&gt;0,1,0)</f>
        <v>0</v>
      </c>
      <c r="C885">
        <f>IF(COUNTIFS('United Data'!$A$3:$A$2150,C$1,'United Data'!$C$3:$C$2150,$A885)&gt;0,1,0)</f>
        <v>0</v>
      </c>
      <c r="D885">
        <f>IF(COUNTIFS('United Data'!$A$3:$A$2150,D$1,'United Data'!$C$3:$C$2150,$A885)&gt;0,1,0)</f>
        <v>0</v>
      </c>
      <c r="E885">
        <f>IF(COUNTIFS('United Data'!$A$3:$A$2150,E$1,'United Data'!$C$3:$C$2150,$A885)&gt;0,1,0)</f>
        <v>0</v>
      </c>
      <c r="F885">
        <f>IF(COUNTIFS('United Data'!$A$3:$A$2150,F$1,'United Data'!$C$3:$C$2150,$A885)&gt;0,1,0)</f>
        <v>0</v>
      </c>
      <c r="G885">
        <f>IF(COUNTIFS('United Data'!$A$3:$A$2150,G$1,'United Data'!$C$3:$C$2150,$A885)&gt;0,1,0)</f>
        <v>0</v>
      </c>
      <c r="H885">
        <f>IF(COUNTIFS('United Data'!$A$3:$A$2150,H$1,'United Data'!$C$3:$C$2150,$A885)&gt;0,1,0)</f>
        <v>0</v>
      </c>
      <c r="I885">
        <f>IF(COUNTIFS('United Data'!$A$3:$A$2150,I$1,'United Data'!$C$3:$C$2150,$A885)&gt;0,1,0)</f>
        <v>0</v>
      </c>
      <c r="J885">
        <f>IF(COUNTIFS('United Data'!$A$3:$A$2150,J$1,'United Data'!$C$3:$C$2150,$A885)&gt;0,1,0)</f>
        <v>0</v>
      </c>
      <c r="K885">
        <f>IF(COUNTIFS('United Data'!$A$3:$A$2150,K$1,'United Data'!$C$3:$C$2150,$A885)&gt;0,1,0)</f>
        <v>1</v>
      </c>
      <c r="L885">
        <f>IF(COUNTIFS('United Data'!$A$3:$A$2150,L$1,'United Data'!$C$3:$C$2150,$A885)&gt;0,1,0)</f>
        <v>0</v>
      </c>
      <c r="M885">
        <f>IF(COUNTIFS('United Data'!$A$3:$A$2150,M$1,'United Data'!$C$3:$C$2150,$A885)&gt;0,1,0)</f>
        <v>0</v>
      </c>
      <c r="N885">
        <f>IF(COUNTIFS('United Data'!$A$3:$A$2150,N$1,'United Data'!$C$3:$C$2150,$A885)&gt;0,1,0)</f>
        <v>0</v>
      </c>
      <c r="O885">
        <f>IF(COUNTIFS('United Data'!$A$3:$A$2150,O$1,'United Data'!$C$3:$C$2150,$A885)&gt;0,1,0)</f>
        <v>0</v>
      </c>
      <c r="P885">
        <f>IF(COUNTIFS('United Data'!$A$3:$A$2150,P$1,'United Data'!$C$3:$C$2150,$A885)&gt;0,1,0)</f>
        <v>0</v>
      </c>
      <c r="Q885">
        <f>IF(COUNTIFS('United Data'!$A$3:$A$2150,Q$1,'United Data'!$C$3:$C$2150,$A885)&gt;0,1,0)</f>
        <v>0</v>
      </c>
      <c r="R885">
        <f>IF(COUNTIFS('United Data'!$A$3:$A$2150,R$1,'United Data'!$C$3:$C$2150,$A885)&gt;0,1,0)</f>
        <v>0</v>
      </c>
      <c r="S885">
        <f t="shared" si="26"/>
        <v>1</v>
      </c>
      <c r="T885">
        <f t="shared" si="27"/>
        <v>1</v>
      </c>
    </row>
    <row r="886" spans="1:20" x14ac:dyDescent="0.2">
      <c r="A886" t="s">
        <v>931</v>
      </c>
      <c r="B886">
        <f>IF(COUNTIFS('United Data'!$A$3:$A$2150,B$1,'United Data'!$C$3:$C$2150,$A886)&gt;0,1,0)</f>
        <v>0</v>
      </c>
      <c r="C886">
        <f>IF(COUNTIFS('United Data'!$A$3:$A$2150,C$1,'United Data'!$C$3:$C$2150,$A886)&gt;0,1,0)</f>
        <v>0</v>
      </c>
      <c r="D886">
        <f>IF(COUNTIFS('United Data'!$A$3:$A$2150,D$1,'United Data'!$C$3:$C$2150,$A886)&gt;0,1,0)</f>
        <v>0</v>
      </c>
      <c r="E886">
        <f>IF(COUNTIFS('United Data'!$A$3:$A$2150,E$1,'United Data'!$C$3:$C$2150,$A886)&gt;0,1,0)</f>
        <v>0</v>
      </c>
      <c r="F886">
        <f>IF(COUNTIFS('United Data'!$A$3:$A$2150,F$1,'United Data'!$C$3:$C$2150,$A886)&gt;0,1,0)</f>
        <v>0</v>
      </c>
      <c r="G886">
        <f>IF(COUNTIFS('United Data'!$A$3:$A$2150,G$1,'United Data'!$C$3:$C$2150,$A886)&gt;0,1,0)</f>
        <v>0</v>
      </c>
      <c r="H886">
        <f>IF(COUNTIFS('United Data'!$A$3:$A$2150,H$1,'United Data'!$C$3:$C$2150,$A886)&gt;0,1,0)</f>
        <v>0</v>
      </c>
      <c r="I886">
        <f>IF(COUNTIFS('United Data'!$A$3:$A$2150,I$1,'United Data'!$C$3:$C$2150,$A886)&gt;0,1,0)</f>
        <v>0</v>
      </c>
      <c r="J886">
        <f>IF(COUNTIFS('United Data'!$A$3:$A$2150,J$1,'United Data'!$C$3:$C$2150,$A886)&gt;0,1,0)</f>
        <v>0</v>
      </c>
      <c r="K886">
        <f>IF(COUNTIFS('United Data'!$A$3:$A$2150,K$1,'United Data'!$C$3:$C$2150,$A886)&gt;0,1,0)</f>
        <v>1</v>
      </c>
      <c r="L886">
        <f>IF(COUNTIFS('United Data'!$A$3:$A$2150,L$1,'United Data'!$C$3:$C$2150,$A886)&gt;0,1,0)</f>
        <v>0</v>
      </c>
      <c r="M886">
        <f>IF(COUNTIFS('United Data'!$A$3:$A$2150,M$1,'United Data'!$C$3:$C$2150,$A886)&gt;0,1,0)</f>
        <v>0</v>
      </c>
      <c r="N886">
        <f>IF(COUNTIFS('United Data'!$A$3:$A$2150,N$1,'United Data'!$C$3:$C$2150,$A886)&gt;0,1,0)</f>
        <v>0</v>
      </c>
      <c r="O886">
        <f>IF(COUNTIFS('United Data'!$A$3:$A$2150,O$1,'United Data'!$C$3:$C$2150,$A886)&gt;0,1,0)</f>
        <v>0</v>
      </c>
      <c r="P886">
        <f>IF(COUNTIFS('United Data'!$A$3:$A$2150,P$1,'United Data'!$C$3:$C$2150,$A886)&gt;0,1,0)</f>
        <v>0</v>
      </c>
      <c r="Q886">
        <f>IF(COUNTIFS('United Data'!$A$3:$A$2150,Q$1,'United Data'!$C$3:$C$2150,$A886)&gt;0,1,0)</f>
        <v>0</v>
      </c>
      <c r="R886">
        <f>IF(COUNTIFS('United Data'!$A$3:$A$2150,R$1,'United Data'!$C$3:$C$2150,$A886)&gt;0,1,0)</f>
        <v>0</v>
      </c>
      <c r="S886">
        <f t="shared" si="26"/>
        <v>1</v>
      </c>
      <c r="T886">
        <f t="shared" si="27"/>
        <v>1</v>
      </c>
    </row>
    <row r="887" spans="1:20" x14ac:dyDescent="0.2">
      <c r="A887" t="s">
        <v>932</v>
      </c>
      <c r="B887">
        <f>IF(COUNTIFS('United Data'!$A$3:$A$2150,B$1,'United Data'!$C$3:$C$2150,$A887)&gt;0,1,0)</f>
        <v>0</v>
      </c>
      <c r="C887">
        <f>IF(COUNTIFS('United Data'!$A$3:$A$2150,C$1,'United Data'!$C$3:$C$2150,$A887)&gt;0,1,0)</f>
        <v>0</v>
      </c>
      <c r="D887">
        <f>IF(COUNTIFS('United Data'!$A$3:$A$2150,D$1,'United Data'!$C$3:$C$2150,$A887)&gt;0,1,0)</f>
        <v>0</v>
      </c>
      <c r="E887">
        <f>IF(COUNTIFS('United Data'!$A$3:$A$2150,E$1,'United Data'!$C$3:$C$2150,$A887)&gt;0,1,0)</f>
        <v>0</v>
      </c>
      <c r="F887">
        <f>IF(COUNTIFS('United Data'!$A$3:$A$2150,F$1,'United Data'!$C$3:$C$2150,$A887)&gt;0,1,0)</f>
        <v>0</v>
      </c>
      <c r="G887">
        <f>IF(COUNTIFS('United Data'!$A$3:$A$2150,G$1,'United Data'!$C$3:$C$2150,$A887)&gt;0,1,0)</f>
        <v>0</v>
      </c>
      <c r="H887">
        <f>IF(COUNTIFS('United Data'!$A$3:$A$2150,H$1,'United Data'!$C$3:$C$2150,$A887)&gt;0,1,0)</f>
        <v>0</v>
      </c>
      <c r="I887">
        <f>IF(COUNTIFS('United Data'!$A$3:$A$2150,I$1,'United Data'!$C$3:$C$2150,$A887)&gt;0,1,0)</f>
        <v>0</v>
      </c>
      <c r="J887">
        <f>IF(COUNTIFS('United Data'!$A$3:$A$2150,J$1,'United Data'!$C$3:$C$2150,$A887)&gt;0,1,0)</f>
        <v>0</v>
      </c>
      <c r="K887">
        <f>IF(COUNTIFS('United Data'!$A$3:$A$2150,K$1,'United Data'!$C$3:$C$2150,$A887)&gt;0,1,0)</f>
        <v>1</v>
      </c>
      <c r="L887">
        <f>IF(COUNTIFS('United Data'!$A$3:$A$2150,L$1,'United Data'!$C$3:$C$2150,$A887)&gt;0,1,0)</f>
        <v>0</v>
      </c>
      <c r="M887">
        <f>IF(COUNTIFS('United Data'!$A$3:$A$2150,M$1,'United Data'!$C$3:$C$2150,$A887)&gt;0,1,0)</f>
        <v>0</v>
      </c>
      <c r="N887">
        <f>IF(COUNTIFS('United Data'!$A$3:$A$2150,N$1,'United Data'!$C$3:$C$2150,$A887)&gt;0,1,0)</f>
        <v>0</v>
      </c>
      <c r="O887">
        <f>IF(COUNTIFS('United Data'!$A$3:$A$2150,O$1,'United Data'!$C$3:$C$2150,$A887)&gt;0,1,0)</f>
        <v>0</v>
      </c>
      <c r="P887">
        <f>IF(COUNTIFS('United Data'!$A$3:$A$2150,P$1,'United Data'!$C$3:$C$2150,$A887)&gt;0,1,0)</f>
        <v>0</v>
      </c>
      <c r="Q887">
        <f>IF(COUNTIFS('United Data'!$A$3:$A$2150,Q$1,'United Data'!$C$3:$C$2150,$A887)&gt;0,1,0)</f>
        <v>0</v>
      </c>
      <c r="R887">
        <f>IF(COUNTIFS('United Data'!$A$3:$A$2150,R$1,'United Data'!$C$3:$C$2150,$A887)&gt;0,1,0)</f>
        <v>0</v>
      </c>
      <c r="S887">
        <f t="shared" si="26"/>
        <v>1</v>
      </c>
      <c r="T887">
        <f t="shared" si="27"/>
        <v>1</v>
      </c>
    </row>
    <row r="888" spans="1:20" x14ac:dyDescent="0.2">
      <c r="A888" t="s">
        <v>933</v>
      </c>
      <c r="B888">
        <f>IF(COUNTIFS('United Data'!$A$3:$A$2150,B$1,'United Data'!$C$3:$C$2150,$A888)&gt;0,1,0)</f>
        <v>0</v>
      </c>
      <c r="C888">
        <f>IF(COUNTIFS('United Data'!$A$3:$A$2150,C$1,'United Data'!$C$3:$C$2150,$A888)&gt;0,1,0)</f>
        <v>0</v>
      </c>
      <c r="D888">
        <f>IF(COUNTIFS('United Data'!$A$3:$A$2150,D$1,'United Data'!$C$3:$C$2150,$A888)&gt;0,1,0)</f>
        <v>0</v>
      </c>
      <c r="E888">
        <f>IF(COUNTIFS('United Data'!$A$3:$A$2150,E$1,'United Data'!$C$3:$C$2150,$A888)&gt;0,1,0)</f>
        <v>0</v>
      </c>
      <c r="F888">
        <f>IF(COUNTIFS('United Data'!$A$3:$A$2150,F$1,'United Data'!$C$3:$C$2150,$A888)&gt;0,1,0)</f>
        <v>0</v>
      </c>
      <c r="G888">
        <f>IF(COUNTIFS('United Data'!$A$3:$A$2150,G$1,'United Data'!$C$3:$C$2150,$A888)&gt;0,1,0)</f>
        <v>0</v>
      </c>
      <c r="H888">
        <f>IF(COUNTIFS('United Data'!$A$3:$A$2150,H$1,'United Data'!$C$3:$C$2150,$A888)&gt;0,1,0)</f>
        <v>0</v>
      </c>
      <c r="I888">
        <f>IF(COUNTIFS('United Data'!$A$3:$A$2150,I$1,'United Data'!$C$3:$C$2150,$A888)&gt;0,1,0)</f>
        <v>0</v>
      </c>
      <c r="J888">
        <f>IF(COUNTIFS('United Data'!$A$3:$A$2150,J$1,'United Data'!$C$3:$C$2150,$A888)&gt;0,1,0)</f>
        <v>0</v>
      </c>
      <c r="K888">
        <f>IF(COUNTIFS('United Data'!$A$3:$A$2150,K$1,'United Data'!$C$3:$C$2150,$A888)&gt;0,1,0)</f>
        <v>1</v>
      </c>
      <c r="L888">
        <f>IF(COUNTIFS('United Data'!$A$3:$A$2150,L$1,'United Data'!$C$3:$C$2150,$A888)&gt;0,1,0)</f>
        <v>0</v>
      </c>
      <c r="M888">
        <f>IF(COUNTIFS('United Data'!$A$3:$A$2150,M$1,'United Data'!$C$3:$C$2150,$A888)&gt;0,1,0)</f>
        <v>0</v>
      </c>
      <c r="N888">
        <f>IF(COUNTIFS('United Data'!$A$3:$A$2150,N$1,'United Data'!$C$3:$C$2150,$A888)&gt;0,1,0)</f>
        <v>0</v>
      </c>
      <c r="O888">
        <f>IF(COUNTIFS('United Data'!$A$3:$A$2150,O$1,'United Data'!$C$3:$C$2150,$A888)&gt;0,1,0)</f>
        <v>0</v>
      </c>
      <c r="P888">
        <f>IF(COUNTIFS('United Data'!$A$3:$A$2150,P$1,'United Data'!$C$3:$C$2150,$A888)&gt;0,1,0)</f>
        <v>0</v>
      </c>
      <c r="Q888">
        <f>IF(COUNTIFS('United Data'!$A$3:$A$2150,Q$1,'United Data'!$C$3:$C$2150,$A888)&gt;0,1,0)</f>
        <v>0</v>
      </c>
      <c r="R888">
        <f>IF(COUNTIFS('United Data'!$A$3:$A$2150,R$1,'United Data'!$C$3:$C$2150,$A888)&gt;0,1,0)</f>
        <v>0</v>
      </c>
      <c r="S888">
        <f t="shared" si="26"/>
        <v>1</v>
      </c>
      <c r="T888">
        <f t="shared" si="27"/>
        <v>1</v>
      </c>
    </row>
    <row r="889" spans="1:20" x14ac:dyDescent="0.2">
      <c r="A889" t="s">
        <v>934</v>
      </c>
      <c r="B889">
        <f>IF(COUNTIFS('United Data'!$A$3:$A$2150,B$1,'United Data'!$C$3:$C$2150,$A889)&gt;0,1,0)</f>
        <v>0</v>
      </c>
      <c r="C889">
        <f>IF(COUNTIFS('United Data'!$A$3:$A$2150,C$1,'United Data'!$C$3:$C$2150,$A889)&gt;0,1,0)</f>
        <v>0</v>
      </c>
      <c r="D889">
        <f>IF(COUNTIFS('United Data'!$A$3:$A$2150,D$1,'United Data'!$C$3:$C$2150,$A889)&gt;0,1,0)</f>
        <v>0</v>
      </c>
      <c r="E889">
        <f>IF(COUNTIFS('United Data'!$A$3:$A$2150,E$1,'United Data'!$C$3:$C$2150,$A889)&gt;0,1,0)</f>
        <v>0</v>
      </c>
      <c r="F889">
        <f>IF(COUNTIFS('United Data'!$A$3:$A$2150,F$1,'United Data'!$C$3:$C$2150,$A889)&gt;0,1,0)</f>
        <v>0</v>
      </c>
      <c r="G889">
        <f>IF(COUNTIFS('United Data'!$A$3:$A$2150,G$1,'United Data'!$C$3:$C$2150,$A889)&gt;0,1,0)</f>
        <v>0</v>
      </c>
      <c r="H889">
        <f>IF(COUNTIFS('United Data'!$A$3:$A$2150,H$1,'United Data'!$C$3:$C$2150,$A889)&gt;0,1,0)</f>
        <v>0</v>
      </c>
      <c r="I889">
        <f>IF(COUNTIFS('United Data'!$A$3:$A$2150,I$1,'United Data'!$C$3:$C$2150,$A889)&gt;0,1,0)</f>
        <v>0</v>
      </c>
      <c r="J889">
        <f>IF(COUNTIFS('United Data'!$A$3:$A$2150,J$1,'United Data'!$C$3:$C$2150,$A889)&gt;0,1,0)</f>
        <v>0</v>
      </c>
      <c r="K889">
        <f>IF(COUNTIFS('United Data'!$A$3:$A$2150,K$1,'United Data'!$C$3:$C$2150,$A889)&gt;0,1,0)</f>
        <v>1</v>
      </c>
      <c r="L889">
        <f>IF(COUNTIFS('United Data'!$A$3:$A$2150,L$1,'United Data'!$C$3:$C$2150,$A889)&gt;0,1,0)</f>
        <v>0</v>
      </c>
      <c r="M889">
        <f>IF(COUNTIFS('United Data'!$A$3:$A$2150,M$1,'United Data'!$C$3:$C$2150,$A889)&gt;0,1,0)</f>
        <v>0</v>
      </c>
      <c r="N889">
        <f>IF(COUNTIFS('United Data'!$A$3:$A$2150,N$1,'United Data'!$C$3:$C$2150,$A889)&gt;0,1,0)</f>
        <v>0</v>
      </c>
      <c r="O889">
        <f>IF(COUNTIFS('United Data'!$A$3:$A$2150,O$1,'United Data'!$C$3:$C$2150,$A889)&gt;0,1,0)</f>
        <v>0</v>
      </c>
      <c r="P889">
        <f>IF(COUNTIFS('United Data'!$A$3:$A$2150,P$1,'United Data'!$C$3:$C$2150,$A889)&gt;0,1,0)</f>
        <v>0</v>
      </c>
      <c r="Q889">
        <f>IF(COUNTIFS('United Data'!$A$3:$A$2150,Q$1,'United Data'!$C$3:$C$2150,$A889)&gt;0,1,0)</f>
        <v>0</v>
      </c>
      <c r="R889">
        <f>IF(COUNTIFS('United Data'!$A$3:$A$2150,R$1,'United Data'!$C$3:$C$2150,$A889)&gt;0,1,0)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935</v>
      </c>
      <c r="B890">
        <f>IF(COUNTIFS('United Data'!$A$3:$A$2150,B$1,'United Data'!$C$3:$C$2150,$A890)&gt;0,1,0)</f>
        <v>0</v>
      </c>
      <c r="C890">
        <f>IF(COUNTIFS('United Data'!$A$3:$A$2150,C$1,'United Data'!$C$3:$C$2150,$A890)&gt;0,1,0)</f>
        <v>0</v>
      </c>
      <c r="D890">
        <f>IF(COUNTIFS('United Data'!$A$3:$A$2150,D$1,'United Data'!$C$3:$C$2150,$A890)&gt;0,1,0)</f>
        <v>0</v>
      </c>
      <c r="E890">
        <f>IF(COUNTIFS('United Data'!$A$3:$A$2150,E$1,'United Data'!$C$3:$C$2150,$A890)&gt;0,1,0)</f>
        <v>0</v>
      </c>
      <c r="F890">
        <f>IF(COUNTIFS('United Data'!$A$3:$A$2150,F$1,'United Data'!$C$3:$C$2150,$A890)&gt;0,1,0)</f>
        <v>0</v>
      </c>
      <c r="G890">
        <f>IF(COUNTIFS('United Data'!$A$3:$A$2150,G$1,'United Data'!$C$3:$C$2150,$A890)&gt;0,1,0)</f>
        <v>0</v>
      </c>
      <c r="H890">
        <f>IF(COUNTIFS('United Data'!$A$3:$A$2150,H$1,'United Data'!$C$3:$C$2150,$A890)&gt;0,1,0)</f>
        <v>0</v>
      </c>
      <c r="I890">
        <f>IF(COUNTIFS('United Data'!$A$3:$A$2150,I$1,'United Data'!$C$3:$C$2150,$A890)&gt;0,1,0)</f>
        <v>0</v>
      </c>
      <c r="J890">
        <f>IF(COUNTIFS('United Data'!$A$3:$A$2150,J$1,'United Data'!$C$3:$C$2150,$A890)&gt;0,1,0)</f>
        <v>0</v>
      </c>
      <c r="K890">
        <f>IF(COUNTIFS('United Data'!$A$3:$A$2150,K$1,'United Data'!$C$3:$C$2150,$A890)&gt;0,1,0)</f>
        <v>1</v>
      </c>
      <c r="L890">
        <f>IF(COUNTIFS('United Data'!$A$3:$A$2150,L$1,'United Data'!$C$3:$C$2150,$A890)&gt;0,1,0)</f>
        <v>0</v>
      </c>
      <c r="M890">
        <f>IF(COUNTIFS('United Data'!$A$3:$A$2150,M$1,'United Data'!$C$3:$C$2150,$A890)&gt;0,1,0)</f>
        <v>0</v>
      </c>
      <c r="N890">
        <f>IF(COUNTIFS('United Data'!$A$3:$A$2150,N$1,'United Data'!$C$3:$C$2150,$A890)&gt;0,1,0)</f>
        <v>0</v>
      </c>
      <c r="O890">
        <f>IF(COUNTIFS('United Data'!$A$3:$A$2150,O$1,'United Data'!$C$3:$C$2150,$A890)&gt;0,1,0)</f>
        <v>0</v>
      </c>
      <c r="P890">
        <f>IF(COUNTIFS('United Data'!$A$3:$A$2150,P$1,'United Data'!$C$3:$C$2150,$A890)&gt;0,1,0)</f>
        <v>0</v>
      </c>
      <c r="Q890">
        <f>IF(COUNTIFS('United Data'!$A$3:$A$2150,Q$1,'United Data'!$C$3:$C$2150,$A890)&gt;0,1,0)</f>
        <v>0</v>
      </c>
      <c r="R890">
        <f>IF(COUNTIFS('United Data'!$A$3:$A$2150,R$1,'United Data'!$C$3:$C$2150,$A890)&gt;0,1,0)</f>
        <v>0</v>
      </c>
      <c r="S890">
        <f t="shared" si="26"/>
        <v>1</v>
      </c>
      <c r="T890">
        <f t="shared" si="27"/>
        <v>1</v>
      </c>
    </row>
    <row r="891" spans="1:20" x14ac:dyDescent="0.2">
      <c r="A891" t="s">
        <v>936</v>
      </c>
      <c r="B891">
        <f>IF(COUNTIFS('United Data'!$A$3:$A$2150,B$1,'United Data'!$C$3:$C$2150,$A891)&gt;0,1,0)</f>
        <v>0</v>
      </c>
      <c r="C891">
        <f>IF(COUNTIFS('United Data'!$A$3:$A$2150,C$1,'United Data'!$C$3:$C$2150,$A891)&gt;0,1,0)</f>
        <v>0</v>
      </c>
      <c r="D891">
        <f>IF(COUNTIFS('United Data'!$A$3:$A$2150,D$1,'United Data'!$C$3:$C$2150,$A891)&gt;0,1,0)</f>
        <v>0</v>
      </c>
      <c r="E891">
        <f>IF(COUNTIFS('United Data'!$A$3:$A$2150,E$1,'United Data'!$C$3:$C$2150,$A891)&gt;0,1,0)</f>
        <v>0</v>
      </c>
      <c r="F891">
        <f>IF(COUNTIFS('United Data'!$A$3:$A$2150,F$1,'United Data'!$C$3:$C$2150,$A891)&gt;0,1,0)</f>
        <v>0</v>
      </c>
      <c r="G891">
        <f>IF(COUNTIFS('United Data'!$A$3:$A$2150,G$1,'United Data'!$C$3:$C$2150,$A891)&gt;0,1,0)</f>
        <v>0</v>
      </c>
      <c r="H891">
        <f>IF(COUNTIFS('United Data'!$A$3:$A$2150,H$1,'United Data'!$C$3:$C$2150,$A891)&gt;0,1,0)</f>
        <v>0</v>
      </c>
      <c r="I891">
        <f>IF(COUNTIFS('United Data'!$A$3:$A$2150,I$1,'United Data'!$C$3:$C$2150,$A891)&gt;0,1,0)</f>
        <v>0</v>
      </c>
      <c r="J891">
        <f>IF(COUNTIFS('United Data'!$A$3:$A$2150,J$1,'United Data'!$C$3:$C$2150,$A891)&gt;0,1,0)</f>
        <v>0</v>
      </c>
      <c r="K891">
        <f>IF(COUNTIFS('United Data'!$A$3:$A$2150,K$1,'United Data'!$C$3:$C$2150,$A891)&gt;0,1,0)</f>
        <v>1</v>
      </c>
      <c r="L891">
        <f>IF(COUNTIFS('United Data'!$A$3:$A$2150,L$1,'United Data'!$C$3:$C$2150,$A891)&gt;0,1,0)</f>
        <v>0</v>
      </c>
      <c r="M891">
        <f>IF(COUNTIFS('United Data'!$A$3:$A$2150,M$1,'United Data'!$C$3:$C$2150,$A891)&gt;0,1,0)</f>
        <v>0</v>
      </c>
      <c r="N891">
        <f>IF(COUNTIFS('United Data'!$A$3:$A$2150,N$1,'United Data'!$C$3:$C$2150,$A891)&gt;0,1,0)</f>
        <v>0</v>
      </c>
      <c r="O891">
        <f>IF(COUNTIFS('United Data'!$A$3:$A$2150,O$1,'United Data'!$C$3:$C$2150,$A891)&gt;0,1,0)</f>
        <v>0</v>
      </c>
      <c r="P891">
        <f>IF(COUNTIFS('United Data'!$A$3:$A$2150,P$1,'United Data'!$C$3:$C$2150,$A891)&gt;0,1,0)</f>
        <v>0</v>
      </c>
      <c r="Q891">
        <f>IF(COUNTIFS('United Data'!$A$3:$A$2150,Q$1,'United Data'!$C$3:$C$2150,$A891)&gt;0,1,0)</f>
        <v>0</v>
      </c>
      <c r="R891">
        <f>IF(COUNTIFS('United Data'!$A$3:$A$2150,R$1,'United Data'!$C$3:$C$2150,$A891)&gt;0,1,0)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937</v>
      </c>
      <c r="B892">
        <f>IF(COUNTIFS('United Data'!$A$3:$A$2150,B$1,'United Data'!$C$3:$C$2150,$A892)&gt;0,1,0)</f>
        <v>0</v>
      </c>
      <c r="C892">
        <f>IF(COUNTIFS('United Data'!$A$3:$A$2150,C$1,'United Data'!$C$3:$C$2150,$A892)&gt;0,1,0)</f>
        <v>0</v>
      </c>
      <c r="D892">
        <f>IF(COUNTIFS('United Data'!$A$3:$A$2150,D$1,'United Data'!$C$3:$C$2150,$A892)&gt;0,1,0)</f>
        <v>0</v>
      </c>
      <c r="E892">
        <f>IF(COUNTIFS('United Data'!$A$3:$A$2150,E$1,'United Data'!$C$3:$C$2150,$A892)&gt;0,1,0)</f>
        <v>0</v>
      </c>
      <c r="F892">
        <f>IF(COUNTIFS('United Data'!$A$3:$A$2150,F$1,'United Data'!$C$3:$C$2150,$A892)&gt;0,1,0)</f>
        <v>0</v>
      </c>
      <c r="G892">
        <f>IF(COUNTIFS('United Data'!$A$3:$A$2150,G$1,'United Data'!$C$3:$C$2150,$A892)&gt;0,1,0)</f>
        <v>0</v>
      </c>
      <c r="H892">
        <f>IF(COUNTIFS('United Data'!$A$3:$A$2150,H$1,'United Data'!$C$3:$C$2150,$A892)&gt;0,1,0)</f>
        <v>0</v>
      </c>
      <c r="I892">
        <f>IF(COUNTIFS('United Data'!$A$3:$A$2150,I$1,'United Data'!$C$3:$C$2150,$A892)&gt;0,1,0)</f>
        <v>0</v>
      </c>
      <c r="J892">
        <f>IF(COUNTIFS('United Data'!$A$3:$A$2150,J$1,'United Data'!$C$3:$C$2150,$A892)&gt;0,1,0)</f>
        <v>0</v>
      </c>
      <c r="K892">
        <f>IF(COUNTIFS('United Data'!$A$3:$A$2150,K$1,'United Data'!$C$3:$C$2150,$A892)&gt;0,1,0)</f>
        <v>1</v>
      </c>
      <c r="L892">
        <f>IF(COUNTIFS('United Data'!$A$3:$A$2150,L$1,'United Data'!$C$3:$C$2150,$A892)&gt;0,1,0)</f>
        <v>0</v>
      </c>
      <c r="M892">
        <f>IF(COUNTIFS('United Data'!$A$3:$A$2150,M$1,'United Data'!$C$3:$C$2150,$A892)&gt;0,1,0)</f>
        <v>0</v>
      </c>
      <c r="N892">
        <f>IF(COUNTIFS('United Data'!$A$3:$A$2150,N$1,'United Data'!$C$3:$C$2150,$A892)&gt;0,1,0)</f>
        <v>0</v>
      </c>
      <c r="O892">
        <f>IF(COUNTIFS('United Data'!$A$3:$A$2150,O$1,'United Data'!$C$3:$C$2150,$A892)&gt;0,1,0)</f>
        <v>0</v>
      </c>
      <c r="P892">
        <f>IF(COUNTIFS('United Data'!$A$3:$A$2150,P$1,'United Data'!$C$3:$C$2150,$A892)&gt;0,1,0)</f>
        <v>0</v>
      </c>
      <c r="Q892">
        <f>IF(COUNTIFS('United Data'!$A$3:$A$2150,Q$1,'United Data'!$C$3:$C$2150,$A892)&gt;0,1,0)</f>
        <v>0</v>
      </c>
      <c r="R892">
        <f>IF(COUNTIFS('United Data'!$A$3:$A$2150,R$1,'United Data'!$C$3:$C$2150,$A892)&gt;0,1,0)</f>
        <v>0</v>
      </c>
      <c r="S892">
        <f t="shared" si="26"/>
        <v>1</v>
      </c>
      <c r="T892">
        <f t="shared" si="27"/>
        <v>1</v>
      </c>
    </row>
    <row r="893" spans="1:20" x14ac:dyDescent="0.2">
      <c r="A893" t="s">
        <v>938</v>
      </c>
      <c r="B893">
        <f>IF(COUNTIFS('United Data'!$A$3:$A$2150,B$1,'United Data'!$C$3:$C$2150,$A893)&gt;0,1,0)</f>
        <v>0</v>
      </c>
      <c r="C893">
        <f>IF(COUNTIFS('United Data'!$A$3:$A$2150,C$1,'United Data'!$C$3:$C$2150,$A893)&gt;0,1,0)</f>
        <v>0</v>
      </c>
      <c r="D893">
        <f>IF(COUNTIFS('United Data'!$A$3:$A$2150,D$1,'United Data'!$C$3:$C$2150,$A893)&gt;0,1,0)</f>
        <v>0</v>
      </c>
      <c r="E893">
        <f>IF(COUNTIFS('United Data'!$A$3:$A$2150,E$1,'United Data'!$C$3:$C$2150,$A893)&gt;0,1,0)</f>
        <v>0</v>
      </c>
      <c r="F893">
        <f>IF(COUNTIFS('United Data'!$A$3:$A$2150,F$1,'United Data'!$C$3:$C$2150,$A893)&gt;0,1,0)</f>
        <v>0</v>
      </c>
      <c r="G893">
        <f>IF(COUNTIFS('United Data'!$A$3:$A$2150,G$1,'United Data'!$C$3:$C$2150,$A893)&gt;0,1,0)</f>
        <v>0</v>
      </c>
      <c r="H893">
        <f>IF(COUNTIFS('United Data'!$A$3:$A$2150,H$1,'United Data'!$C$3:$C$2150,$A893)&gt;0,1,0)</f>
        <v>0</v>
      </c>
      <c r="I893">
        <f>IF(COUNTIFS('United Data'!$A$3:$A$2150,I$1,'United Data'!$C$3:$C$2150,$A893)&gt;0,1,0)</f>
        <v>0</v>
      </c>
      <c r="J893">
        <f>IF(COUNTIFS('United Data'!$A$3:$A$2150,J$1,'United Data'!$C$3:$C$2150,$A893)&gt;0,1,0)</f>
        <v>0</v>
      </c>
      <c r="K893">
        <f>IF(COUNTIFS('United Data'!$A$3:$A$2150,K$1,'United Data'!$C$3:$C$2150,$A893)&gt;0,1,0)</f>
        <v>1</v>
      </c>
      <c r="L893">
        <f>IF(COUNTIFS('United Data'!$A$3:$A$2150,L$1,'United Data'!$C$3:$C$2150,$A893)&gt;0,1,0)</f>
        <v>0</v>
      </c>
      <c r="M893">
        <f>IF(COUNTIFS('United Data'!$A$3:$A$2150,M$1,'United Data'!$C$3:$C$2150,$A893)&gt;0,1,0)</f>
        <v>0</v>
      </c>
      <c r="N893">
        <f>IF(COUNTIFS('United Data'!$A$3:$A$2150,N$1,'United Data'!$C$3:$C$2150,$A893)&gt;0,1,0)</f>
        <v>0</v>
      </c>
      <c r="O893">
        <f>IF(COUNTIFS('United Data'!$A$3:$A$2150,O$1,'United Data'!$C$3:$C$2150,$A893)&gt;0,1,0)</f>
        <v>0</v>
      </c>
      <c r="P893">
        <f>IF(COUNTIFS('United Data'!$A$3:$A$2150,P$1,'United Data'!$C$3:$C$2150,$A893)&gt;0,1,0)</f>
        <v>0</v>
      </c>
      <c r="Q893">
        <f>IF(COUNTIFS('United Data'!$A$3:$A$2150,Q$1,'United Data'!$C$3:$C$2150,$A893)&gt;0,1,0)</f>
        <v>0</v>
      </c>
      <c r="R893">
        <f>IF(COUNTIFS('United Data'!$A$3:$A$2150,R$1,'United Data'!$C$3:$C$2150,$A893)&gt;0,1,0)</f>
        <v>0</v>
      </c>
      <c r="S893">
        <f t="shared" si="26"/>
        <v>1</v>
      </c>
      <c r="T893">
        <f t="shared" si="27"/>
        <v>1</v>
      </c>
    </row>
    <row r="894" spans="1:20" x14ac:dyDescent="0.2">
      <c r="A894" t="s">
        <v>939</v>
      </c>
      <c r="B894">
        <f>IF(COUNTIFS('United Data'!$A$3:$A$2150,B$1,'United Data'!$C$3:$C$2150,$A894)&gt;0,1,0)</f>
        <v>0</v>
      </c>
      <c r="C894">
        <f>IF(COUNTIFS('United Data'!$A$3:$A$2150,C$1,'United Data'!$C$3:$C$2150,$A894)&gt;0,1,0)</f>
        <v>0</v>
      </c>
      <c r="D894">
        <f>IF(COUNTIFS('United Data'!$A$3:$A$2150,D$1,'United Data'!$C$3:$C$2150,$A894)&gt;0,1,0)</f>
        <v>0</v>
      </c>
      <c r="E894">
        <f>IF(COUNTIFS('United Data'!$A$3:$A$2150,E$1,'United Data'!$C$3:$C$2150,$A894)&gt;0,1,0)</f>
        <v>0</v>
      </c>
      <c r="F894">
        <f>IF(COUNTIFS('United Data'!$A$3:$A$2150,F$1,'United Data'!$C$3:$C$2150,$A894)&gt;0,1,0)</f>
        <v>0</v>
      </c>
      <c r="G894">
        <f>IF(COUNTIFS('United Data'!$A$3:$A$2150,G$1,'United Data'!$C$3:$C$2150,$A894)&gt;0,1,0)</f>
        <v>0</v>
      </c>
      <c r="H894">
        <f>IF(COUNTIFS('United Data'!$A$3:$A$2150,H$1,'United Data'!$C$3:$C$2150,$A894)&gt;0,1,0)</f>
        <v>0</v>
      </c>
      <c r="I894">
        <f>IF(COUNTIFS('United Data'!$A$3:$A$2150,I$1,'United Data'!$C$3:$C$2150,$A894)&gt;0,1,0)</f>
        <v>0</v>
      </c>
      <c r="J894">
        <f>IF(COUNTIFS('United Data'!$A$3:$A$2150,J$1,'United Data'!$C$3:$C$2150,$A894)&gt;0,1,0)</f>
        <v>0</v>
      </c>
      <c r="K894">
        <f>IF(COUNTIFS('United Data'!$A$3:$A$2150,K$1,'United Data'!$C$3:$C$2150,$A894)&gt;0,1,0)</f>
        <v>0</v>
      </c>
      <c r="L894">
        <f>IF(COUNTIFS('United Data'!$A$3:$A$2150,L$1,'United Data'!$C$3:$C$2150,$A894)&gt;0,1,0)</f>
        <v>1</v>
      </c>
      <c r="M894">
        <f>IF(COUNTIFS('United Data'!$A$3:$A$2150,M$1,'United Data'!$C$3:$C$2150,$A894)&gt;0,1,0)</f>
        <v>0</v>
      </c>
      <c r="N894">
        <f>IF(COUNTIFS('United Data'!$A$3:$A$2150,N$1,'United Data'!$C$3:$C$2150,$A894)&gt;0,1,0)</f>
        <v>0</v>
      </c>
      <c r="O894">
        <f>IF(COUNTIFS('United Data'!$A$3:$A$2150,O$1,'United Data'!$C$3:$C$2150,$A894)&gt;0,1,0)</f>
        <v>0</v>
      </c>
      <c r="P894">
        <f>IF(COUNTIFS('United Data'!$A$3:$A$2150,P$1,'United Data'!$C$3:$C$2150,$A894)&gt;0,1,0)</f>
        <v>0</v>
      </c>
      <c r="Q894">
        <f>IF(COUNTIFS('United Data'!$A$3:$A$2150,Q$1,'United Data'!$C$3:$C$2150,$A894)&gt;0,1,0)</f>
        <v>0</v>
      </c>
      <c r="R894">
        <f>IF(COUNTIFS('United Data'!$A$3:$A$2150,R$1,'United Data'!$C$3:$C$2150,$A894)&gt;0,1,0)</f>
        <v>0</v>
      </c>
      <c r="S894">
        <f t="shared" si="26"/>
        <v>1</v>
      </c>
      <c r="T894">
        <f t="shared" si="27"/>
        <v>1</v>
      </c>
    </row>
    <row r="895" spans="1:20" x14ac:dyDescent="0.2">
      <c r="A895" t="s">
        <v>940</v>
      </c>
      <c r="B895">
        <f>IF(COUNTIFS('United Data'!$A$3:$A$2150,B$1,'United Data'!$C$3:$C$2150,$A895)&gt;0,1,0)</f>
        <v>0</v>
      </c>
      <c r="C895">
        <f>IF(COUNTIFS('United Data'!$A$3:$A$2150,C$1,'United Data'!$C$3:$C$2150,$A895)&gt;0,1,0)</f>
        <v>0</v>
      </c>
      <c r="D895">
        <f>IF(COUNTIFS('United Data'!$A$3:$A$2150,D$1,'United Data'!$C$3:$C$2150,$A895)&gt;0,1,0)</f>
        <v>0</v>
      </c>
      <c r="E895">
        <f>IF(COUNTIFS('United Data'!$A$3:$A$2150,E$1,'United Data'!$C$3:$C$2150,$A895)&gt;0,1,0)</f>
        <v>0</v>
      </c>
      <c r="F895">
        <f>IF(COUNTIFS('United Data'!$A$3:$A$2150,F$1,'United Data'!$C$3:$C$2150,$A895)&gt;0,1,0)</f>
        <v>0</v>
      </c>
      <c r="G895">
        <f>IF(COUNTIFS('United Data'!$A$3:$A$2150,G$1,'United Data'!$C$3:$C$2150,$A895)&gt;0,1,0)</f>
        <v>0</v>
      </c>
      <c r="H895">
        <f>IF(COUNTIFS('United Data'!$A$3:$A$2150,H$1,'United Data'!$C$3:$C$2150,$A895)&gt;0,1,0)</f>
        <v>0</v>
      </c>
      <c r="I895">
        <f>IF(COUNTIFS('United Data'!$A$3:$A$2150,I$1,'United Data'!$C$3:$C$2150,$A895)&gt;0,1,0)</f>
        <v>0</v>
      </c>
      <c r="J895">
        <f>IF(COUNTIFS('United Data'!$A$3:$A$2150,J$1,'United Data'!$C$3:$C$2150,$A895)&gt;0,1,0)</f>
        <v>0</v>
      </c>
      <c r="K895">
        <f>IF(COUNTIFS('United Data'!$A$3:$A$2150,K$1,'United Data'!$C$3:$C$2150,$A895)&gt;0,1,0)</f>
        <v>0</v>
      </c>
      <c r="L895">
        <f>IF(COUNTIFS('United Data'!$A$3:$A$2150,L$1,'United Data'!$C$3:$C$2150,$A895)&gt;0,1,0)</f>
        <v>1</v>
      </c>
      <c r="M895">
        <f>IF(COUNTIFS('United Data'!$A$3:$A$2150,M$1,'United Data'!$C$3:$C$2150,$A895)&gt;0,1,0)</f>
        <v>0</v>
      </c>
      <c r="N895">
        <f>IF(COUNTIFS('United Data'!$A$3:$A$2150,N$1,'United Data'!$C$3:$C$2150,$A895)&gt;0,1,0)</f>
        <v>0</v>
      </c>
      <c r="O895">
        <f>IF(COUNTIFS('United Data'!$A$3:$A$2150,O$1,'United Data'!$C$3:$C$2150,$A895)&gt;0,1,0)</f>
        <v>0</v>
      </c>
      <c r="P895">
        <f>IF(COUNTIFS('United Data'!$A$3:$A$2150,P$1,'United Data'!$C$3:$C$2150,$A895)&gt;0,1,0)</f>
        <v>0</v>
      </c>
      <c r="Q895">
        <f>IF(COUNTIFS('United Data'!$A$3:$A$2150,Q$1,'United Data'!$C$3:$C$2150,$A895)&gt;0,1,0)</f>
        <v>0</v>
      </c>
      <c r="R895">
        <f>IF(COUNTIFS('United Data'!$A$3:$A$2150,R$1,'United Data'!$C$3:$C$2150,$A895)&gt;0,1,0)</f>
        <v>0</v>
      </c>
      <c r="S895">
        <f t="shared" si="26"/>
        <v>1</v>
      </c>
      <c r="T895">
        <f t="shared" si="27"/>
        <v>1</v>
      </c>
    </row>
    <row r="896" spans="1:20" x14ac:dyDescent="0.2">
      <c r="A896" t="s">
        <v>941</v>
      </c>
      <c r="B896">
        <f>IF(COUNTIFS('United Data'!$A$3:$A$2150,B$1,'United Data'!$C$3:$C$2150,$A896)&gt;0,1,0)</f>
        <v>0</v>
      </c>
      <c r="C896">
        <f>IF(COUNTIFS('United Data'!$A$3:$A$2150,C$1,'United Data'!$C$3:$C$2150,$A896)&gt;0,1,0)</f>
        <v>0</v>
      </c>
      <c r="D896">
        <f>IF(COUNTIFS('United Data'!$A$3:$A$2150,D$1,'United Data'!$C$3:$C$2150,$A896)&gt;0,1,0)</f>
        <v>0</v>
      </c>
      <c r="E896">
        <f>IF(COUNTIFS('United Data'!$A$3:$A$2150,E$1,'United Data'!$C$3:$C$2150,$A896)&gt;0,1,0)</f>
        <v>0</v>
      </c>
      <c r="F896">
        <f>IF(COUNTIFS('United Data'!$A$3:$A$2150,F$1,'United Data'!$C$3:$C$2150,$A896)&gt;0,1,0)</f>
        <v>0</v>
      </c>
      <c r="G896">
        <f>IF(COUNTIFS('United Data'!$A$3:$A$2150,G$1,'United Data'!$C$3:$C$2150,$A896)&gt;0,1,0)</f>
        <v>0</v>
      </c>
      <c r="H896">
        <f>IF(COUNTIFS('United Data'!$A$3:$A$2150,H$1,'United Data'!$C$3:$C$2150,$A896)&gt;0,1,0)</f>
        <v>0</v>
      </c>
      <c r="I896">
        <f>IF(COUNTIFS('United Data'!$A$3:$A$2150,I$1,'United Data'!$C$3:$C$2150,$A896)&gt;0,1,0)</f>
        <v>0</v>
      </c>
      <c r="J896">
        <f>IF(COUNTIFS('United Data'!$A$3:$A$2150,J$1,'United Data'!$C$3:$C$2150,$A896)&gt;0,1,0)</f>
        <v>0</v>
      </c>
      <c r="K896">
        <f>IF(COUNTIFS('United Data'!$A$3:$A$2150,K$1,'United Data'!$C$3:$C$2150,$A896)&gt;0,1,0)</f>
        <v>0</v>
      </c>
      <c r="L896">
        <f>IF(COUNTIFS('United Data'!$A$3:$A$2150,L$1,'United Data'!$C$3:$C$2150,$A896)&gt;0,1,0)</f>
        <v>1</v>
      </c>
      <c r="M896">
        <f>IF(COUNTIFS('United Data'!$A$3:$A$2150,M$1,'United Data'!$C$3:$C$2150,$A896)&gt;0,1,0)</f>
        <v>0</v>
      </c>
      <c r="N896">
        <f>IF(COUNTIFS('United Data'!$A$3:$A$2150,N$1,'United Data'!$C$3:$C$2150,$A896)&gt;0,1,0)</f>
        <v>0</v>
      </c>
      <c r="O896">
        <f>IF(COUNTIFS('United Data'!$A$3:$A$2150,O$1,'United Data'!$C$3:$C$2150,$A896)&gt;0,1,0)</f>
        <v>0</v>
      </c>
      <c r="P896">
        <f>IF(COUNTIFS('United Data'!$A$3:$A$2150,P$1,'United Data'!$C$3:$C$2150,$A896)&gt;0,1,0)</f>
        <v>0</v>
      </c>
      <c r="Q896">
        <f>IF(COUNTIFS('United Data'!$A$3:$A$2150,Q$1,'United Data'!$C$3:$C$2150,$A896)&gt;0,1,0)</f>
        <v>0</v>
      </c>
      <c r="R896">
        <f>IF(COUNTIFS('United Data'!$A$3:$A$2150,R$1,'United Data'!$C$3:$C$2150,$A896)&gt;0,1,0)</f>
        <v>0</v>
      </c>
      <c r="S896">
        <f t="shared" si="26"/>
        <v>1</v>
      </c>
      <c r="T896">
        <f t="shared" si="27"/>
        <v>1</v>
      </c>
    </row>
    <row r="897" spans="1:20" x14ac:dyDescent="0.2">
      <c r="A897" t="s">
        <v>942</v>
      </c>
      <c r="B897">
        <f>IF(COUNTIFS('United Data'!$A$3:$A$2150,B$1,'United Data'!$C$3:$C$2150,$A897)&gt;0,1,0)</f>
        <v>0</v>
      </c>
      <c r="C897">
        <f>IF(COUNTIFS('United Data'!$A$3:$A$2150,C$1,'United Data'!$C$3:$C$2150,$A897)&gt;0,1,0)</f>
        <v>0</v>
      </c>
      <c r="D897">
        <f>IF(COUNTIFS('United Data'!$A$3:$A$2150,D$1,'United Data'!$C$3:$C$2150,$A897)&gt;0,1,0)</f>
        <v>0</v>
      </c>
      <c r="E897">
        <f>IF(COUNTIFS('United Data'!$A$3:$A$2150,E$1,'United Data'!$C$3:$C$2150,$A897)&gt;0,1,0)</f>
        <v>0</v>
      </c>
      <c r="F897">
        <f>IF(COUNTIFS('United Data'!$A$3:$A$2150,F$1,'United Data'!$C$3:$C$2150,$A897)&gt;0,1,0)</f>
        <v>0</v>
      </c>
      <c r="G897">
        <f>IF(COUNTIFS('United Data'!$A$3:$A$2150,G$1,'United Data'!$C$3:$C$2150,$A897)&gt;0,1,0)</f>
        <v>0</v>
      </c>
      <c r="H897">
        <f>IF(COUNTIFS('United Data'!$A$3:$A$2150,H$1,'United Data'!$C$3:$C$2150,$A897)&gt;0,1,0)</f>
        <v>0</v>
      </c>
      <c r="I897">
        <f>IF(COUNTIFS('United Data'!$A$3:$A$2150,I$1,'United Data'!$C$3:$C$2150,$A897)&gt;0,1,0)</f>
        <v>0</v>
      </c>
      <c r="J897">
        <f>IF(COUNTIFS('United Data'!$A$3:$A$2150,J$1,'United Data'!$C$3:$C$2150,$A897)&gt;0,1,0)</f>
        <v>0</v>
      </c>
      <c r="K897">
        <f>IF(COUNTIFS('United Data'!$A$3:$A$2150,K$1,'United Data'!$C$3:$C$2150,$A897)&gt;0,1,0)</f>
        <v>0</v>
      </c>
      <c r="L897">
        <f>IF(COUNTIFS('United Data'!$A$3:$A$2150,L$1,'United Data'!$C$3:$C$2150,$A897)&gt;0,1,0)</f>
        <v>1</v>
      </c>
      <c r="M897">
        <f>IF(COUNTIFS('United Data'!$A$3:$A$2150,M$1,'United Data'!$C$3:$C$2150,$A897)&gt;0,1,0)</f>
        <v>1</v>
      </c>
      <c r="N897">
        <f>IF(COUNTIFS('United Data'!$A$3:$A$2150,N$1,'United Data'!$C$3:$C$2150,$A897)&gt;0,1,0)</f>
        <v>1</v>
      </c>
      <c r="O897">
        <f>IF(COUNTIFS('United Data'!$A$3:$A$2150,O$1,'United Data'!$C$3:$C$2150,$A897)&gt;0,1,0)</f>
        <v>1</v>
      </c>
      <c r="P897">
        <f>IF(COUNTIFS('United Data'!$A$3:$A$2150,P$1,'United Data'!$C$3:$C$2150,$A897)&gt;0,1,0)</f>
        <v>1</v>
      </c>
      <c r="Q897">
        <f>IF(COUNTIFS('United Data'!$A$3:$A$2150,Q$1,'United Data'!$C$3:$C$2150,$A897)&gt;0,1,0)</f>
        <v>0</v>
      </c>
      <c r="R897">
        <f>IF(COUNTIFS('United Data'!$A$3:$A$2150,R$1,'United Data'!$C$3:$C$2150,$A897)&gt;0,1,0)</f>
        <v>0</v>
      </c>
      <c r="S897">
        <f t="shared" si="26"/>
        <v>5</v>
      </c>
      <c r="T897">
        <f t="shared" si="27"/>
        <v>1</v>
      </c>
    </row>
    <row r="898" spans="1:20" x14ac:dyDescent="0.2">
      <c r="A898" t="s">
        <v>943</v>
      </c>
      <c r="B898">
        <f>IF(COUNTIFS('United Data'!$A$3:$A$2150,B$1,'United Data'!$C$3:$C$2150,$A898)&gt;0,1,0)</f>
        <v>0</v>
      </c>
      <c r="C898">
        <f>IF(COUNTIFS('United Data'!$A$3:$A$2150,C$1,'United Data'!$C$3:$C$2150,$A898)&gt;0,1,0)</f>
        <v>0</v>
      </c>
      <c r="D898">
        <f>IF(COUNTIFS('United Data'!$A$3:$A$2150,D$1,'United Data'!$C$3:$C$2150,$A898)&gt;0,1,0)</f>
        <v>0</v>
      </c>
      <c r="E898">
        <f>IF(COUNTIFS('United Data'!$A$3:$A$2150,E$1,'United Data'!$C$3:$C$2150,$A898)&gt;0,1,0)</f>
        <v>0</v>
      </c>
      <c r="F898">
        <f>IF(COUNTIFS('United Data'!$A$3:$A$2150,F$1,'United Data'!$C$3:$C$2150,$A898)&gt;0,1,0)</f>
        <v>0</v>
      </c>
      <c r="G898">
        <f>IF(COUNTIFS('United Data'!$A$3:$A$2150,G$1,'United Data'!$C$3:$C$2150,$A898)&gt;0,1,0)</f>
        <v>0</v>
      </c>
      <c r="H898">
        <f>IF(COUNTIFS('United Data'!$A$3:$A$2150,H$1,'United Data'!$C$3:$C$2150,$A898)&gt;0,1,0)</f>
        <v>0</v>
      </c>
      <c r="I898">
        <f>IF(COUNTIFS('United Data'!$A$3:$A$2150,I$1,'United Data'!$C$3:$C$2150,$A898)&gt;0,1,0)</f>
        <v>0</v>
      </c>
      <c r="J898">
        <f>IF(COUNTIFS('United Data'!$A$3:$A$2150,J$1,'United Data'!$C$3:$C$2150,$A898)&gt;0,1,0)</f>
        <v>0</v>
      </c>
      <c r="K898">
        <f>IF(COUNTIFS('United Data'!$A$3:$A$2150,K$1,'United Data'!$C$3:$C$2150,$A898)&gt;0,1,0)</f>
        <v>0</v>
      </c>
      <c r="L898">
        <f>IF(COUNTIFS('United Data'!$A$3:$A$2150,L$1,'United Data'!$C$3:$C$2150,$A898)&gt;0,1,0)</f>
        <v>1</v>
      </c>
      <c r="M898">
        <f>IF(COUNTIFS('United Data'!$A$3:$A$2150,M$1,'United Data'!$C$3:$C$2150,$A898)&gt;0,1,0)</f>
        <v>0</v>
      </c>
      <c r="N898">
        <f>IF(COUNTIFS('United Data'!$A$3:$A$2150,N$1,'United Data'!$C$3:$C$2150,$A898)&gt;0,1,0)</f>
        <v>0</v>
      </c>
      <c r="O898">
        <f>IF(COUNTIFS('United Data'!$A$3:$A$2150,O$1,'United Data'!$C$3:$C$2150,$A898)&gt;0,1,0)</f>
        <v>0</v>
      </c>
      <c r="P898">
        <f>IF(COUNTIFS('United Data'!$A$3:$A$2150,P$1,'United Data'!$C$3:$C$2150,$A898)&gt;0,1,0)</f>
        <v>0</v>
      </c>
      <c r="Q898">
        <f>IF(COUNTIFS('United Data'!$A$3:$A$2150,Q$1,'United Data'!$C$3:$C$2150,$A898)&gt;0,1,0)</f>
        <v>0</v>
      </c>
      <c r="R898">
        <f>IF(COUNTIFS('United Data'!$A$3:$A$2150,R$1,'United Data'!$C$3:$C$2150,$A898)&gt;0,1,0)</f>
        <v>0</v>
      </c>
      <c r="S898">
        <f t="shared" ref="S898:S961" si="28">SUM(B898:R898)</f>
        <v>1</v>
      </c>
      <c r="T898">
        <f t="shared" ref="T898:T933" si="29">B898+SUMPRODUCT(--(C898:R898&gt;B898:Q898))</f>
        <v>1</v>
      </c>
    </row>
    <row r="899" spans="1:20" x14ac:dyDescent="0.2">
      <c r="A899" t="s">
        <v>944</v>
      </c>
      <c r="B899">
        <f>IF(COUNTIFS('United Data'!$A$3:$A$2150,B$1,'United Data'!$C$3:$C$2150,$A899)&gt;0,1,0)</f>
        <v>0</v>
      </c>
      <c r="C899">
        <f>IF(COUNTIFS('United Data'!$A$3:$A$2150,C$1,'United Data'!$C$3:$C$2150,$A899)&gt;0,1,0)</f>
        <v>0</v>
      </c>
      <c r="D899">
        <f>IF(COUNTIFS('United Data'!$A$3:$A$2150,D$1,'United Data'!$C$3:$C$2150,$A899)&gt;0,1,0)</f>
        <v>0</v>
      </c>
      <c r="E899">
        <f>IF(COUNTIFS('United Data'!$A$3:$A$2150,E$1,'United Data'!$C$3:$C$2150,$A899)&gt;0,1,0)</f>
        <v>0</v>
      </c>
      <c r="F899">
        <f>IF(COUNTIFS('United Data'!$A$3:$A$2150,F$1,'United Data'!$C$3:$C$2150,$A899)&gt;0,1,0)</f>
        <v>0</v>
      </c>
      <c r="G899">
        <f>IF(COUNTIFS('United Data'!$A$3:$A$2150,G$1,'United Data'!$C$3:$C$2150,$A899)&gt;0,1,0)</f>
        <v>0</v>
      </c>
      <c r="H899">
        <f>IF(COUNTIFS('United Data'!$A$3:$A$2150,H$1,'United Data'!$C$3:$C$2150,$A899)&gt;0,1,0)</f>
        <v>0</v>
      </c>
      <c r="I899">
        <f>IF(COUNTIFS('United Data'!$A$3:$A$2150,I$1,'United Data'!$C$3:$C$2150,$A899)&gt;0,1,0)</f>
        <v>0</v>
      </c>
      <c r="J899">
        <f>IF(COUNTIFS('United Data'!$A$3:$A$2150,J$1,'United Data'!$C$3:$C$2150,$A899)&gt;0,1,0)</f>
        <v>0</v>
      </c>
      <c r="K899">
        <f>IF(COUNTIFS('United Data'!$A$3:$A$2150,K$1,'United Data'!$C$3:$C$2150,$A899)&gt;0,1,0)</f>
        <v>0</v>
      </c>
      <c r="L899">
        <f>IF(COUNTIFS('United Data'!$A$3:$A$2150,L$1,'United Data'!$C$3:$C$2150,$A899)&gt;0,1,0)</f>
        <v>1</v>
      </c>
      <c r="M899">
        <f>IF(COUNTIFS('United Data'!$A$3:$A$2150,M$1,'United Data'!$C$3:$C$2150,$A899)&gt;0,1,0)</f>
        <v>1</v>
      </c>
      <c r="N899">
        <f>IF(COUNTIFS('United Data'!$A$3:$A$2150,N$1,'United Data'!$C$3:$C$2150,$A899)&gt;0,1,0)</f>
        <v>0</v>
      </c>
      <c r="O899">
        <f>IF(COUNTIFS('United Data'!$A$3:$A$2150,O$1,'United Data'!$C$3:$C$2150,$A899)&gt;0,1,0)</f>
        <v>0</v>
      </c>
      <c r="P899">
        <f>IF(COUNTIFS('United Data'!$A$3:$A$2150,P$1,'United Data'!$C$3:$C$2150,$A899)&gt;0,1,0)</f>
        <v>0</v>
      </c>
      <c r="Q899">
        <f>IF(COUNTIFS('United Data'!$A$3:$A$2150,Q$1,'United Data'!$C$3:$C$2150,$A899)&gt;0,1,0)</f>
        <v>0</v>
      </c>
      <c r="R899">
        <f>IF(COUNTIFS('United Data'!$A$3:$A$2150,R$1,'United Data'!$C$3:$C$2150,$A899)&gt;0,1,0)</f>
        <v>0</v>
      </c>
      <c r="S899">
        <f t="shared" si="28"/>
        <v>2</v>
      </c>
      <c r="T899">
        <f t="shared" si="29"/>
        <v>1</v>
      </c>
    </row>
    <row r="900" spans="1:20" x14ac:dyDescent="0.2">
      <c r="A900" t="s">
        <v>945</v>
      </c>
      <c r="B900">
        <f>IF(COUNTIFS('United Data'!$A$3:$A$2150,B$1,'United Data'!$C$3:$C$2150,$A900)&gt;0,1,0)</f>
        <v>0</v>
      </c>
      <c r="C900">
        <f>IF(COUNTIFS('United Data'!$A$3:$A$2150,C$1,'United Data'!$C$3:$C$2150,$A900)&gt;0,1,0)</f>
        <v>0</v>
      </c>
      <c r="D900">
        <f>IF(COUNTIFS('United Data'!$A$3:$A$2150,D$1,'United Data'!$C$3:$C$2150,$A900)&gt;0,1,0)</f>
        <v>0</v>
      </c>
      <c r="E900">
        <f>IF(COUNTIFS('United Data'!$A$3:$A$2150,E$1,'United Data'!$C$3:$C$2150,$A900)&gt;0,1,0)</f>
        <v>0</v>
      </c>
      <c r="F900">
        <f>IF(COUNTIFS('United Data'!$A$3:$A$2150,F$1,'United Data'!$C$3:$C$2150,$A900)&gt;0,1,0)</f>
        <v>0</v>
      </c>
      <c r="G900">
        <f>IF(COUNTIFS('United Data'!$A$3:$A$2150,G$1,'United Data'!$C$3:$C$2150,$A900)&gt;0,1,0)</f>
        <v>0</v>
      </c>
      <c r="H900">
        <f>IF(COUNTIFS('United Data'!$A$3:$A$2150,H$1,'United Data'!$C$3:$C$2150,$A900)&gt;0,1,0)</f>
        <v>0</v>
      </c>
      <c r="I900">
        <f>IF(COUNTIFS('United Data'!$A$3:$A$2150,I$1,'United Data'!$C$3:$C$2150,$A900)&gt;0,1,0)</f>
        <v>0</v>
      </c>
      <c r="J900">
        <f>IF(COUNTIFS('United Data'!$A$3:$A$2150,J$1,'United Data'!$C$3:$C$2150,$A900)&gt;0,1,0)</f>
        <v>0</v>
      </c>
      <c r="K900">
        <f>IF(COUNTIFS('United Data'!$A$3:$A$2150,K$1,'United Data'!$C$3:$C$2150,$A900)&gt;0,1,0)</f>
        <v>0</v>
      </c>
      <c r="L900">
        <f>IF(COUNTIFS('United Data'!$A$3:$A$2150,L$1,'United Data'!$C$3:$C$2150,$A900)&gt;0,1,0)</f>
        <v>1</v>
      </c>
      <c r="M900">
        <f>IF(COUNTIFS('United Data'!$A$3:$A$2150,M$1,'United Data'!$C$3:$C$2150,$A900)&gt;0,1,0)</f>
        <v>1</v>
      </c>
      <c r="N900">
        <f>IF(COUNTIFS('United Data'!$A$3:$A$2150,N$1,'United Data'!$C$3:$C$2150,$A900)&gt;0,1,0)</f>
        <v>1</v>
      </c>
      <c r="O900">
        <f>IF(COUNTIFS('United Data'!$A$3:$A$2150,O$1,'United Data'!$C$3:$C$2150,$A900)&gt;0,1,0)</f>
        <v>0</v>
      </c>
      <c r="P900">
        <f>IF(COUNTIFS('United Data'!$A$3:$A$2150,P$1,'United Data'!$C$3:$C$2150,$A900)&gt;0,1,0)</f>
        <v>0</v>
      </c>
      <c r="Q900">
        <f>IF(COUNTIFS('United Data'!$A$3:$A$2150,Q$1,'United Data'!$C$3:$C$2150,$A900)&gt;0,1,0)</f>
        <v>0</v>
      </c>
      <c r="R900">
        <f>IF(COUNTIFS('United Data'!$A$3:$A$2150,R$1,'United Data'!$C$3:$C$2150,$A900)&gt;0,1,0)</f>
        <v>0</v>
      </c>
      <c r="S900">
        <f t="shared" si="28"/>
        <v>3</v>
      </c>
      <c r="T900">
        <f t="shared" si="29"/>
        <v>1</v>
      </c>
    </row>
    <row r="901" spans="1:20" x14ac:dyDescent="0.2">
      <c r="A901" t="s">
        <v>946</v>
      </c>
      <c r="B901">
        <f>IF(COUNTIFS('United Data'!$A$3:$A$2150,B$1,'United Data'!$C$3:$C$2150,$A901)&gt;0,1,0)</f>
        <v>0</v>
      </c>
      <c r="C901">
        <f>IF(COUNTIFS('United Data'!$A$3:$A$2150,C$1,'United Data'!$C$3:$C$2150,$A901)&gt;0,1,0)</f>
        <v>0</v>
      </c>
      <c r="D901">
        <f>IF(COUNTIFS('United Data'!$A$3:$A$2150,D$1,'United Data'!$C$3:$C$2150,$A901)&gt;0,1,0)</f>
        <v>0</v>
      </c>
      <c r="E901">
        <f>IF(COUNTIFS('United Data'!$A$3:$A$2150,E$1,'United Data'!$C$3:$C$2150,$A901)&gt;0,1,0)</f>
        <v>0</v>
      </c>
      <c r="F901">
        <f>IF(COUNTIFS('United Data'!$A$3:$A$2150,F$1,'United Data'!$C$3:$C$2150,$A901)&gt;0,1,0)</f>
        <v>0</v>
      </c>
      <c r="G901">
        <f>IF(COUNTIFS('United Data'!$A$3:$A$2150,G$1,'United Data'!$C$3:$C$2150,$A901)&gt;0,1,0)</f>
        <v>0</v>
      </c>
      <c r="H901">
        <f>IF(COUNTIFS('United Data'!$A$3:$A$2150,H$1,'United Data'!$C$3:$C$2150,$A901)&gt;0,1,0)</f>
        <v>0</v>
      </c>
      <c r="I901">
        <f>IF(COUNTIFS('United Data'!$A$3:$A$2150,I$1,'United Data'!$C$3:$C$2150,$A901)&gt;0,1,0)</f>
        <v>0</v>
      </c>
      <c r="J901">
        <f>IF(COUNTIFS('United Data'!$A$3:$A$2150,J$1,'United Data'!$C$3:$C$2150,$A901)&gt;0,1,0)</f>
        <v>0</v>
      </c>
      <c r="K901">
        <f>IF(COUNTIFS('United Data'!$A$3:$A$2150,K$1,'United Data'!$C$3:$C$2150,$A901)&gt;0,1,0)</f>
        <v>0</v>
      </c>
      <c r="L901">
        <f>IF(COUNTIFS('United Data'!$A$3:$A$2150,L$1,'United Data'!$C$3:$C$2150,$A901)&gt;0,1,0)</f>
        <v>1</v>
      </c>
      <c r="M901">
        <f>IF(COUNTIFS('United Data'!$A$3:$A$2150,M$1,'United Data'!$C$3:$C$2150,$A901)&gt;0,1,0)</f>
        <v>0</v>
      </c>
      <c r="N901">
        <f>IF(COUNTIFS('United Data'!$A$3:$A$2150,N$1,'United Data'!$C$3:$C$2150,$A901)&gt;0,1,0)</f>
        <v>0</v>
      </c>
      <c r="O901">
        <f>IF(COUNTIFS('United Data'!$A$3:$A$2150,O$1,'United Data'!$C$3:$C$2150,$A901)&gt;0,1,0)</f>
        <v>0</v>
      </c>
      <c r="P901">
        <f>IF(COUNTIFS('United Data'!$A$3:$A$2150,P$1,'United Data'!$C$3:$C$2150,$A901)&gt;0,1,0)</f>
        <v>0</v>
      </c>
      <c r="Q901">
        <f>IF(COUNTIFS('United Data'!$A$3:$A$2150,Q$1,'United Data'!$C$3:$C$2150,$A901)&gt;0,1,0)</f>
        <v>0</v>
      </c>
      <c r="R901">
        <f>IF(COUNTIFS('United Data'!$A$3:$A$2150,R$1,'United Data'!$C$3:$C$2150,$A901)&gt;0,1,0)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947</v>
      </c>
      <c r="B902">
        <f>IF(COUNTIFS('United Data'!$A$3:$A$2150,B$1,'United Data'!$C$3:$C$2150,$A902)&gt;0,1,0)</f>
        <v>0</v>
      </c>
      <c r="C902">
        <f>IF(COUNTIFS('United Data'!$A$3:$A$2150,C$1,'United Data'!$C$3:$C$2150,$A902)&gt;0,1,0)</f>
        <v>0</v>
      </c>
      <c r="D902">
        <f>IF(COUNTIFS('United Data'!$A$3:$A$2150,D$1,'United Data'!$C$3:$C$2150,$A902)&gt;0,1,0)</f>
        <v>0</v>
      </c>
      <c r="E902">
        <f>IF(COUNTIFS('United Data'!$A$3:$A$2150,E$1,'United Data'!$C$3:$C$2150,$A902)&gt;0,1,0)</f>
        <v>0</v>
      </c>
      <c r="F902">
        <f>IF(COUNTIFS('United Data'!$A$3:$A$2150,F$1,'United Data'!$C$3:$C$2150,$A902)&gt;0,1,0)</f>
        <v>0</v>
      </c>
      <c r="G902">
        <f>IF(COUNTIFS('United Data'!$A$3:$A$2150,G$1,'United Data'!$C$3:$C$2150,$A902)&gt;0,1,0)</f>
        <v>0</v>
      </c>
      <c r="H902">
        <f>IF(COUNTIFS('United Data'!$A$3:$A$2150,H$1,'United Data'!$C$3:$C$2150,$A902)&gt;0,1,0)</f>
        <v>0</v>
      </c>
      <c r="I902">
        <f>IF(COUNTIFS('United Data'!$A$3:$A$2150,I$1,'United Data'!$C$3:$C$2150,$A902)&gt;0,1,0)</f>
        <v>0</v>
      </c>
      <c r="J902">
        <f>IF(COUNTIFS('United Data'!$A$3:$A$2150,J$1,'United Data'!$C$3:$C$2150,$A902)&gt;0,1,0)</f>
        <v>0</v>
      </c>
      <c r="K902">
        <f>IF(COUNTIFS('United Data'!$A$3:$A$2150,K$1,'United Data'!$C$3:$C$2150,$A902)&gt;0,1,0)</f>
        <v>0</v>
      </c>
      <c r="L902">
        <f>IF(COUNTIFS('United Data'!$A$3:$A$2150,L$1,'United Data'!$C$3:$C$2150,$A902)&gt;0,1,0)</f>
        <v>1</v>
      </c>
      <c r="M902">
        <f>IF(COUNTIFS('United Data'!$A$3:$A$2150,M$1,'United Data'!$C$3:$C$2150,$A902)&gt;0,1,0)</f>
        <v>0</v>
      </c>
      <c r="N902">
        <f>IF(COUNTIFS('United Data'!$A$3:$A$2150,N$1,'United Data'!$C$3:$C$2150,$A902)&gt;0,1,0)</f>
        <v>0</v>
      </c>
      <c r="O902">
        <f>IF(COUNTIFS('United Data'!$A$3:$A$2150,O$1,'United Data'!$C$3:$C$2150,$A902)&gt;0,1,0)</f>
        <v>0</v>
      </c>
      <c r="P902">
        <f>IF(COUNTIFS('United Data'!$A$3:$A$2150,P$1,'United Data'!$C$3:$C$2150,$A902)&gt;0,1,0)</f>
        <v>0</v>
      </c>
      <c r="Q902">
        <f>IF(COUNTIFS('United Data'!$A$3:$A$2150,Q$1,'United Data'!$C$3:$C$2150,$A902)&gt;0,1,0)</f>
        <v>0</v>
      </c>
      <c r="R902">
        <f>IF(COUNTIFS('United Data'!$A$3:$A$2150,R$1,'United Data'!$C$3:$C$2150,$A902)&gt;0,1,0)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948</v>
      </c>
      <c r="B903">
        <f>IF(COUNTIFS('United Data'!$A$3:$A$2150,B$1,'United Data'!$C$3:$C$2150,$A903)&gt;0,1,0)</f>
        <v>0</v>
      </c>
      <c r="C903">
        <f>IF(COUNTIFS('United Data'!$A$3:$A$2150,C$1,'United Data'!$C$3:$C$2150,$A903)&gt;0,1,0)</f>
        <v>0</v>
      </c>
      <c r="D903">
        <f>IF(COUNTIFS('United Data'!$A$3:$A$2150,D$1,'United Data'!$C$3:$C$2150,$A903)&gt;0,1,0)</f>
        <v>0</v>
      </c>
      <c r="E903">
        <f>IF(COUNTIFS('United Data'!$A$3:$A$2150,E$1,'United Data'!$C$3:$C$2150,$A903)&gt;0,1,0)</f>
        <v>0</v>
      </c>
      <c r="F903">
        <f>IF(COUNTIFS('United Data'!$A$3:$A$2150,F$1,'United Data'!$C$3:$C$2150,$A903)&gt;0,1,0)</f>
        <v>0</v>
      </c>
      <c r="G903">
        <f>IF(COUNTIFS('United Data'!$A$3:$A$2150,G$1,'United Data'!$C$3:$C$2150,$A903)&gt;0,1,0)</f>
        <v>0</v>
      </c>
      <c r="H903">
        <f>IF(COUNTIFS('United Data'!$A$3:$A$2150,H$1,'United Data'!$C$3:$C$2150,$A903)&gt;0,1,0)</f>
        <v>0</v>
      </c>
      <c r="I903">
        <f>IF(COUNTIFS('United Data'!$A$3:$A$2150,I$1,'United Data'!$C$3:$C$2150,$A903)&gt;0,1,0)</f>
        <v>0</v>
      </c>
      <c r="J903">
        <f>IF(COUNTIFS('United Data'!$A$3:$A$2150,J$1,'United Data'!$C$3:$C$2150,$A903)&gt;0,1,0)</f>
        <v>0</v>
      </c>
      <c r="K903">
        <f>IF(COUNTIFS('United Data'!$A$3:$A$2150,K$1,'United Data'!$C$3:$C$2150,$A903)&gt;0,1,0)</f>
        <v>0</v>
      </c>
      <c r="L903">
        <f>IF(COUNTIFS('United Data'!$A$3:$A$2150,L$1,'United Data'!$C$3:$C$2150,$A903)&gt;0,1,0)</f>
        <v>1</v>
      </c>
      <c r="M903">
        <f>IF(COUNTIFS('United Data'!$A$3:$A$2150,M$1,'United Data'!$C$3:$C$2150,$A903)&gt;0,1,0)</f>
        <v>0</v>
      </c>
      <c r="N903">
        <f>IF(COUNTIFS('United Data'!$A$3:$A$2150,N$1,'United Data'!$C$3:$C$2150,$A903)&gt;0,1,0)</f>
        <v>0</v>
      </c>
      <c r="O903">
        <f>IF(COUNTIFS('United Data'!$A$3:$A$2150,O$1,'United Data'!$C$3:$C$2150,$A903)&gt;0,1,0)</f>
        <v>0</v>
      </c>
      <c r="P903">
        <f>IF(COUNTIFS('United Data'!$A$3:$A$2150,P$1,'United Data'!$C$3:$C$2150,$A903)&gt;0,1,0)</f>
        <v>0</v>
      </c>
      <c r="Q903">
        <f>IF(COUNTIFS('United Data'!$A$3:$A$2150,Q$1,'United Data'!$C$3:$C$2150,$A903)&gt;0,1,0)</f>
        <v>0</v>
      </c>
      <c r="R903">
        <f>IF(COUNTIFS('United Data'!$A$3:$A$2150,R$1,'United Data'!$C$3:$C$2150,$A903)&gt;0,1,0)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949</v>
      </c>
      <c r="B904">
        <f>IF(COUNTIFS('United Data'!$A$3:$A$2150,B$1,'United Data'!$C$3:$C$2150,$A904)&gt;0,1,0)</f>
        <v>0</v>
      </c>
      <c r="C904">
        <f>IF(COUNTIFS('United Data'!$A$3:$A$2150,C$1,'United Data'!$C$3:$C$2150,$A904)&gt;0,1,0)</f>
        <v>0</v>
      </c>
      <c r="D904">
        <f>IF(COUNTIFS('United Data'!$A$3:$A$2150,D$1,'United Data'!$C$3:$C$2150,$A904)&gt;0,1,0)</f>
        <v>0</v>
      </c>
      <c r="E904">
        <f>IF(COUNTIFS('United Data'!$A$3:$A$2150,E$1,'United Data'!$C$3:$C$2150,$A904)&gt;0,1,0)</f>
        <v>0</v>
      </c>
      <c r="F904">
        <f>IF(COUNTIFS('United Data'!$A$3:$A$2150,F$1,'United Data'!$C$3:$C$2150,$A904)&gt;0,1,0)</f>
        <v>0</v>
      </c>
      <c r="G904">
        <f>IF(COUNTIFS('United Data'!$A$3:$A$2150,G$1,'United Data'!$C$3:$C$2150,$A904)&gt;0,1,0)</f>
        <v>0</v>
      </c>
      <c r="H904">
        <f>IF(COUNTIFS('United Data'!$A$3:$A$2150,H$1,'United Data'!$C$3:$C$2150,$A904)&gt;0,1,0)</f>
        <v>0</v>
      </c>
      <c r="I904">
        <f>IF(COUNTIFS('United Data'!$A$3:$A$2150,I$1,'United Data'!$C$3:$C$2150,$A904)&gt;0,1,0)</f>
        <v>0</v>
      </c>
      <c r="J904">
        <f>IF(COUNTIFS('United Data'!$A$3:$A$2150,J$1,'United Data'!$C$3:$C$2150,$A904)&gt;0,1,0)</f>
        <v>0</v>
      </c>
      <c r="K904">
        <f>IF(COUNTIFS('United Data'!$A$3:$A$2150,K$1,'United Data'!$C$3:$C$2150,$A904)&gt;0,1,0)</f>
        <v>0</v>
      </c>
      <c r="L904">
        <f>IF(COUNTIFS('United Data'!$A$3:$A$2150,L$1,'United Data'!$C$3:$C$2150,$A904)&gt;0,1,0)</f>
        <v>1</v>
      </c>
      <c r="M904">
        <f>IF(COUNTIFS('United Data'!$A$3:$A$2150,M$1,'United Data'!$C$3:$C$2150,$A904)&gt;0,1,0)</f>
        <v>0</v>
      </c>
      <c r="N904">
        <f>IF(COUNTIFS('United Data'!$A$3:$A$2150,N$1,'United Data'!$C$3:$C$2150,$A904)&gt;0,1,0)</f>
        <v>0</v>
      </c>
      <c r="O904">
        <f>IF(COUNTIFS('United Data'!$A$3:$A$2150,O$1,'United Data'!$C$3:$C$2150,$A904)&gt;0,1,0)</f>
        <v>0</v>
      </c>
      <c r="P904">
        <f>IF(COUNTIFS('United Data'!$A$3:$A$2150,P$1,'United Data'!$C$3:$C$2150,$A904)&gt;0,1,0)</f>
        <v>0</v>
      </c>
      <c r="Q904">
        <f>IF(COUNTIFS('United Data'!$A$3:$A$2150,Q$1,'United Data'!$C$3:$C$2150,$A904)&gt;0,1,0)</f>
        <v>0</v>
      </c>
      <c r="R904">
        <f>IF(COUNTIFS('United Data'!$A$3:$A$2150,R$1,'United Data'!$C$3:$C$2150,$A904)&gt;0,1,0)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950</v>
      </c>
      <c r="B905">
        <f>IF(COUNTIFS('United Data'!$A$3:$A$2150,B$1,'United Data'!$C$3:$C$2150,$A905)&gt;0,1,0)</f>
        <v>0</v>
      </c>
      <c r="C905">
        <f>IF(COUNTIFS('United Data'!$A$3:$A$2150,C$1,'United Data'!$C$3:$C$2150,$A905)&gt;0,1,0)</f>
        <v>0</v>
      </c>
      <c r="D905">
        <f>IF(COUNTIFS('United Data'!$A$3:$A$2150,D$1,'United Data'!$C$3:$C$2150,$A905)&gt;0,1,0)</f>
        <v>0</v>
      </c>
      <c r="E905">
        <f>IF(COUNTIFS('United Data'!$A$3:$A$2150,E$1,'United Data'!$C$3:$C$2150,$A905)&gt;0,1,0)</f>
        <v>0</v>
      </c>
      <c r="F905">
        <f>IF(COUNTIFS('United Data'!$A$3:$A$2150,F$1,'United Data'!$C$3:$C$2150,$A905)&gt;0,1,0)</f>
        <v>0</v>
      </c>
      <c r="G905">
        <f>IF(COUNTIFS('United Data'!$A$3:$A$2150,G$1,'United Data'!$C$3:$C$2150,$A905)&gt;0,1,0)</f>
        <v>0</v>
      </c>
      <c r="H905">
        <f>IF(COUNTIFS('United Data'!$A$3:$A$2150,H$1,'United Data'!$C$3:$C$2150,$A905)&gt;0,1,0)</f>
        <v>0</v>
      </c>
      <c r="I905">
        <f>IF(COUNTIFS('United Data'!$A$3:$A$2150,I$1,'United Data'!$C$3:$C$2150,$A905)&gt;0,1,0)</f>
        <v>0</v>
      </c>
      <c r="J905">
        <f>IF(COUNTIFS('United Data'!$A$3:$A$2150,J$1,'United Data'!$C$3:$C$2150,$A905)&gt;0,1,0)</f>
        <v>0</v>
      </c>
      <c r="K905">
        <f>IF(COUNTIFS('United Data'!$A$3:$A$2150,K$1,'United Data'!$C$3:$C$2150,$A905)&gt;0,1,0)</f>
        <v>0</v>
      </c>
      <c r="L905">
        <f>IF(COUNTIFS('United Data'!$A$3:$A$2150,L$1,'United Data'!$C$3:$C$2150,$A905)&gt;0,1,0)</f>
        <v>1</v>
      </c>
      <c r="M905">
        <f>IF(COUNTIFS('United Data'!$A$3:$A$2150,M$1,'United Data'!$C$3:$C$2150,$A905)&gt;0,1,0)</f>
        <v>0</v>
      </c>
      <c r="N905">
        <f>IF(COUNTIFS('United Data'!$A$3:$A$2150,N$1,'United Data'!$C$3:$C$2150,$A905)&gt;0,1,0)</f>
        <v>0</v>
      </c>
      <c r="O905">
        <f>IF(COUNTIFS('United Data'!$A$3:$A$2150,O$1,'United Data'!$C$3:$C$2150,$A905)&gt;0,1,0)</f>
        <v>0</v>
      </c>
      <c r="P905">
        <f>IF(COUNTIFS('United Data'!$A$3:$A$2150,P$1,'United Data'!$C$3:$C$2150,$A905)&gt;0,1,0)</f>
        <v>0</v>
      </c>
      <c r="Q905">
        <f>IF(COUNTIFS('United Data'!$A$3:$A$2150,Q$1,'United Data'!$C$3:$C$2150,$A905)&gt;0,1,0)</f>
        <v>0</v>
      </c>
      <c r="R905">
        <f>IF(COUNTIFS('United Data'!$A$3:$A$2150,R$1,'United Data'!$C$3:$C$2150,$A905)&gt;0,1,0)</f>
        <v>0</v>
      </c>
      <c r="S905">
        <f t="shared" si="28"/>
        <v>1</v>
      </c>
      <c r="T905">
        <f t="shared" si="29"/>
        <v>1</v>
      </c>
    </row>
    <row r="906" spans="1:20" x14ac:dyDescent="0.2">
      <c r="A906" t="s">
        <v>951</v>
      </c>
      <c r="B906">
        <f>IF(COUNTIFS('United Data'!$A$3:$A$2150,B$1,'United Data'!$C$3:$C$2150,$A906)&gt;0,1,0)</f>
        <v>0</v>
      </c>
      <c r="C906">
        <f>IF(COUNTIFS('United Data'!$A$3:$A$2150,C$1,'United Data'!$C$3:$C$2150,$A906)&gt;0,1,0)</f>
        <v>0</v>
      </c>
      <c r="D906">
        <f>IF(COUNTIFS('United Data'!$A$3:$A$2150,D$1,'United Data'!$C$3:$C$2150,$A906)&gt;0,1,0)</f>
        <v>0</v>
      </c>
      <c r="E906">
        <f>IF(COUNTIFS('United Data'!$A$3:$A$2150,E$1,'United Data'!$C$3:$C$2150,$A906)&gt;0,1,0)</f>
        <v>0</v>
      </c>
      <c r="F906">
        <f>IF(COUNTIFS('United Data'!$A$3:$A$2150,F$1,'United Data'!$C$3:$C$2150,$A906)&gt;0,1,0)</f>
        <v>0</v>
      </c>
      <c r="G906">
        <f>IF(COUNTIFS('United Data'!$A$3:$A$2150,G$1,'United Data'!$C$3:$C$2150,$A906)&gt;0,1,0)</f>
        <v>0</v>
      </c>
      <c r="H906">
        <f>IF(COUNTIFS('United Data'!$A$3:$A$2150,H$1,'United Data'!$C$3:$C$2150,$A906)&gt;0,1,0)</f>
        <v>0</v>
      </c>
      <c r="I906">
        <f>IF(COUNTIFS('United Data'!$A$3:$A$2150,I$1,'United Data'!$C$3:$C$2150,$A906)&gt;0,1,0)</f>
        <v>0</v>
      </c>
      <c r="J906">
        <f>IF(COUNTIFS('United Data'!$A$3:$A$2150,J$1,'United Data'!$C$3:$C$2150,$A906)&gt;0,1,0)</f>
        <v>0</v>
      </c>
      <c r="K906">
        <f>IF(COUNTIFS('United Data'!$A$3:$A$2150,K$1,'United Data'!$C$3:$C$2150,$A906)&gt;0,1,0)</f>
        <v>0</v>
      </c>
      <c r="L906">
        <f>IF(COUNTIFS('United Data'!$A$3:$A$2150,L$1,'United Data'!$C$3:$C$2150,$A906)&gt;0,1,0)</f>
        <v>0</v>
      </c>
      <c r="M906">
        <f>IF(COUNTIFS('United Data'!$A$3:$A$2150,M$1,'United Data'!$C$3:$C$2150,$A906)&gt;0,1,0)</f>
        <v>1</v>
      </c>
      <c r="N906">
        <f>IF(COUNTIFS('United Data'!$A$3:$A$2150,N$1,'United Data'!$C$3:$C$2150,$A906)&gt;0,1,0)</f>
        <v>0</v>
      </c>
      <c r="O906">
        <f>IF(COUNTIFS('United Data'!$A$3:$A$2150,O$1,'United Data'!$C$3:$C$2150,$A906)&gt;0,1,0)</f>
        <v>0</v>
      </c>
      <c r="P906">
        <f>IF(COUNTIFS('United Data'!$A$3:$A$2150,P$1,'United Data'!$C$3:$C$2150,$A906)&gt;0,1,0)</f>
        <v>0</v>
      </c>
      <c r="Q906">
        <f>IF(COUNTIFS('United Data'!$A$3:$A$2150,Q$1,'United Data'!$C$3:$C$2150,$A906)&gt;0,1,0)</f>
        <v>0</v>
      </c>
      <c r="R906">
        <f>IF(COUNTIFS('United Data'!$A$3:$A$2150,R$1,'United Data'!$C$3:$C$2150,$A906)&gt;0,1,0)</f>
        <v>0</v>
      </c>
      <c r="S906">
        <f t="shared" si="28"/>
        <v>1</v>
      </c>
      <c r="T906">
        <f t="shared" si="29"/>
        <v>1</v>
      </c>
    </row>
    <row r="907" spans="1:20" x14ac:dyDescent="0.2">
      <c r="A907" t="s">
        <v>952</v>
      </c>
      <c r="B907">
        <f>IF(COUNTIFS('United Data'!$A$3:$A$2150,B$1,'United Data'!$C$3:$C$2150,$A907)&gt;0,1,0)</f>
        <v>0</v>
      </c>
      <c r="C907">
        <f>IF(COUNTIFS('United Data'!$A$3:$A$2150,C$1,'United Data'!$C$3:$C$2150,$A907)&gt;0,1,0)</f>
        <v>0</v>
      </c>
      <c r="D907">
        <f>IF(COUNTIFS('United Data'!$A$3:$A$2150,D$1,'United Data'!$C$3:$C$2150,$A907)&gt;0,1,0)</f>
        <v>0</v>
      </c>
      <c r="E907">
        <f>IF(COUNTIFS('United Data'!$A$3:$A$2150,E$1,'United Data'!$C$3:$C$2150,$A907)&gt;0,1,0)</f>
        <v>0</v>
      </c>
      <c r="F907">
        <f>IF(COUNTIFS('United Data'!$A$3:$A$2150,F$1,'United Data'!$C$3:$C$2150,$A907)&gt;0,1,0)</f>
        <v>0</v>
      </c>
      <c r="G907">
        <f>IF(COUNTIFS('United Data'!$A$3:$A$2150,G$1,'United Data'!$C$3:$C$2150,$A907)&gt;0,1,0)</f>
        <v>0</v>
      </c>
      <c r="H907">
        <f>IF(COUNTIFS('United Data'!$A$3:$A$2150,H$1,'United Data'!$C$3:$C$2150,$A907)&gt;0,1,0)</f>
        <v>0</v>
      </c>
      <c r="I907">
        <f>IF(COUNTIFS('United Data'!$A$3:$A$2150,I$1,'United Data'!$C$3:$C$2150,$A907)&gt;0,1,0)</f>
        <v>0</v>
      </c>
      <c r="J907">
        <f>IF(COUNTIFS('United Data'!$A$3:$A$2150,J$1,'United Data'!$C$3:$C$2150,$A907)&gt;0,1,0)</f>
        <v>0</v>
      </c>
      <c r="K907">
        <f>IF(COUNTIFS('United Data'!$A$3:$A$2150,K$1,'United Data'!$C$3:$C$2150,$A907)&gt;0,1,0)</f>
        <v>0</v>
      </c>
      <c r="L907">
        <f>IF(COUNTIFS('United Data'!$A$3:$A$2150,L$1,'United Data'!$C$3:$C$2150,$A907)&gt;0,1,0)</f>
        <v>0</v>
      </c>
      <c r="M907">
        <f>IF(COUNTIFS('United Data'!$A$3:$A$2150,M$1,'United Data'!$C$3:$C$2150,$A907)&gt;0,1,0)</f>
        <v>1</v>
      </c>
      <c r="N907">
        <f>IF(COUNTIFS('United Data'!$A$3:$A$2150,N$1,'United Data'!$C$3:$C$2150,$A907)&gt;0,1,0)</f>
        <v>1</v>
      </c>
      <c r="O907">
        <f>IF(COUNTIFS('United Data'!$A$3:$A$2150,O$1,'United Data'!$C$3:$C$2150,$A907)&gt;0,1,0)</f>
        <v>0</v>
      </c>
      <c r="P907">
        <f>IF(COUNTIFS('United Data'!$A$3:$A$2150,P$1,'United Data'!$C$3:$C$2150,$A907)&gt;0,1,0)</f>
        <v>0</v>
      </c>
      <c r="Q907">
        <f>IF(COUNTIFS('United Data'!$A$3:$A$2150,Q$1,'United Data'!$C$3:$C$2150,$A907)&gt;0,1,0)</f>
        <v>0</v>
      </c>
      <c r="R907">
        <f>IF(COUNTIFS('United Data'!$A$3:$A$2150,R$1,'United Data'!$C$3:$C$2150,$A907)&gt;0,1,0)</f>
        <v>0</v>
      </c>
      <c r="S907">
        <f t="shared" si="28"/>
        <v>2</v>
      </c>
      <c r="T907">
        <f t="shared" si="29"/>
        <v>1</v>
      </c>
    </row>
    <row r="908" spans="1:20" x14ac:dyDescent="0.2">
      <c r="A908" t="s">
        <v>953</v>
      </c>
      <c r="B908">
        <f>IF(COUNTIFS('United Data'!$A$3:$A$2150,B$1,'United Data'!$C$3:$C$2150,$A908)&gt;0,1,0)</f>
        <v>0</v>
      </c>
      <c r="C908">
        <f>IF(COUNTIFS('United Data'!$A$3:$A$2150,C$1,'United Data'!$C$3:$C$2150,$A908)&gt;0,1,0)</f>
        <v>0</v>
      </c>
      <c r="D908">
        <f>IF(COUNTIFS('United Data'!$A$3:$A$2150,D$1,'United Data'!$C$3:$C$2150,$A908)&gt;0,1,0)</f>
        <v>0</v>
      </c>
      <c r="E908">
        <f>IF(COUNTIFS('United Data'!$A$3:$A$2150,E$1,'United Data'!$C$3:$C$2150,$A908)&gt;0,1,0)</f>
        <v>0</v>
      </c>
      <c r="F908">
        <f>IF(COUNTIFS('United Data'!$A$3:$A$2150,F$1,'United Data'!$C$3:$C$2150,$A908)&gt;0,1,0)</f>
        <v>0</v>
      </c>
      <c r="G908">
        <f>IF(COUNTIFS('United Data'!$A$3:$A$2150,G$1,'United Data'!$C$3:$C$2150,$A908)&gt;0,1,0)</f>
        <v>0</v>
      </c>
      <c r="H908">
        <f>IF(COUNTIFS('United Data'!$A$3:$A$2150,H$1,'United Data'!$C$3:$C$2150,$A908)&gt;0,1,0)</f>
        <v>0</v>
      </c>
      <c r="I908">
        <f>IF(COUNTIFS('United Data'!$A$3:$A$2150,I$1,'United Data'!$C$3:$C$2150,$A908)&gt;0,1,0)</f>
        <v>0</v>
      </c>
      <c r="J908">
        <f>IF(COUNTIFS('United Data'!$A$3:$A$2150,J$1,'United Data'!$C$3:$C$2150,$A908)&gt;0,1,0)</f>
        <v>0</v>
      </c>
      <c r="K908">
        <f>IF(COUNTIFS('United Data'!$A$3:$A$2150,K$1,'United Data'!$C$3:$C$2150,$A908)&gt;0,1,0)</f>
        <v>0</v>
      </c>
      <c r="L908">
        <f>IF(COUNTIFS('United Data'!$A$3:$A$2150,L$1,'United Data'!$C$3:$C$2150,$A908)&gt;0,1,0)</f>
        <v>0</v>
      </c>
      <c r="M908">
        <f>IF(COUNTIFS('United Data'!$A$3:$A$2150,M$1,'United Data'!$C$3:$C$2150,$A908)&gt;0,1,0)</f>
        <v>1</v>
      </c>
      <c r="N908">
        <f>IF(COUNTIFS('United Data'!$A$3:$A$2150,N$1,'United Data'!$C$3:$C$2150,$A908)&gt;0,1,0)</f>
        <v>0</v>
      </c>
      <c r="O908">
        <f>IF(COUNTIFS('United Data'!$A$3:$A$2150,O$1,'United Data'!$C$3:$C$2150,$A908)&gt;0,1,0)</f>
        <v>0</v>
      </c>
      <c r="P908">
        <f>IF(COUNTIFS('United Data'!$A$3:$A$2150,P$1,'United Data'!$C$3:$C$2150,$A908)&gt;0,1,0)</f>
        <v>0</v>
      </c>
      <c r="Q908">
        <f>IF(COUNTIFS('United Data'!$A$3:$A$2150,Q$1,'United Data'!$C$3:$C$2150,$A908)&gt;0,1,0)</f>
        <v>0</v>
      </c>
      <c r="R908">
        <f>IF(COUNTIFS('United Data'!$A$3:$A$2150,R$1,'United Data'!$C$3:$C$2150,$A908)&gt;0,1,0)</f>
        <v>0</v>
      </c>
      <c r="S908">
        <f t="shared" si="28"/>
        <v>1</v>
      </c>
      <c r="T908">
        <f t="shared" si="29"/>
        <v>1</v>
      </c>
    </row>
    <row r="909" spans="1:20" x14ac:dyDescent="0.2">
      <c r="A909" t="s">
        <v>954</v>
      </c>
      <c r="B909">
        <f>IF(COUNTIFS('United Data'!$A$3:$A$2150,B$1,'United Data'!$C$3:$C$2150,$A909)&gt;0,1,0)</f>
        <v>0</v>
      </c>
      <c r="C909">
        <f>IF(COUNTIFS('United Data'!$A$3:$A$2150,C$1,'United Data'!$C$3:$C$2150,$A909)&gt;0,1,0)</f>
        <v>0</v>
      </c>
      <c r="D909">
        <f>IF(COUNTIFS('United Data'!$A$3:$A$2150,D$1,'United Data'!$C$3:$C$2150,$A909)&gt;0,1,0)</f>
        <v>0</v>
      </c>
      <c r="E909">
        <f>IF(COUNTIFS('United Data'!$A$3:$A$2150,E$1,'United Data'!$C$3:$C$2150,$A909)&gt;0,1,0)</f>
        <v>0</v>
      </c>
      <c r="F909">
        <f>IF(COUNTIFS('United Data'!$A$3:$A$2150,F$1,'United Data'!$C$3:$C$2150,$A909)&gt;0,1,0)</f>
        <v>0</v>
      </c>
      <c r="G909">
        <f>IF(COUNTIFS('United Data'!$A$3:$A$2150,G$1,'United Data'!$C$3:$C$2150,$A909)&gt;0,1,0)</f>
        <v>0</v>
      </c>
      <c r="H909">
        <f>IF(COUNTIFS('United Data'!$A$3:$A$2150,H$1,'United Data'!$C$3:$C$2150,$A909)&gt;0,1,0)</f>
        <v>0</v>
      </c>
      <c r="I909">
        <f>IF(COUNTIFS('United Data'!$A$3:$A$2150,I$1,'United Data'!$C$3:$C$2150,$A909)&gt;0,1,0)</f>
        <v>0</v>
      </c>
      <c r="J909">
        <f>IF(COUNTIFS('United Data'!$A$3:$A$2150,J$1,'United Data'!$C$3:$C$2150,$A909)&gt;0,1,0)</f>
        <v>0</v>
      </c>
      <c r="K909">
        <f>IF(COUNTIFS('United Data'!$A$3:$A$2150,K$1,'United Data'!$C$3:$C$2150,$A909)&gt;0,1,0)</f>
        <v>0</v>
      </c>
      <c r="L909">
        <f>IF(COUNTIFS('United Data'!$A$3:$A$2150,L$1,'United Data'!$C$3:$C$2150,$A909)&gt;0,1,0)</f>
        <v>0</v>
      </c>
      <c r="M909">
        <f>IF(COUNTIFS('United Data'!$A$3:$A$2150,M$1,'United Data'!$C$3:$C$2150,$A909)&gt;0,1,0)</f>
        <v>1</v>
      </c>
      <c r="N909">
        <f>IF(COUNTIFS('United Data'!$A$3:$A$2150,N$1,'United Data'!$C$3:$C$2150,$A909)&gt;0,1,0)</f>
        <v>0</v>
      </c>
      <c r="O909">
        <f>IF(COUNTIFS('United Data'!$A$3:$A$2150,O$1,'United Data'!$C$3:$C$2150,$A909)&gt;0,1,0)</f>
        <v>0</v>
      </c>
      <c r="P909">
        <f>IF(COUNTIFS('United Data'!$A$3:$A$2150,P$1,'United Data'!$C$3:$C$2150,$A909)&gt;0,1,0)</f>
        <v>0</v>
      </c>
      <c r="Q909">
        <f>IF(COUNTIFS('United Data'!$A$3:$A$2150,Q$1,'United Data'!$C$3:$C$2150,$A909)&gt;0,1,0)</f>
        <v>0</v>
      </c>
      <c r="R909">
        <f>IF(COUNTIFS('United Data'!$A$3:$A$2150,R$1,'United Data'!$C$3:$C$2150,$A909)&gt;0,1,0)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955</v>
      </c>
      <c r="B910">
        <f>IF(COUNTIFS('United Data'!$A$3:$A$2150,B$1,'United Data'!$C$3:$C$2150,$A910)&gt;0,1,0)</f>
        <v>0</v>
      </c>
      <c r="C910">
        <f>IF(COUNTIFS('United Data'!$A$3:$A$2150,C$1,'United Data'!$C$3:$C$2150,$A910)&gt;0,1,0)</f>
        <v>0</v>
      </c>
      <c r="D910">
        <f>IF(COUNTIFS('United Data'!$A$3:$A$2150,D$1,'United Data'!$C$3:$C$2150,$A910)&gt;0,1,0)</f>
        <v>0</v>
      </c>
      <c r="E910">
        <f>IF(COUNTIFS('United Data'!$A$3:$A$2150,E$1,'United Data'!$C$3:$C$2150,$A910)&gt;0,1,0)</f>
        <v>0</v>
      </c>
      <c r="F910">
        <f>IF(COUNTIFS('United Data'!$A$3:$A$2150,F$1,'United Data'!$C$3:$C$2150,$A910)&gt;0,1,0)</f>
        <v>0</v>
      </c>
      <c r="G910">
        <f>IF(COUNTIFS('United Data'!$A$3:$A$2150,G$1,'United Data'!$C$3:$C$2150,$A910)&gt;0,1,0)</f>
        <v>0</v>
      </c>
      <c r="H910">
        <f>IF(COUNTIFS('United Data'!$A$3:$A$2150,H$1,'United Data'!$C$3:$C$2150,$A910)&gt;0,1,0)</f>
        <v>0</v>
      </c>
      <c r="I910">
        <f>IF(COUNTIFS('United Data'!$A$3:$A$2150,I$1,'United Data'!$C$3:$C$2150,$A910)&gt;0,1,0)</f>
        <v>0</v>
      </c>
      <c r="J910">
        <f>IF(COUNTIFS('United Data'!$A$3:$A$2150,J$1,'United Data'!$C$3:$C$2150,$A910)&gt;0,1,0)</f>
        <v>0</v>
      </c>
      <c r="K910">
        <f>IF(COUNTIFS('United Data'!$A$3:$A$2150,K$1,'United Data'!$C$3:$C$2150,$A910)&gt;0,1,0)</f>
        <v>0</v>
      </c>
      <c r="L910">
        <f>IF(COUNTIFS('United Data'!$A$3:$A$2150,L$1,'United Data'!$C$3:$C$2150,$A910)&gt;0,1,0)</f>
        <v>0</v>
      </c>
      <c r="M910">
        <f>IF(COUNTIFS('United Data'!$A$3:$A$2150,M$1,'United Data'!$C$3:$C$2150,$A910)&gt;0,1,0)</f>
        <v>1</v>
      </c>
      <c r="N910">
        <f>IF(COUNTIFS('United Data'!$A$3:$A$2150,N$1,'United Data'!$C$3:$C$2150,$A910)&gt;0,1,0)</f>
        <v>0</v>
      </c>
      <c r="O910">
        <f>IF(COUNTIFS('United Data'!$A$3:$A$2150,O$1,'United Data'!$C$3:$C$2150,$A910)&gt;0,1,0)</f>
        <v>0</v>
      </c>
      <c r="P910">
        <f>IF(COUNTIFS('United Data'!$A$3:$A$2150,P$1,'United Data'!$C$3:$C$2150,$A910)&gt;0,1,0)</f>
        <v>0</v>
      </c>
      <c r="Q910">
        <f>IF(COUNTIFS('United Data'!$A$3:$A$2150,Q$1,'United Data'!$C$3:$C$2150,$A910)&gt;0,1,0)</f>
        <v>0</v>
      </c>
      <c r="R910">
        <f>IF(COUNTIFS('United Data'!$A$3:$A$2150,R$1,'United Data'!$C$3:$C$2150,$A910)&gt;0,1,0)</f>
        <v>0</v>
      </c>
      <c r="S910">
        <f t="shared" si="28"/>
        <v>1</v>
      </c>
      <c r="T910">
        <f t="shared" si="29"/>
        <v>1</v>
      </c>
    </row>
    <row r="911" spans="1:20" x14ac:dyDescent="0.2">
      <c r="A911" t="s">
        <v>956</v>
      </c>
      <c r="B911">
        <f>IF(COUNTIFS('United Data'!$A$3:$A$2150,B$1,'United Data'!$C$3:$C$2150,$A911)&gt;0,1,0)</f>
        <v>0</v>
      </c>
      <c r="C911">
        <f>IF(COUNTIFS('United Data'!$A$3:$A$2150,C$1,'United Data'!$C$3:$C$2150,$A911)&gt;0,1,0)</f>
        <v>0</v>
      </c>
      <c r="D911">
        <f>IF(COUNTIFS('United Data'!$A$3:$A$2150,D$1,'United Data'!$C$3:$C$2150,$A911)&gt;0,1,0)</f>
        <v>0</v>
      </c>
      <c r="E911">
        <f>IF(COUNTIFS('United Data'!$A$3:$A$2150,E$1,'United Data'!$C$3:$C$2150,$A911)&gt;0,1,0)</f>
        <v>0</v>
      </c>
      <c r="F911">
        <f>IF(COUNTIFS('United Data'!$A$3:$A$2150,F$1,'United Data'!$C$3:$C$2150,$A911)&gt;0,1,0)</f>
        <v>0</v>
      </c>
      <c r="G911">
        <f>IF(COUNTIFS('United Data'!$A$3:$A$2150,G$1,'United Data'!$C$3:$C$2150,$A911)&gt;0,1,0)</f>
        <v>0</v>
      </c>
      <c r="H911">
        <f>IF(COUNTIFS('United Data'!$A$3:$A$2150,H$1,'United Data'!$C$3:$C$2150,$A911)&gt;0,1,0)</f>
        <v>0</v>
      </c>
      <c r="I911">
        <f>IF(COUNTIFS('United Data'!$A$3:$A$2150,I$1,'United Data'!$C$3:$C$2150,$A911)&gt;0,1,0)</f>
        <v>0</v>
      </c>
      <c r="J911">
        <f>IF(COUNTIFS('United Data'!$A$3:$A$2150,J$1,'United Data'!$C$3:$C$2150,$A911)&gt;0,1,0)</f>
        <v>0</v>
      </c>
      <c r="K911">
        <f>IF(COUNTIFS('United Data'!$A$3:$A$2150,K$1,'United Data'!$C$3:$C$2150,$A911)&gt;0,1,0)</f>
        <v>0</v>
      </c>
      <c r="L911">
        <f>IF(COUNTIFS('United Data'!$A$3:$A$2150,L$1,'United Data'!$C$3:$C$2150,$A911)&gt;0,1,0)</f>
        <v>0</v>
      </c>
      <c r="M911">
        <f>IF(COUNTIFS('United Data'!$A$3:$A$2150,M$1,'United Data'!$C$3:$C$2150,$A911)&gt;0,1,0)</f>
        <v>1</v>
      </c>
      <c r="N911">
        <f>IF(COUNTIFS('United Data'!$A$3:$A$2150,N$1,'United Data'!$C$3:$C$2150,$A911)&gt;0,1,0)</f>
        <v>0</v>
      </c>
      <c r="O911">
        <f>IF(COUNTIFS('United Data'!$A$3:$A$2150,O$1,'United Data'!$C$3:$C$2150,$A911)&gt;0,1,0)</f>
        <v>0</v>
      </c>
      <c r="P911">
        <f>IF(COUNTIFS('United Data'!$A$3:$A$2150,P$1,'United Data'!$C$3:$C$2150,$A911)&gt;0,1,0)</f>
        <v>0</v>
      </c>
      <c r="Q911">
        <f>IF(COUNTIFS('United Data'!$A$3:$A$2150,Q$1,'United Data'!$C$3:$C$2150,$A911)&gt;0,1,0)</f>
        <v>0</v>
      </c>
      <c r="R911">
        <f>IF(COUNTIFS('United Data'!$A$3:$A$2150,R$1,'United Data'!$C$3:$C$2150,$A911)&gt;0,1,0)</f>
        <v>0</v>
      </c>
      <c r="S911">
        <f t="shared" si="28"/>
        <v>1</v>
      </c>
      <c r="T911">
        <f t="shared" si="29"/>
        <v>1</v>
      </c>
    </row>
    <row r="912" spans="1:20" x14ac:dyDescent="0.2">
      <c r="A912" t="s">
        <v>957</v>
      </c>
      <c r="B912">
        <f>IF(COUNTIFS('United Data'!$A$3:$A$2150,B$1,'United Data'!$C$3:$C$2150,$A912)&gt;0,1,0)</f>
        <v>0</v>
      </c>
      <c r="C912">
        <f>IF(COUNTIFS('United Data'!$A$3:$A$2150,C$1,'United Data'!$C$3:$C$2150,$A912)&gt;0,1,0)</f>
        <v>0</v>
      </c>
      <c r="D912">
        <f>IF(COUNTIFS('United Data'!$A$3:$A$2150,D$1,'United Data'!$C$3:$C$2150,$A912)&gt;0,1,0)</f>
        <v>0</v>
      </c>
      <c r="E912">
        <f>IF(COUNTIFS('United Data'!$A$3:$A$2150,E$1,'United Data'!$C$3:$C$2150,$A912)&gt;0,1,0)</f>
        <v>0</v>
      </c>
      <c r="F912">
        <f>IF(COUNTIFS('United Data'!$A$3:$A$2150,F$1,'United Data'!$C$3:$C$2150,$A912)&gt;0,1,0)</f>
        <v>0</v>
      </c>
      <c r="G912">
        <f>IF(COUNTIFS('United Data'!$A$3:$A$2150,G$1,'United Data'!$C$3:$C$2150,$A912)&gt;0,1,0)</f>
        <v>0</v>
      </c>
      <c r="H912">
        <f>IF(COUNTIFS('United Data'!$A$3:$A$2150,H$1,'United Data'!$C$3:$C$2150,$A912)&gt;0,1,0)</f>
        <v>0</v>
      </c>
      <c r="I912">
        <f>IF(COUNTIFS('United Data'!$A$3:$A$2150,I$1,'United Data'!$C$3:$C$2150,$A912)&gt;0,1,0)</f>
        <v>0</v>
      </c>
      <c r="J912">
        <f>IF(COUNTIFS('United Data'!$A$3:$A$2150,J$1,'United Data'!$C$3:$C$2150,$A912)&gt;0,1,0)</f>
        <v>0</v>
      </c>
      <c r="K912">
        <f>IF(COUNTIFS('United Data'!$A$3:$A$2150,K$1,'United Data'!$C$3:$C$2150,$A912)&gt;0,1,0)</f>
        <v>0</v>
      </c>
      <c r="L912">
        <f>IF(COUNTIFS('United Data'!$A$3:$A$2150,L$1,'United Data'!$C$3:$C$2150,$A912)&gt;0,1,0)</f>
        <v>0</v>
      </c>
      <c r="M912">
        <f>IF(COUNTIFS('United Data'!$A$3:$A$2150,M$1,'United Data'!$C$3:$C$2150,$A912)&gt;0,1,0)</f>
        <v>1</v>
      </c>
      <c r="N912">
        <f>IF(COUNTIFS('United Data'!$A$3:$A$2150,N$1,'United Data'!$C$3:$C$2150,$A912)&gt;0,1,0)</f>
        <v>0</v>
      </c>
      <c r="O912">
        <f>IF(COUNTIFS('United Data'!$A$3:$A$2150,O$1,'United Data'!$C$3:$C$2150,$A912)&gt;0,1,0)</f>
        <v>0</v>
      </c>
      <c r="P912">
        <f>IF(COUNTIFS('United Data'!$A$3:$A$2150,P$1,'United Data'!$C$3:$C$2150,$A912)&gt;0,1,0)</f>
        <v>0</v>
      </c>
      <c r="Q912">
        <f>IF(COUNTIFS('United Data'!$A$3:$A$2150,Q$1,'United Data'!$C$3:$C$2150,$A912)&gt;0,1,0)</f>
        <v>0</v>
      </c>
      <c r="R912">
        <f>IF(COUNTIFS('United Data'!$A$3:$A$2150,R$1,'United Data'!$C$3:$C$2150,$A912)&gt;0,1,0)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958</v>
      </c>
      <c r="B913">
        <f>IF(COUNTIFS('United Data'!$A$3:$A$2150,B$1,'United Data'!$C$3:$C$2150,$A913)&gt;0,1,0)</f>
        <v>0</v>
      </c>
      <c r="C913">
        <f>IF(COUNTIFS('United Data'!$A$3:$A$2150,C$1,'United Data'!$C$3:$C$2150,$A913)&gt;0,1,0)</f>
        <v>0</v>
      </c>
      <c r="D913">
        <f>IF(COUNTIFS('United Data'!$A$3:$A$2150,D$1,'United Data'!$C$3:$C$2150,$A913)&gt;0,1,0)</f>
        <v>0</v>
      </c>
      <c r="E913">
        <f>IF(COUNTIFS('United Data'!$A$3:$A$2150,E$1,'United Data'!$C$3:$C$2150,$A913)&gt;0,1,0)</f>
        <v>0</v>
      </c>
      <c r="F913">
        <f>IF(COUNTIFS('United Data'!$A$3:$A$2150,F$1,'United Data'!$C$3:$C$2150,$A913)&gt;0,1,0)</f>
        <v>0</v>
      </c>
      <c r="G913">
        <f>IF(COUNTIFS('United Data'!$A$3:$A$2150,G$1,'United Data'!$C$3:$C$2150,$A913)&gt;0,1,0)</f>
        <v>0</v>
      </c>
      <c r="H913">
        <f>IF(COUNTIFS('United Data'!$A$3:$A$2150,H$1,'United Data'!$C$3:$C$2150,$A913)&gt;0,1,0)</f>
        <v>0</v>
      </c>
      <c r="I913">
        <f>IF(COUNTIFS('United Data'!$A$3:$A$2150,I$1,'United Data'!$C$3:$C$2150,$A913)&gt;0,1,0)</f>
        <v>0</v>
      </c>
      <c r="J913">
        <f>IF(COUNTIFS('United Data'!$A$3:$A$2150,J$1,'United Data'!$C$3:$C$2150,$A913)&gt;0,1,0)</f>
        <v>0</v>
      </c>
      <c r="K913">
        <f>IF(COUNTIFS('United Data'!$A$3:$A$2150,K$1,'United Data'!$C$3:$C$2150,$A913)&gt;0,1,0)</f>
        <v>0</v>
      </c>
      <c r="L913">
        <f>IF(COUNTIFS('United Data'!$A$3:$A$2150,L$1,'United Data'!$C$3:$C$2150,$A913)&gt;0,1,0)</f>
        <v>0</v>
      </c>
      <c r="M913">
        <f>IF(COUNTIFS('United Data'!$A$3:$A$2150,M$1,'United Data'!$C$3:$C$2150,$A913)&gt;0,1,0)</f>
        <v>1</v>
      </c>
      <c r="N913">
        <f>IF(COUNTIFS('United Data'!$A$3:$A$2150,N$1,'United Data'!$C$3:$C$2150,$A913)&gt;0,1,0)</f>
        <v>0</v>
      </c>
      <c r="O913">
        <f>IF(COUNTIFS('United Data'!$A$3:$A$2150,O$1,'United Data'!$C$3:$C$2150,$A913)&gt;0,1,0)</f>
        <v>0</v>
      </c>
      <c r="P913">
        <f>IF(COUNTIFS('United Data'!$A$3:$A$2150,P$1,'United Data'!$C$3:$C$2150,$A913)&gt;0,1,0)</f>
        <v>0</v>
      </c>
      <c r="Q913">
        <f>IF(COUNTIFS('United Data'!$A$3:$A$2150,Q$1,'United Data'!$C$3:$C$2150,$A913)&gt;0,1,0)</f>
        <v>0</v>
      </c>
      <c r="R913">
        <f>IF(COUNTIFS('United Data'!$A$3:$A$2150,R$1,'United Data'!$C$3:$C$2150,$A913)&gt;0,1,0)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959</v>
      </c>
      <c r="B914">
        <f>IF(COUNTIFS('United Data'!$A$3:$A$2150,B$1,'United Data'!$C$3:$C$2150,$A914)&gt;0,1,0)</f>
        <v>0</v>
      </c>
      <c r="C914">
        <f>IF(COUNTIFS('United Data'!$A$3:$A$2150,C$1,'United Data'!$C$3:$C$2150,$A914)&gt;0,1,0)</f>
        <v>0</v>
      </c>
      <c r="D914">
        <f>IF(COUNTIFS('United Data'!$A$3:$A$2150,D$1,'United Data'!$C$3:$C$2150,$A914)&gt;0,1,0)</f>
        <v>0</v>
      </c>
      <c r="E914">
        <f>IF(COUNTIFS('United Data'!$A$3:$A$2150,E$1,'United Data'!$C$3:$C$2150,$A914)&gt;0,1,0)</f>
        <v>0</v>
      </c>
      <c r="F914">
        <f>IF(COUNTIFS('United Data'!$A$3:$A$2150,F$1,'United Data'!$C$3:$C$2150,$A914)&gt;0,1,0)</f>
        <v>0</v>
      </c>
      <c r="G914">
        <f>IF(COUNTIFS('United Data'!$A$3:$A$2150,G$1,'United Data'!$C$3:$C$2150,$A914)&gt;0,1,0)</f>
        <v>0</v>
      </c>
      <c r="H914">
        <f>IF(COUNTIFS('United Data'!$A$3:$A$2150,H$1,'United Data'!$C$3:$C$2150,$A914)&gt;0,1,0)</f>
        <v>0</v>
      </c>
      <c r="I914">
        <f>IF(COUNTIFS('United Data'!$A$3:$A$2150,I$1,'United Data'!$C$3:$C$2150,$A914)&gt;0,1,0)</f>
        <v>0</v>
      </c>
      <c r="J914">
        <f>IF(COUNTIFS('United Data'!$A$3:$A$2150,J$1,'United Data'!$C$3:$C$2150,$A914)&gt;0,1,0)</f>
        <v>0</v>
      </c>
      <c r="K914">
        <f>IF(COUNTIFS('United Data'!$A$3:$A$2150,K$1,'United Data'!$C$3:$C$2150,$A914)&gt;0,1,0)</f>
        <v>0</v>
      </c>
      <c r="L914">
        <f>IF(COUNTIFS('United Data'!$A$3:$A$2150,L$1,'United Data'!$C$3:$C$2150,$A914)&gt;0,1,0)</f>
        <v>0</v>
      </c>
      <c r="M914">
        <f>IF(COUNTIFS('United Data'!$A$3:$A$2150,M$1,'United Data'!$C$3:$C$2150,$A914)&gt;0,1,0)</f>
        <v>0</v>
      </c>
      <c r="N914">
        <f>IF(COUNTIFS('United Data'!$A$3:$A$2150,N$1,'United Data'!$C$3:$C$2150,$A914)&gt;0,1,0)</f>
        <v>1</v>
      </c>
      <c r="O914">
        <f>IF(COUNTIFS('United Data'!$A$3:$A$2150,O$1,'United Data'!$C$3:$C$2150,$A914)&gt;0,1,0)</f>
        <v>0</v>
      </c>
      <c r="P914">
        <f>IF(COUNTIFS('United Data'!$A$3:$A$2150,P$1,'United Data'!$C$3:$C$2150,$A914)&gt;0,1,0)</f>
        <v>0</v>
      </c>
      <c r="Q914">
        <f>IF(COUNTIFS('United Data'!$A$3:$A$2150,Q$1,'United Data'!$C$3:$C$2150,$A914)&gt;0,1,0)</f>
        <v>0</v>
      </c>
      <c r="R914">
        <f>IF(COUNTIFS('United Data'!$A$3:$A$2150,R$1,'United Data'!$C$3:$C$2150,$A914)&gt;0,1,0)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960</v>
      </c>
      <c r="B915">
        <f>IF(COUNTIFS('United Data'!$A$3:$A$2150,B$1,'United Data'!$C$3:$C$2150,$A915)&gt;0,1,0)</f>
        <v>0</v>
      </c>
      <c r="C915">
        <f>IF(COUNTIFS('United Data'!$A$3:$A$2150,C$1,'United Data'!$C$3:$C$2150,$A915)&gt;0,1,0)</f>
        <v>0</v>
      </c>
      <c r="D915">
        <f>IF(COUNTIFS('United Data'!$A$3:$A$2150,D$1,'United Data'!$C$3:$C$2150,$A915)&gt;0,1,0)</f>
        <v>0</v>
      </c>
      <c r="E915">
        <f>IF(COUNTIFS('United Data'!$A$3:$A$2150,E$1,'United Data'!$C$3:$C$2150,$A915)&gt;0,1,0)</f>
        <v>0</v>
      </c>
      <c r="F915">
        <f>IF(COUNTIFS('United Data'!$A$3:$A$2150,F$1,'United Data'!$C$3:$C$2150,$A915)&gt;0,1,0)</f>
        <v>0</v>
      </c>
      <c r="G915">
        <f>IF(COUNTIFS('United Data'!$A$3:$A$2150,G$1,'United Data'!$C$3:$C$2150,$A915)&gt;0,1,0)</f>
        <v>0</v>
      </c>
      <c r="H915">
        <f>IF(COUNTIFS('United Data'!$A$3:$A$2150,H$1,'United Data'!$C$3:$C$2150,$A915)&gt;0,1,0)</f>
        <v>0</v>
      </c>
      <c r="I915">
        <f>IF(COUNTIFS('United Data'!$A$3:$A$2150,I$1,'United Data'!$C$3:$C$2150,$A915)&gt;0,1,0)</f>
        <v>0</v>
      </c>
      <c r="J915">
        <f>IF(COUNTIFS('United Data'!$A$3:$A$2150,J$1,'United Data'!$C$3:$C$2150,$A915)&gt;0,1,0)</f>
        <v>0</v>
      </c>
      <c r="K915">
        <f>IF(COUNTIFS('United Data'!$A$3:$A$2150,K$1,'United Data'!$C$3:$C$2150,$A915)&gt;0,1,0)</f>
        <v>0</v>
      </c>
      <c r="L915">
        <f>IF(COUNTIFS('United Data'!$A$3:$A$2150,L$1,'United Data'!$C$3:$C$2150,$A915)&gt;0,1,0)</f>
        <v>0</v>
      </c>
      <c r="M915">
        <f>IF(COUNTIFS('United Data'!$A$3:$A$2150,M$1,'United Data'!$C$3:$C$2150,$A915)&gt;0,1,0)</f>
        <v>0</v>
      </c>
      <c r="N915">
        <f>IF(COUNTIFS('United Data'!$A$3:$A$2150,N$1,'United Data'!$C$3:$C$2150,$A915)&gt;0,1,0)</f>
        <v>1</v>
      </c>
      <c r="O915">
        <f>IF(COUNTIFS('United Data'!$A$3:$A$2150,O$1,'United Data'!$C$3:$C$2150,$A915)&gt;0,1,0)</f>
        <v>0</v>
      </c>
      <c r="P915">
        <f>IF(COUNTIFS('United Data'!$A$3:$A$2150,P$1,'United Data'!$C$3:$C$2150,$A915)&gt;0,1,0)</f>
        <v>0</v>
      </c>
      <c r="Q915">
        <f>IF(COUNTIFS('United Data'!$A$3:$A$2150,Q$1,'United Data'!$C$3:$C$2150,$A915)&gt;0,1,0)</f>
        <v>0</v>
      </c>
      <c r="R915">
        <f>IF(COUNTIFS('United Data'!$A$3:$A$2150,R$1,'United Data'!$C$3:$C$2150,$A915)&gt;0,1,0)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961</v>
      </c>
      <c r="B916">
        <f>IF(COUNTIFS('United Data'!$A$3:$A$2150,B$1,'United Data'!$C$3:$C$2150,$A916)&gt;0,1,0)</f>
        <v>0</v>
      </c>
      <c r="C916">
        <f>IF(COUNTIFS('United Data'!$A$3:$A$2150,C$1,'United Data'!$C$3:$C$2150,$A916)&gt;0,1,0)</f>
        <v>0</v>
      </c>
      <c r="D916">
        <f>IF(COUNTIFS('United Data'!$A$3:$A$2150,D$1,'United Data'!$C$3:$C$2150,$A916)&gt;0,1,0)</f>
        <v>0</v>
      </c>
      <c r="E916">
        <f>IF(COUNTIFS('United Data'!$A$3:$A$2150,E$1,'United Data'!$C$3:$C$2150,$A916)&gt;0,1,0)</f>
        <v>0</v>
      </c>
      <c r="F916">
        <f>IF(COUNTIFS('United Data'!$A$3:$A$2150,F$1,'United Data'!$C$3:$C$2150,$A916)&gt;0,1,0)</f>
        <v>0</v>
      </c>
      <c r="G916">
        <f>IF(COUNTIFS('United Data'!$A$3:$A$2150,G$1,'United Data'!$C$3:$C$2150,$A916)&gt;0,1,0)</f>
        <v>0</v>
      </c>
      <c r="H916">
        <f>IF(COUNTIFS('United Data'!$A$3:$A$2150,H$1,'United Data'!$C$3:$C$2150,$A916)&gt;0,1,0)</f>
        <v>0</v>
      </c>
      <c r="I916">
        <f>IF(COUNTIFS('United Data'!$A$3:$A$2150,I$1,'United Data'!$C$3:$C$2150,$A916)&gt;0,1,0)</f>
        <v>0</v>
      </c>
      <c r="J916">
        <f>IF(COUNTIFS('United Data'!$A$3:$A$2150,J$1,'United Data'!$C$3:$C$2150,$A916)&gt;0,1,0)</f>
        <v>0</v>
      </c>
      <c r="K916">
        <f>IF(COUNTIFS('United Data'!$A$3:$A$2150,K$1,'United Data'!$C$3:$C$2150,$A916)&gt;0,1,0)</f>
        <v>0</v>
      </c>
      <c r="L916">
        <f>IF(COUNTIFS('United Data'!$A$3:$A$2150,L$1,'United Data'!$C$3:$C$2150,$A916)&gt;0,1,0)</f>
        <v>0</v>
      </c>
      <c r="M916">
        <f>IF(COUNTIFS('United Data'!$A$3:$A$2150,M$1,'United Data'!$C$3:$C$2150,$A916)&gt;0,1,0)</f>
        <v>0</v>
      </c>
      <c r="N916">
        <f>IF(COUNTIFS('United Data'!$A$3:$A$2150,N$1,'United Data'!$C$3:$C$2150,$A916)&gt;0,1,0)</f>
        <v>1</v>
      </c>
      <c r="O916">
        <f>IF(COUNTIFS('United Data'!$A$3:$A$2150,O$1,'United Data'!$C$3:$C$2150,$A916)&gt;0,1,0)</f>
        <v>0</v>
      </c>
      <c r="P916">
        <f>IF(COUNTIFS('United Data'!$A$3:$A$2150,P$1,'United Data'!$C$3:$C$2150,$A916)&gt;0,1,0)</f>
        <v>0</v>
      </c>
      <c r="Q916">
        <f>IF(COUNTIFS('United Data'!$A$3:$A$2150,Q$1,'United Data'!$C$3:$C$2150,$A916)&gt;0,1,0)</f>
        <v>0</v>
      </c>
      <c r="R916">
        <f>IF(COUNTIFS('United Data'!$A$3:$A$2150,R$1,'United Data'!$C$3:$C$2150,$A916)&gt;0,1,0)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962</v>
      </c>
      <c r="B917">
        <f>IF(COUNTIFS('United Data'!$A$3:$A$2150,B$1,'United Data'!$C$3:$C$2150,$A917)&gt;0,1,0)</f>
        <v>0</v>
      </c>
      <c r="C917">
        <f>IF(COUNTIFS('United Data'!$A$3:$A$2150,C$1,'United Data'!$C$3:$C$2150,$A917)&gt;0,1,0)</f>
        <v>0</v>
      </c>
      <c r="D917">
        <f>IF(COUNTIFS('United Data'!$A$3:$A$2150,D$1,'United Data'!$C$3:$C$2150,$A917)&gt;0,1,0)</f>
        <v>0</v>
      </c>
      <c r="E917">
        <f>IF(COUNTIFS('United Data'!$A$3:$A$2150,E$1,'United Data'!$C$3:$C$2150,$A917)&gt;0,1,0)</f>
        <v>0</v>
      </c>
      <c r="F917">
        <f>IF(COUNTIFS('United Data'!$A$3:$A$2150,F$1,'United Data'!$C$3:$C$2150,$A917)&gt;0,1,0)</f>
        <v>0</v>
      </c>
      <c r="G917">
        <f>IF(COUNTIFS('United Data'!$A$3:$A$2150,G$1,'United Data'!$C$3:$C$2150,$A917)&gt;0,1,0)</f>
        <v>0</v>
      </c>
      <c r="H917">
        <f>IF(COUNTIFS('United Data'!$A$3:$A$2150,H$1,'United Data'!$C$3:$C$2150,$A917)&gt;0,1,0)</f>
        <v>0</v>
      </c>
      <c r="I917">
        <f>IF(COUNTIFS('United Data'!$A$3:$A$2150,I$1,'United Data'!$C$3:$C$2150,$A917)&gt;0,1,0)</f>
        <v>0</v>
      </c>
      <c r="J917">
        <f>IF(COUNTIFS('United Data'!$A$3:$A$2150,J$1,'United Data'!$C$3:$C$2150,$A917)&gt;0,1,0)</f>
        <v>0</v>
      </c>
      <c r="K917">
        <f>IF(COUNTIFS('United Data'!$A$3:$A$2150,K$1,'United Data'!$C$3:$C$2150,$A917)&gt;0,1,0)</f>
        <v>0</v>
      </c>
      <c r="L917">
        <f>IF(COUNTIFS('United Data'!$A$3:$A$2150,L$1,'United Data'!$C$3:$C$2150,$A917)&gt;0,1,0)</f>
        <v>0</v>
      </c>
      <c r="M917">
        <f>IF(COUNTIFS('United Data'!$A$3:$A$2150,M$1,'United Data'!$C$3:$C$2150,$A917)&gt;0,1,0)</f>
        <v>0</v>
      </c>
      <c r="N917">
        <f>IF(COUNTIFS('United Data'!$A$3:$A$2150,N$1,'United Data'!$C$3:$C$2150,$A917)&gt;0,1,0)</f>
        <v>1</v>
      </c>
      <c r="O917">
        <f>IF(COUNTIFS('United Data'!$A$3:$A$2150,O$1,'United Data'!$C$3:$C$2150,$A917)&gt;0,1,0)</f>
        <v>0</v>
      </c>
      <c r="P917">
        <f>IF(COUNTIFS('United Data'!$A$3:$A$2150,P$1,'United Data'!$C$3:$C$2150,$A917)&gt;0,1,0)</f>
        <v>0</v>
      </c>
      <c r="Q917">
        <f>IF(COUNTIFS('United Data'!$A$3:$A$2150,Q$1,'United Data'!$C$3:$C$2150,$A917)&gt;0,1,0)</f>
        <v>0</v>
      </c>
      <c r="R917">
        <f>IF(COUNTIFS('United Data'!$A$3:$A$2150,R$1,'United Data'!$C$3:$C$2150,$A917)&gt;0,1,0)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963</v>
      </c>
      <c r="B918">
        <f>IF(COUNTIFS('United Data'!$A$3:$A$2150,B$1,'United Data'!$C$3:$C$2150,$A918)&gt;0,1,0)</f>
        <v>0</v>
      </c>
      <c r="C918">
        <f>IF(COUNTIFS('United Data'!$A$3:$A$2150,C$1,'United Data'!$C$3:$C$2150,$A918)&gt;0,1,0)</f>
        <v>0</v>
      </c>
      <c r="D918">
        <f>IF(COUNTIFS('United Data'!$A$3:$A$2150,D$1,'United Data'!$C$3:$C$2150,$A918)&gt;0,1,0)</f>
        <v>0</v>
      </c>
      <c r="E918">
        <f>IF(COUNTIFS('United Data'!$A$3:$A$2150,E$1,'United Data'!$C$3:$C$2150,$A918)&gt;0,1,0)</f>
        <v>0</v>
      </c>
      <c r="F918">
        <f>IF(COUNTIFS('United Data'!$A$3:$A$2150,F$1,'United Data'!$C$3:$C$2150,$A918)&gt;0,1,0)</f>
        <v>0</v>
      </c>
      <c r="G918">
        <f>IF(COUNTIFS('United Data'!$A$3:$A$2150,G$1,'United Data'!$C$3:$C$2150,$A918)&gt;0,1,0)</f>
        <v>0</v>
      </c>
      <c r="H918">
        <f>IF(COUNTIFS('United Data'!$A$3:$A$2150,H$1,'United Data'!$C$3:$C$2150,$A918)&gt;0,1,0)</f>
        <v>0</v>
      </c>
      <c r="I918">
        <f>IF(COUNTIFS('United Data'!$A$3:$A$2150,I$1,'United Data'!$C$3:$C$2150,$A918)&gt;0,1,0)</f>
        <v>0</v>
      </c>
      <c r="J918">
        <f>IF(COUNTIFS('United Data'!$A$3:$A$2150,J$1,'United Data'!$C$3:$C$2150,$A918)&gt;0,1,0)</f>
        <v>0</v>
      </c>
      <c r="K918">
        <f>IF(COUNTIFS('United Data'!$A$3:$A$2150,K$1,'United Data'!$C$3:$C$2150,$A918)&gt;0,1,0)</f>
        <v>0</v>
      </c>
      <c r="L918">
        <f>IF(COUNTIFS('United Data'!$A$3:$A$2150,L$1,'United Data'!$C$3:$C$2150,$A918)&gt;0,1,0)</f>
        <v>0</v>
      </c>
      <c r="M918">
        <f>IF(COUNTIFS('United Data'!$A$3:$A$2150,M$1,'United Data'!$C$3:$C$2150,$A918)&gt;0,1,0)</f>
        <v>0</v>
      </c>
      <c r="N918">
        <f>IF(COUNTIFS('United Data'!$A$3:$A$2150,N$1,'United Data'!$C$3:$C$2150,$A918)&gt;0,1,0)</f>
        <v>1</v>
      </c>
      <c r="O918">
        <f>IF(COUNTIFS('United Data'!$A$3:$A$2150,O$1,'United Data'!$C$3:$C$2150,$A918)&gt;0,1,0)</f>
        <v>0</v>
      </c>
      <c r="P918">
        <f>IF(COUNTIFS('United Data'!$A$3:$A$2150,P$1,'United Data'!$C$3:$C$2150,$A918)&gt;0,1,0)</f>
        <v>0</v>
      </c>
      <c r="Q918">
        <f>IF(COUNTIFS('United Data'!$A$3:$A$2150,Q$1,'United Data'!$C$3:$C$2150,$A918)&gt;0,1,0)</f>
        <v>0</v>
      </c>
      <c r="R918">
        <f>IF(COUNTIFS('United Data'!$A$3:$A$2150,R$1,'United Data'!$C$3:$C$2150,$A918)&gt;0,1,0)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964</v>
      </c>
      <c r="B919">
        <f>IF(COUNTIFS('United Data'!$A$3:$A$2150,B$1,'United Data'!$C$3:$C$2150,$A919)&gt;0,1,0)</f>
        <v>0</v>
      </c>
      <c r="C919">
        <f>IF(COUNTIFS('United Data'!$A$3:$A$2150,C$1,'United Data'!$C$3:$C$2150,$A919)&gt;0,1,0)</f>
        <v>0</v>
      </c>
      <c r="D919">
        <f>IF(COUNTIFS('United Data'!$A$3:$A$2150,D$1,'United Data'!$C$3:$C$2150,$A919)&gt;0,1,0)</f>
        <v>0</v>
      </c>
      <c r="E919">
        <f>IF(COUNTIFS('United Data'!$A$3:$A$2150,E$1,'United Data'!$C$3:$C$2150,$A919)&gt;0,1,0)</f>
        <v>0</v>
      </c>
      <c r="F919">
        <f>IF(COUNTIFS('United Data'!$A$3:$A$2150,F$1,'United Data'!$C$3:$C$2150,$A919)&gt;0,1,0)</f>
        <v>0</v>
      </c>
      <c r="G919">
        <f>IF(COUNTIFS('United Data'!$A$3:$A$2150,G$1,'United Data'!$C$3:$C$2150,$A919)&gt;0,1,0)</f>
        <v>0</v>
      </c>
      <c r="H919">
        <f>IF(COUNTIFS('United Data'!$A$3:$A$2150,H$1,'United Data'!$C$3:$C$2150,$A919)&gt;0,1,0)</f>
        <v>0</v>
      </c>
      <c r="I919">
        <f>IF(COUNTIFS('United Data'!$A$3:$A$2150,I$1,'United Data'!$C$3:$C$2150,$A919)&gt;0,1,0)</f>
        <v>0</v>
      </c>
      <c r="J919">
        <f>IF(COUNTIFS('United Data'!$A$3:$A$2150,J$1,'United Data'!$C$3:$C$2150,$A919)&gt;0,1,0)</f>
        <v>0</v>
      </c>
      <c r="K919">
        <f>IF(COUNTIFS('United Data'!$A$3:$A$2150,K$1,'United Data'!$C$3:$C$2150,$A919)&gt;0,1,0)</f>
        <v>0</v>
      </c>
      <c r="L919">
        <f>IF(COUNTIFS('United Data'!$A$3:$A$2150,L$1,'United Data'!$C$3:$C$2150,$A919)&gt;0,1,0)</f>
        <v>0</v>
      </c>
      <c r="M919">
        <f>IF(COUNTIFS('United Data'!$A$3:$A$2150,M$1,'United Data'!$C$3:$C$2150,$A919)&gt;0,1,0)</f>
        <v>0</v>
      </c>
      <c r="N919">
        <f>IF(COUNTIFS('United Data'!$A$3:$A$2150,N$1,'United Data'!$C$3:$C$2150,$A919)&gt;0,1,0)</f>
        <v>1</v>
      </c>
      <c r="O919">
        <f>IF(COUNTIFS('United Data'!$A$3:$A$2150,O$1,'United Data'!$C$3:$C$2150,$A919)&gt;0,1,0)</f>
        <v>0</v>
      </c>
      <c r="P919">
        <f>IF(COUNTIFS('United Data'!$A$3:$A$2150,P$1,'United Data'!$C$3:$C$2150,$A919)&gt;0,1,0)</f>
        <v>0</v>
      </c>
      <c r="Q919">
        <f>IF(COUNTIFS('United Data'!$A$3:$A$2150,Q$1,'United Data'!$C$3:$C$2150,$A919)&gt;0,1,0)</f>
        <v>0</v>
      </c>
      <c r="R919">
        <f>IF(COUNTIFS('United Data'!$A$3:$A$2150,R$1,'United Data'!$C$3:$C$2150,$A919)&gt;0,1,0)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965</v>
      </c>
      <c r="B920">
        <f>IF(COUNTIFS('United Data'!$A$3:$A$2150,B$1,'United Data'!$C$3:$C$2150,$A920)&gt;0,1,0)</f>
        <v>0</v>
      </c>
      <c r="C920">
        <f>IF(COUNTIFS('United Data'!$A$3:$A$2150,C$1,'United Data'!$C$3:$C$2150,$A920)&gt;0,1,0)</f>
        <v>0</v>
      </c>
      <c r="D920">
        <f>IF(COUNTIFS('United Data'!$A$3:$A$2150,D$1,'United Data'!$C$3:$C$2150,$A920)&gt;0,1,0)</f>
        <v>0</v>
      </c>
      <c r="E920">
        <f>IF(COUNTIFS('United Data'!$A$3:$A$2150,E$1,'United Data'!$C$3:$C$2150,$A920)&gt;0,1,0)</f>
        <v>0</v>
      </c>
      <c r="F920">
        <f>IF(COUNTIFS('United Data'!$A$3:$A$2150,F$1,'United Data'!$C$3:$C$2150,$A920)&gt;0,1,0)</f>
        <v>0</v>
      </c>
      <c r="G920">
        <f>IF(COUNTIFS('United Data'!$A$3:$A$2150,G$1,'United Data'!$C$3:$C$2150,$A920)&gt;0,1,0)</f>
        <v>0</v>
      </c>
      <c r="H920">
        <f>IF(COUNTIFS('United Data'!$A$3:$A$2150,H$1,'United Data'!$C$3:$C$2150,$A920)&gt;0,1,0)</f>
        <v>0</v>
      </c>
      <c r="I920">
        <f>IF(COUNTIFS('United Data'!$A$3:$A$2150,I$1,'United Data'!$C$3:$C$2150,$A920)&gt;0,1,0)</f>
        <v>0</v>
      </c>
      <c r="J920">
        <f>IF(COUNTIFS('United Data'!$A$3:$A$2150,J$1,'United Data'!$C$3:$C$2150,$A920)&gt;0,1,0)</f>
        <v>0</v>
      </c>
      <c r="K920">
        <f>IF(COUNTIFS('United Data'!$A$3:$A$2150,K$1,'United Data'!$C$3:$C$2150,$A920)&gt;0,1,0)</f>
        <v>0</v>
      </c>
      <c r="L920">
        <f>IF(COUNTIFS('United Data'!$A$3:$A$2150,L$1,'United Data'!$C$3:$C$2150,$A920)&gt;0,1,0)</f>
        <v>0</v>
      </c>
      <c r="M920">
        <f>IF(COUNTIFS('United Data'!$A$3:$A$2150,M$1,'United Data'!$C$3:$C$2150,$A920)&gt;0,1,0)</f>
        <v>0</v>
      </c>
      <c r="N920">
        <f>IF(COUNTIFS('United Data'!$A$3:$A$2150,N$1,'United Data'!$C$3:$C$2150,$A920)&gt;0,1,0)</f>
        <v>1</v>
      </c>
      <c r="O920">
        <f>IF(COUNTIFS('United Data'!$A$3:$A$2150,O$1,'United Data'!$C$3:$C$2150,$A920)&gt;0,1,0)</f>
        <v>1</v>
      </c>
      <c r="P920">
        <f>IF(COUNTIFS('United Data'!$A$3:$A$2150,P$1,'United Data'!$C$3:$C$2150,$A920)&gt;0,1,0)</f>
        <v>1</v>
      </c>
      <c r="Q920">
        <f>IF(COUNTIFS('United Data'!$A$3:$A$2150,Q$1,'United Data'!$C$3:$C$2150,$A920)&gt;0,1,0)</f>
        <v>0</v>
      </c>
      <c r="R920">
        <f>IF(COUNTIFS('United Data'!$A$3:$A$2150,R$1,'United Data'!$C$3:$C$2150,$A920)&gt;0,1,0)</f>
        <v>0</v>
      </c>
      <c r="S920">
        <f t="shared" si="28"/>
        <v>3</v>
      </c>
      <c r="T920">
        <f t="shared" si="29"/>
        <v>1</v>
      </c>
    </row>
    <row r="921" spans="1:20" x14ac:dyDescent="0.2">
      <c r="A921" t="s">
        <v>966</v>
      </c>
      <c r="B921">
        <f>IF(COUNTIFS('United Data'!$A$3:$A$2150,B$1,'United Data'!$C$3:$C$2150,$A921)&gt;0,1,0)</f>
        <v>0</v>
      </c>
      <c r="C921">
        <f>IF(COUNTIFS('United Data'!$A$3:$A$2150,C$1,'United Data'!$C$3:$C$2150,$A921)&gt;0,1,0)</f>
        <v>0</v>
      </c>
      <c r="D921">
        <f>IF(COUNTIFS('United Data'!$A$3:$A$2150,D$1,'United Data'!$C$3:$C$2150,$A921)&gt;0,1,0)</f>
        <v>0</v>
      </c>
      <c r="E921">
        <f>IF(COUNTIFS('United Data'!$A$3:$A$2150,E$1,'United Data'!$C$3:$C$2150,$A921)&gt;0,1,0)</f>
        <v>0</v>
      </c>
      <c r="F921">
        <f>IF(COUNTIFS('United Data'!$A$3:$A$2150,F$1,'United Data'!$C$3:$C$2150,$A921)&gt;0,1,0)</f>
        <v>0</v>
      </c>
      <c r="G921">
        <f>IF(COUNTIFS('United Data'!$A$3:$A$2150,G$1,'United Data'!$C$3:$C$2150,$A921)&gt;0,1,0)</f>
        <v>0</v>
      </c>
      <c r="H921">
        <f>IF(COUNTIFS('United Data'!$A$3:$A$2150,H$1,'United Data'!$C$3:$C$2150,$A921)&gt;0,1,0)</f>
        <v>0</v>
      </c>
      <c r="I921">
        <f>IF(COUNTIFS('United Data'!$A$3:$A$2150,I$1,'United Data'!$C$3:$C$2150,$A921)&gt;0,1,0)</f>
        <v>0</v>
      </c>
      <c r="J921">
        <f>IF(COUNTIFS('United Data'!$A$3:$A$2150,J$1,'United Data'!$C$3:$C$2150,$A921)&gt;0,1,0)</f>
        <v>0</v>
      </c>
      <c r="K921">
        <f>IF(COUNTIFS('United Data'!$A$3:$A$2150,K$1,'United Data'!$C$3:$C$2150,$A921)&gt;0,1,0)</f>
        <v>0</v>
      </c>
      <c r="L921">
        <f>IF(COUNTIFS('United Data'!$A$3:$A$2150,L$1,'United Data'!$C$3:$C$2150,$A921)&gt;0,1,0)</f>
        <v>0</v>
      </c>
      <c r="M921">
        <f>IF(COUNTIFS('United Data'!$A$3:$A$2150,M$1,'United Data'!$C$3:$C$2150,$A921)&gt;0,1,0)</f>
        <v>0</v>
      </c>
      <c r="N921">
        <f>IF(COUNTIFS('United Data'!$A$3:$A$2150,N$1,'United Data'!$C$3:$C$2150,$A921)&gt;0,1,0)</f>
        <v>1</v>
      </c>
      <c r="O921">
        <f>IF(COUNTIFS('United Data'!$A$3:$A$2150,O$1,'United Data'!$C$3:$C$2150,$A921)&gt;0,1,0)</f>
        <v>0</v>
      </c>
      <c r="P921">
        <f>IF(COUNTIFS('United Data'!$A$3:$A$2150,P$1,'United Data'!$C$3:$C$2150,$A921)&gt;0,1,0)</f>
        <v>0</v>
      </c>
      <c r="Q921">
        <f>IF(COUNTIFS('United Data'!$A$3:$A$2150,Q$1,'United Data'!$C$3:$C$2150,$A921)&gt;0,1,0)</f>
        <v>0</v>
      </c>
      <c r="R921">
        <f>IF(COUNTIFS('United Data'!$A$3:$A$2150,R$1,'United Data'!$C$3:$C$2150,$A921)&gt;0,1,0)</f>
        <v>0</v>
      </c>
      <c r="S921">
        <f t="shared" si="28"/>
        <v>1</v>
      </c>
      <c r="T921">
        <f t="shared" si="29"/>
        <v>1</v>
      </c>
    </row>
    <row r="922" spans="1:20" x14ac:dyDescent="0.2">
      <c r="A922" t="s">
        <v>967</v>
      </c>
      <c r="B922">
        <f>IF(COUNTIFS('United Data'!$A$3:$A$2150,B$1,'United Data'!$C$3:$C$2150,$A922)&gt;0,1,0)</f>
        <v>0</v>
      </c>
      <c r="C922">
        <f>IF(COUNTIFS('United Data'!$A$3:$A$2150,C$1,'United Data'!$C$3:$C$2150,$A922)&gt;0,1,0)</f>
        <v>0</v>
      </c>
      <c r="D922">
        <f>IF(COUNTIFS('United Data'!$A$3:$A$2150,D$1,'United Data'!$C$3:$C$2150,$A922)&gt;0,1,0)</f>
        <v>0</v>
      </c>
      <c r="E922">
        <f>IF(COUNTIFS('United Data'!$A$3:$A$2150,E$1,'United Data'!$C$3:$C$2150,$A922)&gt;0,1,0)</f>
        <v>0</v>
      </c>
      <c r="F922">
        <f>IF(COUNTIFS('United Data'!$A$3:$A$2150,F$1,'United Data'!$C$3:$C$2150,$A922)&gt;0,1,0)</f>
        <v>0</v>
      </c>
      <c r="G922">
        <f>IF(COUNTIFS('United Data'!$A$3:$A$2150,G$1,'United Data'!$C$3:$C$2150,$A922)&gt;0,1,0)</f>
        <v>0</v>
      </c>
      <c r="H922">
        <f>IF(COUNTIFS('United Data'!$A$3:$A$2150,H$1,'United Data'!$C$3:$C$2150,$A922)&gt;0,1,0)</f>
        <v>0</v>
      </c>
      <c r="I922">
        <f>IF(COUNTIFS('United Data'!$A$3:$A$2150,I$1,'United Data'!$C$3:$C$2150,$A922)&gt;0,1,0)</f>
        <v>0</v>
      </c>
      <c r="J922">
        <f>IF(COUNTIFS('United Data'!$A$3:$A$2150,J$1,'United Data'!$C$3:$C$2150,$A922)&gt;0,1,0)</f>
        <v>0</v>
      </c>
      <c r="K922">
        <f>IF(COUNTIFS('United Data'!$A$3:$A$2150,K$1,'United Data'!$C$3:$C$2150,$A922)&gt;0,1,0)</f>
        <v>0</v>
      </c>
      <c r="L922">
        <f>IF(COUNTIFS('United Data'!$A$3:$A$2150,L$1,'United Data'!$C$3:$C$2150,$A922)&gt;0,1,0)</f>
        <v>0</v>
      </c>
      <c r="M922">
        <f>IF(COUNTIFS('United Data'!$A$3:$A$2150,M$1,'United Data'!$C$3:$C$2150,$A922)&gt;0,1,0)</f>
        <v>0</v>
      </c>
      <c r="N922">
        <f>IF(COUNTIFS('United Data'!$A$3:$A$2150,N$1,'United Data'!$C$3:$C$2150,$A922)&gt;0,1,0)</f>
        <v>1</v>
      </c>
      <c r="O922">
        <f>IF(COUNTIFS('United Data'!$A$3:$A$2150,O$1,'United Data'!$C$3:$C$2150,$A922)&gt;0,1,0)</f>
        <v>0</v>
      </c>
      <c r="P922">
        <f>IF(COUNTIFS('United Data'!$A$3:$A$2150,P$1,'United Data'!$C$3:$C$2150,$A922)&gt;0,1,0)</f>
        <v>0</v>
      </c>
      <c r="Q922">
        <f>IF(COUNTIFS('United Data'!$A$3:$A$2150,Q$1,'United Data'!$C$3:$C$2150,$A922)&gt;0,1,0)</f>
        <v>0</v>
      </c>
      <c r="R922">
        <f>IF(COUNTIFS('United Data'!$A$3:$A$2150,R$1,'United Data'!$C$3:$C$2150,$A922)&gt;0,1,0)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968</v>
      </c>
      <c r="B923">
        <f>IF(COUNTIFS('United Data'!$A$3:$A$2150,B$1,'United Data'!$C$3:$C$2150,$A923)&gt;0,1,0)</f>
        <v>0</v>
      </c>
      <c r="C923">
        <f>IF(COUNTIFS('United Data'!$A$3:$A$2150,C$1,'United Data'!$C$3:$C$2150,$A923)&gt;0,1,0)</f>
        <v>0</v>
      </c>
      <c r="D923">
        <f>IF(COUNTIFS('United Data'!$A$3:$A$2150,D$1,'United Data'!$C$3:$C$2150,$A923)&gt;0,1,0)</f>
        <v>0</v>
      </c>
      <c r="E923">
        <f>IF(COUNTIFS('United Data'!$A$3:$A$2150,E$1,'United Data'!$C$3:$C$2150,$A923)&gt;0,1,0)</f>
        <v>0</v>
      </c>
      <c r="F923">
        <f>IF(COUNTIFS('United Data'!$A$3:$A$2150,F$1,'United Data'!$C$3:$C$2150,$A923)&gt;0,1,0)</f>
        <v>0</v>
      </c>
      <c r="G923">
        <f>IF(COUNTIFS('United Data'!$A$3:$A$2150,G$1,'United Data'!$C$3:$C$2150,$A923)&gt;0,1,0)</f>
        <v>0</v>
      </c>
      <c r="H923">
        <f>IF(COUNTIFS('United Data'!$A$3:$A$2150,H$1,'United Data'!$C$3:$C$2150,$A923)&gt;0,1,0)</f>
        <v>0</v>
      </c>
      <c r="I923">
        <f>IF(COUNTIFS('United Data'!$A$3:$A$2150,I$1,'United Data'!$C$3:$C$2150,$A923)&gt;0,1,0)</f>
        <v>0</v>
      </c>
      <c r="J923">
        <f>IF(COUNTIFS('United Data'!$A$3:$A$2150,J$1,'United Data'!$C$3:$C$2150,$A923)&gt;0,1,0)</f>
        <v>0</v>
      </c>
      <c r="K923">
        <f>IF(COUNTIFS('United Data'!$A$3:$A$2150,K$1,'United Data'!$C$3:$C$2150,$A923)&gt;0,1,0)</f>
        <v>0</v>
      </c>
      <c r="L923">
        <f>IF(COUNTIFS('United Data'!$A$3:$A$2150,L$1,'United Data'!$C$3:$C$2150,$A923)&gt;0,1,0)</f>
        <v>0</v>
      </c>
      <c r="M923">
        <f>IF(COUNTIFS('United Data'!$A$3:$A$2150,M$1,'United Data'!$C$3:$C$2150,$A923)&gt;0,1,0)</f>
        <v>0</v>
      </c>
      <c r="N923">
        <f>IF(COUNTIFS('United Data'!$A$3:$A$2150,N$1,'United Data'!$C$3:$C$2150,$A923)&gt;0,1,0)</f>
        <v>1</v>
      </c>
      <c r="O923">
        <f>IF(COUNTIFS('United Data'!$A$3:$A$2150,O$1,'United Data'!$C$3:$C$2150,$A923)&gt;0,1,0)</f>
        <v>0</v>
      </c>
      <c r="P923">
        <f>IF(COUNTIFS('United Data'!$A$3:$A$2150,P$1,'United Data'!$C$3:$C$2150,$A923)&gt;0,1,0)</f>
        <v>0</v>
      </c>
      <c r="Q923">
        <f>IF(COUNTIFS('United Data'!$A$3:$A$2150,Q$1,'United Data'!$C$3:$C$2150,$A923)&gt;0,1,0)</f>
        <v>0</v>
      </c>
      <c r="R923">
        <f>IF(COUNTIFS('United Data'!$A$3:$A$2150,R$1,'United Data'!$C$3:$C$2150,$A923)&gt;0,1,0)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969</v>
      </c>
      <c r="B924">
        <f>IF(COUNTIFS('United Data'!$A$3:$A$2150,B$1,'United Data'!$C$3:$C$2150,$A924)&gt;0,1,0)</f>
        <v>0</v>
      </c>
      <c r="C924">
        <f>IF(COUNTIFS('United Data'!$A$3:$A$2150,C$1,'United Data'!$C$3:$C$2150,$A924)&gt;0,1,0)</f>
        <v>0</v>
      </c>
      <c r="D924">
        <f>IF(COUNTIFS('United Data'!$A$3:$A$2150,D$1,'United Data'!$C$3:$C$2150,$A924)&gt;0,1,0)</f>
        <v>0</v>
      </c>
      <c r="E924">
        <f>IF(COUNTIFS('United Data'!$A$3:$A$2150,E$1,'United Data'!$C$3:$C$2150,$A924)&gt;0,1,0)</f>
        <v>0</v>
      </c>
      <c r="F924">
        <f>IF(COUNTIFS('United Data'!$A$3:$A$2150,F$1,'United Data'!$C$3:$C$2150,$A924)&gt;0,1,0)</f>
        <v>0</v>
      </c>
      <c r="G924">
        <f>IF(COUNTIFS('United Data'!$A$3:$A$2150,G$1,'United Data'!$C$3:$C$2150,$A924)&gt;0,1,0)</f>
        <v>0</v>
      </c>
      <c r="H924">
        <f>IF(COUNTIFS('United Data'!$A$3:$A$2150,H$1,'United Data'!$C$3:$C$2150,$A924)&gt;0,1,0)</f>
        <v>0</v>
      </c>
      <c r="I924">
        <f>IF(COUNTIFS('United Data'!$A$3:$A$2150,I$1,'United Data'!$C$3:$C$2150,$A924)&gt;0,1,0)</f>
        <v>0</v>
      </c>
      <c r="J924">
        <f>IF(COUNTIFS('United Data'!$A$3:$A$2150,J$1,'United Data'!$C$3:$C$2150,$A924)&gt;0,1,0)</f>
        <v>0</v>
      </c>
      <c r="K924">
        <f>IF(COUNTIFS('United Data'!$A$3:$A$2150,K$1,'United Data'!$C$3:$C$2150,$A924)&gt;0,1,0)</f>
        <v>0</v>
      </c>
      <c r="L924">
        <f>IF(COUNTIFS('United Data'!$A$3:$A$2150,L$1,'United Data'!$C$3:$C$2150,$A924)&gt;0,1,0)</f>
        <v>0</v>
      </c>
      <c r="M924">
        <f>IF(COUNTIFS('United Data'!$A$3:$A$2150,M$1,'United Data'!$C$3:$C$2150,$A924)&gt;0,1,0)</f>
        <v>0</v>
      </c>
      <c r="N924">
        <f>IF(COUNTIFS('United Data'!$A$3:$A$2150,N$1,'United Data'!$C$3:$C$2150,$A924)&gt;0,1,0)</f>
        <v>1</v>
      </c>
      <c r="O924">
        <f>IF(COUNTIFS('United Data'!$A$3:$A$2150,O$1,'United Data'!$C$3:$C$2150,$A924)&gt;0,1,0)</f>
        <v>0</v>
      </c>
      <c r="P924">
        <f>IF(COUNTIFS('United Data'!$A$3:$A$2150,P$1,'United Data'!$C$3:$C$2150,$A924)&gt;0,1,0)</f>
        <v>0</v>
      </c>
      <c r="Q924">
        <f>IF(COUNTIFS('United Data'!$A$3:$A$2150,Q$1,'United Data'!$C$3:$C$2150,$A924)&gt;0,1,0)</f>
        <v>0</v>
      </c>
      <c r="R924">
        <f>IF(COUNTIFS('United Data'!$A$3:$A$2150,R$1,'United Data'!$C$3:$C$2150,$A924)&gt;0,1,0)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970</v>
      </c>
      <c r="B925">
        <f>IF(COUNTIFS('United Data'!$A$3:$A$2150,B$1,'United Data'!$C$3:$C$2150,$A925)&gt;0,1,0)</f>
        <v>0</v>
      </c>
      <c r="C925">
        <f>IF(COUNTIFS('United Data'!$A$3:$A$2150,C$1,'United Data'!$C$3:$C$2150,$A925)&gt;0,1,0)</f>
        <v>0</v>
      </c>
      <c r="D925">
        <f>IF(COUNTIFS('United Data'!$A$3:$A$2150,D$1,'United Data'!$C$3:$C$2150,$A925)&gt;0,1,0)</f>
        <v>0</v>
      </c>
      <c r="E925">
        <f>IF(COUNTIFS('United Data'!$A$3:$A$2150,E$1,'United Data'!$C$3:$C$2150,$A925)&gt;0,1,0)</f>
        <v>0</v>
      </c>
      <c r="F925">
        <f>IF(COUNTIFS('United Data'!$A$3:$A$2150,F$1,'United Data'!$C$3:$C$2150,$A925)&gt;0,1,0)</f>
        <v>0</v>
      </c>
      <c r="G925">
        <f>IF(COUNTIFS('United Data'!$A$3:$A$2150,G$1,'United Data'!$C$3:$C$2150,$A925)&gt;0,1,0)</f>
        <v>0</v>
      </c>
      <c r="H925">
        <f>IF(COUNTIFS('United Data'!$A$3:$A$2150,H$1,'United Data'!$C$3:$C$2150,$A925)&gt;0,1,0)</f>
        <v>0</v>
      </c>
      <c r="I925">
        <f>IF(COUNTIFS('United Data'!$A$3:$A$2150,I$1,'United Data'!$C$3:$C$2150,$A925)&gt;0,1,0)</f>
        <v>0</v>
      </c>
      <c r="J925">
        <f>IF(COUNTIFS('United Data'!$A$3:$A$2150,J$1,'United Data'!$C$3:$C$2150,$A925)&gt;0,1,0)</f>
        <v>0</v>
      </c>
      <c r="K925">
        <f>IF(COUNTIFS('United Data'!$A$3:$A$2150,K$1,'United Data'!$C$3:$C$2150,$A925)&gt;0,1,0)</f>
        <v>0</v>
      </c>
      <c r="L925">
        <f>IF(COUNTIFS('United Data'!$A$3:$A$2150,L$1,'United Data'!$C$3:$C$2150,$A925)&gt;0,1,0)</f>
        <v>0</v>
      </c>
      <c r="M925">
        <f>IF(COUNTIFS('United Data'!$A$3:$A$2150,M$1,'United Data'!$C$3:$C$2150,$A925)&gt;0,1,0)</f>
        <v>0</v>
      </c>
      <c r="N925">
        <f>IF(COUNTIFS('United Data'!$A$3:$A$2150,N$1,'United Data'!$C$3:$C$2150,$A925)&gt;0,1,0)</f>
        <v>1</v>
      </c>
      <c r="O925">
        <f>IF(COUNTIFS('United Data'!$A$3:$A$2150,O$1,'United Data'!$C$3:$C$2150,$A925)&gt;0,1,0)</f>
        <v>1</v>
      </c>
      <c r="P925">
        <f>IF(COUNTIFS('United Data'!$A$3:$A$2150,P$1,'United Data'!$C$3:$C$2150,$A925)&gt;0,1,0)</f>
        <v>0</v>
      </c>
      <c r="Q925">
        <f>IF(COUNTIFS('United Data'!$A$3:$A$2150,Q$1,'United Data'!$C$3:$C$2150,$A925)&gt;0,1,0)</f>
        <v>0</v>
      </c>
      <c r="R925">
        <f>IF(COUNTIFS('United Data'!$A$3:$A$2150,R$1,'United Data'!$C$3:$C$2150,$A925)&gt;0,1,0)</f>
        <v>0</v>
      </c>
      <c r="S925">
        <f t="shared" si="28"/>
        <v>2</v>
      </c>
      <c r="T925">
        <f t="shared" si="29"/>
        <v>1</v>
      </c>
    </row>
    <row r="926" spans="1:20" x14ac:dyDescent="0.2">
      <c r="A926" t="s">
        <v>971</v>
      </c>
      <c r="B926">
        <f>IF(COUNTIFS('United Data'!$A$3:$A$2150,B$1,'United Data'!$C$3:$C$2150,$A926)&gt;0,1,0)</f>
        <v>0</v>
      </c>
      <c r="C926">
        <f>IF(COUNTIFS('United Data'!$A$3:$A$2150,C$1,'United Data'!$C$3:$C$2150,$A926)&gt;0,1,0)</f>
        <v>0</v>
      </c>
      <c r="D926">
        <f>IF(COUNTIFS('United Data'!$A$3:$A$2150,D$1,'United Data'!$C$3:$C$2150,$A926)&gt;0,1,0)</f>
        <v>0</v>
      </c>
      <c r="E926">
        <f>IF(COUNTIFS('United Data'!$A$3:$A$2150,E$1,'United Data'!$C$3:$C$2150,$A926)&gt;0,1,0)</f>
        <v>0</v>
      </c>
      <c r="F926">
        <f>IF(COUNTIFS('United Data'!$A$3:$A$2150,F$1,'United Data'!$C$3:$C$2150,$A926)&gt;0,1,0)</f>
        <v>0</v>
      </c>
      <c r="G926">
        <f>IF(COUNTIFS('United Data'!$A$3:$A$2150,G$1,'United Data'!$C$3:$C$2150,$A926)&gt;0,1,0)</f>
        <v>0</v>
      </c>
      <c r="H926">
        <f>IF(COUNTIFS('United Data'!$A$3:$A$2150,H$1,'United Data'!$C$3:$C$2150,$A926)&gt;0,1,0)</f>
        <v>0</v>
      </c>
      <c r="I926">
        <f>IF(COUNTIFS('United Data'!$A$3:$A$2150,I$1,'United Data'!$C$3:$C$2150,$A926)&gt;0,1,0)</f>
        <v>0</v>
      </c>
      <c r="J926">
        <f>IF(COUNTIFS('United Data'!$A$3:$A$2150,J$1,'United Data'!$C$3:$C$2150,$A926)&gt;0,1,0)</f>
        <v>0</v>
      </c>
      <c r="K926">
        <f>IF(COUNTIFS('United Data'!$A$3:$A$2150,K$1,'United Data'!$C$3:$C$2150,$A926)&gt;0,1,0)</f>
        <v>0</v>
      </c>
      <c r="L926">
        <f>IF(COUNTIFS('United Data'!$A$3:$A$2150,L$1,'United Data'!$C$3:$C$2150,$A926)&gt;0,1,0)</f>
        <v>0</v>
      </c>
      <c r="M926">
        <f>IF(COUNTIFS('United Data'!$A$3:$A$2150,M$1,'United Data'!$C$3:$C$2150,$A926)&gt;0,1,0)</f>
        <v>0</v>
      </c>
      <c r="N926">
        <f>IF(COUNTIFS('United Data'!$A$3:$A$2150,N$1,'United Data'!$C$3:$C$2150,$A926)&gt;0,1,0)</f>
        <v>1</v>
      </c>
      <c r="O926">
        <f>IF(COUNTIFS('United Data'!$A$3:$A$2150,O$1,'United Data'!$C$3:$C$2150,$A926)&gt;0,1,0)</f>
        <v>0</v>
      </c>
      <c r="P926">
        <f>IF(COUNTIFS('United Data'!$A$3:$A$2150,P$1,'United Data'!$C$3:$C$2150,$A926)&gt;0,1,0)</f>
        <v>0</v>
      </c>
      <c r="Q926">
        <f>IF(COUNTIFS('United Data'!$A$3:$A$2150,Q$1,'United Data'!$C$3:$C$2150,$A926)&gt;0,1,0)</f>
        <v>0</v>
      </c>
      <c r="R926">
        <f>IF(COUNTIFS('United Data'!$A$3:$A$2150,R$1,'United Data'!$C$3:$C$2150,$A926)&gt;0,1,0)</f>
        <v>0</v>
      </c>
      <c r="S926">
        <f t="shared" si="28"/>
        <v>1</v>
      </c>
      <c r="T926">
        <f t="shared" si="29"/>
        <v>1</v>
      </c>
    </row>
    <row r="927" spans="1:20" x14ac:dyDescent="0.2">
      <c r="A927" t="s">
        <v>972</v>
      </c>
      <c r="B927">
        <f>IF(COUNTIFS('United Data'!$A$3:$A$2150,B$1,'United Data'!$C$3:$C$2150,$A927)&gt;0,1,0)</f>
        <v>0</v>
      </c>
      <c r="C927">
        <f>IF(COUNTIFS('United Data'!$A$3:$A$2150,C$1,'United Data'!$C$3:$C$2150,$A927)&gt;0,1,0)</f>
        <v>0</v>
      </c>
      <c r="D927">
        <f>IF(COUNTIFS('United Data'!$A$3:$A$2150,D$1,'United Data'!$C$3:$C$2150,$A927)&gt;0,1,0)</f>
        <v>0</v>
      </c>
      <c r="E927">
        <f>IF(COUNTIFS('United Data'!$A$3:$A$2150,E$1,'United Data'!$C$3:$C$2150,$A927)&gt;0,1,0)</f>
        <v>0</v>
      </c>
      <c r="F927">
        <f>IF(COUNTIFS('United Data'!$A$3:$A$2150,F$1,'United Data'!$C$3:$C$2150,$A927)&gt;0,1,0)</f>
        <v>0</v>
      </c>
      <c r="G927">
        <f>IF(COUNTIFS('United Data'!$A$3:$A$2150,G$1,'United Data'!$C$3:$C$2150,$A927)&gt;0,1,0)</f>
        <v>0</v>
      </c>
      <c r="H927">
        <f>IF(COUNTIFS('United Data'!$A$3:$A$2150,H$1,'United Data'!$C$3:$C$2150,$A927)&gt;0,1,0)</f>
        <v>0</v>
      </c>
      <c r="I927">
        <f>IF(COUNTIFS('United Data'!$A$3:$A$2150,I$1,'United Data'!$C$3:$C$2150,$A927)&gt;0,1,0)</f>
        <v>0</v>
      </c>
      <c r="J927">
        <f>IF(COUNTIFS('United Data'!$A$3:$A$2150,J$1,'United Data'!$C$3:$C$2150,$A927)&gt;0,1,0)</f>
        <v>0</v>
      </c>
      <c r="K927">
        <f>IF(COUNTIFS('United Data'!$A$3:$A$2150,K$1,'United Data'!$C$3:$C$2150,$A927)&gt;0,1,0)</f>
        <v>0</v>
      </c>
      <c r="L927">
        <f>IF(COUNTIFS('United Data'!$A$3:$A$2150,L$1,'United Data'!$C$3:$C$2150,$A927)&gt;0,1,0)</f>
        <v>0</v>
      </c>
      <c r="M927">
        <f>IF(COUNTIFS('United Data'!$A$3:$A$2150,M$1,'United Data'!$C$3:$C$2150,$A927)&gt;0,1,0)</f>
        <v>0</v>
      </c>
      <c r="N927">
        <f>IF(COUNTIFS('United Data'!$A$3:$A$2150,N$1,'United Data'!$C$3:$C$2150,$A927)&gt;0,1,0)</f>
        <v>1</v>
      </c>
      <c r="O927">
        <f>IF(COUNTIFS('United Data'!$A$3:$A$2150,O$1,'United Data'!$C$3:$C$2150,$A927)&gt;0,1,0)</f>
        <v>0</v>
      </c>
      <c r="P927">
        <f>IF(COUNTIFS('United Data'!$A$3:$A$2150,P$1,'United Data'!$C$3:$C$2150,$A927)&gt;0,1,0)</f>
        <v>0</v>
      </c>
      <c r="Q927">
        <f>IF(COUNTIFS('United Data'!$A$3:$A$2150,Q$1,'United Data'!$C$3:$C$2150,$A927)&gt;0,1,0)</f>
        <v>0</v>
      </c>
      <c r="R927">
        <f>IF(COUNTIFS('United Data'!$A$3:$A$2150,R$1,'United Data'!$C$3:$C$2150,$A927)&gt;0,1,0)</f>
        <v>0</v>
      </c>
      <c r="S927">
        <f t="shared" si="28"/>
        <v>1</v>
      </c>
      <c r="T927">
        <f t="shared" si="29"/>
        <v>1</v>
      </c>
    </row>
    <row r="928" spans="1:20" x14ac:dyDescent="0.2">
      <c r="A928" t="s">
        <v>973</v>
      </c>
      <c r="B928">
        <f>IF(COUNTIFS('United Data'!$A$3:$A$2150,B$1,'United Data'!$C$3:$C$2150,$A928)&gt;0,1,0)</f>
        <v>0</v>
      </c>
      <c r="C928">
        <f>IF(COUNTIFS('United Data'!$A$3:$A$2150,C$1,'United Data'!$C$3:$C$2150,$A928)&gt;0,1,0)</f>
        <v>0</v>
      </c>
      <c r="D928">
        <f>IF(COUNTIFS('United Data'!$A$3:$A$2150,D$1,'United Data'!$C$3:$C$2150,$A928)&gt;0,1,0)</f>
        <v>0</v>
      </c>
      <c r="E928">
        <f>IF(COUNTIFS('United Data'!$A$3:$A$2150,E$1,'United Data'!$C$3:$C$2150,$A928)&gt;0,1,0)</f>
        <v>0</v>
      </c>
      <c r="F928">
        <f>IF(COUNTIFS('United Data'!$A$3:$A$2150,F$1,'United Data'!$C$3:$C$2150,$A928)&gt;0,1,0)</f>
        <v>0</v>
      </c>
      <c r="G928">
        <f>IF(COUNTIFS('United Data'!$A$3:$A$2150,G$1,'United Data'!$C$3:$C$2150,$A928)&gt;0,1,0)</f>
        <v>0</v>
      </c>
      <c r="H928">
        <f>IF(COUNTIFS('United Data'!$A$3:$A$2150,H$1,'United Data'!$C$3:$C$2150,$A928)&gt;0,1,0)</f>
        <v>0</v>
      </c>
      <c r="I928">
        <f>IF(COUNTIFS('United Data'!$A$3:$A$2150,I$1,'United Data'!$C$3:$C$2150,$A928)&gt;0,1,0)</f>
        <v>0</v>
      </c>
      <c r="J928">
        <f>IF(COUNTIFS('United Data'!$A$3:$A$2150,J$1,'United Data'!$C$3:$C$2150,$A928)&gt;0,1,0)</f>
        <v>0</v>
      </c>
      <c r="K928">
        <f>IF(COUNTIFS('United Data'!$A$3:$A$2150,K$1,'United Data'!$C$3:$C$2150,$A928)&gt;0,1,0)</f>
        <v>0</v>
      </c>
      <c r="L928">
        <f>IF(COUNTIFS('United Data'!$A$3:$A$2150,L$1,'United Data'!$C$3:$C$2150,$A928)&gt;0,1,0)</f>
        <v>0</v>
      </c>
      <c r="M928">
        <f>IF(COUNTIFS('United Data'!$A$3:$A$2150,M$1,'United Data'!$C$3:$C$2150,$A928)&gt;0,1,0)</f>
        <v>0</v>
      </c>
      <c r="N928">
        <f>IF(COUNTIFS('United Data'!$A$3:$A$2150,N$1,'United Data'!$C$3:$C$2150,$A928)&gt;0,1,0)</f>
        <v>1</v>
      </c>
      <c r="O928">
        <f>IF(COUNTIFS('United Data'!$A$3:$A$2150,O$1,'United Data'!$C$3:$C$2150,$A928)&gt;0,1,0)</f>
        <v>0</v>
      </c>
      <c r="P928">
        <f>IF(COUNTIFS('United Data'!$A$3:$A$2150,P$1,'United Data'!$C$3:$C$2150,$A928)&gt;0,1,0)</f>
        <v>0</v>
      </c>
      <c r="Q928">
        <f>IF(COUNTIFS('United Data'!$A$3:$A$2150,Q$1,'United Data'!$C$3:$C$2150,$A928)&gt;0,1,0)</f>
        <v>0</v>
      </c>
      <c r="R928">
        <f>IF(COUNTIFS('United Data'!$A$3:$A$2150,R$1,'United Data'!$C$3:$C$2150,$A928)&gt;0,1,0)</f>
        <v>0</v>
      </c>
      <c r="S928">
        <f t="shared" si="28"/>
        <v>1</v>
      </c>
      <c r="T928">
        <f t="shared" si="29"/>
        <v>1</v>
      </c>
    </row>
    <row r="929" spans="1:20" x14ac:dyDescent="0.2">
      <c r="A929" t="s">
        <v>974</v>
      </c>
      <c r="B929">
        <f>IF(COUNTIFS('United Data'!$A$3:$A$2150,B$1,'United Data'!$C$3:$C$2150,$A929)&gt;0,1,0)</f>
        <v>0</v>
      </c>
      <c r="C929">
        <f>IF(COUNTIFS('United Data'!$A$3:$A$2150,C$1,'United Data'!$C$3:$C$2150,$A929)&gt;0,1,0)</f>
        <v>0</v>
      </c>
      <c r="D929">
        <f>IF(COUNTIFS('United Data'!$A$3:$A$2150,D$1,'United Data'!$C$3:$C$2150,$A929)&gt;0,1,0)</f>
        <v>0</v>
      </c>
      <c r="E929">
        <f>IF(COUNTIFS('United Data'!$A$3:$A$2150,E$1,'United Data'!$C$3:$C$2150,$A929)&gt;0,1,0)</f>
        <v>0</v>
      </c>
      <c r="F929">
        <f>IF(COUNTIFS('United Data'!$A$3:$A$2150,F$1,'United Data'!$C$3:$C$2150,$A929)&gt;0,1,0)</f>
        <v>0</v>
      </c>
      <c r="G929">
        <f>IF(COUNTIFS('United Data'!$A$3:$A$2150,G$1,'United Data'!$C$3:$C$2150,$A929)&gt;0,1,0)</f>
        <v>0</v>
      </c>
      <c r="H929">
        <f>IF(COUNTIFS('United Data'!$A$3:$A$2150,H$1,'United Data'!$C$3:$C$2150,$A929)&gt;0,1,0)</f>
        <v>0</v>
      </c>
      <c r="I929">
        <f>IF(COUNTIFS('United Data'!$A$3:$A$2150,I$1,'United Data'!$C$3:$C$2150,$A929)&gt;0,1,0)</f>
        <v>0</v>
      </c>
      <c r="J929">
        <f>IF(COUNTIFS('United Data'!$A$3:$A$2150,J$1,'United Data'!$C$3:$C$2150,$A929)&gt;0,1,0)</f>
        <v>0</v>
      </c>
      <c r="K929">
        <f>IF(COUNTIFS('United Data'!$A$3:$A$2150,K$1,'United Data'!$C$3:$C$2150,$A929)&gt;0,1,0)</f>
        <v>0</v>
      </c>
      <c r="L929">
        <f>IF(COUNTIFS('United Data'!$A$3:$A$2150,L$1,'United Data'!$C$3:$C$2150,$A929)&gt;0,1,0)</f>
        <v>0</v>
      </c>
      <c r="M929">
        <f>IF(COUNTIFS('United Data'!$A$3:$A$2150,M$1,'United Data'!$C$3:$C$2150,$A929)&gt;0,1,0)</f>
        <v>0</v>
      </c>
      <c r="N929">
        <f>IF(COUNTIFS('United Data'!$A$3:$A$2150,N$1,'United Data'!$C$3:$C$2150,$A929)&gt;0,1,0)</f>
        <v>1</v>
      </c>
      <c r="O929">
        <f>IF(COUNTIFS('United Data'!$A$3:$A$2150,O$1,'United Data'!$C$3:$C$2150,$A929)&gt;0,1,0)</f>
        <v>0</v>
      </c>
      <c r="P929">
        <f>IF(COUNTIFS('United Data'!$A$3:$A$2150,P$1,'United Data'!$C$3:$C$2150,$A929)&gt;0,1,0)</f>
        <v>0</v>
      </c>
      <c r="Q929">
        <f>IF(COUNTIFS('United Data'!$A$3:$A$2150,Q$1,'United Data'!$C$3:$C$2150,$A929)&gt;0,1,0)</f>
        <v>0</v>
      </c>
      <c r="R929">
        <f>IF(COUNTIFS('United Data'!$A$3:$A$2150,R$1,'United Data'!$C$3:$C$2150,$A929)&gt;0,1,0)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975</v>
      </c>
      <c r="B930">
        <f>IF(COUNTIFS('United Data'!$A$3:$A$2150,B$1,'United Data'!$C$3:$C$2150,$A930)&gt;0,1,0)</f>
        <v>0</v>
      </c>
      <c r="C930">
        <f>IF(COUNTIFS('United Data'!$A$3:$A$2150,C$1,'United Data'!$C$3:$C$2150,$A930)&gt;0,1,0)</f>
        <v>0</v>
      </c>
      <c r="D930">
        <f>IF(COUNTIFS('United Data'!$A$3:$A$2150,D$1,'United Data'!$C$3:$C$2150,$A930)&gt;0,1,0)</f>
        <v>0</v>
      </c>
      <c r="E930">
        <f>IF(COUNTIFS('United Data'!$A$3:$A$2150,E$1,'United Data'!$C$3:$C$2150,$A930)&gt;0,1,0)</f>
        <v>0</v>
      </c>
      <c r="F930">
        <f>IF(COUNTIFS('United Data'!$A$3:$A$2150,F$1,'United Data'!$C$3:$C$2150,$A930)&gt;0,1,0)</f>
        <v>0</v>
      </c>
      <c r="G930">
        <f>IF(COUNTIFS('United Data'!$A$3:$A$2150,G$1,'United Data'!$C$3:$C$2150,$A930)&gt;0,1,0)</f>
        <v>0</v>
      </c>
      <c r="H930">
        <f>IF(COUNTIFS('United Data'!$A$3:$A$2150,H$1,'United Data'!$C$3:$C$2150,$A930)&gt;0,1,0)</f>
        <v>0</v>
      </c>
      <c r="I930">
        <f>IF(COUNTIFS('United Data'!$A$3:$A$2150,I$1,'United Data'!$C$3:$C$2150,$A930)&gt;0,1,0)</f>
        <v>0</v>
      </c>
      <c r="J930">
        <f>IF(COUNTIFS('United Data'!$A$3:$A$2150,J$1,'United Data'!$C$3:$C$2150,$A930)&gt;0,1,0)</f>
        <v>0</v>
      </c>
      <c r="K930">
        <f>IF(COUNTIFS('United Data'!$A$3:$A$2150,K$1,'United Data'!$C$3:$C$2150,$A930)&gt;0,1,0)</f>
        <v>0</v>
      </c>
      <c r="L930">
        <f>IF(COUNTIFS('United Data'!$A$3:$A$2150,L$1,'United Data'!$C$3:$C$2150,$A930)&gt;0,1,0)</f>
        <v>0</v>
      </c>
      <c r="M930">
        <f>IF(COUNTIFS('United Data'!$A$3:$A$2150,M$1,'United Data'!$C$3:$C$2150,$A930)&gt;0,1,0)</f>
        <v>0</v>
      </c>
      <c r="N930">
        <f>IF(COUNTIFS('United Data'!$A$3:$A$2150,N$1,'United Data'!$C$3:$C$2150,$A930)&gt;0,1,0)</f>
        <v>0</v>
      </c>
      <c r="O930">
        <f>IF(COUNTIFS('United Data'!$A$3:$A$2150,O$1,'United Data'!$C$3:$C$2150,$A930)&gt;0,1,0)</f>
        <v>1</v>
      </c>
      <c r="P930">
        <f>IF(COUNTIFS('United Data'!$A$3:$A$2150,P$1,'United Data'!$C$3:$C$2150,$A930)&gt;0,1,0)</f>
        <v>0</v>
      </c>
      <c r="Q930">
        <f>IF(COUNTIFS('United Data'!$A$3:$A$2150,Q$1,'United Data'!$C$3:$C$2150,$A930)&gt;0,1,0)</f>
        <v>0</v>
      </c>
      <c r="R930">
        <f>IF(COUNTIFS('United Data'!$A$3:$A$2150,R$1,'United Data'!$C$3:$C$2150,$A930)&gt;0,1,0)</f>
        <v>0</v>
      </c>
      <c r="S930">
        <f t="shared" si="28"/>
        <v>1</v>
      </c>
      <c r="T930">
        <f t="shared" si="29"/>
        <v>1</v>
      </c>
    </row>
    <row r="931" spans="1:20" x14ac:dyDescent="0.2">
      <c r="A931" t="s">
        <v>976</v>
      </c>
      <c r="B931">
        <f>IF(COUNTIFS('United Data'!$A$3:$A$2150,B$1,'United Data'!$C$3:$C$2150,$A931)&gt;0,1,0)</f>
        <v>0</v>
      </c>
      <c r="C931">
        <f>IF(COUNTIFS('United Data'!$A$3:$A$2150,C$1,'United Data'!$C$3:$C$2150,$A931)&gt;0,1,0)</f>
        <v>0</v>
      </c>
      <c r="D931">
        <f>IF(COUNTIFS('United Data'!$A$3:$A$2150,D$1,'United Data'!$C$3:$C$2150,$A931)&gt;0,1,0)</f>
        <v>0</v>
      </c>
      <c r="E931">
        <f>IF(COUNTIFS('United Data'!$A$3:$A$2150,E$1,'United Data'!$C$3:$C$2150,$A931)&gt;0,1,0)</f>
        <v>0</v>
      </c>
      <c r="F931">
        <f>IF(COUNTIFS('United Data'!$A$3:$A$2150,F$1,'United Data'!$C$3:$C$2150,$A931)&gt;0,1,0)</f>
        <v>0</v>
      </c>
      <c r="G931">
        <f>IF(COUNTIFS('United Data'!$A$3:$A$2150,G$1,'United Data'!$C$3:$C$2150,$A931)&gt;0,1,0)</f>
        <v>0</v>
      </c>
      <c r="H931">
        <f>IF(COUNTIFS('United Data'!$A$3:$A$2150,H$1,'United Data'!$C$3:$C$2150,$A931)&gt;0,1,0)</f>
        <v>0</v>
      </c>
      <c r="I931">
        <f>IF(COUNTIFS('United Data'!$A$3:$A$2150,I$1,'United Data'!$C$3:$C$2150,$A931)&gt;0,1,0)</f>
        <v>0</v>
      </c>
      <c r="J931">
        <f>IF(COUNTIFS('United Data'!$A$3:$A$2150,J$1,'United Data'!$C$3:$C$2150,$A931)&gt;0,1,0)</f>
        <v>0</v>
      </c>
      <c r="K931">
        <f>IF(COUNTIFS('United Data'!$A$3:$A$2150,K$1,'United Data'!$C$3:$C$2150,$A931)&gt;0,1,0)</f>
        <v>0</v>
      </c>
      <c r="L931">
        <f>IF(COUNTIFS('United Data'!$A$3:$A$2150,L$1,'United Data'!$C$3:$C$2150,$A931)&gt;0,1,0)</f>
        <v>0</v>
      </c>
      <c r="M931">
        <f>IF(COUNTIFS('United Data'!$A$3:$A$2150,M$1,'United Data'!$C$3:$C$2150,$A931)&gt;0,1,0)</f>
        <v>0</v>
      </c>
      <c r="N931">
        <f>IF(COUNTIFS('United Data'!$A$3:$A$2150,N$1,'United Data'!$C$3:$C$2150,$A931)&gt;0,1,0)</f>
        <v>0</v>
      </c>
      <c r="O931">
        <f>IF(COUNTIFS('United Data'!$A$3:$A$2150,O$1,'United Data'!$C$3:$C$2150,$A931)&gt;0,1,0)</f>
        <v>1</v>
      </c>
      <c r="P931">
        <f>IF(COUNTIFS('United Data'!$A$3:$A$2150,P$1,'United Data'!$C$3:$C$2150,$A931)&gt;0,1,0)</f>
        <v>1</v>
      </c>
      <c r="Q931">
        <f>IF(COUNTIFS('United Data'!$A$3:$A$2150,Q$1,'United Data'!$C$3:$C$2150,$A931)&gt;0,1,0)</f>
        <v>0</v>
      </c>
      <c r="R931">
        <f>IF(COUNTIFS('United Data'!$A$3:$A$2150,R$1,'United Data'!$C$3:$C$2150,$A931)&gt;0,1,0)</f>
        <v>0</v>
      </c>
      <c r="S931">
        <f t="shared" si="28"/>
        <v>2</v>
      </c>
      <c r="T931">
        <f t="shared" si="29"/>
        <v>1</v>
      </c>
    </row>
    <row r="932" spans="1:20" x14ac:dyDescent="0.2">
      <c r="A932" t="s">
        <v>977</v>
      </c>
      <c r="B932">
        <f>IF(COUNTIFS('United Data'!$A$3:$A$2150,B$1,'United Data'!$C$3:$C$2150,$A932)&gt;0,1,0)</f>
        <v>0</v>
      </c>
      <c r="C932">
        <f>IF(COUNTIFS('United Data'!$A$3:$A$2150,C$1,'United Data'!$C$3:$C$2150,$A932)&gt;0,1,0)</f>
        <v>0</v>
      </c>
      <c r="D932">
        <f>IF(COUNTIFS('United Data'!$A$3:$A$2150,D$1,'United Data'!$C$3:$C$2150,$A932)&gt;0,1,0)</f>
        <v>0</v>
      </c>
      <c r="E932">
        <f>IF(COUNTIFS('United Data'!$A$3:$A$2150,E$1,'United Data'!$C$3:$C$2150,$A932)&gt;0,1,0)</f>
        <v>0</v>
      </c>
      <c r="F932">
        <f>IF(COUNTIFS('United Data'!$A$3:$A$2150,F$1,'United Data'!$C$3:$C$2150,$A932)&gt;0,1,0)</f>
        <v>0</v>
      </c>
      <c r="G932">
        <f>IF(COUNTIFS('United Data'!$A$3:$A$2150,G$1,'United Data'!$C$3:$C$2150,$A932)&gt;0,1,0)</f>
        <v>0</v>
      </c>
      <c r="H932">
        <f>IF(COUNTIFS('United Data'!$A$3:$A$2150,H$1,'United Data'!$C$3:$C$2150,$A932)&gt;0,1,0)</f>
        <v>0</v>
      </c>
      <c r="I932">
        <f>IF(COUNTIFS('United Data'!$A$3:$A$2150,I$1,'United Data'!$C$3:$C$2150,$A932)&gt;0,1,0)</f>
        <v>0</v>
      </c>
      <c r="J932">
        <f>IF(COUNTIFS('United Data'!$A$3:$A$2150,J$1,'United Data'!$C$3:$C$2150,$A932)&gt;0,1,0)</f>
        <v>0</v>
      </c>
      <c r="K932">
        <f>IF(COUNTIFS('United Data'!$A$3:$A$2150,K$1,'United Data'!$C$3:$C$2150,$A932)&gt;0,1,0)</f>
        <v>0</v>
      </c>
      <c r="L932">
        <f>IF(COUNTIFS('United Data'!$A$3:$A$2150,L$1,'United Data'!$C$3:$C$2150,$A932)&gt;0,1,0)</f>
        <v>0</v>
      </c>
      <c r="M932">
        <f>IF(COUNTIFS('United Data'!$A$3:$A$2150,M$1,'United Data'!$C$3:$C$2150,$A932)&gt;0,1,0)</f>
        <v>0</v>
      </c>
      <c r="N932">
        <f>IF(COUNTIFS('United Data'!$A$3:$A$2150,N$1,'United Data'!$C$3:$C$2150,$A932)&gt;0,1,0)</f>
        <v>0</v>
      </c>
      <c r="O932">
        <f>IF(COUNTIFS('United Data'!$A$3:$A$2150,O$1,'United Data'!$C$3:$C$2150,$A932)&gt;0,1,0)</f>
        <v>0</v>
      </c>
      <c r="P932">
        <f>IF(COUNTIFS('United Data'!$A$3:$A$2150,P$1,'United Data'!$C$3:$C$2150,$A932)&gt;0,1,0)</f>
        <v>1</v>
      </c>
      <c r="Q932">
        <f>IF(COUNTIFS('United Data'!$A$3:$A$2150,Q$1,'United Data'!$C$3:$C$2150,$A932)&gt;0,1,0)</f>
        <v>0</v>
      </c>
      <c r="R932">
        <f>IF(COUNTIFS('United Data'!$A$3:$A$2150,R$1,'United Data'!$C$3:$C$2150,$A932)&gt;0,1,0)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982</v>
      </c>
      <c r="B933">
        <f>IF(COUNTIFS('United Data'!$A$3:$A$2150,B$1,'United Data'!$C$3:$C$2150,$A933)&gt;0,1,0)</f>
        <v>0</v>
      </c>
      <c r="C933">
        <f>IF(COUNTIFS('United Data'!$A$3:$A$2150,C$1,'United Data'!$C$3:$C$2150,$A933)&gt;0,1,0)</f>
        <v>0</v>
      </c>
      <c r="D933">
        <f>IF(COUNTIFS('United Data'!$A$3:$A$2150,D$1,'United Data'!$C$3:$C$2150,$A933)&gt;0,1,0)</f>
        <v>0</v>
      </c>
      <c r="E933">
        <f>IF(COUNTIFS('United Data'!$A$3:$A$2150,E$1,'United Data'!$C$3:$C$2150,$A933)&gt;0,1,0)</f>
        <v>0</v>
      </c>
      <c r="F933">
        <f>IF(COUNTIFS('United Data'!$A$3:$A$2150,F$1,'United Data'!$C$3:$C$2150,$A933)&gt;0,1,0)</f>
        <v>0</v>
      </c>
      <c r="G933">
        <f>IF(COUNTIFS('United Data'!$A$3:$A$2150,G$1,'United Data'!$C$3:$C$2150,$A933)&gt;0,1,0)</f>
        <v>0</v>
      </c>
      <c r="H933">
        <f>IF(COUNTIFS('United Data'!$A$3:$A$2150,H$1,'United Data'!$C$3:$C$2150,$A933)&gt;0,1,0)</f>
        <v>0</v>
      </c>
      <c r="I933">
        <f>IF(COUNTIFS('United Data'!$A$3:$A$2150,I$1,'United Data'!$C$3:$C$2150,$A933)&gt;0,1,0)</f>
        <v>0</v>
      </c>
      <c r="J933">
        <f>IF(COUNTIFS('United Data'!$A$3:$A$2150,J$1,'United Data'!$C$3:$C$2150,$A933)&gt;0,1,0)</f>
        <v>0</v>
      </c>
      <c r="K933">
        <f>IF(COUNTIFS('United Data'!$A$3:$A$2150,K$1,'United Data'!$C$3:$C$2150,$A933)&gt;0,1,0)</f>
        <v>0</v>
      </c>
      <c r="L933">
        <f>IF(COUNTIFS('United Data'!$A$3:$A$2150,L$1,'United Data'!$C$3:$C$2150,$A933)&gt;0,1,0)</f>
        <v>0</v>
      </c>
      <c r="M933">
        <f>IF(COUNTIFS('United Data'!$A$3:$A$2150,M$1,'United Data'!$C$3:$C$2150,$A933)&gt;0,1,0)</f>
        <v>0</v>
      </c>
      <c r="N933">
        <f>IF(COUNTIFS('United Data'!$A$3:$A$2150,N$1,'United Data'!$C$3:$C$2150,$A933)&gt;0,1,0)</f>
        <v>0</v>
      </c>
      <c r="O933">
        <f>IF(COUNTIFS('United Data'!$A$3:$A$2150,O$1,'United Data'!$C$3:$C$2150,$A933)&gt;0,1,0)</f>
        <v>0</v>
      </c>
      <c r="P933">
        <f>IF(COUNTIFS('United Data'!$A$3:$A$2150,P$1,'United Data'!$C$3:$C$2150,$A933)&gt;0,1,0)</f>
        <v>1</v>
      </c>
      <c r="Q933">
        <f>IF(COUNTIFS('United Data'!$A$3:$A$2150,Q$1,'United Data'!$C$3:$C$2150,$A933)&gt;0,1,0)</f>
        <v>0</v>
      </c>
      <c r="R933">
        <f>IF(COUNTIFS('United Data'!$A$3:$A$2150,R$1,'United Data'!$C$3:$C$2150,$A933)&gt;0,1,0)</f>
        <v>0</v>
      </c>
      <c r="S933">
        <f t="shared" si="28"/>
        <v>1</v>
      </c>
      <c r="T933">
        <f t="shared" si="29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727"/>
  <sheetViews>
    <sheetView workbookViewId="0"/>
  </sheetViews>
  <sheetFormatPr defaultRowHeight="12.75" x14ac:dyDescent="0.2"/>
  <sheetData>
    <row r="1" spans="1:20" ht="15" x14ac:dyDescent="0.25">
      <c r="A1" s="27" t="s">
        <v>8</v>
      </c>
      <c r="B1" s="27">
        <v>7</v>
      </c>
      <c r="C1" s="27">
        <v>8</v>
      </c>
      <c r="D1" s="27">
        <v>9</v>
      </c>
      <c r="E1" s="27">
        <v>10</v>
      </c>
      <c r="F1" s="27">
        <v>11</v>
      </c>
      <c r="G1" s="27">
        <v>12</v>
      </c>
      <c r="H1" s="27">
        <v>13</v>
      </c>
      <c r="I1" s="27">
        <v>14</v>
      </c>
      <c r="J1" s="27">
        <v>15</v>
      </c>
      <c r="K1" s="27">
        <v>16</v>
      </c>
      <c r="L1" s="27">
        <v>17</v>
      </c>
      <c r="M1" s="27">
        <v>18</v>
      </c>
      <c r="N1" s="27">
        <v>19</v>
      </c>
      <c r="O1" s="27">
        <v>20</v>
      </c>
      <c r="P1" s="27">
        <v>21</v>
      </c>
      <c r="Q1" s="27">
        <v>22</v>
      </c>
      <c r="R1" s="27">
        <v>23</v>
      </c>
      <c r="S1" s="27" t="s">
        <v>1007</v>
      </c>
      <c r="T1" s="27" t="s">
        <v>995</v>
      </c>
    </row>
    <row r="2" spans="1:20" x14ac:dyDescent="0.2">
      <c r="A2" t="s">
        <v>38</v>
      </c>
      <c r="B2">
        <f>IF(COUNTIFS('United Data'!$A$3:$A$2150,B$1,'United Data'!$C$3:$C$2150,$A2,'United Data'!$B$3:$B$2150,"&lt;&gt;P")&gt;0,1,0)</f>
        <v>1</v>
      </c>
      <c r="C2">
        <f>IF(COUNTIFS('United Data'!$A$3:$A$2150,C$1,'United Data'!$C$3:$C$2150,$A2,'United Data'!$B$3:$B$2150,"&lt;&gt;P")&gt;0,1,0)</f>
        <v>1</v>
      </c>
      <c r="D2">
        <f>IF(COUNTIFS('United Data'!$A$3:$A$2150,D$1,'United Data'!$C$3:$C$2150,$A2,'United Data'!$B$3:$B$2150,"&lt;&gt;P")&gt;0,1,0)</f>
        <v>1</v>
      </c>
      <c r="E2">
        <f>IF(COUNTIFS('United Data'!$A$3:$A$2150,E$1,'United Data'!$C$3:$C$2150,$A2,'United Data'!$B$3:$B$2150,"&lt;&gt;P")&gt;0,1,0)</f>
        <v>1</v>
      </c>
      <c r="F2">
        <f>IF(COUNTIFS('United Data'!$A$3:$A$2150,F$1,'United Data'!$C$3:$C$2150,$A2,'United Data'!$B$3:$B$2150,"&lt;&gt;P")&gt;0,1,0)</f>
        <v>0</v>
      </c>
      <c r="G2">
        <f>IF(COUNTIFS('United Data'!$A$3:$A$2150,G$1,'United Data'!$C$3:$C$2150,$A2,'United Data'!$B$3:$B$2150,"&lt;&gt;P")&gt;0,1,0)</f>
        <v>1</v>
      </c>
      <c r="H2">
        <f>IF(COUNTIFS('United Data'!$A$3:$A$2150,H$1,'United Data'!$C$3:$C$2150,$A2,'United Data'!$B$3:$B$2150,"&lt;&gt;P")&gt;0,1,0)</f>
        <v>1</v>
      </c>
      <c r="I2">
        <f>IF(COUNTIFS('United Data'!$A$3:$A$2150,I$1,'United Data'!$C$3:$C$2150,$A2,'United Data'!$B$3:$B$2150,"&lt;&gt;P")&gt;0,1,0)</f>
        <v>1</v>
      </c>
      <c r="J2">
        <f>IF(COUNTIFS('United Data'!$A$3:$A$2150,J$1,'United Data'!$C$3:$C$2150,$A2,'United Data'!$B$3:$B$2150,"&lt;&gt;P")&gt;0,1,0)</f>
        <v>1</v>
      </c>
      <c r="K2">
        <f>IF(COUNTIFS('United Data'!$A$3:$A$2150,K$1,'United Data'!$C$3:$C$2150,$A2,'United Data'!$B$3:$B$2150,"&lt;&gt;P")&gt;0,1,0)</f>
        <v>1</v>
      </c>
      <c r="L2">
        <f>IF(COUNTIFS('United Data'!$A$3:$A$2150,L$1,'United Data'!$C$3:$C$2150,$A2,'United Data'!$B$3:$B$2150,"&lt;&gt;P")&gt;0,1,0)</f>
        <v>1</v>
      </c>
      <c r="M2">
        <f>IF(COUNTIFS('United Data'!$A$3:$A$2150,M$1,'United Data'!$C$3:$C$2150,$A2,'United Data'!$B$3:$B$2150,"&lt;&gt;P")&gt;0,1,0)</f>
        <v>1</v>
      </c>
      <c r="N2">
        <f>IF(COUNTIFS('United Data'!$A$3:$A$2150,N$1,'United Data'!$C$3:$C$2150,$A2,'United Data'!$B$3:$B$2150,"&lt;&gt;P")&gt;0,1,0)</f>
        <v>0</v>
      </c>
      <c r="O2">
        <f>IF(COUNTIFS('United Data'!$A$3:$A$2150,O$1,'United Data'!$C$3:$C$2150,$A2,'United Data'!$B$3:$B$2150,"&lt;&gt;P")&gt;0,1,0)</f>
        <v>0</v>
      </c>
      <c r="P2">
        <f>IF(COUNTIFS('United Data'!$A$3:$A$2150,P$1,'United Data'!$C$3:$C$2150,$A2,'United Data'!$B$3:$B$2150,"&lt;&gt;P")&gt;0,1,0)</f>
        <v>0</v>
      </c>
      <c r="Q2">
        <f>IF(COUNTIFS('United Data'!$A$3:$A$2150,Q$1,'United Data'!$C$3:$C$2150,$A2,'United Data'!$B$3:$B$2150,"&lt;&gt;P")&gt;0,1,0)</f>
        <v>0</v>
      </c>
      <c r="R2">
        <f>IF(COUNTIFS('United Data'!$A$3:$A$2150,R$1,'United Data'!$C$3:$C$2150,$A2,'United Data'!$B$3:$B$2150,"&lt;&gt;P")&gt;0,1,0)</f>
        <v>0</v>
      </c>
      <c r="S2">
        <f t="shared" ref="S2:S65" si="0">SUM(B2:R2)</f>
        <v>11</v>
      </c>
      <c r="T2">
        <f t="shared" ref="T2:T65" si="1">B2+SUMPRODUCT(--(C2:R2&gt;B2:Q2))</f>
        <v>2</v>
      </c>
    </row>
    <row r="3" spans="1:20" x14ac:dyDescent="0.2">
      <c r="A3" t="s">
        <v>43</v>
      </c>
      <c r="B3">
        <f>IF(COUNTIFS('United Data'!$A$3:$A$2150,B$1,'United Data'!$C$3:$C$2150,$A3,'United Data'!$B$3:$B$2150,"&lt;&gt;P")&gt;0,1,0)</f>
        <v>1</v>
      </c>
      <c r="C3">
        <f>IF(COUNTIFS('United Data'!$A$3:$A$2150,C$1,'United Data'!$C$3:$C$2150,$A3,'United Data'!$B$3:$B$2150,"&lt;&gt;P")&gt;0,1,0)</f>
        <v>1</v>
      </c>
      <c r="D3">
        <f>IF(COUNTIFS('United Data'!$A$3:$A$2150,D$1,'United Data'!$C$3:$C$2150,$A3,'United Data'!$B$3:$B$2150,"&lt;&gt;P")&gt;0,1,0)</f>
        <v>1</v>
      </c>
      <c r="E3">
        <f>IF(COUNTIFS('United Data'!$A$3:$A$2150,E$1,'United Data'!$C$3:$C$2150,$A3,'United Data'!$B$3:$B$2150,"&lt;&gt;P")&gt;0,1,0)</f>
        <v>0</v>
      </c>
      <c r="F3">
        <f>IF(COUNTIFS('United Data'!$A$3:$A$2150,F$1,'United Data'!$C$3:$C$2150,$A3,'United Data'!$B$3:$B$2150,"&lt;&gt;P")&gt;0,1,0)</f>
        <v>0</v>
      </c>
      <c r="G3">
        <f>IF(COUNTIFS('United Data'!$A$3:$A$2150,G$1,'United Data'!$C$3:$C$2150,$A3,'United Data'!$B$3:$B$2150,"&lt;&gt;P")&gt;0,1,0)</f>
        <v>0</v>
      </c>
      <c r="H3">
        <f>IF(COUNTIFS('United Data'!$A$3:$A$2150,H$1,'United Data'!$C$3:$C$2150,$A3,'United Data'!$B$3:$B$2150,"&lt;&gt;P")&gt;0,1,0)</f>
        <v>0</v>
      </c>
      <c r="I3">
        <f>IF(COUNTIFS('United Data'!$A$3:$A$2150,I$1,'United Data'!$C$3:$C$2150,$A3,'United Data'!$B$3:$B$2150,"&lt;&gt;P")&gt;0,1,0)</f>
        <v>0</v>
      </c>
      <c r="J3">
        <f>IF(COUNTIFS('United Data'!$A$3:$A$2150,J$1,'United Data'!$C$3:$C$2150,$A3,'United Data'!$B$3:$B$2150,"&lt;&gt;P")&gt;0,1,0)</f>
        <v>0</v>
      </c>
      <c r="K3">
        <f>IF(COUNTIFS('United Data'!$A$3:$A$2150,K$1,'United Data'!$C$3:$C$2150,$A3,'United Data'!$B$3:$B$2150,"&lt;&gt;P")&gt;0,1,0)</f>
        <v>0</v>
      </c>
      <c r="L3">
        <f>IF(COUNTIFS('United Data'!$A$3:$A$2150,L$1,'United Data'!$C$3:$C$2150,$A3,'United Data'!$B$3:$B$2150,"&lt;&gt;P")&gt;0,1,0)</f>
        <v>0</v>
      </c>
      <c r="M3">
        <f>IF(COUNTIFS('United Data'!$A$3:$A$2150,M$1,'United Data'!$C$3:$C$2150,$A3,'United Data'!$B$3:$B$2150,"&lt;&gt;P")&gt;0,1,0)</f>
        <v>0</v>
      </c>
      <c r="N3">
        <f>IF(COUNTIFS('United Data'!$A$3:$A$2150,N$1,'United Data'!$C$3:$C$2150,$A3,'United Data'!$B$3:$B$2150,"&lt;&gt;P")&gt;0,1,0)</f>
        <v>0</v>
      </c>
      <c r="O3">
        <f>IF(COUNTIFS('United Data'!$A$3:$A$2150,O$1,'United Data'!$C$3:$C$2150,$A3,'United Data'!$B$3:$B$2150,"&lt;&gt;P")&gt;0,1,0)</f>
        <v>0</v>
      </c>
      <c r="P3">
        <f>IF(COUNTIFS('United Data'!$A$3:$A$2150,P$1,'United Data'!$C$3:$C$2150,$A3,'United Data'!$B$3:$B$2150,"&lt;&gt;P")&gt;0,1,0)</f>
        <v>0</v>
      </c>
      <c r="Q3">
        <f>IF(COUNTIFS('United Data'!$A$3:$A$2150,Q$1,'United Data'!$C$3:$C$2150,$A3,'United Data'!$B$3:$B$2150,"&lt;&gt;P")&gt;0,1,0)</f>
        <v>0</v>
      </c>
      <c r="R3">
        <f>IF(COUNTIFS('United Data'!$A$3:$A$2150,R$1,'United Data'!$C$3:$C$2150,$A3,'United Data'!$B$3:$B$2150,"&lt;&gt;P")&gt;0,1,0)</f>
        <v>0</v>
      </c>
      <c r="S3">
        <f t="shared" si="0"/>
        <v>3</v>
      </c>
      <c r="T3">
        <f t="shared" si="1"/>
        <v>1</v>
      </c>
    </row>
    <row r="4" spans="1:20" x14ac:dyDescent="0.2">
      <c r="A4" t="s">
        <v>44</v>
      </c>
      <c r="B4">
        <f>IF(COUNTIFS('United Data'!$A$3:$A$2150,B$1,'United Data'!$C$3:$C$2150,$A4,'United Data'!$B$3:$B$2150,"&lt;&gt;P")&gt;0,1,0)</f>
        <v>1</v>
      </c>
      <c r="C4">
        <f>IF(COUNTIFS('United Data'!$A$3:$A$2150,C$1,'United Data'!$C$3:$C$2150,$A4,'United Data'!$B$3:$B$2150,"&lt;&gt;P")&gt;0,1,0)</f>
        <v>1</v>
      </c>
      <c r="D4">
        <f>IF(COUNTIFS('United Data'!$A$3:$A$2150,D$1,'United Data'!$C$3:$C$2150,$A4,'United Data'!$B$3:$B$2150,"&lt;&gt;P")&gt;0,1,0)</f>
        <v>1</v>
      </c>
      <c r="E4">
        <f>IF(COUNTIFS('United Data'!$A$3:$A$2150,E$1,'United Data'!$C$3:$C$2150,$A4,'United Data'!$B$3:$B$2150,"&lt;&gt;P")&gt;0,1,0)</f>
        <v>1</v>
      </c>
      <c r="F4">
        <f>IF(COUNTIFS('United Data'!$A$3:$A$2150,F$1,'United Data'!$C$3:$C$2150,$A4,'United Data'!$B$3:$B$2150,"&lt;&gt;P")&gt;0,1,0)</f>
        <v>0</v>
      </c>
      <c r="G4">
        <f>IF(COUNTIFS('United Data'!$A$3:$A$2150,G$1,'United Data'!$C$3:$C$2150,$A4,'United Data'!$B$3:$B$2150,"&lt;&gt;P")&gt;0,1,0)</f>
        <v>0</v>
      </c>
      <c r="H4">
        <f>IF(COUNTIFS('United Data'!$A$3:$A$2150,H$1,'United Data'!$C$3:$C$2150,$A4,'United Data'!$B$3:$B$2150,"&lt;&gt;P")&gt;0,1,0)</f>
        <v>0</v>
      </c>
      <c r="I4">
        <f>IF(COUNTIFS('United Data'!$A$3:$A$2150,I$1,'United Data'!$C$3:$C$2150,$A4,'United Data'!$B$3:$B$2150,"&lt;&gt;P")&gt;0,1,0)</f>
        <v>0</v>
      </c>
      <c r="J4">
        <f>IF(COUNTIFS('United Data'!$A$3:$A$2150,J$1,'United Data'!$C$3:$C$2150,$A4,'United Data'!$B$3:$B$2150,"&lt;&gt;P")&gt;0,1,0)</f>
        <v>0</v>
      </c>
      <c r="K4">
        <f>IF(COUNTIFS('United Data'!$A$3:$A$2150,K$1,'United Data'!$C$3:$C$2150,$A4,'United Data'!$B$3:$B$2150,"&lt;&gt;P")&gt;0,1,0)</f>
        <v>0</v>
      </c>
      <c r="L4">
        <f>IF(COUNTIFS('United Data'!$A$3:$A$2150,L$1,'United Data'!$C$3:$C$2150,$A4,'United Data'!$B$3:$B$2150,"&lt;&gt;P")&gt;0,1,0)</f>
        <v>0</v>
      </c>
      <c r="M4">
        <f>IF(COUNTIFS('United Data'!$A$3:$A$2150,M$1,'United Data'!$C$3:$C$2150,$A4,'United Data'!$B$3:$B$2150,"&lt;&gt;P")&gt;0,1,0)</f>
        <v>0</v>
      </c>
      <c r="N4">
        <f>IF(COUNTIFS('United Data'!$A$3:$A$2150,N$1,'United Data'!$C$3:$C$2150,$A4,'United Data'!$B$3:$B$2150,"&lt;&gt;P")&gt;0,1,0)</f>
        <v>0</v>
      </c>
      <c r="O4">
        <f>IF(COUNTIFS('United Data'!$A$3:$A$2150,O$1,'United Data'!$C$3:$C$2150,$A4,'United Data'!$B$3:$B$2150,"&lt;&gt;P")&gt;0,1,0)</f>
        <v>0</v>
      </c>
      <c r="P4">
        <f>IF(COUNTIFS('United Data'!$A$3:$A$2150,P$1,'United Data'!$C$3:$C$2150,$A4,'United Data'!$B$3:$B$2150,"&lt;&gt;P")&gt;0,1,0)</f>
        <v>0</v>
      </c>
      <c r="Q4">
        <f>IF(COUNTIFS('United Data'!$A$3:$A$2150,Q$1,'United Data'!$C$3:$C$2150,$A4,'United Data'!$B$3:$B$2150,"&lt;&gt;P")&gt;0,1,0)</f>
        <v>0</v>
      </c>
      <c r="R4">
        <f>IF(COUNTIFS('United Data'!$A$3:$A$2150,R$1,'United Data'!$C$3:$C$2150,$A4,'United Data'!$B$3:$B$2150,"&lt;&gt;P")&gt;0,1,0)</f>
        <v>0</v>
      </c>
      <c r="S4">
        <f t="shared" si="0"/>
        <v>4</v>
      </c>
      <c r="T4">
        <f t="shared" si="1"/>
        <v>1</v>
      </c>
    </row>
    <row r="5" spans="1:20" x14ac:dyDescent="0.2">
      <c r="A5" t="s">
        <v>45</v>
      </c>
      <c r="B5">
        <f>IF(COUNTIFS('United Data'!$A$3:$A$2150,B$1,'United Data'!$C$3:$C$2150,$A5,'United Data'!$B$3:$B$2150,"&lt;&gt;P")&gt;0,1,0)</f>
        <v>0</v>
      </c>
      <c r="C5">
        <f>IF(COUNTIFS('United Data'!$A$3:$A$2150,C$1,'United Data'!$C$3:$C$2150,$A5,'United Data'!$B$3:$B$2150,"&lt;&gt;P")&gt;0,1,0)</f>
        <v>0</v>
      </c>
      <c r="D5">
        <f>IF(COUNTIFS('United Data'!$A$3:$A$2150,D$1,'United Data'!$C$3:$C$2150,$A5,'United Data'!$B$3:$B$2150,"&lt;&gt;P")&gt;0,1,0)</f>
        <v>1</v>
      </c>
      <c r="E5">
        <f>IF(COUNTIFS('United Data'!$A$3:$A$2150,E$1,'United Data'!$C$3:$C$2150,$A5,'United Data'!$B$3:$B$2150,"&lt;&gt;P")&gt;0,1,0)</f>
        <v>0</v>
      </c>
      <c r="F5">
        <f>IF(COUNTIFS('United Data'!$A$3:$A$2150,F$1,'United Data'!$C$3:$C$2150,$A5,'United Data'!$B$3:$B$2150,"&lt;&gt;P")&gt;0,1,0)</f>
        <v>0</v>
      </c>
      <c r="G5">
        <f>IF(COUNTIFS('United Data'!$A$3:$A$2150,G$1,'United Data'!$C$3:$C$2150,$A5,'United Data'!$B$3:$B$2150,"&lt;&gt;P")&gt;0,1,0)</f>
        <v>0</v>
      </c>
      <c r="H5">
        <f>IF(COUNTIFS('United Data'!$A$3:$A$2150,H$1,'United Data'!$C$3:$C$2150,$A5,'United Data'!$B$3:$B$2150,"&lt;&gt;P")&gt;0,1,0)</f>
        <v>0</v>
      </c>
      <c r="I5">
        <f>IF(COUNTIFS('United Data'!$A$3:$A$2150,I$1,'United Data'!$C$3:$C$2150,$A5,'United Data'!$B$3:$B$2150,"&lt;&gt;P")&gt;0,1,0)</f>
        <v>0</v>
      </c>
      <c r="J5">
        <f>IF(COUNTIFS('United Data'!$A$3:$A$2150,J$1,'United Data'!$C$3:$C$2150,$A5,'United Data'!$B$3:$B$2150,"&lt;&gt;P")&gt;0,1,0)</f>
        <v>0</v>
      </c>
      <c r="K5">
        <f>IF(COUNTIFS('United Data'!$A$3:$A$2150,K$1,'United Data'!$C$3:$C$2150,$A5,'United Data'!$B$3:$B$2150,"&lt;&gt;P")&gt;0,1,0)</f>
        <v>0</v>
      </c>
      <c r="L5">
        <f>IF(COUNTIFS('United Data'!$A$3:$A$2150,L$1,'United Data'!$C$3:$C$2150,$A5,'United Data'!$B$3:$B$2150,"&lt;&gt;P")&gt;0,1,0)</f>
        <v>0</v>
      </c>
      <c r="M5">
        <f>IF(COUNTIFS('United Data'!$A$3:$A$2150,M$1,'United Data'!$C$3:$C$2150,$A5,'United Data'!$B$3:$B$2150,"&lt;&gt;P")&gt;0,1,0)</f>
        <v>0</v>
      </c>
      <c r="N5">
        <f>IF(COUNTIFS('United Data'!$A$3:$A$2150,N$1,'United Data'!$C$3:$C$2150,$A5,'United Data'!$B$3:$B$2150,"&lt;&gt;P")&gt;0,1,0)</f>
        <v>0</v>
      </c>
      <c r="O5">
        <f>IF(COUNTIFS('United Data'!$A$3:$A$2150,O$1,'United Data'!$C$3:$C$2150,$A5,'United Data'!$B$3:$B$2150,"&lt;&gt;P")&gt;0,1,0)</f>
        <v>0</v>
      </c>
      <c r="P5">
        <f>IF(COUNTIFS('United Data'!$A$3:$A$2150,P$1,'United Data'!$C$3:$C$2150,$A5,'United Data'!$B$3:$B$2150,"&lt;&gt;P")&gt;0,1,0)</f>
        <v>0</v>
      </c>
      <c r="Q5">
        <f>IF(COUNTIFS('United Data'!$A$3:$A$2150,Q$1,'United Data'!$C$3:$C$2150,$A5,'United Data'!$B$3:$B$2150,"&lt;&gt;P")&gt;0,1,0)</f>
        <v>0</v>
      </c>
      <c r="R5">
        <f>IF(COUNTIFS('United Data'!$A$3:$A$2150,R$1,'United Data'!$C$3:$C$2150,$A5,'United Data'!$B$3:$B$2150,"&lt;&gt;P")&gt;0,1,0)</f>
        <v>0</v>
      </c>
      <c r="S5">
        <f t="shared" si="0"/>
        <v>1</v>
      </c>
      <c r="T5">
        <f t="shared" si="1"/>
        <v>1</v>
      </c>
    </row>
    <row r="6" spans="1:20" x14ac:dyDescent="0.2">
      <c r="A6" t="s">
        <v>48</v>
      </c>
      <c r="B6">
        <f>IF(COUNTIFS('United Data'!$A$3:$A$2150,B$1,'United Data'!$C$3:$C$2150,$A6,'United Data'!$B$3:$B$2150,"&lt;&gt;P")&gt;0,1,0)</f>
        <v>0</v>
      </c>
      <c r="C6">
        <f>IF(COUNTIFS('United Data'!$A$3:$A$2150,C$1,'United Data'!$C$3:$C$2150,$A6,'United Data'!$B$3:$B$2150,"&lt;&gt;P")&gt;0,1,0)</f>
        <v>0</v>
      </c>
      <c r="D6">
        <f>IF(COUNTIFS('United Data'!$A$3:$A$2150,D$1,'United Data'!$C$3:$C$2150,$A6,'United Data'!$B$3:$B$2150,"&lt;&gt;P")&gt;0,1,0)</f>
        <v>0</v>
      </c>
      <c r="E6">
        <f>IF(COUNTIFS('United Data'!$A$3:$A$2150,E$1,'United Data'!$C$3:$C$2150,$A6,'United Data'!$B$3:$B$2150,"&lt;&gt;P")&gt;0,1,0)</f>
        <v>1</v>
      </c>
      <c r="F6">
        <f>IF(COUNTIFS('United Data'!$A$3:$A$2150,F$1,'United Data'!$C$3:$C$2150,$A6,'United Data'!$B$3:$B$2150,"&lt;&gt;P")&gt;0,1,0)</f>
        <v>1</v>
      </c>
      <c r="G6">
        <f>IF(COUNTIFS('United Data'!$A$3:$A$2150,G$1,'United Data'!$C$3:$C$2150,$A6,'United Data'!$B$3:$B$2150,"&lt;&gt;P")&gt;0,1,0)</f>
        <v>0</v>
      </c>
      <c r="H6">
        <f>IF(COUNTIFS('United Data'!$A$3:$A$2150,H$1,'United Data'!$C$3:$C$2150,$A6,'United Data'!$B$3:$B$2150,"&lt;&gt;P")&gt;0,1,0)</f>
        <v>1</v>
      </c>
      <c r="I6">
        <f>IF(COUNTIFS('United Data'!$A$3:$A$2150,I$1,'United Data'!$C$3:$C$2150,$A6,'United Data'!$B$3:$B$2150,"&lt;&gt;P")&gt;0,1,0)</f>
        <v>1</v>
      </c>
      <c r="J6">
        <f>IF(COUNTIFS('United Data'!$A$3:$A$2150,J$1,'United Data'!$C$3:$C$2150,$A6,'United Data'!$B$3:$B$2150,"&lt;&gt;P")&gt;0,1,0)</f>
        <v>0</v>
      </c>
      <c r="K6">
        <f>IF(COUNTIFS('United Data'!$A$3:$A$2150,K$1,'United Data'!$C$3:$C$2150,$A6,'United Data'!$B$3:$B$2150,"&lt;&gt;P")&gt;0,1,0)</f>
        <v>1</v>
      </c>
      <c r="L6">
        <f>IF(COUNTIFS('United Data'!$A$3:$A$2150,L$1,'United Data'!$C$3:$C$2150,$A6,'United Data'!$B$3:$B$2150,"&lt;&gt;P")&gt;0,1,0)</f>
        <v>0</v>
      </c>
      <c r="M6">
        <f>IF(COUNTIFS('United Data'!$A$3:$A$2150,M$1,'United Data'!$C$3:$C$2150,$A6,'United Data'!$B$3:$B$2150,"&lt;&gt;P")&gt;0,1,0)</f>
        <v>1</v>
      </c>
      <c r="N6">
        <f>IF(COUNTIFS('United Data'!$A$3:$A$2150,N$1,'United Data'!$C$3:$C$2150,$A6,'United Data'!$B$3:$B$2150,"&lt;&gt;P")&gt;0,1,0)</f>
        <v>1</v>
      </c>
      <c r="O6">
        <f>IF(COUNTIFS('United Data'!$A$3:$A$2150,O$1,'United Data'!$C$3:$C$2150,$A6,'United Data'!$B$3:$B$2150,"&lt;&gt;P")&gt;0,1,0)</f>
        <v>1</v>
      </c>
      <c r="P6">
        <f>IF(COUNTIFS('United Data'!$A$3:$A$2150,P$1,'United Data'!$C$3:$C$2150,$A6,'United Data'!$B$3:$B$2150,"&lt;&gt;P")&gt;0,1,0)</f>
        <v>0</v>
      </c>
      <c r="Q6">
        <f>IF(COUNTIFS('United Data'!$A$3:$A$2150,Q$1,'United Data'!$C$3:$C$2150,$A6,'United Data'!$B$3:$B$2150,"&lt;&gt;P")&gt;0,1,0)</f>
        <v>0</v>
      </c>
      <c r="R6">
        <f>IF(COUNTIFS('United Data'!$A$3:$A$2150,R$1,'United Data'!$C$3:$C$2150,$A6,'United Data'!$B$3:$B$2150,"&lt;&gt;P")&gt;0,1,0)</f>
        <v>0</v>
      </c>
      <c r="S6">
        <f t="shared" si="0"/>
        <v>8</v>
      </c>
      <c r="T6">
        <f t="shared" si="1"/>
        <v>4</v>
      </c>
    </row>
    <row r="7" spans="1:20" x14ac:dyDescent="0.2">
      <c r="A7" t="s">
        <v>49</v>
      </c>
      <c r="B7">
        <f>IF(COUNTIFS('United Data'!$A$3:$A$2150,B$1,'United Data'!$C$3:$C$2150,$A7,'United Data'!$B$3:$B$2150,"&lt;&gt;P")&gt;0,1,0)</f>
        <v>0</v>
      </c>
      <c r="C7">
        <f>IF(COUNTIFS('United Data'!$A$3:$A$2150,C$1,'United Data'!$C$3:$C$2150,$A7,'United Data'!$B$3:$B$2150,"&lt;&gt;P")&gt;0,1,0)</f>
        <v>0</v>
      </c>
      <c r="D7">
        <f>IF(COUNTIFS('United Data'!$A$3:$A$2150,D$1,'United Data'!$C$3:$C$2150,$A7,'United Data'!$B$3:$B$2150,"&lt;&gt;P")&gt;0,1,0)</f>
        <v>0</v>
      </c>
      <c r="E7">
        <f>IF(COUNTIFS('United Data'!$A$3:$A$2150,E$1,'United Data'!$C$3:$C$2150,$A7,'United Data'!$B$3:$B$2150,"&lt;&gt;P")&gt;0,1,0)</f>
        <v>0</v>
      </c>
      <c r="F7">
        <f>IF(COUNTIFS('United Data'!$A$3:$A$2150,F$1,'United Data'!$C$3:$C$2150,$A7,'United Data'!$B$3:$B$2150,"&lt;&gt;P")&gt;0,1,0)</f>
        <v>1</v>
      </c>
      <c r="G7">
        <f>IF(COUNTIFS('United Data'!$A$3:$A$2150,G$1,'United Data'!$C$3:$C$2150,$A7,'United Data'!$B$3:$B$2150,"&lt;&gt;P")&gt;0,1,0)</f>
        <v>0</v>
      </c>
      <c r="H7">
        <f>IF(COUNTIFS('United Data'!$A$3:$A$2150,H$1,'United Data'!$C$3:$C$2150,$A7,'United Data'!$B$3:$B$2150,"&lt;&gt;P")&gt;0,1,0)</f>
        <v>0</v>
      </c>
      <c r="I7">
        <f>IF(COUNTIFS('United Data'!$A$3:$A$2150,I$1,'United Data'!$C$3:$C$2150,$A7,'United Data'!$B$3:$B$2150,"&lt;&gt;P")&gt;0,1,0)</f>
        <v>0</v>
      </c>
      <c r="J7">
        <f>IF(COUNTIFS('United Data'!$A$3:$A$2150,J$1,'United Data'!$C$3:$C$2150,$A7,'United Data'!$B$3:$B$2150,"&lt;&gt;P")&gt;0,1,0)</f>
        <v>0</v>
      </c>
      <c r="K7">
        <f>IF(COUNTIFS('United Data'!$A$3:$A$2150,K$1,'United Data'!$C$3:$C$2150,$A7,'United Data'!$B$3:$B$2150,"&lt;&gt;P")&gt;0,1,0)</f>
        <v>0</v>
      </c>
      <c r="L7">
        <f>IF(COUNTIFS('United Data'!$A$3:$A$2150,L$1,'United Data'!$C$3:$C$2150,$A7,'United Data'!$B$3:$B$2150,"&lt;&gt;P")&gt;0,1,0)</f>
        <v>0</v>
      </c>
      <c r="M7">
        <f>IF(COUNTIFS('United Data'!$A$3:$A$2150,M$1,'United Data'!$C$3:$C$2150,$A7,'United Data'!$B$3:$B$2150,"&lt;&gt;P")&gt;0,1,0)</f>
        <v>0</v>
      </c>
      <c r="N7">
        <f>IF(COUNTIFS('United Data'!$A$3:$A$2150,N$1,'United Data'!$C$3:$C$2150,$A7,'United Data'!$B$3:$B$2150,"&lt;&gt;P")&gt;0,1,0)</f>
        <v>0</v>
      </c>
      <c r="O7">
        <f>IF(COUNTIFS('United Data'!$A$3:$A$2150,O$1,'United Data'!$C$3:$C$2150,$A7,'United Data'!$B$3:$B$2150,"&lt;&gt;P")&gt;0,1,0)</f>
        <v>0</v>
      </c>
      <c r="P7">
        <f>IF(COUNTIFS('United Data'!$A$3:$A$2150,P$1,'United Data'!$C$3:$C$2150,$A7,'United Data'!$B$3:$B$2150,"&lt;&gt;P")&gt;0,1,0)</f>
        <v>0</v>
      </c>
      <c r="Q7">
        <f>IF(COUNTIFS('United Data'!$A$3:$A$2150,Q$1,'United Data'!$C$3:$C$2150,$A7,'United Data'!$B$3:$B$2150,"&lt;&gt;P")&gt;0,1,0)</f>
        <v>0</v>
      </c>
      <c r="R7">
        <f>IF(COUNTIFS('United Data'!$A$3:$A$2150,R$1,'United Data'!$C$3:$C$2150,$A7,'United Data'!$B$3:$B$2150,"&lt;&gt;P")&gt;0,1,0)</f>
        <v>0</v>
      </c>
      <c r="S7">
        <f t="shared" si="0"/>
        <v>1</v>
      </c>
      <c r="T7">
        <f t="shared" si="1"/>
        <v>1</v>
      </c>
    </row>
    <row r="8" spans="1:20" x14ac:dyDescent="0.2">
      <c r="A8" t="s">
        <v>50</v>
      </c>
      <c r="B8">
        <f>IF(COUNTIFS('United Data'!$A$3:$A$2150,B$1,'United Data'!$C$3:$C$2150,$A8,'United Data'!$B$3:$B$2150,"&lt;&gt;P")&gt;0,1,0)</f>
        <v>0</v>
      </c>
      <c r="C8">
        <f>IF(COUNTIFS('United Data'!$A$3:$A$2150,C$1,'United Data'!$C$3:$C$2150,$A8,'United Data'!$B$3:$B$2150,"&lt;&gt;P")&gt;0,1,0)</f>
        <v>0</v>
      </c>
      <c r="D8">
        <f>IF(COUNTIFS('United Data'!$A$3:$A$2150,D$1,'United Data'!$C$3:$C$2150,$A8,'United Data'!$B$3:$B$2150,"&lt;&gt;P")&gt;0,1,0)</f>
        <v>0</v>
      </c>
      <c r="E8">
        <f>IF(COUNTIFS('United Data'!$A$3:$A$2150,E$1,'United Data'!$C$3:$C$2150,$A8,'United Data'!$B$3:$B$2150,"&lt;&gt;P")&gt;0,1,0)</f>
        <v>0</v>
      </c>
      <c r="F8">
        <f>IF(COUNTIFS('United Data'!$A$3:$A$2150,F$1,'United Data'!$C$3:$C$2150,$A8,'United Data'!$B$3:$B$2150,"&lt;&gt;P")&gt;0,1,0)</f>
        <v>1</v>
      </c>
      <c r="G8">
        <f>IF(COUNTIFS('United Data'!$A$3:$A$2150,G$1,'United Data'!$C$3:$C$2150,$A8,'United Data'!$B$3:$B$2150,"&lt;&gt;P")&gt;0,1,0)</f>
        <v>0</v>
      </c>
      <c r="H8">
        <f>IF(COUNTIFS('United Data'!$A$3:$A$2150,H$1,'United Data'!$C$3:$C$2150,$A8,'United Data'!$B$3:$B$2150,"&lt;&gt;P")&gt;0,1,0)</f>
        <v>0</v>
      </c>
      <c r="I8">
        <f>IF(COUNTIFS('United Data'!$A$3:$A$2150,I$1,'United Data'!$C$3:$C$2150,$A8,'United Data'!$B$3:$B$2150,"&lt;&gt;P")&gt;0,1,0)</f>
        <v>0</v>
      </c>
      <c r="J8">
        <f>IF(COUNTIFS('United Data'!$A$3:$A$2150,J$1,'United Data'!$C$3:$C$2150,$A8,'United Data'!$B$3:$B$2150,"&lt;&gt;P")&gt;0,1,0)</f>
        <v>0</v>
      </c>
      <c r="K8">
        <f>IF(COUNTIFS('United Data'!$A$3:$A$2150,K$1,'United Data'!$C$3:$C$2150,$A8,'United Data'!$B$3:$B$2150,"&lt;&gt;P")&gt;0,1,0)</f>
        <v>0</v>
      </c>
      <c r="L8">
        <f>IF(COUNTIFS('United Data'!$A$3:$A$2150,L$1,'United Data'!$C$3:$C$2150,$A8,'United Data'!$B$3:$B$2150,"&lt;&gt;P")&gt;0,1,0)</f>
        <v>0</v>
      </c>
      <c r="M8">
        <f>IF(COUNTIFS('United Data'!$A$3:$A$2150,M$1,'United Data'!$C$3:$C$2150,$A8,'United Data'!$B$3:$B$2150,"&lt;&gt;P")&gt;0,1,0)</f>
        <v>0</v>
      </c>
      <c r="N8">
        <f>IF(COUNTIFS('United Data'!$A$3:$A$2150,N$1,'United Data'!$C$3:$C$2150,$A8,'United Data'!$B$3:$B$2150,"&lt;&gt;P")&gt;0,1,0)</f>
        <v>0</v>
      </c>
      <c r="O8">
        <f>IF(COUNTIFS('United Data'!$A$3:$A$2150,O$1,'United Data'!$C$3:$C$2150,$A8,'United Data'!$B$3:$B$2150,"&lt;&gt;P")&gt;0,1,0)</f>
        <v>0</v>
      </c>
      <c r="P8">
        <f>IF(COUNTIFS('United Data'!$A$3:$A$2150,P$1,'United Data'!$C$3:$C$2150,$A8,'United Data'!$B$3:$B$2150,"&lt;&gt;P")&gt;0,1,0)</f>
        <v>0</v>
      </c>
      <c r="Q8">
        <f>IF(COUNTIFS('United Data'!$A$3:$A$2150,Q$1,'United Data'!$C$3:$C$2150,$A8,'United Data'!$B$3:$B$2150,"&lt;&gt;P")&gt;0,1,0)</f>
        <v>0</v>
      </c>
      <c r="R8">
        <f>IF(COUNTIFS('United Data'!$A$3:$A$2150,R$1,'United Data'!$C$3:$C$2150,$A8,'United Data'!$B$3:$B$2150,"&lt;&gt;P")&gt;0,1,0)</f>
        <v>0</v>
      </c>
      <c r="S8">
        <f t="shared" si="0"/>
        <v>1</v>
      </c>
      <c r="T8">
        <f t="shared" si="1"/>
        <v>1</v>
      </c>
    </row>
    <row r="9" spans="1:20" x14ac:dyDescent="0.2">
      <c r="A9" t="s">
        <v>52</v>
      </c>
      <c r="B9">
        <f>IF(COUNTIFS('United Data'!$A$3:$A$2150,B$1,'United Data'!$C$3:$C$2150,$A9,'United Data'!$B$3:$B$2150,"&lt;&gt;P")&gt;0,1,0)</f>
        <v>0</v>
      </c>
      <c r="C9">
        <f>IF(COUNTIFS('United Data'!$A$3:$A$2150,C$1,'United Data'!$C$3:$C$2150,$A9,'United Data'!$B$3:$B$2150,"&lt;&gt;P")&gt;0,1,0)</f>
        <v>0</v>
      </c>
      <c r="D9">
        <f>IF(COUNTIFS('United Data'!$A$3:$A$2150,D$1,'United Data'!$C$3:$C$2150,$A9,'United Data'!$B$3:$B$2150,"&lt;&gt;P")&gt;0,1,0)</f>
        <v>0</v>
      </c>
      <c r="E9">
        <f>IF(COUNTIFS('United Data'!$A$3:$A$2150,E$1,'United Data'!$C$3:$C$2150,$A9,'United Data'!$B$3:$B$2150,"&lt;&gt;P")&gt;0,1,0)</f>
        <v>0</v>
      </c>
      <c r="F9">
        <f>IF(COUNTIFS('United Data'!$A$3:$A$2150,F$1,'United Data'!$C$3:$C$2150,$A9,'United Data'!$B$3:$B$2150,"&lt;&gt;P")&gt;0,1,0)</f>
        <v>0</v>
      </c>
      <c r="G9">
        <f>IF(COUNTIFS('United Data'!$A$3:$A$2150,G$1,'United Data'!$C$3:$C$2150,$A9,'United Data'!$B$3:$B$2150,"&lt;&gt;P")&gt;0,1,0)</f>
        <v>1</v>
      </c>
      <c r="H9">
        <f>IF(COUNTIFS('United Data'!$A$3:$A$2150,H$1,'United Data'!$C$3:$C$2150,$A9,'United Data'!$B$3:$B$2150,"&lt;&gt;P")&gt;0,1,0)</f>
        <v>0</v>
      </c>
      <c r="I9">
        <f>IF(COUNTIFS('United Data'!$A$3:$A$2150,I$1,'United Data'!$C$3:$C$2150,$A9,'United Data'!$B$3:$B$2150,"&lt;&gt;P")&gt;0,1,0)</f>
        <v>0</v>
      </c>
      <c r="J9">
        <f>IF(COUNTIFS('United Data'!$A$3:$A$2150,J$1,'United Data'!$C$3:$C$2150,$A9,'United Data'!$B$3:$B$2150,"&lt;&gt;P")&gt;0,1,0)</f>
        <v>0</v>
      </c>
      <c r="K9">
        <f>IF(COUNTIFS('United Data'!$A$3:$A$2150,K$1,'United Data'!$C$3:$C$2150,$A9,'United Data'!$B$3:$B$2150,"&lt;&gt;P")&gt;0,1,0)</f>
        <v>0</v>
      </c>
      <c r="L9">
        <f>IF(COUNTIFS('United Data'!$A$3:$A$2150,L$1,'United Data'!$C$3:$C$2150,$A9,'United Data'!$B$3:$B$2150,"&lt;&gt;P")&gt;0,1,0)</f>
        <v>0</v>
      </c>
      <c r="M9">
        <f>IF(COUNTIFS('United Data'!$A$3:$A$2150,M$1,'United Data'!$C$3:$C$2150,$A9,'United Data'!$B$3:$B$2150,"&lt;&gt;P")&gt;0,1,0)</f>
        <v>0</v>
      </c>
      <c r="N9">
        <f>IF(COUNTIFS('United Data'!$A$3:$A$2150,N$1,'United Data'!$C$3:$C$2150,$A9,'United Data'!$B$3:$B$2150,"&lt;&gt;P")&gt;0,1,0)</f>
        <v>0</v>
      </c>
      <c r="O9">
        <f>IF(COUNTIFS('United Data'!$A$3:$A$2150,O$1,'United Data'!$C$3:$C$2150,$A9,'United Data'!$B$3:$B$2150,"&lt;&gt;P")&gt;0,1,0)</f>
        <v>0</v>
      </c>
      <c r="P9">
        <f>IF(COUNTIFS('United Data'!$A$3:$A$2150,P$1,'United Data'!$C$3:$C$2150,$A9,'United Data'!$B$3:$B$2150,"&lt;&gt;P")&gt;0,1,0)</f>
        <v>0</v>
      </c>
      <c r="Q9">
        <f>IF(COUNTIFS('United Data'!$A$3:$A$2150,Q$1,'United Data'!$C$3:$C$2150,$A9,'United Data'!$B$3:$B$2150,"&lt;&gt;P")&gt;0,1,0)</f>
        <v>0</v>
      </c>
      <c r="R9">
        <f>IF(COUNTIFS('United Data'!$A$3:$A$2150,R$1,'United Data'!$C$3:$C$2150,$A9,'United Data'!$B$3:$B$2150,"&lt;&gt;P")&gt;0,1,0)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53</v>
      </c>
      <c r="B10">
        <f>IF(COUNTIFS('United Data'!$A$3:$A$2150,B$1,'United Data'!$C$3:$C$2150,$A10,'United Data'!$B$3:$B$2150,"&lt;&gt;P")&gt;0,1,0)</f>
        <v>0</v>
      </c>
      <c r="C10">
        <f>IF(COUNTIFS('United Data'!$A$3:$A$2150,C$1,'United Data'!$C$3:$C$2150,$A10,'United Data'!$B$3:$B$2150,"&lt;&gt;P")&gt;0,1,0)</f>
        <v>0</v>
      </c>
      <c r="D10">
        <f>IF(COUNTIFS('United Data'!$A$3:$A$2150,D$1,'United Data'!$C$3:$C$2150,$A10,'United Data'!$B$3:$B$2150,"&lt;&gt;P")&gt;0,1,0)</f>
        <v>0</v>
      </c>
      <c r="E10">
        <f>IF(COUNTIFS('United Data'!$A$3:$A$2150,E$1,'United Data'!$C$3:$C$2150,$A10,'United Data'!$B$3:$B$2150,"&lt;&gt;P")&gt;0,1,0)</f>
        <v>0</v>
      </c>
      <c r="F10">
        <f>IF(COUNTIFS('United Data'!$A$3:$A$2150,F$1,'United Data'!$C$3:$C$2150,$A10,'United Data'!$B$3:$B$2150,"&lt;&gt;P")&gt;0,1,0)</f>
        <v>0</v>
      </c>
      <c r="G10">
        <f>IF(COUNTIFS('United Data'!$A$3:$A$2150,G$1,'United Data'!$C$3:$C$2150,$A10,'United Data'!$B$3:$B$2150,"&lt;&gt;P")&gt;0,1,0)</f>
        <v>1</v>
      </c>
      <c r="H10">
        <f>IF(COUNTIFS('United Data'!$A$3:$A$2150,H$1,'United Data'!$C$3:$C$2150,$A10,'United Data'!$B$3:$B$2150,"&lt;&gt;P")&gt;0,1,0)</f>
        <v>0</v>
      </c>
      <c r="I10">
        <f>IF(COUNTIFS('United Data'!$A$3:$A$2150,I$1,'United Data'!$C$3:$C$2150,$A10,'United Data'!$B$3:$B$2150,"&lt;&gt;P")&gt;0,1,0)</f>
        <v>0</v>
      </c>
      <c r="J10">
        <f>IF(COUNTIFS('United Data'!$A$3:$A$2150,J$1,'United Data'!$C$3:$C$2150,$A10,'United Data'!$B$3:$B$2150,"&lt;&gt;P")&gt;0,1,0)</f>
        <v>0</v>
      </c>
      <c r="K10">
        <f>IF(COUNTIFS('United Data'!$A$3:$A$2150,K$1,'United Data'!$C$3:$C$2150,$A10,'United Data'!$B$3:$B$2150,"&lt;&gt;P")&gt;0,1,0)</f>
        <v>0</v>
      </c>
      <c r="L10">
        <f>IF(COUNTIFS('United Data'!$A$3:$A$2150,L$1,'United Data'!$C$3:$C$2150,$A10,'United Data'!$B$3:$B$2150,"&lt;&gt;P")&gt;0,1,0)</f>
        <v>0</v>
      </c>
      <c r="M10">
        <f>IF(COUNTIFS('United Data'!$A$3:$A$2150,M$1,'United Data'!$C$3:$C$2150,$A10,'United Data'!$B$3:$B$2150,"&lt;&gt;P")&gt;0,1,0)</f>
        <v>0</v>
      </c>
      <c r="N10">
        <f>IF(COUNTIFS('United Data'!$A$3:$A$2150,N$1,'United Data'!$C$3:$C$2150,$A10,'United Data'!$B$3:$B$2150,"&lt;&gt;P")&gt;0,1,0)</f>
        <v>0</v>
      </c>
      <c r="O10">
        <f>IF(COUNTIFS('United Data'!$A$3:$A$2150,O$1,'United Data'!$C$3:$C$2150,$A10,'United Data'!$B$3:$B$2150,"&lt;&gt;P")&gt;0,1,0)</f>
        <v>0</v>
      </c>
      <c r="P10">
        <f>IF(COUNTIFS('United Data'!$A$3:$A$2150,P$1,'United Data'!$C$3:$C$2150,$A10,'United Data'!$B$3:$B$2150,"&lt;&gt;P")&gt;0,1,0)</f>
        <v>0</v>
      </c>
      <c r="Q10">
        <f>IF(COUNTIFS('United Data'!$A$3:$A$2150,Q$1,'United Data'!$C$3:$C$2150,$A10,'United Data'!$B$3:$B$2150,"&lt;&gt;P")&gt;0,1,0)</f>
        <v>0</v>
      </c>
      <c r="R10">
        <f>IF(COUNTIFS('United Data'!$A$3:$A$2150,R$1,'United Data'!$C$3:$C$2150,$A10,'United Data'!$B$3:$B$2150,"&lt;&gt;P")&gt;0,1,0)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55</v>
      </c>
      <c r="B11">
        <f>IF(COUNTIFS('United Data'!$A$3:$A$2150,B$1,'United Data'!$C$3:$C$2150,$A11,'United Data'!$B$3:$B$2150,"&lt;&gt;P")&gt;0,1,0)</f>
        <v>0</v>
      </c>
      <c r="C11">
        <f>IF(COUNTIFS('United Data'!$A$3:$A$2150,C$1,'United Data'!$C$3:$C$2150,$A11,'United Data'!$B$3:$B$2150,"&lt;&gt;P")&gt;0,1,0)</f>
        <v>0</v>
      </c>
      <c r="D11">
        <f>IF(COUNTIFS('United Data'!$A$3:$A$2150,D$1,'United Data'!$C$3:$C$2150,$A11,'United Data'!$B$3:$B$2150,"&lt;&gt;P")&gt;0,1,0)</f>
        <v>0</v>
      </c>
      <c r="E11">
        <f>IF(COUNTIFS('United Data'!$A$3:$A$2150,E$1,'United Data'!$C$3:$C$2150,$A11,'United Data'!$B$3:$B$2150,"&lt;&gt;P")&gt;0,1,0)</f>
        <v>0</v>
      </c>
      <c r="F11">
        <f>IF(COUNTIFS('United Data'!$A$3:$A$2150,F$1,'United Data'!$C$3:$C$2150,$A11,'United Data'!$B$3:$B$2150,"&lt;&gt;P")&gt;0,1,0)</f>
        <v>0</v>
      </c>
      <c r="G11">
        <f>IF(COUNTIFS('United Data'!$A$3:$A$2150,G$1,'United Data'!$C$3:$C$2150,$A11,'United Data'!$B$3:$B$2150,"&lt;&gt;P")&gt;0,1,0)</f>
        <v>0</v>
      </c>
      <c r="H11">
        <f>IF(COUNTIFS('United Data'!$A$3:$A$2150,H$1,'United Data'!$C$3:$C$2150,$A11,'United Data'!$B$3:$B$2150,"&lt;&gt;P")&gt;0,1,0)</f>
        <v>0</v>
      </c>
      <c r="I11">
        <f>IF(COUNTIFS('United Data'!$A$3:$A$2150,I$1,'United Data'!$C$3:$C$2150,$A11,'United Data'!$B$3:$B$2150,"&lt;&gt;P")&gt;0,1,0)</f>
        <v>0</v>
      </c>
      <c r="J11">
        <f>IF(COUNTIFS('United Data'!$A$3:$A$2150,J$1,'United Data'!$C$3:$C$2150,$A11,'United Data'!$B$3:$B$2150,"&lt;&gt;P")&gt;0,1,0)</f>
        <v>1</v>
      </c>
      <c r="K11">
        <f>IF(COUNTIFS('United Data'!$A$3:$A$2150,K$1,'United Data'!$C$3:$C$2150,$A11,'United Data'!$B$3:$B$2150,"&lt;&gt;P")&gt;0,1,0)</f>
        <v>0</v>
      </c>
      <c r="L11">
        <f>IF(COUNTIFS('United Data'!$A$3:$A$2150,L$1,'United Data'!$C$3:$C$2150,$A11,'United Data'!$B$3:$B$2150,"&lt;&gt;P")&gt;0,1,0)</f>
        <v>0</v>
      </c>
      <c r="M11">
        <f>IF(COUNTIFS('United Data'!$A$3:$A$2150,M$1,'United Data'!$C$3:$C$2150,$A11,'United Data'!$B$3:$B$2150,"&lt;&gt;P")&gt;0,1,0)</f>
        <v>0</v>
      </c>
      <c r="N11">
        <f>IF(COUNTIFS('United Data'!$A$3:$A$2150,N$1,'United Data'!$C$3:$C$2150,$A11,'United Data'!$B$3:$B$2150,"&lt;&gt;P")&gt;0,1,0)</f>
        <v>0</v>
      </c>
      <c r="O11">
        <f>IF(COUNTIFS('United Data'!$A$3:$A$2150,O$1,'United Data'!$C$3:$C$2150,$A11,'United Data'!$B$3:$B$2150,"&lt;&gt;P")&gt;0,1,0)</f>
        <v>0</v>
      </c>
      <c r="P11">
        <f>IF(COUNTIFS('United Data'!$A$3:$A$2150,P$1,'United Data'!$C$3:$C$2150,$A11,'United Data'!$B$3:$B$2150,"&lt;&gt;P")&gt;0,1,0)</f>
        <v>0</v>
      </c>
      <c r="Q11">
        <f>IF(COUNTIFS('United Data'!$A$3:$A$2150,Q$1,'United Data'!$C$3:$C$2150,$A11,'United Data'!$B$3:$B$2150,"&lt;&gt;P")&gt;0,1,0)</f>
        <v>0</v>
      </c>
      <c r="R11">
        <f>IF(COUNTIFS('United Data'!$A$3:$A$2150,R$1,'United Data'!$C$3:$C$2150,$A11,'United Data'!$B$3:$B$2150,"&lt;&gt;P")&gt;0,1,0)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56</v>
      </c>
      <c r="B12">
        <f>IF(COUNTIFS('United Data'!$A$3:$A$2150,B$1,'United Data'!$C$3:$C$2150,$A12,'United Data'!$B$3:$B$2150,"&lt;&gt;P")&gt;0,1,0)</f>
        <v>0</v>
      </c>
      <c r="C12">
        <f>IF(COUNTIFS('United Data'!$A$3:$A$2150,C$1,'United Data'!$C$3:$C$2150,$A12,'United Data'!$B$3:$B$2150,"&lt;&gt;P")&gt;0,1,0)</f>
        <v>0</v>
      </c>
      <c r="D12">
        <f>IF(COUNTIFS('United Data'!$A$3:$A$2150,D$1,'United Data'!$C$3:$C$2150,$A12,'United Data'!$B$3:$B$2150,"&lt;&gt;P")&gt;0,1,0)</f>
        <v>0</v>
      </c>
      <c r="E12">
        <f>IF(COUNTIFS('United Data'!$A$3:$A$2150,E$1,'United Data'!$C$3:$C$2150,$A12,'United Data'!$B$3:$B$2150,"&lt;&gt;P")&gt;0,1,0)</f>
        <v>0</v>
      </c>
      <c r="F12">
        <f>IF(COUNTIFS('United Data'!$A$3:$A$2150,F$1,'United Data'!$C$3:$C$2150,$A12,'United Data'!$B$3:$B$2150,"&lt;&gt;P")&gt;0,1,0)</f>
        <v>0</v>
      </c>
      <c r="G12">
        <f>IF(COUNTIFS('United Data'!$A$3:$A$2150,G$1,'United Data'!$C$3:$C$2150,$A12,'United Data'!$B$3:$B$2150,"&lt;&gt;P")&gt;0,1,0)</f>
        <v>0</v>
      </c>
      <c r="H12">
        <f>IF(COUNTIFS('United Data'!$A$3:$A$2150,H$1,'United Data'!$C$3:$C$2150,$A12,'United Data'!$B$3:$B$2150,"&lt;&gt;P")&gt;0,1,0)</f>
        <v>0</v>
      </c>
      <c r="I12">
        <f>IF(COUNTIFS('United Data'!$A$3:$A$2150,I$1,'United Data'!$C$3:$C$2150,$A12,'United Data'!$B$3:$B$2150,"&lt;&gt;P")&gt;0,1,0)</f>
        <v>0</v>
      </c>
      <c r="J12">
        <f>IF(COUNTIFS('United Data'!$A$3:$A$2150,J$1,'United Data'!$C$3:$C$2150,$A12,'United Data'!$B$3:$B$2150,"&lt;&gt;P")&gt;0,1,0)</f>
        <v>0</v>
      </c>
      <c r="K12">
        <f>IF(COUNTIFS('United Data'!$A$3:$A$2150,K$1,'United Data'!$C$3:$C$2150,$A12,'United Data'!$B$3:$B$2150,"&lt;&gt;P")&gt;0,1,0)</f>
        <v>1</v>
      </c>
      <c r="L12">
        <f>IF(COUNTIFS('United Data'!$A$3:$A$2150,L$1,'United Data'!$C$3:$C$2150,$A12,'United Data'!$B$3:$B$2150,"&lt;&gt;P")&gt;0,1,0)</f>
        <v>0</v>
      </c>
      <c r="M12">
        <f>IF(COUNTIFS('United Data'!$A$3:$A$2150,M$1,'United Data'!$C$3:$C$2150,$A12,'United Data'!$B$3:$B$2150,"&lt;&gt;P")&gt;0,1,0)</f>
        <v>0</v>
      </c>
      <c r="N12">
        <f>IF(COUNTIFS('United Data'!$A$3:$A$2150,N$1,'United Data'!$C$3:$C$2150,$A12,'United Data'!$B$3:$B$2150,"&lt;&gt;P")&gt;0,1,0)</f>
        <v>0</v>
      </c>
      <c r="O12">
        <f>IF(COUNTIFS('United Data'!$A$3:$A$2150,O$1,'United Data'!$C$3:$C$2150,$A12,'United Data'!$B$3:$B$2150,"&lt;&gt;P")&gt;0,1,0)</f>
        <v>0</v>
      </c>
      <c r="P12">
        <f>IF(COUNTIFS('United Data'!$A$3:$A$2150,P$1,'United Data'!$C$3:$C$2150,$A12,'United Data'!$B$3:$B$2150,"&lt;&gt;P")&gt;0,1,0)</f>
        <v>0</v>
      </c>
      <c r="Q12">
        <f>IF(COUNTIFS('United Data'!$A$3:$A$2150,Q$1,'United Data'!$C$3:$C$2150,$A12,'United Data'!$B$3:$B$2150,"&lt;&gt;P")&gt;0,1,0)</f>
        <v>0</v>
      </c>
      <c r="R12">
        <f>IF(COUNTIFS('United Data'!$A$3:$A$2150,R$1,'United Data'!$C$3:$C$2150,$A12,'United Data'!$B$3:$B$2150,"&lt;&gt;P")&gt;0,1,0)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57</v>
      </c>
      <c r="B13">
        <f>IF(COUNTIFS('United Data'!$A$3:$A$2150,B$1,'United Data'!$C$3:$C$2150,$A13,'United Data'!$B$3:$B$2150,"&lt;&gt;P")&gt;0,1,0)</f>
        <v>0</v>
      </c>
      <c r="C13">
        <f>IF(COUNTIFS('United Data'!$A$3:$A$2150,C$1,'United Data'!$C$3:$C$2150,$A13,'United Data'!$B$3:$B$2150,"&lt;&gt;P")&gt;0,1,0)</f>
        <v>0</v>
      </c>
      <c r="D13">
        <f>IF(COUNTIFS('United Data'!$A$3:$A$2150,D$1,'United Data'!$C$3:$C$2150,$A13,'United Data'!$B$3:$B$2150,"&lt;&gt;P")&gt;0,1,0)</f>
        <v>0</v>
      </c>
      <c r="E13">
        <f>IF(COUNTIFS('United Data'!$A$3:$A$2150,E$1,'United Data'!$C$3:$C$2150,$A13,'United Data'!$B$3:$B$2150,"&lt;&gt;P")&gt;0,1,0)</f>
        <v>0</v>
      </c>
      <c r="F13">
        <f>IF(COUNTIFS('United Data'!$A$3:$A$2150,F$1,'United Data'!$C$3:$C$2150,$A13,'United Data'!$B$3:$B$2150,"&lt;&gt;P")&gt;0,1,0)</f>
        <v>0</v>
      </c>
      <c r="G13">
        <f>IF(COUNTIFS('United Data'!$A$3:$A$2150,G$1,'United Data'!$C$3:$C$2150,$A13,'United Data'!$B$3:$B$2150,"&lt;&gt;P")&gt;0,1,0)</f>
        <v>0</v>
      </c>
      <c r="H13">
        <f>IF(COUNTIFS('United Data'!$A$3:$A$2150,H$1,'United Data'!$C$3:$C$2150,$A13,'United Data'!$B$3:$B$2150,"&lt;&gt;P")&gt;0,1,0)</f>
        <v>0</v>
      </c>
      <c r="I13">
        <f>IF(COUNTIFS('United Data'!$A$3:$A$2150,I$1,'United Data'!$C$3:$C$2150,$A13,'United Data'!$B$3:$B$2150,"&lt;&gt;P")&gt;0,1,0)</f>
        <v>0</v>
      </c>
      <c r="J13">
        <f>IF(COUNTIFS('United Data'!$A$3:$A$2150,J$1,'United Data'!$C$3:$C$2150,$A13,'United Data'!$B$3:$B$2150,"&lt;&gt;P")&gt;0,1,0)</f>
        <v>0</v>
      </c>
      <c r="K13">
        <f>IF(COUNTIFS('United Data'!$A$3:$A$2150,K$1,'United Data'!$C$3:$C$2150,$A13,'United Data'!$B$3:$B$2150,"&lt;&gt;P")&gt;0,1,0)</f>
        <v>0</v>
      </c>
      <c r="L13">
        <f>IF(COUNTIFS('United Data'!$A$3:$A$2150,L$1,'United Data'!$C$3:$C$2150,$A13,'United Data'!$B$3:$B$2150,"&lt;&gt;P")&gt;0,1,0)</f>
        <v>1</v>
      </c>
      <c r="M13">
        <f>IF(COUNTIFS('United Data'!$A$3:$A$2150,M$1,'United Data'!$C$3:$C$2150,$A13,'United Data'!$B$3:$B$2150,"&lt;&gt;P")&gt;0,1,0)</f>
        <v>0</v>
      </c>
      <c r="N13">
        <f>IF(COUNTIFS('United Data'!$A$3:$A$2150,N$1,'United Data'!$C$3:$C$2150,$A13,'United Data'!$B$3:$B$2150,"&lt;&gt;P")&gt;0,1,0)</f>
        <v>0</v>
      </c>
      <c r="O13">
        <f>IF(COUNTIFS('United Data'!$A$3:$A$2150,O$1,'United Data'!$C$3:$C$2150,$A13,'United Data'!$B$3:$B$2150,"&lt;&gt;P")&gt;0,1,0)</f>
        <v>0</v>
      </c>
      <c r="P13">
        <f>IF(COUNTIFS('United Data'!$A$3:$A$2150,P$1,'United Data'!$C$3:$C$2150,$A13,'United Data'!$B$3:$B$2150,"&lt;&gt;P")&gt;0,1,0)</f>
        <v>1</v>
      </c>
      <c r="Q13">
        <f>IF(COUNTIFS('United Data'!$A$3:$A$2150,Q$1,'United Data'!$C$3:$C$2150,$A13,'United Data'!$B$3:$B$2150,"&lt;&gt;P")&gt;0,1,0)</f>
        <v>0</v>
      </c>
      <c r="R13">
        <f>IF(COUNTIFS('United Data'!$A$3:$A$2150,R$1,'United Data'!$C$3:$C$2150,$A13,'United Data'!$B$3:$B$2150,"&lt;&gt;P")&gt;0,1,0)</f>
        <v>0</v>
      </c>
      <c r="S13">
        <f t="shared" si="0"/>
        <v>2</v>
      </c>
      <c r="T13">
        <f t="shared" si="1"/>
        <v>2</v>
      </c>
    </row>
    <row r="14" spans="1:20" x14ac:dyDescent="0.2">
      <c r="A14" t="s">
        <v>58</v>
      </c>
      <c r="B14">
        <f>IF(COUNTIFS('United Data'!$A$3:$A$2150,B$1,'United Data'!$C$3:$C$2150,$A14,'United Data'!$B$3:$B$2150,"&lt;&gt;P")&gt;0,1,0)</f>
        <v>0</v>
      </c>
      <c r="C14">
        <f>IF(COUNTIFS('United Data'!$A$3:$A$2150,C$1,'United Data'!$C$3:$C$2150,$A14,'United Data'!$B$3:$B$2150,"&lt;&gt;P")&gt;0,1,0)</f>
        <v>0</v>
      </c>
      <c r="D14">
        <f>IF(COUNTIFS('United Data'!$A$3:$A$2150,D$1,'United Data'!$C$3:$C$2150,$A14,'United Data'!$B$3:$B$2150,"&lt;&gt;P")&gt;0,1,0)</f>
        <v>0</v>
      </c>
      <c r="E14">
        <f>IF(COUNTIFS('United Data'!$A$3:$A$2150,E$1,'United Data'!$C$3:$C$2150,$A14,'United Data'!$B$3:$B$2150,"&lt;&gt;P")&gt;0,1,0)</f>
        <v>0</v>
      </c>
      <c r="F14">
        <f>IF(COUNTIFS('United Data'!$A$3:$A$2150,F$1,'United Data'!$C$3:$C$2150,$A14,'United Data'!$B$3:$B$2150,"&lt;&gt;P")&gt;0,1,0)</f>
        <v>0</v>
      </c>
      <c r="G14">
        <f>IF(COUNTIFS('United Data'!$A$3:$A$2150,G$1,'United Data'!$C$3:$C$2150,$A14,'United Data'!$B$3:$B$2150,"&lt;&gt;P")&gt;0,1,0)</f>
        <v>0</v>
      </c>
      <c r="H14">
        <f>IF(COUNTIFS('United Data'!$A$3:$A$2150,H$1,'United Data'!$C$3:$C$2150,$A14,'United Data'!$B$3:$B$2150,"&lt;&gt;P")&gt;0,1,0)</f>
        <v>0</v>
      </c>
      <c r="I14">
        <f>IF(COUNTIFS('United Data'!$A$3:$A$2150,I$1,'United Data'!$C$3:$C$2150,$A14,'United Data'!$B$3:$B$2150,"&lt;&gt;P")&gt;0,1,0)</f>
        <v>0</v>
      </c>
      <c r="J14">
        <f>IF(COUNTIFS('United Data'!$A$3:$A$2150,J$1,'United Data'!$C$3:$C$2150,$A14,'United Data'!$B$3:$B$2150,"&lt;&gt;P")&gt;0,1,0)</f>
        <v>0</v>
      </c>
      <c r="K14">
        <f>IF(COUNTIFS('United Data'!$A$3:$A$2150,K$1,'United Data'!$C$3:$C$2150,$A14,'United Data'!$B$3:$B$2150,"&lt;&gt;P")&gt;0,1,0)</f>
        <v>0</v>
      </c>
      <c r="L14">
        <f>IF(COUNTIFS('United Data'!$A$3:$A$2150,L$1,'United Data'!$C$3:$C$2150,$A14,'United Data'!$B$3:$B$2150,"&lt;&gt;P")&gt;0,1,0)</f>
        <v>1</v>
      </c>
      <c r="M14">
        <f>IF(COUNTIFS('United Data'!$A$3:$A$2150,M$1,'United Data'!$C$3:$C$2150,$A14,'United Data'!$B$3:$B$2150,"&lt;&gt;P")&gt;0,1,0)</f>
        <v>0</v>
      </c>
      <c r="N14">
        <f>IF(COUNTIFS('United Data'!$A$3:$A$2150,N$1,'United Data'!$C$3:$C$2150,$A14,'United Data'!$B$3:$B$2150,"&lt;&gt;P")&gt;0,1,0)</f>
        <v>0</v>
      </c>
      <c r="O14">
        <f>IF(COUNTIFS('United Data'!$A$3:$A$2150,O$1,'United Data'!$C$3:$C$2150,$A14,'United Data'!$B$3:$B$2150,"&lt;&gt;P")&gt;0,1,0)</f>
        <v>0</v>
      </c>
      <c r="P14">
        <f>IF(COUNTIFS('United Data'!$A$3:$A$2150,P$1,'United Data'!$C$3:$C$2150,$A14,'United Data'!$B$3:$B$2150,"&lt;&gt;P")&gt;0,1,0)</f>
        <v>0</v>
      </c>
      <c r="Q14">
        <f>IF(COUNTIFS('United Data'!$A$3:$A$2150,Q$1,'United Data'!$C$3:$C$2150,$A14,'United Data'!$B$3:$B$2150,"&lt;&gt;P")&gt;0,1,0)</f>
        <v>0</v>
      </c>
      <c r="R14">
        <f>IF(COUNTIFS('United Data'!$A$3:$A$2150,R$1,'United Data'!$C$3:$C$2150,$A14,'United Data'!$B$3:$B$2150,"&lt;&gt;P")&gt;0,1,0)</f>
        <v>0</v>
      </c>
      <c r="S14">
        <f t="shared" si="0"/>
        <v>1</v>
      </c>
      <c r="T14">
        <f t="shared" si="1"/>
        <v>1</v>
      </c>
    </row>
    <row r="15" spans="1:20" x14ac:dyDescent="0.2">
      <c r="A15" t="s">
        <v>59</v>
      </c>
      <c r="B15">
        <f>IF(COUNTIFS('United Data'!$A$3:$A$2150,B$1,'United Data'!$C$3:$C$2150,$A15,'United Data'!$B$3:$B$2150,"&lt;&gt;P")&gt;0,1,0)</f>
        <v>0</v>
      </c>
      <c r="C15">
        <f>IF(COUNTIFS('United Data'!$A$3:$A$2150,C$1,'United Data'!$C$3:$C$2150,$A15,'United Data'!$B$3:$B$2150,"&lt;&gt;P")&gt;0,1,0)</f>
        <v>0</v>
      </c>
      <c r="D15">
        <f>IF(COUNTIFS('United Data'!$A$3:$A$2150,D$1,'United Data'!$C$3:$C$2150,$A15,'United Data'!$B$3:$B$2150,"&lt;&gt;P")&gt;0,1,0)</f>
        <v>0</v>
      </c>
      <c r="E15">
        <f>IF(COUNTIFS('United Data'!$A$3:$A$2150,E$1,'United Data'!$C$3:$C$2150,$A15,'United Data'!$B$3:$B$2150,"&lt;&gt;P")&gt;0,1,0)</f>
        <v>0</v>
      </c>
      <c r="F15">
        <f>IF(COUNTIFS('United Data'!$A$3:$A$2150,F$1,'United Data'!$C$3:$C$2150,$A15,'United Data'!$B$3:$B$2150,"&lt;&gt;P")&gt;0,1,0)</f>
        <v>0</v>
      </c>
      <c r="G15">
        <f>IF(COUNTIFS('United Data'!$A$3:$A$2150,G$1,'United Data'!$C$3:$C$2150,$A15,'United Data'!$B$3:$B$2150,"&lt;&gt;P")&gt;0,1,0)</f>
        <v>0</v>
      </c>
      <c r="H15">
        <f>IF(COUNTIFS('United Data'!$A$3:$A$2150,H$1,'United Data'!$C$3:$C$2150,$A15,'United Data'!$B$3:$B$2150,"&lt;&gt;P")&gt;0,1,0)</f>
        <v>0</v>
      </c>
      <c r="I15">
        <f>IF(COUNTIFS('United Data'!$A$3:$A$2150,I$1,'United Data'!$C$3:$C$2150,$A15,'United Data'!$B$3:$B$2150,"&lt;&gt;P")&gt;0,1,0)</f>
        <v>0</v>
      </c>
      <c r="J15">
        <f>IF(COUNTIFS('United Data'!$A$3:$A$2150,J$1,'United Data'!$C$3:$C$2150,$A15,'United Data'!$B$3:$B$2150,"&lt;&gt;P")&gt;0,1,0)</f>
        <v>0</v>
      </c>
      <c r="K15">
        <f>IF(COUNTIFS('United Data'!$A$3:$A$2150,K$1,'United Data'!$C$3:$C$2150,$A15,'United Data'!$B$3:$B$2150,"&lt;&gt;P")&gt;0,1,0)</f>
        <v>0</v>
      </c>
      <c r="L15">
        <f>IF(COUNTIFS('United Data'!$A$3:$A$2150,L$1,'United Data'!$C$3:$C$2150,$A15,'United Data'!$B$3:$B$2150,"&lt;&gt;P")&gt;0,1,0)</f>
        <v>0</v>
      </c>
      <c r="M15">
        <f>IF(COUNTIFS('United Data'!$A$3:$A$2150,M$1,'United Data'!$C$3:$C$2150,$A15,'United Data'!$B$3:$B$2150,"&lt;&gt;P")&gt;0,1,0)</f>
        <v>0</v>
      </c>
      <c r="N15">
        <f>IF(COUNTIFS('United Data'!$A$3:$A$2150,N$1,'United Data'!$C$3:$C$2150,$A15,'United Data'!$B$3:$B$2150,"&lt;&gt;P")&gt;0,1,0)</f>
        <v>0</v>
      </c>
      <c r="O15">
        <f>IF(COUNTIFS('United Data'!$A$3:$A$2150,O$1,'United Data'!$C$3:$C$2150,$A15,'United Data'!$B$3:$B$2150,"&lt;&gt;P")&gt;0,1,0)</f>
        <v>0</v>
      </c>
      <c r="P15">
        <f>IF(COUNTIFS('United Data'!$A$3:$A$2150,P$1,'United Data'!$C$3:$C$2150,$A15,'United Data'!$B$3:$B$2150,"&lt;&gt;P")&gt;0,1,0)</f>
        <v>0</v>
      </c>
      <c r="Q15">
        <f>IF(COUNTIFS('United Data'!$A$3:$A$2150,Q$1,'United Data'!$C$3:$C$2150,$A15,'United Data'!$B$3:$B$2150,"&lt;&gt;P")&gt;0,1,0)</f>
        <v>1</v>
      </c>
      <c r="R15">
        <f>IF(COUNTIFS('United Data'!$A$3:$A$2150,R$1,'United Data'!$C$3:$C$2150,$A15,'United Data'!$B$3:$B$2150,"&lt;&gt;P")&gt;0,1,0)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60</v>
      </c>
      <c r="B16">
        <f>IF(COUNTIFS('United Data'!$A$3:$A$2150,B$1,'United Data'!$C$3:$C$2150,$A16,'United Data'!$B$3:$B$2150,"&lt;&gt;P")&gt;0,1,0)</f>
        <v>0</v>
      </c>
      <c r="C16">
        <f>IF(COUNTIFS('United Data'!$A$3:$A$2150,C$1,'United Data'!$C$3:$C$2150,$A16,'United Data'!$B$3:$B$2150,"&lt;&gt;P")&gt;0,1,0)</f>
        <v>0</v>
      </c>
      <c r="D16">
        <f>IF(COUNTIFS('United Data'!$A$3:$A$2150,D$1,'United Data'!$C$3:$C$2150,$A16,'United Data'!$B$3:$B$2150,"&lt;&gt;P")&gt;0,1,0)</f>
        <v>0</v>
      </c>
      <c r="E16">
        <f>IF(COUNTIFS('United Data'!$A$3:$A$2150,E$1,'United Data'!$C$3:$C$2150,$A16,'United Data'!$B$3:$B$2150,"&lt;&gt;P")&gt;0,1,0)</f>
        <v>0</v>
      </c>
      <c r="F16">
        <f>IF(COUNTIFS('United Data'!$A$3:$A$2150,F$1,'United Data'!$C$3:$C$2150,$A16,'United Data'!$B$3:$B$2150,"&lt;&gt;P")&gt;0,1,0)</f>
        <v>0</v>
      </c>
      <c r="G16">
        <f>IF(COUNTIFS('United Data'!$A$3:$A$2150,G$1,'United Data'!$C$3:$C$2150,$A16,'United Data'!$B$3:$B$2150,"&lt;&gt;P")&gt;0,1,0)</f>
        <v>0</v>
      </c>
      <c r="H16">
        <f>IF(COUNTIFS('United Data'!$A$3:$A$2150,H$1,'United Data'!$C$3:$C$2150,$A16,'United Data'!$B$3:$B$2150,"&lt;&gt;P")&gt;0,1,0)</f>
        <v>0</v>
      </c>
      <c r="I16">
        <f>IF(COUNTIFS('United Data'!$A$3:$A$2150,I$1,'United Data'!$C$3:$C$2150,$A16,'United Data'!$B$3:$B$2150,"&lt;&gt;P")&gt;0,1,0)</f>
        <v>0</v>
      </c>
      <c r="J16">
        <f>IF(COUNTIFS('United Data'!$A$3:$A$2150,J$1,'United Data'!$C$3:$C$2150,$A16,'United Data'!$B$3:$B$2150,"&lt;&gt;P")&gt;0,1,0)</f>
        <v>0</v>
      </c>
      <c r="K16">
        <f>IF(COUNTIFS('United Data'!$A$3:$A$2150,K$1,'United Data'!$C$3:$C$2150,$A16,'United Data'!$B$3:$B$2150,"&lt;&gt;P")&gt;0,1,0)</f>
        <v>0</v>
      </c>
      <c r="L16">
        <f>IF(COUNTIFS('United Data'!$A$3:$A$2150,L$1,'United Data'!$C$3:$C$2150,$A16,'United Data'!$B$3:$B$2150,"&lt;&gt;P")&gt;0,1,0)</f>
        <v>0</v>
      </c>
      <c r="M16">
        <f>IF(COUNTIFS('United Data'!$A$3:$A$2150,M$1,'United Data'!$C$3:$C$2150,$A16,'United Data'!$B$3:$B$2150,"&lt;&gt;P")&gt;0,1,0)</f>
        <v>0</v>
      </c>
      <c r="N16">
        <f>IF(COUNTIFS('United Data'!$A$3:$A$2150,N$1,'United Data'!$C$3:$C$2150,$A16,'United Data'!$B$3:$B$2150,"&lt;&gt;P")&gt;0,1,0)</f>
        <v>0</v>
      </c>
      <c r="O16">
        <f>IF(COUNTIFS('United Data'!$A$3:$A$2150,O$1,'United Data'!$C$3:$C$2150,$A16,'United Data'!$B$3:$B$2150,"&lt;&gt;P")&gt;0,1,0)</f>
        <v>0</v>
      </c>
      <c r="P16">
        <f>IF(COUNTIFS('United Data'!$A$3:$A$2150,P$1,'United Data'!$C$3:$C$2150,$A16,'United Data'!$B$3:$B$2150,"&lt;&gt;P")&gt;0,1,0)</f>
        <v>0</v>
      </c>
      <c r="Q16">
        <f>IF(COUNTIFS('United Data'!$A$3:$A$2150,Q$1,'United Data'!$C$3:$C$2150,$A16,'United Data'!$B$3:$B$2150,"&lt;&gt;P")&gt;0,1,0)</f>
        <v>1</v>
      </c>
      <c r="R16">
        <f>IF(COUNTIFS('United Data'!$A$3:$A$2150,R$1,'United Data'!$C$3:$C$2150,$A16,'United Data'!$B$3:$B$2150,"&lt;&gt;P")&gt;0,1,0)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61</v>
      </c>
      <c r="B17">
        <f>IF(COUNTIFS('United Data'!$A$3:$A$2150,B$1,'United Data'!$C$3:$C$2150,$A17,'United Data'!$B$3:$B$2150,"&lt;&gt;P")&gt;0,1,0)</f>
        <v>1</v>
      </c>
      <c r="C17">
        <f>IF(COUNTIFS('United Data'!$A$3:$A$2150,C$1,'United Data'!$C$3:$C$2150,$A17,'United Data'!$B$3:$B$2150,"&lt;&gt;P")&gt;0,1,0)</f>
        <v>1</v>
      </c>
      <c r="D17">
        <f>IF(COUNTIFS('United Data'!$A$3:$A$2150,D$1,'United Data'!$C$3:$C$2150,$A17,'United Data'!$B$3:$B$2150,"&lt;&gt;P")&gt;0,1,0)</f>
        <v>1</v>
      </c>
      <c r="E17">
        <f>IF(COUNTIFS('United Data'!$A$3:$A$2150,E$1,'United Data'!$C$3:$C$2150,$A17,'United Data'!$B$3:$B$2150,"&lt;&gt;P")&gt;0,1,0)</f>
        <v>0</v>
      </c>
      <c r="F17">
        <f>IF(COUNTIFS('United Data'!$A$3:$A$2150,F$1,'United Data'!$C$3:$C$2150,$A17,'United Data'!$B$3:$B$2150,"&lt;&gt;P")&gt;0,1,0)</f>
        <v>0</v>
      </c>
      <c r="G17">
        <f>IF(COUNTIFS('United Data'!$A$3:$A$2150,G$1,'United Data'!$C$3:$C$2150,$A17,'United Data'!$B$3:$B$2150,"&lt;&gt;P")&gt;0,1,0)</f>
        <v>0</v>
      </c>
      <c r="H17">
        <f>IF(COUNTIFS('United Data'!$A$3:$A$2150,H$1,'United Data'!$C$3:$C$2150,$A17,'United Data'!$B$3:$B$2150,"&lt;&gt;P")&gt;0,1,0)</f>
        <v>0</v>
      </c>
      <c r="I17">
        <f>IF(COUNTIFS('United Data'!$A$3:$A$2150,I$1,'United Data'!$C$3:$C$2150,$A17,'United Data'!$B$3:$B$2150,"&lt;&gt;P")&gt;0,1,0)</f>
        <v>0</v>
      </c>
      <c r="J17">
        <f>IF(COUNTIFS('United Data'!$A$3:$A$2150,J$1,'United Data'!$C$3:$C$2150,$A17,'United Data'!$B$3:$B$2150,"&lt;&gt;P")&gt;0,1,0)</f>
        <v>0</v>
      </c>
      <c r="K17">
        <f>IF(COUNTIFS('United Data'!$A$3:$A$2150,K$1,'United Data'!$C$3:$C$2150,$A17,'United Data'!$B$3:$B$2150,"&lt;&gt;P")&gt;0,1,0)</f>
        <v>0</v>
      </c>
      <c r="L17">
        <f>IF(COUNTIFS('United Data'!$A$3:$A$2150,L$1,'United Data'!$C$3:$C$2150,$A17,'United Data'!$B$3:$B$2150,"&lt;&gt;P")&gt;0,1,0)</f>
        <v>0</v>
      </c>
      <c r="M17">
        <f>IF(COUNTIFS('United Data'!$A$3:$A$2150,M$1,'United Data'!$C$3:$C$2150,$A17,'United Data'!$B$3:$B$2150,"&lt;&gt;P")&gt;0,1,0)</f>
        <v>0</v>
      </c>
      <c r="N17">
        <f>IF(COUNTIFS('United Data'!$A$3:$A$2150,N$1,'United Data'!$C$3:$C$2150,$A17,'United Data'!$B$3:$B$2150,"&lt;&gt;P")&gt;0,1,0)</f>
        <v>0</v>
      </c>
      <c r="O17">
        <f>IF(COUNTIFS('United Data'!$A$3:$A$2150,O$1,'United Data'!$C$3:$C$2150,$A17,'United Data'!$B$3:$B$2150,"&lt;&gt;P")&gt;0,1,0)</f>
        <v>0</v>
      </c>
      <c r="P17">
        <f>IF(COUNTIFS('United Data'!$A$3:$A$2150,P$1,'United Data'!$C$3:$C$2150,$A17,'United Data'!$B$3:$B$2150,"&lt;&gt;P")&gt;0,1,0)</f>
        <v>0</v>
      </c>
      <c r="Q17">
        <f>IF(COUNTIFS('United Data'!$A$3:$A$2150,Q$1,'United Data'!$C$3:$C$2150,$A17,'United Data'!$B$3:$B$2150,"&lt;&gt;P")&gt;0,1,0)</f>
        <v>0</v>
      </c>
      <c r="R17">
        <f>IF(COUNTIFS('United Data'!$A$3:$A$2150,R$1,'United Data'!$C$3:$C$2150,$A17,'United Data'!$B$3:$B$2150,"&lt;&gt;P")&gt;0,1,0)</f>
        <v>0</v>
      </c>
      <c r="S17">
        <f t="shared" si="0"/>
        <v>3</v>
      </c>
      <c r="T17">
        <f t="shared" si="1"/>
        <v>1</v>
      </c>
    </row>
    <row r="18" spans="1:20" x14ac:dyDescent="0.2">
      <c r="A18" t="s">
        <v>62</v>
      </c>
      <c r="B18">
        <f>IF(COUNTIFS('United Data'!$A$3:$A$2150,B$1,'United Data'!$C$3:$C$2150,$A18,'United Data'!$B$3:$B$2150,"&lt;&gt;P")&gt;0,1,0)</f>
        <v>0</v>
      </c>
      <c r="C18">
        <f>IF(COUNTIFS('United Data'!$A$3:$A$2150,C$1,'United Data'!$C$3:$C$2150,$A18,'United Data'!$B$3:$B$2150,"&lt;&gt;P")&gt;0,1,0)</f>
        <v>1</v>
      </c>
      <c r="D18">
        <f>IF(COUNTIFS('United Data'!$A$3:$A$2150,D$1,'United Data'!$C$3:$C$2150,$A18,'United Data'!$B$3:$B$2150,"&lt;&gt;P")&gt;0,1,0)</f>
        <v>1</v>
      </c>
      <c r="E18">
        <f>IF(COUNTIFS('United Data'!$A$3:$A$2150,E$1,'United Data'!$C$3:$C$2150,$A18,'United Data'!$B$3:$B$2150,"&lt;&gt;P")&gt;0,1,0)</f>
        <v>1</v>
      </c>
      <c r="F18">
        <f>IF(COUNTIFS('United Data'!$A$3:$A$2150,F$1,'United Data'!$C$3:$C$2150,$A18,'United Data'!$B$3:$B$2150,"&lt;&gt;P")&gt;0,1,0)</f>
        <v>0</v>
      </c>
      <c r="G18">
        <f>IF(COUNTIFS('United Data'!$A$3:$A$2150,G$1,'United Data'!$C$3:$C$2150,$A18,'United Data'!$B$3:$B$2150,"&lt;&gt;P")&gt;0,1,0)</f>
        <v>1</v>
      </c>
      <c r="H18">
        <f>IF(COUNTIFS('United Data'!$A$3:$A$2150,H$1,'United Data'!$C$3:$C$2150,$A18,'United Data'!$B$3:$B$2150,"&lt;&gt;P")&gt;0,1,0)</f>
        <v>1</v>
      </c>
      <c r="I18">
        <f>IF(COUNTIFS('United Data'!$A$3:$A$2150,I$1,'United Data'!$C$3:$C$2150,$A18,'United Data'!$B$3:$B$2150,"&lt;&gt;P")&gt;0,1,0)</f>
        <v>1</v>
      </c>
      <c r="J18">
        <f>IF(COUNTIFS('United Data'!$A$3:$A$2150,J$1,'United Data'!$C$3:$C$2150,$A18,'United Data'!$B$3:$B$2150,"&lt;&gt;P")&gt;0,1,0)</f>
        <v>1</v>
      </c>
      <c r="K18">
        <f>IF(COUNTIFS('United Data'!$A$3:$A$2150,K$1,'United Data'!$C$3:$C$2150,$A18,'United Data'!$B$3:$B$2150,"&lt;&gt;P")&gt;0,1,0)</f>
        <v>0</v>
      </c>
      <c r="L18">
        <f>IF(COUNTIFS('United Data'!$A$3:$A$2150,L$1,'United Data'!$C$3:$C$2150,$A18,'United Data'!$B$3:$B$2150,"&lt;&gt;P")&gt;0,1,0)</f>
        <v>1</v>
      </c>
      <c r="M18">
        <f>IF(COUNTIFS('United Data'!$A$3:$A$2150,M$1,'United Data'!$C$3:$C$2150,$A18,'United Data'!$B$3:$B$2150,"&lt;&gt;P")&gt;0,1,0)</f>
        <v>1</v>
      </c>
      <c r="N18">
        <f>IF(COUNTIFS('United Data'!$A$3:$A$2150,N$1,'United Data'!$C$3:$C$2150,$A18,'United Data'!$B$3:$B$2150,"&lt;&gt;P")&gt;0,1,0)</f>
        <v>1</v>
      </c>
      <c r="O18">
        <f>IF(COUNTIFS('United Data'!$A$3:$A$2150,O$1,'United Data'!$C$3:$C$2150,$A18,'United Data'!$B$3:$B$2150,"&lt;&gt;P")&gt;0,1,0)</f>
        <v>1</v>
      </c>
      <c r="P18">
        <f>IF(COUNTIFS('United Data'!$A$3:$A$2150,P$1,'United Data'!$C$3:$C$2150,$A18,'United Data'!$B$3:$B$2150,"&lt;&gt;P")&gt;0,1,0)</f>
        <v>1</v>
      </c>
      <c r="Q18">
        <f>IF(COUNTIFS('United Data'!$A$3:$A$2150,Q$1,'United Data'!$C$3:$C$2150,$A18,'United Data'!$B$3:$B$2150,"&lt;&gt;P")&gt;0,1,0)</f>
        <v>0</v>
      </c>
      <c r="R18">
        <f>IF(COUNTIFS('United Data'!$A$3:$A$2150,R$1,'United Data'!$C$3:$C$2150,$A18,'United Data'!$B$3:$B$2150,"&lt;&gt;P")&gt;0,1,0)</f>
        <v>0</v>
      </c>
      <c r="S18">
        <f t="shared" si="0"/>
        <v>12</v>
      </c>
      <c r="T18">
        <f t="shared" si="1"/>
        <v>3</v>
      </c>
    </row>
    <row r="19" spans="1:20" x14ac:dyDescent="0.2">
      <c r="A19" t="s">
        <v>63</v>
      </c>
      <c r="B19">
        <f>IF(COUNTIFS('United Data'!$A$3:$A$2150,B$1,'United Data'!$C$3:$C$2150,$A19,'United Data'!$B$3:$B$2150,"&lt;&gt;P")&gt;0,1,0)</f>
        <v>0</v>
      </c>
      <c r="C19">
        <f>IF(COUNTIFS('United Data'!$A$3:$A$2150,C$1,'United Data'!$C$3:$C$2150,$A19,'United Data'!$B$3:$B$2150,"&lt;&gt;P")&gt;0,1,0)</f>
        <v>0</v>
      </c>
      <c r="D19">
        <f>IF(COUNTIFS('United Data'!$A$3:$A$2150,D$1,'United Data'!$C$3:$C$2150,$A19,'United Data'!$B$3:$B$2150,"&lt;&gt;P")&gt;0,1,0)</f>
        <v>1</v>
      </c>
      <c r="E19">
        <f>IF(COUNTIFS('United Data'!$A$3:$A$2150,E$1,'United Data'!$C$3:$C$2150,$A19,'United Data'!$B$3:$B$2150,"&lt;&gt;P")&gt;0,1,0)</f>
        <v>0</v>
      </c>
      <c r="F19">
        <f>IF(COUNTIFS('United Data'!$A$3:$A$2150,F$1,'United Data'!$C$3:$C$2150,$A19,'United Data'!$B$3:$B$2150,"&lt;&gt;P")&gt;0,1,0)</f>
        <v>0</v>
      </c>
      <c r="G19">
        <f>IF(COUNTIFS('United Data'!$A$3:$A$2150,G$1,'United Data'!$C$3:$C$2150,$A19,'United Data'!$B$3:$B$2150,"&lt;&gt;P")&gt;0,1,0)</f>
        <v>0</v>
      </c>
      <c r="H19">
        <f>IF(COUNTIFS('United Data'!$A$3:$A$2150,H$1,'United Data'!$C$3:$C$2150,$A19,'United Data'!$B$3:$B$2150,"&lt;&gt;P")&gt;0,1,0)</f>
        <v>0</v>
      </c>
      <c r="I19">
        <f>IF(COUNTIFS('United Data'!$A$3:$A$2150,I$1,'United Data'!$C$3:$C$2150,$A19,'United Data'!$B$3:$B$2150,"&lt;&gt;P")&gt;0,1,0)</f>
        <v>0</v>
      </c>
      <c r="J19">
        <f>IF(COUNTIFS('United Data'!$A$3:$A$2150,J$1,'United Data'!$C$3:$C$2150,$A19,'United Data'!$B$3:$B$2150,"&lt;&gt;P")&gt;0,1,0)</f>
        <v>0</v>
      </c>
      <c r="K19">
        <f>IF(COUNTIFS('United Data'!$A$3:$A$2150,K$1,'United Data'!$C$3:$C$2150,$A19,'United Data'!$B$3:$B$2150,"&lt;&gt;P")&gt;0,1,0)</f>
        <v>0</v>
      </c>
      <c r="L19">
        <f>IF(COUNTIFS('United Data'!$A$3:$A$2150,L$1,'United Data'!$C$3:$C$2150,$A19,'United Data'!$B$3:$B$2150,"&lt;&gt;P")&gt;0,1,0)</f>
        <v>0</v>
      </c>
      <c r="M19">
        <f>IF(COUNTIFS('United Data'!$A$3:$A$2150,M$1,'United Data'!$C$3:$C$2150,$A19,'United Data'!$B$3:$B$2150,"&lt;&gt;P")&gt;0,1,0)</f>
        <v>0</v>
      </c>
      <c r="N19">
        <f>IF(COUNTIFS('United Data'!$A$3:$A$2150,N$1,'United Data'!$C$3:$C$2150,$A19,'United Data'!$B$3:$B$2150,"&lt;&gt;P")&gt;0,1,0)</f>
        <v>0</v>
      </c>
      <c r="O19">
        <f>IF(COUNTIFS('United Data'!$A$3:$A$2150,O$1,'United Data'!$C$3:$C$2150,$A19,'United Data'!$B$3:$B$2150,"&lt;&gt;P")&gt;0,1,0)</f>
        <v>0</v>
      </c>
      <c r="P19">
        <f>IF(COUNTIFS('United Data'!$A$3:$A$2150,P$1,'United Data'!$C$3:$C$2150,$A19,'United Data'!$B$3:$B$2150,"&lt;&gt;P")&gt;0,1,0)</f>
        <v>0</v>
      </c>
      <c r="Q19">
        <f>IF(COUNTIFS('United Data'!$A$3:$A$2150,Q$1,'United Data'!$C$3:$C$2150,$A19,'United Data'!$B$3:$B$2150,"&lt;&gt;P")&gt;0,1,0)</f>
        <v>0</v>
      </c>
      <c r="R19">
        <f>IF(COUNTIFS('United Data'!$A$3:$A$2150,R$1,'United Data'!$C$3:$C$2150,$A19,'United Data'!$B$3:$B$2150,"&lt;&gt;P")&gt;0,1,0)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64</v>
      </c>
      <c r="B20">
        <f>IF(COUNTIFS('United Data'!$A$3:$A$2150,B$1,'United Data'!$C$3:$C$2150,$A20,'United Data'!$B$3:$B$2150,"&lt;&gt;P")&gt;0,1,0)</f>
        <v>0</v>
      </c>
      <c r="C20">
        <f>IF(COUNTIFS('United Data'!$A$3:$A$2150,C$1,'United Data'!$C$3:$C$2150,$A20,'United Data'!$B$3:$B$2150,"&lt;&gt;P")&gt;0,1,0)</f>
        <v>0</v>
      </c>
      <c r="D20">
        <f>IF(COUNTIFS('United Data'!$A$3:$A$2150,D$1,'United Data'!$C$3:$C$2150,$A20,'United Data'!$B$3:$B$2150,"&lt;&gt;P")&gt;0,1,0)</f>
        <v>1</v>
      </c>
      <c r="E20">
        <f>IF(COUNTIFS('United Data'!$A$3:$A$2150,E$1,'United Data'!$C$3:$C$2150,$A20,'United Data'!$B$3:$B$2150,"&lt;&gt;P")&gt;0,1,0)</f>
        <v>1</v>
      </c>
      <c r="F20">
        <f>IF(COUNTIFS('United Data'!$A$3:$A$2150,F$1,'United Data'!$C$3:$C$2150,$A20,'United Data'!$B$3:$B$2150,"&lt;&gt;P")&gt;0,1,0)</f>
        <v>0</v>
      </c>
      <c r="G20">
        <f>IF(COUNTIFS('United Data'!$A$3:$A$2150,G$1,'United Data'!$C$3:$C$2150,$A20,'United Data'!$B$3:$B$2150,"&lt;&gt;P")&gt;0,1,0)</f>
        <v>1</v>
      </c>
      <c r="H20">
        <f>IF(COUNTIFS('United Data'!$A$3:$A$2150,H$1,'United Data'!$C$3:$C$2150,$A20,'United Data'!$B$3:$B$2150,"&lt;&gt;P")&gt;0,1,0)</f>
        <v>0</v>
      </c>
      <c r="I20">
        <f>IF(COUNTIFS('United Data'!$A$3:$A$2150,I$1,'United Data'!$C$3:$C$2150,$A20,'United Data'!$B$3:$B$2150,"&lt;&gt;P")&gt;0,1,0)</f>
        <v>0</v>
      </c>
      <c r="J20">
        <f>IF(COUNTIFS('United Data'!$A$3:$A$2150,J$1,'United Data'!$C$3:$C$2150,$A20,'United Data'!$B$3:$B$2150,"&lt;&gt;P")&gt;0,1,0)</f>
        <v>1</v>
      </c>
      <c r="K20">
        <f>IF(COUNTIFS('United Data'!$A$3:$A$2150,K$1,'United Data'!$C$3:$C$2150,$A20,'United Data'!$B$3:$B$2150,"&lt;&gt;P")&gt;0,1,0)</f>
        <v>1</v>
      </c>
      <c r="L20">
        <f>IF(COUNTIFS('United Data'!$A$3:$A$2150,L$1,'United Data'!$C$3:$C$2150,$A20,'United Data'!$B$3:$B$2150,"&lt;&gt;P")&gt;0,1,0)</f>
        <v>1</v>
      </c>
      <c r="M20">
        <f>IF(COUNTIFS('United Data'!$A$3:$A$2150,M$1,'United Data'!$C$3:$C$2150,$A20,'United Data'!$B$3:$B$2150,"&lt;&gt;P")&gt;0,1,0)</f>
        <v>0</v>
      </c>
      <c r="N20">
        <f>IF(COUNTIFS('United Data'!$A$3:$A$2150,N$1,'United Data'!$C$3:$C$2150,$A20,'United Data'!$B$3:$B$2150,"&lt;&gt;P")&gt;0,1,0)</f>
        <v>0</v>
      </c>
      <c r="O20">
        <f>IF(COUNTIFS('United Data'!$A$3:$A$2150,O$1,'United Data'!$C$3:$C$2150,$A20,'United Data'!$B$3:$B$2150,"&lt;&gt;P")&gt;0,1,0)</f>
        <v>0</v>
      </c>
      <c r="P20">
        <f>IF(COUNTIFS('United Data'!$A$3:$A$2150,P$1,'United Data'!$C$3:$C$2150,$A20,'United Data'!$B$3:$B$2150,"&lt;&gt;P")&gt;0,1,0)</f>
        <v>0</v>
      </c>
      <c r="Q20">
        <f>IF(COUNTIFS('United Data'!$A$3:$A$2150,Q$1,'United Data'!$C$3:$C$2150,$A20,'United Data'!$B$3:$B$2150,"&lt;&gt;P")&gt;0,1,0)</f>
        <v>0</v>
      </c>
      <c r="R20">
        <f>IF(COUNTIFS('United Data'!$A$3:$A$2150,R$1,'United Data'!$C$3:$C$2150,$A20,'United Data'!$B$3:$B$2150,"&lt;&gt;P")&gt;0,1,0)</f>
        <v>0</v>
      </c>
      <c r="S20">
        <f t="shared" si="0"/>
        <v>6</v>
      </c>
      <c r="T20">
        <f t="shared" si="1"/>
        <v>3</v>
      </c>
    </row>
    <row r="21" spans="1:20" x14ac:dyDescent="0.2">
      <c r="A21" t="s">
        <v>65</v>
      </c>
      <c r="B21">
        <f>IF(COUNTIFS('United Data'!$A$3:$A$2150,B$1,'United Data'!$C$3:$C$2150,$A21,'United Data'!$B$3:$B$2150,"&lt;&gt;P")&gt;0,1,0)</f>
        <v>0</v>
      </c>
      <c r="C21">
        <f>IF(COUNTIFS('United Data'!$A$3:$A$2150,C$1,'United Data'!$C$3:$C$2150,$A21,'United Data'!$B$3:$B$2150,"&lt;&gt;P")&gt;0,1,0)</f>
        <v>0</v>
      </c>
      <c r="D21">
        <f>IF(COUNTIFS('United Data'!$A$3:$A$2150,D$1,'United Data'!$C$3:$C$2150,$A21,'United Data'!$B$3:$B$2150,"&lt;&gt;P")&gt;0,1,0)</f>
        <v>1</v>
      </c>
      <c r="E21">
        <f>IF(COUNTIFS('United Data'!$A$3:$A$2150,E$1,'United Data'!$C$3:$C$2150,$A21,'United Data'!$B$3:$B$2150,"&lt;&gt;P")&gt;0,1,0)</f>
        <v>1</v>
      </c>
      <c r="F21">
        <f>IF(COUNTIFS('United Data'!$A$3:$A$2150,F$1,'United Data'!$C$3:$C$2150,$A21,'United Data'!$B$3:$B$2150,"&lt;&gt;P")&gt;0,1,0)</f>
        <v>0</v>
      </c>
      <c r="G21">
        <f>IF(COUNTIFS('United Data'!$A$3:$A$2150,G$1,'United Data'!$C$3:$C$2150,$A21,'United Data'!$B$3:$B$2150,"&lt;&gt;P")&gt;0,1,0)</f>
        <v>1</v>
      </c>
      <c r="H21">
        <f>IF(COUNTIFS('United Data'!$A$3:$A$2150,H$1,'United Data'!$C$3:$C$2150,$A21,'United Data'!$B$3:$B$2150,"&lt;&gt;P")&gt;0,1,0)</f>
        <v>1</v>
      </c>
      <c r="I21">
        <f>IF(COUNTIFS('United Data'!$A$3:$A$2150,I$1,'United Data'!$C$3:$C$2150,$A21,'United Data'!$B$3:$B$2150,"&lt;&gt;P")&gt;0,1,0)</f>
        <v>0</v>
      </c>
      <c r="J21">
        <f>IF(COUNTIFS('United Data'!$A$3:$A$2150,J$1,'United Data'!$C$3:$C$2150,$A21,'United Data'!$B$3:$B$2150,"&lt;&gt;P")&gt;0,1,0)</f>
        <v>1</v>
      </c>
      <c r="K21">
        <f>IF(COUNTIFS('United Data'!$A$3:$A$2150,K$1,'United Data'!$C$3:$C$2150,$A21,'United Data'!$B$3:$B$2150,"&lt;&gt;P")&gt;0,1,0)</f>
        <v>1</v>
      </c>
      <c r="L21">
        <f>IF(COUNTIFS('United Data'!$A$3:$A$2150,L$1,'United Data'!$C$3:$C$2150,$A21,'United Data'!$B$3:$B$2150,"&lt;&gt;P")&gt;0,1,0)</f>
        <v>1</v>
      </c>
      <c r="M21">
        <f>IF(COUNTIFS('United Data'!$A$3:$A$2150,M$1,'United Data'!$C$3:$C$2150,$A21,'United Data'!$B$3:$B$2150,"&lt;&gt;P")&gt;0,1,0)</f>
        <v>1</v>
      </c>
      <c r="N21">
        <f>IF(COUNTIFS('United Data'!$A$3:$A$2150,N$1,'United Data'!$C$3:$C$2150,$A21,'United Data'!$B$3:$B$2150,"&lt;&gt;P")&gt;0,1,0)</f>
        <v>0</v>
      </c>
      <c r="O21">
        <f>IF(COUNTIFS('United Data'!$A$3:$A$2150,O$1,'United Data'!$C$3:$C$2150,$A21,'United Data'!$B$3:$B$2150,"&lt;&gt;P")&gt;0,1,0)</f>
        <v>0</v>
      </c>
      <c r="P21">
        <f>IF(COUNTIFS('United Data'!$A$3:$A$2150,P$1,'United Data'!$C$3:$C$2150,$A21,'United Data'!$B$3:$B$2150,"&lt;&gt;P")&gt;0,1,0)</f>
        <v>0</v>
      </c>
      <c r="Q21">
        <f>IF(COUNTIFS('United Data'!$A$3:$A$2150,Q$1,'United Data'!$C$3:$C$2150,$A21,'United Data'!$B$3:$B$2150,"&lt;&gt;P")&gt;0,1,0)</f>
        <v>0</v>
      </c>
      <c r="R21">
        <f>IF(COUNTIFS('United Data'!$A$3:$A$2150,R$1,'United Data'!$C$3:$C$2150,$A21,'United Data'!$B$3:$B$2150,"&lt;&gt;P")&gt;0,1,0)</f>
        <v>0</v>
      </c>
      <c r="S21">
        <f t="shared" si="0"/>
        <v>8</v>
      </c>
      <c r="T21">
        <f t="shared" si="1"/>
        <v>3</v>
      </c>
    </row>
    <row r="22" spans="1:20" x14ac:dyDescent="0.2">
      <c r="A22" t="s">
        <v>66</v>
      </c>
      <c r="B22">
        <f>IF(COUNTIFS('United Data'!$A$3:$A$2150,B$1,'United Data'!$C$3:$C$2150,$A22,'United Data'!$B$3:$B$2150,"&lt;&gt;P")&gt;0,1,0)</f>
        <v>0</v>
      </c>
      <c r="C22">
        <f>IF(COUNTIFS('United Data'!$A$3:$A$2150,C$1,'United Data'!$C$3:$C$2150,$A22,'United Data'!$B$3:$B$2150,"&lt;&gt;P")&gt;0,1,0)</f>
        <v>0</v>
      </c>
      <c r="D22">
        <f>IF(COUNTIFS('United Data'!$A$3:$A$2150,D$1,'United Data'!$C$3:$C$2150,$A22,'United Data'!$B$3:$B$2150,"&lt;&gt;P")&gt;0,1,0)</f>
        <v>1</v>
      </c>
      <c r="E22">
        <f>IF(COUNTIFS('United Data'!$A$3:$A$2150,E$1,'United Data'!$C$3:$C$2150,$A22,'United Data'!$B$3:$B$2150,"&lt;&gt;P")&gt;0,1,0)</f>
        <v>0</v>
      </c>
      <c r="F22">
        <f>IF(COUNTIFS('United Data'!$A$3:$A$2150,F$1,'United Data'!$C$3:$C$2150,$A22,'United Data'!$B$3:$B$2150,"&lt;&gt;P")&gt;0,1,0)</f>
        <v>1</v>
      </c>
      <c r="G22">
        <f>IF(COUNTIFS('United Data'!$A$3:$A$2150,G$1,'United Data'!$C$3:$C$2150,$A22,'United Data'!$B$3:$B$2150,"&lt;&gt;P")&gt;0,1,0)</f>
        <v>1</v>
      </c>
      <c r="H22">
        <f>IF(COUNTIFS('United Data'!$A$3:$A$2150,H$1,'United Data'!$C$3:$C$2150,$A22,'United Data'!$B$3:$B$2150,"&lt;&gt;P")&gt;0,1,0)</f>
        <v>1</v>
      </c>
      <c r="I22">
        <f>IF(COUNTIFS('United Data'!$A$3:$A$2150,I$1,'United Data'!$C$3:$C$2150,$A22,'United Data'!$B$3:$B$2150,"&lt;&gt;P")&gt;0,1,0)</f>
        <v>1</v>
      </c>
      <c r="J22">
        <f>IF(COUNTIFS('United Data'!$A$3:$A$2150,J$1,'United Data'!$C$3:$C$2150,$A22,'United Data'!$B$3:$B$2150,"&lt;&gt;P")&gt;0,1,0)</f>
        <v>1</v>
      </c>
      <c r="K22">
        <f>IF(COUNTIFS('United Data'!$A$3:$A$2150,K$1,'United Data'!$C$3:$C$2150,$A22,'United Data'!$B$3:$B$2150,"&lt;&gt;P")&gt;0,1,0)</f>
        <v>1</v>
      </c>
      <c r="L22">
        <f>IF(COUNTIFS('United Data'!$A$3:$A$2150,L$1,'United Data'!$C$3:$C$2150,$A22,'United Data'!$B$3:$B$2150,"&lt;&gt;P")&gt;0,1,0)</f>
        <v>1</v>
      </c>
      <c r="M22">
        <f>IF(COUNTIFS('United Data'!$A$3:$A$2150,M$1,'United Data'!$C$3:$C$2150,$A22,'United Data'!$B$3:$B$2150,"&lt;&gt;P")&gt;0,1,0)</f>
        <v>0</v>
      </c>
      <c r="N22">
        <f>IF(COUNTIFS('United Data'!$A$3:$A$2150,N$1,'United Data'!$C$3:$C$2150,$A22,'United Data'!$B$3:$B$2150,"&lt;&gt;P")&gt;0,1,0)</f>
        <v>0</v>
      </c>
      <c r="O22">
        <f>IF(COUNTIFS('United Data'!$A$3:$A$2150,O$1,'United Data'!$C$3:$C$2150,$A22,'United Data'!$B$3:$B$2150,"&lt;&gt;P")&gt;0,1,0)</f>
        <v>0</v>
      </c>
      <c r="P22">
        <f>IF(COUNTIFS('United Data'!$A$3:$A$2150,P$1,'United Data'!$C$3:$C$2150,$A22,'United Data'!$B$3:$B$2150,"&lt;&gt;P")&gt;0,1,0)</f>
        <v>0</v>
      </c>
      <c r="Q22">
        <f>IF(COUNTIFS('United Data'!$A$3:$A$2150,Q$1,'United Data'!$C$3:$C$2150,$A22,'United Data'!$B$3:$B$2150,"&lt;&gt;P")&gt;0,1,0)</f>
        <v>0</v>
      </c>
      <c r="R22">
        <f>IF(COUNTIFS('United Data'!$A$3:$A$2150,R$1,'United Data'!$C$3:$C$2150,$A22,'United Data'!$B$3:$B$2150,"&lt;&gt;P")&gt;0,1,0)</f>
        <v>0</v>
      </c>
      <c r="S22">
        <f t="shared" si="0"/>
        <v>8</v>
      </c>
      <c r="T22">
        <f t="shared" si="1"/>
        <v>2</v>
      </c>
    </row>
    <row r="23" spans="1:20" x14ac:dyDescent="0.2">
      <c r="A23" t="s">
        <v>67</v>
      </c>
      <c r="B23">
        <f>IF(COUNTIFS('United Data'!$A$3:$A$2150,B$1,'United Data'!$C$3:$C$2150,$A23,'United Data'!$B$3:$B$2150,"&lt;&gt;P")&gt;0,1,0)</f>
        <v>0</v>
      </c>
      <c r="C23">
        <f>IF(COUNTIFS('United Data'!$A$3:$A$2150,C$1,'United Data'!$C$3:$C$2150,$A23,'United Data'!$B$3:$B$2150,"&lt;&gt;P")&gt;0,1,0)</f>
        <v>0</v>
      </c>
      <c r="D23">
        <f>IF(COUNTIFS('United Data'!$A$3:$A$2150,D$1,'United Data'!$C$3:$C$2150,$A23,'United Data'!$B$3:$B$2150,"&lt;&gt;P")&gt;0,1,0)</f>
        <v>1</v>
      </c>
      <c r="E23">
        <f>IF(COUNTIFS('United Data'!$A$3:$A$2150,E$1,'United Data'!$C$3:$C$2150,$A23,'United Data'!$B$3:$B$2150,"&lt;&gt;P")&gt;0,1,0)</f>
        <v>1</v>
      </c>
      <c r="F23">
        <f>IF(COUNTIFS('United Data'!$A$3:$A$2150,F$1,'United Data'!$C$3:$C$2150,$A23,'United Data'!$B$3:$B$2150,"&lt;&gt;P")&gt;0,1,0)</f>
        <v>1</v>
      </c>
      <c r="G23">
        <f>IF(COUNTIFS('United Data'!$A$3:$A$2150,G$1,'United Data'!$C$3:$C$2150,$A23,'United Data'!$B$3:$B$2150,"&lt;&gt;P")&gt;0,1,0)</f>
        <v>1</v>
      </c>
      <c r="H23">
        <f>IF(COUNTIFS('United Data'!$A$3:$A$2150,H$1,'United Data'!$C$3:$C$2150,$A23,'United Data'!$B$3:$B$2150,"&lt;&gt;P")&gt;0,1,0)</f>
        <v>1</v>
      </c>
      <c r="I23">
        <f>IF(COUNTIFS('United Data'!$A$3:$A$2150,I$1,'United Data'!$C$3:$C$2150,$A23,'United Data'!$B$3:$B$2150,"&lt;&gt;P")&gt;0,1,0)</f>
        <v>1</v>
      </c>
      <c r="J23">
        <f>IF(COUNTIFS('United Data'!$A$3:$A$2150,J$1,'United Data'!$C$3:$C$2150,$A23,'United Data'!$B$3:$B$2150,"&lt;&gt;P")&gt;0,1,0)</f>
        <v>1</v>
      </c>
      <c r="K23">
        <f>IF(COUNTIFS('United Data'!$A$3:$A$2150,K$1,'United Data'!$C$3:$C$2150,$A23,'United Data'!$B$3:$B$2150,"&lt;&gt;P")&gt;0,1,0)</f>
        <v>1</v>
      </c>
      <c r="L23">
        <f>IF(COUNTIFS('United Data'!$A$3:$A$2150,L$1,'United Data'!$C$3:$C$2150,$A23,'United Data'!$B$3:$B$2150,"&lt;&gt;P")&gt;0,1,0)</f>
        <v>1</v>
      </c>
      <c r="M23">
        <f>IF(COUNTIFS('United Data'!$A$3:$A$2150,M$1,'United Data'!$C$3:$C$2150,$A23,'United Data'!$B$3:$B$2150,"&lt;&gt;P")&gt;0,1,0)</f>
        <v>1</v>
      </c>
      <c r="N23">
        <f>IF(COUNTIFS('United Data'!$A$3:$A$2150,N$1,'United Data'!$C$3:$C$2150,$A23,'United Data'!$B$3:$B$2150,"&lt;&gt;P")&gt;0,1,0)</f>
        <v>0</v>
      </c>
      <c r="O23">
        <f>IF(COUNTIFS('United Data'!$A$3:$A$2150,O$1,'United Data'!$C$3:$C$2150,$A23,'United Data'!$B$3:$B$2150,"&lt;&gt;P")&gt;0,1,0)</f>
        <v>0</v>
      </c>
      <c r="P23">
        <f>IF(COUNTIFS('United Data'!$A$3:$A$2150,P$1,'United Data'!$C$3:$C$2150,$A23,'United Data'!$B$3:$B$2150,"&lt;&gt;P")&gt;0,1,0)</f>
        <v>0</v>
      </c>
      <c r="Q23">
        <f>IF(COUNTIFS('United Data'!$A$3:$A$2150,Q$1,'United Data'!$C$3:$C$2150,$A23,'United Data'!$B$3:$B$2150,"&lt;&gt;P")&gt;0,1,0)</f>
        <v>0</v>
      </c>
      <c r="R23">
        <f>IF(COUNTIFS('United Data'!$A$3:$A$2150,R$1,'United Data'!$C$3:$C$2150,$A23,'United Data'!$B$3:$B$2150,"&lt;&gt;P")&gt;0,1,0)</f>
        <v>0</v>
      </c>
      <c r="S23">
        <f t="shared" si="0"/>
        <v>10</v>
      </c>
      <c r="T23">
        <f t="shared" si="1"/>
        <v>1</v>
      </c>
    </row>
    <row r="24" spans="1:20" x14ac:dyDescent="0.2">
      <c r="A24" t="s">
        <v>68</v>
      </c>
      <c r="B24">
        <f>IF(COUNTIFS('United Data'!$A$3:$A$2150,B$1,'United Data'!$C$3:$C$2150,$A24,'United Data'!$B$3:$B$2150,"&lt;&gt;P")&gt;0,1,0)</f>
        <v>0</v>
      </c>
      <c r="C24">
        <f>IF(COUNTIFS('United Data'!$A$3:$A$2150,C$1,'United Data'!$C$3:$C$2150,$A24,'United Data'!$B$3:$B$2150,"&lt;&gt;P")&gt;0,1,0)</f>
        <v>0</v>
      </c>
      <c r="D24">
        <f>IF(COUNTIFS('United Data'!$A$3:$A$2150,D$1,'United Data'!$C$3:$C$2150,$A24,'United Data'!$B$3:$B$2150,"&lt;&gt;P")&gt;0,1,0)</f>
        <v>1</v>
      </c>
      <c r="E24">
        <f>IF(COUNTIFS('United Data'!$A$3:$A$2150,E$1,'United Data'!$C$3:$C$2150,$A24,'United Data'!$B$3:$B$2150,"&lt;&gt;P")&gt;0,1,0)</f>
        <v>0</v>
      </c>
      <c r="F24">
        <f>IF(COUNTIFS('United Data'!$A$3:$A$2150,F$1,'United Data'!$C$3:$C$2150,$A24,'United Data'!$B$3:$B$2150,"&lt;&gt;P")&gt;0,1,0)</f>
        <v>0</v>
      </c>
      <c r="G24">
        <f>IF(COUNTIFS('United Data'!$A$3:$A$2150,G$1,'United Data'!$C$3:$C$2150,$A24,'United Data'!$B$3:$B$2150,"&lt;&gt;P")&gt;0,1,0)</f>
        <v>0</v>
      </c>
      <c r="H24">
        <f>IF(COUNTIFS('United Data'!$A$3:$A$2150,H$1,'United Data'!$C$3:$C$2150,$A24,'United Data'!$B$3:$B$2150,"&lt;&gt;P")&gt;0,1,0)</f>
        <v>0</v>
      </c>
      <c r="I24">
        <f>IF(COUNTIFS('United Data'!$A$3:$A$2150,I$1,'United Data'!$C$3:$C$2150,$A24,'United Data'!$B$3:$B$2150,"&lt;&gt;P")&gt;0,1,0)</f>
        <v>0</v>
      </c>
      <c r="J24">
        <f>IF(COUNTIFS('United Data'!$A$3:$A$2150,J$1,'United Data'!$C$3:$C$2150,$A24,'United Data'!$B$3:$B$2150,"&lt;&gt;P")&gt;0,1,0)</f>
        <v>0</v>
      </c>
      <c r="K24">
        <f>IF(COUNTIFS('United Data'!$A$3:$A$2150,K$1,'United Data'!$C$3:$C$2150,$A24,'United Data'!$B$3:$B$2150,"&lt;&gt;P")&gt;0,1,0)</f>
        <v>0</v>
      </c>
      <c r="L24">
        <f>IF(COUNTIFS('United Data'!$A$3:$A$2150,L$1,'United Data'!$C$3:$C$2150,$A24,'United Data'!$B$3:$B$2150,"&lt;&gt;P")&gt;0,1,0)</f>
        <v>0</v>
      </c>
      <c r="M24">
        <f>IF(COUNTIFS('United Data'!$A$3:$A$2150,M$1,'United Data'!$C$3:$C$2150,$A24,'United Data'!$B$3:$B$2150,"&lt;&gt;P")&gt;0,1,0)</f>
        <v>0</v>
      </c>
      <c r="N24">
        <f>IF(COUNTIFS('United Data'!$A$3:$A$2150,N$1,'United Data'!$C$3:$C$2150,$A24,'United Data'!$B$3:$B$2150,"&lt;&gt;P")&gt;0,1,0)</f>
        <v>0</v>
      </c>
      <c r="O24">
        <f>IF(COUNTIFS('United Data'!$A$3:$A$2150,O$1,'United Data'!$C$3:$C$2150,$A24,'United Data'!$B$3:$B$2150,"&lt;&gt;P")&gt;0,1,0)</f>
        <v>0</v>
      </c>
      <c r="P24">
        <f>IF(COUNTIFS('United Data'!$A$3:$A$2150,P$1,'United Data'!$C$3:$C$2150,$A24,'United Data'!$B$3:$B$2150,"&lt;&gt;P")&gt;0,1,0)</f>
        <v>0</v>
      </c>
      <c r="Q24">
        <f>IF(COUNTIFS('United Data'!$A$3:$A$2150,Q$1,'United Data'!$C$3:$C$2150,$A24,'United Data'!$B$3:$B$2150,"&lt;&gt;P")&gt;0,1,0)</f>
        <v>0</v>
      </c>
      <c r="R24">
        <f>IF(COUNTIFS('United Data'!$A$3:$A$2150,R$1,'United Data'!$C$3:$C$2150,$A24,'United Data'!$B$3:$B$2150,"&lt;&gt;P")&gt;0,1,0)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69</v>
      </c>
      <c r="B25">
        <f>IF(COUNTIFS('United Data'!$A$3:$A$2150,B$1,'United Data'!$C$3:$C$2150,$A25,'United Data'!$B$3:$B$2150,"&lt;&gt;P")&gt;0,1,0)</f>
        <v>0</v>
      </c>
      <c r="C25">
        <f>IF(COUNTIFS('United Data'!$A$3:$A$2150,C$1,'United Data'!$C$3:$C$2150,$A25,'United Data'!$B$3:$B$2150,"&lt;&gt;P")&gt;0,1,0)</f>
        <v>0</v>
      </c>
      <c r="D25">
        <f>IF(COUNTIFS('United Data'!$A$3:$A$2150,D$1,'United Data'!$C$3:$C$2150,$A25,'United Data'!$B$3:$B$2150,"&lt;&gt;P")&gt;0,1,0)</f>
        <v>1</v>
      </c>
      <c r="E25">
        <f>IF(COUNTIFS('United Data'!$A$3:$A$2150,E$1,'United Data'!$C$3:$C$2150,$A25,'United Data'!$B$3:$B$2150,"&lt;&gt;P")&gt;0,1,0)</f>
        <v>0</v>
      </c>
      <c r="F25">
        <f>IF(COUNTIFS('United Data'!$A$3:$A$2150,F$1,'United Data'!$C$3:$C$2150,$A25,'United Data'!$B$3:$B$2150,"&lt;&gt;P")&gt;0,1,0)</f>
        <v>0</v>
      </c>
      <c r="G25">
        <f>IF(COUNTIFS('United Data'!$A$3:$A$2150,G$1,'United Data'!$C$3:$C$2150,$A25,'United Data'!$B$3:$B$2150,"&lt;&gt;P")&gt;0,1,0)</f>
        <v>0</v>
      </c>
      <c r="H25">
        <f>IF(COUNTIFS('United Data'!$A$3:$A$2150,H$1,'United Data'!$C$3:$C$2150,$A25,'United Data'!$B$3:$B$2150,"&lt;&gt;P")&gt;0,1,0)</f>
        <v>0</v>
      </c>
      <c r="I25">
        <f>IF(COUNTIFS('United Data'!$A$3:$A$2150,I$1,'United Data'!$C$3:$C$2150,$A25,'United Data'!$B$3:$B$2150,"&lt;&gt;P")&gt;0,1,0)</f>
        <v>0</v>
      </c>
      <c r="J25">
        <f>IF(COUNTIFS('United Data'!$A$3:$A$2150,J$1,'United Data'!$C$3:$C$2150,$A25,'United Data'!$B$3:$B$2150,"&lt;&gt;P")&gt;0,1,0)</f>
        <v>0</v>
      </c>
      <c r="K25">
        <f>IF(COUNTIFS('United Data'!$A$3:$A$2150,K$1,'United Data'!$C$3:$C$2150,$A25,'United Data'!$B$3:$B$2150,"&lt;&gt;P")&gt;0,1,0)</f>
        <v>0</v>
      </c>
      <c r="L25">
        <f>IF(COUNTIFS('United Data'!$A$3:$A$2150,L$1,'United Data'!$C$3:$C$2150,$A25,'United Data'!$B$3:$B$2150,"&lt;&gt;P")&gt;0,1,0)</f>
        <v>0</v>
      </c>
      <c r="M25">
        <f>IF(COUNTIFS('United Data'!$A$3:$A$2150,M$1,'United Data'!$C$3:$C$2150,$A25,'United Data'!$B$3:$B$2150,"&lt;&gt;P")&gt;0,1,0)</f>
        <v>0</v>
      </c>
      <c r="N25">
        <f>IF(COUNTIFS('United Data'!$A$3:$A$2150,N$1,'United Data'!$C$3:$C$2150,$A25,'United Data'!$B$3:$B$2150,"&lt;&gt;P")&gt;0,1,0)</f>
        <v>0</v>
      </c>
      <c r="O25">
        <f>IF(COUNTIFS('United Data'!$A$3:$A$2150,O$1,'United Data'!$C$3:$C$2150,$A25,'United Data'!$B$3:$B$2150,"&lt;&gt;P")&gt;0,1,0)</f>
        <v>0</v>
      </c>
      <c r="P25">
        <f>IF(COUNTIFS('United Data'!$A$3:$A$2150,P$1,'United Data'!$C$3:$C$2150,$A25,'United Data'!$B$3:$B$2150,"&lt;&gt;P")&gt;0,1,0)</f>
        <v>0</v>
      </c>
      <c r="Q25">
        <f>IF(COUNTIFS('United Data'!$A$3:$A$2150,Q$1,'United Data'!$C$3:$C$2150,$A25,'United Data'!$B$3:$B$2150,"&lt;&gt;P")&gt;0,1,0)</f>
        <v>0</v>
      </c>
      <c r="R25">
        <f>IF(COUNTIFS('United Data'!$A$3:$A$2150,R$1,'United Data'!$C$3:$C$2150,$A25,'United Data'!$B$3:$B$2150,"&lt;&gt;P")&gt;0,1,0)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70</v>
      </c>
      <c r="B26">
        <f>IF(COUNTIFS('United Data'!$A$3:$A$2150,B$1,'United Data'!$C$3:$C$2150,$A26,'United Data'!$B$3:$B$2150,"&lt;&gt;P")&gt;0,1,0)</f>
        <v>0</v>
      </c>
      <c r="C26">
        <f>IF(COUNTIFS('United Data'!$A$3:$A$2150,C$1,'United Data'!$C$3:$C$2150,$A26,'United Data'!$B$3:$B$2150,"&lt;&gt;P")&gt;0,1,0)</f>
        <v>0</v>
      </c>
      <c r="D26">
        <f>IF(COUNTIFS('United Data'!$A$3:$A$2150,D$1,'United Data'!$C$3:$C$2150,$A26,'United Data'!$B$3:$B$2150,"&lt;&gt;P")&gt;0,1,0)</f>
        <v>1</v>
      </c>
      <c r="E26">
        <f>IF(COUNTIFS('United Data'!$A$3:$A$2150,E$1,'United Data'!$C$3:$C$2150,$A26,'United Data'!$B$3:$B$2150,"&lt;&gt;P")&gt;0,1,0)</f>
        <v>1</v>
      </c>
      <c r="F26">
        <f>IF(COUNTIFS('United Data'!$A$3:$A$2150,F$1,'United Data'!$C$3:$C$2150,$A26,'United Data'!$B$3:$B$2150,"&lt;&gt;P")&gt;0,1,0)</f>
        <v>0</v>
      </c>
      <c r="G26">
        <f>IF(COUNTIFS('United Data'!$A$3:$A$2150,G$1,'United Data'!$C$3:$C$2150,$A26,'United Data'!$B$3:$B$2150,"&lt;&gt;P")&gt;0,1,0)</f>
        <v>1</v>
      </c>
      <c r="H26">
        <f>IF(COUNTIFS('United Data'!$A$3:$A$2150,H$1,'United Data'!$C$3:$C$2150,$A26,'United Data'!$B$3:$B$2150,"&lt;&gt;P")&gt;0,1,0)</f>
        <v>1</v>
      </c>
      <c r="I26">
        <f>IF(COUNTIFS('United Data'!$A$3:$A$2150,I$1,'United Data'!$C$3:$C$2150,$A26,'United Data'!$B$3:$B$2150,"&lt;&gt;P")&gt;0,1,0)</f>
        <v>1</v>
      </c>
      <c r="J26">
        <f>IF(COUNTIFS('United Data'!$A$3:$A$2150,J$1,'United Data'!$C$3:$C$2150,$A26,'United Data'!$B$3:$B$2150,"&lt;&gt;P")&gt;0,1,0)</f>
        <v>1</v>
      </c>
      <c r="K26">
        <f>IF(COUNTIFS('United Data'!$A$3:$A$2150,K$1,'United Data'!$C$3:$C$2150,$A26,'United Data'!$B$3:$B$2150,"&lt;&gt;P")&gt;0,1,0)</f>
        <v>1</v>
      </c>
      <c r="L26">
        <f>IF(COUNTIFS('United Data'!$A$3:$A$2150,L$1,'United Data'!$C$3:$C$2150,$A26,'United Data'!$B$3:$B$2150,"&lt;&gt;P")&gt;0,1,0)</f>
        <v>0</v>
      </c>
      <c r="M26">
        <f>IF(COUNTIFS('United Data'!$A$3:$A$2150,M$1,'United Data'!$C$3:$C$2150,$A26,'United Data'!$B$3:$B$2150,"&lt;&gt;P")&gt;0,1,0)</f>
        <v>0</v>
      </c>
      <c r="N26">
        <f>IF(COUNTIFS('United Data'!$A$3:$A$2150,N$1,'United Data'!$C$3:$C$2150,$A26,'United Data'!$B$3:$B$2150,"&lt;&gt;P")&gt;0,1,0)</f>
        <v>0</v>
      </c>
      <c r="O26">
        <f>IF(COUNTIFS('United Data'!$A$3:$A$2150,O$1,'United Data'!$C$3:$C$2150,$A26,'United Data'!$B$3:$B$2150,"&lt;&gt;P")&gt;0,1,0)</f>
        <v>0</v>
      </c>
      <c r="P26">
        <f>IF(COUNTIFS('United Data'!$A$3:$A$2150,P$1,'United Data'!$C$3:$C$2150,$A26,'United Data'!$B$3:$B$2150,"&lt;&gt;P")&gt;0,1,0)</f>
        <v>0</v>
      </c>
      <c r="Q26">
        <f>IF(COUNTIFS('United Data'!$A$3:$A$2150,Q$1,'United Data'!$C$3:$C$2150,$A26,'United Data'!$B$3:$B$2150,"&lt;&gt;P")&gt;0,1,0)</f>
        <v>0</v>
      </c>
      <c r="R26">
        <f>IF(COUNTIFS('United Data'!$A$3:$A$2150,R$1,'United Data'!$C$3:$C$2150,$A26,'United Data'!$B$3:$B$2150,"&lt;&gt;P")&gt;0,1,0)</f>
        <v>0</v>
      </c>
      <c r="S26">
        <f t="shared" si="0"/>
        <v>7</v>
      </c>
      <c r="T26">
        <f t="shared" si="1"/>
        <v>2</v>
      </c>
    </row>
    <row r="27" spans="1:20" x14ac:dyDescent="0.2">
      <c r="A27" t="s">
        <v>71</v>
      </c>
      <c r="B27">
        <f>IF(COUNTIFS('United Data'!$A$3:$A$2150,B$1,'United Data'!$C$3:$C$2150,$A27,'United Data'!$B$3:$B$2150,"&lt;&gt;P")&gt;0,1,0)</f>
        <v>0</v>
      </c>
      <c r="C27">
        <f>IF(COUNTIFS('United Data'!$A$3:$A$2150,C$1,'United Data'!$C$3:$C$2150,$A27,'United Data'!$B$3:$B$2150,"&lt;&gt;P")&gt;0,1,0)</f>
        <v>0</v>
      </c>
      <c r="D27">
        <f>IF(COUNTIFS('United Data'!$A$3:$A$2150,D$1,'United Data'!$C$3:$C$2150,$A27,'United Data'!$B$3:$B$2150,"&lt;&gt;P")&gt;0,1,0)</f>
        <v>0</v>
      </c>
      <c r="E27">
        <f>IF(COUNTIFS('United Data'!$A$3:$A$2150,E$1,'United Data'!$C$3:$C$2150,$A27,'United Data'!$B$3:$B$2150,"&lt;&gt;P")&gt;0,1,0)</f>
        <v>1</v>
      </c>
      <c r="F27">
        <f>IF(COUNTIFS('United Data'!$A$3:$A$2150,F$1,'United Data'!$C$3:$C$2150,$A27,'United Data'!$B$3:$B$2150,"&lt;&gt;P")&gt;0,1,0)</f>
        <v>0</v>
      </c>
      <c r="G27">
        <f>IF(COUNTIFS('United Data'!$A$3:$A$2150,G$1,'United Data'!$C$3:$C$2150,$A27,'United Data'!$B$3:$B$2150,"&lt;&gt;P")&gt;0,1,0)</f>
        <v>0</v>
      </c>
      <c r="H27">
        <f>IF(COUNTIFS('United Data'!$A$3:$A$2150,H$1,'United Data'!$C$3:$C$2150,$A27,'United Data'!$B$3:$B$2150,"&lt;&gt;P")&gt;0,1,0)</f>
        <v>0</v>
      </c>
      <c r="I27">
        <f>IF(COUNTIFS('United Data'!$A$3:$A$2150,I$1,'United Data'!$C$3:$C$2150,$A27,'United Data'!$B$3:$B$2150,"&lt;&gt;P")&gt;0,1,0)</f>
        <v>0</v>
      </c>
      <c r="J27">
        <f>IF(COUNTIFS('United Data'!$A$3:$A$2150,J$1,'United Data'!$C$3:$C$2150,$A27,'United Data'!$B$3:$B$2150,"&lt;&gt;P")&gt;0,1,0)</f>
        <v>0</v>
      </c>
      <c r="K27">
        <f>IF(COUNTIFS('United Data'!$A$3:$A$2150,K$1,'United Data'!$C$3:$C$2150,$A27,'United Data'!$B$3:$B$2150,"&lt;&gt;P")&gt;0,1,0)</f>
        <v>0</v>
      </c>
      <c r="L27">
        <f>IF(COUNTIFS('United Data'!$A$3:$A$2150,L$1,'United Data'!$C$3:$C$2150,$A27,'United Data'!$B$3:$B$2150,"&lt;&gt;P")&gt;0,1,0)</f>
        <v>0</v>
      </c>
      <c r="M27">
        <f>IF(COUNTIFS('United Data'!$A$3:$A$2150,M$1,'United Data'!$C$3:$C$2150,$A27,'United Data'!$B$3:$B$2150,"&lt;&gt;P")&gt;0,1,0)</f>
        <v>0</v>
      </c>
      <c r="N27">
        <f>IF(COUNTIFS('United Data'!$A$3:$A$2150,N$1,'United Data'!$C$3:$C$2150,$A27,'United Data'!$B$3:$B$2150,"&lt;&gt;P")&gt;0,1,0)</f>
        <v>0</v>
      </c>
      <c r="O27">
        <f>IF(COUNTIFS('United Data'!$A$3:$A$2150,O$1,'United Data'!$C$3:$C$2150,$A27,'United Data'!$B$3:$B$2150,"&lt;&gt;P")&gt;0,1,0)</f>
        <v>0</v>
      </c>
      <c r="P27">
        <f>IF(COUNTIFS('United Data'!$A$3:$A$2150,P$1,'United Data'!$C$3:$C$2150,$A27,'United Data'!$B$3:$B$2150,"&lt;&gt;P")&gt;0,1,0)</f>
        <v>0</v>
      </c>
      <c r="Q27">
        <f>IF(COUNTIFS('United Data'!$A$3:$A$2150,Q$1,'United Data'!$C$3:$C$2150,$A27,'United Data'!$B$3:$B$2150,"&lt;&gt;P")&gt;0,1,0)</f>
        <v>0</v>
      </c>
      <c r="R27">
        <f>IF(COUNTIFS('United Data'!$A$3:$A$2150,R$1,'United Data'!$C$3:$C$2150,$A27,'United Data'!$B$3:$B$2150,"&lt;&gt;P")&gt;0,1,0)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72</v>
      </c>
      <c r="B28">
        <f>IF(COUNTIFS('United Data'!$A$3:$A$2150,B$1,'United Data'!$C$3:$C$2150,$A28,'United Data'!$B$3:$B$2150,"&lt;&gt;P")&gt;0,1,0)</f>
        <v>0</v>
      </c>
      <c r="C28">
        <f>IF(COUNTIFS('United Data'!$A$3:$A$2150,C$1,'United Data'!$C$3:$C$2150,$A28,'United Data'!$B$3:$B$2150,"&lt;&gt;P")&gt;0,1,0)</f>
        <v>0</v>
      </c>
      <c r="D28">
        <f>IF(COUNTIFS('United Data'!$A$3:$A$2150,D$1,'United Data'!$C$3:$C$2150,$A28,'United Data'!$B$3:$B$2150,"&lt;&gt;P")&gt;0,1,0)</f>
        <v>0</v>
      </c>
      <c r="E28">
        <f>IF(COUNTIFS('United Data'!$A$3:$A$2150,E$1,'United Data'!$C$3:$C$2150,$A28,'United Data'!$B$3:$B$2150,"&lt;&gt;P")&gt;0,1,0)</f>
        <v>1</v>
      </c>
      <c r="F28">
        <f>IF(COUNTIFS('United Data'!$A$3:$A$2150,F$1,'United Data'!$C$3:$C$2150,$A28,'United Data'!$B$3:$B$2150,"&lt;&gt;P")&gt;0,1,0)</f>
        <v>0</v>
      </c>
      <c r="G28">
        <f>IF(COUNTIFS('United Data'!$A$3:$A$2150,G$1,'United Data'!$C$3:$C$2150,$A28,'United Data'!$B$3:$B$2150,"&lt;&gt;P")&gt;0,1,0)</f>
        <v>0</v>
      </c>
      <c r="H28">
        <f>IF(COUNTIFS('United Data'!$A$3:$A$2150,H$1,'United Data'!$C$3:$C$2150,$A28,'United Data'!$B$3:$B$2150,"&lt;&gt;P")&gt;0,1,0)</f>
        <v>0</v>
      </c>
      <c r="I28">
        <f>IF(COUNTIFS('United Data'!$A$3:$A$2150,I$1,'United Data'!$C$3:$C$2150,$A28,'United Data'!$B$3:$B$2150,"&lt;&gt;P")&gt;0,1,0)</f>
        <v>0</v>
      </c>
      <c r="J28">
        <f>IF(COUNTIFS('United Data'!$A$3:$A$2150,J$1,'United Data'!$C$3:$C$2150,$A28,'United Data'!$B$3:$B$2150,"&lt;&gt;P")&gt;0,1,0)</f>
        <v>0</v>
      </c>
      <c r="K28">
        <f>IF(COUNTIFS('United Data'!$A$3:$A$2150,K$1,'United Data'!$C$3:$C$2150,$A28,'United Data'!$B$3:$B$2150,"&lt;&gt;P")&gt;0,1,0)</f>
        <v>0</v>
      </c>
      <c r="L28">
        <f>IF(COUNTIFS('United Data'!$A$3:$A$2150,L$1,'United Data'!$C$3:$C$2150,$A28,'United Data'!$B$3:$B$2150,"&lt;&gt;P")&gt;0,1,0)</f>
        <v>0</v>
      </c>
      <c r="M28">
        <f>IF(COUNTIFS('United Data'!$A$3:$A$2150,M$1,'United Data'!$C$3:$C$2150,$A28,'United Data'!$B$3:$B$2150,"&lt;&gt;P")&gt;0,1,0)</f>
        <v>0</v>
      </c>
      <c r="N28">
        <f>IF(COUNTIFS('United Data'!$A$3:$A$2150,N$1,'United Data'!$C$3:$C$2150,$A28,'United Data'!$B$3:$B$2150,"&lt;&gt;P")&gt;0,1,0)</f>
        <v>0</v>
      </c>
      <c r="O28">
        <f>IF(COUNTIFS('United Data'!$A$3:$A$2150,O$1,'United Data'!$C$3:$C$2150,$A28,'United Data'!$B$3:$B$2150,"&lt;&gt;P")&gt;0,1,0)</f>
        <v>0</v>
      </c>
      <c r="P28">
        <f>IF(COUNTIFS('United Data'!$A$3:$A$2150,P$1,'United Data'!$C$3:$C$2150,$A28,'United Data'!$B$3:$B$2150,"&lt;&gt;P")&gt;0,1,0)</f>
        <v>0</v>
      </c>
      <c r="Q28">
        <f>IF(COUNTIFS('United Data'!$A$3:$A$2150,Q$1,'United Data'!$C$3:$C$2150,$A28,'United Data'!$B$3:$B$2150,"&lt;&gt;P")&gt;0,1,0)</f>
        <v>0</v>
      </c>
      <c r="R28">
        <f>IF(COUNTIFS('United Data'!$A$3:$A$2150,R$1,'United Data'!$C$3:$C$2150,$A28,'United Data'!$B$3:$B$2150,"&lt;&gt;P")&gt;0,1,0)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73</v>
      </c>
      <c r="B29">
        <f>IF(COUNTIFS('United Data'!$A$3:$A$2150,B$1,'United Data'!$C$3:$C$2150,$A29,'United Data'!$B$3:$B$2150,"&lt;&gt;P")&gt;0,1,0)</f>
        <v>0</v>
      </c>
      <c r="C29">
        <f>IF(COUNTIFS('United Data'!$A$3:$A$2150,C$1,'United Data'!$C$3:$C$2150,$A29,'United Data'!$B$3:$B$2150,"&lt;&gt;P")&gt;0,1,0)</f>
        <v>0</v>
      </c>
      <c r="D29">
        <f>IF(COUNTIFS('United Data'!$A$3:$A$2150,D$1,'United Data'!$C$3:$C$2150,$A29,'United Data'!$B$3:$B$2150,"&lt;&gt;P")&gt;0,1,0)</f>
        <v>0</v>
      </c>
      <c r="E29">
        <f>IF(COUNTIFS('United Data'!$A$3:$A$2150,E$1,'United Data'!$C$3:$C$2150,$A29,'United Data'!$B$3:$B$2150,"&lt;&gt;P")&gt;0,1,0)</f>
        <v>1</v>
      </c>
      <c r="F29">
        <f>IF(COUNTIFS('United Data'!$A$3:$A$2150,F$1,'United Data'!$C$3:$C$2150,$A29,'United Data'!$B$3:$B$2150,"&lt;&gt;P")&gt;0,1,0)</f>
        <v>0</v>
      </c>
      <c r="G29">
        <f>IF(COUNTIFS('United Data'!$A$3:$A$2150,G$1,'United Data'!$C$3:$C$2150,$A29,'United Data'!$B$3:$B$2150,"&lt;&gt;P")&gt;0,1,0)</f>
        <v>1</v>
      </c>
      <c r="H29">
        <f>IF(COUNTIFS('United Data'!$A$3:$A$2150,H$1,'United Data'!$C$3:$C$2150,$A29,'United Data'!$B$3:$B$2150,"&lt;&gt;P")&gt;0,1,0)</f>
        <v>1</v>
      </c>
      <c r="I29">
        <f>IF(COUNTIFS('United Data'!$A$3:$A$2150,I$1,'United Data'!$C$3:$C$2150,$A29,'United Data'!$B$3:$B$2150,"&lt;&gt;P")&gt;0,1,0)</f>
        <v>1</v>
      </c>
      <c r="J29">
        <f>IF(COUNTIFS('United Data'!$A$3:$A$2150,J$1,'United Data'!$C$3:$C$2150,$A29,'United Data'!$B$3:$B$2150,"&lt;&gt;P")&gt;0,1,0)</f>
        <v>1</v>
      </c>
      <c r="K29">
        <f>IF(COUNTIFS('United Data'!$A$3:$A$2150,K$1,'United Data'!$C$3:$C$2150,$A29,'United Data'!$B$3:$B$2150,"&lt;&gt;P")&gt;0,1,0)</f>
        <v>1</v>
      </c>
      <c r="L29">
        <f>IF(COUNTIFS('United Data'!$A$3:$A$2150,L$1,'United Data'!$C$3:$C$2150,$A29,'United Data'!$B$3:$B$2150,"&lt;&gt;P")&gt;0,1,0)</f>
        <v>1</v>
      </c>
      <c r="M29">
        <f>IF(COUNTIFS('United Data'!$A$3:$A$2150,M$1,'United Data'!$C$3:$C$2150,$A29,'United Data'!$B$3:$B$2150,"&lt;&gt;P")&gt;0,1,0)</f>
        <v>1</v>
      </c>
      <c r="N29">
        <f>IF(COUNTIFS('United Data'!$A$3:$A$2150,N$1,'United Data'!$C$3:$C$2150,$A29,'United Data'!$B$3:$B$2150,"&lt;&gt;P")&gt;0,1,0)</f>
        <v>1</v>
      </c>
      <c r="O29">
        <f>IF(COUNTIFS('United Data'!$A$3:$A$2150,O$1,'United Data'!$C$3:$C$2150,$A29,'United Data'!$B$3:$B$2150,"&lt;&gt;P")&gt;0,1,0)</f>
        <v>1</v>
      </c>
      <c r="P29">
        <f>IF(COUNTIFS('United Data'!$A$3:$A$2150,P$1,'United Data'!$C$3:$C$2150,$A29,'United Data'!$B$3:$B$2150,"&lt;&gt;P")&gt;0,1,0)</f>
        <v>1</v>
      </c>
      <c r="Q29">
        <f>IF(COUNTIFS('United Data'!$A$3:$A$2150,Q$1,'United Data'!$C$3:$C$2150,$A29,'United Data'!$B$3:$B$2150,"&lt;&gt;P")&gt;0,1,0)</f>
        <v>1</v>
      </c>
      <c r="R29">
        <f>IF(COUNTIFS('United Data'!$A$3:$A$2150,R$1,'United Data'!$C$3:$C$2150,$A29,'United Data'!$B$3:$B$2150,"&lt;&gt;P")&gt;0,1,0)</f>
        <v>0</v>
      </c>
      <c r="S29">
        <f t="shared" si="0"/>
        <v>12</v>
      </c>
      <c r="T29">
        <f t="shared" si="1"/>
        <v>2</v>
      </c>
    </row>
    <row r="30" spans="1:20" x14ac:dyDescent="0.2">
      <c r="A30" t="s">
        <v>74</v>
      </c>
      <c r="B30">
        <f>IF(COUNTIFS('United Data'!$A$3:$A$2150,B$1,'United Data'!$C$3:$C$2150,$A30,'United Data'!$B$3:$B$2150,"&lt;&gt;P")&gt;0,1,0)</f>
        <v>0</v>
      </c>
      <c r="C30">
        <f>IF(COUNTIFS('United Data'!$A$3:$A$2150,C$1,'United Data'!$C$3:$C$2150,$A30,'United Data'!$B$3:$B$2150,"&lt;&gt;P")&gt;0,1,0)</f>
        <v>0</v>
      </c>
      <c r="D30">
        <f>IF(COUNTIFS('United Data'!$A$3:$A$2150,D$1,'United Data'!$C$3:$C$2150,$A30,'United Data'!$B$3:$B$2150,"&lt;&gt;P")&gt;0,1,0)</f>
        <v>0</v>
      </c>
      <c r="E30">
        <f>IF(COUNTIFS('United Data'!$A$3:$A$2150,E$1,'United Data'!$C$3:$C$2150,$A30,'United Data'!$B$3:$B$2150,"&lt;&gt;P")&gt;0,1,0)</f>
        <v>1</v>
      </c>
      <c r="F30">
        <f>IF(COUNTIFS('United Data'!$A$3:$A$2150,F$1,'United Data'!$C$3:$C$2150,$A30,'United Data'!$B$3:$B$2150,"&lt;&gt;P")&gt;0,1,0)</f>
        <v>0</v>
      </c>
      <c r="G30">
        <f>IF(COUNTIFS('United Data'!$A$3:$A$2150,G$1,'United Data'!$C$3:$C$2150,$A30,'United Data'!$B$3:$B$2150,"&lt;&gt;P")&gt;0,1,0)</f>
        <v>1</v>
      </c>
      <c r="H30">
        <f>IF(COUNTIFS('United Data'!$A$3:$A$2150,H$1,'United Data'!$C$3:$C$2150,$A30,'United Data'!$B$3:$B$2150,"&lt;&gt;P")&gt;0,1,0)</f>
        <v>0</v>
      </c>
      <c r="I30">
        <f>IF(COUNTIFS('United Data'!$A$3:$A$2150,I$1,'United Data'!$C$3:$C$2150,$A30,'United Data'!$B$3:$B$2150,"&lt;&gt;P")&gt;0,1,0)</f>
        <v>0</v>
      </c>
      <c r="J30">
        <f>IF(COUNTIFS('United Data'!$A$3:$A$2150,J$1,'United Data'!$C$3:$C$2150,$A30,'United Data'!$B$3:$B$2150,"&lt;&gt;P")&gt;0,1,0)</f>
        <v>0</v>
      </c>
      <c r="K30">
        <f>IF(COUNTIFS('United Data'!$A$3:$A$2150,K$1,'United Data'!$C$3:$C$2150,$A30,'United Data'!$B$3:$B$2150,"&lt;&gt;P")&gt;0,1,0)</f>
        <v>0</v>
      </c>
      <c r="L30">
        <f>IF(COUNTIFS('United Data'!$A$3:$A$2150,L$1,'United Data'!$C$3:$C$2150,$A30,'United Data'!$B$3:$B$2150,"&lt;&gt;P")&gt;0,1,0)</f>
        <v>0</v>
      </c>
      <c r="M30">
        <f>IF(COUNTIFS('United Data'!$A$3:$A$2150,M$1,'United Data'!$C$3:$C$2150,$A30,'United Data'!$B$3:$B$2150,"&lt;&gt;P")&gt;0,1,0)</f>
        <v>0</v>
      </c>
      <c r="N30">
        <f>IF(COUNTIFS('United Data'!$A$3:$A$2150,N$1,'United Data'!$C$3:$C$2150,$A30,'United Data'!$B$3:$B$2150,"&lt;&gt;P")&gt;0,1,0)</f>
        <v>0</v>
      </c>
      <c r="O30">
        <f>IF(COUNTIFS('United Data'!$A$3:$A$2150,O$1,'United Data'!$C$3:$C$2150,$A30,'United Data'!$B$3:$B$2150,"&lt;&gt;P")&gt;0,1,0)</f>
        <v>0</v>
      </c>
      <c r="P30">
        <f>IF(COUNTIFS('United Data'!$A$3:$A$2150,P$1,'United Data'!$C$3:$C$2150,$A30,'United Data'!$B$3:$B$2150,"&lt;&gt;P")&gt;0,1,0)</f>
        <v>0</v>
      </c>
      <c r="Q30">
        <f>IF(COUNTIFS('United Data'!$A$3:$A$2150,Q$1,'United Data'!$C$3:$C$2150,$A30,'United Data'!$B$3:$B$2150,"&lt;&gt;P")&gt;0,1,0)</f>
        <v>0</v>
      </c>
      <c r="R30">
        <f>IF(COUNTIFS('United Data'!$A$3:$A$2150,R$1,'United Data'!$C$3:$C$2150,$A30,'United Data'!$B$3:$B$2150,"&lt;&gt;P")&gt;0,1,0)</f>
        <v>0</v>
      </c>
      <c r="S30">
        <f t="shared" si="0"/>
        <v>2</v>
      </c>
      <c r="T30">
        <f t="shared" si="1"/>
        <v>2</v>
      </c>
    </row>
    <row r="31" spans="1:20" x14ac:dyDescent="0.2">
      <c r="A31" t="s">
        <v>75</v>
      </c>
      <c r="B31">
        <f>IF(COUNTIFS('United Data'!$A$3:$A$2150,B$1,'United Data'!$C$3:$C$2150,$A31,'United Data'!$B$3:$B$2150,"&lt;&gt;P")&gt;0,1,0)</f>
        <v>0</v>
      </c>
      <c r="C31">
        <f>IF(COUNTIFS('United Data'!$A$3:$A$2150,C$1,'United Data'!$C$3:$C$2150,$A31,'United Data'!$B$3:$B$2150,"&lt;&gt;P")&gt;0,1,0)</f>
        <v>0</v>
      </c>
      <c r="D31">
        <f>IF(COUNTIFS('United Data'!$A$3:$A$2150,D$1,'United Data'!$C$3:$C$2150,$A31,'United Data'!$B$3:$B$2150,"&lt;&gt;P")&gt;0,1,0)</f>
        <v>0</v>
      </c>
      <c r="E31">
        <f>IF(COUNTIFS('United Data'!$A$3:$A$2150,E$1,'United Data'!$C$3:$C$2150,$A31,'United Data'!$B$3:$B$2150,"&lt;&gt;P")&gt;0,1,0)</f>
        <v>1</v>
      </c>
      <c r="F31">
        <f>IF(COUNTIFS('United Data'!$A$3:$A$2150,F$1,'United Data'!$C$3:$C$2150,$A31,'United Data'!$B$3:$B$2150,"&lt;&gt;P")&gt;0,1,0)</f>
        <v>1</v>
      </c>
      <c r="G31">
        <f>IF(COUNTIFS('United Data'!$A$3:$A$2150,G$1,'United Data'!$C$3:$C$2150,$A31,'United Data'!$B$3:$B$2150,"&lt;&gt;P")&gt;0,1,0)</f>
        <v>1</v>
      </c>
      <c r="H31">
        <f>IF(COUNTIFS('United Data'!$A$3:$A$2150,H$1,'United Data'!$C$3:$C$2150,$A31,'United Data'!$B$3:$B$2150,"&lt;&gt;P")&gt;0,1,0)</f>
        <v>1</v>
      </c>
      <c r="I31">
        <f>IF(COUNTIFS('United Data'!$A$3:$A$2150,I$1,'United Data'!$C$3:$C$2150,$A31,'United Data'!$B$3:$B$2150,"&lt;&gt;P")&gt;0,1,0)</f>
        <v>0</v>
      </c>
      <c r="J31">
        <f>IF(COUNTIFS('United Data'!$A$3:$A$2150,J$1,'United Data'!$C$3:$C$2150,$A31,'United Data'!$B$3:$B$2150,"&lt;&gt;P")&gt;0,1,0)</f>
        <v>0</v>
      </c>
      <c r="K31">
        <f>IF(COUNTIFS('United Data'!$A$3:$A$2150,K$1,'United Data'!$C$3:$C$2150,$A31,'United Data'!$B$3:$B$2150,"&lt;&gt;P")&gt;0,1,0)</f>
        <v>0</v>
      </c>
      <c r="L31">
        <f>IF(COUNTIFS('United Data'!$A$3:$A$2150,L$1,'United Data'!$C$3:$C$2150,$A31,'United Data'!$B$3:$B$2150,"&lt;&gt;P")&gt;0,1,0)</f>
        <v>0</v>
      </c>
      <c r="M31">
        <f>IF(COUNTIFS('United Data'!$A$3:$A$2150,M$1,'United Data'!$C$3:$C$2150,$A31,'United Data'!$B$3:$B$2150,"&lt;&gt;P")&gt;0,1,0)</f>
        <v>0</v>
      </c>
      <c r="N31">
        <f>IF(COUNTIFS('United Data'!$A$3:$A$2150,N$1,'United Data'!$C$3:$C$2150,$A31,'United Data'!$B$3:$B$2150,"&lt;&gt;P")&gt;0,1,0)</f>
        <v>0</v>
      </c>
      <c r="O31">
        <f>IF(COUNTIFS('United Data'!$A$3:$A$2150,O$1,'United Data'!$C$3:$C$2150,$A31,'United Data'!$B$3:$B$2150,"&lt;&gt;P")&gt;0,1,0)</f>
        <v>0</v>
      </c>
      <c r="P31">
        <f>IF(COUNTIFS('United Data'!$A$3:$A$2150,P$1,'United Data'!$C$3:$C$2150,$A31,'United Data'!$B$3:$B$2150,"&lt;&gt;P")&gt;0,1,0)</f>
        <v>0</v>
      </c>
      <c r="Q31">
        <f>IF(COUNTIFS('United Data'!$A$3:$A$2150,Q$1,'United Data'!$C$3:$C$2150,$A31,'United Data'!$B$3:$B$2150,"&lt;&gt;P")&gt;0,1,0)</f>
        <v>0</v>
      </c>
      <c r="R31">
        <f>IF(COUNTIFS('United Data'!$A$3:$A$2150,R$1,'United Data'!$C$3:$C$2150,$A31,'United Data'!$B$3:$B$2150,"&lt;&gt;P")&gt;0,1,0)</f>
        <v>0</v>
      </c>
      <c r="S31">
        <f t="shared" si="0"/>
        <v>4</v>
      </c>
      <c r="T31">
        <f t="shared" si="1"/>
        <v>1</v>
      </c>
    </row>
    <row r="32" spans="1:20" x14ac:dyDescent="0.2">
      <c r="A32" t="s">
        <v>76</v>
      </c>
      <c r="B32">
        <f>IF(COUNTIFS('United Data'!$A$3:$A$2150,B$1,'United Data'!$C$3:$C$2150,$A32,'United Data'!$B$3:$B$2150,"&lt;&gt;P")&gt;0,1,0)</f>
        <v>0</v>
      </c>
      <c r="C32">
        <f>IF(COUNTIFS('United Data'!$A$3:$A$2150,C$1,'United Data'!$C$3:$C$2150,$A32,'United Data'!$B$3:$B$2150,"&lt;&gt;P")&gt;0,1,0)</f>
        <v>0</v>
      </c>
      <c r="D32">
        <f>IF(COUNTIFS('United Data'!$A$3:$A$2150,D$1,'United Data'!$C$3:$C$2150,$A32,'United Data'!$B$3:$B$2150,"&lt;&gt;P")&gt;0,1,0)</f>
        <v>0</v>
      </c>
      <c r="E32">
        <f>IF(COUNTIFS('United Data'!$A$3:$A$2150,E$1,'United Data'!$C$3:$C$2150,$A32,'United Data'!$B$3:$B$2150,"&lt;&gt;P")&gt;0,1,0)</f>
        <v>1</v>
      </c>
      <c r="F32">
        <f>IF(COUNTIFS('United Data'!$A$3:$A$2150,F$1,'United Data'!$C$3:$C$2150,$A32,'United Data'!$B$3:$B$2150,"&lt;&gt;P")&gt;0,1,0)</f>
        <v>0</v>
      </c>
      <c r="G32">
        <f>IF(COUNTIFS('United Data'!$A$3:$A$2150,G$1,'United Data'!$C$3:$C$2150,$A32,'United Data'!$B$3:$B$2150,"&lt;&gt;P")&gt;0,1,0)</f>
        <v>0</v>
      </c>
      <c r="H32">
        <f>IF(COUNTIFS('United Data'!$A$3:$A$2150,H$1,'United Data'!$C$3:$C$2150,$A32,'United Data'!$B$3:$B$2150,"&lt;&gt;P")&gt;0,1,0)</f>
        <v>0</v>
      </c>
      <c r="I32">
        <f>IF(COUNTIFS('United Data'!$A$3:$A$2150,I$1,'United Data'!$C$3:$C$2150,$A32,'United Data'!$B$3:$B$2150,"&lt;&gt;P")&gt;0,1,0)</f>
        <v>0</v>
      </c>
      <c r="J32">
        <f>IF(COUNTIFS('United Data'!$A$3:$A$2150,J$1,'United Data'!$C$3:$C$2150,$A32,'United Data'!$B$3:$B$2150,"&lt;&gt;P")&gt;0,1,0)</f>
        <v>0</v>
      </c>
      <c r="K32">
        <f>IF(COUNTIFS('United Data'!$A$3:$A$2150,K$1,'United Data'!$C$3:$C$2150,$A32,'United Data'!$B$3:$B$2150,"&lt;&gt;P")&gt;0,1,0)</f>
        <v>0</v>
      </c>
      <c r="L32">
        <f>IF(COUNTIFS('United Data'!$A$3:$A$2150,L$1,'United Data'!$C$3:$C$2150,$A32,'United Data'!$B$3:$B$2150,"&lt;&gt;P")&gt;0,1,0)</f>
        <v>0</v>
      </c>
      <c r="M32">
        <f>IF(COUNTIFS('United Data'!$A$3:$A$2150,M$1,'United Data'!$C$3:$C$2150,$A32,'United Data'!$B$3:$B$2150,"&lt;&gt;P")&gt;0,1,0)</f>
        <v>0</v>
      </c>
      <c r="N32">
        <f>IF(COUNTIFS('United Data'!$A$3:$A$2150,N$1,'United Data'!$C$3:$C$2150,$A32,'United Data'!$B$3:$B$2150,"&lt;&gt;P")&gt;0,1,0)</f>
        <v>0</v>
      </c>
      <c r="O32">
        <f>IF(COUNTIFS('United Data'!$A$3:$A$2150,O$1,'United Data'!$C$3:$C$2150,$A32,'United Data'!$B$3:$B$2150,"&lt;&gt;P")&gt;0,1,0)</f>
        <v>0</v>
      </c>
      <c r="P32">
        <f>IF(COUNTIFS('United Data'!$A$3:$A$2150,P$1,'United Data'!$C$3:$C$2150,$A32,'United Data'!$B$3:$B$2150,"&lt;&gt;P")&gt;0,1,0)</f>
        <v>0</v>
      </c>
      <c r="Q32">
        <f>IF(COUNTIFS('United Data'!$A$3:$A$2150,Q$1,'United Data'!$C$3:$C$2150,$A32,'United Data'!$B$3:$B$2150,"&lt;&gt;P")&gt;0,1,0)</f>
        <v>0</v>
      </c>
      <c r="R32">
        <f>IF(COUNTIFS('United Data'!$A$3:$A$2150,R$1,'United Data'!$C$3:$C$2150,$A32,'United Data'!$B$3:$B$2150,"&lt;&gt;P")&gt;0,1,0)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77</v>
      </c>
      <c r="B33">
        <f>IF(COUNTIFS('United Data'!$A$3:$A$2150,B$1,'United Data'!$C$3:$C$2150,$A33,'United Data'!$B$3:$B$2150,"&lt;&gt;P")&gt;0,1,0)</f>
        <v>0</v>
      </c>
      <c r="C33">
        <f>IF(COUNTIFS('United Data'!$A$3:$A$2150,C$1,'United Data'!$C$3:$C$2150,$A33,'United Data'!$B$3:$B$2150,"&lt;&gt;P")&gt;0,1,0)</f>
        <v>0</v>
      </c>
      <c r="D33">
        <f>IF(COUNTIFS('United Data'!$A$3:$A$2150,D$1,'United Data'!$C$3:$C$2150,$A33,'United Data'!$B$3:$B$2150,"&lt;&gt;P")&gt;0,1,0)</f>
        <v>0</v>
      </c>
      <c r="E33">
        <f>IF(COUNTIFS('United Data'!$A$3:$A$2150,E$1,'United Data'!$C$3:$C$2150,$A33,'United Data'!$B$3:$B$2150,"&lt;&gt;P")&gt;0,1,0)</f>
        <v>1</v>
      </c>
      <c r="F33">
        <f>IF(COUNTIFS('United Data'!$A$3:$A$2150,F$1,'United Data'!$C$3:$C$2150,$A33,'United Data'!$B$3:$B$2150,"&lt;&gt;P")&gt;0,1,0)</f>
        <v>0</v>
      </c>
      <c r="G33">
        <f>IF(COUNTIFS('United Data'!$A$3:$A$2150,G$1,'United Data'!$C$3:$C$2150,$A33,'United Data'!$B$3:$B$2150,"&lt;&gt;P")&gt;0,1,0)</f>
        <v>0</v>
      </c>
      <c r="H33">
        <f>IF(COUNTIFS('United Data'!$A$3:$A$2150,H$1,'United Data'!$C$3:$C$2150,$A33,'United Data'!$B$3:$B$2150,"&lt;&gt;P")&gt;0,1,0)</f>
        <v>0</v>
      </c>
      <c r="I33">
        <f>IF(COUNTIFS('United Data'!$A$3:$A$2150,I$1,'United Data'!$C$3:$C$2150,$A33,'United Data'!$B$3:$B$2150,"&lt;&gt;P")&gt;0,1,0)</f>
        <v>0</v>
      </c>
      <c r="J33">
        <f>IF(COUNTIFS('United Data'!$A$3:$A$2150,J$1,'United Data'!$C$3:$C$2150,$A33,'United Data'!$B$3:$B$2150,"&lt;&gt;P")&gt;0,1,0)</f>
        <v>0</v>
      </c>
      <c r="K33">
        <f>IF(COUNTIFS('United Data'!$A$3:$A$2150,K$1,'United Data'!$C$3:$C$2150,$A33,'United Data'!$B$3:$B$2150,"&lt;&gt;P")&gt;0,1,0)</f>
        <v>0</v>
      </c>
      <c r="L33">
        <f>IF(COUNTIFS('United Data'!$A$3:$A$2150,L$1,'United Data'!$C$3:$C$2150,$A33,'United Data'!$B$3:$B$2150,"&lt;&gt;P")&gt;0,1,0)</f>
        <v>0</v>
      </c>
      <c r="M33">
        <f>IF(COUNTIFS('United Data'!$A$3:$A$2150,M$1,'United Data'!$C$3:$C$2150,$A33,'United Data'!$B$3:$B$2150,"&lt;&gt;P")&gt;0,1,0)</f>
        <v>0</v>
      </c>
      <c r="N33">
        <f>IF(COUNTIFS('United Data'!$A$3:$A$2150,N$1,'United Data'!$C$3:$C$2150,$A33,'United Data'!$B$3:$B$2150,"&lt;&gt;P")&gt;0,1,0)</f>
        <v>0</v>
      </c>
      <c r="O33">
        <f>IF(COUNTIFS('United Data'!$A$3:$A$2150,O$1,'United Data'!$C$3:$C$2150,$A33,'United Data'!$B$3:$B$2150,"&lt;&gt;P")&gt;0,1,0)</f>
        <v>0</v>
      </c>
      <c r="P33">
        <f>IF(COUNTIFS('United Data'!$A$3:$A$2150,P$1,'United Data'!$C$3:$C$2150,$A33,'United Data'!$B$3:$B$2150,"&lt;&gt;P")&gt;0,1,0)</f>
        <v>0</v>
      </c>
      <c r="Q33">
        <f>IF(COUNTIFS('United Data'!$A$3:$A$2150,Q$1,'United Data'!$C$3:$C$2150,$A33,'United Data'!$B$3:$B$2150,"&lt;&gt;P")&gt;0,1,0)</f>
        <v>0</v>
      </c>
      <c r="R33">
        <f>IF(COUNTIFS('United Data'!$A$3:$A$2150,R$1,'United Data'!$C$3:$C$2150,$A33,'United Data'!$B$3:$B$2150,"&lt;&gt;P")&gt;0,1,0)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78</v>
      </c>
      <c r="B34">
        <f>IF(COUNTIFS('United Data'!$A$3:$A$2150,B$1,'United Data'!$C$3:$C$2150,$A34,'United Data'!$B$3:$B$2150,"&lt;&gt;P")&gt;0,1,0)</f>
        <v>0</v>
      </c>
      <c r="C34">
        <f>IF(COUNTIFS('United Data'!$A$3:$A$2150,C$1,'United Data'!$C$3:$C$2150,$A34,'United Data'!$B$3:$B$2150,"&lt;&gt;P")&gt;0,1,0)</f>
        <v>0</v>
      </c>
      <c r="D34">
        <f>IF(COUNTIFS('United Data'!$A$3:$A$2150,D$1,'United Data'!$C$3:$C$2150,$A34,'United Data'!$B$3:$B$2150,"&lt;&gt;P")&gt;0,1,0)</f>
        <v>0</v>
      </c>
      <c r="E34">
        <f>IF(COUNTIFS('United Data'!$A$3:$A$2150,E$1,'United Data'!$C$3:$C$2150,$A34,'United Data'!$B$3:$B$2150,"&lt;&gt;P")&gt;0,1,0)</f>
        <v>1</v>
      </c>
      <c r="F34">
        <f>IF(COUNTIFS('United Data'!$A$3:$A$2150,F$1,'United Data'!$C$3:$C$2150,$A34,'United Data'!$B$3:$B$2150,"&lt;&gt;P")&gt;0,1,0)</f>
        <v>0</v>
      </c>
      <c r="G34">
        <f>IF(COUNTIFS('United Data'!$A$3:$A$2150,G$1,'United Data'!$C$3:$C$2150,$A34,'United Data'!$B$3:$B$2150,"&lt;&gt;P")&gt;0,1,0)</f>
        <v>0</v>
      </c>
      <c r="H34">
        <f>IF(COUNTIFS('United Data'!$A$3:$A$2150,H$1,'United Data'!$C$3:$C$2150,$A34,'United Data'!$B$3:$B$2150,"&lt;&gt;P")&gt;0,1,0)</f>
        <v>0</v>
      </c>
      <c r="I34">
        <f>IF(COUNTIFS('United Data'!$A$3:$A$2150,I$1,'United Data'!$C$3:$C$2150,$A34,'United Data'!$B$3:$B$2150,"&lt;&gt;P")&gt;0,1,0)</f>
        <v>0</v>
      </c>
      <c r="J34">
        <f>IF(COUNTIFS('United Data'!$A$3:$A$2150,J$1,'United Data'!$C$3:$C$2150,$A34,'United Data'!$B$3:$B$2150,"&lt;&gt;P")&gt;0,1,0)</f>
        <v>0</v>
      </c>
      <c r="K34">
        <f>IF(COUNTIFS('United Data'!$A$3:$A$2150,K$1,'United Data'!$C$3:$C$2150,$A34,'United Data'!$B$3:$B$2150,"&lt;&gt;P")&gt;0,1,0)</f>
        <v>0</v>
      </c>
      <c r="L34">
        <f>IF(COUNTIFS('United Data'!$A$3:$A$2150,L$1,'United Data'!$C$3:$C$2150,$A34,'United Data'!$B$3:$B$2150,"&lt;&gt;P")&gt;0,1,0)</f>
        <v>0</v>
      </c>
      <c r="M34">
        <f>IF(COUNTIFS('United Data'!$A$3:$A$2150,M$1,'United Data'!$C$3:$C$2150,$A34,'United Data'!$B$3:$B$2150,"&lt;&gt;P")&gt;0,1,0)</f>
        <v>0</v>
      </c>
      <c r="N34">
        <f>IF(COUNTIFS('United Data'!$A$3:$A$2150,N$1,'United Data'!$C$3:$C$2150,$A34,'United Data'!$B$3:$B$2150,"&lt;&gt;P")&gt;0,1,0)</f>
        <v>0</v>
      </c>
      <c r="O34">
        <f>IF(COUNTIFS('United Data'!$A$3:$A$2150,O$1,'United Data'!$C$3:$C$2150,$A34,'United Data'!$B$3:$B$2150,"&lt;&gt;P")&gt;0,1,0)</f>
        <v>0</v>
      </c>
      <c r="P34">
        <f>IF(COUNTIFS('United Data'!$A$3:$A$2150,P$1,'United Data'!$C$3:$C$2150,$A34,'United Data'!$B$3:$B$2150,"&lt;&gt;P")&gt;0,1,0)</f>
        <v>0</v>
      </c>
      <c r="Q34">
        <f>IF(COUNTIFS('United Data'!$A$3:$A$2150,Q$1,'United Data'!$C$3:$C$2150,$A34,'United Data'!$B$3:$B$2150,"&lt;&gt;P")&gt;0,1,0)</f>
        <v>0</v>
      </c>
      <c r="R34">
        <f>IF(COUNTIFS('United Data'!$A$3:$A$2150,R$1,'United Data'!$C$3:$C$2150,$A34,'United Data'!$B$3:$B$2150,"&lt;&gt;P")&gt;0,1,0)</f>
        <v>0</v>
      </c>
      <c r="S34">
        <f t="shared" si="0"/>
        <v>1</v>
      </c>
      <c r="T34">
        <f t="shared" si="1"/>
        <v>1</v>
      </c>
    </row>
    <row r="35" spans="1:20" x14ac:dyDescent="0.2">
      <c r="A35" t="s">
        <v>79</v>
      </c>
      <c r="B35">
        <f>IF(COUNTIFS('United Data'!$A$3:$A$2150,B$1,'United Data'!$C$3:$C$2150,$A35,'United Data'!$B$3:$B$2150,"&lt;&gt;P")&gt;0,1,0)</f>
        <v>0</v>
      </c>
      <c r="C35">
        <f>IF(COUNTIFS('United Data'!$A$3:$A$2150,C$1,'United Data'!$C$3:$C$2150,$A35,'United Data'!$B$3:$B$2150,"&lt;&gt;P")&gt;0,1,0)</f>
        <v>0</v>
      </c>
      <c r="D35">
        <f>IF(COUNTIFS('United Data'!$A$3:$A$2150,D$1,'United Data'!$C$3:$C$2150,$A35,'United Data'!$B$3:$B$2150,"&lt;&gt;P")&gt;0,1,0)</f>
        <v>0</v>
      </c>
      <c r="E35">
        <f>IF(COUNTIFS('United Data'!$A$3:$A$2150,E$1,'United Data'!$C$3:$C$2150,$A35,'United Data'!$B$3:$B$2150,"&lt;&gt;P")&gt;0,1,0)</f>
        <v>1</v>
      </c>
      <c r="F35">
        <f>IF(COUNTIFS('United Data'!$A$3:$A$2150,F$1,'United Data'!$C$3:$C$2150,$A35,'United Data'!$B$3:$B$2150,"&lt;&gt;P")&gt;0,1,0)</f>
        <v>0</v>
      </c>
      <c r="G35">
        <f>IF(COUNTIFS('United Data'!$A$3:$A$2150,G$1,'United Data'!$C$3:$C$2150,$A35,'United Data'!$B$3:$B$2150,"&lt;&gt;P")&gt;0,1,0)</f>
        <v>0</v>
      </c>
      <c r="H35">
        <f>IF(COUNTIFS('United Data'!$A$3:$A$2150,H$1,'United Data'!$C$3:$C$2150,$A35,'United Data'!$B$3:$B$2150,"&lt;&gt;P")&gt;0,1,0)</f>
        <v>0</v>
      </c>
      <c r="I35">
        <f>IF(COUNTIFS('United Data'!$A$3:$A$2150,I$1,'United Data'!$C$3:$C$2150,$A35,'United Data'!$B$3:$B$2150,"&lt;&gt;P")&gt;0,1,0)</f>
        <v>0</v>
      </c>
      <c r="J35">
        <f>IF(COUNTIFS('United Data'!$A$3:$A$2150,J$1,'United Data'!$C$3:$C$2150,$A35,'United Data'!$B$3:$B$2150,"&lt;&gt;P")&gt;0,1,0)</f>
        <v>0</v>
      </c>
      <c r="K35">
        <f>IF(COUNTIFS('United Data'!$A$3:$A$2150,K$1,'United Data'!$C$3:$C$2150,$A35,'United Data'!$B$3:$B$2150,"&lt;&gt;P")&gt;0,1,0)</f>
        <v>0</v>
      </c>
      <c r="L35">
        <f>IF(COUNTIFS('United Data'!$A$3:$A$2150,L$1,'United Data'!$C$3:$C$2150,$A35,'United Data'!$B$3:$B$2150,"&lt;&gt;P")&gt;0,1,0)</f>
        <v>0</v>
      </c>
      <c r="M35">
        <f>IF(COUNTIFS('United Data'!$A$3:$A$2150,M$1,'United Data'!$C$3:$C$2150,$A35,'United Data'!$B$3:$B$2150,"&lt;&gt;P")&gt;0,1,0)</f>
        <v>0</v>
      </c>
      <c r="N35">
        <f>IF(COUNTIFS('United Data'!$A$3:$A$2150,N$1,'United Data'!$C$3:$C$2150,$A35,'United Data'!$B$3:$B$2150,"&lt;&gt;P")&gt;0,1,0)</f>
        <v>0</v>
      </c>
      <c r="O35">
        <f>IF(COUNTIFS('United Data'!$A$3:$A$2150,O$1,'United Data'!$C$3:$C$2150,$A35,'United Data'!$B$3:$B$2150,"&lt;&gt;P")&gt;0,1,0)</f>
        <v>0</v>
      </c>
      <c r="P35">
        <f>IF(COUNTIFS('United Data'!$A$3:$A$2150,P$1,'United Data'!$C$3:$C$2150,$A35,'United Data'!$B$3:$B$2150,"&lt;&gt;P")&gt;0,1,0)</f>
        <v>0</v>
      </c>
      <c r="Q35">
        <f>IF(COUNTIFS('United Data'!$A$3:$A$2150,Q$1,'United Data'!$C$3:$C$2150,$A35,'United Data'!$B$3:$B$2150,"&lt;&gt;P")&gt;0,1,0)</f>
        <v>0</v>
      </c>
      <c r="R35">
        <f>IF(COUNTIFS('United Data'!$A$3:$A$2150,R$1,'United Data'!$C$3:$C$2150,$A35,'United Data'!$B$3:$B$2150,"&lt;&gt;P")&gt;0,1,0)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80</v>
      </c>
      <c r="B36">
        <f>IF(COUNTIFS('United Data'!$A$3:$A$2150,B$1,'United Data'!$C$3:$C$2150,$A36,'United Data'!$B$3:$B$2150,"&lt;&gt;P")&gt;0,1,0)</f>
        <v>0</v>
      </c>
      <c r="C36">
        <f>IF(COUNTIFS('United Data'!$A$3:$A$2150,C$1,'United Data'!$C$3:$C$2150,$A36,'United Data'!$B$3:$B$2150,"&lt;&gt;P")&gt;0,1,0)</f>
        <v>0</v>
      </c>
      <c r="D36">
        <f>IF(COUNTIFS('United Data'!$A$3:$A$2150,D$1,'United Data'!$C$3:$C$2150,$A36,'United Data'!$B$3:$B$2150,"&lt;&gt;P")&gt;0,1,0)</f>
        <v>0</v>
      </c>
      <c r="E36">
        <f>IF(COUNTIFS('United Data'!$A$3:$A$2150,E$1,'United Data'!$C$3:$C$2150,$A36,'United Data'!$B$3:$B$2150,"&lt;&gt;P")&gt;0,1,0)</f>
        <v>1</v>
      </c>
      <c r="F36">
        <f>IF(COUNTIFS('United Data'!$A$3:$A$2150,F$1,'United Data'!$C$3:$C$2150,$A36,'United Data'!$B$3:$B$2150,"&lt;&gt;P")&gt;0,1,0)</f>
        <v>1</v>
      </c>
      <c r="G36">
        <f>IF(COUNTIFS('United Data'!$A$3:$A$2150,G$1,'United Data'!$C$3:$C$2150,$A36,'United Data'!$B$3:$B$2150,"&lt;&gt;P")&gt;0,1,0)</f>
        <v>1</v>
      </c>
      <c r="H36">
        <f>IF(COUNTIFS('United Data'!$A$3:$A$2150,H$1,'United Data'!$C$3:$C$2150,$A36,'United Data'!$B$3:$B$2150,"&lt;&gt;P")&gt;0,1,0)</f>
        <v>1</v>
      </c>
      <c r="I36">
        <f>IF(COUNTIFS('United Data'!$A$3:$A$2150,I$1,'United Data'!$C$3:$C$2150,$A36,'United Data'!$B$3:$B$2150,"&lt;&gt;P")&gt;0,1,0)</f>
        <v>1</v>
      </c>
      <c r="J36">
        <f>IF(COUNTIFS('United Data'!$A$3:$A$2150,J$1,'United Data'!$C$3:$C$2150,$A36,'United Data'!$B$3:$B$2150,"&lt;&gt;P")&gt;0,1,0)</f>
        <v>0</v>
      </c>
      <c r="K36">
        <f>IF(COUNTIFS('United Data'!$A$3:$A$2150,K$1,'United Data'!$C$3:$C$2150,$A36,'United Data'!$B$3:$B$2150,"&lt;&gt;P")&gt;0,1,0)</f>
        <v>0</v>
      </c>
      <c r="L36">
        <f>IF(COUNTIFS('United Data'!$A$3:$A$2150,L$1,'United Data'!$C$3:$C$2150,$A36,'United Data'!$B$3:$B$2150,"&lt;&gt;P")&gt;0,1,0)</f>
        <v>0</v>
      </c>
      <c r="M36">
        <f>IF(COUNTIFS('United Data'!$A$3:$A$2150,M$1,'United Data'!$C$3:$C$2150,$A36,'United Data'!$B$3:$B$2150,"&lt;&gt;P")&gt;0,1,0)</f>
        <v>0</v>
      </c>
      <c r="N36">
        <f>IF(COUNTIFS('United Data'!$A$3:$A$2150,N$1,'United Data'!$C$3:$C$2150,$A36,'United Data'!$B$3:$B$2150,"&lt;&gt;P")&gt;0,1,0)</f>
        <v>0</v>
      </c>
      <c r="O36">
        <f>IF(COUNTIFS('United Data'!$A$3:$A$2150,O$1,'United Data'!$C$3:$C$2150,$A36,'United Data'!$B$3:$B$2150,"&lt;&gt;P")&gt;0,1,0)</f>
        <v>0</v>
      </c>
      <c r="P36">
        <f>IF(COUNTIFS('United Data'!$A$3:$A$2150,P$1,'United Data'!$C$3:$C$2150,$A36,'United Data'!$B$3:$B$2150,"&lt;&gt;P")&gt;0,1,0)</f>
        <v>0</v>
      </c>
      <c r="Q36">
        <f>IF(COUNTIFS('United Data'!$A$3:$A$2150,Q$1,'United Data'!$C$3:$C$2150,$A36,'United Data'!$B$3:$B$2150,"&lt;&gt;P")&gt;0,1,0)</f>
        <v>0</v>
      </c>
      <c r="R36">
        <f>IF(COUNTIFS('United Data'!$A$3:$A$2150,R$1,'United Data'!$C$3:$C$2150,$A36,'United Data'!$B$3:$B$2150,"&lt;&gt;P")&gt;0,1,0)</f>
        <v>0</v>
      </c>
      <c r="S36">
        <f t="shared" si="0"/>
        <v>5</v>
      </c>
      <c r="T36">
        <f t="shared" si="1"/>
        <v>1</v>
      </c>
    </row>
    <row r="37" spans="1:20" x14ac:dyDescent="0.2">
      <c r="A37" t="s">
        <v>81</v>
      </c>
      <c r="B37">
        <f>IF(COUNTIFS('United Data'!$A$3:$A$2150,B$1,'United Data'!$C$3:$C$2150,$A37,'United Data'!$B$3:$B$2150,"&lt;&gt;P")&gt;0,1,0)</f>
        <v>0</v>
      </c>
      <c r="C37">
        <f>IF(COUNTIFS('United Data'!$A$3:$A$2150,C$1,'United Data'!$C$3:$C$2150,$A37,'United Data'!$B$3:$B$2150,"&lt;&gt;P")&gt;0,1,0)</f>
        <v>0</v>
      </c>
      <c r="D37">
        <f>IF(COUNTIFS('United Data'!$A$3:$A$2150,D$1,'United Data'!$C$3:$C$2150,$A37,'United Data'!$B$3:$B$2150,"&lt;&gt;P")&gt;0,1,0)</f>
        <v>0</v>
      </c>
      <c r="E37">
        <f>IF(COUNTIFS('United Data'!$A$3:$A$2150,E$1,'United Data'!$C$3:$C$2150,$A37,'United Data'!$B$3:$B$2150,"&lt;&gt;P")&gt;0,1,0)</f>
        <v>1</v>
      </c>
      <c r="F37">
        <f>IF(COUNTIFS('United Data'!$A$3:$A$2150,F$1,'United Data'!$C$3:$C$2150,$A37,'United Data'!$B$3:$B$2150,"&lt;&gt;P")&gt;0,1,0)</f>
        <v>0</v>
      </c>
      <c r="G37">
        <f>IF(COUNTIFS('United Data'!$A$3:$A$2150,G$1,'United Data'!$C$3:$C$2150,$A37,'United Data'!$B$3:$B$2150,"&lt;&gt;P")&gt;0,1,0)</f>
        <v>0</v>
      </c>
      <c r="H37">
        <f>IF(COUNTIFS('United Data'!$A$3:$A$2150,H$1,'United Data'!$C$3:$C$2150,$A37,'United Data'!$B$3:$B$2150,"&lt;&gt;P")&gt;0,1,0)</f>
        <v>0</v>
      </c>
      <c r="I37">
        <f>IF(COUNTIFS('United Data'!$A$3:$A$2150,I$1,'United Data'!$C$3:$C$2150,$A37,'United Data'!$B$3:$B$2150,"&lt;&gt;P")&gt;0,1,0)</f>
        <v>0</v>
      </c>
      <c r="J37">
        <f>IF(COUNTIFS('United Data'!$A$3:$A$2150,J$1,'United Data'!$C$3:$C$2150,$A37,'United Data'!$B$3:$B$2150,"&lt;&gt;P")&gt;0,1,0)</f>
        <v>0</v>
      </c>
      <c r="K37">
        <f>IF(COUNTIFS('United Data'!$A$3:$A$2150,K$1,'United Data'!$C$3:$C$2150,$A37,'United Data'!$B$3:$B$2150,"&lt;&gt;P")&gt;0,1,0)</f>
        <v>0</v>
      </c>
      <c r="L37">
        <f>IF(COUNTIFS('United Data'!$A$3:$A$2150,L$1,'United Data'!$C$3:$C$2150,$A37,'United Data'!$B$3:$B$2150,"&lt;&gt;P")&gt;0,1,0)</f>
        <v>0</v>
      </c>
      <c r="M37">
        <f>IF(COUNTIFS('United Data'!$A$3:$A$2150,M$1,'United Data'!$C$3:$C$2150,$A37,'United Data'!$B$3:$B$2150,"&lt;&gt;P")&gt;0,1,0)</f>
        <v>0</v>
      </c>
      <c r="N37">
        <f>IF(COUNTIFS('United Data'!$A$3:$A$2150,N$1,'United Data'!$C$3:$C$2150,$A37,'United Data'!$B$3:$B$2150,"&lt;&gt;P")&gt;0,1,0)</f>
        <v>0</v>
      </c>
      <c r="O37">
        <f>IF(COUNTIFS('United Data'!$A$3:$A$2150,O$1,'United Data'!$C$3:$C$2150,$A37,'United Data'!$B$3:$B$2150,"&lt;&gt;P")&gt;0,1,0)</f>
        <v>0</v>
      </c>
      <c r="P37">
        <f>IF(COUNTIFS('United Data'!$A$3:$A$2150,P$1,'United Data'!$C$3:$C$2150,$A37,'United Data'!$B$3:$B$2150,"&lt;&gt;P")&gt;0,1,0)</f>
        <v>0</v>
      </c>
      <c r="Q37">
        <f>IF(COUNTIFS('United Data'!$A$3:$A$2150,Q$1,'United Data'!$C$3:$C$2150,$A37,'United Data'!$B$3:$B$2150,"&lt;&gt;P")&gt;0,1,0)</f>
        <v>0</v>
      </c>
      <c r="R37">
        <f>IF(COUNTIFS('United Data'!$A$3:$A$2150,R$1,'United Data'!$C$3:$C$2150,$A37,'United Data'!$B$3:$B$2150,"&lt;&gt;P")&gt;0,1,0)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82</v>
      </c>
      <c r="B38">
        <f>IF(COUNTIFS('United Data'!$A$3:$A$2150,B$1,'United Data'!$C$3:$C$2150,$A38,'United Data'!$B$3:$B$2150,"&lt;&gt;P")&gt;0,1,0)</f>
        <v>0</v>
      </c>
      <c r="C38">
        <f>IF(COUNTIFS('United Data'!$A$3:$A$2150,C$1,'United Data'!$C$3:$C$2150,$A38,'United Data'!$B$3:$B$2150,"&lt;&gt;P")&gt;0,1,0)</f>
        <v>0</v>
      </c>
      <c r="D38">
        <f>IF(COUNTIFS('United Data'!$A$3:$A$2150,D$1,'United Data'!$C$3:$C$2150,$A38,'United Data'!$B$3:$B$2150,"&lt;&gt;P")&gt;0,1,0)</f>
        <v>0</v>
      </c>
      <c r="E38">
        <f>IF(COUNTIFS('United Data'!$A$3:$A$2150,E$1,'United Data'!$C$3:$C$2150,$A38,'United Data'!$B$3:$B$2150,"&lt;&gt;P")&gt;0,1,0)</f>
        <v>1</v>
      </c>
      <c r="F38">
        <f>IF(COUNTIFS('United Data'!$A$3:$A$2150,F$1,'United Data'!$C$3:$C$2150,$A38,'United Data'!$B$3:$B$2150,"&lt;&gt;P")&gt;0,1,0)</f>
        <v>0</v>
      </c>
      <c r="G38">
        <f>IF(COUNTIFS('United Data'!$A$3:$A$2150,G$1,'United Data'!$C$3:$C$2150,$A38,'United Data'!$B$3:$B$2150,"&lt;&gt;P")&gt;0,1,0)</f>
        <v>0</v>
      </c>
      <c r="H38">
        <f>IF(COUNTIFS('United Data'!$A$3:$A$2150,H$1,'United Data'!$C$3:$C$2150,$A38,'United Data'!$B$3:$B$2150,"&lt;&gt;P")&gt;0,1,0)</f>
        <v>0</v>
      </c>
      <c r="I38">
        <f>IF(COUNTIFS('United Data'!$A$3:$A$2150,I$1,'United Data'!$C$3:$C$2150,$A38,'United Data'!$B$3:$B$2150,"&lt;&gt;P")&gt;0,1,0)</f>
        <v>0</v>
      </c>
      <c r="J38">
        <f>IF(COUNTIFS('United Data'!$A$3:$A$2150,J$1,'United Data'!$C$3:$C$2150,$A38,'United Data'!$B$3:$B$2150,"&lt;&gt;P")&gt;0,1,0)</f>
        <v>0</v>
      </c>
      <c r="K38">
        <f>IF(COUNTIFS('United Data'!$A$3:$A$2150,K$1,'United Data'!$C$3:$C$2150,$A38,'United Data'!$B$3:$B$2150,"&lt;&gt;P")&gt;0,1,0)</f>
        <v>0</v>
      </c>
      <c r="L38">
        <f>IF(COUNTIFS('United Data'!$A$3:$A$2150,L$1,'United Data'!$C$3:$C$2150,$A38,'United Data'!$B$3:$B$2150,"&lt;&gt;P")&gt;0,1,0)</f>
        <v>0</v>
      </c>
      <c r="M38">
        <f>IF(COUNTIFS('United Data'!$A$3:$A$2150,M$1,'United Data'!$C$3:$C$2150,$A38,'United Data'!$B$3:$B$2150,"&lt;&gt;P")&gt;0,1,0)</f>
        <v>0</v>
      </c>
      <c r="N38">
        <f>IF(COUNTIFS('United Data'!$A$3:$A$2150,N$1,'United Data'!$C$3:$C$2150,$A38,'United Data'!$B$3:$B$2150,"&lt;&gt;P")&gt;0,1,0)</f>
        <v>0</v>
      </c>
      <c r="O38">
        <f>IF(COUNTIFS('United Data'!$A$3:$A$2150,O$1,'United Data'!$C$3:$C$2150,$A38,'United Data'!$B$3:$B$2150,"&lt;&gt;P")&gt;0,1,0)</f>
        <v>0</v>
      </c>
      <c r="P38">
        <f>IF(COUNTIFS('United Data'!$A$3:$A$2150,P$1,'United Data'!$C$3:$C$2150,$A38,'United Data'!$B$3:$B$2150,"&lt;&gt;P")&gt;0,1,0)</f>
        <v>0</v>
      </c>
      <c r="Q38">
        <f>IF(COUNTIFS('United Data'!$A$3:$A$2150,Q$1,'United Data'!$C$3:$C$2150,$A38,'United Data'!$B$3:$B$2150,"&lt;&gt;P")&gt;0,1,0)</f>
        <v>0</v>
      </c>
      <c r="R38">
        <f>IF(COUNTIFS('United Data'!$A$3:$A$2150,R$1,'United Data'!$C$3:$C$2150,$A38,'United Data'!$B$3:$B$2150,"&lt;&gt;P")&gt;0,1,0)</f>
        <v>0</v>
      </c>
      <c r="S38">
        <f t="shared" si="0"/>
        <v>1</v>
      </c>
      <c r="T38">
        <f t="shared" si="1"/>
        <v>1</v>
      </c>
    </row>
    <row r="39" spans="1:20" x14ac:dyDescent="0.2">
      <c r="A39" t="s">
        <v>83</v>
      </c>
      <c r="B39">
        <f>IF(COUNTIFS('United Data'!$A$3:$A$2150,B$1,'United Data'!$C$3:$C$2150,$A39,'United Data'!$B$3:$B$2150,"&lt;&gt;P")&gt;0,1,0)</f>
        <v>0</v>
      </c>
      <c r="C39">
        <f>IF(COUNTIFS('United Data'!$A$3:$A$2150,C$1,'United Data'!$C$3:$C$2150,$A39,'United Data'!$B$3:$B$2150,"&lt;&gt;P")&gt;0,1,0)</f>
        <v>0</v>
      </c>
      <c r="D39">
        <f>IF(COUNTIFS('United Data'!$A$3:$A$2150,D$1,'United Data'!$C$3:$C$2150,$A39,'United Data'!$B$3:$B$2150,"&lt;&gt;P")&gt;0,1,0)</f>
        <v>0</v>
      </c>
      <c r="E39">
        <f>IF(COUNTIFS('United Data'!$A$3:$A$2150,E$1,'United Data'!$C$3:$C$2150,$A39,'United Data'!$B$3:$B$2150,"&lt;&gt;P")&gt;0,1,0)</f>
        <v>1</v>
      </c>
      <c r="F39">
        <f>IF(COUNTIFS('United Data'!$A$3:$A$2150,F$1,'United Data'!$C$3:$C$2150,$A39,'United Data'!$B$3:$B$2150,"&lt;&gt;P")&gt;0,1,0)</f>
        <v>1</v>
      </c>
      <c r="G39">
        <f>IF(COUNTIFS('United Data'!$A$3:$A$2150,G$1,'United Data'!$C$3:$C$2150,$A39,'United Data'!$B$3:$B$2150,"&lt;&gt;P")&gt;0,1,0)</f>
        <v>1</v>
      </c>
      <c r="H39">
        <f>IF(COUNTIFS('United Data'!$A$3:$A$2150,H$1,'United Data'!$C$3:$C$2150,$A39,'United Data'!$B$3:$B$2150,"&lt;&gt;P")&gt;0,1,0)</f>
        <v>1</v>
      </c>
      <c r="I39">
        <f>IF(COUNTIFS('United Data'!$A$3:$A$2150,I$1,'United Data'!$C$3:$C$2150,$A39,'United Data'!$B$3:$B$2150,"&lt;&gt;P")&gt;0,1,0)</f>
        <v>0</v>
      </c>
      <c r="J39">
        <f>IF(COUNTIFS('United Data'!$A$3:$A$2150,J$1,'United Data'!$C$3:$C$2150,$A39,'United Data'!$B$3:$B$2150,"&lt;&gt;P")&gt;0,1,0)</f>
        <v>0</v>
      </c>
      <c r="K39">
        <f>IF(COUNTIFS('United Data'!$A$3:$A$2150,K$1,'United Data'!$C$3:$C$2150,$A39,'United Data'!$B$3:$B$2150,"&lt;&gt;P")&gt;0,1,0)</f>
        <v>0</v>
      </c>
      <c r="L39">
        <f>IF(COUNTIFS('United Data'!$A$3:$A$2150,L$1,'United Data'!$C$3:$C$2150,$A39,'United Data'!$B$3:$B$2150,"&lt;&gt;P")&gt;0,1,0)</f>
        <v>0</v>
      </c>
      <c r="M39">
        <f>IF(COUNTIFS('United Data'!$A$3:$A$2150,M$1,'United Data'!$C$3:$C$2150,$A39,'United Data'!$B$3:$B$2150,"&lt;&gt;P")&gt;0,1,0)</f>
        <v>0</v>
      </c>
      <c r="N39">
        <f>IF(COUNTIFS('United Data'!$A$3:$A$2150,N$1,'United Data'!$C$3:$C$2150,$A39,'United Data'!$B$3:$B$2150,"&lt;&gt;P")&gt;0,1,0)</f>
        <v>0</v>
      </c>
      <c r="O39">
        <f>IF(COUNTIFS('United Data'!$A$3:$A$2150,O$1,'United Data'!$C$3:$C$2150,$A39,'United Data'!$B$3:$B$2150,"&lt;&gt;P")&gt;0,1,0)</f>
        <v>0</v>
      </c>
      <c r="P39">
        <f>IF(COUNTIFS('United Data'!$A$3:$A$2150,P$1,'United Data'!$C$3:$C$2150,$A39,'United Data'!$B$3:$B$2150,"&lt;&gt;P")&gt;0,1,0)</f>
        <v>0</v>
      </c>
      <c r="Q39">
        <f>IF(COUNTIFS('United Data'!$A$3:$A$2150,Q$1,'United Data'!$C$3:$C$2150,$A39,'United Data'!$B$3:$B$2150,"&lt;&gt;P")&gt;0,1,0)</f>
        <v>0</v>
      </c>
      <c r="R39">
        <f>IF(COUNTIFS('United Data'!$A$3:$A$2150,R$1,'United Data'!$C$3:$C$2150,$A39,'United Data'!$B$3:$B$2150,"&lt;&gt;P")&gt;0,1,0)</f>
        <v>0</v>
      </c>
      <c r="S39">
        <f t="shared" si="0"/>
        <v>4</v>
      </c>
      <c r="T39">
        <f t="shared" si="1"/>
        <v>1</v>
      </c>
    </row>
    <row r="40" spans="1:20" x14ac:dyDescent="0.2">
      <c r="A40" t="s">
        <v>84</v>
      </c>
      <c r="B40">
        <f>IF(COUNTIFS('United Data'!$A$3:$A$2150,B$1,'United Data'!$C$3:$C$2150,$A40,'United Data'!$B$3:$B$2150,"&lt;&gt;P")&gt;0,1,0)</f>
        <v>0</v>
      </c>
      <c r="C40">
        <f>IF(COUNTIFS('United Data'!$A$3:$A$2150,C$1,'United Data'!$C$3:$C$2150,$A40,'United Data'!$B$3:$B$2150,"&lt;&gt;P")&gt;0,1,0)</f>
        <v>0</v>
      </c>
      <c r="D40">
        <f>IF(COUNTIFS('United Data'!$A$3:$A$2150,D$1,'United Data'!$C$3:$C$2150,$A40,'United Data'!$B$3:$B$2150,"&lt;&gt;P")&gt;0,1,0)</f>
        <v>0</v>
      </c>
      <c r="E40">
        <f>IF(COUNTIFS('United Data'!$A$3:$A$2150,E$1,'United Data'!$C$3:$C$2150,$A40,'United Data'!$B$3:$B$2150,"&lt;&gt;P")&gt;0,1,0)</f>
        <v>1</v>
      </c>
      <c r="F40">
        <f>IF(COUNTIFS('United Data'!$A$3:$A$2150,F$1,'United Data'!$C$3:$C$2150,$A40,'United Data'!$B$3:$B$2150,"&lt;&gt;P")&gt;0,1,0)</f>
        <v>0</v>
      </c>
      <c r="G40">
        <f>IF(COUNTIFS('United Data'!$A$3:$A$2150,G$1,'United Data'!$C$3:$C$2150,$A40,'United Data'!$B$3:$B$2150,"&lt;&gt;P")&gt;0,1,0)</f>
        <v>0</v>
      </c>
      <c r="H40">
        <f>IF(COUNTIFS('United Data'!$A$3:$A$2150,H$1,'United Data'!$C$3:$C$2150,$A40,'United Data'!$B$3:$B$2150,"&lt;&gt;P")&gt;0,1,0)</f>
        <v>0</v>
      </c>
      <c r="I40">
        <f>IF(COUNTIFS('United Data'!$A$3:$A$2150,I$1,'United Data'!$C$3:$C$2150,$A40,'United Data'!$B$3:$B$2150,"&lt;&gt;P")&gt;0,1,0)</f>
        <v>0</v>
      </c>
      <c r="J40">
        <f>IF(COUNTIFS('United Data'!$A$3:$A$2150,J$1,'United Data'!$C$3:$C$2150,$A40,'United Data'!$B$3:$B$2150,"&lt;&gt;P")&gt;0,1,0)</f>
        <v>0</v>
      </c>
      <c r="K40">
        <f>IF(COUNTIFS('United Data'!$A$3:$A$2150,K$1,'United Data'!$C$3:$C$2150,$A40,'United Data'!$B$3:$B$2150,"&lt;&gt;P")&gt;0,1,0)</f>
        <v>0</v>
      </c>
      <c r="L40">
        <f>IF(COUNTIFS('United Data'!$A$3:$A$2150,L$1,'United Data'!$C$3:$C$2150,$A40,'United Data'!$B$3:$B$2150,"&lt;&gt;P")&gt;0,1,0)</f>
        <v>0</v>
      </c>
      <c r="M40">
        <f>IF(COUNTIFS('United Data'!$A$3:$A$2150,M$1,'United Data'!$C$3:$C$2150,$A40,'United Data'!$B$3:$B$2150,"&lt;&gt;P")&gt;0,1,0)</f>
        <v>0</v>
      </c>
      <c r="N40">
        <f>IF(COUNTIFS('United Data'!$A$3:$A$2150,N$1,'United Data'!$C$3:$C$2150,$A40,'United Data'!$B$3:$B$2150,"&lt;&gt;P")&gt;0,1,0)</f>
        <v>0</v>
      </c>
      <c r="O40">
        <f>IF(COUNTIFS('United Data'!$A$3:$A$2150,O$1,'United Data'!$C$3:$C$2150,$A40,'United Data'!$B$3:$B$2150,"&lt;&gt;P")&gt;0,1,0)</f>
        <v>0</v>
      </c>
      <c r="P40">
        <f>IF(COUNTIFS('United Data'!$A$3:$A$2150,P$1,'United Data'!$C$3:$C$2150,$A40,'United Data'!$B$3:$B$2150,"&lt;&gt;P")&gt;0,1,0)</f>
        <v>0</v>
      </c>
      <c r="Q40">
        <f>IF(COUNTIFS('United Data'!$A$3:$A$2150,Q$1,'United Data'!$C$3:$C$2150,$A40,'United Data'!$B$3:$B$2150,"&lt;&gt;P")&gt;0,1,0)</f>
        <v>0</v>
      </c>
      <c r="R40">
        <f>IF(COUNTIFS('United Data'!$A$3:$A$2150,R$1,'United Data'!$C$3:$C$2150,$A40,'United Data'!$B$3:$B$2150,"&lt;&gt;P")&gt;0,1,0)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85</v>
      </c>
      <c r="B41">
        <f>IF(COUNTIFS('United Data'!$A$3:$A$2150,B$1,'United Data'!$C$3:$C$2150,$A41,'United Data'!$B$3:$B$2150,"&lt;&gt;P")&gt;0,1,0)</f>
        <v>0</v>
      </c>
      <c r="C41">
        <f>IF(COUNTIFS('United Data'!$A$3:$A$2150,C$1,'United Data'!$C$3:$C$2150,$A41,'United Data'!$B$3:$B$2150,"&lt;&gt;P")&gt;0,1,0)</f>
        <v>0</v>
      </c>
      <c r="D41">
        <f>IF(COUNTIFS('United Data'!$A$3:$A$2150,D$1,'United Data'!$C$3:$C$2150,$A41,'United Data'!$B$3:$B$2150,"&lt;&gt;P")&gt;0,1,0)</f>
        <v>0</v>
      </c>
      <c r="E41">
        <f>IF(COUNTIFS('United Data'!$A$3:$A$2150,E$1,'United Data'!$C$3:$C$2150,$A41,'United Data'!$B$3:$B$2150,"&lt;&gt;P")&gt;0,1,0)</f>
        <v>1</v>
      </c>
      <c r="F41">
        <f>IF(COUNTIFS('United Data'!$A$3:$A$2150,F$1,'United Data'!$C$3:$C$2150,$A41,'United Data'!$B$3:$B$2150,"&lt;&gt;P")&gt;0,1,0)</f>
        <v>1</v>
      </c>
      <c r="G41">
        <f>IF(COUNTIFS('United Data'!$A$3:$A$2150,G$1,'United Data'!$C$3:$C$2150,$A41,'United Data'!$B$3:$B$2150,"&lt;&gt;P")&gt;0,1,0)</f>
        <v>1</v>
      </c>
      <c r="H41">
        <f>IF(COUNTIFS('United Data'!$A$3:$A$2150,H$1,'United Data'!$C$3:$C$2150,$A41,'United Data'!$B$3:$B$2150,"&lt;&gt;P")&gt;0,1,0)</f>
        <v>1</v>
      </c>
      <c r="I41">
        <f>IF(COUNTIFS('United Data'!$A$3:$A$2150,I$1,'United Data'!$C$3:$C$2150,$A41,'United Data'!$B$3:$B$2150,"&lt;&gt;P")&gt;0,1,0)</f>
        <v>1</v>
      </c>
      <c r="J41">
        <f>IF(COUNTIFS('United Data'!$A$3:$A$2150,J$1,'United Data'!$C$3:$C$2150,$A41,'United Data'!$B$3:$B$2150,"&lt;&gt;P")&gt;0,1,0)</f>
        <v>1</v>
      </c>
      <c r="K41">
        <f>IF(COUNTIFS('United Data'!$A$3:$A$2150,K$1,'United Data'!$C$3:$C$2150,$A41,'United Data'!$B$3:$B$2150,"&lt;&gt;P")&gt;0,1,0)</f>
        <v>1</v>
      </c>
      <c r="L41">
        <f>IF(COUNTIFS('United Data'!$A$3:$A$2150,L$1,'United Data'!$C$3:$C$2150,$A41,'United Data'!$B$3:$B$2150,"&lt;&gt;P")&gt;0,1,0)</f>
        <v>0</v>
      </c>
      <c r="M41">
        <f>IF(COUNTIFS('United Data'!$A$3:$A$2150,M$1,'United Data'!$C$3:$C$2150,$A41,'United Data'!$B$3:$B$2150,"&lt;&gt;P")&gt;0,1,0)</f>
        <v>0</v>
      </c>
      <c r="N41">
        <f>IF(COUNTIFS('United Data'!$A$3:$A$2150,N$1,'United Data'!$C$3:$C$2150,$A41,'United Data'!$B$3:$B$2150,"&lt;&gt;P")&gt;0,1,0)</f>
        <v>0</v>
      </c>
      <c r="O41">
        <f>IF(COUNTIFS('United Data'!$A$3:$A$2150,O$1,'United Data'!$C$3:$C$2150,$A41,'United Data'!$B$3:$B$2150,"&lt;&gt;P")&gt;0,1,0)</f>
        <v>0</v>
      </c>
      <c r="P41">
        <f>IF(COUNTIFS('United Data'!$A$3:$A$2150,P$1,'United Data'!$C$3:$C$2150,$A41,'United Data'!$B$3:$B$2150,"&lt;&gt;P")&gt;0,1,0)</f>
        <v>0</v>
      </c>
      <c r="Q41">
        <f>IF(COUNTIFS('United Data'!$A$3:$A$2150,Q$1,'United Data'!$C$3:$C$2150,$A41,'United Data'!$B$3:$B$2150,"&lt;&gt;P")&gt;0,1,0)</f>
        <v>0</v>
      </c>
      <c r="R41">
        <f>IF(COUNTIFS('United Data'!$A$3:$A$2150,R$1,'United Data'!$C$3:$C$2150,$A41,'United Data'!$B$3:$B$2150,"&lt;&gt;P")&gt;0,1,0)</f>
        <v>0</v>
      </c>
      <c r="S41">
        <f t="shared" si="0"/>
        <v>7</v>
      </c>
      <c r="T41">
        <f t="shared" si="1"/>
        <v>1</v>
      </c>
    </row>
    <row r="42" spans="1:20" x14ac:dyDescent="0.2">
      <c r="A42" t="s">
        <v>86</v>
      </c>
      <c r="B42">
        <f>IF(COUNTIFS('United Data'!$A$3:$A$2150,B$1,'United Data'!$C$3:$C$2150,$A42,'United Data'!$B$3:$B$2150,"&lt;&gt;P")&gt;0,1,0)</f>
        <v>0</v>
      </c>
      <c r="C42">
        <f>IF(COUNTIFS('United Data'!$A$3:$A$2150,C$1,'United Data'!$C$3:$C$2150,$A42,'United Data'!$B$3:$B$2150,"&lt;&gt;P")&gt;0,1,0)</f>
        <v>0</v>
      </c>
      <c r="D42">
        <f>IF(COUNTIFS('United Data'!$A$3:$A$2150,D$1,'United Data'!$C$3:$C$2150,$A42,'United Data'!$B$3:$B$2150,"&lt;&gt;P")&gt;0,1,0)</f>
        <v>0</v>
      </c>
      <c r="E42">
        <f>IF(COUNTIFS('United Data'!$A$3:$A$2150,E$1,'United Data'!$C$3:$C$2150,$A42,'United Data'!$B$3:$B$2150,"&lt;&gt;P")&gt;0,1,0)</f>
        <v>1</v>
      </c>
      <c r="F42">
        <f>IF(COUNTIFS('United Data'!$A$3:$A$2150,F$1,'United Data'!$C$3:$C$2150,$A42,'United Data'!$B$3:$B$2150,"&lt;&gt;P")&gt;0,1,0)</f>
        <v>0</v>
      </c>
      <c r="G42">
        <f>IF(COUNTIFS('United Data'!$A$3:$A$2150,G$1,'United Data'!$C$3:$C$2150,$A42,'United Data'!$B$3:$B$2150,"&lt;&gt;P")&gt;0,1,0)</f>
        <v>0</v>
      </c>
      <c r="H42">
        <f>IF(COUNTIFS('United Data'!$A$3:$A$2150,H$1,'United Data'!$C$3:$C$2150,$A42,'United Data'!$B$3:$B$2150,"&lt;&gt;P")&gt;0,1,0)</f>
        <v>0</v>
      </c>
      <c r="I42">
        <f>IF(COUNTIFS('United Data'!$A$3:$A$2150,I$1,'United Data'!$C$3:$C$2150,$A42,'United Data'!$B$3:$B$2150,"&lt;&gt;P")&gt;0,1,0)</f>
        <v>0</v>
      </c>
      <c r="J42">
        <f>IF(COUNTIFS('United Data'!$A$3:$A$2150,J$1,'United Data'!$C$3:$C$2150,$A42,'United Data'!$B$3:$B$2150,"&lt;&gt;P")&gt;0,1,0)</f>
        <v>0</v>
      </c>
      <c r="K42">
        <f>IF(COUNTIFS('United Data'!$A$3:$A$2150,K$1,'United Data'!$C$3:$C$2150,$A42,'United Data'!$B$3:$B$2150,"&lt;&gt;P")&gt;0,1,0)</f>
        <v>0</v>
      </c>
      <c r="L42">
        <f>IF(COUNTIFS('United Data'!$A$3:$A$2150,L$1,'United Data'!$C$3:$C$2150,$A42,'United Data'!$B$3:$B$2150,"&lt;&gt;P")&gt;0,1,0)</f>
        <v>0</v>
      </c>
      <c r="M42">
        <f>IF(COUNTIFS('United Data'!$A$3:$A$2150,M$1,'United Data'!$C$3:$C$2150,$A42,'United Data'!$B$3:$B$2150,"&lt;&gt;P")&gt;0,1,0)</f>
        <v>0</v>
      </c>
      <c r="N42">
        <f>IF(COUNTIFS('United Data'!$A$3:$A$2150,N$1,'United Data'!$C$3:$C$2150,$A42,'United Data'!$B$3:$B$2150,"&lt;&gt;P")&gt;0,1,0)</f>
        <v>0</v>
      </c>
      <c r="O42">
        <f>IF(COUNTIFS('United Data'!$A$3:$A$2150,O$1,'United Data'!$C$3:$C$2150,$A42,'United Data'!$B$3:$B$2150,"&lt;&gt;P")&gt;0,1,0)</f>
        <v>0</v>
      </c>
      <c r="P42">
        <f>IF(COUNTIFS('United Data'!$A$3:$A$2150,P$1,'United Data'!$C$3:$C$2150,$A42,'United Data'!$B$3:$B$2150,"&lt;&gt;P")&gt;0,1,0)</f>
        <v>0</v>
      </c>
      <c r="Q42">
        <f>IF(COUNTIFS('United Data'!$A$3:$A$2150,Q$1,'United Data'!$C$3:$C$2150,$A42,'United Data'!$B$3:$B$2150,"&lt;&gt;P")&gt;0,1,0)</f>
        <v>0</v>
      </c>
      <c r="R42">
        <f>IF(COUNTIFS('United Data'!$A$3:$A$2150,R$1,'United Data'!$C$3:$C$2150,$A42,'United Data'!$B$3:$B$2150,"&lt;&gt;P")&gt;0,1,0)</f>
        <v>0</v>
      </c>
      <c r="S42">
        <f t="shared" si="0"/>
        <v>1</v>
      </c>
      <c r="T42">
        <f t="shared" si="1"/>
        <v>1</v>
      </c>
    </row>
    <row r="43" spans="1:20" x14ac:dyDescent="0.2">
      <c r="A43" t="s">
        <v>87</v>
      </c>
      <c r="B43">
        <f>IF(COUNTIFS('United Data'!$A$3:$A$2150,B$1,'United Data'!$C$3:$C$2150,$A43,'United Data'!$B$3:$B$2150,"&lt;&gt;P")&gt;0,1,0)</f>
        <v>0</v>
      </c>
      <c r="C43">
        <f>IF(COUNTIFS('United Data'!$A$3:$A$2150,C$1,'United Data'!$C$3:$C$2150,$A43,'United Data'!$B$3:$B$2150,"&lt;&gt;P")&gt;0,1,0)</f>
        <v>0</v>
      </c>
      <c r="D43">
        <f>IF(COUNTIFS('United Data'!$A$3:$A$2150,D$1,'United Data'!$C$3:$C$2150,$A43,'United Data'!$B$3:$B$2150,"&lt;&gt;P")&gt;0,1,0)</f>
        <v>0</v>
      </c>
      <c r="E43">
        <f>IF(COUNTIFS('United Data'!$A$3:$A$2150,E$1,'United Data'!$C$3:$C$2150,$A43,'United Data'!$B$3:$B$2150,"&lt;&gt;P")&gt;0,1,0)</f>
        <v>1</v>
      </c>
      <c r="F43">
        <f>IF(COUNTIFS('United Data'!$A$3:$A$2150,F$1,'United Data'!$C$3:$C$2150,$A43,'United Data'!$B$3:$B$2150,"&lt;&gt;P")&gt;0,1,0)</f>
        <v>1</v>
      </c>
      <c r="G43">
        <f>IF(COUNTIFS('United Data'!$A$3:$A$2150,G$1,'United Data'!$C$3:$C$2150,$A43,'United Data'!$B$3:$B$2150,"&lt;&gt;P")&gt;0,1,0)</f>
        <v>1</v>
      </c>
      <c r="H43">
        <f>IF(COUNTIFS('United Data'!$A$3:$A$2150,H$1,'United Data'!$C$3:$C$2150,$A43,'United Data'!$B$3:$B$2150,"&lt;&gt;P")&gt;0,1,0)</f>
        <v>1</v>
      </c>
      <c r="I43">
        <f>IF(COUNTIFS('United Data'!$A$3:$A$2150,I$1,'United Data'!$C$3:$C$2150,$A43,'United Data'!$B$3:$B$2150,"&lt;&gt;P")&gt;0,1,0)</f>
        <v>1</v>
      </c>
      <c r="J43">
        <f>IF(COUNTIFS('United Data'!$A$3:$A$2150,J$1,'United Data'!$C$3:$C$2150,$A43,'United Data'!$B$3:$B$2150,"&lt;&gt;P")&gt;0,1,0)</f>
        <v>1</v>
      </c>
      <c r="K43">
        <f>IF(COUNTIFS('United Data'!$A$3:$A$2150,K$1,'United Data'!$C$3:$C$2150,$A43,'United Data'!$B$3:$B$2150,"&lt;&gt;P")&gt;0,1,0)</f>
        <v>1</v>
      </c>
      <c r="L43">
        <f>IF(COUNTIFS('United Data'!$A$3:$A$2150,L$1,'United Data'!$C$3:$C$2150,$A43,'United Data'!$B$3:$B$2150,"&lt;&gt;P")&gt;0,1,0)</f>
        <v>1</v>
      </c>
      <c r="M43">
        <f>IF(COUNTIFS('United Data'!$A$3:$A$2150,M$1,'United Data'!$C$3:$C$2150,$A43,'United Data'!$B$3:$B$2150,"&lt;&gt;P")&gt;0,1,0)</f>
        <v>1</v>
      </c>
      <c r="N43">
        <f>IF(COUNTIFS('United Data'!$A$3:$A$2150,N$1,'United Data'!$C$3:$C$2150,$A43,'United Data'!$B$3:$B$2150,"&lt;&gt;P")&gt;0,1,0)</f>
        <v>1</v>
      </c>
      <c r="O43">
        <f>IF(COUNTIFS('United Data'!$A$3:$A$2150,O$1,'United Data'!$C$3:$C$2150,$A43,'United Data'!$B$3:$B$2150,"&lt;&gt;P")&gt;0,1,0)</f>
        <v>0</v>
      </c>
      <c r="P43">
        <f>IF(COUNTIFS('United Data'!$A$3:$A$2150,P$1,'United Data'!$C$3:$C$2150,$A43,'United Data'!$B$3:$B$2150,"&lt;&gt;P")&gt;0,1,0)</f>
        <v>0</v>
      </c>
      <c r="Q43">
        <f>IF(COUNTIFS('United Data'!$A$3:$A$2150,Q$1,'United Data'!$C$3:$C$2150,$A43,'United Data'!$B$3:$B$2150,"&lt;&gt;P")&gt;0,1,0)</f>
        <v>0</v>
      </c>
      <c r="R43">
        <f>IF(COUNTIFS('United Data'!$A$3:$A$2150,R$1,'United Data'!$C$3:$C$2150,$A43,'United Data'!$B$3:$B$2150,"&lt;&gt;P")&gt;0,1,0)</f>
        <v>0</v>
      </c>
      <c r="S43">
        <f t="shared" si="0"/>
        <v>10</v>
      </c>
      <c r="T43">
        <f t="shared" si="1"/>
        <v>1</v>
      </c>
    </row>
    <row r="44" spans="1:20" x14ac:dyDescent="0.2">
      <c r="A44" t="s">
        <v>88</v>
      </c>
      <c r="B44">
        <f>IF(COUNTIFS('United Data'!$A$3:$A$2150,B$1,'United Data'!$C$3:$C$2150,$A44,'United Data'!$B$3:$B$2150,"&lt;&gt;P")&gt;0,1,0)</f>
        <v>0</v>
      </c>
      <c r="C44">
        <f>IF(COUNTIFS('United Data'!$A$3:$A$2150,C$1,'United Data'!$C$3:$C$2150,$A44,'United Data'!$B$3:$B$2150,"&lt;&gt;P")&gt;0,1,0)</f>
        <v>0</v>
      </c>
      <c r="D44">
        <f>IF(COUNTIFS('United Data'!$A$3:$A$2150,D$1,'United Data'!$C$3:$C$2150,$A44,'United Data'!$B$3:$B$2150,"&lt;&gt;P")&gt;0,1,0)</f>
        <v>0</v>
      </c>
      <c r="E44">
        <f>IF(COUNTIFS('United Data'!$A$3:$A$2150,E$1,'United Data'!$C$3:$C$2150,$A44,'United Data'!$B$3:$B$2150,"&lt;&gt;P")&gt;0,1,0)</f>
        <v>1</v>
      </c>
      <c r="F44">
        <f>IF(COUNTIFS('United Data'!$A$3:$A$2150,F$1,'United Data'!$C$3:$C$2150,$A44,'United Data'!$B$3:$B$2150,"&lt;&gt;P")&gt;0,1,0)</f>
        <v>0</v>
      </c>
      <c r="G44">
        <f>IF(COUNTIFS('United Data'!$A$3:$A$2150,G$1,'United Data'!$C$3:$C$2150,$A44,'United Data'!$B$3:$B$2150,"&lt;&gt;P")&gt;0,1,0)</f>
        <v>0</v>
      </c>
      <c r="H44">
        <f>IF(COUNTIFS('United Data'!$A$3:$A$2150,H$1,'United Data'!$C$3:$C$2150,$A44,'United Data'!$B$3:$B$2150,"&lt;&gt;P")&gt;0,1,0)</f>
        <v>0</v>
      </c>
      <c r="I44">
        <f>IF(COUNTIFS('United Data'!$A$3:$A$2150,I$1,'United Data'!$C$3:$C$2150,$A44,'United Data'!$B$3:$B$2150,"&lt;&gt;P")&gt;0,1,0)</f>
        <v>0</v>
      </c>
      <c r="J44">
        <f>IF(COUNTIFS('United Data'!$A$3:$A$2150,J$1,'United Data'!$C$3:$C$2150,$A44,'United Data'!$B$3:$B$2150,"&lt;&gt;P")&gt;0,1,0)</f>
        <v>0</v>
      </c>
      <c r="K44">
        <f>IF(COUNTIFS('United Data'!$A$3:$A$2150,K$1,'United Data'!$C$3:$C$2150,$A44,'United Data'!$B$3:$B$2150,"&lt;&gt;P")&gt;0,1,0)</f>
        <v>0</v>
      </c>
      <c r="L44">
        <f>IF(COUNTIFS('United Data'!$A$3:$A$2150,L$1,'United Data'!$C$3:$C$2150,$A44,'United Data'!$B$3:$B$2150,"&lt;&gt;P")&gt;0,1,0)</f>
        <v>0</v>
      </c>
      <c r="M44">
        <f>IF(COUNTIFS('United Data'!$A$3:$A$2150,M$1,'United Data'!$C$3:$C$2150,$A44,'United Data'!$B$3:$B$2150,"&lt;&gt;P")&gt;0,1,0)</f>
        <v>0</v>
      </c>
      <c r="N44">
        <f>IF(COUNTIFS('United Data'!$A$3:$A$2150,N$1,'United Data'!$C$3:$C$2150,$A44,'United Data'!$B$3:$B$2150,"&lt;&gt;P")&gt;0,1,0)</f>
        <v>0</v>
      </c>
      <c r="O44">
        <f>IF(COUNTIFS('United Data'!$A$3:$A$2150,O$1,'United Data'!$C$3:$C$2150,$A44,'United Data'!$B$3:$B$2150,"&lt;&gt;P")&gt;0,1,0)</f>
        <v>0</v>
      </c>
      <c r="P44">
        <f>IF(COUNTIFS('United Data'!$A$3:$A$2150,P$1,'United Data'!$C$3:$C$2150,$A44,'United Data'!$B$3:$B$2150,"&lt;&gt;P")&gt;0,1,0)</f>
        <v>0</v>
      </c>
      <c r="Q44">
        <f>IF(COUNTIFS('United Data'!$A$3:$A$2150,Q$1,'United Data'!$C$3:$C$2150,$A44,'United Data'!$B$3:$B$2150,"&lt;&gt;P")&gt;0,1,0)</f>
        <v>0</v>
      </c>
      <c r="R44">
        <f>IF(COUNTIFS('United Data'!$A$3:$A$2150,R$1,'United Data'!$C$3:$C$2150,$A44,'United Data'!$B$3:$B$2150,"&lt;&gt;P")&gt;0,1,0)</f>
        <v>0</v>
      </c>
      <c r="S44">
        <f t="shared" si="0"/>
        <v>1</v>
      </c>
      <c r="T44">
        <f t="shared" si="1"/>
        <v>1</v>
      </c>
    </row>
    <row r="45" spans="1:20" x14ac:dyDescent="0.2">
      <c r="A45" t="s">
        <v>89</v>
      </c>
      <c r="B45">
        <f>IF(COUNTIFS('United Data'!$A$3:$A$2150,B$1,'United Data'!$C$3:$C$2150,$A45,'United Data'!$B$3:$B$2150,"&lt;&gt;P")&gt;0,1,0)</f>
        <v>0</v>
      </c>
      <c r="C45">
        <f>IF(COUNTIFS('United Data'!$A$3:$A$2150,C$1,'United Data'!$C$3:$C$2150,$A45,'United Data'!$B$3:$B$2150,"&lt;&gt;P")&gt;0,1,0)</f>
        <v>0</v>
      </c>
      <c r="D45">
        <f>IF(COUNTIFS('United Data'!$A$3:$A$2150,D$1,'United Data'!$C$3:$C$2150,$A45,'United Data'!$B$3:$B$2150,"&lt;&gt;P")&gt;0,1,0)</f>
        <v>0</v>
      </c>
      <c r="E45">
        <f>IF(COUNTIFS('United Data'!$A$3:$A$2150,E$1,'United Data'!$C$3:$C$2150,$A45,'United Data'!$B$3:$B$2150,"&lt;&gt;P")&gt;0,1,0)</f>
        <v>1</v>
      </c>
      <c r="F45">
        <f>IF(COUNTIFS('United Data'!$A$3:$A$2150,F$1,'United Data'!$C$3:$C$2150,$A45,'United Data'!$B$3:$B$2150,"&lt;&gt;P")&gt;0,1,0)</f>
        <v>0</v>
      </c>
      <c r="G45">
        <f>IF(COUNTIFS('United Data'!$A$3:$A$2150,G$1,'United Data'!$C$3:$C$2150,$A45,'United Data'!$B$3:$B$2150,"&lt;&gt;P")&gt;0,1,0)</f>
        <v>0</v>
      </c>
      <c r="H45">
        <f>IF(COUNTIFS('United Data'!$A$3:$A$2150,H$1,'United Data'!$C$3:$C$2150,$A45,'United Data'!$B$3:$B$2150,"&lt;&gt;P")&gt;0,1,0)</f>
        <v>0</v>
      </c>
      <c r="I45">
        <f>IF(COUNTIFS('United Data'!$A$3:$A$2150,I$1,'United Data'!$C$3:$C$2150,$A45,'United Data'!$B$3:$B$2150,"&lt;&gt;P")&gt;0,1,0)</f>
        <v>0</v>
      </c>
      <c r="J45">
        <f>IF(COUNTIFS('United Data'!$A$3:$A$2150,J$1,'United Data'!$C$3:$C$2150,$A45,'United Data'!$B$3:$B$2150,"&lt;&gt;P")&gt;0,1,0)</f>
        <v>0</v>
      </c>
      <c r="K45">
        <f>IF(COUNTIFS('United Data'!$A$3:$A$2150,K$1,'United Data'!$C$3:$C$2150,$A45,'United Data'!$B$3:$B$2150,"&lt;&gt;P")&gt;0,1,0)</f>
        <v>0</v>
      </c>
      <c r="L45">
        <f>IF(COUNTIFS('United Data'!$A$3:$A$2150,L$1,'United Data'!$C$3:$C$2150,$A45,'United Data'!$B$3:$B$2150,"&lt;&gt;P")&gt;0,1,0)</f>
        <v>0</v>
      </c>
      <c r="M45">
        <f>IF(COUNTIFS('United Data'!$A$3:$A$2150,M$1,'United Data'!$C$3:$C$2150,$A45,'United Data'!$B$3:$B$2150,"&lt;&gt;P")&gt;0,1,0)</f>
        <v>0</v>
      </c>
      <c r="N45">
        <f>IF(COUNTIFS('United Data'!$A$3:$A$2150,N$1,'United Data'!$C$3:$C$2150,$A45,'United Data'!$B$3:$B$2150,"&lt;&gt;P")&gt;0,1,0)</f>
        <v>0</v>
      </c>
      <c r="O45">
        <f>IF(COUNTIFS('United Data'!$A$3:$A$2150,O$1,'United Data'!$C$3:$C$2150,$A45,'United Data'!$B$3:$B$2150,"&lt;&gt;P")&gt;0,1,0)</f>
        <v>0</v>
      </c>
      <c r="P45">
        <f>IF(COUNTIFS('United Data'!$A$3:$A$2150,P$1,'United Data'!$C$3:$C$2150,$A45,'United Data'!$B$3:$B$2150,"&lt;&gt;P")&gt;0,1,0)</f>
        <v>0</v>
      </c>
      <c r="Q45">
        <f>IF(COUNTIFS('United Data'!$A$3:$A$2150,Q$1,'United Data'!$C$3:$C$2150,$A45,'United Data'!$B$3:$B$2150,"&lt;&gt;P")&gt;0,1,0)</f>
        <v>0</v>
      </c>
      <c r="R45">
        <f>IF(COUNTIFS('United Data'!$A$3:$A$2150,R$1,'United Data'!$C$3:$C$2150,$A45,'United Data'!$B$3:$B$2150,"&lt;&gt;P")&gt;0,1,0)</f>
        <v>0</v>
      </c>
      <c r="S45">
        <f t="shared" si="0"/>
        <v>1</v>
      </c>
      <c r="T45">
        <f t="shared" si="1"/>
        <v>1</v>
      </c>
    </row>
    <row r="46" spans="1:20" x14ac:dyDescent="0.2">
      <c r="A46" t="s">
        <v>90</v>
      </c>
      <c r="B46">
        <f>IF(COUNTIFS('United Data'!$A$3:$A$2150,B$1,'United Data'!$C$3:$C$2150,$A46,'United Data'!$B$3:$B$2150,"&lt;&gt;P")&gt;0,1,0)</f>
        <v>0</v>
      </c>
      <c r="C46">
        <f>IF(COUNTIFS('United Data'!$A$3:$A$2150,C$1,'United Data'!$C$3:$C$2150,$A46,'United Data'!$B$3:$B$2150,"&lt;&gt;P")&gt;0,1,0)</f>
        <v>0</v>
      </c>
      <c r="D46">
        <f>IF(COUNTIFS('United Data'!$A$3:$A$2150,D$1,'United Data'!$C$3:$C$2150,$A46,'United Data'!$B$3:$B$2150,"&lt;&gt;P")&gt;0,1,0)</f>
        <v>0</v>
      </c>
      <c r="E46">
        <f>IF(COUNTIFS('United Data'!$A$3:$A$2150,E$1,'United Data'!$C$3:$C$2150,$A46,'United Data'!$B$3:$B$2150,"&lt;&gt;P")&gt;0,1,0)</f>
        <v>0</v>
      </c>
      <c r="F46">
        <f>IF(COUNTIFS('United Data'!$A$3:$A$2150,F$1,'United Data'!$C$3:$C$2150,$A46,'United Data'!$B$3:$B$2150,"&lt;&gt;P")&gt;0,1,0)</f>
        <v>1</v>
      </c>
      <c r="G46">
        <f>IF(COUNTIFS('United Data'!$A$3:$A$2150,G$1,'United Data'!$C$3:$C$2150,$A46,'United Data'!$B$3:$B$2150,"&lt;&gt;P")&gt;0,1,0)</f>
        <v>0</v>
      </c>
      <c r="H46">
        <f>IF(COUNTIFS('United Data'!$A$3:$A$2150,H$1,'United Data'!$C$3:$C$2150,$A46,'United Data'!$B$3:$B$2150,"&lt;&gt;P")&gt;0,1,0)</f>
        <v>0</v>
      </c>
      <c r="I46">
        <f>IF(COUNTIFS('United Data'!$A$3:$A$2150,I$1,'United Data'!$C$3:$C$2150,$A46,'United Data'!$B$3:$B$2150,"&lt;&gt;P")&gt;0,1,0)</f>
        <v>0</v>
      </c>
      <c r="J46">
        <f>IF(COUNTIFS('United Data'!$A$3:$A$2150,J$1,'United Data'!$C$3:$C$2150,$A46,'United Data'!$B$3:$B$2150,"&lt;&gt;P")&gt;0,1,0)</f>
        <v>0</v>
      </c>
      <c r="K46">
        <f>IF(COUNTIFS('United Data'!$A$3:$A$2150,K$1,'United Data'!$C$3:$C$2150,$A46,'United Data'!$B$3:$B$2150,"&lt;&gt;P")&gt;0,1,0)</f>
        <v>0</v>
      </c>
      <c r="L46">
        <f>IF(COUNTIFS('United Data'!$A$3:$A$2150,L$1,'United Data'!$C$3:$C$2150,$A46,'United Data'!$B$3:$B$2150,"&lt;&gt;P")&gt;0,1,0)</f>
        <v>0</v>
      </c>
      <c r="M46">
        <f>IF(COUNTIFS('United Data'!$A$3:$A$2150,M$1,'United Data'!$C$3:$C$2150,$A46,'United Data'!$B$3:$B$2150,"&lt;&gt;P")&gt;0,1,0)</f>
        <v>0</v>
      </c>
      <c r="N46">
        <f>IF(COUNTIFS('United Data'!$A$3:$A$2150,N$1,'United Data'!$C$3:$C$2150,$A46,'United Data'!$B$3:$B$2150,"&lt;&gt;P")&gt;0,1,0)</f>
        <v>0</v>
      </c>
      <c r="O46">
        <f>IF(COUNTIFS('United Data'!$A$3:$A$2150,O$1,'United Data'!$C$3:$C$2150,$A46,'United Data'!$B$3:$B$2150,"&lt;&gt;P")&gt;0,1,0)</f>
        <v>0</v>
      </c>
      <c r="P46">
        <f>IF(COUNTIFS('United Data'!$A$3:$A$2150,P$1,'United Data'!$C$3:$C$2150,$A46,'United Data'!$B$3:$B$2150,"&lt;&gt;P")&gt;0,1,0)</f>
        <v>0</v>
      </c>
      <c r="Q46">
        <f>IF(COUNTIFS('United Data'!$A$3:$A$2150,Q$1,'United Data'!$C$3:$C$2150,$A46,'United Data'!$B$3:$B$2150,"&lt;&gt;P")&gt;0,1,0)</f>
        <v>0</v>
      </c>
      <c r="R46">
        <f>IF(COUNTIFS('United Data'!$A$3:$A$2150,R$1,'United Data'!$C$3:$C$2150,$A46,'United Data'!$B$3:$B$2150,"&lt;&gt;P")&gt;0,1,0)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91</v>
      </c>
      <c r="B47">
        <f>IF(COUNTIFS('United Data'!$A$3:$A$2150,B$1,'United Data'!$C$3:$C$2150,$A47,'United Data'!$B$3:$B$2150,"&lt;&gt;P")&gt;0,1,0)</f>
        <v>0</v>
      </c>
      <c r="C47">
        <f>IF(COUNTIFS('United Data'!$A$3:$A$2150,C$1,'United Data'!$C$3:$C$2150,$A47,'United Data'!$B$3:$B$2150,"&lt;&gt;P")&gt;0,1,0)</f>
        <v>0</v>
      </c>
      <c r="D47">
        <f>IF(COUNTIFS('United Data'!$A$3:$A$2150,D$1,'United Data'!$C$3:$C$2150,$A47,'United Data'!$B$3:$B$2150,"&lt;&gt;P")&gt;0,1,0)</f>
        <v>0</v>
      </c>
      <c r="E47">
        <f>IF(COUNTIFS('United Data'!$A$3:$A$2150,E$1,'United Data'!$C$3:$C$2150,$A47,'United Data'!$B$3:$B$2150,"&lt;&gt;P")&gt;0,1,0)</f>
        <v>0</v>
      </c>
      <c r="F47">
        <f>IF(COUNTIFS('United Data'!$A$3:$A$2150,F$1,'United Data'!$C$3:$C$2150,$A47,'United Data'!$B$3:$B$2150,"&lt;&gt;P")&gt;0,1,0)</f>
        <v>1</v>
      </c>
      <c r="G47">
        <f>IF(COUNTIFS('United Data'!$A$3:$A$2150,G$1,'United Data'!$C$3:$C$2150,$A47,'United Data'!$B$3:$B$2150,"&lt;&gt;P")&gt;0,1,0)</f>
        <v>0</v>
      </c>
      <c r="H47">
        <f>IF(COUNTIFS('United Data'!$A$3:$A$2150,H$1,'United Data'!$C$3:$C$2150,$A47,'United Data'!$B$3:$B$2150,"&lt;&gt;P")&gt;0,1,0)</f>
        <v>1</v>
      </c>
      <c r="I47">
        <f>IF(COUNTIFS('United Data'!$A$3:$A$2150,I$1,'United Data'!$C$3:$C$2150,$A47,'United Data'!$B$3:$B$2150,"&lt;&gt;P")&gt;0,1,0)</f>
        <v>0</v>
      </c>
      <c r="J47">
        <f>IF(COUNTIFS('United Data'!$A$3:$A$2150,J$1,'United Data'!$C$3:$C$2150,$A47,'United Data'!$B$3:$B$2150,"&lt;&gt;P")&gt;0,1,0)</f>
        <v>0</v>
      </c>
      <c r="K47">
        <f>IF(COUNTIFS('United Data'!$A$3:$A$2150,K$1,'United Data'!$C$3:$C$2150,$A47,'United Data'!$B$3:$B$2150,"&lt;&gt;P")&gt;0,1,0)</f>
        <v>0</v>
      </c>
      <c r="L47">
        <f>IF(COUNTIFS('United Data'!$A$3:$A$2150,L$1,'United Data'!$C$3:$C$2150,$A47,'United Data'!$B$3:$B$2150,"&lt;&gt;P")&gt;0,1,0)</f>
        <v>0</v>
      </c>
      <c r="M47">
        <f>IF(COUNTIFS('United Data'!$A$3:$A$2150,M$1,'United Data'!$C$3:$C$2150,$A47,'United Data'!$B$3:$B$2150,"&lt;&gt;P")&gt;0,1,0)</f>
        <v>0</v>
      </c>
      <c r="N47">
        <f>IF(COUNTIFS('United Data'!$A$3:$A$2150,N$1,'United Data'!$C$3:$C$2150,$A47,'United Data'!$B$3:$B$2150,"&lt;&gt;P")&gt;0,1,0)</f>
        <v>0</v>
      </c>
      <c r="O47">
        <f>IF(COUNTIFS('United Data'!$A$3:$A$2150,O$1,'United Data'!$C$3:$C$2150,$A47,'United Data'!$B$3:$B$2150,"&lt;&gt;P")&gt;0,1,0)</f>
        <v>0</v>
      </c>
      <c r="P47">
        <f>IF(COUNTIFS('United Data'!$A$3:$A$2150,P$1,'United Data'!$C$3:$C$2150,$A47,'United Data'!$B$3:$B$2150,"&lt;&gt;P")&gt;0,1,0)</f>
        <v>0</v>
      </c>
      <c r="Q47">
        <f>IF(COUNTIFS('United Data'!$A$3:$A$2150,Q$1,'United Data'!$C$3:$C$2150,$A47,'United Data'!$B$3:$B$2150,"&lt;&gt;P")&gt;0,1,0)</f>
        <v>0</v>
      </c>
      <c r="R47">
        <f>IF(COUNTIFS('United Data'!$A$3:$A$2150,R$1,'United Data'!$C$3:$C$2150,$A47,'United Data'!$B$3:$B$2150,"&lt;&gt;P")&gt;0,1,0)</f>
        <v>0</v>
      </c>
      <c r="S47">
        <f t="shared" si="0"/>
        <v>2</v>
      </c>
      <c r="T47">
        <f t="shared" si="1"/>
        <v>2</v>
      </c>
    </row>
    <row r="48" spans="1:20" x14ac:dyDescent="0.2">
      <c r="A48" t="s">
        <v>92</v>
      </c>
      <c r="B48">
        <f>IF(COUNTIFS('United Data'!$A$3:$A$2150,B$1,'United Data'!$C$3:$C$2150,$A48,'United Data'!$B$3:$B$2150,"&lt;&gt;P")&gt;0,1,0)</f>
        <v>0</v>
      </c>
      <c r="C48">
        <f>IF(COUNTIFS('United Data'!$A$3:$A$2150,C$1,'United Data'!$C$3:$C$2150,$A48,'United Data'!$B$3:$B$2150,"&lt;&gt;P")&gt;0,1,0)</f>
        <v>0</v>
      </c>
      <c r="D48">
        <f>IF(COUNTIFS('United Data'!$A$3:$A$2150,D$1,'United Data'!$C$3:$C$2150,$A48,'United Data'!$B$3:$B$2150,"&lt;&gt;P")&gt;0,1,0)</f>
        <v>0</v>
      </c>
      <c r="E48">
        <f>IF(COUNTIFS('United Data'!$A$3:$A$2150,E$1,'United Data'!$C$3:$C$2150,$A48,'United Data'!$B$3:$B$2150,"&lt;&gt;P")&gt;0,1,0)</f>
        <v>0</v>
      </c>
      <c r="F48">
        <f>IF(COUNTIFS('United Data'!$A$3:$A$2150,F$1,'United Data'!$C$3:$C$2150,$A48,'United Data'!$B$3:$B$2150,"&lt;&gt;P")&gt;0,1,0)</f>
        <v>1</v>
      </c>
      <c r="G48">
        <f>IF(COUNTIFS('United Data'!$A$3:$A$2150,G$1,'United Data'!$C$3:$C$2150,$A48,'United Data'!$B$3:$B$2150,"&lt;&gt;P")&gt;0,1,0)</f>
        <v>0</v>
      </c>
      <c r="H48">
        <f>IF(COUNTIFS('United Data'!$A$3:$A$2150,H$1,'United Data'!$C$3:$C$2150,$A48,'United Data'!$B$3:$B$2150,"&lt;&gt;P")&gt;0,1,0)</f>
        <v>0</v>
      </c>
      <c r="I48">
        <f>IF(COUNTIFS('United Data'!$A$3:$A$2150,I$1,'United Data'!$C$3:$C$2150,$A48,'United Data'!$B$3:$B$2150,"&lt;&gt;P")&gt;0,1,0)</f>
        <v>0</v>
      </c>
      <c r="J48">
        <f>IF(COUNTIFS('United Data'!$A$3:$A$2150,J$1,'United Data'!$C$3:$C$2150,$A48,'United Data'!$B$3:$B$2150,"&lt;&gt;P")&gt;0,1,0)</f>
        <v>0</v>
      </c>
      <c r="K48">
        <f>IF(COUNTIFS('United Data'!$A$3:$A$2150,K$1,'United Data'!$C$3:$C$2150,$A48,'United Data'!$B$3:$B$2150,"&lt;&gt;P")&gt;0,1,0)</f>
        <v>0</v>
      </c>
      <c r="L48">
        <f>IF(COUNTIFS('United Data'!$A$3:$A$2150,L$1,'United Data'!$C$3:$C$2150,$A48,'United Data'!$B$3:$B$2150,"&lt;&gt;P")&gt;0,1,0)</f>
        <v>0</v>
      </c>
      <c r="M48">
        <f>IF(COUNTIFS('United Data'!$A$3:$A$2150,M$1,'United Data'!$C$3:$C$2150,$A48,'United Data'!$B$3:$B$2150,"&lt;&gt;P")&gt;0,1,0)</f>
        <v>0</v>
      </c>
      <c r="N48">
        <f>IF(COUNTIFS('United Data'!$A$3:$A$2150,N$1,'United Data'!$C$3:$C$2150,$A48,'United Data'!$B$3:$B$2150,"&lt;&gt;P")&gt;0,1,0)</f>
        <v>0</v>
      </c>
      <c r="O48">
        <f>IF(COUNTIFS('United Data'!$A$3:$A$2150,O$1,'United Data'!$C$3:$C$2150,$A48,'United Data'!$B$3:$B$2150,"&lt;&gt;P")&gt;0,1,0)</f>
        <v>0</v>
      </c>
      <c r="P48">
        <f>IF(COUNTIFS('United Data'!$A$3:$A$2150,P$1,'United Data'!$C$3:$C$2150,$A48,'United Data'!$B$3:$B$2150,"&lt;&gt;P")&gt;0,1,0)</f>
        <v>1</v>
      </c>
      <c r="Q48">
        <f>IF(COUNTIFS('United Data'!$A$3:$A$2150,Q$1,'United Data'!$C$3:$C$2150,$A48,'United Data'!$B$3:$B$2150,"&lt;&gt;P")&gt;0,1,0)</f>
        <v>0</v>
      </c>
      <c r="R48">
        <f>IF(COUNTIFS('United Data'!$A$3:$A$2150,R$1,'United Data'!$C$3:$C$2150,$A48,'United Data'!$B$3:$B$2150,"&lt;&gt;P")&gt;0,1,0)</f>
        <v>0</v>
      </c>
      <c r="S48">
        <f t="shared" si="0"/>
        <v>2</v>
      </c>
      <c r="T48">
        <f t="shared" si="1"/>
        <v>2</v>
      </c>
    </row>
    <row r="49" spans="1:20" x14ac:dyDescent="0.2">
      <c r="A49" t="s">
        <v>93</v>
      </c>
      <c r="B49">
        <f>IF(COUNTIFS('United Data'!$A$3:$A$2150,B$1,'United Data'!$C$3:$C$2150,$A49,'United Data'!$B$3:$B$2150,"&lt;&gt;P")&gt;0,1,0)</f>
        <v>0</v>
      </c>
      <c r="C49">
        <f>IF(COUNTIFS('United Data'!$A$3:$A$2150,C$1,'United Data'!$C$3:$C$2150,$A49,'United Data'!$B$3:$B$2150,"&lt;&gt;P")&gt;0,1,0)</f>
        <v>0</v>
      </c>
      <c r="D49">
        <f>IF(COUNTIFS('United Data'!$A$3:$A$2150,D$1,'United Data'!$C$3:$C$2150,$A49,'United Data'!$B$3:$B$2150,"&lt;&gt;P")&gt;0,1,0)</f>
        <v>0</v>
      </c>
      <c r="E49">
        <f>IF(COUNTIFS('United Data'!$A$3:$A$2150,E$1,'United Data'!$C$3:$C$2150,$A49,'United Data'!$B$3:$B$2150,"&lt;&gt;P")&gt;0,1,0)</f>
        <v>0</v>
      </c>
      <c r="F49">
        <f>IF(COUNTIFS('United Data'!$A$3:$A$2150,F$1,'United Data'!$C$3:$C$2150,$A49,'United Data'!$B$3:$B$2150,"&lt;&gt;P")&gt;0,1,0)</f>
        <v>1</v>
      </c>
      <c r="G49">
        <f>IF(COUNTIFS('United Data'!$A$3:$A$2150,G$1,'United Data'!$C$3:$C$2150,$A49,'United Data'!$B$3:$B$2150,"&lt;&gt;P")&gt;0,1,0)</f>
        <v>0</v>
      </c>
      <c r="H49">
        <f>IF(COUNTIFS('United Data'!$A$3:$A$2150,H$1,'United Data'!$C$3:$C$2150,$A49,'United Data'!$B$3:$B$2150,"&lt;&gt;P")&gt;0,1,0)</f>
        <v>0</v>
      </c>
      <c r="I49">
        <f>IF(COUNTIFS('United Data'!$A$3:$A$2150,I$1,'United Data'!$C$3:$C$2150,$A49,'United Data'!$B$3:$B$2150,"&lt;&gt;P")&gt;0,1,0)</f>
        <v>0</v>
      </c>
      <c r="J49">
        <f>IF(COUNTIFS('United Data'!$A$3:$A$2150,J$1,'United Data'!$C$3:$C$2150,$A49,'United Data'!$B$3:$B$2150,"&lt;&gt;P")&gt;0,1,0)</f>
        <v>1</v>
      </c>
      <c r="K49">
        <f>IF(COUNTIFS('United Data'!$A$3:$A$2150,K$1,'United Data'!$C$3:$C$2150,$A49,'United Data'!$B$3:$B$2150,"&lt;&gt;P")&gt;0,1,0)</f>
        <v>1</v>
      </c>
      <c r="L49">
        <f>IF(COUNTIFS('United Data'!$A$3:$A$2150,L$1,'United Data'!$C$3:$C$2150,$A49,'United Data'!$B$3:$B$2150,"&lt;&gt;P")&gt;0,1,0)</f>
        <v>1</v>
      </c>
      <c r="M49">
        <f>IF(COUNTIFS('United Data'!$A$3:$A$2150,M$1,'United Data'!$C$3:$C$2150,$A49,'United Data'!$B$3:$B$2150,"&lt;&gt;P")&gt;0,1,0)</f>
        <v>0</v>
      </c>
      <c r="N49">
        <f>IF(COUNTIFS('United Data'!$A$3:$A$2150,N$1,'United Data'!$C$3:$C$2150,$A49,'United Data'!$B$3:$B$2150,"&lt;&gt;P")&gt;0,1,0)</f>
        <v>0</v>
      </c>
      <c r="O49">
        <f>IF(COUNTIFS('United Data'!$A$3:$A$2150,O$1,'United Data'!$C$3:$C$2150,$A49,'United Data'!$B$3:$B$2150,"&lt;&gt;P")&gt;0,1,0)</f>
        <v>0</v>
      </c>
      <c r="P49">
        <f>IF(COUNTIFS('United Data'!$A$3:$A$2150,P$1,'United Data'!$C$3:$C$2150,$A49,'United Data'!$B$3:$B$2150,"&lt;&gt;P")&gt;0,1,0)</f>
        <v>0</v>
      </c>
      <c r="Q49">
        <f>IF(COUNTIFS('United Data'!$A$3:$A$2150,Q$1,'United Data'!$C$3:$C$2150,$A49,'United Data'!$B$3:$B$2150,"&lt;&gt;P")&gt;0,1,0)</f>
        <v>0</v>
      </c>
      <c r="R49">
        <f>IF(COUNTIFS('United Data'!$A$3:$A$2150,R$1,'United Data'!$C$3:$C$2150,$A49,'United Data'!$B$3:$B$2150,"&lt;&gt;P")&gt;0,1,0)</f>
        <v>0</v>
      </c>
      <c r="S49">
        <f t="shared" si="0"/>
        <v>4</v>
      </c>
      <c r="T49">
        <f t="shared" si="1"/>
        <v>2</v>
      </c>
    </row>
    <row r="50" spans="1:20" x14ac:dyDescent="0.2">
      <c r="A50" t="s">
        <v>95</v>
      </c>
      <c r="B50">
        <f>IF(COUNTIFS('United Data'!$A$3:$A$2150,B$1,'United Data'!$C$3:$C$2150,$A50,'United Data'!$B$3:$B$2150,"&lt;&gt;P")&gt;0,1,0)</f>
        <v>0</v>
      </c>
      <c r="C50">
        <f>IF(COUNTIFS('United Data'!$A$3:$A$2150,C$1,'United Data'!$C$3:$C$2150,$A50,'United Data'!$B$3:$B$2150,"&lt;&gt;P")&gt;0,1,0)</f>
        <v>0</v>
      </c>
      <c r="D50">
        <f>IF(COUNTIFS('United Data'!$A$3:$A$2150,D$1,'United Data'!$C$3:$C$2150,$A50,'United Data'!$B$3:$B$2150,"&lt;&gt;P")&gt;0,1,0)</f>
        <v>0</v>
      </c>
      <c r="E50">
        <f>IF(COUNTIFS('United Data'!$A$3:$A$2150,E$1,'United Data'!$C$3:$C$2150,$A50,'United Data'!$B$3:$B$2150,"&lt;&gt;P")&gt;0,1,0)</f>
        <v>0</v>
      </c>
      <c r="F50">
        <f>IF(COUNTIFS('United Data'!$A$3:$A$2150,F$1,'United Data'!$C$3:$C$2150,$A50,'United Data'!$B$3:$B$2150,"&lt;&gt;P")&gt;0,1,0)</f>
        <v>1</v>
      </c>
      <c r="G50">
        <f>IF(COUNTIFS('United Data'!$A$3:$A$2150,G$1,'United Data'!$C$3:$C$2150,$A50,'United Data'!$B$3:$B$2150,"&lt;&gt;P")&gt;0,1,0)</f>
        <v>1</v>
      </c>
      <c r="H50">
        <f>IF(COUNTIFS('United Data'!$A$3:$A$2150,H$1,'United Data'!$C$3:$C$2150,$A50,'United Data'!$B$3:$B$2150,"&lt;&gt;P")&gt;0,1,0)</f>
        <v>1</v>
      </c>
      <c r="I50">
        <f>IF(COUNTIFS('United Data'!$A$3:$A$2150,I$1,'United Data'!$C$3:$C$2150,$A50,'United Data'!$B$3:$B$2150,"&lt;&gt;P")&gt;0,1,0)</f>
        <v>1</v>
      </c>
      <c r="J50">
        <f>IF(COUNTIFS('United Data'!$A$3:$A$2150,J$1,'United Data'!$C$3:$C$2150,$A50,'United Data'!$B$3:$B$2150,"&lt;&gt;P")&gt;0,1,0)</f>
        <v>1</v>
      </c>
      <c r="K50">
        <f>IF(COUNTIFS('United Data'!$A$3:$A$2150,K$1,'United Data'!$C$3:$C$2150,$A50,'United Data'!$B$3:$B$2150,"&lt;&gt;P")&gt;0,1,0)</f>
        <v>1</v>
      </c>
      <c r="L50">
        <f>IF(COUNTIFS('United Data'!$A$3:$A$2150,L$1,'United Data'!$C$3:$C$2150,$A50,'United Data'!$B$3:$B$2150,"&lt;&gt;P")&gt;0,1,0)</f>
        <v>1</v>
      </c>
      <c r="M50">
        <f>IF(COUNTIFS('United Data'!$A$3:$A$2150,M$1,'United Data'!$C$3:$C$2150,$A50,'United Data'!$B$3:$B$2150,"&lt;&gt;P")&gt;0,1,0)</f>
        <v>1</v>
      </c>
      <c r="N50">
        <f>IF(COUNTIFS('United Data'!$A$3:$A$2150,N$1,'United Data'!$C$3:$C$2150,$A50,'United Data'!$B$3:$B$2150,"&lt;&gt;P")&gt;0,1,0)</f>
        <v>0</v>
      </c>
      <c r="O50">
        <f>IF(COUNTIFS('United Data'!$A$3:$A$2150,O$1,'United Data'!$C$3:$C$2150,$A50,'United Data'!$B$3:$B$2150,"&lt;&gt;P")&gt;0,1,0)</f>
        <v>0</v>
      </c>
      <c r="P50">
        <f>IF(COUNTIFS('United Data'!$A$3:$A$2150,P$1,'United Data'!$C$3:$C$2150,$A50,'United Data'!$B$3:$B$2150,"&lt;&gt;P")&gt;0,1,0)</f>
        <v>0</v>
      </c>
      <c r="Q50">
        <f>IF(COUNTIFS('United Data'!$A$3:$A$2150,Q$1,'United Data'!$C$3:$C$2150,$A50,'United Data'!$B$3:$B$2150,"&lt;&gt;P")&gt;0,1,0)</f>
        <v>0</v>
      </c>
      <c r="R50">
        <f>IF(COUNTIFS('United Data'!$A$3:$A$2150,R$1,'United Data'!$C$3:$C$2150,$A50,'United Data'!$B$3:$B$2150,"&lt;&gt;P")&gt;0,1,0)</f>
        <v>0</v>
      </c>
      <c r="S50">
        <f t="shared" si="0"/>
        <v>8</v>
      </c>
      <c r="T50">
        <f t="shared" si="1"/>
        <v>1</v>
      </c>
    </row>
    <row r="51" spans="1:20" x14ac:dyDescent="0.2">
      <c r="A51" t="s">
        <v>96</v>
      </c>
      <c r="B51">
        <f>IF(COUNTIFS('United Data'!$A$3:$A$2150,B$1,'United Data'!$C$3:$C$2150,$A51,'United Data'!$B$3:$B$2150,"&lt;&gt;P")&gt;0,1,0)</f>
        <v>0</v>
      </c>
      <c r="C51">
        <f>IF(COUNTIFS('United Data'!$A$3:$A$2150,C$1,'United Data'!$C$3:$C$2150,$A51,'United Data'!$B$3:$B$2150,"&lt;&gt;P")&gt;0,1,0)</f>
        <v>0</v>
      </c>
      <c r="D51">
        <f>IF(COUNTIFS('United Data'!$A$3:$A$2150,D$1,'United Data'!$C$3:$C$2150,$A51,'United Data'!$B$3:$B$2150,"&lt;&gt;P")&gt;0,1,0)</f>
        <v>0</v>
      </c>
      <c r="E51">
        <f>IF(COUNTIFS('United Data'!$A$3:$A$2150,E$1,'United Data'!$C$3:$C$2150,$A51,'United Data'!$B$3:$B$2150,"&lt;&gt;P")&gt;0,1,0)</f>
        <v>0</v>
      </c>
      <c r="F51">
        <f>IF(COUNTIFS('United Data'!$A$3:$A$2150,F$1,'United Data'!$C$3:$C$2150,$A51,'United Data'!$B$3:$B$2150,"&lt;&gt;P")&gt;0,1,0)</f>
        <v>1</v>
      </c>
      <c r="G51">
        <f>IF(COUNTIFS('United Data'!$A$3:$A$2150,G$1,'United Data'!$C$3:$C$2150,$A51,'United Data'!$B$3:$B$2150,"&lt;&gt;P")&gt;0,1,0)</f>
        <v>0</v>
      </c>
      <c r="H51">
        <f>IF(COUNTIFS('United Data'!$A$3:$A$2150,H$1,'United Data'!$C$3:$C$2150,$A51,'United Data'!$B$3:$B$2150,"&lt;&gt;P")&gt;0,1,0)</f>
        <v>0</v>
      </c>
      <c r="I51">
        <f>IF(COUNTIFS('United Data'!$A$3:$A$2150,I$1,'United Data'!$C$3:$C$2150,$A51,'United Data'!$B$3:$B$2150,"&lt;&gt;P")&gt;0,1,0)</f>
        <v>0</v>
      </c>
      <c r="J51">
        <f>IF(COUNTIFS('United Data'!$A$3:$A$2150,J$1,'United Data'!$C$3:$C$2150,$A51,'United Data'!$B$3:$B$2150,"&lt;&gt;P")&gt;0,1,0)</f>
        <v>0</v>
      </c>
      <c r="K51">
        <f>IF(COUNTIFS('United Data'!$A$3:$A$2150,K$1,'United Data'!$C$3:$C$2150,$A51,'United Data'!$B$3:$B$2150,"&lt;&gt;P")&gt;0,1,0)</f>
        <v>0</v>
      </c>
      <c r="L51">
        <f>IF(COUNTIFS('United Data'!$A$3:$A$2150,L$1,'United Data'!$C$3:$C$2150,$A51,'United Data'!$B$3:$B$2150,"&lt;&gt;P")&gt;0,1,0)</f>
        <v>0</v>
      </c>
      <c r="M51">
        <f>IF(COUNTIFS('United Data'!$A$3:$A$2150,M$1,'United Data'!$C$3:$C$2150,$A51,'United Data'!$B$3:$B$2150,"&lt;&gt;P")&gt;0,1,0)</f>
        <v>0</v>
      </c>
      <c r="N51">
        <f>IF(COUNTIFS('United Data'!$A$3:$A$2150,N$1,'United Data'!$C$3:$C$2150,$A51,'United Data'!$B$3:$B$2150,"&lt;&gt;P")&gt;0,1,0)</f>
        <v>0</v>
      </c>
      <c r="O51">
        <f>IF(COUNTIFS('United Data'!$A$3:$A$2150,O$1,'United Data'!$C$3:$C$2150,$A51,'United Data'!$B$3:$B$2150,"&lt;&gt;P")&gt;0,1,0)</f>
        <v>0</v>
      </c>
      <c r="P51">
        <f>IF(COUNTIFS('United Data'!$A$3:$A$2150,P$1,'United Data'!$C$3:$C$2150,$A51,'United Data'!$B$3:$B$2150,"&lt;&gt;P")&gt;0,1,0)</f>
        <v>0</v>
      </c>
      <c r="Q51">
        <f>IF(COUNTIFS('United Data'!$A$3:$A$2150,Q$1,'United Data'!$C$3:$C$2150,$A51,'United Data'!$B$3:$B$2150,"&lt;&gt;P")&gt;0,1,0)</f>
        <v>0</v>
      </c>
      <c r="R51">
        <f>IF(COUNTIFS('United Data'!$A$3:$A$2150,R$1,'United Data'!$C$3:$C$2150,$A51,'United Data'!$B$3:$B$2150,"&lt;&gt;P")&gt;0,1,0)</f>
        <v>0</v>
      </c>
      <c r="S51">
        <f t="shared" si="0"/>
        <v>1</v>
      </c>
      <c r="T51">
        <f t="shared" si="1"/>
        <v>1</v>
      </c>
    </row>
    <row r="52" spans="1:20" x14ac:dyDescent="0.2">
      <c r="A52" t="s">
        <v>97</v>
      </c>
      <c r="B52">
        <f>IF(COUNTIFS('United Data'!$A$3:$A$2150,B$1,'United Data'!$C$3:$C$2150,$A52,'United Data'!$B$3:$B$2150,"&lt;&gt;P")&gt;0,1,0)</f>
        <v>0</v>
      </c>
      <c r="C52">
        <f>IF(COUNTIFS('United Data'!$A$3:$A$2150,C$1,'United Data'!$C$3:$C$2150,$A52,'United Data'!$B$3:$B$2150,"&lt;&gt;P")&gt;0,1,0)</f>
        <v>0</v>
      </c>
      <c r="D52">
        <f>IF(COUNTIFS('United Data'!$A$3:$A$2150,D$1,'United Data'!$C$3:$C$2150,$A52,'United Data'!$B$3:$B$2150,"&lt;&gt;P")&gt;0,1,0)</f>
        <v>0</v>
      </c>
      <c r="E52">
        <f>IF(COUNTIFS('United Data'!$A$3:$A$2150,E$1,'United Data'!$C$3:$C$2150,$A52,'United Data'!$B$3:$B$2150,"&lt;&gt;P")&gt;0,1,0)</f>
        <v>0</v>
      </c>
      <c r="F52">
        <f>IF(COUNTIFS('United Data'!$A$3:$A$2150,F$1,'United Data'!$C$3:$C$2150,$A52,'United Data'!$B$3:$B$2150,"&lt;&gt;P")&gt;0,1,0)</f>
        <v>1</v>
      </c>
      <c r="G52">
        <f>IF(COUNTIFS('United Data'!$A$3:$A$2150,G$1,'United Data'!$C$3:$C$2150,$A52,'United Data'!$B$3:$B$2150,"&lt;&gt;P")&gt;0,1,0)</f>
        <v>1</v>
      </c>
      <c r="H52">
        <f>IF(COUNTIFS('United Data'!$A$3:$A$2150,H$1,'United Data'!$C$3:$C$2150,$A52,'United Data'!$B$3:$B$2150,"&lt;&gt;P")&gt;0,1,0)</f>
        <v>1</v>
      </c>
      <c r="I52">
        <f>IF(COUNTIFS('United Data'!$A$3:$A$2150,I$1,'United Data'!$C$3:$C$2150,$A52,'United Data'!$B$3:$B$2150,"&lt;&gt;P")&gt;0,1,0)</f>
        <v>1</v>
      </c>
      <c r="J52">
        <f>IF(COUNTIFS('United Data'!$A$3:$A$2150,J$1,'United Data'!$C$3:$C$2150,$A52,'United Data'!$B$3:$B$2150,"&lt;&gt;P")&gt;0,1,0)</f>
        <v>0</v>
      </c>
      <c r="K52">
        <f>IF(COUNTIFS('United Data'!$A$3:$A$2150,K$1,'United Data'!$C$3:$C$2150,$A52,'United Data'!$B$3:$B$2150,"&lt;&gt;P")&gt;0,1,0)</f>
        <v>0</v>
      </c>
      <c r="L52">
        <f>IF(COUNTIFS('United Data'!$A$3:$A$2150,L$1,'United Data'!$C$3:$C$2150,$A52,'United Data'!$B$3:$B$2150,"&lt;&gt;P")&gt;0,1,0)</f>
        <v>0</v>
      </c>
      <c r="M52">
        <f>IF(COUNTIFS('United Data'!$A$3:$A$2150,M$1,'United Data'!$C$3:$C$2150,$A52,'United Data'!$B$3:$B$2150,"&lt;&gt;P")&gt;0,1,0)</f>
        <v>0</v>
      </c>
      <c r="N52">
        <f>IF(COUNTIFS('United Data'!$A$3:$A$2150,N$1,'United Data'!$C$3:$C$2150,$A52,'United Data'!$B$3:$B$2150,"&lt;&gt;P")&gt;0,1,0)</f>
        <v>0</v>
      </c>
      <c r="O52">
        <f>IF(COUNTIFS('United Data'!$A$3:$A$2150,O$1,'United Data'!$C$3:$C$2150,$A52,'United Data'!$B$3:$B$2150,"&lt;&gt;P")&gt;0,1,0)</f>
        <v>0</v>
      </c>
      <c r="P52">
        <f>IF(COUNTIFS('United Data'!$A$3:$A$2150,P$1,'United Data'!$C$3:$C$2150,$A52,'United Data'!$B$3:$B$2150,"&lt;&gt;P")&gt;0,1,0)</f>
        <v>0</v>
      </c>
      <c r="Q52">
        <f>IF(COUNTIFS('United Data'!$A$3:$A$2150,Q$1,'United Data'!$C$3:$C$2150,$A52,'United Data'!$B$3:$B$2150,"&lt;&gt;P")&gt;0,1,0)</f>
        <v>0</v>
      </c>
      <c r="R52">
        <f>IF(COUNTIFS('United Data'!$A$3:$A$2150,R$1,'United Data'!$C$3:$C$2150,$A52,'United Data'!$B$3:$B$2150,"&lt;&gt;P")&gt;0,1,0)</f>
        <v>0</v>
      </c>
      <c r="S52">
        <f t="shared" si="0"/>
        <v>4</v>
      </c>
      <c r="T52">
        <f t="shared" si="1"/>
        <v>1</v>
      </c>
    </row>
    <row r="53" spans="1:20" x14ac:dyDescent="0.2">
      <c r="A53" t="s">
        <v>98</v>
      </c>
      <c r="B53">
        <f>IF(COUNTIFS('United Data'!$A$3:$A$2150,B$1,'United Data'!$C$3:$C$2150,$A53,'United Data'!$B$3:$B$2150,"&lt;&gt;P")&gt;0,1,0)</f>
        <v>0</v>
      </c>
      <c r="C53">
        <f>IF(COUNTIFS('United Data'!$A$3:$A$2150,C$1,'United Data'!$C$3:$C$2150,$A53,'United Data'!$B$3:$B$2150,"&lt;&gt;P")&gt;0,1,0)</f>
        <v>0</v>
      </c>
      <c r="D53">
        <f>IF(COUNTIFS('United Data'!$A$3:$A$2150,D$1,'United Data'!$C$3:$C$2150,$A53,'United Data'!$B$3:$B$2150,"&lt;&gt;P")&gt;0,1,0)</f>
        <v>0</v>
      </c>
      <c r="E53">
        <f>IF(COUNTIFS('United Data'!$A$3:$A$2150,E$1,'United Data'!$C$3:$C$2150,$A53,'United Data'!$B$3:$B$2150,"&lt;&gt;P")&gt;0,1,0)</f>
        <v>0</v>
      </c>
      <c r="F53">
        <f>IF(COUNTIFS('United Data'!$A$3:$A$2150,F$1,'United Data'!$C$3:$C$2150,$A53,'United Data'!$B$3:$B$2150,"&lt;&gt;P")&gt;0,1,0)</f>
        <v>1</v>
      </c>
      <c r="G53">
        <f>IF(COUNTIFS('United Data'!$A$3:$A$2150,G$1,'United Data'!$C$3:$C$2150,$A53,'United Data'!$B$3:$B$2150,"&lt;&gt;P")&gt;0,1,0)</f>
        <v>1</v>
      </c>
      <c r="H53">
        <f>IF(COUNTIFS('United Data'!$A$3:$A$2150,H$1,'United Data'!$C$3:$C$2150,$A53,'United Data'!$B$3:$B$2150,"&lt;&gt;P")&gt;0,1,0)</f>
        <v>1</v>
      </c>
      <c r="I53">
        <f>IF(COUNTIFS('United Data'!$A$3:$A$2150,I$1,'United Data'!$C$3:$C$2150,$A53,'United Data'!$B$3:$B$2150,"&lt;&gt;P")&gt;0,1,0)</f>
        <v>1</v>
      </c>
      <c r="J53">
        <f>IF(COUNTIFS('United Data'!$A$3:$A$2150,J$1,'United Data'!$C$3:$C$2150,$A53,'United Data'!$B$3:$B$2150,"&lt;&gt;P")&gt;0,1,0)</f>
        <v>0</v>
      </c>
      <c r="K53">
        <f>IF(COUNTIFS('United Data'!$A$3:$A$2150,K$1,'United Data'!$C$3:$C$2150,$A53,'United Data'!$B$3:$B$2150,"&lt;&gt;P")&gt;0,1,0)</f>
        <v>0</v>
      </c>
      <c r="L53">
        <f>IF(COUNTIFS('United Data'!$A$3:$A$2150,L$1,'United Data'!$C$3:$C$2150,$A53,'United Data'!$B$3:$B$2150,"&lt;&gt;P")&gt;0,1,0)</f>
        <v>0</v>
      </c>
      <c r="M53">
        <f>IF(COUNTIFS('United Data'!$A$3:$A$2150,M$1,'United Data'!$C$3:$C$2150,$A53,'United Data'!$B$3:$B$2150,"&lt;&gt;P")&gt;0,1,0)</f>
        <v>0</v>
      </c>
      <c r="N53">
        <f>IF(COUNTIFS('United Data'!$A$3:$A$2150,N$1,'United Data'!$C$3:$C$2150,$A53,'United Data'!$B$3:$B$2150,"&lt;&gt;P")&gt;0,1,0)</f>
        <v>0</v>
      </c>
      <c r="O53">
        <f>IF(COUNTIFS('United Data'!$A$3:$A$2150,O$1,'United Data'!$C$3:$C$2150,$A53,'United Data'!$B$3:$B$2150,"&lt;&gt;P")&gt;0,1,0)</f>
        <v>0</v>
      </c>
      <c r="P53">
        <f>IF(COUNTIFS('United Data'!$A$3:$A$2150,P$1,'United Data'!$C$3:$C$2150,$A53,'United Data'!$B$3:$B$2150,"&lt;&gt;P")&gt;0,1,0)</f>
        <v>0</v>
      </c>
      <c r="Q53">
        <f>IF(COUNTIFS('United Data'!$A$3:$A$2150,Q$1,'United Data'!$C$3:$C$2150,$A53,'United Data'!$B$3:$B$2150,"&lt;&gt;P")&gt;0,1,0)</f>
        <v>0</v>
      </c>
      <c r="R53">
        <f>IF(COUNTIFS('United Data'!$A$3:$A$2150,R$1,'United Data'!$C$3:$C$2150,$A53,'United Data'!$B$3:$B$2150,"&lt;&gt;P")&gt;0,1,0)</f>
        <v>0</v>
      </c>
      <c r="S53">
        <f t="shared" si="0"/>
        <v>4</v>
      </c>
      <c r="T53">
        <f t="shared" si="1"/>
        <v>1</v>
      </c>
    </row>
    <row r="54" spans="1:20" x14ac:dyDescent="0.2">
      <c r="A54" t="s">
        <v>99</v>
      </c>
      <c r="B54">
        <f>IF(COUNTIFS('United Data'!$A$3:$A$2150,B$1,'United Data'!$C$3:$C$2150,$A54,'United Data'!$B$3:$B$2150,"&lt;&gt;P")&gt;0,1,0)</f>
        <v>0</v>
      </c>
      <c r="C54">
        <f>IF(COUNTIFS('United Data'!$A$3:$A$2150,C$1,'United Data'!$C$3:$C$2150,$A54,'United Data'!$B$3:$B$2150,"&lt;&gt;P")&gt;0,1,0)</f>
        <v>0</v>
      </c>
      <c r="D54">
        <f>IF(COUNTIFS('United Data'!$A$3:$A$2150,D$1,'United Data'!$C$3:$C$2150,$A54,'United Data'!$B$3:$B$2150,"&lt;&gt;P")&gt;0,1,0)</f>
        <v>0</v>
      </c>
      <c r="E54">
        <f>IF(COUNTIFS('United Data'!$A$3:$A$2150,E$1,'United Data'!$C$3:$C$2150,$A54,'United Data'!$B$3:$B$2150,"&lt;&gt;P")&gt;0,1,0)</f>
        <v>0</v>
      </c>
      <c r="F54">
        <f>IF(COUNTIFS('United Data'!$A$3:$A$2150,F$1,'United Data'!$C$3:$C$2150,$A54,'United Data'!$B$3:$B$2150,"&lt;&gt;P")&gt;0,1,0)</f>
        <v>1</v>
      </c>
      <c r="G54">
        <f>IF(COUNTIFS('United Data'!$A$3:$A$2150,G$1,'United Data'!$C$3:$C$2150,$A54,'United Data'!$B$3:$B$2150,"&lt;&gt;P")&gt;0,1,0)</f>
        <v>0</v>
      </c>
      <c r="H54">
        <f>IF(COUNTIFS('United Data'!$A$3:$A$2150,H$1,'United Data'!$C$3:$C$2150,$A54,'United Data'!$B$3:$B$2150,"&lt;&gt;P")&gt;0,1,0)</f>
        <v>0</v>
      </c>
      <c r="I54">
        <f>IF(COUNTIFS('United Data'!$A$3:$A$2150,I$1,'United Data'!$C$3:$C$2150,$A54,'United Data'!$B$3:$B$2150,"&lt;&gt;P")&gt;0,1,0)</f>
        <v>0</v>
      </c>
      <c r="J54">
        <f>IF(COUNTIFS('United Data'!$A$3:$A$2150,J$1,'United Data'!$C$3:$C$2150,$A54,'United Data'!$B$3:$B$2150,"&lt;&gt;P")&gt;0,1,0)</f>
        <v>0</v>
      </c>
      <c r="K54">
        <f>IF(COUNTIFS('United Data'!$A$3:$A$2150,K$1,'United Data'!$C$3:$C$2150,$A54,'United Data'!$B$3:$B$2150,"&lt;&gt;P")&gt;0,1,0)</f>
        <v>0</v>
      </c>
      <c r="L54">
        <f>IF(COUNTIFS('United Data'!$A$3:$A$2150,L$1,'United Data'!$C$3:$C$2150,$A54,'United Data'!$B$3:$B$2150,"&lt;&gt;P")&gt;0,1,0)</f>
        <v>0</v>
      </c>
      <c r="M54">
        <f>IF(COUNTIFS('United Data'!$A$3:$A$2150,M$1,'United Data'!$C$3:$C$2150,$A54,'United Data'!$B$3:$B$2150,"&lt;&gt;P")&gt;0,1,0)</f>
        <v>0</v>
      </c>
      <c r="N54">
        <f>IF(COUNTIFS('United Data'!$A$3:$A$2150,N$1,'United Data'!$C$3:$C$2150,$A54,'United Data'!$B$3:$B$2150,"&lt;&gt;P")&gt;0,1,0)</f>
        <v>0</v>
      </c>
      <c r="O54">
        <f>IF(COUNTIFS('United Data'!$A$3:$A$2150,O$1,'United Data'!$C$3:$C$2150,$A54,'United Data'!$B$3:$B$2150,"&lt;&gt;P")&gt;0,1,0)</f>
        <v>0</v>
      </c>
      <c r="P54">
        <f>IF(COUNTIFS('United Data'!$A$3:$A$2150,P$1,'United Data'!$C$3:$C$2150,$A54,'United Data'!$B$3:$B$2150,"&lt;&gt;P")&gt;0,1,0)</f>
        <v>0</v>
      </c>
      <c r="Q54">
        <f>IF(COUNTIFS('United Data'!$A$3:$A$2150,Q$1,'United Data'!$C$3:$C$2150,$A54,'United Data'!$B$3:$B$2150,"&lt;&gt;P")&gt;0,1,0)</f>
        <v>0</v>
      </c>
      <c r="R54">
        <f>IF(COUNTIFS('United Data'!$A$3:$A$2150,R$1,'United Data'!$C$3:$C$2150,$A54,'United Data'!$B$3:$B$2150,"&lt;&gt;P")&gt;0,1,0)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100</v>
      </c>
      <c r="B55">
        <f>IF(COUNTIFS('United Data'!$A$3:$A$2150,B$1,'United Data'!$C$3:$C$2150,$A55,'United Data'!$B$3:$B$2150,"&lt;&gt;P")&gt;0,1,0)</f>
        <v>0</v>
      </c>
      <c r="C55">
        <f>IF(COUNTIFS('United Data'!$A$3:$A$2150,C$1,'United Data'!$C$3:$C$2150,$A55,'United Data'!$B$3:$B$2150,"&lt;&gt;P")&gt;0,1,0)</f>
        <v>0</v>
      </c>
      <c r="D55">
        <f>IF(COUNTIFS('United Data'!$A$3:$A$2150,D$1,'United Data'!$C$3:$C$2150,$A55,'United Data'!$B$3:$B$2150,"&lt;&gt;P")&gt;0,1,0)</f>
        <v>0</v>
      </c>
      <c r="E55">
        <f>IF(COUNTIFS('United Data'!$A$3:$A$2150,E$1,'United Data'!$C$3:$C$2150,$A55,'United Data'!$B$3:$B$2150,"&lt;&gt;P")&gt;0,1,0)</f>
        <v>0</v>
      </c>
      <c r="F55">
        <f>IF(COUNTIFS('United Data'!$A$3:$A$2150,F$1,'United Data'!$C$3:$C$2150,$A55,'United Data'!$B$3:$B$2150,"&lt;&gt;P")&gt;0,1,0)</f>
        <v>1</v>
      </c>
      <c r="G55">
        <f>IF(COUNTIFS('United Data'!$A$3:$A$2150,G$1,'United Data'!$C$3:$C$2150,$A55,'United Data'!$B$3:$B$2150,"&lt;&gt;P")&gt;0,1,0)</f>
        <v>1</v>
      </c>
      <c r="H55">
        <f>IF(COUNTIFS('United Data'!$A$3:$A$2150,H$1,'United Data'!$C$3:$C$2150,$A55,'United Data'!$B$3:$B$2150,"&lt;&gt;P")&gt;0,1,0)</f>
        <v>1</v>
      </c>
      <c r="I55">
        <f>IF(COUNTIFS('United Data'!$A$3:$A$2150,I$1,'United Data'!$C$3:$C$2150,$A55,'United Data'!$B$3:$B$2150,"&lt;&gt;P")&gt;0,1,0)</f>
        <v>1</v>
      </c>
      <c r="J55">
        <f>IF(COUNTIFS('United Data'!$A$3:$A$2150,J$1,'United Data'!$C$3:$C$2150,$A55,'United Data'!$B$3:$B$2150,"&lt;&gt;P")&gt;0,1,0)</f>
        <v>0</v>
      </c>
      <c r="K55">
        <f>IF(COUNTIFS('United Data'!$A$3:$A$2150,K$1,'United Data'!$C$3:$C$2150,$A55,'United Data'!$B$3:$B$2150,"&lt;&gt;P")&gt;0,1,0)</f>
        <v>0</v>
      </c>
      <c r="L55">
        <f>IF(COUNTIFS('United Data'!$A$3:$A$2150,L$1,'United Data'!$C$3:$C$2150,$A55,'United Data'!$B$3:$B$2150,"&lt;&gt;P")&gt;0,1,0)</f>
        <v>0</v>
      </c>
      <c r="M55">
        <f>IF(COUNTIFS('United Data'!$A$3:$A$2150,M$1,'United Data'!$C$3:$C$2150,$A55,'United Data'!$B$3:$B$2150,"&lt;&gt;P")&gt;0,1,0)</f>
        <v>0</v>
      </c>
      <c r="N55">
        <f>IF(COUNTIFS('United Data'!$A$3:$A$2150,N$1,'United Data'!$C$3:$C$2150,$A55,'United Data'!$B$3:$B$2150,"&lt;&gt;P")&gt;0,1,0)</f>
        <v>0</v>
      </c>
      <c r="O55">
        <f>IF(COUNTIFS('United Data'!$A$3:$A$2150,O$1,'United Data'!$C$3:$C$2150,$A55,'United Data'!$B$3:$B$2150,"&lt;&gt;P")&gt;0,1,0)</f>
        <v>0</v>
      </c>
      <c r="P55">
        <f>IF(COUNTIFS('United Data'!$A$3:$A$2150,P$1,'United Data'!$C$3:$C$2150,$A55,'United Data'!$B$3:$B$2150,"&lt;&gt;P")&gt;0,1,0)</f>
        <v>0</v>
      </c>
      <c r="Q55">
        <f>IF(COUNTIFS('United Data'!$A$3:$A$2150,Q$1,'United Data'!$C$3:$C$2150,$A55,'United Data'!$B$3:$B$2150,"&lt;&gt;P")&gt;0,1,0)</f>
        <v>0</v>
      </c>
      <c r="R55">
        <f>IF(COUNTIFS('United Data'!$A$3:$A$2150,R$1,'United Data'!$C$3:$C$2150,$A55,'United Data'!$B$3:$B$2150,"&lt;&gt;P")&gt;0,1,0)</f>
        <v>0</v>
      </c>
      <c r="S55">
        <f t="shared" si="0"/>
        <v>4</v>
      </c>
      <c r="T55">
        <f t="shared" si="1"/>
        <v>1</v>
      </c>
    </row>
    <row r="56" spans="1:20" x14ac:dyDescent="0.2">
      <c r="A56" t="s">
        <v>101</v>
      </c>
      <c r="B56">
        <f>IF(COUNTIFS('United Data'!$A$3:$A$2150,B$1,'United Data'!$C$3:$C$2150,$A56,'United Data'!$B$3:$B$2150,"&lt;&gt;P")&gt;0,1,0)</f>
        <v>0</v>
      </c>
      <c r="C56">
        <f>IF(COUNTIFS('United Data'!$A$3:$A$2150,C$1,'United Data'!$C$3:$C$2150,$A56,'United Data'!$B$3:$B$2150,"&lt;&gt;P")&gt;0,1,0)</f>
        <v>0</v>
      </c>
      <c r="D56">
        <f>IF(COUNTIFS('United Data'!$A$3:$A$2150,D$1,'United Data'!$C$3:$C$2150,$A56,'United Data'!$B$3:$B$2150,"&lt;&gt;P")&gt;0,1,0)</f>
        <v>0</v>
      </c>
      <c r="E56">
        <f>IF(COUNTIFS('United Data'!$A$3:$A$2150,E$1,'United Data'!$C$3:$C$2150,$A56,'United Data'!$B$3:$B$2150,"&lt;&gt;P")&gt;0,1,0)</f>
        <v>0</v>
      </c>
      <c r="F56">
        <f>IF(COUNTIFS('United Data'!$A$3:$A$2150,F$1,'United Data'!$C$3:$C$2150,$A56,'United Data'!$B$3:$B$2150,"&lt;&gt;P")&gt;0,1,0)</f>
        <v>1</v>
      </c>
      <c r="G56">
        <f>IF(COUNTIFS('United Data'!$A$3:$A$2150,G$1,'United Data'!$C$3:$C$2150,$A56,'United Data'!$B$3:$B$2150,"&lt;&gt;P")&gt;0,1,0)</f>
        <v>1</v>
      </c>
      <c r="H56">
        <f>IF(COUNTIFS('United Data'!$A$3:$A$2150,H$1,'United Data'!$C$3:$C$2150,$A56,'United Data'!$B$3:$B$2150,"&lt;&gt;P")&gt;0,1,0)</f>
        <v>1</v>
      </c>
      <c r="I56">
        <f>IF(COUNTIFS('United Data'!$A$3:$A$2150,I$1,'United Data'!$C$3:$C$2150,$A56,'United Data'!$B$3:$B$2150,"&lt;&gt;P")&gt;0,1,0)</f>
        <v>1</v>
      </c>
      <c r="J56">
        <f>IF(COUNTIFS('United Data'!$A$3:$A$2150,J$1,'United Data'!$C$3:$C$2150,$A56,'United Data'!$B$3:$B$2150,"&lt;&gt;P")&gt;0,1,0)</f>
        <v>1</v>
      </c>
      <c r="K56">
        <f>IF(COUNTIFS('United Data'!$A$3:$A$2150,K$1,'United Data'!$C$3:$C$2150,$A56,'United Data'!$B$3:$B$2150,"&lt;&gt;P")&gt;0,1,0)</f>
        <v>1</v>
      </c>
      <c r="L56">
        <f>IF(COUNTIFS('United Data'!$A$3:$A$2150,L$1,'United Data'!$C$3:$C$2150,$A56,'United Data'!$B$3:$B$2150,"&lt;&gt;P")&gt;0,1,0)</f>
        <v>1</v>
      </c>
      <c r="M56">
        <f>IF(COUNTIFS('United Data'!$A$3:$A$2150,M$1,'United Data'!$C$3:$C$2150,$A56,'United Data'!$B$3:$B$2150,"&lt;&gt;P")&gt;0,1,0)</f>
        <v>1</v>
      </c>
      <c r="N56">
        <f>IF(COUNTIFS('United Data'!$A$3:$A$2150,N$1,'United Data'!$C$3:$C$2150,$A56,'United Data'!$B$3:$B$2150,"&lt;&gt;P")&gt;0,1,0)</f>
        <v>1</v>
      </c>
      <c r="O56">
        <f>IF(COUNTIFS('United Data'!$A$3:$A$2150,O$1,'United Data'!$C$3:$C$2150,$A56,'United Data'!$B$3:$B$2150,"&lt;&gt;P")&gt;0,1,0)</f>
        <v>0</v>
      </c>
      <c r="P56">
        <f>IF(COUNTIFS('United Data'!$A$3:$A$2150,P$1,'United Data'!$C$3:$C$2150,$A56,'United Data'!$B$3:$B$2150,"&lt;&gt;P")&gt;0,1,0)</f>
        <v>0</v>
      </c>
      <c r="Q56">
        <f>IF(COUNTIFS('United Data'!$A$3:$A$2150,Q$1,'United Data'!$C$3:$C$2150,$A56,'United Data'!$B$3:$B$2150,"&lt;&gt;P")&gt;0,1,0)</f>
        <v>0</v>
      </c>
      <c r="R56">
        <f>IF(COUNTIFS('United Data'!$A$3:$A$2150,R$1,'United Data'!$C$3:$C$2150,$A56,'United Data'!$B$3:$B$2150,"&lt;&gt;P")&gt;0,1,0)</f>
        <v>0</v>
      </c>
      <c r="S56">
        <f t="shared" si="0"/>
        <v>9</v>
      </c>
      <c r="T56">
        <f t="shared" si="1"/>
        <v>1</v>
      </c>
    </row>
    <row r="57" spans="1:20" x14ac:dyDescent="0.2">
      <c r="A57" t="s">
        <v>102</v>
      </c>
      <c r="B57">
        <f>IF(COUNTIFS('United Data'!$A$3:$A$2150,B$1,'United Data'!$C$3:$C$2150,$A57,'United Data'!$B$3:$B$2150,"&lt;&gt;P")&gt;0,1,0)</f>
        <v>0</v>
      </c>
      <c r="C57">
        <f>IF(COUNTIFS('United Data'!$A$3:$A$2150,C$1,'United Data'!$C$3:$C$2150,$A57,'United Data'!$B$3:$B$2150,"&lt;&gt;P")&gt;0,1,0)</f>
        <v>0</v>
      </c>
      <c r="D57">
        <f>IF(COUNTIFS('United Data'!$A$3:$A$2150,D$1,'United Data'!$C$3:$C$2150,$A57,'United Data'!$B$3:$B$2150,"&lt;&gt;P")&gt;0,1,0)</f>
        <v>0</v>
      </c>
      <c r="E57">
        <f>IF(COUNTIFS('United Data'!$A$3:$A$2150,E$1,'United Data'!$C$3:$C$2150,$A57,'United Data'!$B$3:$B$2150,"&lt;&gt;P")&gt;0,1,0)</f>
        <v>0</v>
      </c>
      <c r="F57">
        <f>IF(COUNTIFS('United Data'!$A$3:$A$2150,F$1,'United Data'!$C$3:$C$2150,$A57,'United Data'!$B$3:$B$2150,"&lt;&gt;P")&gt;0,1,0)</f>
        <v>1</v>
      </c>
      <c r="G57">
        <f>IF(COUNTIFS('United Data'!$A$3:$A$2150,G$1,'United Data'!$C$3:$C$2150,$A57,'United Data'!$B$3:$B$2150,"&lt;&gt;P")&gt;0,1,0)</f>
        <v>1</v>
      </c>
      <c r="H57">
        <f>IF(COUNTIFS('United Data'!$A$3:$A$2150,H$1,'United Data'!$C$3:$C$2150,$A57,'United Data'!$B$3:$B$2150,"&lt;&gt;P")&gt;0,1,0)</f>
        <v>1</v>
      </c>
      <c r="I57">
        <f>IF(COUNTIFS('United Data'!$A$3:$A$2150,I$1,'United Data'!$C$3:$C$2150,$A57,'United Data'!$B$3:$B$2150,"&lt;&gt;P")&gt;0,1,0)</f>
        <v>1</v>
      </c>
      <c r="J57">
        <f>IF(COUNTIFS('United Data'!$A$3:$A$2150,J$1,'United Data'!$C$3:$C$2150,$A57,'United Data'!$B$3:$B$2150,"&lt;&gt;P")&gt;0,1,0)</f>
        <v>0</v>
      </c>
      <c r="K57">
        <f>IF(COUNTIFS('United Data'!$A$3:$A$2150,K$1,'United Data'!$C$3:$C$2150,$A57,'United Data'!$B$3:$B$2150,"&lt;&gt;P")&gt;0,1,0)</f>
        <v>0</v>
      </c>
      <c r="L57">
        <f>IF(COUNTIFS('United Data'!$A$3:$A$2150,L$1,'United Data'!$C$3:$C$2150,$A57,'United Data'!$B$3:$B$2150,"&lt;&gt;P")&gt;0,1,0)</f>
        <v>0</v>
      </c>
      <c r="M57">
        <f>IF(COUNTIFS('United Data'!$A$3:$A$2150,M$1,'United Data'!$C$3:$C$2150,$A57,'United Data'!$B$3:$B$2150,"&lt;&gt;P")&gt;0,1,0)</f>
        <v>0</v>
      </c>
      <c r="N57">
        <f>IF(COUNTIFS('United Data'!$A$3:$A$2150,N$1,'United Data'!$C$3:$C$2150,$A57,'United Data'!$B$3:$B$2150,"&lt;&gt;P")&gt;0,1,0)</f>
        <v>0</v>
      </c>
      <c r="O57">
        <f>IF(COUNTIFS('United Data'!$A$3:$A$2150,O$1,'United Data'!$C$3:$C$2150,$A57,'United Data'!$B$3:$B$2150,"&lt;&gt;P")&gt;0,1,0)</f>
        <v>0</v>
      </c>
      <c r="P57">
        <f>IF(COUNTIFS('United Data'!$A$3:$A$2150,P$1,'United Data'!$C$3:$C$2150,$A57,'United Data'!$B$3:$B$2150,"&lt;&gt;P")&gt;0,1,0)</f>
        <v>0</v>
      </c>
      <c r="Q57">
        <f>IF(COUNTIFS('United Data'!$A$3:$A$2150,Q$1,'United Data'!$C$3:$C$2150,$A57,'United Data'!$B$3:$B$2150,"&lt;&gt;P")&gt;0,1,0)</f>
        <v>0</v>
      </c>
      <c r="R57">
        <f>IF(COUNTIFS('United Data'!$A$3:$A$2150,R$1,'United Data'!$C$3:$C$2150,$A57,'United Data'!$B$3:$B$2150,"&lt;&gt;P")&gt;0,1,0)</f>
        <v>0</v>
      </c>
      <c r="S57">
        <f t="shared" si="0"/>
        <v>4</v>
      </c>
      <c r="T57">
        <f t="shared" si="1"/>
        <v>1</v>
      </c>
    </row>
    <row r="58" spans="1:20" x14ac:dyDescent="0.2">
      <c r="A58" t="s">
        <v>103</v>
      </c>
      <c r="B58">
        <f>IF(COUNTIFS('United Data'!$A$3:$A$2150,B$1,'United Data'!$C$3:$C$2150,$A58,'United Data'!$B$3:$B$2150,"&lt;&gt;P")&gt;0,1,0)</f>
        <v>0</v>
      </c>
      <c r="C58">
        <f>IF(COUNTIFS('United Data'!$A$3:$A$2150,C$1,'United Data'!$C$3:$C$2150,$A58,'United Data'!$B$3:$B$2150,"&lt;&gt;P")&gt;0,1,0)</f>
        <v>0</v>
      </c>
      <c r="D58">
        <f>IF(COUNTIFS('United Data'!$A$3:$A$2150,D$1,'United Data'!$C$3:$C$2150,$A58,'United Data'!$B$3:$B$2150,"&lt;&gt;P")&gt;0,1,0)</f>
        <v>0</v>
      </c>
      <c r="E58">
        <f>IF(COUNTIFS('United Data'!$A$3:$A$2150,E$1,'United Data'!$C$3:$C$2150,$A58,'United Data'!$B$3:$B$2150,"&lt;&gt;P")&gt;0,1,0)</f>
        <v>0</v>
      </c>
      <c r="F58">
        <f>IF(COUNTIFS('United Data'!$A$3:$A$2150,F$1,'United Data'!$C$3:$C$2150,$A58,'United Data'!$B$3:$B$2150,"&lt;&gt;P")&gt;0,1,0)</f>
        <v>1</v>
      </c>
      <c r="G58">
        <f>IF(COUNTIFS('United Data'!$A$3:$A$2150,G$1,'United Data'!$C$3:$C$2150,$A58,'United Data'!$B$3:$B$2150,"&lt;&gt;P")&gt;0,1,0)</f>
        <v>1</v>
      </c>
      <c r="H58">
        <f>IF(COUNTIFS('United Data'!$A$3:$A$2150,H$1,'United Data'!$C$3:$C$2150,$A58,'United Data'!$B$3:$B$2150,"&lt;&gt;P")&gt;0,1,0)</f>
        <v>0</v>
      </c>
      <c r="I58">
        <f>IF(COUNTIFS('United Data'!$A$3:$A$2150,I$1,'United Data'!$C$3:$C$2150,$A58,'United Data'!$B$3:$B$2150,"&lt;&gt;P")&gt;0,1,0)</f>
        <v>0</v>
      </c>
      <c r="J58">
        <f>IF(COUNTIFS('United Data'!$A$3:$A$2150,J$1,'United Data'!$C$3:$C$2150,$A58,'United Data'!$B$3:$B$2150,"&lt;&gt;P")&gt;0,1,0)</f>
        <v>0</v>
      </c>
      <c r="K58">
        <f>IF(COUNTIFS('United Data'!$A$3:$A$2150,K$1,'United Data'!$C$3:$C$2150,$A58,'United Data'!$B$3:$B$2150,"&lt;&gt;P")&gt;0,1,0)</f>
        <v>0</v>
      </c>
      <c r="L58">
        <f>IF(COUNTIFS('United Data'!$A$3:$A$2150,L$1,'United Data'!$C$3:$C$2150,$A58,'United Data'!$B$3:$B$2150,"&lt;&gt;P")&gt;0,1,0)</f>
        <v>0</v>
      </c>
      <c r="M58">
        <f>IF(COUNTIFS('United Data'!$A$3:$A$2150,M$1,'United Data'!$C$3:$C$2150,$A58,'United Data'!$B$3:$B$2150,"&lt;&gt;P")&gt;0,1,0)</f>
        <v>0</v>
      </c>
      <c r="N58">
        <f>IF(COUNTIFS('United Data'!$A$3:$A$2150,N$1,'United Data'!$C$3:$C$2150,$A58,'United Data'!$B$3:$B$2150,"&lt;&gt;P")&gt;0,1,0)</f>
        <v>0</v>
      </c>
      <c r="O58">
        <f>IF(COUNTIFS('United Data'!$A$3:$A$2150,O$1,'United Data'!$C$3:$C$2150,$A58,'United Data'!$B$3:$B$2150,"&lt;&gt;P")&gt;0,1,0)</f>
        <v>0</v>
      </c>
      <c r="P58">
        <f>IF(COUNTIFS('United Data'!$A$3:$A$2150,P$1,'United Data'!$C$3:$C$2150,$A58,'United Data'!$B$3:$B$2150,"&lt;&gt;P")&gt;0,1,0)</f>
        <v>0</v>
      </c>
      <c r="Q58">
        <f>IF(COUNTIFS('United Data'!$A$3:$A$2150,Q$1,'United Data'!$C$3:$C$2150,$A58,'United Data'!$B$3:$B$2150,"&lt;&gt;P")&gt;0,1,0)</f>
        <v>0</v>
      </c>
      <c r="R58">
        <f>IF(COUNTIFS('United Data'!$A$3:$A$2150,R$1,'United Data'!$C$3:$C$2150,$A58,'United Data'!$B$3:$B$2150,"&lt;&gt;P")&gt;0,1,0)</f>
        <v>0</v>
      </c>
      <c r="S58">
        <f t="shared" si="0"/>
        <v>2</v>
      </c>
      <c r="T58">
        <f t="shared" si="1"/>
        <v>1</v>
      </c>
    </row>
    <row r="59" spans="1:20" x14ac:dyDescent="0.2">
      <c r="A59" t="s">
        <v>104</v>
      </c>
      <c r="B59">
        <f>IF(COUNTIFS('United Data'!$A$3:$A$2150,B$1,'United Data'!$C$3:$C$2150,$A59,'United Data'!$B$3:$B$2150,"&lt;&gt;P")&gt;0,1,0)</f>
        <v>0</v>
      </c>
      <c r="C59">
        <f>IF(COUNTIFS('United Data'!$A$3:$A$2150,C$1,'United Data'!$C$3:$C$2150,$A59,'United Data'!$B$3:$B$2150,"&lt;&gt;P")&gt;0,1,0)</f>
        <v>0</v>
      </c>
      <c r="D59">
        <f>IF(COUNTIFS('United Data'!$A$3:$A$2150,D$1,'United Data'!$C$3:$C$2150,$A59,'United Data'!$B$3:$B$2150,"&lt;&gt;P")&gt;0,1,0)</f>
        <v>0</v>
      </c>
      <c r="E59">
        <f>IF(COUNTIFS('United Data'!$A$3:$A$2150,E$1,'United Data'!$C$3:$C$2150,$A59,'United Data'!$B$3:$B$2150,"&lt;&gt;P")&gt;0,1,0)</f>
        <v>0</v>
      </c>
      <c r="F59">
        <f>IF(COUNTIFS('United Data'!$A$3:$A$2150,F$1,'United Data'!$C$3:$C$2150,$A59,'United Data'!$B$3:$B$2150,"&lt;&gt;P")&gt;0,1,0)</f>
        <v>0</v>
      </c>
      <c r="G59">
        <f>IF(COUNTIFS('United Data'!$A$3:$A$2150,G$1,'United Data'!$C$3:$C$2150,$A59,'United Data'!$B$3:$B$2150,"&lt;&gt;P")&gt;0,1,0)</f>
        <v>1</v>
      </c>
      <c r="H59">
        <f>IF(COUNTIFS('United Data'!$A$3:$A$2150,H$1,'United Data'!$C$3:$C$2150,$A59,'United Data'!$B$3:$B$2150,"&lt;&gt;P")&gt;0,1,0)</f>
        <v>0</v>
      </c>
      <c r="I59">
        <f>IF(COUNTIFS('United Data'!$A$3:$A$2150,I$1,'United Data'!$C$3:$C$2150,$A59,'United Data'!$B$3:$B$2150,"&lt;&gt;P")&gt;0,1,0)</f>
        <v>0</v>
      </c>
      <c r="J59">
        <f>IF(COUNTIFS('United Data'!$A$3:$A$2150,J$1,'United Data'!$C$3:$C$2150,$A59,'United Data'!$B$3:$B$2150,"&lt;&gt;P")&gt;0,1,0)</f>
        <v>0</v>
      </c>
      <c r="K59">
        <f>IF(COUNTIFS('United Data'!$A$3:$A$2150,K$1,'United Data'!$C$3:$C$2150,$A59,'United Data'!$B$3:$B$2150,"&lt;&gt;P")&gt;0,1,0)</f>
        <v>0</v>
      </c>
      <c r="L59">
        <f>IF(COUNTIFS('United Data'!$A$3:$A$2150,L$1,'United Data'!$C$3:$C$2150,$A59,'United Data'!$B$3:$B$2150,"&lt;&gt;P")&gt;0,1,0)</f>
        <v>0</v>
      </c>
      <c r="M59">
        <f>IF(COUNTIFS('United Data'!$A$3:$A$2150,M$1,'United Data'!$C$3:$C$2150,$A59,'United Data'!$B$3:$B$2150,"&lt;&gt;P")&gt;0,1,0)</f>
        <v>0</v>
      </c>
      <c r="N59">
        <f>IF(COUNTIFS('United Data'!$A$3:$A$2150,N$1,'United Data'!$C$3:$C$2150,$A59,'United Data'!$B$3:$B$2150,"&lt;&gt;P")&gt;0,1,0)</f>
        <v>0</v>
      </c>
      <c r="O59">
        <f>IF(COUNTIFS('United Data'!$A$3:$A$2150,O$1,'United Data'!$C$3:$C$2150,$A59,'United Data'!$B$3:$B$2150,"&lt;&gt;P")&gt;0,1,0)</f>
        <v>0</v>
      </c>
      <c r="P59">
        <f>IF(COUNTIFS('United Data'!$A$3:$A$2150,P$1,'United Data'!$C$3:$C$2150,$A59,'United Data'!$B$3:$B$2150,"&lt;&gt;P")&gt;0,1,0)</f>
        <v>0</v>
      </c>
      <c r="Q59">
        <f>IF(COUNTIFS('United Data'!$A$3:$A$2150,Q$1,'United Data'!$C$3:$C$2150,$A59,'United Data'!$B$3:$B$2150,"&lt;&gt;P")&gt;0,1,0)</f>
        <v>0</v>
      </c>
      <c r="R59">
        <f>IF(COUNTIFS('United Data'!$A$3:$A$2150,R$1,'United Data'!$C$3:$C$2150,$A59,'United Data'!$B$3:$B$2150,"&lt;&gt;P")&gt;0,1,0)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105</v>
      </c>
      <c r="B60">
        <f>IF(COUNTIFS('United Data'!$A$3:$A$2150,B$1,'United Data'!$C$3:$C$2150,$A60,'United Data'!$B$3:$B$2150,"&lt;&gt;P")&gt;0,1,0)</f>
        <v>0</v>
      </c>
      <c r="C60">
        <f>IF(COUNTIFS('United Data'!$A$3:$A$2150,C$1,'United Data'!$C$3:$C$2150,$A60,'United Data'!$B$3:$B$2150,"&lt;&gt;P")&gt;0,1,0)</f>
        <v>0</v>
      </c>
      <c r="D60">
        <f>IF(COUNTIFS('United Data'!$A$3:$A$2150,D$1,'United Data'!$C$3:$C$2150,$A60,'United Data'!$B$3:$B$2150,"&lt;&gt;P")&gt;0,1,0)</f>
        <v>0</v>
      </c>
      <c r="E60">
        <f>IF(COUNTIFS('United Data'!$A$3:$A$2150,E$1,'United Data'!$C$3:$C$2150,$A60,'United Data'!$B$3:$B$2150,"&lt;&gt;P")&gt;0,1,0)</f>
        <v>0</v>
      </c>
      <c r="F60">
        <f>IF(COUNTIFS('United Data'!$A$3:$A$2150,F$1,'United Data'!$C$3:$C$2150,$A60,'United Data'!$B$3:$B$2150,"&lt;&gt;P")&gt;0,1,0)</f>
        <v>0</v>
      </c>
      <c r="G60">
        <f>IF(COUNTIFS('United Data'!$A$3:$A$2150,G$1,'United Data'!$C$3:$C$2150,$A60,'United Data'!$B$3:$B$2150,"&lt;&gt;P")&gt;0,1,0)</f>
        <v>1</v>
      </c>
      <c r="H60">
        <f>IF(COUNTIFS('United Data'!$A$3:$A$2150,H$1,'United Data'!$C$3:$C$2150,$A60,'United Data'!$B$3:$B$2150,"&lt;&gt;P")&gt;0,1,0)</f>
        <v>1</v>
      </c>
      <c r="I60">
        <f>IF(COUNTIFS('United Data'!$A$3:$A$2150,I$1,'United Data'!$C$3:$C$2150,$A60,'United Data'!$B$3:$B$2150,"&lt;&gt;P")&gt;0,1,0)</f>
        <v>0</v>
      </c>
      <c r="J60">
        <f>IF(COUNTIFS('United Data'!$A$3:$A$2150,J$1,'United Data'!$C$3:$C$2150,$A60,'United Data'!$B$3:$B$2150,"&lt;&gt;P")&gt;0,1,0)</f>
        <v>0</v>
      </c>
      <c r="K60">
        <f>IF(COUNTIFS('United Data'!$A$3:$A$2150,K$1,'United Data'!$C$3:$C$2150,$A60,'United Data'!$B$3:$B$2150,"&lt;&gt;P")&gt;0,1,0)</f>
        <v>0</v>
      </c>
      <c r="L60">
        <f>IF(COUNTIFS('United Data'!$A$3:$A$2150,L$1,'United Data'!$C$3:$C$2150,$A60,'United Data'!$B$3:$B$2150,"&lt;&gt;P")&gt;0,1,0)</f>
        <v>0</v>
      </c>
      <c r="M60">
        <f>IF(COUNTIFS('United Data'!$A$3:$A$2150,M$1,'United Data'!$C$3:$C$2150,$A60,'United Data'!$B$3:$B$2150,"&lt;&gt;P")&gt;0,1,0)</f>
        <v>0</v>
      </c>
      <c r="N60">
        <f>IF(COUNTIFS('United Data'!$A$3:$A$2150,N$1,'United Data'!$C$3:$C$2150,$A60,'United Data'!$B$3:$B$2150,"&lt;&gt;P")&gt;0,1,0)</f>
        <v>0</v>
      </c>
      <c r="O60">
        <f>IF(COUNTIFS('United Data'!$A$3:$A$2150,O$1,'United Data'!$C$3:$C$2150,$A60,'United Data'!$B$3:$B$2150,"&lt;&gt;P")&gt;0,1,0)</f>
        <v>0</v>
      </c>
      <c r="P60">
        <f>IF(COUNTIFS('United Data'!$A$3:$A$2150,P$1,'United Data'!$C$3:$C$2150,$A60,'United Data'!$B$3:$B$2150,"&lt;&gt;P")&gt;0,1,0)</f>
        <v>0</v>
      </c>
      <c r="Q60">
        <f>IF(COUNTIFS('United Data'!$A$3:$A$2150,Q$1,'United Data'!$C$3:$C$2150,$A60,'United Data'!$B$3:$B$2150,"&lt;&gt;P")&gt;0,1,0)</f>
        <v>0</v>
      </c>
      <c r="R60">
        <f>IF(COUNTIFS('United Data'!$A$3:$A$2150,R$1,'United Data'!$C$3:$C$2150,$A60,'United Data'!$B$3:$B$2150,"&lt;&gt;P")&gt;0,1,0)</f>
        <v>0</v>
      </c>
      <c r="S60">
        <f t="shared" si="0"/>
        <v>2</v>
      </c>
      <c r="T60">
        <f t="shared" si="1"/>
        <v>1</v>
      </c>
    </row>
    <row r="61" spans="1:20" x14ac:dyDescent="0.2">
      <c r="A61" t="s">
        <v>106</v>
      </c>
      <c r="B61">
        <f>IF(COUNTIFS('United Data'!$A$3:$A$2150,B$1,'United Data'!$C$3:$C$2150,$A61,'United Data'!$B$3:$B$2150,"&lt;&gt;P")&gt;0,1,0)</f>
        <v>0</v>
      </c>
      <c r="C61">
        <f>IF(COUNTIFS('United Data'!$A$3:$A$2150,C$1,'United Data'!$C$3:$C$2150,$A61,'United Data'!$B$3:$B$2150,"&lt;&gt;P")&gt;0,1,0)</f>
        <v>0</v>
      </c>
      <c r="D61">
        <f>IF(COUNTIFS('United Data'!$A$3:$A$2150,D$1,'United Data'!$C$3:$C$2150,$A61,'United Data'!$B$3:$B$2150,"&lt;&gt;P")&gt;0,1,0)</f>
        <v>0</v>
      </c>
      <c r="E61">
        <f>IF(COUNTIFS('United Data'!$A$3:$A$2150,E$1,'United Data'!$C$3:$C$2150,$A61,'United Data'!$B$3:$B$2150,"&lt;&gt;P")&gt;0,1,0)</f>
        <v>0</v>
      </c>
      <c r="F61">
        <f>IF(COUNTIFS('United Data'!$A$3:$A$2150,F$1,'United Data'!$C$3:$C$2150,$A61,'United Data'!$B$3:$B$2150,"&lt;&gt;P")&gt;0,1,0)</f>
        <v>0</v>
      </c>
      <c r="G61">
        <f>IF(COUNTIFS('United Data'!$A$3:$A$2150,G$1,'United Data'!$C$3:$C$2150,$A61,'United Data'!$B$3:$B$2150,"&lt;&gt;P")&gt;0,1,0)</f>
        <v>1</v>
      </c>
      <c r="H61">
        <f>IF(COUNTIFS('United Data'!$A$3:$A$2150,H$1,'United Data'!$C$3:$C$2150,$A61,'United Data'!$B$3:$B$2150,"&lt;&gt;P")&gt;0,1,0)</f>
        <v>0</v>
      </c>
      <c r="I61">
        <f>IF(COUNTIFS('United Data'!$A$3:$A$2150,I$1,'United Data'!$C$3:$C$2150,$A61,'United Data'!$B$3:$B$2150,"&lt;&gt;P")&gt;0,1,0)</f>
        <v>0</v>
      </c>
      <c r="J61">
        <f>IF(COUNTIFS('United Data'!$A$3:$A$2150,J$1,'United Data'!$C$3:$C$2150,$A61,'United Data'!$B$3:$B$2150,"&lt;&gt;P")&gt;0,1,0)</f>
        <v>0</v>
      </c>
      <c r="K61">
        <f>IF(COUNTIFS('United Data'!$A$3:$A$2150,K$1,'United Data'!$C$3:$C$2150,$A61,'United Data'!$B$3:$B$2150,"&lt;&gt;P")&gt;0,1,0)</f>
        <v>1</v>
      </c>
      <c r="L61">
        <f>IF(COUNTIFS('United Data'!$A$3:$A$2150,L$1,'United Data'!$C$3:$C$2150,$A61,'United Data'!$B$3:$B$2150,"&lt;&gt;P")&gt;0,1,0)</f>
        <v>0</v>
      </c>
      <c r="M61">
        <f>IF(COUNTIFS('United Data'!$A$3:$A$2150,M$1,'United Data'!$C$3:$C$2150,$A61,'United Data'!$B$3:$B$2150,"&lt;&gt;P")&gt;0,1,0)</f>
        <v>0</v>
      </c>
      <c r="N61">
        <f>IF(COUNTIFS('United Data'!$A$3:$A$2150,N$1,'United Data'!$C$3:$C$2150,$A61,'United Data'!$B$3:$B$2150,"&lt;&gt;P")&gt;0,1,0)</f>
        <v>0</v>
      </c>
      <c r="O61">
        <f>IF(COUNTIFS('United Data'!$A$3:$A$2150,O$1,'United Data'!$C$3:$C$2150,$A61,'United Data'!$B$3:$B$2150,"&lt;&gt;P")&gt;0,1,0)</f>
        <v>0</v>
      </c>
      <c r="P61">
        <f>IF(COUNTIFS('United Data'!$A$3:$A$2150,P$1,'United Data'!$C$3:$C$2150,$A61,'United Data'!$B$3:$B$2150,"&lt;&gt;P")&gt;0,1,0)</f>
        <v>0</v>
      </c>
      <c r="Q61">
        <f>IF(COUNTIFS('United Data'!$A$3:$A$2150,Q$1,'United Data'!$C$3:$C$2150,$A61,'United Data'!$B$3:$B$2150,"&lt;&gt;P")&gt;0,1,0)</f>
        <v>0</v>
      </c>
      <c r="R61">
        <f>IF(COUNTIFS('United Data'!$A$3:$A$2150,R$1,'United Data'!$C$3:$C$2150,$A61,'United Data'!$B$3:$B$2150,"&lt;&gt;P")&gt;0,1,0)</f>
        <v>0</v>
      </c>
      <c r="S61">
        <f t="shared" si="0"/>
        <v>2</v>
      </c>
      <c r="T61">
        <f t="shared" si="1"/>
        <v>2</v>
      </c>
    </row>
    <row r="62" spans="1:20" x14ac:dyDescent="0.2">
      <c r="A62" t="s">
        <v>107</v>
      </c>
      <c r="B62">
        <f>IF(COUNTIFS('United Data'!$A$3:$A$2150,B$1,'United Data'!$C$3:$C$2150,$A62,'United Data'!$B$3:$B$2150,"&lt;&gt;P")&gt;0,1,0)</f>
        <v>0</v>
      </c>
      <c r="C62">
        <f>IF(COUNTIFS('United Data'!$A$3:$A$2150,C$1,'United Data'!$C$3:$C$2150,$A62,'United Data'!$B$3:$B$2150,"&lt;&gt;P")&gt;0,1,0)</f>
        <v>0</v>
      </c>
      <c r="D62">
        <f>IF(COUNTIFS('United Data'!$A$3:$A$2150,D$1,'United Data'!$C$3:$C$2150,$A62,'United Data'!$B$3:$B$2150,"&lt;&gt;P")&gt;0,1,0)</f>
        <v>0</v>
      </c>
      <c r="E62">
        <f>IF(COUNTIFS('United Data'!$A$3:$A$2150,E$1,'United Data'!$C$3:$C$2150,$A62,'United Data'!$B$3:$B$2150,"&lt;&gt;P")&gt;0,1,0)</f>
        <v>0</v>
      </c>
      <c r="F62">
        <f>IF(COUNTIFS('United Data'!$A$3:$A$2150,F$1,'United Data'!$C$3:$C$2150,$A62,'United Data'!$B$3:$B$2150,"&lt;&gt;P")&gt;0,1,0)</f>
        <v>0</v>
      </c>
      <c r="G62">
        <f>IF(COUNTIFS('United Data'!$A$3:$A$2150,G$1,'United Data'!$C$3:$C$2150,$A62,'United Data'!$B$3:$B$2150,"&lt;&gt;P")&gt;0,1,0)</f>
        <v>1</v>
      </c>
      <c r="H62">
        <f>IF(COUNTIFS('United Data'!$A$3:$A$2150,H$1,'United Data'!$C$3:$C$2150,$A62,'United Data'!$B$3:$B$2150,"&lt;&gt;P")&gt;0,1,0)</f>
        <v>1</v>
      </c>
      <c r="I62">
        <f>IF(COUNTIFS('United Data'!$A$3:$A$2150,I$1,'United Data'!$C$3:$C$2150,$A62,'United Data'!$B$3:$B$2150,"&lt;&gt;P")&gt;0,1,0)</f>
        <v>1</v>
      </c>
      <c r="J62">
        <f>IF(COUNTIFS('United Data'!$A$3:$A$2150,J$1,'United Data'!$C$3:$C$2150,$A62,'United Data'!$B$3:$B$2150,"&lt;&gt;P")&gt;0,1,0)</f>
        <v>0</v>
      </c>
      <c r="K62">
        <f>IF(COUNTIFS('United Data'!$A$3:$A$2150,K$1,'United Data'!$C$3:$C$2150,$A62,'United Data'!$B$3:$B$2150,"&lt;&gt;P")&gt;0,1,0)</f>
        <v>1</v>
      </c>
      <c r="L62">
        <f>IF(COUNTIFS('United Data'!$A$3:$A$2150,L$1,'United Data'!$C$3:$C$2150,$A62,'United Data'!$B$3:$B$2150,"&lt;&gt;P")&gt;0,1,0)</f>
        <v>0</v>
      </c>
      <c r="M62">
        <f>IF(COUNTIFS('United Data'!$A$3:$A$2150,M$1,'United Data'!$C$3:$C$2150,$A62,'United Data'!$B$3:$B$2150,"&lt;&gt;P")&gt;0,1,0)</f>
        <v>0</v>
      </c>
      <c r="N62">
        <f>IF(COUNTIFS('United Data'!$A$3:$A$2150,N$1,'United Data'!$C$3:$C$2150,$A62,'United Data'!$B$3:$B$2150,"&lt;&gt;P")&gt;0,1,0)</f>
        <v>1</v>
      </c>
      <c r="O62">
        <f>IF(COUNTIFS('United Data'!$A$3:$A$2150,O$1,'United Data'!$C$3:$C$2150,$A62,'United Data'!$B$3:$B$2150,"&lt;&gt;P")&gt;0,1,0)</f>
        <v>0</v>
      </c>
      <c r="P62">
        <f>IF(COUNTIFS('United Data'!$A$3:$A$2150,P$1,'United Data'!$C$3:$C$2150,$A62,'United Data'!$B$3:$B$2150,"&lt;&gt;P")&gt;0,1,0)</f>
        <v>0</v>
      </c>
      <c r="Q62">
        <f>IF(COUNTIFS('United Data'!$A$3:$A$2150,Q$1,'United Data'!$C$3:$C$2150,$A62,'United Data'!$B$3:$B$2150,"&lt;&gt;P")&gt;0,1,0)</f>
        <v>0</v>
      </c>
      <c r="R62">
        <f>IF(COUNTIFS('United Data'!$A$3:$A$2150,R$1,'United Data'!$C$3:$C$2150,$A62,'United Data'!$B$3:$B$2150,"&lt;&gt;P")&gt;0,1,0)</f>
        <v>0</v>
      </c>
      <c r="S62">
        <f t="shared" si="0"/>
        <v>5</v>
      </c>
      <c r="T62">
        <f t="shared" si="1"/>
        <v>3</v>
      </c>
    </row>
    <row r="63" spans="1:20" x14ac:dyDescent="0.2">
      <c r="A63" t="s">
        <v>108</v>
      </c>
      <c r="B63">
        <f>IF(COUNTIFS('United Data'!$A$3:$A$2150,B$1,'United Data'!$C$3:$C$2150,$A63,'United Data'!$B$3:$B$2150,"&lt;&gt;P")&gt;0,1,0)</f>
        <v>0</v>
      </c>
      <c r="C63">
        <f>IF(COUNTIFS('United Data'!$A$3:$A$2150,C$1,'United Data'!$C$3:$C$2150,$A63,'United Data'!$B$3:$B$2150,"&lt;&gt;P")&gt;0,1,0)</f>
        <v>0</v>
      </c>
      <c r="D63">
        <f>IF(COUNTIFS('United Data'!$A$3:$A$2150,D$1,'United Data'!$C$3:$C$2150,$A63,'United Data'!$B$3:$B$2150,"&lt;&gt;P")&gt;0,1,0)</f>
        <v>0</v>
      </c>
      <c r="E63">
        <f>IF(COUNTIFS('United Data'!$A$3:$A$2150,E$1,'United Data'!$C$3:$C$2150,$A63,'United Data'!$B$3:$B$2150,"&lt;&gt;P")&gt;0,1,0)</f>
        <v>0</v>
      </c>
      <c r="F63">
        <f>IF(COUNTIFS('United Data'!$A$3:$A$2150,F$1,'United Data'!$C$3:$C$2150,$A63,'United Data'!$B$3:$B$2150,"&lt;&gt;P")&gt;0,1,0)</f>
        <v>0</v>
      </c>
      <c r="G63">
        <f>IF(COUNTIFS('United Data'!$A$3:$A$2150,G$1,'United Data'!$C$3:$C$2150,$A63,'United Data'!$B$3:$B$2150,"&lt;&gt;P")&gt;0,1,0)</f>
        <v>1</v>
      </c>
      <c r="H63">
        <f>IF(COUNTIFS('United Data'!$A$3:$A$2150,H$1,'United Data'!$C$3:$C$2150,$A63,'United Data'!$B$3:$B$2150,"&lt;&gt;P")&gt;0,1,0)</f>
        <v>0</v>
      </c>
      <c r="I63">
        <f>IF(COUNTIFS('United Data'!$A$3:$A$2150,I$1,'United Data'!$C$3:$C$2150,$A63,'United Data'!$B$3:$B$2150,"&lt;&gt;P")&gt;0,1,0)</f>
        <v>1</v>
      </c>
      <c r="J63">
        <f>IF(COUNTIFS('United Data'!$A$3:$A$2150,J$1,'United Data'!$C$3:$C$2150,$A63,'United Data'!$B$3:$B$2150,"&lt;&gt;P")&gt;0,1,0)</f>
        <v>0</v>
      </c>
      <c r="K63">
        <f>IF(COUNTIFS('United Data'!$A$3:$A$2150,K$1,'United Data'!$C$3:$C$2150,$A63,'United Data'!$B$3:$B$2150,"&lt;&gt;P")&gt;0,1,0)</f>
        <v>1</v>
      </c>
      <c r="L63">
        <f>IF(COUNTIFS('United Data'!$A$3:$A$2150,L$1,'United Data'!$C$3:$C$2150,$A63,'United Data'!$B$3:$B$2150,"&lt;&gt;P")&gt;0,1,0)</f>
        <v>0</v>
      </c>
      <c r="M63">
        <f>IF(COUNTIFS('United Data'!$A$3:$A$2150,M$1,'United Data'!$C$3:$C$2150,$A63,'United Data'!$B$3:$B$2150,"&lt;&gt;P")&gt;0,1,0)</f>
        <v>0</v>
      </c>
      <c r="N63">
        <f>IF(COUNTIFS('United Data'!$A$3:$A$2150,N$1,'United Data'!$C$3:$C$2150,$A63,'United Data'!$B$3:$B$2150,"&lt;&gt;P")&gt;0,1,0)</f>
        <v>0</v>
      </c>
      <c r="O63">
        <f>IF(COUNTIFS('United Data'!$A$3:$A$2150,O$1,'United Data'!$C$3:$C$2150,$A63,'United Data'!$B$3:$B$2150,"&lt;&gt;P")&gt;0,1,0)</f>
        <v>0</v>
      </c>
      <c r="P63">
        <f>IF(COUNTIFS('United Data'!$A$3:$A$2150,P$1,'United Data'!$C$3:$C$2150,$A63,'United Data'!$B$3:$B$2150,"&lt;&gt;P")&gt;0,1,0)</f>
        <v>0</v>
      </c>
      <c r="Q63">
        <f>IF(COUNTIFS('United Data'!$A$3:$A$2150,Q$1,'United Data'!$C$3:$C$2150,$A63,'United Data'!$B$3:$B$2150,"&lt;&gt;P")&gt;0,1,0)</f>
        <v>0</v>
      </c>
      <c r="R63">
        <f>IF(COUNTIFS('United Data'!$A$3:$A$2150,R$1,'United Data'!$C$3:$C$2150,$A63,'United Data'!$B$3:$B$2150,"&lt;&gt;P")&gt;0,1,0)</f>
        <v>0</v>
      </c>
      <c r="S63">
        <f t="shared" si="0"/>
        <v>3</v>
      </c>
      <c r="T63">
        <f t="shared" si="1"/>
        <v>3</v>
      </c>
    </row>
    <row r="64" spans="1:20" x14ac:dyDescent="0.2">
      <c r="A64" t="s">
        <v>109</v>
      </c>
      <c r="B64">
        <f>IF(COUNTIFS('United Data'!$A$3:$A$2150,B$1,'United Data'!$C$3:$C$2150,$A64,'United Data'!$B$3:$B$2150,"&lt;&gt;P")&gt;0,1,0)</f>
        <v>0</v>
      </c>
      <c r="C64">
        <f>IF(COUNTIFS('United Data'!$A$3:$A$2150,C$1,'United Data'!$C$3:$C$2150,$A64,'United Data'!$B$3:$B$2150,"&lt;&gt;P")&gt;0,1,0)</f>
        <v>0</v>
      </c>
      <c r="D64">
        <f>IF(COUNTIFS('United Data'!$A$3:$A$2150,D$1,'United Data'!$C$3:$C$2150,$A64,'United Data'!$B$3:$B$2150,"&lt;&gt;P")&gt;0,1,0)</f>
        <v>0</v>
      </c>
      <c r="E64">
        <f>IF(COUNTIFS('United Data'!$A$3:$A$2150,E$1,'United Data'!$C$3:$C$2150,$A64,'United Data'!$B$3:$B$2150,"&lt;&gt;P")&gt;0,1,0)</f>
        <v>0</v>
      </c>
      <c r="F64">
        <f>IF(COUNTIFS('United Data'!$A$3:$A$2150,F$1,'United Data'!$C$3:$C$2150,$A64,'United Data'!$B$3:$B$2150,"&lt;&gt;P")&gt;0,1,0)</f>
        <v>0</v>
      </c>
      <c r="G64">
        <f>IF(COUNTIFS('United Data'!$A$3:$A$2150,G$1,'United Data'!$C$3:$C$2150,$A64,'United Data'!$B$3:$B$2150,"&lt;&gt;P")&gt;0,1,0)</f>
        <v>1</v>
      </c>
      <c r="H64">
        <f>IF(COUNTIFS('United Data'!$A$3:$A$2150,H$1,'United Data'!$C$3:$C$2150,$A64,'United Data'!$B$3:$B$2150,"&lt;&gt;P")&gt;0,1,0)</f>
        <v>0</v>
      </c>
      <c r="I64">
        <f>IF(COUNTIFS('United Data'!$A$3:$A$2150,I$1,'United Data'!$C$3:$C$2150,$A64,'United Data'!$B$3:$B$2150,"&lt;&gt;P")&gt;0,1,0)</f>
        <v>0</v>
      </c>
      <c r="J64">
        <f>IF(COUNTIFS('United Data'!$A$3:$A$2150,J$1,'United Data'!$C$3:$C$2150,$A64,'United Data'!$B$3:$B$2150,"&lt;&gt;P")&gt;0,1,0)</f>
        <v>0</v>
      </c>
      <c r="K64">
        <f>IF(COUNTIFS('United Data'!$A$3:$A$2150,K$1,'United Data'!$C$3:$C$2150,$A64,'United Data'!$B$3:$B$2150,"&lt;&gt;P")&gt;0,1,0)</f>
        <v>1</v>
      </c>
      <c r="L64">
        <f>IF(COUNTIFS('United Data'!$A$3:$A$2150,L$1,'United Data'!$C$3:$C$2150,$A64,'United Data'!$B$3:$B$2150,"&lt;&gt;P")&gt;0,1,0)</f>
        <v>0</v>
      </c>
      <c r="M64">
        <f>IF(COUNTIFS('United Data'!$A$3:$A$2150,M$1,'United Data'!$C$3:$C$2150,$A64,'United Data'!$B$3:$B$2150,"&lt;&gt;P")&gt;0,1,0)</f>
        <v>0</v>
      </c>
      <c r="N64">
        <f>IF(COUNTIFS('United Data'!$A$3:$A$2150,N$1,'United Data'!$C$3:$C$2150,$A64,'United Data'!$B$3:$B$2150,"&lt;&gt;P")&gt;0,1,0)</f>
        <v>0</v>
      </c>
      <c r="O64">
        <f>IF(COUNTIFS('United Data'!$A$3:$A$2150,O$1,'United Data'!$C$3:$C$2150,$A64,'United Data'!$B$3:$B$2150,"&lt;&gt;P")&gt;0,1,0)</f>
        <v>0</v>
      </c>
      <c r="P64">
        <f>IF(COUNTIFS('United Data'!$A$3:$A$2150,P$1,'United Data'!$C$3:$C$2150,$A64,'United Data'!$B$3:$B$2150,"&lt;&gt;P")&gt;0,1,0)</f>
        <v>0</v>
      </c>
      <c r="Q64">
        <f>IF(COUNTIFS('United Data'!$A$3:$A$2150,Q$1,'United Data'!$C$3:$C$2150,$A64,'United Data'!$B$3:$B$2150,"&lt;&gt;P")&gt;0,1,0)</f>
        <v>0</v>
      </c>
      <c r="R64">
        <f>IF(COUNTIFS('United Data'!$A$3:$A$2150,R$1,'United Data'!$C$3:$C$2150,$A64,'United Data'!$B$3:$B$2150,"&lt;&gt;P")&gt;0,1,0)</f>
        <v>0</v>
      </c>
      <c r="S64">
        <f t="shared" si="0"/>
        <v>2</v>
      </c>
      <c r="T64">
        <f t="shared" si="1"/>
        <v>2</v>
      </c>
    </row>
    <row r="65" spans="1:20" x14ac:dyDescent="0.2">
      <c r="A65" t="s">
        <v>110</v>
      </c>
      <c r="B65">
        <f>IF(COUNTIFS('United Data'!$A$3:$A$2150,B$1,'United Data'!$C$3:$C$2150,$A65,'United Data'!$B$3:$B$2150,"&lt;&gt;P")&gt;0,1,0)</f>
        <v>0</v>
      </c>
      <c r="C65">
        <f>IF(COUNTIFS('United Data'!$A$3:$A$2150,C$1,'United Data'!$C$3:$C$2150,$A65,'United Data'!$B$3:$B$2150,"&lt;&gt;P")&gt;0,1,0)</f>
        <v>0</v>
      </c>
      <c r="D65">
        <f>IF(COUNTIFS('United Data'!$A$3:$A$2150,D$1,'United Data'!$C$3:$C$2150,$A65,'United Data'!$B$3:$B$2150,"&lt;&gt;P")&gt;0,1,0)</f>
        <v>0</v>
      </c>
      <c r="E65">
        <f>IF(COUNTIFS('United Data'!$A$3:$A$2150,E$1,'United Data'!$C$3:$C$2150,$A65,'United Data'!$B$3:$B$2150,"&lt;&gt;P")&gt;0,1,0)</f>
        <v>0</v>
      </c>
      <c r="F65">
        <f>IF(COUNTIFS('United Data'!$A$3:$A$2150,F$1,'United Data'!$C$3:$C$2150,$A65,'United Data'!$B$3:$B$2150,"&lt;&gt;P")&gt;0,1,0)</f>
        <v>0</v>
      </c>
      <c r="G65">
        <f>IF(COUNTIFS('United Data'!$A$3:$A$2150,G$1,'United Data'!$C$3:$C$2150,$A65,'United Data'!$B$3:$B$2150,"&lt;&gt;P")&gt;0,1,0)</f>
        <v>1</v>
      </c>
      <c r="H65">
        <f>IF(COUNTIFS('United Data'!$A$3:$A$2150,H$1,'United Data'!$C$3:$C$2150,$A65,'United Data'!$B$3:$B$2150,"&lt;&gt;P")&gt;0,1,0)</f>
        <v>1</v>
      </c>
      <c r="I65">
        <f>IF(COUNTIFS('United Data'!$A$3:$A$2150,I$1,'United Data'!$C$3:$C$2150,$A65,'United Data'!$B$3:$B$2150,"&lt;&gt;P")&gt;0,1,0)</f>
        <v>1</v>
      </c>
      <c r="J65">
        <f>IF(COUNTIFS('United Data'!$A$3:$A$2150,J$1,'United Data'!$C$3:$C$2150,$A65,'United Data'!$B$3:$B$2150,"&lt;&gt;P")&gt;0,1,0)</f>
        <v>1</v>
      </c>
      <c r="K65">
        <f>IF(COUNTIFS('United Data'!$A$3:$A$2150,K$1,'United Data'!$C$3:$C$2150,$A65,'United Data'!$B$3:$B$2150,"&lt;&gt;P")&gt;0,1,0)</f>
        <v>1</v>
      </c>
      <c r="L65">
        <f>IF(COUNTIFS('United Data'!$A$3:$A$2150,L$1,'United Data'!$C$3:$C$2150,$A65,'United Data'!$B$3:$B$2150,"&lt;&gt;P")&gt;0,1,0)</f>
        <v>1</v>
      </c>
      <c r="M65">
        <f>IF(COUNTIFS('United Data'!$A$3:$A$2150,M$1,'United Data'!$C$3:$C$2150,$A65,'United Data'!$B$3:$B$2150,"&lt;&gt;P")&gt;0,1,0)</f>
        <v>1</v>
      </c>
      <c r="N65">
        <f>IF(COUNTIFS('United Data'!$A$3:$A$2150,N$1,'United Data'!$C$3:$C$2150,$A65,'United Data'!$B$3:$B$2150,"&lt;&gt;P")&gt;0,1,0)</f>
        <v>0</v>
      </c>
      <c r="O65">
        <f>IF(COUNTIFS('United Data'!$A$3:$A$2150,O$1,'United Data'!$C$3:$C$2150,$A65,'United Data'!$B$3:$B$2150,"&lt;&gt;P")&gt;0,1,0)</f>
        <v>0</v>
      </c>
      <c r="P65">
        <f>IF(COUNTIFS('United Data'!$A$3:$A$2150,P$1,'United Data'!$C$3:$C$2150,$A65,'United Data'!$B$3:$B$2150,"&lt;&gt;P")&gt;0,1,0)</f>
        <v>0</v>
      </c>
      <c r="Q65">
        <f>IF(COUNTIFS('United Data'!$A$3:$A$2150,Q$1,'United Data'!$C$3:$C$2150,$A65,'United Data'!$B$3:$B$2150,"&lt;&gt;P")&gt;0,1,0)</f>
        <v>0</v>
      </c>
      <c r="R65">
        <f>IF(COUNTIFS('United Data'!$A$3:$A$2150,R$1,'United Data'!$C$3:$C$2150,$A65,'United Data'!$B$3:$B$2150,"&lt;&gt;P")&gt;0,1,0)</f>
        <v>0</v>
      </c>
      <c r="S65">
        <f t="shared" si="0"/>
        <v>7</v>
      </c>
      <c r="T65">
        <f t="shared" si="1"/>
        <v>1</v>
      </c>
    </row>
    <row r="66" spans="1:20" x14ac:dyDescent="0.2">
      <c r="A66" t="s">
        <v>111</v>
      </c>
      <c r="B66">
        <f>IF(COUNTIFS('United Data'!$A$3:$A$2150,B$1,'United Data'!$C$3:$C$2150,$A66,'United Data'!$B$3:$B$2150,"&lt;&gt;P")&gt;0,1,0)</f>
        <v>0</v>
      </c>
      <c r="C66">
        <f>IF(COUNTIFS('United Data'!$A$3:$A$2150,C$1,'United Data'!$C$3:$C$2150,$A66,'United Data'!$B$3:$B$2150,"&lt;&gt;P")&gt;0,1,0)</f>
        <v>0</v>
      </c>
      <c r="D66">
        <f>IF(COUNTIFS('United Data'!$A$3:$A$2150,D$1,'United Data'!$C$3:$C$2150,$A66,'United Data'!$B$3:$B$2150,"&lt;&gt;P")&gt;0,1,0)</f>
        <v>0</v>
      </c>
      <c r="E66">
        <f>IF(COUNTIFS('United Data'!$A$3:$A$2150,E$1,'United Data'!$C$3:$C$2150,$A66,'United Data'!$B$3:$B$2150,"&lt;&gt;P")&gt;0,1,0)</f>
        <v>0</v>
      </c>
      <c r="F66">
        <f>IF(COUNTIFS('United Data'!$A$3:$A$2150,F$1,'United Data'!$C$3:$C$2150,$A66,'United Data'!$B$3:$B$2150,"&lt;&gt;P")&gt;0,1,0)</f>
        <v>0</v>
      </c>
      <c r="G66">
        <f>IF(COUNTIFS('United Data'!$A$3:$A$2150,G$1,'United Data'!$C$3:$C$2150,$A66,'United Data'!$B$3:$B$2150,"&lt;&gt;P")&gt;0,1,0)</f>
        <v>1</v>
      </c>
      <c r="H66">
        <f>IF(COUNTIFS('United Data'!$A$3:$A$2150,H$1,'United Data'!$C$3:$C$2150,$A66,'United Data'!$B$3:$B$2150,"&lt;&gt;P")&gt;0,1,0)</f>
        <v>1</v>
      </c>
      <c r="I66">
        <f>IF(COUNTIFS('United Data'!$A$3:$A$2150,I$1,'United Data'!$C$3:$C$2150,$A66,'United Data'!$B$3:$B$2150,"&lt;&gt;P")&gt;0,1,0)</f>
        <v>0</v>
      </c>
      <c r="J66">
        <f>IF(COUNTIFS('United Data'!$A$3:$A$2150,J$1,'United Data'!$C$3:$C$2150,$A66,'United Data'!$B$3:$B$2150,"&lt;&gt;P")&gt;0,1,0)</f>
        <v>1</v>
      </c>
      <c r="K66">
        <f>IF(COUNTIFS('United Data'!$A$3:$A$2150,K$1,'United Data'!$C$3:$C$2150,$A66,'United Data'!$B$3:$B$2150,"&lt;&gt;P")&gt;0,1,0)</f>
        <v>0</v>
      </c>
      <c r="L66">
        <f>IF(COUNTIFS('United Data'!$A$3:$A$2150,L$1,'United Data'!$C$3:$C$2150,$A66,'United Data'!$B$3:$B$2150,"&lt;&gt;P")&gt;0,1,0)</f>
        <v>1</v>
      </c>
      <c r="M66">
        <f>IF(COUNTIFS('United Data'!$A$3:$A$2150,M$1,'United Data'!$C$3:$C$2150,$A66,'United Data'!$B$3:$B$2150,"&lt;&gt;P")&gt;0,1,0)</f>
        <v>0</v>
      </c>
      <c r="N66">
        <f>IF(COUNTIFS('United Data'!$A$3:$A$2150,N$1,'United Data'!$C$3:$C$2150,$A66,'United Data'!$B$3:$B$2150,"&lt;&gt;P")&gt;0,1,0)</f>
        <v>0</v>
      </c>
      <c r="O66">
        <f>IF(COUNTIFS('United Data'!$A$3:$A$2150,O$1,'United Data'!$C$3:$C$2150,$A66,'United Data'!$B$3:$B$2150,"&lt;&gt;P")&gt;0,1,0)</f>
        <v>0</v>
      </c>
      <c r="P66">
        <f>IF(COUNTIFS('United Data'!$A$3:$A$2150,P$1,'United Data'!$C$3:$C$2150,$A66,'United Data'!$B$3:$B$2150,"&lt;&gt;P")&gt;0,1,0)</f>
        <v>0</v>
      </c>
      <c r="Q66">
        <f>IF(COUNTIFS('United Data'!$A$3:$A$2150,Q$1,'United Data'!$C$3:$C$2150,$A66,'United Data'!$B$3:$B$2150,"&lt;&gt;P")&gt;0,1,0)</f>
        <v>0</v>
      </c>
      <c r="R66">
        <f>IF(COUNTIFS('United Data'!$A$3:$A$2150,R$1,'United Data'!$C$3:$C$2150,$A66,'United Data'!$B$3:$B$2150,"&lt;&gt;P")&gt;0,1,0)</f>
        <v>0</v>
      </c>
      <c r="S66">
        <f t="shared" ref="S66:S129" si="2">SUM(B66:R66)</f>
        <v>4</v>
      </c>
      <c r="T66">
        <f t="shared" ref="T66:T129" si="3">B66+SUMPRODUCT(--(C66:R66&gt;B66:Q66))</f>
        <v>3</v>
      </c>
    </row>
    <row r="67" spans="1:20" x14ac:dyDescent="0.2">
      <c r="A67" t="s">
        <v>112</v>
      </c>
      <c r="B67">
        <f>IF(COUNTIFS('United Data'!$A$3:$A$2150,B$1,'United Data'!$C$3:$C$2150,$A67,'United Data'!$B$3:$B$2150,"&lt;&gt;P")&gt;0,1,0)</f>
        <v>0</v>
      </c>
      <c r="C67">
        <f>IF(COUNTIFS('United Data'!$A$3:$A$2150,C$1,'United Data'!$C$3:$C$2150,$A67,'United Data'!$B$3:$B$2150,"&lt;&gt;P")&gt;0,1,0)</f>
        <v>0</v>
      </c>
      <c r="D67">
        <f>IF(COUNTIFS('United Data'!$A$3:$A$2150,D$1,'United Data'!$C$3:$C$2150,$A67,'United Data'!$B$3:$B$2150,"&lt;&gt;P")&gt;0,1,0)</f>
        <v>0</v>
      </c>
      <c r="E67">
        <f>IF(COUNTIFS('United Data'!$A$3:$A$2150,E$1,'United Data'!$C$3:$C$2150,$A67,'United Data'!$B$3:$B$2150,"&lt;&gt;P")&gt;0,1,0)</f>
        <v>0</v>
      </c>
      <c r="F67">
        <f>IF(COUNTIFS('United Data'!$A$3:$A$2150,F$1,'United Data'!$C$3:$C$2150,$A67,'United Data'!$B$3:$B$2150,"&lt;&gt;P")&gt;0,1,0)</f>
        <v>0</v>
      </c>
      <c r="G67">
        <f>IF(COUNTIFS('United Data'!$A$3:$A$2150,G$1,'United Data'!$C$3:$C$2150,$A67,'United Data'!$B$3:$B$2150,"&lt;&gt;P")&gt;0,1,0)</f>
        <v>1</v>
      </c>
      <c r="H67">
        <f>IF(COUNTIFS('United Data'!$A$3:$A$2150,H$1,'United Data'!$C$3:$C$2150,$A67,'United Data'!$B$3:$B$2150,"&lt;&gt;P")&gt;0,1,0)</f>
        <v>0</v>
      </c>
      <c r="I67">
        <f>IF(COUNTIFS('United Data'!$A$3:$A$2150,I$1,'United Data'!$C$3:$C$2150,$A67,'United Data'!$B$3:$B$2150,"&lt;&gt;P")&gt;0,1,0)</f>
        <v>0</v>
      </c>
      <c r="J67">
        <f>IF(COUNTIFS('United Data'!$A$3:$A$2150,J$1,'United Data'!$C$3:$C$2150,$A67,'United Data'!$B$3:$B$2150,"&lt;&gt;P")&gt;0,1,0)</f>
        <v>0</v>
      </c>
      <c r="K67">
        <f>IF(COUNTIFS('United Data'!$A$3:$A$2150,K$1,'United Data'!$C$3:$C$2150,$A67,'United Data'!$B$3:$B$2150,"&lt;&gt;P")&gt;0,1,0)</f>
        <v>0</v>
      </c>
      <c r="L67">
        <f>IF(COUNTIFS('United Data'!$A$3:$A$2150,L$1,'United Data'!$C$3:$C$2150,$A67,'United Data'!$B$3:$B$2150,"&lt;&gt;P")&gt;0,1,0)</f>
        <v>0</v>
      </c>
      <c r="M67">
        <f>IF(COUNTIFS('United Data'!$A$3:$A$2150,M$1,'United Data'!$C$3:$C$2150,$A67,'United Data'!$B$3:$B$2150,"&lt;&gt;P")&gt;0,1,0)</f>
        <v>0</v>
      </c>
      <c r="N67">
        <f>IF(COUNTIFS('United Data'!$A$3:$A$2150,N$1,'United Data'!$C$3:$C$2150,$A67,'United Data'!$B$3:$B$2150,"&lt;&gt;P")&gt;0,1,0)</f>
        <v>0</v>
      </c>
      <c r="O67">
        <f>IF(COUNTIFS('United Data'!$A$3:$A$2150,O$1,'United Data'!$C$3:$C$2150,$A67,'United Data'!$B$3:$B$2150,"&lt;&gt;P")&gt;0,1,0)</f>
        <v>0</v>
      </c>
      <c r="P67">
        <f>IF(COUNTIFS('United Data'!$A$3:$A$2150,P$1,'United Data'!$C$3:$C$2150,$A67,'United Data'!$B$3:$B$2150,"&lt;&gt;P")&gt;0,1,0)</f>
        <v>0</v>
      </c>
      <c r="Q67">
        <f>IF(COUNTIFS('United Data'!$A$3:$A$2150,Q$1,'United Data'!$C$3:$C$2150,$A67,'United Data'!$B$3:$B$2150,"&lt;&gt;P")&gt;0,1,0)</f>
        <v>0</v>
      </c>
      <c r="R67">
        <f>IF(COUNTIFS('United Data'!$A$3:$A$2150,R$1,'United Data'!$C$3:$C$2150,$A67,'United Data'!$B$3:$B$2150,"&lt;&gt;P")&gt;0,1,0)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113</v>
      </c>
      <c r="B68">
        <f>IF(COUNTIFS('United Data'!$A$3:$A$2150,B$1,'United Data'!$C$3:$C$2150,$A68,'United Data'!$B$3:$B$2150,"&lt;&gt;P")&gt;0,1,0)</f>
        <v>0</v>
      </c>
      <c r="C68">
        <f>IF(COUNTIFS('United Data'!$A$3:$A$2150,C$1,'United Data'!$C$3:$C$2150,$A68,'United Data'!$B$3:$B$2150,"&lt;&gt;P")&gt;0,1,0)</f>
        <v>0</v>
      </c>
      <c r="D68">
        <f>IF(COUNTIFS('United Data'!$A$3:$A$2150,D$1,'United Data'!$C$3:$C$2150,$A68,'United Data'!$B$3:$B$2150,"&lt;&gt;P")&gt;0,1,0)</f>
        <v>0</v>
      </c>
      <c r="E68">
        <f>IF(COUNTIFS('United Data'!$A$3:$A$2150,E$1,'United Data'!$C$3:$C$2150,$A68,'United Data'!$B$3:$B$2150,"&lt;&gt;P")&gt;0,1,0)</f>
        <v>0</v>
      </c>
      <c r="F68">
        <f>IF(COUNTIFS('United Data'!$A$3:$A$2150,F$1,'United Data'!$C$3:$C$2150,$A68,'United Data'!$B$3:$B$2150,"&lt;&gt;P")&gt;0,1,0)</f>
        <v>0</v>
      </c>
      <c r="G68">
        <f>IF(COUNTIFS('United Data'!$A$3:$A$2150,G$1,'United Data'!$C$3:$C$2150,$A68,'United Data'!$B$3:$B$2150,"&lt;&gt;P")&gt;0,1,0)</f>
        <v>1</v>
      </c>
      <c r="H68">
        <f>IF(COUNTIFS('United Data'!$A$3:$A$2150,H$1,'United Data'!$C$3:$C$2150,$A68,'United Data'!$B$3:$B$2150,"&lt;&gt;P")&gt;0,1,0)</f>
        <v>1</v>
      </c>
      <c r="I68">
        <f>IF(COUNTIFS('United Data'!$A$3:$A$2150,I$1,'United Data'!$C$3:$C$2150,$A68,'United Data'!$B$3:$B$2150,"&lt;&gt;P")&gt;0,1,0)</f>
        <v>1</v>
      </c>
      <c r="J68">
        <f>IF(COUNTIFS('United Data'!$A$3:$A$2150,J$1,'United Data'!$C$3:$C$2150,$A68,'United Data'!$B$3:$B$2150,"&lt;&gt;P")&gt;0,1,0)</f>
        <v>0</v>
      </c>
      <c r="K68">
        <f>IF(COUNTIFS('United Data'!$A$3:$A$2150,K$1,'United Data'!$C$3:$C$2150,$A68,'United Data'!$B$3:$B$2150,"&lt;&gt;P")&gt;0,1,0)</f>
        <v>0</v>
      </c>
      <c r="L68">
        <f>IF(COUNTIFS('United Data'!$A$3:$A$2150,L$1,'United Data'!$C$3:$C$2150,$A68,'United Data'!$B$3:$B$2150,"&lt;&gt;P")&gt;0,1,0)</f>
        <v>0</v>
      </c>
      <c r="M68">
        <f>IF(COUNTIFS('United Data'!$A$3:$A$2150,M$1,'United Data'!$C$3:$C$2150,$A68,'United Data'!$B$3:$B$2150,"&lt;&gt;P")&gt;0,1,0)</f>
        <v>0</v>
      </c>
      <c r="N68">
        <f>IF(COUNTIFS('United Data'!$A$3:$A$2150,N$1,'United Data'!$C$3:$C$2150,$A68,'United Data'!$B$3:$B$2150,"&lt;&gt;P")&gt;0,1,0)</f>
        <v>0</v>
      </c>
      <c r="O68">
        <f>IF(COUNTIFS('United Data'!$A$3:$A$2150,O$1,'United Data'!$C$3:$C$2150,$A68,'United Data'!$B$3:$B$2150,"&lt;&gt;P")&gt;0,1,0)</f>
        <v>0</v>
      </c>
      <c r="P68">
        <f>IF(COUNTIFS('United Data'!$A$3:$A$2150,P$1,'United Data'!$C$3:$C$2150,$A68,'United Data'!$B$3:$B$2150,"&lt;&gt;P")&gt;0,1,0)</f>
        <v>0</v>
      </c>
      <c r="Q68">
        <f>IF(COUNTIFS('United Data'!$A$3:$A$2150,Q$1,'United Data'!$C$3:$C$2150,$A68,'United Data'!$B$3:$B$2150,"&lt;&gt;P")&gt;0,1,0)</f>
        <v>0</v>
      </c>
      <c r="R68">
        <f>IF(COUNTIFS('United Data'!$A$3:$A$2150,R$1,'United Data'!$C$3:$C$2150,$A68,'United Data'!$B$3:$B$2150,"&lt;&gt;P")&gt;0,1,0)</f>
        <v>0</v>
      </c>
      <c r="S68">
        <f t="shared" si="2"/>
        <v>3</v>
      </c>
      <c r="T68">
        <f t="shared" si="3"/>
        <v>1</v>
      </c>
    </row>
    <row r="69" spans="1:20" x14ac:dyDescent="0.2">
      <c r="A69" t="s">
        <v>114</v>
      </c>
      <c r="B69">
        <f>IF(COUNTIFS('United Data'!$A$3:$A$2150,B$1,'United Data'!$C$3:$C$2150,$A69,'United Data'!$B$3:$B$2150,"&lt;&gt;P")&gt;0,1,0)</f>
        <v>0</v>
      </c>
      <c r="C69">
        <f>IF(COUNTIFS('United Data'!$A$3:$A$2150,C$1,'United Data'!$C$3:$C$2150,$A69,'United Data'!$B$3:$B$2150,"&lt;&gt;P")&gt;0,1,0)</f>
        <v>0</v>
      </c>
      <c r="D69">
        <f>IF(COUNTIFS('United Data'!$A$3:$A$2150,D$1,'United Data'!$C$3:$C$2150,$A69,'United Data'!$B$3:$B$2150,"&lt;&gt;P")&gt;0,1,0)</f>
        <v>0</v>
      </c>
      <c r="E69">
        <f>IF(COUNTIFS('United Data'!$A$3:$A$2150,E$1,'United Data'!$C$3:$C$2150,$A69,'United Data'!$B$3:$B$2150,"&lt;&gt;P")&gt;0,1,0)</f>
        <v>0</v>
      </c>
      <c r="F69">
        <f>IF(COUNTIFS('United Data'!$A$3:$A$2150,F$1,'United Data'!$C$3:$C$2150,$A69,'United Data'!$B$3:$B$2150,"&lt;&gt;P")&gt;0,1,0)</f>
        <v>0</v>
      </c>
      <c r="G69">
        <f>IF(COUNTIFS('United Data'!$A$3:$A$2150,G$1,'United Data'!$C$3:$C$2150,$A69,'United Data'!$B$3:$B$2150,"&lt;&gt;P")&gt;0,1,0)</f>
        <v>1</v>
      </c>
      <c r="H69">
        <f>IF(COUNTIFS('United Data'!$A$3:$A$2150,H$1,'United Data'!$C$3:$C$2150,$A69,'United Data'!$B$3:$B$2150,"&lt;&gt;P")&gt;0,1,0)</f>
        <v>0</v>
      </c>
      <c r="I69">
        <f>IF(COUNTIFS('United Data'!$A$3:$A$2150,I$1,'United Data'!$C$3:$C$2150,$A69,'United Data'!$B$3:$B$2150,"&lt;&gt;P")&gt;0,1,0)</f>
        <v>0</v>
      </c>
      <c r="J69">
        <f>IF(COUNTIFS('United Data'!$A$3:$A$2150,J$1,'United Data'!$C$3:$C$2150,$A69,'United Data'!$B$3:$B$2150,"&lt;&gt;P")&gt;0,1,0)</f>
        <v>0</v>
      </c>
      <c r="K69">
        <f>IF(COUNTIFS('United Data'!$A$3:$A$2150,K$1,'United Data'!$C$3:$C$2150,$A69,'United Data'!$B$3:$B$2150,"&lt;&gt;P")&gt;0,1,0)</f>
        <v>0</v>
      </c>
      <c r="L69">
        <f>IF(COUNTIFS('United Data'!$A$3:$A$2150,L$1,'United Data'!$C$3:$C$2150,$A69,'United Data'!$B$3:$B$2150,"&lt;&gt;P")&gt;0,1,0)</f>
        <v>0</v>
      </c>
      <c r="M69">
        <f>IF(COUNTIFS('United Data'!$A$3:$A$2150,M$1,'United Data'!$C$3:$C$2150,$A69,'United Data'!$B$3:$B$2150,"&lt;&gt;P")&gt;0,1,0)</f>
        <v>0</v>
      </c>
      <c r="N69">
        <f>IF(COUNTIFS('United Data'!$A$3:$A$2150,N$1,'United Data'!$C$3:$C$2150,$A69,'United Data'!$B$3:$B$2150,"&lt;&gt;P")&gt;0,1,0)</f>
        <v>0</v>
      </c>
      <c r="O69">
        <f>IF(COUNTIFS('United Data'!$A$3:$A$2150,O$1,'United Data'!$C$3:$C$2150,$A69,'United Data'!$B$3:$B$2150,"&lt;&gt;P")&gt;0,1,0)</f>
        <v>0</v>
      </c>
      <c r="P69">
        <f>IF(COUNTIFS('United Data'!$A$3:$A$2150,P$1,'United Data'!$C$3:$C$2150,$A69,'United Data'!$B$3:$B$2150,"&lt;&gt;P")&gt;0,1,0)</f>
        <v>0</v>
      </c>
      <c r="Q69">
        <f>IF(COUNTIFS('United Data'!$A$3:$A$2150,Q$1,'United Data'!$C$3:$C$2150,$A69,'United Data'!$B$3:$B$2150,"&lt;&gt;P")&gt;0,1,0)</f>
        <v>0</v>
      </c>
      <c r="R69">
        <f>IF(COUNTIFS('United Data'!$A$3:$A$2150,R$1,'United Data'!$C$3:$C$2150,$A69,'United Data'!$B$3:$B$2150,"&lt;&gt;P")&gt;0,1,0)</f>
        <v>0</v>
      </c>
      <c r="S69">
        <f t="shared" si="2"/>
        <v>1</v>
      </c>
      <c r="T69">
        <f t="shared" si="3"/>
        <v>1</v>
      </c>
    </row>
    <row r="70" spans="1:20" x14ac:dyDescent="0.2">
      <c r="A70" t="s">
        <v>115</v>
      </c>
      <c r="B70">
        <f>IF(COUNTIFS('United Data'!$A$3:$A$2150,B$1,'United Data'!$C$3:$C$2150,$A70,'United Data'!$B$3:$B$2150,"&lt;&gt;P")&gt;0,1,0)</f>
        <v>0</v>
      </c>
      <c r="C70">
        <f>IF(COUNTIFS('United Data'!$A$3:$A$2150,C$1,'United Data'!$C$3:$C$2150,$A70,'United Data'!$B$3:$B$2150,"&lt;&gt;P")&gt;0,1,0)</f>
        <v>0</v>
      </c>
      <c r="D70">
        <f>IF(COUNTIFS('United Data'!$A$3:$A$2150,D$1,'United Data'!$C$3:$C$2150,$A70,'United Data'!$B$3:$B$2150,"&lt;&gt;P")&gt;0,1,0)</f>
        <v>0</v>
      </c>
      <c r="E70">
        <f>IF(COUNTIFS('United Data'!$A$3:$A$2150,E$1,'United Data'!$C$3:$C$2150,$A70,'United Data'!$B$3:$B$2150,"&lt;&gt;P")&gt;0,1,0)</f>
        <v>0</v>
      </c>
      <c r="F70">
        <f>IF(COUNTIFS('United Data'!$A$3:$A$2150,F$1,'United Data'!$C$3:$C$2150,$A70,'United Data'!$B$3:$B$2150,"&lt;&gt;P")&gt;0,1,0)</f>
        <v>0</v>
      </c>
      <c r="G70">
        <f>IF(COUNTIFS('United Data'!$A$3:$A$2150,G$1,'United Data'!$C$3:$C$2150,$A70,'United Data'!$B$3:$B$2150,"&lt;&gt;P")&gt;0,1,0)</f>
        <v>1</v>
      </c>
      <c r="H70">
        <f>IF(COUNTIFS('United Data'!$A$3:$A$2150,H$1,'United Data'!$C$3:$C$2150,$A70,'United Data'!$B$3:$B$2150,"&lt;&gt;P")&gt;0,1,0)</f>
        <v>1</v>
      </c>
      <c r="I70">
        <f>IF(COUNTIFS('United Data'!$A$3:$A$2150,I$1,'United Data'!$C$3:$C$2150,$A70,'United Data'!$B$3:$B$2150,"&lt;&gt;P")&gt;0,1,0)</f>
        <v>0</v>
      </c>
      <c r="J70">
        <f>IF(COUNTIFS('United Data'!$A$3:$A$2150,J$1,'United Data'!$C$3:$C$2150,$A70,'United Data'!$B$3:$B$2150,"&lt;&gt;P")&gt;0,1,0)</f>
        <v>0</v>
      </c>
      <c r="K70">
        <f>IF(COUNTIFS('United Data'!$A$3:$A$2150,K$1,'United Data'!$C$3:$C$2150,$A70,'United Data'!$B$3:$B$2150,"&lt;&gt;P")&gt;0,1,0)</f>
        <v>0</v>
      </c>
      <c r="L70">
        <f>IF(COUNTIFS('United Data'!$A$3:$A$2150,L$1,'United Data'!$C$3:$C$2150,$A70,'United Data'!$B$3:$B$2150,"&lt;&gt;P")&gt;0,1,0)</f>
        <v>0</v>
      </c>
      <c r="M70">
        <f>IF(COUNTIFS('United Data'!$A$3:$A$2150,M$1,'United Data'!$C$3:$C$2150,$A70,'United Data'!$B$3:$B$2150,"&lt;&gt;P")&gt;0,1,0)</f>
        <v>0</v>
      </c>
      <c r="N70">
        <f>IF(COUNTIFS('United Data'!$A$3:$A$2150,N$1,'United Data'!$C$3:$C$2150,$A70,'United Data'!$B$3:$B$2150,"&lt;&gt;P")&gt;0,1,0)</f>
        <v>0</v>
      </c>
      <c r="O70">
        <f>IF(COUNTIFS('United Data'!$A$3:$A$2150,O$1,'United Data'!$C$3:$C$2150,$A70,'United Data'!$B$3:$B$2150,"&lt;&gt;P")&gt;0,1,0)</f>
        <v>0</v>
      </c>
      <c r="P70">
        <f>IF(COUNTIFS('United Data'!$A$3:$A$2150,P$1,'United Data'!$C$3:$C$2150,$A70,'United Data'!$B$3:$B$2150,"&lt;&gt;P")&gt;0,1,0)</f>
        <v>0</v>
      </c>
      <c r="Q70">
        <f>IF(COUNTIFS('United Data'!$A$3:$A$2150,Q$1,'United Data'!$C$3:$C$2150,$A70,'United Data'!$B$3:$B$2150,"&lt;&gt;P")&gt;0,1,0)</f>
        <v>0</v>
      </c>
      <c r="R70">
        <f>IF(COUNTIFS('United Data'!$A$3:$A$2150,R$1,'United Data'!$C$3:$C$2150,$A70,'United Data'!$B$3:$B$2150,"&lt;&gt;P")&gt;0,1,0)</f>
        <v>0</v>
      </c>
      <c r="S70">
        <f t="shared" si="2"/>
        <v>2</v>
      </c>
      <c r="T70">
        <f t="shared" si="3"/>
        <v>1</v>
      </c>
    </row>
    <row r="71" spans="1:20" x14ac:dyDescent="0.2">
      <c r="A71" t="s">
        <v>116</v>
      </c>
      <c r="B71">
        <f>IF(COUNTIFS('United Data'!$A$3:$A$2150,B$1,'United Data'!$C$3:$C$2150,$A71,'United Data'!$B$3:$B$2150,"&lt;&gt;P")&gt;0,1,0)</f>
        <v>0</v>
      </c>
      <c r="C71">
        <f>IF(COUNTIFS('United Data'!$A$3:$A$2150,C$1,'United Data'!$C$3:$C$2150,$A71,'United Data'!$B$3:$B$2150,"&lt;&gt;P")&gt;0,1,0)</f>
        <v>0</v>
      </c>
      <c r="D71">
        <f>IF(COUNTIFS('United Data'!$A$3:$A$2150,D$1,'United Data'!$C$3:$C$2150,$A71,'United Data'!$B$3:$B$2150,"&lt;&gt;P")&gt;0,1,0)</f>
        <v>0</v>
      </c>
      <c r="E71">
        <f>IF(COUNTIFS('United Data'!$A$3:$A$2150,E$1,'United Data'!$C$3:$C$2150,$A71,'United Data'!$B$3:$B$2150,"&lt;&gt;P")&gt;0,1,0)</f>
        <v>0</v>
      </c>
      <c r="F71">
        <f>IF(COUNTIFS('United Data'!$A$3:$A$2150,F$1,'United Data'!$C$3:$C$2150,$A71,'United Data'!$B$3:$B$2150,"&lt;&gt;P")&gt;0,1,0)</f>
        <v>0</v>
      </c>
      <c r="G71">
        <f>IF(COUNTIFS('United Data'!$A$3:$A$2150,G$1,'United Data'!$C$3:$C$2150,$A71,'United Data'!$B$3:$B$2150,"&lt;&gt;P")&gt;0,1,0)</f>
        <v>1</v>
      </c>
      <c r="H71">
        <f>IF(COUNTIFS('United Data'!$A$3:$A$2150,H$1,'United Data'!$C$3:$C$2150,$A71,'United Data'!$B$3:$B$2150,"&lt;&gt;P")&gt;0,1,0)</f>
        <v>0</v>
      </c>
      <c r="I71">
        <f>IF(COUNTIFS('United Data'!$A$3:$A$2150,I$1,'United Data'!$C$3:$C$2150,$A71,'United Data'!$B$3:$B$2150,"&lt;&gt;P")&gt;0,1,0)</f>
        <v>0</v>
      </c>
      <c r="J71">
        <f>IF(COUNTIFS('United Data'!$A$3:$A$2150,J$1,'United Data'!$C$3:$C$2150,$A71,'United Data'!$B$3:$B$2150,"&lt;&gt;P")&gt;0,1,0)</f>
        <v>0</v>
      </c>
      <c r="K71">
        <f>IF(COUNTIFS('United Data'!$A$3:$A$2150,K$1,'United Data'!$C$3:$C$2150,$A71,'United Data'!$B$3:$B$2150,"&lt;&gt;P")&gt;0,1,0)</f>
        <v>0</v>
      </c>
      <c r="L71">
        <f>IF(COUNTIFS('United Data'!$A$3:$A$2150,L$1,'United Data'!$C$3:$C$2150,$A71,'United Data'!$B$3:$B$2150,"&lt;&gt;P")&gt;0,1,0)</f>
        <v>0</v>
      </c>
      <c r="M71">
        <f>IF(COUNTIFS('United Data'!$A$3:$A$2150,M$1,'United Data'!$C$3:$C$2150,$A71,'United Data'!$B$3:$B$2150,"&lt;&gt;P")&gt;0,1,0)</f>
        <v>0</v>
      </c>
      <c r="N71">
        <f>IF(COUNTIFS('United Data'!$A$3:$A$2150,N$1,'United Data'!$C$3:$C$2150,$A71,'United Data'!$B$3:$B$2150,"&lt;&gt;P")&gt;0,1,0)</f>
        <v>0</v>
      </c>
      <c r="O71">
        <f>IF(COUNTIFS('United Data'!$A$3:$A$2150,O$1,'United Data'!$C$3:$C$2150,$A71,'United Data'!$B$3:$B$2150,"&lt;&gt;P")&gt;0,1,0)</f>
        <v>0</v>
      </c>
      <c r="P71">
        <f>IF(COUNTIFS('United Data'!$A$3:$A$2150,P$1,'United Data'!$C$3:$C$2150,$A71,'United Data'!$B$3:$B$2150,"&lt;&gt;P")&gt;0,1,0)</f>
        <v>0</v>
      </c>
      <c r="Q71">
        <f>IF(COUNTIFS('United Data'!$A$3:$A$2150,Q$1,'United Data'!$C$3:$C$2150,$A71,'United Data'!$B$3:$B$2150,"&lt;&gt;P")&gt;0,1,0)</f>
        <v>0</v>
      </c>
      <c r="R71">
        <f>IF(COUNTIFS('United Data'!$A$3:$A$2150,R$1,'United Data'!$C$3:$C$2150,$A71,'United Data'!$B$3:$B$2150,"&lt;&gt;P")&gt;0,1,0)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117</v>
      </c>
      <c r="B72">
        <f>IF(COUNTIFS('United Data'!$A$3:$A$2150,B$1,'United Data'!$C$3:$C$2150,$A72,'United Data'!$B$3:$B$2150,"&lt;&gt;P")&gt;0,1,0)</f>
        <v>0</v>
      </c>
      <c r="C72">
        <f>IF(COUNTIFS('United Data'!$A$3:$A$2150,C$1,'United Data'!$C$3:$C$2150,$A72,'United Data'!$B$3:$B$2150,"&lt;&gt;P")&gt;0,1,0)</f>
        <v>0</v>
      </c>
      <c r="D72">
        <f>IF(COUNTIFS('United Data'!$A$3:$A$2150,D$1,'United Data'!$C$3:$C$2150,$A72,'United Data'!$B$3:$B$2150,"&lt;&gt;P")&gt;0,1,0)</f>
        <v>0</v>
      </c>
      <c r="E72">
        <f>IF(COUNTIFS('United Data'!$A$3:$A$2150,E$1,'United Data'!$C$3:$C$2150,$A72,'United Data'!$B$3:$B$2150,"&lt;&gt;P")&gt;0,1,0)</f>
        <v>0</v>
      </c>
      <c r="F72">
        <f>IF(COUNTIFS('United Data'!$A$3:$A$2150,F$1,'United Data'!$C$3:$C$2150,$A72,'United Data'!$B$3:$B$2150,"&lt;&gt;P")&gt;0,1,0)</f>
        <v>0</v>
      </c>
      <c r="G72">
        <f>IF(COUNTIFS('United Data'!$A$3:$A$2150,G$1,'United Data'!$C$3:$C$2150,$A72,'United Data'!$B$3:$B$2150,"&lt;&gt;P")&gt;0,1,0)</f>
        <v>0</v>
      </c>
      <c r="H72">
        <f>IF(COUNTIFS('United Data'!$A$3:$A$2150,H$1,'United Data'!$C$3:$C$2150,$A72,'United Data'!$B$3:$B$2150,"&lt;&gt;P")&gt;0,1,0)</f>
        <v>1</v>
      </c>
      <c r="I72">
        <f>IF(COUNTIFS('United Data'!$A$3:$A$2150,I$1,'United Data'!$C$3:$C$2150,$A72,'United Data'!$B$3:$B$2150,"&lt;&gt;P")&gt;0,1,0)</f>
        <v>0</v>
      </c>
      <c r="J72">
        <f>IF(COUNTIFS('United Data'!$A$3:$A$2150,J$1,'United Data'!$C$3:$C$2150,$A72,'United Data'!$B$3:$B$2150,"&lt;&gt;P")&gt;0,1,0)</f>
        <v>0</v>
      </c>
      <c r="K72">
        <f>IF(COUNTIFS('United Data'!$A$3:$A$2150,K$1,'United Data'!$C$3:$C$2150,$A72,'United Data'!$B$3:$B$2150,"&lt;&gt;P")&gt;0,1,0)</f>
        <v>0</v>
      </c>
      <c r="L72">
        <f>IF(COUNTIFS('United Data'!$A$3:$A$2150,L$1,'United Data'!$C$3:$C$2150,$A72,'United Data'!$B$3:$B$2150,"&lt;&gt;P")&gt;0,1,0)</f>
        <v>0</v>
      </c>
      <c r="M72">
        <f>IF(COUNTIFS('United Data'!$A$3:$A$2150,M$1,'United Data'!$C$3:$C$2150,$A72,'United Data'!$B$3:$B$2150,"&lt;&gt;P")&gt;0,1,0)</f>
        <v>0</v>
      </c>
      <c r="N72">
        <f>IF(COUNTIFS('United Data'!$A$3:$A$2150,N$1,'United Data'!$C$3:$C$2150,$A72,'United Data'!$B$3:$B$2150,"&lt;&gt;P")&gt;0,1,0)</f>
        <v>0</v>
      </c>
      <c r="O72">
        <f>IF(COUNTIFS('United Data'!$A$3:$A$2150,O$1,'United Data'!$C$3:$C$2150,$A72,'United Data'!$B$3:$B$2150,"&lt;&gt;P")&gt;0,1,0)</f>
        <v>0</v>
      </c>
      <c r="P72">
        <f>IF(COUNTIFS('United Data'!$A$3:$A$2150,P$1,'United Data'!$C$3:$C$2150,$A72,'United Data'!$B$3:$B$2150,"&lt;&gt;P")&gt;0,1,0)</f>
        <v>0</v>
      </c>
      <c r="Q72">
        <f>IF(COUNTIFS('United Data'!$A$3:$A$2150,Q$1,'United Data'!$C$3:$C$2150,$A72,'United Data'!$B$3:$B$2150,"&lt;&gt;P")&gt;0,1,0)</f>
        <v>0</v>
      </c>
      <c r="R72">
        <f>IF(COUNTIFS('United Data'!$A$3:$A$2150,R$1,'United Data'!$C$3:$C$2150,$A72,'United Data'!$B$3:$B$2150,"&lt;&gt;P")&gt;0,1,0)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118</v>
      </c>
      <c r="B73">
        <f>IF(COUNTIFS('United Data'!$A$3:$A$2150,B$1,'United Data'!$C$3:$C$2150,$A73,'United Data'!$B$3:$B$2150,"&lt;&gt;P")&gt;0,1,0)</f>
        <v>0</v>
      </c>
      <c r="C73">
        <f>IF(COUNTIFS('United Data'!$A$3:$A$2150,C$1,'United Data'!$C$3:$C$2150,$A73,'United Data'!$B$3:$B$2150,"&lt;&gt;P")&gt;0,1,0)</f>
        <v>0</v>
      </c>
      <c r="D73">
        <f>IF(COUNTIFS('United Data'!$A$3:$A$2150,D$1,'United Data'!$C$3:$C$2150,$A73,'United Data'!$B$3:$B$2150,"&lt;&gt;P")&gt;0,1,0)</f>
        <v>0</v>
      </c>
      <c r="E73">
        <f>IF(COUNTIFS('United Data'!$A$3:$A$2150,E$1,'United Data'!$C$3:$C$2150,$A73,'United Data'!$B$3:$B$2150,"&lt;&gt;P")&gt;0,1,0)</f>
        <v>0</v>
      </c>
      <c r="F73">
        <f>IF(COUNTIFS('United Data'!$A$3:$A$2150,F$1,'United Data'!$C$3:$C$2150,$A73,'United Data'!$B$3:$B$2150,"&lt;&gt;P")&gt;0,1,0)</f>
        <v>0</v>
      </c>
      <c r="G73">
        <f>IF(COUNTIFS('United Data'!$A$3:$A$2150,G$1,'United Data'!$C$3:$C$2150,$A73,'United Data'!$B$3:$B$2150,"&lt;&gt;P")&gt;0,1,0)</f>
        <v>0</v>
      </c>
      <c r="H73">
        <f>IF(COUNTIFS('United Data'!$A$3:$A$2150,H$1,'United Data'!$C$3:$C$2150,$A73,'United Data'!$B$3:$B$2150,"&lt;&gt;P")&gt;0,1,0)</f>
        <v>1</v>
      </c>
      <c r="I73">
        <f>IF(COUNTIFS('United Data'!$A$3:$A$2150,I$1,'United Data'!$C$3:$C$2150,$A73,'United Data'!$B$3:$B$2150,"&lt;&gt;P")&gt;0,1,0)</f>
        <v>1</v>
      </c>
      <c r="J73">
        <f>IF(COUNTIFS('United Data'!$A$3:$A$2150,J$1,'United Data'!$C$3:$C$2150,$A73,'United Data'!$B$3:$B$2150,"&lt;&gt;P")&gt;0,1,0)</f>
        <v>1</v>
      </c>
      <c r="K73">
        <f>IF(COUNTIFS('United Data'!$A$3:$A$2150,K$1,'United Data'!$C$3:$C$2150,$A73,'United Data'!$B$3:$B$2150,"&lt;&gt;P")&gt;0,1,0)</f>
        <v>0</v>
      </c>
      <c r="L73">
        <f>IF(COUNTIFS('United Data'!$A$3:$A$2150,L$1,'United Data'!$C$3:$C$2150,$A73,'United Data'!$B$3:$B$2150,"&lt;&gt;P")&gt;0,1,0)</f>
        <v>1</v>
      </c>
      <c r="M73">
        <f>IF(COUNTIFS('United Data'!$A$3:$A$2150,M$1,'United Data'!$C$3:$C$2150,$A73,'United Data'!$B$3:$B$2150,"&lt;&gt;P")&gt;0,1,0)</f>
        <v>1</v>
      </c>
      <c r="N73">
        <f>IF(COUNTIFS('United Data'!$A$3:$A$2150,N$1,'United Data'!$C$3:$C$2150,$A73,'United Data'!$B$3:$B$2150,"&lt;&gt;P")&gt;0,1,0)</f>
        <v>1</v>
      </c>
      <c r="O73">
        <f>IF(COUNTIFS('United Data'!$A$3:$A$2150,O$1,'United Data'!$C$3:$C$2150,$A73,'United Data'!$B$3:$B$2150,"&lt;&gt;P")&gt;0,1,0)</f>
        <v>1</v>
      </c>
      <c r="P73">
        <f>IF(COUNTIFS('United Data'!$A$3:$A$2150,P$1,'United Data'!$C$3:$C$2150,$A73,'United Data'!$B$3:$B$2150,"&lt;&gt;P")&gt;0,1,0)</f>
        <v>1</v>
      </c>
      <c r="Q73">
        <f>IF(COUNTIFS('United Data'!$A$3:$A$2150,Q$1,'United Data'!$C$3:$C$2150,$A73,'United Data'!$B$3:$B$2150,"&lt;&gt;P")&gt;0,1,0)</f>
        <v>0</v>
      </c>
      <c r="R73">
        <f>IF(COUNTIFS('United Data'!$A$3:$A$2150,R$1,'United Data'!$C$3:$C$2150,$A73,'United Data'!$B$3:$B$2150,"&lt;&gt;P")&gt;0,1,0)</f>
        <v>0</v>
      </c>
      <c r="S73">
        <f t="shared" si="2"/>
        <v>8</v>
      </c>
      <c r="T73">
        <f t="shared" si="3"/>
        <v>2</v>
      </c>
    </row>
    <row r="74" spans="1:20" x14ac:dyDescent="0.2">
      <c r="A74" t="s">
        <v>119</v>
      </c>
      <c r="B74">
        <f>IF(COUNTIFS('United Data'!$A$3:$A$2150,B$1,'United Data'!$C$3:$C$2150,$A74,'United Data'!$B$3:$B$2150,"&lt;&gt;P")&gt;0,1,0)</f>
        <v>0</v>
      </c>
      <c r="C74">
        <f>IF(COUNTIFS('United Data'!$A$3:$A$2150,C$1,'United Data'!$C$3:$C$2150,$A74,'United Data'!$B$3:$B$2150,"&lt;&gt;P")&gt;0,1,0)</f>
        <v>0</v>
      </c>
      <c r="D74">
        <f>IF(COUNTIFS('United Data'!$A$3:$A$2150,D$1,'United Data'!$C$3:$C$2150,$A74,'United Data'!$B$3:$B$2150,"&lt;&gt;P")&gt;0,1,0)</f>
        <v>0</v>
      </c>
      <c r="E74">
        <f>IF(COUNTIFS('United Data'!$A$3:$A$2150,E$1,'United Data'!$C$3:$C$2150,$A74,'United Data'!$B$3:$B$2150,"&lt;&gt;P")&gt;0,1,0)</f>
        <v>0</v>
      </c>
      <c r="F74">
        <f>IF(COUNTIFS('United Data'!$A$3:$A$2150,F$1,'United Data'!$C$3:$C$2150,$A74,'United Data'!$B$3:$B$2150,"&lt;&gt;P")&gt;0,1,0)</f>
        <v>0</v>
      </c>
      <c r="G74">
        <f>IF(COUNTIFS('United Data'!$A$3:$A$2150,G$1,'United Data'!$C$3:$C$2150,$A74,'United Data'!$B$3:$B$2150,"&lt;&gt;P")&gt;0,1,0)</f>
        <v>0</v>
      </c>
      <c r="H74">
        <f>IF(COUNTIFS('United Data'!$A$3:$A$2150,H$1,'United Data'!$C$3:$C$2150,$A74,'United Data'!$B$3:$B$2150,"&lt;&gt;P")&gt;0,1,0)</f>
        <v>1</v>
      </c>
      <c r="I74">
        <f>IF(COUNTIFS('United Data'!$A$3:$A$2150,I$1,'United Data'!$C$3:$C$2150,$A74,'United Data'!$B$3:$B$2150,"&lt;&gt;P")&gt;0,1,0)</f>
        <v>0</v>
      </c>
      <c r="J74">
        <f>IF(COUNTIFS('United Data'!$A$3:$A$2150,J$1,'United Data'!$C$3:$C$2150,$A74,'United Data'!$B$3:$B$2150,"&lt;&gt;P")&gt;0,1,0)</f>
        <v>0</v>
      </c>
      <c r="K74">
        <f>IF(COUNTIFS('United Data'!$A$3:$A$2150,K$1,'United Data'!$C$3:$C$2150,$A74,'United Data'!$B$3:$B$2150,"&lt;&gt;P")&gt;0,1,0)</f>
        <v>0</v>
      </c>
      <c r="L74">
        <f>IF(COUNTIFS('United Data'!$A$3:$A$2150,L$1,'United Data'!$C$3:$C$2150,$A74,'United Data'!$B$3:$B$2150,"&lt;&gt;P")&gt;0,1,0)</f>
        <v>0</v>
      </c>
      <c r="M74">
        <f>IF(COUNTIFS('United Data'!$A$3:$A$2150,M$1,'United Data'!$C$3:$C$2150,$A74,'United Data'!$B$3:$B$2150,"&lt;&gt;P")&gt;0,1,0)</f>
        <v>0</v>
      </c>
      <c r="N74">
        <f>IF(COUNTIFS('United Data'!$A$3:$A$2150,N$1,'United Data'!$C$3:$C$2150,$A74,'United Data'!$B$3:$B$2150,"&lt;&gt;P")&gt;0,1,0)</f>
        <v>0</v>
      </c>
      <c r="O74">
        <f>IF(COUNTIFS('United Data'!$A$3:$A$2150,O$1,'United Data'!$C$3:$C$2150,$A74,'United Data'!$B$3:$B$2150,"&lt;&gt;P")&gt;0,1,0)</f>
        <v>0</v>
      </c>
      <c r="P74">
        <f>IF(COUNTIFS('United Data'!$A$3:$A$2150,P$1,'United Data'!$C$3:$C$2150,$A74,'United Data'!$B$3:$B$2150,"&lt;&gt;P")&gt;0,1,0)</f>
        <v>0</v>
      </c>
      <c r="Q74">
        <f>IF(COUNTIFS('United Data'!$A$3:$A$2150,Q$1,'United Data'!$C$3:$C$2150,$A74,'United Data'!$B$3:$B$2150,"&lt;&gt;P")&gt;0,1,0)</f>
        <v>0</v>
      </c>
      <c r="R74">
        <f>IF(COUNTIFS('United Data'!$A$3:$A$2150,R$1,'United Data'!$C$3:$C$2150,$A74,'United Data'!$B$3:$B$2150,"&lt;&gt;P")&gt;0,1,0)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120</v>
      </c>
      <c r="B75">
        <f>IF(COUNTIFS('United Data'!$A$3:$A$2150,B$1,'United Data'!$C$3:$C$2150,$A75,'United Data'!$B$3:$B$2150,"&lt;&gt;P")&gt;0,1,0)</f>
        <v>0</v>
      </c>
      <c r="C75">
        <f>IF(COUNTIFS('United Data'!$A$3:$A$2150,C$1,'United Data'!$C$3:$C$2150,$A75,'United Data'!$B$3:$B$2150,"&lt;&gt;P")&gt;0,1,0)</f>
        <v>0</v>
      </c>
      <c r="D75">
        <f>IF(COUNTIFS('United Data'!$A$3:$A$2150,D$1,'United Data'!$C$3:$C$2150,$A75,'United Data'!$B$3:$B$2150,"&lt;&gt;P")&gt;0,1,0)</f>
        <v>0</v>
      </c>
      <c r="E75">
        <f>IF(COUNTIFS('United Data'!$A$3:$A$2150,E$1,'United Data'!$C$3:$C$2150,$A75,'United Data'!$B$3:$B$2150,"&lt;&gt;P")&gt;0,1,0)</f>
        <v>0</v>
      </c>
      <c r="F75">
        <f>IF(COUNTIFS('United Data'!$A$3:$A$2150,F$1,'United Data'!$C$3:$C$2150,$A75,'United Data'!$B$3:$B$2150,"&lt;&gt;P")&gt;0,1,0)</f>
        <v>0</v>
      </c>
      <c r="G75">
        <f>IF(COUNTIFS('United Data'!$A$3:$A$2150,G$1,'United Data'!$C$3:$C$2150,$A75,'United Data'!$B$3:$B$2150,"&lt;&gt;P")&gt;0,1,0)</f>
        <v>0</v>
      </c>
      <c r="H75">
        <f>IF(COUNTIFS('United Data'!$A$3:$A$2150,H$1,'United Data'!$C$3:$C$2150,$A75,'United Data'!$B$3:$B$2150,"&lt;&gt;P")&gt;0,1,0)</f>
        <v>1</v>
      </c>
      <c r="I75">
        <f>IF(COUNTIFS('United Data'!$A$3:$A$2150,I$1,'United Data'!$C$3:$C$2150,$A75,'United Data'!$B$3:$B$2150,"&lt;&gt;P")&gt;0,1,0)</f>
        <v>0</v>
      </c>
      <c r="J75">
        <f>IF(COUNTIFS('United Data'!$A$3:$A$2150,J$1,'United Data'!$C$3:$C$2150,$A75,'United Data'!$B$3:$B$2150,"&lt;&gt;P")&gt;0,1,0)</f>
        <v>0</v>
      </c>
      <c r="K75">
        <f>IF(COUNTIFS('United Data'!$A$3:$A$2150,K$1,'United Data'!$C$3:$C$2150,$A75,'United Data'!$B$3:$B$2150,"&lt;&gt;P")&gt;0,1,0)</f>
        <v>0</v>
      </c>
      <c r="L75">
        <f>IF(COUNTIFS('United Data'!$A$3:$A$2150,L$1,'United Data'!$C$3:$C$2150,$A75,'United Data'!$B$3:$B$2150,"&lt;&gt;P")&gt;0,1,0)</f>
        <v>0</v>
      </c>
      <c r="M75">
        <f>IF(COUNTIFS('United Data'!$A$3:$A$2150,M$1,'United Data'!$C$3:$C$2150,$A75,'United Data'!$B$3:$B$2150,"&lt;&gt;P")&gt;0,1,0)</f>
        <v>0</v>
      </c>
      <c r="N75">
        <f>IF(COUNTIFS('United Data'!$A$3:$A$2150,N$1,'United Data'!$C$3:$C$2150,$A75,'United Data'!$B$3:$B$2150,"&lt;&gt;P")&gt;0,1,0)</f>
        <v>0</v>
      </c>
      <c r="O75">
        <f>IF(COUNTIFS('United Data'!$A$3:$A$2150,O$1,'United Data'!$C$3:$C$2150,$A75,'United Data'!$B$3:$B$2150,"&lt;&gt;P")&gt;0,1,0)</f>
        <v>0</v>
      </c>
      <c r="P75">
        <f>IF(COUNTIFS('United Data'!$A$3:$A$2150,P$1,'United Data'!$C$3:$C$2150,$A75,'United Data'!$B$3:$B$2150,"&lt;&gt;P")&gt;0,1,0)</f>
        <v>0</v>
      </c>
      <c r="Q75">
        <f>IF(COUNTIFS('United Data'!$A$3:$A$2150,Q$1,'United Data'!$C$3:$C$2150,$A75,'United Data'!$B$3:$B$2150,"&lt;&gt;P")&gt;0,1,0)</f>
        <v>0</v>
      </c>
      <c r="R75">
        <f>IF(COUNTIFS('United Data'!$A$3:$A$2150,R$1,'United Data'!$C$3:$C$2150,$A75,'United Data'!$B$3:$B$2150,"&lt;&gt;P")&gt;0,1,0)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121</v>
      </c>
      <c r="B76">
        <f>IF(COUNTIFS('United Data'!$A$3:$A$2150,B$1,'United Data'!$C$3:$C$2150,$A76,'United Data'!$B$3:$B$2150,"&lt;&gt;P")&gt;0,1,0)</f>
        <v>0</v>
      </c>
      <c r="C76">
        <f>IF(COUNTIFS('United Data'!$A$3:$A$2150,C$1,'United Data'!$C$3:$C$2150,$A76,'United Data'!$B$3:$B$2150,"&lt;&gt;P")&gt;0,1,0)</f>
        <v>0</v>
      </c>
      <c r="D76">
        <f>IF(COUNTIFS('United Data'!$A$3:$A$2150,D$1,'United Data'!$C$3:$C$2150,$A76,'United Data'!$B$3:$B$2150,"&lt;&gt;P")&gt;0,1,0)</f>
        <v>0</v>
      </c>
      <c r="E76">
        <f>IF(COUNTIFS('United Data'!$A$3:$A$2150,E$1,'United Data'!$C$3:$C$2150,$A76,'United Data'!$B$3:$B$2150,"&lt;&gt;P")&gt;0,1,0)</f>
        <v>0</v>
      </c>
      <c r="F76">
        <f>IF(COUNTIFS('United Data'!$A$3:$A$2150,F$1,'United Data'!$C$3:$C$2150,$A76,'United Data'!$B$3:$B$2150,"&lt;&gt;P")&gt;0,1,0)</f>
        <v>0</v>
      </c>
      <c r="G76">
        <f>IF(COUNTIFS('United Data'!$A$3:$A$2150,G$1,'United Data'!$C$3:$C$2150,$A76,'United Data'!$B$3:$B$2150,"&lt;&gt;P")&gt;0,1,0)</f>
        <v>0</v>
      </c>
      <c r="H76">
        <f>IF(COUNTIFS('United Data'!$A$3:$A$2150,H$1,'United Data'!$C$3:$C$2150,$A76,'United Data'!$B$3:$B$2150,"&lt;&gt;P")&gt;0,1,0)</f>
        <v>1</v>
      </c>
      <c r="I76">
        <f>IF(COUNTIFS('United Data'!$A$3:$A$2150,I$1,'United Data'!$C$3:$C$2150,$A76,'United Data'!$B$3:$B$2150,"&lt;&gt;P")&gt;0,1,0)</f>
        <v>0</v>
      </c>
      <c r="J76">
        <f>IF(COUNTIFS('United Data'!$A$3:$A$2150,J$1,'United Data'!$C$3:$C$2150,$A76,'United Data'!$B$3:$B$2150,"&lt;&gt;P")&gt;0,1,0)</f>
        <v>0</v>
      </c>
      <c r="K76">
        <f>IF(COUNTIFS('United Data'!$A$3:$A$2150,K$1,'United Data'!$C$3:$C$2150,$A76,'United Data'!$B$3:$B$2150,"&lt;&gt;P")&gt;0,1,0)</f>
        <v>0</v>
      </c>
      <c r="L76">
        <f>IF(COUNTIFS('United Data'!$A$3:$A$2150,L$1,'United Data'!$C$3:$C$2150,$A76,'United Data'!$B$3:$B$2150,"&lt;&gt;P")&gt;0,1,0)</f>
        <v>0</v>
      </c>
      <c r="M76">
        <f>IF(COUNTIFS('United Data'!$A$3:$A$2150,M$1,'United Data'!$C$3:$C$2150,$A76,'United Data'!$B$3:$B$2150,"&lt;&gt;P")&gt;0,1,0)</f>
        <v>0</v>
      </c>
      <c r="N76">
        <f>IF(COUNTIFS('United Data'!$A$3:$A$2150,N$1,'United Data'!$C$3:$C$2150,$A76,'United Data'!$B$3:$B$2150,"&lt;&gt;P")&gt;0,1,0)</f>
        <v>0</v>
      </c>
      <c r="O76">
        <f>IF(COUNTIFS('United Data'!$A$3:$A$2150,O$1,'United Data'!$C$3:$C$2150,$A76,'United Data'!$B$3:$B$2150,"&lt;&gt;P")&gt;0,1,0)</f>
        <v>0</v>
      </c>
      <c r="P76">
        <f>IF(COUNTIFS('United Data'!$A$3:$A$2150,P$1,'United Data'!$C$3:$C$2150,$A76,'United Data'!$B$3:$B$2150,"&lt;&gt;P")&gt;0,1,0)</f>
        <v>0</v>
      </c>
      <c r="Q76">
        <f>IF(COUNTIFS('United Data'!$A$3:$A$2150,Q$1,'United Data'!$C$3:$C$2150,$A76,'United Data'!$B$3:$B$2150,"&lt;&gt;P")&gt;0,1,0)</f>
        <v>0</v>
      </c>
      <c r="R76">
        <f>IF(COUNTIFS('United Data'!$A$3:$A$2150,R$1,'United Data'!$C$3:$C$2150,$A76,'United Data'!$B$3:$B$2150,"&lt;&gt;P")&gt;0,1,0)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122</v>
      </c>
      <c r="B77">
        <f>IF(COUNTIFS('United Data'!$A$3:$A$2150,B$1,'United Data'!$C$3:$C$2150,$A77,'United Data'!$B$3:$B$2150,"&lt;&gt;P")&gt;0,1,0)</f>
        <v>0</v>
      </c>
      <c r="C77">
        <f>IF(COUNTIFS('United Data'!$A$3:$A$2150,C$1,'United Data'!$C$3:$C$2150,$A77,'United Data'!$B$3:$B$2150,"&lt;&gt;P")&gt;0,1,0)</f>
        <v>0</v>
      </c>
      <c r="D77">
        <f>IF(COUNTIFS('United Data'!$A$3:$A$2150,D$1,'United Data'!$C$3:$C$2150,$A77,'United Data'!$B$3:$B$2150,"&lt;&gt;P")&gt;0,1,0)</f>
        <v>0</v>
      </c>
      <c r="E77">
        <f>IF(COUNTIFS('United Data'!$A$3:$A$2150,E$1,'United Data'!$C$3:$C$2150,$A77,'United Data'!$B$3:$B$2150,"&lt;&gt;P")&gt;0,1,0)</f>
        <v>0</v>
      </c>
      <c r="F77">
        <f>IF(COUNTIFS('United Data'!$A$3:$A$2150,F$1,'United Data'!$C$3:$C$2150,$A77,'United Data'!$B$3:$B$2150,"&lt;&gt;P")&gt;0,1,0)</f>
        <v>0</v>
      </c>
      <c r="G77">
        <f>IF(COUNTIFS('United Data'!$A$3:$A$2150,G$1,'United Data'!$C$3:$C$2150,$A77,'United Data'!$B$3:$B$2150,"&lt;&gt;P")&gt;0,1,0)</f>
        <v>0</v>
      </c>
      <c r="H77">
        <f>IF(COUNTIFS('United Data'!$A$3:$A$2150,H$1,'United Data'!$C$3:$C$2150,$A77,'United Data'!$B$3:$B$2150,"&lt;&gt;P")&gt;0,1,0)</f>
        <v>1</v>
      </c>
      <c r="I77">
        <f>IF(COUNTIFS('United Data'!$A$3:$A$2150,I$1,'United Data'!$C$3:$C$2150,$A77,'United Data'!$B$3:$B$2150,"&lt;&gt;P")&gt;0,1,0)</f>
        <v>0</v>
      </c>
      <c r="J77">
        <f>IF(COUNTIFS('United Data'!$A$3:$A$2150,J$1,'United Data'!$C$3:$C$2150,$A77,'United Data'!$B$3:$B$2150,"&lt;&gt;P")&gt;0,1,0)</f>
        <v>0</v>
      </c>
      <c r="K77">
        <f>IF(COUNTIFS('United Data'!$A$3:$A$2150,K$1,'United Data'!$C$3:$C$2150,$A77,'United Data'!$B$3:$B$2150,"&lt;&gt;P")&gt;0,1,0)</f>
        <v>0</v>
      </c>
      <c r="L77">
        <f>IF(COUNTIFS('United Data'!$A$3:$A$2150,L$1,'United Data'!$C$3:$C$2150,$A77,'United Data'!$B$3:$B$2150,"&lt;&gt;P")&gt;0,1,0)</f>
        <v>0</v>
      </c>
      <c r="M77">
        <f>IF(COUNTIFS('United Data'!$A$3:$A$2150,M$1,'United Data'!$C$3:$C$2150,$A77,'United Data'!$B$3:$B$2150,"&lt;&gt;P")&gt;0,1,0)</f>
        <v>0</v>
      </c>
      <c r="N77">
        <f>IF(COUNTIFS('United Data'!$A$3:$A$2150,N$1,'United Data'!$C$3:$C$2150,$A77,'United Data'!$B$3:$B$2150,"&lt;&gt;P")&gt;0,1,0)</f>
        <v>0</v>
      </c>
      <c r="O77">
        <f>IF(COUNTIFS('United Data'!$A$3:$A$2150,O$1,'United Data'!$C$3:$C$2150,$A77,'United Data'!$B$3:$B$2150,"&lt;&gt;P")&gt;0,1,0)</f>
        <v>0</v>
      </c>
      <c r="P77">
        <f>IF(COUNTIFS('United Data'!$A$3:$A$2150,P$1,'United Data'!$C$3:$C$2150,$A77,'United Data'!$B$3:$B$2150,"&lt;&gt;P")&gt;0,1,0)</f>
        <v>0</v>
      </c>
      <c r="Q77">
        <f>IF(COUNTIFS('United Data'!$A$3:$A$2150,Q$1,'United Data'!$C$3:$C$2150,$A77,'United Data'!$B$3:$B$2150,"&lt;&gt;P")&gt;0,1,0)</f>
        <v>0</v>
      </c>
      <c r="R77">
        <f>IF(COUNTIFS('United Data'!$A$3:$A$2150,R$1,'United Data'!$C$3:$C$2150,$A77,'United Data'!$B$3:$B$2150,"&lt;&gt;P")&gt;0,1,0)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123</v>
      </c>
      <c r="B78">
        <f>IF(COUNTIFS('United Data'!$A$3:$A$2150,B$1,'United Data'!$C$3:$C$2150,$A78,'United Data'!$B$3:$B$2150,"&lt;&gt;P")&gt;0,1,0)</f>
        <v>0</v>
      </c>
      <c r="C78">
        <f>IF(COUNTIFS('United Data'!$A$3:$A$2150,C$1,'United Data'!$C$3:$C$2150,$A78,'United Data'!$B$3:$B$2150,"&lt;&gt;P")&gt;0,1,0)</f>
        <v>0</v>
      </c>
      <c r="D78">
        <f>IF(COUNTIFS('United Data'!$A$3:$A$2150,D$1,'United Data'!$C$3:$C$2150,$A78,'United Data'!$B$3:$B$2150,"&lt;&gt;P")&gt;0,1,0)</f>
        <v>0</v>
      </c>
      <c r="E78">
        <f>IF(COUNTIFS('United Data'!$A$3:$A$2150,E$1,'United Data'!$C$3:$C$2150,$A78,'United Data'!$B$3:$B$2150,"&lt;&gt;P")&gt;0,1,0)</f>
        <v>0</v>
      </c>
      <c r="F78">
        <f>IF(COUNTIFS('United Data'!$A$3:$A$2150,F$1,'United Data'!$C$3:$C$2150,$A78,'United Data'!$B$3:$B$2150,"&lt;&gt;P")&gt;0,1,0)</f>
        <v>0</v>
      </c>
      <c r="G78">
        <f>IF(COUNTIFS('United Data'!$A$3:$A$2150,G$1,'United Data'!$C$3:$C$2150,$A78,'United Data'!$B$3:$B$2150,"&lt;&gt;P")&gt;0,1,0)</f>
        <v>0</v>
      </c>
      <c r="H78">
        <f>IF(COUNTIFS('United Data'!$A$3:$A$2150,H$1,'United Data'!$C$3:$C$2150,$A78,'United Data'!$B$3:$B$2150,"&lt;&gt;P")&gt;0,1,0)</f>
        <v>1</v>
      </c>
      <c r="I78">
        <f>IF(COUNTIFS('United Data'!$A$3:$A$2150,I$1,'United Data'!$C$3:$C$2150,$A78,'United Data'!$B$3:$B$2150,"&lt;&gt;P")&gt;0,1,0)</f>
        <v>1</v>
      </c>
      <c r="J78">
        <f>IF(COUNTIFS('United Data'!$A$3:$A$2150,J$1,'United Data'!$C$3:$C$2150,$A78,'United Data'!$B$3:$B$2150,"&lt;&gt;P")&gt;0,1,0)</f>
        <v>0</v>
      </c>
      <c r="K78">
        <f>IF(COUNTIFS('United Data'!$A$3:$A$2150,K$1,'United Data'!$C$3:$C$2150,$A78,'United Data'!$B$3:$B$2150,"&lt;&gt;P")&gt;0,1,0)</f>
        <v>0</v>
      </c>
      <c r="L78">
        <f>IF(COUNTIFS('United Data'!$A$3:$A$2150,L$1,'United Data'!$C$3:$C$2150,$A78,'United Data'!$B$3:$B$2150,"&lt;&gt;P")&gt;0,1,0)</f>
        <v>0</v>
      </c>
      <c r="M78">
        <f>IF(COUNTIFS('United Data'!$A$3:$A$2150,M$1,'United Data'!$C$3:$C$2150,$A78,'United Data'!$B$3:$B$2150,"&lt;&gt;P")&gt;0,1,0)</f>
        <v>0</v>
      </c>
      <c r="N78">
        <f>IF(COUNTIFS('United Data'!$A$3:$A$2150,N$1,'United Data'!$C$3:$C$2150,$A78,'United Data'!$B$3:$B$2150,"&lt;&gt;P")&gt;0,1,0)</f>
        <v>0</v>
      </c>
      <c r="O78">
        <f>IF(COUNTIFS('United Data'!$A$3:$A$2150,O$1,'United Data'!$C$3:$C$2150,$A78,'United Data'!$B$3:$B$2150,"&lt;&gt;P")&gt;0,1,0)</f>
        <v>0</v>
      </c>
      <c r="P78">
        <f>IF(COUNTIFS('United Data'!$A$3:$A$2150,P$1,'United Data'!$C$3:$C$2150,$A78,'United Data'!$B$3:$B$2150,"&lt;&gt;P")&gt;0,1,0)</f>
        <v>0</v>
      </c>
      <c r="Q78">
        <f>IF(COUNTIFS('United Data'!$A$3:$A$2150,Q$1,'United Data'!$C$3:$C$2150,$A78,'United Data'!$B$3:$B$2150,"&lt;&gt;P")&gt;0,1,0)</f>
        <v>0</v>
      </c>
      <c r="R78">
        <f>IF(COUNTIFS('United Data'!$A$3:$A$2150,R$1,'United Data'!$C$3:$C$2150,$A78,'United Data'!$B$3:$B$2150,"&lt;&gt;P")&gt;0,1,0)</f>
        <v>0</v>
      </c>
      <c r="S78">
        <f t="shared" si="2"/>
        <v>2</v>
      </c>
      <c r="T78">
        <f t="shared" si="3"/>
        <v>1</v>
      </c>
    </row>
    <row r="79" spans="1:20" x14ac:dyDescent="0.2">
      <c r="A79" t="s">
        <v>124</v>
      </c>
      <c r="B79">
        <f>IF(COUNTIFS('United Data'!$A$3:$A$2150,B$1,'United Data'!$C$3:$C$2150,$A79,'United Data'!$B$3:$B$2150,"&lt;&gt;P")&gt;0,1,0)</f>
        <v>0</v>
      </c>
      <c r="C79">
        <f>IF(COUNTIFS('United Data'!$A$3:$A$2150,C$1,'United Data'!$C$3:$C$2150,$A79,'United Data'!$B$3:$B$2150,"&lt;&gt;P")&gt;0,1,0)</f>
        <v>0</v>
      </c>
      <c r="D79">
        <f>IF(COUNTIFS('United Data'!$A$3:$A$2150,D$1,'United Data'!$C$3:$C$2150,$A79,'United Data'!$B$3:$B$2150,"&lt;&gt;P")&gt;0,1,0)</f>
        <v>0</v>
      </c>
      <c r="E79">
        <f>IF(COUNTIFS('United Data'!$A$3:$A$2150,E$1,'United Data'!$C$3:$C$2150,$A79,'United Data'!$B$3:$B$2150,"&lt;&gt;P")&gt;0,1,0)</f>
        <v>0</v>
      </c>
      <c r="F79">
        <f>IF(COUNTIFS('United Data'!$A$3:$A$2150,F$1,'United Data'!$C$3:$C$2150,$A79,'United Data'!$B$3:$B$2150,"&lt;&gt;P")&gt;0,1,0)</f>
        <v>0</v>
      </c>
      <c r="G79">
        <f>IF(COUNTIFS('United Data'!$A$3:$A$2150,G$1,'United Data'!$C$3:$C$2150,$A79,'United Data'!$B$3:$B$2150,"&lt;&gt;P")&gt;0,1,0)</f>
        <v>0</v>
      </c>
      <c r="H79">
        <f>IF(COUNTIFS('United Data'!$A$3:$A$2150,H$1,'United Data'!$C$3:$C$2150,$A79,'United Data'!$B$3:$B$2150,"&lt;&gt;P")&gt;0,1,0)</f>
        <v>1</v>
      </c>
      <c r="I79">
        <f>IF(COUNTIFS('United Data'!$A$3:$A$2150,I$1,'United Data'!$C$3:$C$2150,$A79,'United Data'!$B$3:$B$2150,"&lt;&gt;P")&gt;0,1,0)</f>
        <v>1</v>
      </c>
      <c r="J79">
        <f>IF(COUNTIFS('United Data'!$A$3:$A$2150,J$1,'United Data'!$C$3:$C$2150,$A79,'United Data'!$B$3:$B$2150,"&lt;&gt;P")&gt;0,1,0)</f>
        <v>0</v>
      </c>
      <c r="K79">
        <f>IF(COUNTIFS('United Data'!$A$3:$A$2150,K$1,'United Data'!$C$3:$C$2150,$A79,'United Data'!$B$3:$B$2150,"&lt;&gt;P")&gt;0,1,0)</f>
        <v>0</v>
      </c>
      <c r="L79">
        <f>IF(COUNTIFS('United Data'!$A$3:$A$2150,L$1,'United Data'!$C$3:$C$2150,$A79,'United Data'!$B$3:$B$2150,"&lt;&gt;P")&gt;0,1,0)</f>
        <v>0</v>
      </c>
      <c r="M79">
        <f>IF(COUNTIFS('United Data'!$A$3:$A$2150,M$1,'United Data'!$C$3:$C$2150,$A79,'United Data'!$B$3:$B$2150,"&lt;&gt;P")&gt;0,1,0)</f>
        <v>0</v>
      </c>
      <c r="N79">
        <f>IF(COUNTIFS('United Data'!$A$3:$A$2150,N$1,'United Data'!$C$3:$C$2150,$A79,'United Data'!$B$3:$B$2150,"&lt;&gt;P")&gt;0,1,0)</f>
        <v>0</v>
      </c>
      <c r="O79">
        <f>IF(COUNTIFS('United Data'!$A$3:$A$2150,O$1,'United Data'!$C$3:$C$2150,$A79,'United Data'!$B$3:$B$2150,"&lt;&gt;P")&gt;0,1,0)</f>
        <v>0</v>
      </c>
      <c r="P79">
        <f>IF(COUNTIFS('United Data'!$A$3:$A$2150,P$1,'United Data'!$C$3:$C$2150,$A79,'United Data'!$B$3:$B$2150,"&lt;&gt;P")&gt;0,1,0)</f>
        <v>0</v>
      </c>
      <c r="Q79">
        <f>IF(COUNTIFS('United Data'!$A$3:$A$2150,Q$1,'United Data'!$C$3:$C$2150,$A79,'United Data'!$B$3:$B$2150,"&lt;&gt;P")&gt;0,1,0)</f>
        <v>0</v>
      </c>
      <c r="R79">
        <f>IF(COUNTIFS('United Data'!$A$3:$A$2150,R$1,'United Data'!$C$3:$C$2150,$A79,'United Data'!$B$3:$B$2150,"&lt;&gt;P")&gt;0,1,0)</f>
        <v>0</v>
      </c>
      <c r="S79">
        <f t="shared" si="2"/>
        <v>2</v>
      </c>
      <c r="T79">
        <f t="shared" si="3"/>
        <v>1</v>
      </c>
    </row>
    <row r="80" spans="1:20" x14ac:dyDescent="0.2">
      <c r="A80" t="s">
        <v>125</v>
      </c>
      <c r="B80">
        <f>IF(COUNTIFS('United Data'!$A$3:$A$2150,B$1,'United Data'!$C$3:$C$2150,$A80,'United Data'!$B$3:$B$2150,"&lt;&gt;P")&gt;0,1,0)</f>
        <v>0</v>
      </c>
      <c r="C80">
        <f>IF(COUNTIFS('United Data'!$A$3:$A$2150,C$1,'United Data'!$C$3:$C$2150,$A80,'United Data'!$B$3:$B$2150,"&lt;&gt;P")&gt;0,1,0)</f>
        <v>0</v>
      </c>
      <c r="D80">
        <f>IF(COUNTIFS('United Data'!$A$3:$A$2150,D$1,'United Data'!$C$3:$C$2150,$A80,'United Data'!$B$3:$B$2150,"&lt;&gt;P")&gt;0,1,0)</f>
        <v>0</v>
      </c>
      <c r="E80">
        <f>IF(COUNTIFS('United Data'!$A$3:$A$2150,E$1,'United Data'!$C$3:$C$2150,$A80,'United Data'!$B$3:$B$2150,"&lt;&gt;P")&gt;0,1,0)</f>
        <v>0</v>
      </c>
      <c r="F80">
        <f>IF(COUNTIFS('United Data'!$A$3:$A$2150,F$1,'United Data'!$C$3:$C$2150,$A80,'United Data'!$B$3:$B$2150,"&lt;&gt;P")&gt;0,1,0)</f>
        <v>0</v>
      </c>
      <c r="G80">
        <f>IF(COUNTIFS('United Data'!$A$3:$A$2150,G$1,'United Data'!$C$3:$C$2150,$A80,'United Data'!$B$3:$B$2150,"&lt;&gt;P")&gt;0,1,0)</f>
        <v>0</v>
      </c>
      <c r="H80">
        <f>IF(COUNTIFS('United Data'!$A$3:$A$2150,H$1,'United Data'!$C$3:$C$2150,$A80,'United Data'!$B$3:$B$2150,"&lt;&gt;P")&gt;0,1,0)</f>
        <v>0</v>
      </c>
      <c r="I80">
        <f>IF(COUNTIFS('United Data'!$A$3:$A$2150,I$1,'United Data'!$C$3:$C$2150,$A80,'United Data'!$B$3:$B$2150,"&lt;&gt;P")&gt;0,1,0)</f>
        <v>1</v>
      </c>
      <c r="J80">
        <f>IF(COUNTIFS('United Data'!$A$3:$A$2150,J$1,'United Data'!$C$3:$C$2150,$A80,'United Data'!$B$3:$B$2150,"&lt;&gt;P")&gt;0,1,0)</f>
        <v>0</v>
      </c>
      <c r="K80">
        <f>IF(COUNTIFS('United Data'!$A$3:$A$2150,K$1,'United Data'!$C$3:$C$2150,$A80,'United Data'!$B$3:$B$2150,"&lt;&gt;P")&gt;0,1,0)</f>
        <v>0</v>
      </c>
      <c r="L80">
        <f>IF(COUNTIFS('United Data'!$A$3:$A$2150,L$1,'United Data'!$C$3:$C$2150,$A80,'United Data'!$B$3:$B$2150,"&lt;&gt;P")&gt;0,1,0)</f>
        <v>0</v>
      </c>
      <c r="M80">
        <f>IF(COUNTIFS('United Data'!$A$3:$A$2150,M$1,'United Data'!$C$3:$C$2150,$A80,'United Data'!$B$3:$B$2150,"&lt;&gt;P")&gt;0,1,0)</f>
        <v>0</v>
      </c>
      <c r="N80">
        <f>IF(COUNTIFS('United Data'!$A$3:$A$2150,N$1,'United Data'!$C$3:$C$2150,$A80,'United Data'!$B$3:$B$2150,"&lt;&gt;P")&gt;0,1,0)</f>
        <v>0</v>
      </c>
      <c r="O80">
        <f>IF(COUNTIFS('United Data'!$A$3:$A$2150,O$1,'United Data'!$C$3:$C$2150,$A80,'United Data'!$B$3:$B$2150,"&lt;&gt;P")&gt;0,1,0)</f>
        <v>0</v>
      </c>
      <c r="P80">
        <f>IF(COUNTIFS('United Data'!$A$3:$A$2150,P$1,'United Data'!$C$3:$C$2150,$A80,'United Data'!$B$3:$B$2150,"&lt;&gt;P")&gt;0,1,0)</f>
        <v>0</v>
      </c>
      <c r="Q80">
        <f>IF(COUNTIFS('United Data'!$A$3:$A$2150,Q$1,'United Data'!$C$3:$C$2150,$A80,'United Data'!$B$3:$B$2150,"&lt;&gt;P")&gt;0,1,0)</f>
        <v>0</v>
      </c>
      <c r="R80">
        <f>IF(COUNTIFS('United Data'!$A$3:$A$2150,R$1,'United Data'!$C$3:$C$2150,$A80,'United Data'!$B$3:$B$2150,"&lt;&gt;P")&gt;0,1,0)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126</v>
      </c>
      <c r="B81">
        <f>IF(COUNTIFS('United Data'!$A$3:$A$2150,B$1,'United Data'!$C$3:$C$2150,$A81,'United Data'!$B$3:$B$2150,"&lt;&gt;P")&gt;0,1,0)</f>
        <v>0</v>
      </c>
      <c r="C81">
        <f>IF(COUNTIFS('United Data'!$A$3:$A$2150,C$1,'United Data'!$C$3:$C$2150,$A81,'United Data'!$B$3:$B$2150,"&lt;&gt;P")&gt;0,1,0)</f>
        <v>0</v>
      </c>
      <c r="D81">
        <f>IF(COUNTIFS('United Data'!$A$3:$A$2150,D$1,'United Data'!$C$3:$C$2150,$A81,'United Data'!$B$3:$B$2150,"&lt;&gt;P")&gt;0,1,0)</f>
        <v>0</v>
      </c>
      <c r="E81">
        <f>IF(COUNTIFS('United Data'!$A$3:$A$2150,E$1,'United Data'!$C$3:$C$2150,$A81,'United Data'!$B$3:$B$2150,"&lt;&gt;P")&gt;0,1,0)</f>
        <v>0</v>
      </c>
      <c r="F81">
        <f>IF(COUNTIFS('United Data'!$A$3:$A$2150,F$1,'United Data'!$C$3:$C$2150,$A81,'United Data'!$B$3:$B$2150,"&lt;&gt;P")&gt;0,1,0)</f>
        <v>0</v>
      </c>
      <c r="G81">
        <f>IF(COUNTIFS('United Data'!$A$3:$A$2150,G$1,'United Data'!$C$3:$C$2150,$A81,'United Data'!$B$3:$B$2150,"&lt;&gt;P")&gt;0,1,0)</f>
        <v>0</v>
      </c>
      <c r="H81">
        <f>IF(COUNTIFS('United Data'!$A$3:$A$2150,H$1,'United Data'!$C$3:$C$2150,$A81,'United Data'!$B$3:$B$2150,"&lt;&gt;P")&gt;0,1,0)</f>
        <v>0</v>
      </c>
      <c r="I81">
        <f>IF(COUNTIFS('United Data'!$A$3:$A$2150,I$1,'United Data'!$C$3:$C$2150,$A81,'United Data'!$B$3:$B$2150,"&lt;&gt;P")&gt;0,1,0)</f>
        <v>1</v>
      </c>
      <c r="J81">
        <f>IF(COUNTIFS('United Data'!$A$3:$A$2150,J$1,'United Data'!$C$3:$C$2150,$A81,'United Data'!$B$3:$B$2150,"&lt;&gt;P")&gt;0,1,0)</f>
        <v>0</v>
      </c>
      <c r="K81">
        <f>IF(COUNTIFS('United Data'!$A$3:$A$2150,K$1,'United Data'!$C$3:$C$2150,$A81,'United Data'!$B$3:$B$2150,"&lt;&gt;P")&gt;0,1,0)</f>
        <v>0</v>
      </c>
      <c r="L81">
        <f>IF(COUNTIFS('United Data'!$A$3:$A$2150,L$1,'United Data'!$C$3:$C$2150,$A81,'United Data'!$B$3:$B$2150,"&lt;&gt;P")&gt;0,1,0)</f>
        <v>0</v>
      </c>
      <c r="M81">
        <f>IF(COUNTIFS('United Data'!$A$3:$A$2150,M$1,'United Data'!$C$3:$C$2150,$A81,'United Data'!$B$3:$B$2150,"&lt;&gt;P")&gt;0,1,0)</f>
        <v>0</v>
      </c>
      <c r="N81">
        <f>IF(COUNTIFS('United Data'!$A$3:$A$2150,N$1,'United Data'!$C$3:$C$2150,$A81,'United Data'!$B$3:$B$2150,"&lt;&gt;P")&gt;0,1,0)</f>
        <v>0</v>
      </c>
      <c r="O81">
        <f>IF(COUNTIFS('United Data'!$A$3:$A$2150,O$1,'United Data'!$C$3:$C$2150,$A81,'United Data'!$B$3:$B$2150,"&lt;&gt;P")&gt;0,1,0)</f>
        <v>0</v>
      </c>
      <c r="P81">
        <f>IF(COUNTIFS('United Data'!$A$3:$A$2150,P$1,'United Data'!$C$3:$C$2150,$A81,'United Data'!$B$3:$B$2150,"&lt;&gt;P")&gt;0,1,0)</f>
        <v>0</v>
      </c>
      <c r="Q81">
        <f>IF(COUNTIFS('United Data'!$A$3:$A$2150,Q$1,'United Data'!$C$3:$C$2150,$A81,'United Data'!$B$3:$B$2150,"&lt;&gt;P")&gt;0,1,0)</f>
        <v>0</v>
      </c>
      <c r="R81">
        <f>IF(COUNTIFS('United Data'!$A$3:$A$2150,R$1,'United Data'!$C$3:$C$2150,$A81,'United Data'!$B$3:$B$2150,"&lt;&gt;P")&gt;0,1,0)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127</v>
      </c>
      <c r="B82">
        <f>IF(COUNTIFS('United Data'!$A$3:$A$2150,B$1,'United Data'!$C$3:$C$2150,$A82,'United Data'!$B$3:$B$2150,"&lt;&gt;P")&gt;0,1,0)</f>
        <v>0</v>
      </c>
      <c r="C82">
        <f>IF(COUNTIFS('United Data'!$A$3:$A$2150,C$1,'United Data'!$C$3:$C$2150,$A82,'United Data'!$B$3:$B$2150,"&lt;&gt;P")&gt;0,1,0)</f>
        <v>0</v>
      </c>
      <c r="D82">
        <f>IF(COUNTIFS('United Data'!$A$3:$A$2150,D$1,'United Data'!$C$3:$C$2150,$A82,'United Data'!$B$3:$B$2150,"&lt;&gt;P")&gt;0,1,0)</f>
        <v>0</v>
      </c>
      <c r="E82">
        <f>IF(COUNTIFS('United Data'!$A$3:$A$2150,E$1,'United Data'!$C$3:$C$2150,$A82,'United Data'!$B$3:$B$2150,"&lt;&gt;P")&gt;0,1,0)</f>
        <v>0</v>
      </c>
      <c r="F82">
        <f>IF(COUNTIFS('United Data'!$A$3:$A$2150,F$1,'United Data'!$C$3:$C$2150,$A82,'United Data'!$B$3:$B$2150,"&lt;&gt;P")&gt;0,1,0)</f>
        <v>0</v>
      </c>
      <c r="G82">
        <f>IF(COUNTIFS('United Data'!$A$3:$A$2150,G$1,'United Data'!$C$3:$C$2150,$A82,'United Data'!$B$3:$B$2150,"&lt;&gt;P")&gt;0,1,0)</f>
        <v>0</v>
      </c>
      <c r="H82">
        <f>IF(COUNTIFS('United Data'!$A$3:$A$2150,H$1,'United Data'!$C$3:$C$2150,$A82,'United Data'!$B$3:$B$2150,"&lt;&gt;P")&gt;0,1,0)</f>
        <v>0</v>
      </c>
      <c r="I82">
        <f>IF(COUNTIFS('United Data'!$A$3:$A$2150,I$1,'United Data'!$C$3:$C$2150,$A82,'United Data'!$B$3:$B$2150,"&lt;&gt;P")&gt;0,1,0)</f>
        <v>1</v>
      </c>
      <c r="J82">
        <f>IF(COUNTIFS('United Data'!$A$3:$A$2150,J$1,'United Data'!$C$3:$C$2150,$A82,'United Data'!$B$3:$B$2150,"&lt;&gt;P")&gt;0,1,0)</f>
        <v>0</v>
      </c>
      <c r="K82">
        <f>IF(COUNTIFS('United Data'!$A$3:$A$2150,K$1,'United Data'!$C$3:$C$2150,$A82,'United Data'!$B$3:$B$2150,"&lt;&gt;P")&gt;0,1,0)</f>
        <v>0</v>
      </c>
      <c r="L82">
        <f>IF(COUNTIFS('United Data'!$A$3:$A$2150,L$1,'United Data'!$C$3:$C$2150,$A82,'United Data'!$B$3:$B$2150,"&lt;&gt;P")&gt;0,1,0)</f>
        <v>0</v>
      </c>
      <c r="M82">
        <f>IF(COUNTIFS('United Data'!$A$3:$A$2150,M$1,'United Data'!$C$3:$C$2150,$A82,'United Data'!$B$3:$B$2150,"&lt;&gt;P")&gt;0,1,0)</f>
        <v>0</v>
      </c>
      <c r="N82">
        <f>IF(COUNTIFS('United Data'!$A$3:$A$2150,N$1,'United Data'!$C$3:$C$2150,$A82,'United Data'!$B$3:$B$2150,"&lt;&gt;P")&gt;0,1,0)</f>
        <v>0</v>
      </c>
      <c r="O82">
        <f>IF(COUNTIFS('United Data'!$A$3:$A$2150,O$1,'United Data'!$C$3:$C$2150,$A82,'United Data'!$B$3:$B$2150,"&lt;&gt;P")&gt;0,1,0)</f>
        <v>0</v>
      </c>
      <c r="P82">
        <f>IF(COUNTIFS('United Data'!$A$3:$A$2150,P$1,'United Data'!$C$3:$C$2150,$A82,'United Data'!$B$3:$B$2150,"&lt;&gt;P")&gt;0,1,0)</f>
        <v>0</v>
      </c>
      <c r="Q82">
        <f>IF(COUNTIFS('United Data'!$A$3:$A$2150,Q$1,'United Data'!$C$3:$C$2150,$A82,'United Data'!$B$3:$B$2150,"&lt;&gt;P")&gt;0,1,0)</f>
        <v>0</v>
      </c>
      <c r="R82">
        <f>IF(COUNTIFS('United Data'!$A$3:$A$2150,R$1,'United Data'!$C$3:$C$2150,$A82,'United Data'!$B$3:$B$2150,"&lt;&gt;P")&gt;0,1,0)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128</v>
      </c>
      <c r="B83">
        <f>IF(COUNTIFS('United Data'!$A$3:$A$2150,B$1,'United Data'!$C$3:$C$2150,$A83,'United Data'!$B$3:$B$2150,"&lt;&gt;P")&gt;0,1,0)</f>
        <v>0</v>
      </c>
      <c r="C83">
        <f>IF(COUNTIFS('United Data'!$A$3:$A$2150,C$1,'United Data'!$C$3:$C$2150,$A83,'United Data'!$B$3:$B$2150,"&lt;&gt;P")&gt;0,1,0)</f>
        <v>0</v>
      </c>
      <c r="D83">
        <f>IF(COUNTIFS('United Data'!$A$3:$A$2150,D$1,'United Data'!$C$3:$C$2150,$A83,'United Data'!$B$3:$B$2150,"&lt;&gt;P")&gt;0,1,0)</f>
        <v>0</v>
      </c>
      <c r="E83">
        <f>IF(COUNTIFS('United Data'!$A$3:$A$2150,E$1,'United Data'!$C$3:$C$2150,$A83,'United Data'!$B$3:$B$2150,"&lt;&gt;P")&gt;0,1,0)</f>
        <v>0</v>
      </c>
      <c r="F83">
        <f>IF(COUNTIFS('United Data'!$A$3:$A$2150,F$1,'United Data'!$C$3:$C$2150,$A83,'United Data'!$B$3:$B$2150,"&lt;&gt;P")&gt;0,1,0)</f>
        <v>0</v>
      </c>
      <c r="G83">
        <f>IF(COUNTIFS('United Data'!$A$3:$A$2150,G$1,'United Data'!$C$3:$C$2150,$A83,'United Data'!$B$3:$B$2150,"&lt;&gt;P")&gt;0,1,0)</f>
        <v>0</v>
      </c>
      <c r="H83">
        <f>IF(COUNTIFS('United Data'!$A$3:$A$2150,H$1,'United Data'!$C$3:$C$2150,$A83,'United Data'!$B$3:$B$2150,"&lt;&gt;P")&gt;0,1,0)</f>
        <v>0</v>
      </c>
      <c r="I83">
        <f>IF(COUNTIFS('United Data'!$A$3:$A$2150,I$1,'United Data'!$C$3:$C$2150,$A83,'United Data'!$B$3:$B$2150,"&lt;&gt;P")&gt;0,1,0)</f>
        <v>1</v>
      </c>
      <c r="J83">
        <f>IF(COUNTIFS('United Data'!$A$3:$A$2150,J$1,'United Data'!$C$3:$C$2150,$A83,'United Data'!$B$3:$B$2150,"&lt;&gt;P")&gt;0,1,0)</f>
        <v>0</v>
      </c>
      <c r="K83">
        <f>IF(COUNTIFS('United Data'!$A$3:$A$2150,K$1,'United Data'!$C$3:$C$2150,$A83,'United Data'!$B$3:$B$2150,"&lt;&gt;P")&gt;0,1,0)</f>
        <v>0</v>
      </c>
      <c r="L83">
        <f>IF(COUNTIFS('United Data'!$A$3:$A$2150,L$1,'United Data'!$C$3:$C$2150,$A83,'United Data'!$B$3:$B$2150,"&lt;&gt;P")&gt;0,1,0)</f>
        <v>0</v>
      </c>
      <c r="M83">
        <f>IF(COUNTIFS('United Data'!$A$3:$A$2150,M$1,'United Data'!$C$3:$C$2150,$A83,'United Data'!$B$3:$B$2150,"&lt;&gt;P")&gt;0,1,0)</f>
        <v>0</v>
      </c>
      <c r="N83">
        <f>IF(COUNTIFS('United Data'!$A$3:$A$2150,N$1,'United Data'!$C$3:$C$2150,$A83,'United Data'!$B$3:$B$2150,"&lt;&gt;P")&gt;0,1,0)</f>
        <v>0</v>
      </c>
      <c r="O83">
        <f>IF(COUNTIFS('United Data'!$A$3:$A$2150,O$1,'United Data'!$C$3:$C$2150,$A83,'United Data'!$B$3:$B$2150,"&lt;&gt;P")&gt;0,1,0)</f>
        <v>0</v>
      </c>
      <c r="P83">
        <f>IF(COUNTIFS('United Data'!$A$3:$A$2150,P$1,'United Data'!$C$3:$C$2150,$A83,'United Data'!$B$3:$B$2150,"&lt;&gt;P")&gt;0,1,0)</f>
        <v>0</v>
      </c>
      <c r="Q83">
        <f>IF(COUNTIFS('United Data'!$A$3:$A$2150,Q$1,'United Data'!$C$3:$C$2150,$A83,'United Data'!$B$3:$B$2150,"&lt;&gt;P")&gt;0,1,0)</f>
        <v>0</v>
      </c>
      <c r="R83">
        <f>IF(COUNTIFS('United Data'!$A$3:$A$2150,R$1,'United Data'!$C$3:$C$2150,$A83,'United Data'!$B$3:$B$2150,"&lt;&gt;P")&gt;0,1,0)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129</v>
      </c>
      <c r="B84">
        <f>IF(COUNTIFS('United Data'!$A$3:$A$2150,B$1,'United Data'!$C$3:$C$2150,$A84,'United Data'!$B$3:$B$2150,"&lt;&gt;P")&gt;0,1,0)</f>
        <v>0</v>
      </c>
      <c r="C84">
        <f>IF(COUNTIFS('United Data'!$A$3:$A$2150,C$1,'United Data'!$C$3:$C$2150,$A84,'United Data'!$B$3:$B$2150,"&lt;&gt;P")&gt;0,1,0)</f>
        <v>0</v>
      </c>
      <c r="D84">
        <f>IF(COUNTIFS('United Data'!$A$3:$A$2150,D$1,'United Data'!$C$3:$C$2150,$A84,'United Data'!$B$3:$B$2150,"&lt;&gt;P")&gt;0,1,0)</f>
        <v>0</v>
      </c>
      <c r="E84">
        <f>IF(COUNTIFS('United Data'!$A$3:$A$2150,E$1,'United Data'!$C$3:$C$2150,$A84,'United Data'!$B$3:$B$2150,"&lt;&gt;P")&gt;0,1,0)</f>
        <v>0</v>
      </c>
      <c r="F84">
        <f>IF(COUNTIFS('United Data'!$A$3:$A$2150,F$1,'United Data'!$C$3:$C$2150,$A84,'United Data'!$B$3:$B$2150,"&lt;&gt;P")&gt;0,1,0)</f>
        <v>0</v>
      </c>
      <c r="G84">
        <f>IF(COUNTIFS('United Data'!$A$3:$A$2150,G$1,'United Data'!$C$3:$C$2150,$A84,'United Data'!$B$3:$B$2150,"&lt;&gt;P")&gt;0,1,0)</f>
        <v>0</v>
      </c>
      <c r="H84">
        <f>IF(COUNTIFS('United Data'!$A$3:$A$2150,H$1,'United Data'!$C$3:$C$2150,$A84,'United Data'!$B$3:$B$2150,"&lt;&gt;P")&gt;0,1,0)</f>
        <v>0</v>
      </c>
      <c r="I84">
        <f>IF(COUNTIFS('United Data'!$A$3:$A$2150,I$1,'United Data'!$C$3:$C$2150,$A84,'United Data'!$B$3:$B$2150,"&lt;&gt;P")&gt;0,1,0)</f>
        <v>1</v>
      </c>
      <c r="J84">
        <f>IF(COUNTIFS('United Data'!$A$3:$A$2150,J$1,'United Data'!$C$3:$C$2150,$A84,'United Data'!$B$3:$B$2150,"&lt;&gt;P")&gt;0,1,0)</f>
        <v>0</v>
      </c>
      <c r="K84">
        <f>IF(COUNTIFS('United Data'!$A$3:$A$2150,K$1,'United Data'!$C$3:$C$2150,$A84,'United Data'!$B$3:$B$2150,"&lt;&gt;P")&gt;0,1,0)</f>
        <v>0</v>
      </c>
      <c r="L84">
        <f>IF(COUNTIFS('United Data'!$A$3:$A$2150,L$1,'United Data'!$C$3:$C$2150,$A84,'United Data'!$B$3:$B$2150,"&lt;&gt;P")&gt;0,1,0)</f>
        <v>0</v>
      </c>
      <c r="M84">
        <f>IF(COUNTIFS('United Data'!$A$3:$A$2150,M$1,'United Data'!$C$3:$C$2150,$A84,'United Data'!$B$3:$B$2150,"&lt;&gt;P")&gt;0,1,0)</f>
        <v>0</v>
      </c>
      <c r="N84">
        <f>IF(COUNTIFS('United Data'!$A$3:$A$2150,N$1,'United Data'!$C$3:$C$2150,$A84,'United Data'!$B$3:$B$2150,"&lt;&gt;P")&gt;0,1,0)</f>
        <v>0</v>
      </c>
      <c r="O84">
        <f>IF(COUNTIFS('United Data'!$A$3:$A$2150,O$1,'United Data'!$C$3:$C$2150,$A84,'United Data'!$B$3:$B$2150,"&lt;&gt;P")&gt;0,1,0)</f>
        <v>0</v>
      </c>
      <c r="P84">
        <f>IF(COUNTIFS('United Data'!$A$3:$A$2150,P$1,'United Data'!$C$3:$C$2150,$A84,'United Data'!$B$3:$B$2150,"&lt;&gt;P")&gt;0,1,0)</f>
        <v>0</v>
      </c>
      <c r="Q84">
        <f>IF(COUNTIFS('United Data'!$A$3:$A$2150,Q$1,'United Data'!$C$3:$C$2150,$A84,'United Data'!$B$3:$B$2150,"&lt;&gt;P")&gt;0,1,0)</f>
        <v>0</v>
      </c>
      <c r="R84">
        <f>IF(COUNTIFS('United Data'!$A$3:$A$2150,R$1,'United Data'!$C$3:$C$2150,$A84,'United Data'!$B$3:$B$2150,"&lt;&gt;P")&gt;0,1,0)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130</v>
      </c>
      <c r="B85">
        <f>IF(COUNTIFS('United Data'!$A$3:$A$2150,B$1,'United Data'!$C$3:$C$2150,$A85,'United Data'!$B$3:$B$2150,"&lt;&gt;P")&gt;0,1,0)</f>
        <v>0</v>
      </c>
      <c r="C85">
        <f>IF(COUNTIFS('United Data'!$A$3:$A$2150,C$1,'United Data'!$C$3:$C$2150,$A85,'United Data'!$B$3:$B$2150,"&lt;&gt;P")&gt;0,1,0)</f>
        <v>0</v>
      </c>
      <c r="D85">
        <f>IF(COUNTIFS('United Data'!$A$3:$A$2150,D$1,'United Data'!$C$3:$C$2150,$A85,'United Data'!$B$3:$B$2150,"&lt;&gt;P")&gt;0,1,0)</f>
        <v>0</v>
      </c>
      <c r="E85">
        <f>IF(COUNTIFS('United Data'!$A$3:$A$2150,E$1,'United Data'!$C$3:$C$2150,$A85,'United Data'!$B$3:$B$2150,"&lt;&gt;P")&gt;0,1,0)</f>
        <v>0</v>
      </c>
      <c r="F85">
        <f>IF(COUNTIFS('United Data'!$A$3:$A$2150,F$1,'United Data'!$C$3:$C$2150,$A85,'United Data'!$B$3:$B$2150,"&lt;&gt;P")&gt;0,1,0)</f>
        <v>0</v>
      </c>
      <c r="G85">
        <f>IF(COUNTIFS('United Data'!$A$3:$A$2150,G$1,'United Data'!$C$3:$C$2150,$A85,'United Data'!$B$3:$B$2150,"&lt;&gt;P")&gt;0,1,0)</f>
        <v>0</v>
      </c>
      <c r="H85">
        <f>IF(COUNTIFS('United Data'!$A$3:$A$2150,H$1,'United Data'!$C$3:$C$2150,$A85,'United Data'!$B$3:$B$2150,"&lt;&gt;P")&gt;0,1,0)</f>
        <v>0</v>
      </c>
      <c r="I85">
        <f>IF(COUNTIFS('United Data'!$A$3:$A$2150,I$1,'United Data'!$C$3:$C$2150,$A85,'United Data'!$B$3:$B$2150,"&lt;&gt;P")&gt;0,1,0)</f>
        <v>1</v>
      </c>
      <c r="J85">
        <f>IF(COUNTIFS('United Data'!$A$3:$A$2150,J$1,'United Data'!$C$3:$C$2150,$A85,'United Data'!$B$3:$B$2150,"&lt;&gt;P")&gt;0,1,0)</f>
        <v>0</v>
      </c>
      <c r="K85">
        <f>IF(COUNTIFS('United Data'!$A$3:$A$2150,K$1,'United Data'!$C$3:$C$2150,$A85,'United Data'!$B$3:$B$2150,"&lt;&gt;P")&gt;0,1,0)</f>
        <v>0</v>
      </c>
      <c r="L85">
        <f>IF(COUNTIFS('United Data'!$A$3:$A$2150,L$1,'United Data'!$C$3:$C$2150,$A85,'United Data'!$B$3:$B$2150,"&lt;&gt;P")&gt;0,1,0)</f>
        <v>0</v>
      </c>
      <c r="M85">
        <f>IF(COUNTIFS('United Data'!$A$3:$A$2150,M$1,'United Data'!$C$3:$C$2150,$A85,'United Data'!$B$3:$B$2150,"&lt;&gt;P")&gt;0,1,0)</f>
        <v>0</v>
      </c>
      <c r="N85">
        <f>IF(COUNTIFS('United Data'!$A$3:$A$2150,N$1,'United Data'!$C$3:$C$2150,$A85,'United Data'!$B$3:$B$2150,"&lt;&gt;P")&gt;0,1,0)</f>
        <v>0</v>
      </c>
      <c r="O85">
        <f>IF(COUNTIFS('United Data'!$A$3:$A$2150,O$1,'United Data'!$C$3:$C$2150,$A85,'United Data'!$B$3:$B$2150,"&lt;&gt;P")&gt;0,1,0)</f>
        <v>0</v>
      </c>
      <c r="P85">
        <f>IF(COUNTIFS('United Data'!$A$3:$A$2150,P$1,'United Data'!$C$3:$C$2150,$A85,'United Data'!$B$3:$B$2150,"&lt;&gt;P")&gt;0,1,0)</f>
        <v>0</v>
      </c>
      <c r="Q85">
        <f>IF(COUNTIFS('United Data'!$A$3:$A$2150,Q$1,'United Data'!$C$3:$C$2150,$A85,'United Data'!$B$3:$B$2150,"&lt;&gt;P")&gt;0,1,0)</f>
        <v>0</v>
      </c>
      <c r="R85">
        <f>IF(COUNTIFS('United Data'!$A$3:$A$2150,R$1,'United Data'!$C$3:$C$2150,$A85,'United Data'!$B$3:$B$2150,"&lt;&gt;P")&gt;0,1,0)</f>
        <v>0</v>
      </c>
      <c r="S85">
        <f t="shared" si="2"/>
        <v>1</v>
      </c>
      <c r="T85">
        <f t="shared" si="3"/>
        <v>1</v>
      </c>
    </row>
    <row r="86" spans="1:20" x14ac:dyDescent="0.2">
      <c r="A86" t="s">
        <v>131</v>
      </c>
      <c r="B86">
        <f>IF(COUNTIFS('United Data'!$A$3:$A$2150,B$1,'United Data'!$C$3:$C$2150,$A86,'United Data'!$B$3:$B$2150,"&lt;&gt;P")&gt;0,1,0)</f>
        <v>0</v>
      </c>
      <c r="C86">
        <f>IF(COUNTIFS('United Data'!$A$3:$A$2150,C$1,'United Data'!$C$3:$C$2150,$A86,'United Data'!$B$3:$B$2150,"&lt;&gt;P")&gt;0,1,0)</f>
        <v>0</v>
      </c>
      <c r="D86">
        <f>IF(COUNTIFS('United Data'!$A$3:$A$2150,D$1,'United Data'!$C$3:$C$2150,$A86,'United Data'!$B$3:$B$2150,"&lt;&gt;P")&gt;0,1,0)</f>
        <v>0</v>
      </c>
      <c r="E86">
        <f>IF(COUNTIFS('United Data'!$A$3:$A$2150,E$1,'United Data'!$C$3:$C$2150,$A86,'United Data'!$B$3:$B$2150,"&lt;&gt;P")&gt;0,1,0)</f>
        <v>0</v>
      </c>
      <c r="F86">
        <f>IF(COUNTIFS('United Data'!$A$3:$A$2150,F$1,'United Data'!$C$3:$C$2150,$A86,'United Data'!$B$3:$B$2150,"&lt;&gt;P")&gt;0,1,0)</f>
        <v>0</v>
      </c>
      <c r="G86">
        <f>IF(COUNTIFS('United Data'!$A$3:$A$2150,G$1,'United Data'!$C$3:$C$2150,$A86,'United Data'!$B$3:$B$2150,"&lt;&gt;P")&gt;0,1,0)</f>
        <v>0</v>
      </c>
      <c r="H86">
        <f>IF(COUNTIFS('United Data'!$A$3:$A$2150,H$1,'United Data'!$C$3:$C$2150,$A86,'United Data'!$B$3:$B$2150,"&lt;&gt;P")&gt;0,1,0)</f>
        <v>0</v>
      </c>
      <c r="I86">
        <f>IF(COUNTIFS('United Data'!$A$3:$A$2150,I$1,'United Data'!$C$3:$C$2150,$A86,'United Data'!$B$3:$B$2150,"&lt;&gt;P")&gt;0,1,0)</f>
        <v>1</v>
      </c>
      <c r="J86">
        <f>IF(COUNTIFS('United Data'!$A$3:$A$2150,J$1,'United Data'!$C$3:$C$2150,$A86,'United Data'!$B$3:$B$2150,"&lt;&gt;P")&gt;0,1,0)</f>
        <v>0</v>
      </c>
      <c r="K86">
        <f>IF(COUNTIFS('United Data'!$A$3:$A$2150,K$1,'United Data'!$C$3:$C$2150,$A86,'United Data'!$B$3:$B$2150,"&lt;&gt;P")&gt;0,1,0)</f>
        <v>0</v>
      </c>
      <c r="L86">
        <f>IF(COUNTIFS('United Data'!$A$3:$A$2150,L$1,'United Data'!$C$3:$C$2150,$A86,'United Data'!$B$3:$B$2150,"&lt;&gt;P")&gt;0,1,0)</f>
        <v>0</v>
      </c>
      <c r="M86">
        <f>IF(COUNTIFS('United Data'!$A$3:$A$2150,M$1,'United Data'!$C$3:$C$2150,$A86,'United Data'!$B$3:$B$2150,"&lt;&gt;P")&gt;0,1,0)</f>
        <v>0</v>
      </c>
      <c r="N86">
        <f>IF(COUNTIFS('United Data'!$A$3:$A$2150,N$1,'United Data'!$C$3:$C$2150,$A86,'United Data'!$B$3:$B$2150,"&lt;&gt;P")&gt;0,1,0)</f>
        <v>0</v>
      </c>
      <c r="O86">
        <f>IF(COUNTIFS('United Data'!$A$3:$A$2150,O$1,'United Data'!$C$3:$C$2150,$A86,'United Data'!$B$3:$B$2150,"&lt;&gt;P")&gt;0,1,0)</f>
        <v>0</v>
      </c>
      <c r="P86">
        <f>IF(COUNTIFS('United Data'!$A$3:$A$2150,P$1,'United Data'!$C$3:$C$2150,$A86,'United Data'!$B$3:$B$2150,"&lt;&gt;P")&gt;0,1,0)</f>
        <v>0</v>
      </c>
      <c r="Q86">
        <f>IF(COUNTIFS('United Data'!$A$3:$A$2150,Q$1,'United Data'!$C$3:$C$2150,$A86,'United Data'!$B$3:$B$2150,"&lt;&gt;P")&gt;0,1,0)</f>
        <v>0</v>
      </c>
      <c r="R86">
        <f>IF(COUNTIFS('United Data'!$A$3:$A$2150,R$1,'United Data'!$C$3:$C$2150,$A86,'United Data'!$B$3:$B$2150,"&lt;&gt;P")&gt;0,1,0)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132</v>
      </c>
      <c r="B87">
        <f>IF(COUNTIFS('United Data'!$A$3:$A$2150,B$1,'United Data'!$C$3:$C$2150,$A87,'United Data'!$B$3:$B$2150,"&lt;&gt;P")&gt;0,1,0)</f>
        <v>0</v>
      </c>
      <c r="C87">
        <f>IF(COUNTIFS('United Data'!$A$3:$A$2150,C$1,'United Data'!$C$3:$C$2150,$A87,'United Data'!$B$3:$B$2150,"&lt;&gt;P")&gt;0,1,0)</f>
        <v>0</v>
      </c>
      <c r="D87">
        <f>IF(COUNTIFS('United Data'!$A$3:$A$2150,D$1,'United Data'!$C$3:$C$2150,$A87,'United Data'!$B$3:$B$2150,"&lt;&gt;P")&gt;0,1,0)</f>
        <v>0</v>
      </c>
      <c r="E87">
        <f>IF(COUNTIFS('United Data'!$A$3:$A$2150,E$1,'United Data'!$C$3:$C$2150,$A87,'United Data'!$B$3:$B$2150,"&lt;&gt;P")&gt;0,1,0)</f>
        <v>0</v>
      </c>
      <c r="F87">
        <f>IF(COUNTIFS('United Data'!$A$3:$A$2150,F$1,'United Data'!$C$3:$C$2150,$A87,'United Data'!$B$3:$B$2150,"&lt;&gt;P")&gt;0,1,0)</f>
        <v>0</v>
      </c>
      <c r="G87">
        <f>IF(COUNTIFS('United Data'!$A$3:$A$2150,G$1,'United Data'!$C$3:$C$2150,$A87,'United Data'!$B$3:$B$2150,"&lt;&gt;P")&gt;0,1,0)</f>
        <v>0</v>
      </c>
      <c r="H87">
        <f>IF(COUNTIFS('United Data'!$A$3:$A$2150,H$1,'United Data'!$C$3:$C$2150,$A87,'United Data'!$B$3:$B$2150,"&lt;&gt;P")&gt;0,1,0)</f>
        <v>0</v>
      </c>
      <c r="I87">
        <f>IF(COUNTIFS('United Data'!$A$3:$A$2150,I$1,'United Data'!$C$3:$C$2150,$A87,'United Data'!$B$3:$B$2150,"&lt;&gt;P")&gt;0,1,0)</f>
        <v>1</v>
      </c>
      <c r="J87">
        <f>IF(COUNTIFS('United Data'!$A$3:$A$2150,J$1,'United Data'!$C$3:$C$2150,$A87,'United Data'!$B$3:$B$2150,"&lt;&gt;P")&gt;0,1,0)</f>
        <v>0</v>
      </c>
      <c r="K87">
        <f>IF(COUNTIFS('United Data'!$A$3:$A$2150,K$1,'United Data'!$C$3:$C$2150,$A87,'United Data'!$B$3:$B$2150,"&lt;&gt;P")&gt;0,1,0)</f>
        <v>0</v>
      </c>
      <c r="L87">
        <f>IF(COUNTIFS('United Data'!$A$3:$A$2150,L$1,'United Data'!$C$3:$C$2150,$A87,'United Data'!$B$3:$B$2150,"&lt;&gt;P")&gt;0,1,0)</f>
        <v>0</v>
      </c>
      <c r="M87">
        <f>IF(COUNTIFS('United Data'!$A$3:$A$2150,M$1,'United Data'!$C$3:$C$2150,$A87,'United Data'!$B$3:$B$2150,"&lt;&gt;P")&gt;0,1,0)</f>
        <v>0</v>
      </c>
      <c r="N87">
        <f>IF(COUNTIFS('United Data'!$A$3:$A$2150,N$1,'United Data'!$C$3:$C$2150,$A87,'United Data'!$B$3:$B$2150,"&lt;&gt;P")&gt;0,1,0)</f>
        <v>0</v>
      </c>
      <c r="O87">
        <f>IF(COUNTIFS('United Data'!$A$3:$A$2150,O$1,'United Data'!$C$3:$C$2150,$A87,'United Data'!$B$3:$B$2150,"&lt;&gt;P")&gt;0,1,0)</f>
        <v>0</v>
      </c>
      <c r="P87">
        <f>IF(COUNTIFS('United Data'!$A$3:$A$2150,P$1,'United Data'!$C$3:$C$2150,$A87,'United Data'!$B$3:$B$2150,"&lt;&gt;P")&gt;0,1,0)</f>
        <v>0</v>
      </c>
      <c r="Q87">
        <f>IF(COUNTIFS('United Data'!$A$3:$A$2150,Q$1,'United Data'!$C$3:$C$2150,$A87,'United Data'!$B$3:$B$2150,"&lt;&gt;P")&gt;0,1,0)</f>
        <v>0</v>
      </c>
      <c r="R87">
        <f>IF(COUNTIFS('United Data'!$A$3:$A$2150,R$1,'United Data'!$C$3:$C$2150,$A87,'United Data'!$B$3:$B$2150,"&lt;&gt;P")&gt;0,1,0)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133</v>
      </c>
      <c r="B88">
        <f>IF(COUNTIFS('United Data'!$A$3:$A$2150,B$1,'United Data'!$C$3:$C$2150,$A88,'United Data'!$B$3:$B$2150,"&lt;&gt;P")&gt;0,1,0)</f>
        <v>0</v>
      </c>
      <c r="C88">
        <f>IF(COUNTIFS('United Data'!$A$3:$A$2150,C$1,'United Data'!$C$3:$C$2150,$A88,'United Data'!$B$3:$B$2150,"&lt;&gt;P")&gt;0,1,0)</f>
        <v>0</v>
      </c>
      <c r="D88">
        <f>IF(COUNTIFS('United Data'!$A$3:$A$2150,D$1,'United Data'!$C$3:$C$2150,$A88,'United Data'!$B$3:$B$2150,"&lt;&gt;P")&gt;0,1,0)</f>
        <v>0</v>
      </c>
      <c r="E88">
        <f>IF(COUNTIFS('United Data'!$A$3:$A$2150,E$1,'United Data'!$C$3:$C$2150,$A88,'United Data'!$B$3:$B$2150,"&lt;&gt;P")&gt;0,1,0)</f>
        <v>0</v>
      </c>
      <c r="F88">
        <f>IF(COUNTIFS('United Data'!$A$3:$A$2150,F$1,'United Data'!$C$3:$C$2150,$A88,'United Data'!$B$3:$B$2150,"&lt;&gt;P")&gt;0,1,0)</f>
        <v>0</v>
      </c>
      <c r="G88">
        <f>IF(COUNTIFS('United Data'!$A$3:$A$2150,G$1,'United Data'!$C$3:$C$2150,$A88,'United Data'!$B$3:$B$2150,"&lt;&gt;P")&gt;0,1,0)</f>
        <v>0</v>
      </c>
      <c r="H88">
        <f>IF(COUNTIFS('United Data'!$A$3:$A$2150,H$1,'United Data'!$C$3:$C$2150,$A88,'United Data'!$B$3:$B$2150,"&lt;&gt;P")&gt;0,1,0)</f>
        <v>0</v>
      </c>
      <c r="I88">
        <f>IF(COUNTIFS('United Data'!$A$3:$A$2150,I$1,'United Data'!$C$3:$C$2150,$A88,'United Data'!$B$3:$B$2150,"&lt;&gt;P")&gt;0,1,0)</f>
        <v>0</v>
      </c>
      <c r="J88">
        <f>IF(COUNTIFS('United Data'!$A$3:$A$2150,J$1,'United Data'!$C$3:$C$2150,$A88,'United Data'!$B$3:$B$2150,"&lt;&gt;P")&gt;0,1,0)</f>
        <v>1</v>
      </c>
      <c r="K88">
        <f>IF(COUNTIFS('United Data'!$A$3:$A$2150,K$1,'United Data'!$C$3:$C$2150,$A88,'United Data'!$B$3:$B$2150,"&lt;&gt;P")&gt;0,1,0)</f>
        <v>0</v>
      </c>
      <c r="L88">
        <f>IF(COUNTIFS('United Data'!$A$3:$A$2150,L$1,'United Data'!$C$3:$C$2150,$A88,'United Data'!$B$3:$B$2150,"&lt;&gt;P")&gt;0,1,0)</f>
        <v>0</v>
      </c>
      <c r="M88">
        <f>IF(COUNTIFS('United Data'!$A$3:$A$2150,M$1,'United Data'!$C$3:$C$2150,$A88,'United Data'!$B$3:$B$2150,"&lt;&gt;P")&gt;0,1,0)</f>
        <v>0</v>
      </c>
      <c r="N88">
        <f>IF(COUNTIFS('United Data'!$A$3:$A$2150,N$1,'United Data'!$C$3:$C$2150,$A88,'United Data'!$B$3:$B$2150,"&lt;&gt;P")&gt;0,1,0)</f>
        <v>0</v>
      </c>
      <c r="O88">
        <f>IF(COUNTIFS('United Data'!$A$3:$A$2150,O$1,'United Data'!$C$3:$C$2150,$A88,'United Data'!$B$3:$B$2150,"&lt;&gt;P")&gt;0,1,0)</f>
        <v>0</v>
      </c>
      <c r="P88">
        <f>IF(COUNTIFS('United Data'!$A$3:$A$2150,P$1,'United Data'!$C$3:$C$2150,$A88,'United Data'!$B$3:$B$2150,"&lt;&gt;P")&gt;0,1,0)</f>
        <v>0</v>
      </c>
      <c r="Q88">
        <f>IF(COUNTIFS('United Data'!$A$3:$A$2150,Q$1,'United Data'!$C$3:$C$2150,$A88,'United Data'!$B$3:$B$2150,"&lt;&gt;P")&gt;0,1,0)</f>
        <v>0</v>
      </c>
      <c r="R88">
        <f>IF(COUNTIFS('United Data'!$A$3:$A$2150,R$1,'United Data'!$C$3:$C$2150,$A88,'United Data'!$B$3:$B$2150,"&lt;&gt;P")&gt;0,1,0)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134</v>
      </c>
      <c r="B89">
        <f>IF(COUNTIFS('United Data'!$A$3:$A$2150,B$1,'United Data'!$C$3:$C$2150,$A89,'United Data'!$B$3:$B$2150,"&lt;&gt;P")&gt;0,1,0)</f>
        <v>0</v>
      </c>
      <c r="C89">
        <f>IF(COUNTIFS('United Data'!$A$3:$A$2150,C$1,'United Data'!$C$3:$C$2150,$A89,'United Data'!$B$3:$B$2150,"&lt;&gt;P")&gt;0,1,0)</f>
        <v>0</v>
      </c>
      <c r="D89">
        <f>IF(COUNTIFS('United Data'!$A$3:$A$2150,D$1,'United Data'!$C$3:$C$2150,$A89,'United Data'!$B$3:$B$2150,"&lt;&gt;P")&gt;0,1,0)</f>
        <v>0</v>
      </c>
      <c r="E89">
        <f>IF(COUNTIFS('United Data'!$A$3:$A$2150,E$1,'United Data'!$C$3:$C$2150,$A89,'United Data'!$B$3:$B$2150,"&lt;&gt;P")&gt;0,1,0)</f>
        <v>0</v>
      </c>
      <c r="F89">
        <f>IF(COUNTIFS('United Data'!$A$3:$A$2150,F$1,'United Data'!$C$3:$C$2150,$A89,'United Data'!$B$3:$B$2150,"&lt;&gt;P")&gt;0,1,0)</f>
        <v>0</v>
      </c>
      <c r="G89">
        <f>IF(COUNTIFS('United Data'!$A$3:$A$2150,G$1,'United Data'!$C$3:$C$2150,$A89,'United Data'!$B$3:$B$2150,"&lt;&gt;P")&gt;0,1,0)</f>
        <v>0</v>
      </c>
      <c r="H89">
        <f>IF(COUNTIFS('United Data'!$A$3:$A$2150,H$1,'United Data'!$C$3:$C$2150,$A89,'United Data'!$B$3:$B$2150,"&lt;&gt;P")&gt;0,1,0)</f>
        <v>0</v>
      </c>
      <c r="I89">
        <f>IF(COUNTIFS('United Data'!$A$3:$A$2150,I$1,'United Data'!$C$3:$C$2150,$A89,'United Data'!$B$3:$B$2150,"&lt;&gt;P")&gt;0,1,0)</f>
        <v>0</v>
      </c>
      <c r="J89">
        <f>IF(COUNTIFS('United Data'!$A$3:$A$2150,J$1,'United Data'!$C$3:$C$2150,$A89,'United Data'!$B$3:$B$2150,"&lt;&gt;P")&gt;0,1,0)</f>
        <v>1</v>
      </c>
      <c r="K89">
        <f>IF(COUNTIFS('United Data'!$A$3:$A$2150,K$1,'United Data'!$C$3:$C$2150,$A89,'United Data'!$B$3:$B$2150,"&lt;&gt;P")&gt;0,1,0)</f>
        <v>0</v>
      </c>
      <c r="L89">
        <f>IF(COUNTIFS('United Data'!$A$3:$A$2150,L$1,'United Data'!$C$3:$C$2150,$A89,'United Data'!$B$3:$B$2150,"&lt;&gt;P")&gt;0,1,0)</f>
        <v>0</v>
      </c>
      <c r="M89">
        <f>IF(COUNTIFS('United Data'!$A$3:$A$2150,M$1,'United Data'!$C$3:$C$2150,$A89,'United Data'!$B$3:$B$2150,"&lt;&gt;P")&gt;0,1,0)</f>
        <v>0</v>
      </c>
      <c r="N89">
        <f>IF(COUNTIFS('United Data'!$A$3:$A$2150,N$1,'United Data'!$C$3:$C$2150,$A89,'United Data'!$B$3:$B$2150,"&lt;&gt;P")&gt;0,1,0)</f>
        <v>0</v>
      </c>
      <c r="O89">
        <f>IF(COUNTIFS('United Data'!$A$3:$A$2150,O$1,'United Data'!$C$3:$C$2150,$A89,'United Data'!$B$3:$B$2150,"&lt;&gt;P")&gt;0,1,0)</f>
        <v>0</v>
      </c>
      <c r="P89">
        <f>IF(COUNTIFS('United Data'!$A$3:$A$2150,P$1,'United Data'!$C$3:$C$2150,$A89,'United Data'!$B$3:$B$2150,"&lt;&gt;P")&gt;0,1,0)</f>
        <v>0</v>
      </c>
      <c r="Q89">
        <f>IF(COUNTIFS('United Data'!$A$3:$A$2150,Q$1,'United Data'!$C$3:$C$2150,$A89,'United Data'!$B$3:$B$2150,"&lt;&gt;P")&gt;0,1,0)</f>
        <v>0</v>
      </c>
      <c r="R89">
        <f>IF(COUNTIFS('United Data'!$A$3:$A$2150,R$1,'United Data'!$C$3:$C$2150,$A89,'United Data'!$B$3:$B$2150,"&lt;&gt;P")&gt;0,1,0)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135</v>
      </c>
      <c r="B90">
        <f>IF(COUNTIFS('United Data'!$A$3:$A$2150,B$1,'United Data'!$C$3:$C$2150,$A90,'United Data'!$B$3:$B$2150,"&lt;&gt;P")&gt;0,1,0)</f>
        <v>0</v>
      </c>
      <c r="C90">
        <f>IF(COUNTIFS('United Data'!$A$3:$A$2150,C$1,'United Data'!$C$3:$C$2150,$A90,'United Data'!$B$3:$B$2150,"&lt;&gt;P")&gt;0,1,0)</f>
        <v>0</v>
      </c>
      <c r="D90">
        <f>IF(COUNTIFS('United Data'!$A$3:$A$2150,D$1,'United Data'!$C$3:$C$2150,$A90,'United Data'!$B$3:$B$2150,"&lt;&gt;P")&gt;0,1,0)</f>
        <v>0</v>
      </c>
      <c r="E90">
        <f>IF(COUNTIFS('United Data'!$A$3:$A$2150,E$1,'United Data'!$C$3:$C$2150,$A90,'United Data'!$B$3:$B$2150,"&lt;&gt;P")&gt;0,1,0)</f>
        <v>0</v>
      </c>
      <c r="F90">
        <f>IF(COUNTIFS('United Data'!$A$3:$A$2150,F$1,'United Data'!$C$3:$C$2150,$A90,'United Data'!$B$3:$B$2150,"&lt;&gt;P")&gt;0,1,0)</f>
        <v>0</v>
      </c>
      <c r="G90">
        <f>IF(COUNTIFS('United Data'!$A$3:$A$2150,G$1,'United Data'!$C$3:$C$2150,$A90,'United Data'!$B$3:$B$2150,"&lt;&gt;P")&gt;0,1,0)</f>
        <v>0</v>
      </c>
      <c r="H90">
        <f>IF(COUNTIFS('United Data'!$A$3:$A$2150,H$1,'United Data'!$C$3:$C$2150,$A90,'United Data'!$B$3:$B$2150,"&lt;&gt;P")&gt;0,1,0)</f>
        <v>0</v>
      </c>
      <c r="I90">
        <f>IF(COUNTIFS('United Data'!$A$3:$A$2150,I$1,'United Data'!$C$3:$C$2150,$A90,'United Data'!$B$3:$B$2150,"&lt;&gt;P")&gt;0,1,0)</f>
        <v>0</v>
      </c>
      <c r="J90">
        <f>IF(COUNTIFS('United Data'!$A$3:$A$2150,J$1,'United Data'!$C$3:$C$2150,$A90,'United Data'!$B$3:$B$2150,"&lt;&gt;P")&gt;0,1,0)</f>
        <v>1</v>
      </c>
      <c r="K90">
        <f>IF(COUNTIFS('United Data'!$A$3:$A$2150,K$1,'United Data'!$C$3:$C$2150,$A90,'United Data'!$B$3:$B$2150,"&lt;&gt;P")&gt;0,1,0)</f>
        <v>1</v>
      </c>
      <c r="L90">
        <f>IF(COUNTIFS('United Data'!$A$3:$A$2150,L$1,'United Data'!$C$3:$C$2150,$A90,'United Data'!$B$3:$B$2150,"&lt;&gt;P")&gt;0,1,0)</f>
        <v>1</v>
      </c>
      <c r="M90">
        <f>IF(COUNTIFS('United Data'!$A$3:$A$2150,M$1,'United Data'!$C$3:$C$2150,$A90,'United Data'!$B$3:$B$2150,"&lt;&gt;P")&gt;0,1,0)</f>
        <v>0</v>
      </c>
      <c r="N90">
        <f>IF(COUNTIFS('United Data'!$A$3:$A$2150,N$1,'United Data'!$C$3:$C$2150,$A90,'United Data'!$B$3:$B$2150,"&lt;&gt;P")&gt;0,1,0)</f>
        <v>0</v>
      </c>
      <c r="O90">
        <f>IF(COUNTIFS('United Data'!$A$3:$A$2150,O$1,'United Data'!$C$3:$C$2150,$A90,'United Data'!$B$3:$B$2150,"&lt;&gt;P")&gt;0,1,0)</f>
        <v>0</v>
      </c>
      <c r="P90">
        <f>IF(COUNTIFS('United Data'!$A$3:$A$2150,P$1,'United Data'!$C$3:$C$2150,$A90,'United Data'!$B$3:$B$2150,"&lt;&gt;P")&gt;0,1,0)</f>
        <v>0</v>
      </c>
      <c r="Q90">
        <f>IF(COUNTIFS('United Data'!$A$3:$A$2150,Q$1,'United Data'!$C$3:$C$2150,$A90,'United Data'!$B$3:$B$2150,"&lt;&gt;P")&gt;0,1,0)</f>
        <v>0</v>
      </c>
      <c r="R90">
        <f>IF(COUNTIFS('United Data'!$A$3:$A$2150,R$1,'United Data'!$C$3:$C$2150,$A90,'United Data'!$B$3:$B$2150,"&lt;&gt;P")&gt;0,1,0)</f>
        <v>0</v>
      </c>
      <c r="S90">
        <f t="shared" si="2"/>
        <v>3</v>
      </c>
      <c r="T90">
        <f t="shared" si="3"/>
        <v>1</v>
      </c>
    </row>
    <row r="91" spans="1:20" x14ac:dyDescent="0.2">
      <c r="A91" t="s">
        <v>136</v>
      </c>
      <c r="B91">
        <f>IF(COUNTIFS('United Data'!$A$3:$A$2150,B$1,'United Data'!$C$3:$C$2150,$A91,'United Data'!$B$3:$B$2150,"&lt;&gt;P")&gt;0,1,0)</f>
        <v>0</v>
      </c>
      <c r="C91">
        <f>IF(COUNTIFS('United Data'!$A$3:$A$2150,C$1,'United Data'!$C$3:$C$2150,$A91,'United Data'!$B$3:$B$2150,"&lt;&gt;P")&gt;0,1,0)</f>
        <v>0</v>
      </c>
      <c r="D91">
        <f>IF(COUNTIFS('United Data'!$A$3:$A$2150,D$1,'United Data'!$C$3:$C$2150,$A91,'United Data'!$B$3:$B$2150,"&lt;&gt;P")&gt;0,1,0)</f>
        <v>0</v>
      </c>
      <c r="E91">
        <f>IF(COUNTIFS('United Data'!$A$3:$A$2150,E$1,'United Data'!$C$3:$C$2150,$A91,'United Data'!$B$3:$B$2150,"&lt;&gt;P")&gt;0,1,0)</f>
        <v>0</v>
      </c>
      <c r="F91">
        <f>IF(COUNTIFS('United Data'!$A$3:$A$2150,F$1,'United Data'!$C$3:$C$2150,$A91,'United Data'!$B$3:$B$2150,"&lt;&gt;P")&gt;0,1,0)</f>
        <v>0</v>
      </c>
      <c r="G91">
        <f>IF(COUNTIFS('United Data'!$A$3:$A$2150,G$1,'United Data'!$C$3:$C$2150,$A91,'United Data'!$B$3:$B$2150,"&lt;&gt;P")&gt;0,1,0)</f>
        <v>0</v>
      </c>
      <c r="H91">
        <f>IF(COUNTIFS('United Data'!$A$3:$A$2150,H$1,'United Data'!$C$3:$C$2150,$A91,'United Data'!$B$3:$B$2150,"&lt;&gt;P")&gt;0,1,0)</f>
        <v>0</v>
      </c>
      <c r="I91">
        <f>IF(COUNTIFS('United Data'!$A$3:$A$2150,I$1,'United Data'!$C$3:$C$2150,$A91,'United Data'!$B$3:$B$2150,"&lt;&gt;P")&gt;0,1,0)</f>
        <v>0</v>
      </c>
      <c r="J91">
        <f>IF(COUNTIFS('United Data'!$A$3:$A$2150,J$1,'United Data'!$C$3:$C$2150,$A91,'United Data'!$B$3:$B$2150,"&lt;&gt;P")&gt;0,1,0)</f>
        <v>1</v>
      </c>
      <c r="K91">
        <f>IF(COUNTIFS('United Data'!$A$3:$A$2150,K$1,'United Data'!$C$3:$C$2150,$A91,'United Data'!$B$3:$B$2150,"&lt;&gt;P")&gt;0,1,0)</f>
        <v>0</v>
      </c>
      <c r="L91">
        <f>IF(COUNTIFS('United Data'!$A$3:$A$2150,L$1,'United Data'!$C$3:$C$2150,$A91,'United Data'!$B$3:$B$2150,"&lt;&gt;P")&gt;0,1,0)</f>
        <v>0</v>
      </c>
      <c r="M91">
        <f>IF(COUNTIFS('United Data'!$A$3:$A$2150,M$1,'United Data'!$C$3:$C$2150,$A91,'United Data'!$B$3:$B$2150,"&lt;&gt;P")&gt;0,1,0)</f>
        <v>0</v>
      </c>
      <c r="N91">
        <f>IF(COUNTIFS('United Data'!$A$3:$A$2150,N$1,'United Data'!$C$3:$C$2150,$A91,'United Data'!$B$3:$B$2150,"&lt;&gt;P")&gt;0,1,0)</f>
        <v>0</v>
      </c>
      <c r="O91">
        <f>IF(COUNTIFS('United Data'!$A$3:$A$2150,O$1,'United Data'!$C$3:$C$2150,$A91,'United Data'!$B$3:$B$2150,"&lt;&gt;P")&gt;0,1,0)</f>
        <v>0</v>
      </c>
      <c r="P91">
        <f>IF(COUNTIFS('United Data'!$A$3:$A$2150,P$1,'United Data'!$C$3:$C$2150,$A91,'United Data'!$B$3:$B$2150,"&lt;&gt;P")&gt;0,1,0)</f>
        <v>0</v>
      </c>
      <c r="Q91">
        <f>IF(COUNTIFS('United Data'!$A$3:$A$2150,Q$1,'United Data'!$C$3:$C$2150,$A91,'United Data'!$B$3:$B$2150,"&lt;&gt;P")&gt;0,1,0)</f>
        <v>0</v>
      </c>
      <c r="R91">
        <f>IF(COUNTIFS('United Data'!$A$3:$A$2150,R$1,'United Data'!$C$3:$C$2150,$A91,'United Data'!$B$3:$B$2150,"&lt;&gt;P")&gt;0,1,0)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137</v>
      </c>
      <c r="B92">
        <f>IF(COUNTIFS('United Data'!$A$3:$A$2150,B$1,'United Data'!$C$3:$C$2150,$A92,'United Data'!$B$3:$B$2150,"&lt;&gt;P")&gt;0,1,0)</f>
        <v>0</v>
      </c>
      <c r="C92">
        <f>IF(COUNTIFS('United Data'!$A$3:$A$2150,C$1,'United Data'!$C$3:$C$2150,$A92,'United Data'!$B$3:$B$2150,"&lt;&gt;P")&gt;0,1,0)</f>
        <v>0</v>
      </c>
      <c r="D92">
        <f>IF(COUNTIFS('United Data'!$A$3:$A$2150,D$1,'United Data'!$C$3:$C$2150,$A92,'United Data'!$B$3:$B$2150,"&lt;&gt;P")&gt;0,1,0)</f>
        <v>0</v>
      </c>
      <c r="E92">
        <f>IF(COUNTIFS('United Data'!$A$3:$A$2150,E$1,'United Data'!$C$3:$C$2150,$A92,'United Data'!$B$3:$B$2150,"&lt;&gt;P")&gt;0,1,0)</f>
        <v>0</v>
      </c>
      <c r="F92">
        <f>IF(COUNTIFS('United Data'!$A$3:$A$2150,F$1,'United Data'!$C$3:$C$2150,$A92,'United Data'!$B$3:$B$2150,"&lt;&gt;P")&gt;0,1,0)</f>
        <v>0</v>
      </c>
      <c r="G92">
        <f>IF(COUNTIFS('United Data'!$A$3:$A$2150,G$1,'United Data'!$C$3:$C$2150,$A92,'United Data'!$B$3:$B$2150,"&lt;&gt;P")&gt;0,1,0)</f>
        <v>0</v>
      </c>
      <c r="H92">
        <f>IF(COUNTIFS('United Data'!$A$3:$A$2150,H$1,'United Data'!$C$3:$C$2150,$A92,'United Data'!$B$3:$B$2150,"&lt;&gt;P")&gt;0,1,0)</f>
        <v>0</v>
      </c>
      <c r="I92">
        <f>IF(COUNTIFS('United Data'!$A$3:$A$2150,I$1,'United Data'!$C$3:$C$2150,$A92,'United Data'!$B$3:$B$2150,"&lt;&gt;P")&gt;0,1,0)</f>
        <v>0</v>
      </c>
      <c r="J92">
        <f>IF(COUNTIFS('United Data'!$A$3:$A$2150,J$1,'United Data'!$C$3:$C$2150,$A92,'United Data'!$B$3:$B$2150,"&lt;&gt;P")&gt;0,1,0)</f>
        <v>1</v>
      </c>
      <c r="K92">
        <f>IF(COUNTIFS('United Data'!$A$3:$A$2150,K$1,'United Data'!$C$3:$C$2150,$A92,'United Data'!$B$3:$B$2150,"&lt;&gt;P")&gt;0,1,0)</f>
        <v>0</v>
      </c>
      <c r="L92">
        <f>IF(COUNTIFS('United Data'!$A$3:$A$2150,L$1,'United Data'!$C$3:$C$2150,$A92,'United Data'!$B$3:$B$2150,"&lt;&gt;P")&gt;0,1,0)</f>
        <v>0</v>
      </c>
      <c r="M92">
        <f>IF(COUNTIFS('United Data'!$A$3:$A$2150,M$1,'United Data'!$C$3:$C$2150,$A92,'United Data'!$B$3:$B$2150,"&lt;&gt;P")&gt;0,1,0)</f>
        <v>0</v>
      </c>
      <c r="N92">
        <f>IF(COUNTIFS('United Data'!$A$3:$A$2150,N$1,'United Data'!$C$3:$C$2150,$A92,'United Data'!$B$3:$B$2150,"&lt;&gt;P")&gt;0,1,0)</f>
        <v>0</v>
      </c>
      <c r="O92">
        <f>IF(COUNTIFS('United Data'!$A$3:$A$2150,O$1,'United Data'!$C$3:$C$2150,$A92,'United Data'!$B$3:$B$2150,"&lt;&gt;P")&gt;0,1,0)</f>
        <v>0</v>
      </c>
      <c r="P92">
        <f>IF(COUNTIFS('United Data'!$A$3:$A$2150,P$1,'United Data'!$C$3:$C$2150,$A92,'United Data'!$B$3:$B$2150,"&lt;&gt;P")&gt;0,1,0)</f>
        <v>0</v>
      </c>
      <c r="Q92">
        <f>IF(COUNTIFS('United Data'!$A$3:$A$2150,Q$1,'United Data'!$C$3:$C$2150,$A92,'United Data'!$B$3:$B$2150,"&lt;&gt;P")&gt;0,1,0)</f>
        <v>0</v>
      </c>
      <c r="R92">
        <f>IF(COUNTIFS('United Data'!$A$3:$A$2150,R$1,'United Data'!$C$3:$C$2150,$A92,'United Data'!$B$3:$B$2150,"&lt;&gt;P")&gt;0,1,0)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138</v>
      </c>
      <c r="B93">
        <f>IF(COUNTIFS('United Data'!$A$3:$A$2150,B$1,'United Data'!$C$3:$C$2150,$A93,'United Data'!$B$3:$B$2150,"&lt;&gt;P")&gt;0,1,0)</f>
        <v>0</v>
      </c>
      <c r="C93">
        <f>IF(COUNTIFS('United Data'!$A$3:$A$2150,C$1,'United Data'!$C$3:$C$2150,$A93,'United Data'!$B$3:$B$2150,"&lt;&gt;P")&gt;0,1,0)</f>
        <v>0</v>
      </c>
      <c r="D93">
        <f>IF(COUNTIFS('United Data'!$A$3:$A$2150,D$1,'United Data'!$C$3:$C$2150,$A93,'United Data'!$B$3:$B$2150,"&lt;&gt;P")&gt;0,1,0)</f>
        <v>0</v>
      </c>
      <c r="E93">
        <f>IF(COUNTIFS('United Data'!$A$3:$A$2150,E$1,'United Data'!$C$3:$C$2150,$A93,'United Data'!$B$3:$B$2150,"&lt;&gt;P")&gt;0,1,0)</f>
        <v>0</v>
      </c>
      <c r="F93">
        <f>IF(COUNTIFS('United Data'!$A$3:$A$2150,F$1,'United Data'!$C$3:$C$2150,$A93,'United Data'!$B$3:$B$2150,"&lt;&gt;P")&gt;0,1,0)</f>
        <v>0</v>
      </c>
      <c r="G93">
        <f>IF(COUNTIFS('United Data'!$A$3:$A$2150,G$1,'United Data'!$C$3:$C$2150,$A93,'United Data'!$B$3:$B$2150,"&lt;&gt;P")&gt;0,1,0)</f>
        <v>0</v>
      </c>
      <c r="H93">
        <f>IF(COUNTIFS('United Data'!$A$3:$A$2150,H$1,'United Data'!$C$3:$C$2150,$A93,'United Data'!$B$3:$B$2150,"&lt;&gt;P")&gt;0,1,0)</f>
        <v>0</v>
      </c>
      <c r="I93">
        <f>IF(COUNTIFS('United Data'!$A$3:$A$2150,I$1,'United Data'!$C$3:$C$2150,$A93,'United Data'!$B$3:$B$2150,"&lt;&gt;P")&gt;0,1,0)</f>
        <v>0</v>
      </c>
      <c r="J93">
        <f>IF(COUNTIFS('United Data'!$A$3:$A$2150,J$1,'United Data'!$C$3:$C$2150,$A93,'United Data'!$B$3:$B$2150,"&lt;&gt;P")&gt;0,1,0)</f>
        <v>1</v>
      </c>
      <c r="K93">
        <f>IF(COUNTIFS('United Data'!$A$3:$A$2150,K$1,'United Data'!$C$3:$C$2150,$A93,'United Data'!$B$3:$B$2150,"&lt;&gt;P")&gt;0,1,0)</f>
        <v>0</v>
      </c>
      <c r="L93">
        <f>IF(COUNTIFS('United Data'!$A$3:$A$2150,L$1,'United Data'!$C$3:$C$2150,$A93,'United Data'!$B$3:$B$2150,"&lt;&gt;P")&gt;0,1,0)</f>
        <v>0</v>
      </c>
      <c r="M93">
        <f>IF(COUNTIFS('United Data'!$A$3:$A$2150,M$1,'United Data'!$C$3:$C$2150,$A93,'United Data'!$B$3:$B$2150,"&lt;&gt;P")&gt;0,1,0)</f>
        <v>0</v>
      </c>
      <c r="N93">
        <f>IF(COUNTIFS('United Data'!$A$3:$A$2150,N$1,'United Data'!$C$3:$C$2150,$A93,'United Data'!$B$3:$B$2150,"&lt;&gt;P")&gt;0,1,0)</f>
        <v>0</v>
      </c>
      <c r="O93">
        <f>IF(COUNTIFS('United Data'!$A$3:$A$2150,O$1,'United Data'!$C$3:$C$2150,$A93,'United Data'!$B$3:$B$2150,"&lt;&gt;P")&gt;0,1,0)</f>
        <v>0</v>
      </c>
      <c r="P93">
        <f>IF(COUNTIFS('United Data'!$A$3:$A$2150,P$1,'United Data'!$C$3:$C$2150,$A93,'United Data'!$B$3:$B$2150,"&lt;&gt;P")&gt;0,1,0)</f>
        <v>0</v>
      </c>
      <c r="Q93">
        <f>IF(COUNTIFS('United Data'!$A$3:$A$2150,Q$1,'United Data'!$C$3:$C$2150,$A93,'United Data'!$B$3:$B$2150,"&lt;&gt;P")&gt;0,1,0)</f>
        <v>0</v>
      </c>
      <c r="R93">
        <f>IF(COUNTIFS('United Data'!$A$3:$A$2150,R$1,'United Data'!$C$3:$C$2150,$A93,'United Data'!$B$3:$B$2150,"&lt;&gt;P")&gt;0,1,0)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139</v>
      </c>
      <c r="B94">
        <f>IF(COUNTIFS('United Data'!$A$3:$A$2150,B$1,'United Data'!$C$3:$C$2150,$A94,'United Data'!$B$3:$B$2150,"&lt;&gt;P")&gt;0,1,0)</f>
        <v>0</v>
      </c>
      <c r="C94">
        <f>IF(COUNTIFS('United Data'!$A$3:$A$2150,C$1,'United Data'!$C$3:$C$2150,$A94,'United Data'!$B$3:$B$2150,"&lt;&gt;P")&gt;0,1,0)</f>
        <v>0</v>
      </c>
      <c r="D94">
        <f>IF(COUNTIFS('United Data'!$A$3:$A$2150,D$1,'United Data'!$C$3:$C$2150,$A94,'United Data'!$B$3:$B$2150,"&lt;&gt;P")&gt;0,1,0)</f>
        <v>0</v>
      </c>
      <c r="E94">
        <f>IF(COUNTIFS('United Data'!$A$3:$A$2150,E$1,'United Data'!$C$3:$C$2150,$A94,'United Data'!$B$3:$B$2150,"&lt;&gt;P")&gt;0,1,0)</f>
        <v>0</v>
      </c>
      <c r="F94">
        <f>IF(COUNTIFS('United Data'!$A$3:$A$2150,F$1,'United Data'!$C$3:$C$2150,$A94,'United Data'!$B$3:$B$2150,"&lt;&gt;P")&gt;0,1,0)</f>
        <v>0</v>
      </c>
      <c r="G94">
        <f>IF(COUNTIFS('United Data'!$A$3:$A$2150,G$1,'United Data'!$C$3:$C$2150,$A94,'United Data'!$B$3:$B$2150,"&lt;&gt;P")&gt;0,1,0)</f>
        <v>0</v>
      </c>
      <c r="H94">
        <f>IF(COUNTIFS('United Data'!$A$3:$A$2150,H$1,'United Data'!$C$3:$C$2150,$A94,'United Data'!$B$3:$B$2150,"&lt;&gt;P")&gt;0,1,0)</f>
        <v>0</v>
      </c>
      <c r="I94">
        <f>IF(COUNTIFS('United Data'!$A$3:$A$2150,I$1,'United Data'!$C$3:$C$2150,$A94,'United Data'!$B$3:$B$2150,"&lt;&gt;P")&gt;0,1,0)</f>
        <v>0</v>
      </c>
      <c r="J94">
        <f>IF(COUNTIFS('United Data'!$A$3:$A$2150,J$1,'United Data'!$C$3:$C$2150,$A94,'United Data'!$B$3:$B$2150,"&lt;&gt;P")&gt;0,1,0)</f>
        <v>1</v>
      </c>
      <c r="K94">
        <f>IF(COUNTIFS('United Data'!$A$3:$A$2150,K$1,'United Data'!$C$3:$C$2150,$A94,'United Data'!$B$3:$B$2150,"&lt;&gt;P")&gt;0,1,0)</f>
        <v>0</v>
      </c>
      <c r="L94">
        <f>IF(COUNTIFS('United Data'!$A$3:$A$2150,L$1,'United Data'!$C$3:$C$2150,$A94,'United Data'!$B$3:$B$2150,"&lt;&gt;P")&gt;0,1,0)</f>
        <v>0</v>
      </c>
      <c r="M94">
        <f>IF(COUNTIFS('United Data'!$A$3:$A$2150,M$1,'United Data'!$C$3:$C$2150,$A94,'United Data'!$B$3:$B$2150,"&lt;&gt;P")&gt;0,1,0)</f>
        <v>0</v>
      </c>
      <c r="N94">
        <f>IF(COUNTIFS('United Data'!$A$3:$A$2150,N$1,'United Data'!$C$3:$C$2150,$A94,'United Data'!$B$3:$B$2150,"&lt;&gt;P")&gt;0,1,0)</f>
        <v>0</v>
      </c>
      <c r="O94">
        <f>IF(COUNTIFS('United Data'!$A$3:$A$2150,O$1,'United Data'!$C$3:$C$2150,$A94,'United Data'!$B$3:$B$2150,"&lt;&gt;P")&gt;0,1,0)</f>
        <v>0</v>
      </c>
      <c r="P94">
        <f>IF(COUNTIFS('United Data'!$A$3:$A$2150,P$1,'United Data'!$C$3:$C$2150,$A94,'United Data'!$B$3:$B$2150,"&lt;&gt;P")&gt;0,1,0)</f>
        <v>0</v>
      </c>
      <c r="Q94">
        <f>IF(COUNTIFS('United Data'!$A$3:$A$2150,Q$1,'United Data'!$C$3:$C$2150,$A94,'United Data'!$B$3:$B$2150,"&lt;&gt;P")&gt;0,1,0)</f>
        <v>0</v>
      </c>
      <c r="R94">
        <f>IF(COUNTIFS('United Data'!$A$3:$A$2150,R$1,'United Data'!$C$3:$C$2150,$A94,'United Data'!$B$3:$B$2150,"&lt;&gt;P")&gt;0,1,0)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140</v>
      </c>
      <c r="B95">
        <f>IF(COUNTIFS('United Data'!$A$3:$A$2150,B$1,'United Data'!$C$3:$C$2150,$A95,'United Data'!$B$3:$B$2150,"&lt;&gt;P")&gt;0,1,0)</f>
        <v>0</v>
      </c>
      <c r="C95">
        <f>IF(COUNTIFS('United Data'!$A$3:$A$2150,C$1,'United Data'!$C$3:$C$2150,$A95,'United Data'!$B$3:$B$2150,"&lt;&gt;P")&gt;0,1,0)</f>
        <v>0</v>
      </c>
      <c r="D95">
        <f>IF(COUNTIFS('United Data'!$A$3:$A$2150,D$1,'United Data'!$C$3:$C$2150,$A95,'United Data'!$B$3:$B$2150,"&lt;&gt;P")&gt;0,1,0)</f>
        <v>0</v>
      </c>
      <c r="E95">
        <f>IF(COUNTIFS('United Data'!$A$3:$A$2150,E$1,'United Data'!$C$3:$C$2150,$A95,'United Data'!$B$3:$B$2150,"&lt;&gt;P")&gt;0,1,0)</f>
        <v>0</v>
      </c>
      <c r="F95">
        <f>IF(COUNTIFS('United Data'!$A$3:$A$2150,F$1,'United Data'!$C$3:$C$2150,$A95,'United Data'!$B$3:$B$2150,"&lt;&gt;P")&gt;0,1,0)</f>
        <v>0</v>
      </c>
      <c r="G95">
        <f>IF(COUNTIFS('United Data'!$A$3:$A$2150,G$1,'United Data'!$C$3:$C$2150,$A95,'United Data'!$B$3:$B$2150,"&lt;&gt;P")&gt;0,1,0)</f>
        <v>0</v>
      </c>
      <c r="H95">
        <f>IF(COUNTIFS('United Data'!$A$3:$A$2150,H$1,'United Data'!$C$3:$C$2150,$A95,'United Data'!$B$3:$B$2150,"&lt;&gt;P")&gt;0,1,0)</f>
        <v>0</v>
      </c>
      <c r="I95">
        <f>IF(COUNTIFS('United Data'!$A$3:$A$2150,I$1,'United Data'!$C$3:$C$2150,$A95,'United Data'!$B$3:$B$2150,"&lt;&gt;P")&gt;0,1,0)</f>
        <v>0</v>
      </c>
      <c r="J95">
        <f>IF(COUNTIFS('United Data'!$A$3:$A$2150,J$1,'United Data'!$C$3:$C$2150,$A95,'United Data'!$B$3:$B$2150,"&lt;&gt;P")&gt;0,1,0)</f>
        <v>1</v>
      </c>
      <c r="K95">
        <f>IF(COUNTIFS('United Data'!$A$3:$A$2150,K$1,'United Data'!$C$3:$C$2150,$A95,'United Data'!$B$3:$B$2150,"&lt;&gt;P")&gt;0,1,0)</f>
        <v>0</v>
      </c>
      <c r="L95">
        <f>IF(COUNTIFS('United Data'!$A$3:$A$2150,L$1,'United Data'!$C$3:$C$2150,$A95,'United Data'!$B$3:$B$2150,"&lt;&gt;P")&gt;0,1,0)</f>
        <v>0</v>
      </c>
      <c r="M95">
        <f>IF(COUNTIFS('United Data'!$A$3:$A$2150,M$1,'United Data'!$C$3:$C$2150,$A95,'United Data'!$B$3:$B$2150,"&lt;&gt;P")&gt;0,1,0)</f>
        <v>0</v>
      </c>
      <c r="N95">
        <f>IF(COUNTIFS('United Data'!$A$3:$A$2150,N$1,'United Data'!$C$3:$C$2150,$A95,'United Data'!$B$3:$B$2150,"&lt;&gt;P")&gt;0,1,0)</f>
        <v>0</v>
      </c>
      <c r="O95">
        <f>IF(COUNTIFS('United Data'!$A$3:$A$2150,O$1,'United Data'!$C$3:$C$2150,$A95,'United Data'!$B$3:$B$2150,"&lt;&gt;P")&gt;0,1,0)</f>
        <v>0</v>
      </c>
      <c r="P95">
        <f>IF(COUNTIFS('United Data'!$A$3:$A$2150,P$1,'United Data'!$C$3:$C$2150,$A95,'United Data'!$B$3:$B$2150,"&lt;&gt;P")&gt;0,1,0)</f>
        <v>0</v>
      </c>
      <c r="Q95">
        <f>IF(COUNTIFS('United Data'!$A$3:$A$2150,Q$1,'United Data'!$C$3:$C$2150,$A95,'United Data'!$B$3:$B$2150,"&lt;&gt;P")&gt;0,1,0)</f>
        <v>0</v>
      </c>
      <c r="R95">
        <f>IF(COUNTIFS('United Data'!$A$3:$A$2150,R$1,'United Data'!$C$3:$C$2150,$A95,'United Data'!$B$3:$B$2150,"&lt;&gt;P")&gt;0,1,0)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141</v>
      </c>
      <c r="B96">
        <f>IF(COUNTIFS('United Data'!$A$3:$A$2150,B$1,'United Data'!$C$3:$C$2150,$A96,'United Data'!$B$3:$B$2150,"&lt;&gt;P")&gt;0,1,0)</f>
        <v>0</v>
      </c>
      <c r="C96">
        <f>IF(COUNTIFS('United Data'!$A$3:$A$2150,C$1,'United Data'!$C$3:$C$2150,$A96,'United Data'!$B$3:$B$2150,"&lt;&gt;P")&gt;0,1,0)</f>
        <v>0</v>
      </c>
      <c r="D96">
        <f>IF(COUNTIFS('United Data'!$A$3:$A$2150,D$1,'United Data'!$C$3:$C$2150,$A96,'United Data'!$B$3:$B$2150,"&lt;&gt;P")&gt;0,1,0)</f>
        <v>0</v>
      </c>
      <c r="E96">
        <f>IF(COUNTIFS('United Data'!$A$3:$A$2150,E$1,'United Data'!$C$3:$C$2150,$A96,'United Data'!$B$3:$B$2150,"&lt;&gt;P")&gt;0,1,0)</f>
        <v>0</v>
      </c>
      <c r="F96">
        <f>IF(COUNTIFS('United Data'!$A$3:$A$2150,F$1,'United Data'!$C$3:$C$2150,$A96,'United Data'!$B$3:$B$2150,"&lt;&gt;P")&gt;0,1,0)</f>
        <v>0</v>
      </c>
      <c r="G96">
        <f>IF(COUNTIFS('United Data'!$A$3:$A$2150,G$1,'United Data'!$C$3:$C$2150,$A96,'United Data'!$B$3:$B$2150,"&lt;&gt;P")&gt;0,1,0)</f>
        <v>0</v>
      </c>
      <c r="H96">
        <f>IF(COUNTIFS('United Data'!$A$3:$A$2150,H$1,'United Data'!$C$3:$C$2150,$A96,'United Data'!$B$3:$B$2150,"&lt;&gt;P")&gt;0,1,0)</f>
        <v>0</v>
      </c>
      <c r="I96">
        <f>IF(COUNTIFS('United Data'!$A$3:$A$2150,I$1,'United Data'!$C$3:$C$2150,$A96,'United Data'!$B$3:$B$2150,"&lt;&gt;P")&gt;0,1,0)</f>
        <v>0</v>
      </c>
      <c r="J96">
        <f>IF(COUNTIFS('United Data'!$A$3:$A$2150,J$1,'United Data'!$C$3:$C$2150,$A96,'United Data'!$B$3:$B$2150,"&lt;&gt;P")&gt;0,1,0)</f>
        <v>1</v>
      </c>
      <c r="K96">
        <f>IF(COUNTIFS('United Data'!$A$3:$A$2150,K$1,'United Data'!$C$3:$C$2150,$A96,'United Data'!$B$3:$B$2150,"&lt;&gt;P")&gt;0,1,0)</f>
        <v>0</v>
      </c>
      <c r="L96">
        <f>IF(COUNTIFS('United Data'!$A$3:$A$2150,L$1,'United Data'!$C$3:$C$2150,$A96,'United Data'!$B$3:$B$2150,"&lt;&gt;P")&gt;0,1,0)</f>
        <v>0</v>
      </c>
      <c r="M96">
        <f>IF(COUNTIFS('United Data'!$A$3:$A$2150,M$1,'United Data'!$C$3:$C$2150,$A96,'United Data'!$B$3:$B$2150,"&lt;&gt;P")&gt;0,1,0)</f>
        <v>0</v>
      </c>
      <c r="N96">
        <f>IF(COUNTIFS('United Data'!$A$3:$A$2150,N$1,'United Data'!$C$3:$C$2150,$A96,'United Data'!$B$3:$B$2150,"&lt;&gt;P")&gt;0,1,0)</f>
        <v>0</v>
      </c>
      <c r="O96">
        <f>IF(COUNTIFS('United Data'!$A$3:$A$2150,O$1,'United Data'!$C$3:$C$2150,$A96,'United Data'!$B$3:$B$2150,"&lt;&gt;P")&gt;0,1,0)</f>
        <v>0</v>
      </c>
      <c r="P96">
        <f>IF(COUNTIFS('United Data'!$A$3:$A$2150,P$1,'United Data'!$C$3:$C$2150,$A96,'United Data'!$B$3:$B$2150,"&lt;&gt;P")&gt;0,1,0)</f>
        <v>0</v>
      </c>
      <c r="Q96">
        <f>IF(COUNTIFS('United Data'!$A$3:$A$2150,Q$1,'United Data'!$C$3:$C$2150,$A96,'United Data'!$B$3:$B$2150,"&lt;&gt;P")&gt;0,1,0)</f>
        <v>0</v>
      </c>
      <c r="R96">
        <f>IF(COUNTIFS('United Data'!$A$3:$A$2150,R$1,'United Data'!$C$3:$C$2150,$A96,'United Data'!$B$3:$B$2150,"&lt;&gt;P")&gt;0,1,0)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142</v>
      </c>
      <c r="B97">
        <f>IF(COUNTIFS('United Data'!$A$3:$A$2150,B$1,'United Data'!$C$3:$C$2150,$A97,'United Data'!$B$3:$B$2150,"&lt;&gt;P")&gt;0,1,0)</f>
        <v>0</v>
      </c>
      <c r="C97">
        <f>IF(COUNTIFS('United Data'!$A$3:$A$2150,C$1,'United Data'!$C$3:$C$2150,$A97,'United Data'!$B$3:$B$2150,"&lt;&gt;P")&gt;0,1,0)</f>
        <v>0</v>
      </c>
      <c r="D97">
        <f>IF(COUNTIFS('United Data'!$A$3:$A$2150,D$1,'United Data'!$C$3:$C$2150,$A97,'United Data'!$B$3:$B$2150,"&lt;&gt;P")&gt;0,1,0)</f>
        <v>0</v>
      </c>
      <c r="E97">
        <f>IF(COUNTIFS('United Data'!$A$3:$A$2150,E$1,'United Data'!$C$3:$C$2150,$A97,'United Data'!$B$3:$B$2150,"&lt;&gt;P")&gt;0,1,0)</f>
        <v>0</v>
      </c>
      <c r="F97">
        <f>IF(COUNTIFS('United Data'!$A$3:$A$2150,F$1,'United Data'!$C$3:$C$2150,$A97,'United Data'!$B$3:$B$2150,"&lt;&gt;P")&gt;0,1,0)</f>
        <v>0</v>
      </c>
      <c r="G97">
        <f>IF(COUNTIFS('United Data'!$A$3:$A$2150,G$1,'United Data'!$C$3:$C$2150,$A97,'United Data'!$B$3:$B$2150,"&lt;&gt;P")&gt;0,1,0)</f>
        <v>0</v>
      </c>
      <c r="H97">
        <f>IF(COUNTIFS('United Data'!$A$3:$A$2150,H$1,'United Data'!$C$3:$C$2150,$A97,'United Data'!$B$3:$B$2150,"&lt;&gt;P")&gt;0,1,0)</f>
        <v>0</v>
      </c>
      <c r="I97">
        <f>IF(COUNTIFS('United Data'!$A$3:$A$2150,I$1,'United Data'!$C$3:$C$2150,$A97,'United Data'!$B$3:$B$2150,"&lt;&gt;P")&gt;0,1,0)</f>
        <v>0</v>
      </c>
      <c r="J97">
        <f>IF(COUNTIFS('United Data'!$A$3:$A$2150,J$1,'United Data'!$C$3:$C$2150,$A97,'United Data'!$B$3:$B$2150,"&lt;&gt;P")&gt;0,1,0)</f>
        <v>1</v>
      </c>
      <c r="K97">
        <f>IF(COUNTIFS('United Data'!$A$3:$A$2150,K$1,'United Data'!$C$3:$C$2150,$A97,'United Data'!$B$3:$B$2150,"&lt;&gt;P")&gt;0,1,0)</f>
        <v>1</v>
      </c>
      <c r="L97">
        <f>IF(COUNTIFS('United Data'!$A$3:$A$2150,L$1,'United Data'!$C$3:$C$2150,$A97,'United Data'!$B$3:$B$2150,"&lt;&gt;P")&gt;0,1,0)</f>
        <v>1</v>
      </c>
      <c r="M97">
        <f>IF(COUNTIFS('United Data'!$A$3:$A$2150,M$1,'United Data'!$C$3:$C$2150,$A97,'United Data'!$B$3:$B$2150,"&lt;&gt;P")&gt;0,1,0)</f>
        <v>1</v>
      </c>
      <c r="N97">
        <f>IF(COUNTIFS('United Data'!$A$3:$A$2150,N$1,'United Data'!$C$3:$C$2150,$A97,'United Data'!$B$3:$B$2150,"&lt;&gt;P")&gt;0,1,0)</f>
        <v>1</v>
      </c>
      <c r="O97">
        <f>IF(COUNTIFS('United Data'!$A$3:$A$2150,O$1,'United Data'!$C$3:$C$2150,$A97,'United Data'!$B$3:$B$2150,"&lt;&gt;P")&gt;0,1,0)</f>
        <v>1</v>
      </c>
      <c r="P97">
        <f>IF(COUNTIFS('United Data'!$A$3:$A$2150,P$1,'United Data'!$C$3:$C$2150,$A97,'United Data'!$B$3:$B$2150,"&lt;&gt;P")&gt;0,1,0)</f>
        <v>1</v>
      </c>
      <c r="Q97">
        <f>IF(COUNTIFS('United Data'!$A$3:$A$2150,Q$1,'United Data'!$C$3:$C$2150,$A97,'United Data'!$B$3:$B$2150,"&lt;&gt;P")&gt;0,1,0)</f>
        <v>0</v>
      </c>
      <c r="R97">
        <f>IF(COUNTIFS('United Data'!$A$3:$A$2150,R$1,'United Data'!$C$3:$C$2150,$A97,'United Data'!$B$3:$B$2150,"&lt;&gt;P")&gt;0,1,0)</f>
        <v>0</v>
      </c>
      <c r="S97">
        <f t="shared" si="2"/>
        <v>7</v>
      </c>
      <c r="T97">
        <f t="shared" si="3"/>
        <v>1</v>
      </c>
    </row>
    <row r="98" spans="1:20" x14ac:dyDescent="0.2">
      <c r="A98" t="s">
        <v>143</v>
      </c>
      <c r="B98">
        <f>IF(COUNTIFS('United Data'!$A$3:$A$2150,B$1,'United Data'!$C$3:$C$2150,$A98,'United Data'!$B$3:$B$2150,"&lt;&gt;P")&gt;0,1,0)</f>
        <v>0</v>
      </c>
      <c r="C98">
        <f>IF(COUNTIFS('United Data'!$A$3:$A$2150,C$1,'United Data'!$C$3:$C$2150,$A98,'United Data'!$B$3:$B$2150,"&lt;&gt;P")&gt;0,1,0)</f>
        <v>0</v>
      </c>
      <c r="D98">
        <f>IF(COUNTIFS('United Data'!$A$3:$A$2150,D$1,'United Data'!$C$3:$C$2150,$A98,'United Data'!$B$3:$B$2150,"&lt;&gt;P")&gt;0,1,0)</f>
        <v>0</v>
      </c>
      <c r="E98">
        <f>IF(COUNTIFS('United Data'!$A$3:$A$2150,E$1,'United Data'!$C$3:$C$2150,$A98,'United Data'!$B$3:$B$2150,"&lt;&gt;P")&gt;0,1,0)</f>
        <v>0</v>
      </c>
      <c r="F98">
        <f>IF(COUNTIFS('United Data'!$A$3:$A$2150,F$1,'United Data'!$C$3:$C$2150,$A98,'United Data'!$B$3:$B$2150,"&lt;&gt;P")&gt;0,1,0)</f>
        <v>0</v>
      </c>
      <c r="G98">
        <f>IF(COUNTIFS('United Data'!$A$3:$A$2150,G$1,'United Data'!$C$3:$C$2150,$A98,'United Data'!$B$3:$B$2150,"&lt;&gt;P")&gt;0,1,0)</f>
        <v>0</v>
      </c>
      <c r="H98">
        <f>IF(COUNTIFS('United Data'!$A$3:$A$2150,H$1,'United Data'!$C$3:$C$2150,$A98,'United Data'!$B$3:$B$2150,"&lt;&gt;P")&gt;0,1,0)</f>
        <v>0</v>
      </c>
      <c r="I98">
        <f>IF(COUNTIFS('United Data'!$A$3:$A$2150,I$1,'United Data'!$C$3:$C$2150,$A98,'United Data'!$B$3:$B$2150,"&lt;&gt;P")&gt;0,1,0)</f>
        <v>0</v>
      </c>
      <c r="J98">
        <f>IF(COUNTIFS('United Data'!$A$3:$A$2150,J$1,'United Data'!$C$3:$C$2150,$A98,'United Data'!$B$3:$B$2150,"&lt;&gt;P")&gt;0,1,0)</f>
        <v>1</v>
      </c>
      <c r="K98">
        <f>IF(COUNTIFS('United Data'!$A$3:$A$2150,K$1,'United Data'!$C$3:$C$2150,$A98,'United Data'!$B$3:$B$2150,"&lt;&gt;P")&gt;0,1,0)</f>
        <v>0</v>
      </c>
      <c r="L98">
        <f>IF(COUNTIFS('United Data'!$A$3:$A$2150,L$1,'United Data'!$C$3:$C$2150,$A98,'United Data'!$B$3:$B$2150,"&lt;&gt;P")&gt;0,1,0)</f>
        <v>0</v>
      </c>
      <c r="M98">
        <f>IF(COUNTIFS('United Data'!$A$3:$A$2150,M$1,'United Data'!$C$3:$C$2150,$A98,'United Data'!$B$3:$B$2150,"&lt;&gt;P")&gt;0,1,0)</f>
        <v>0</v>
      </c>
      <c r="N98">
        <f>IF(COUNTIFS('United Data'!$A$3:$A$2150,N$1,'United Data'!$C$3:$C$2150,$A98,'United Data'!$B$3:$B$2150,"&lt;&gt;P")&gt;0,1,0)</f>
        <v>0</v>
      </c>
      <c r="O98">
        <f>IF(COUNTIFS('United Data'!$A$3:$A$2150,O$1,'United Data'!$C$3:$C$2150,$A98,'United Data'!$B$3:$B$2150,"&lt;&gt;P")&gt;0,1,0)</f>
        <v>0</v>
      </c>
      <c r="P98">
        <f>IF(COUNTIFS('United Data'!$A$3:$A$2150,P$1,'United Data'!$C$3:$C$2150,$A98,'United Data'!$B$3:$B$2150,"&lt;&gt;P")&gt;0,1,0)</f>
        <v>0</v>
      </c>
      <c r="Q98">
        <f>IF(COUNTIFS('United Data'!$A$3:$A$2150,Q$1,'United Data'!$C$3:$C$2150,$A98,'United Data'!$B$3:$B$2150,"&lt;&gt;P")&gt;0,1,0)</f>
        <v>0</v>
      </c>
      <c r="R98">
        <f>IF(COUNTIFS('United Data'!$A$3:$A$2150,R$1,'United Data'!$C$3:$C$2150,$A98,'United Data'!$B$3:$B$2150,"&lt;&gt;P")&gt;0,1,0)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144</v>
      </c>
      <c r="B99">
        <f>IF(COUNTIFS('United Data'!$A$3:$A$2150,B$1,'United Data'!$C$3:$C$2150,$A99,'United Data'!$B$3:$B$2150,"&lt;&gt;P")&gt;0,1,0)</f>
        <v>0</v>
      </c>
      <c r="C99">
        <f>IF(COUNTIFS('United Data'!$A$3:$A$2150,C$1,'United Data'!$C$3:$C$2150,$A99,'United Data'!$B$3:$B$2150,"&lt;&gt;P")&gt;0,1,0)</f>
        <v>0</v>
      </c>
      <c r="D99">
        <f>IF(COUNTIFS('United Data'!$A$3:$A$2150,D$1,'United Data'!$C$3:$C$2150,$A99,'United Data'!$B$3:$B$2150,"&lt;&gt;P")&gt;0,1,0)</f>
        <v>0</v>
      </c>
      <c r="E99">
        <f>IF(COUNTIFS('United Data'!$A$3:$A$2150,E$1,'United Data'!$C$3:$C$2150,$A99,'United Data'!$B$3:$B$2150,"&lt;&gt;P")&gt;0,1,0)</f>
        <v>0</v>
      </c>
      <c r="F99">
        <f>IF(COUNTIFS('United Data'!$A$3:$A$2150,F$1,'United Data'!$C$3:$C$2150,$A99,'United Data'!$B$3:$B$2150,"&lt;&gt;P")&gt;0,1,0)</f>
        <v>0</v>
      </c>
      <c r="G99">
        <f>IF(COUNTIFS('United Data'!$A$3:$A$2150,G$1,'United Data'!$C$3:$C$2150,$A99,'United Data'!$B$3:$B$2150,"&lt;&gt;P")&gt;0,1,0)</f>
        <v>0</v>
      </c>
      <c r="H99">
        <f>IF(COUNTIFS('United Data'!$A$3:$A$2150,H$1,'United Data'!$C$3:$C$2150,$A99,'United Data'!$B$3:$B$2150,"&lt;&gt;P")&gt;0,1,0)</f>
        <v>0</v>
      </c>
      <c r="I99">
        <f>IF(COUNTIFS('United Data'!$A$3:$A$2150,I$1,'United Data'!$C$3:$C$2150,$A99,'United Data'!$B$3:$B$2150,"&lt;&gt;P")&gt;0,1,0)</f>
        <v>0</v>
      </c>
      <c r="J99">
        <f>IF(COUNTIFS('United Data'!$A$3:$A$2150,J$1,'United Data'!$C$3:$C$2150,$A99,'United Data'!$B$3:$B$2150,"&lt;&gt;P")&gt;0,1,0)</f>
        <v>1</v>
      </c>
      <c r="K99">
        <f>IF(COUNTIFS('United Data'!$A$3:$A$2150,K$1,'United Data'!$C$3:$C$2150,$A99,'United Data'!$B$3:$B$2150,"&lt;&gt;P")&gt;0,1,0)</f>
        <v>0</v>
      </c>
      <c r="L99">
        <f>IF(COUNTIFS('United Data'!$A$3:$A$2150,L$1,'United Data'!$C$3:$C$2150,$A99,'United Data'!$B$3:$B$2150,"&lt;&gt;P")&gt;0,1,0)</f>
        <v>0</v>
      </c>
      <c r="M99">
        <f>IF(COUNTIFS('United Data'!$A$3:$A$2150,M$1,'United Data'!$C$3:$C$2150,$A99,'United Data'!$B$3:$B$2150,"&lt;&gt;P")&gt;0,1,0)</f>
        <v>0</v>
      </c>
      <c r="N99">
        <f>IF(COUNTIFS('United Data'!$A$3:$A$2150,N$1,'United Data'!$C$3:$C$2150,$A99,'United Data'!$B$3:$B$2150,"&lt;&gt;P")&gt;0,1,0)</f>
        <v>0</v>
      </c>
      <c r="O99">
        <f>IF(COUNTIFS('United Data'!$A$3:$A$2150,O$1,'United Data'!$C$3:$C$2150,$A99,'United Data'!$B$3:$B$2150,"&lt;&gt;P")&gt;0,1,0)</f>
        <v>0</v>
      </c>
      <c r="P99">
        <f>IF(COUNTIFS('United Data'!$A$3:$A$2150,P$1,'United Data'!$C$3:$C$2150,$A99,'United Data'!$B$3:$B$2150,"&lt;&gt;P")&gt;0,1,0)</f>
        <v>0</v>
      </c>
      <c r="Q99">
        <f>IF(COUNTIFS('United Data'!$A$3:$A$2150,Q$1,'United Data'!$C$3:$C$2150,$A99,'United Data'!$B$3:$B$2150,"&lt;&gt;P")&gt;0,1,0)</f>
        <v>0</v>
      </c>
      <c r="R99">
        <f>IF(COUNTIFS('United Data'!$A$3:$A$2150,R$1,'United Data'!$C$3:$C$2150,$A99,'United Data'!$B$3:$B$2150,"&lt;&gt;P")&gt;0,1,0)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145</v>
      </c>
      <c r="B100">
        <f>IF(COUNTIFS('United Data'!$A$3:$A$2150,B$1,'United Data'!$C$3:$C$2150,$A100,'United Data'!$B$3:$B$2150,"&lt;&gt;P")&gt;0,1,0)</f>
        <v>0</v>
      </c>
      <c r="C100">
        <f>IF(COUNTIFS('United Data'!$A$3:$A$2150,C$1,'United Data'!$C$3:$C$2150,$A100,'United Data'!$B$3:$B$2150,"&lt;&gt;P")&gt;0,1,0)</f>
        <v>0</v>
      </c>
      <c r="D100">
        <f>IF(COUNTIFS('United Data'!$A$3:$A$2150,D$1,'United Data'!$C$3:$C$2150,$A100,'United Data'!$B$3:$B$2150,"&lt;&gt;P")&gt;0,1,0)</f>
        <v>0</v>
      </c>
      <c r="E100">
        <f>IF(COUNTIFS('United Data'!$A$3:$A$2150,E$1,'United Data'!$C$3:$C$2150,$A100,'United Data'!$B$3:$B$2150,"&lt;&gt;P")&gt;0,1,0)</f>
        <v>0</v>
      </c>
      <c r="F100">
        <f>IF(COUNTIFS('United Data'!$A$3:$A$2150,F$1,'United Data'!$C$3:$C$2150,$A100,'United Data'!$B$3:$B$2150,"&lt;&gt;P")&gt;0,1,0)</f>
        <v>0</v>
      </c>
      <c r="G100">
        <f>IF(COUNTIFS('United Data'!$A$3:$A$2150,G$1,'United Data'!$C$3:$C$2150,$A100,'United Data'!$B$3:$B$2150,"&lt;&gt;P")&gt;0,1,0)</f>
        <v>0</v>
      </c>
      <c r="H100">
        <f>IF(COUNTIFS('United Data'!$A$3:$A$2150,H$1,'United Data'!$C$3:$C$2150,$A100,'United Data'!$B$3:$B$2150,"&lt;&gt;P")&gt;0,1,0)</f>
        <v>0</v>
      </c>
      <c r="I100">
        <f>IF(COUNTIFS('United Data'!$A$3:$A$2150,I$1,'United Data'!$C$3:$C$2150,$A100,'United Data'!$B$3:$B$2150,"&lt;&gt;P")&gt;0,1,0)</f>
        <v>0</v>
      </c>
      <c r="J100">
        <f>IF(COUNTIFS('United Data'!$A$3:$A$2150,J$1,'United Data'!$C$3:$C$2150,$A100,'United Data'!$B$3:$B$2150,"&lt;&gt;P")&gt;0,1,0)</f>
        <v>1</v>
      </c>
      <c r="K100">
        <f>IF(COUNTIFS('United Data'!$A$3:$A$2150,K$1,'United Data'!$C$3:$C$2150,$A100,'United Data'!$B$3:$B$2150,"&lt;&gt;P")&gt;0,1,0)</f>
        <v>0</v>
      </c>
      <c r="L100">
        <f>IF(COUNTIFS('United Data'!$A$3:$A$2150,L$1,'United Data'!$C$3:$C$2150,$A100,'United Data'!$B$3:$B$2150,"&lt;&gt;P")&gt;0,1,0)</f>
        <v>0</v>
      </c>
      <c r="M100">
        <f>IF(COUNTIFS('United Data'!$A$3:$A$2150,M$1,'United Data'!$C$3:$C$2150,$A100,'United Data'!$B$3:$B$2150,"&lt;&gt;P")&gt;0,1,0)</f>
        <v>0</v>
      </c>
      <c r="N100">
        <f>IF(COUNTIFS('United Data'!$A$3:$A$2150,N$1,'United Data'!$C$3:$C$2150,$A100,'United Data'!$B$3:$B$2150,"&lt;&gt;P")&gt;0,1,0)</f>
        <v>0</v>
      </c>
      <c r="O100">
        <f>IF(COUNTIFS('United Data'!$A$3:$A$2150,O$1,'United Data'!$C$3:$C$2150,$A100,'United Data'!$B$3:$B$2150,"&lt;&gt;P")&gt;0,1,0)</f>
        <v>0</v>
      </c>
      <c r="P100">
        <f>IF(COUNTIFS('United Data'!$A$3:$A$2150,P$1,'United Data'!$C$3:$C$2150,$A100,'United Data'!$B$3:$B$2150,"&lt;&gt;P")&gt;0,1,0)</f>
        <v>0</v>
      </c>
      <c r="Q100">
        <f>IF(COUNTIFS('United Data'!$A$3:$A$2150,Q$1,'United Data'!$C$3:$C$2150,$A100,'United Data'!$B$3:$B$2150,"&lt;&gt;P")&gt;0,1,0)</f>
        <v>0</v>
      </c>
      <c r="R100">
        <f>IF(COUNTIFS('United Data'!$A$3:$A$2150,R$1,'United Data'!$C$3:$C$2150,$A100,'United Data'!$B$3:$B$2150,"&lt;&gt;P")&gt;0,1,0)</f>
        <v>0</v>
      </c>
      <c r="S100">
        <f t="shared" si="2"/>
        <v>1</v>
      </c>
      <c r="T100">
        <f t="shared" si="3"/>
        <v>1</v>
      </c>
    </row>
    <row r="101" spans="1:20" x14ac:dyDescent="0.2">
      <c r="A101" t="s">
        <v>146</v>
      </c>
      <c r="B101">
        <f>IF(COUNTIFS('United Data'!$A$3:$A$2150,B$1,'United Data'!$C$3:$C$2150,$A101,'United Data'!$B$3:$B$2150,"&lt;&gt;P")&gt;0,1,0)</f>
        <v>0</v>
      </c>
      <c r="C101">
        <f>IF(COUNTIFS('United Data'!$A$3:$A$2150,C$1,'United Data'!$C$3:$C$2150,$A101,'United Data'!$B$3:$B$2150,"&lt;&gt;P")&gt;0,1,0)</f>
        <v>0</v>
      </c>
      <c r="D101">
        <f>IF(COUNTIFS('United Data'!$A$3:$A$2150,D$1,'United Data'!$C$3:$C$2150,$A101,'United Data'!$B$3:$B$2150,"&lt;&gt;P")&gt;0,1,0)</f>
        <v>0</v>
      </c>
      <c r="E101">
        <f>IF(COUNTIFS('United Data'!$A$3:$A$2150,E$1,'United Data'!$C$3:$C$2150,$A101,'United Data'!$B$3:$B$2150,"&lt;&gt;P")&gt;0,1,0)</f>
        <v>0</v>
      </c>
      <c r="F101">
        <f>IF(COUNTIFS('United Data'!$A$3:$A$2150,F$1,'United Data'!$C$3:$C$2150,$A101,'United Data'!$B$3:$B$2150,"&lt;&gt;P")&gt;0,1,0)</f>
        <v>0</v>
      </c>
      <c r="G101">
        <f>IF(COUNTIFS('United Data'!$A$3:$A$2150,G$1,'United Data'!$C$3:$C$2150,$A101,'United Data'!$B$3:$B$2150,"&lt;&gt;P")&gt;0,1,0)</f>
        <v>0</v>
      </c>
      <c r="H101">
        <f>IF(COUNTIFS('United Data'!$A$3:$A$2150,H$1,'United Data'!$C$3:$C$2150,$A101,'United Data'!$B$3:$B$2150,"&lt;&gt;P")&gt;0,1,0)</f>
        <v>0</v>
      </c>
      <c r="I101">
        <f>IF(COUNTIFS('United Data'!$A$3:$A$2150,I$1,'United Data'!$C$3:$C$2150,$A101,'United Data'!$B$3:$B$2150,"&lt;&gt;P")&gt;0,1,0)</f>
        <v>0</v>
      </c>
      <c r="J101">
        <f>IF(COUNTIFS('United Data'!$A$3:$A$2150,J$1,'United Data'!$C$3:$C$2150,$A101,'United Data'!$B$3:$B$2150,"&lt;&gt;P")&gt;0,1,0)</f>
        <v>1</v>
      </c>
      <c r="K101">
        <f>IF(COUNTIFS('United Data'!$A$3:$A$2150,K$1,'United Data'!$C$3:$C$2150,$A101,'United Data'!$B$3:$B$2150,"&lt;&gt;P")&gt;0,1,0)</f>
        <v>0</v>
      </c>
      <c r="L101">
        <f>IF(COUNTIFS('United Data'!$A$3:$A$2150,L$1,'United Data'!$C$3:$C$2150,$A101,'United Data'!$B$3:$B$2150,"&lt;&gt;P")&gt;0,1,0)</f>
        <v>0</v>
      </c>
      <c r="M101">
        <f>IF(COUNTIFS('United Data'!$A$3:$A$2150,M$1,'United Data'!$C$3:$C$2150,$A101,'United Data'!$B$3:$B$2150,"&lt;&gt;P")&gt;0,1,0)</f>
        <v>0</v>
      </c>
      <c r="N101">
        <f>IF(COUNTIFS('United Data'!$A$3:$A$2150,N$1,'United Data'!$C$3:$C$2150,$A101,'United Data'!$B$3:$B$2150,"&lt;&gt;P")&gt;0,1,0)</f>
        <v>0</v>
      </c>
      <c r="O101">
        <f>IF(COUNTIFS('United Data'!$A$3:$A$2150,O$1,'United Data'!$C$3:$C$2150,$A101,'United Data'!$B$3:$B$2150,"&lt;&gt;P")&gt;0,1,0)</f>
        <v>0</v>
      </c>
      <c r="P101">
        <f>IF(COUNTIFS('United Data'!$A$3:$A$2150,P$1,'United Data'!$C$3:$C$2150,$A101,'United Data'!$B$3:$B$2150,"&lt;&gt;P")&gt;0,1,0)</f>
        <v>0</v>
      </c>
      <c r="Q101">
        <f>IF(COUNTIFS('United Data'!$A$3:$A$2150,Q$1,'United Data'!$C$3:$C$2150,$A101,'United Data'!$B$3:$B$2150,"&lt;&gt;P")&gt;0,1,0)</f>
        <v>0</v>
      </c>
      <c r="R101">
        <f>IF(COUNTIFS('United Data'!$A$3:$A$2150,R$1,'United Data'!$C$3:$C$2150,$A101,'United Data'!$B$3:$B$2150,"&lt;&gt;P")&gt;0,1,0)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147</v>
      </c>
      <c r="B102">
        <f>IF(COUNTIFS('United Data'!$A$3:$A$2150,B$1,'United Data'!$C$3:$C$2150,$A102,'United Data'!$B$3:$B$2150,"&lt;&gt;P")&gt;0,1,0)</f>
        <v>0</v>
      </c>
      <c r="C102">
        <f>IF(COUNTIFS('United Data'!$A$3:$A$2150,C$1,'United Data'!$C$3:$C$2150,$A102,'United Data'!$B$3:$B$2150,"&lt;&gt;P")&gt;0,1,0)</f>
        <v>0</v>
      </c>
      <c r="D102">
        <f>IF(COUNTIFS('United Data'!$A$3:$A$2150,D$1,'United Data'!$C$3:$C$2150,$A102,'United Data'!$B$3:$B$2150,"&lt;&gt;P")&gt;0,1,0)</f>
        <v>0</v>
      </c>
      <c r="E102">
        <f>IF(COUNTIFS('United Data'!$A$3:$A$2150,E$1,'United Data'!$C$3:$C$2150,$A102,'United Data'!$B$3:$B$2150,"&lt;&gt;P")&gt;0,1,0)</f>
        <v>0</v>
      </c>
      <c r="F102">
        <f>IF(COUNTIFS('United Data'!$A$3:$A$2150,F$1,'United Data'!$C$3:$C$2150,$A102,'United Data'!$B$3:$B$2150,"&lt;&gt;P")&gt;0,1,0)</f>
        <v>0</v>
      </c>
      <c r="G102">
        <f>IF(COUNTIFS('United Data'!$A$3:$A$2150,G$1,'United Data'!$C$3:$C$2150,$A102,'United Data'!$B$3:$B$2150,"&lt;&gt;P")&gt;0,1,0)</f>
        <v>0</v>
      </c>
      <c r="H102">
        <f>IF(COUNTIFS('United Data'!$A$3:$A$2150,H$1,'United Data'!$C$3:$C$2150,$A102,'United Data'!$B$3:$B$2150,"&lt;&gt;P")&gt;0,1,0)</f>
        <v>0</v>
      </c>
      <c r="I102">
        <f>IF(COUNTIFS('United Data'!$A$3:$A$2150,I$1,'United Data'!$C$3:$C$2150,$A102,'United Data'!$B$3:$B$2150,"&lt;&gt;P")&gt;0,1,0)</f>
        <v>0</v>
      </c>
      <c r="J102">
        <f>IF(COUNTIFS('United Data'!$A$3:$A$2150,J$1,'United Data'!$C$3:$C$2150,$A102,'United Data'!$B$3:$B$2150,"&lt;&gt;P")&gt;0,1,0)</f>
        <v>0</v>
      </c>
      <c r="K102">
        <f>IF(COUNTIFS('United Data'!$A$3:$A$2150,K$1,'United Data'!$C$3:$C$2150,$A102,'United Data'!$B$3:$B$2150,"&lt;&gt;P")&gt;0,1,0)</f>
        <v>1</v>
      </c>
      <c r="L102">
        <f>IF(COUNTIFS('United Data'!$A$3:$A$2150,L$1,'United Data'!$C$3:$C$2150,$A102,'United Data'!$B$3:$B$2150,"&lt;&gt;P")&gt;0,1,0)</f>
        <v>0</v>
      </c>
      <c r="M102">
        <f>IF(COUNTIFS('United Data'!$A$3:$A$2150,M$1,'United Data'!$C$3:$C$2150,$A102,'United Data'!$B$3:$B$2150,"&lt;&gt;P")&gt;0,1,0)</f>
        <v>0</v>
      </c>
      <c r="N102">
        <f>IF(COUNTIFS('United Data'!$A$3:$A$2150,N$1,'United Data'!$C$3:$C$2150,$A102,'United Data'!$B$3:$B$2150,"&lt;&gt;P")&gt;0,1,0)</f>
        <v>0</v>
      </c>
      <c r="O102">
        <f>IF(COUNTIFS('United Data'!$A$3:$A$2150,O$1,'United Data'!$C$3:$C$2150,$A102,'United Data'!$B$3:$B$2150,"&lt;&gt;P")&gt;0,1,0)</f>
        <v>0</v>
      </c>
      <c r="P102">
        <f>IF(COUNTIFS('United Data'!$A$3:$A$2150,P$1,'United Data'!$C$3:$C$2150,$A102,'United Data'!$B$3:$B$2150,"&lt;&gt;P")&gt;0,1,0)</f>
        <v>0</v>
      </c>
      <c r="Q102">
        <f>IF(COUNTIFS('United Data'!$A$3:$A$2150,Q$1,'United Data'!$C$3:$C$2150,$A102,'United Data'!$B$3:$B$2150,"&lt;&gt;P")&gt;0,1,0)</f>
        <v>0</v>
      </c>
      <c r="R102">
        <f>IF(COUNTIFS('United Data'!$A$3:$A$2150,R$1,'United Data'!$C$3:$C$2150,$A102,'United Data'!$B$3:$B$2150,"&lt;&gt;P")&gt;0,1,0)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148</v>
      </c>
      <c r="B103">
        <f>IF(COUNTIFS('United Data'!$A$3:$A$2150,B$1,'United Data'!$C$3:$C$2150,$A103,'United Data'!$B$3:$B$2150,"&lt;&gt;P")&gt;0,1,0)</f>
        <v>0</v>
      </c>
      <c r="C103">
        <f>IF(COUNTIFS('United Data'!$A$3:$A$2150,C$1,'United Data'!$C$3:$C$2150,$A103,'United Data'!$B$3:$B$2150,"&lt;&gt;P")&gt;0,1,0)</f>
        <v>0</v>
      </c>
      <c r="D103">
        <f>IF(COUNTIFS('United Data'!$A$3:$A$2150,D$1,'United Data'!$C$3:$C$2150,$A103,'United Data'!$B$3:$B$2150,"&lt;&gt;P")&gt;0,1,0)</f>
        <v>0</v>
      </c>
      <c r="E103">
        <f>IF(COUNTIFS('United Data'!$A$3:$A$2150,E$1,'United Data'!$C$3:$C$2150,$A103,'United Data'!$B$3:$B$2150,"&lt;&gt;P")&gt;0,1,0)</f>
        <v>0</v>
      </c>
      <c r="F103">
        <f>IF(COUNTIFS('United Data'!$A$3:$A$2150,F$1,'United Data'!$C$3:$C$2150,$A103,'United Data'!$B$3:$B$2150,"&lt;&gt;P")&gt;0,1,0)</f>
        <v>0</v>
      </c>
      <c r="G103">
        <f>IF(COUNTIFS('United Data'!$A$3:$A$2150,G$1,'United Data'!$C$3:$C$2150,$A103,'United Data'!$B$3:$B$2150,"&lt;&gt;P")&gt;0,1,0)</f>
        <v>0</v>
      </c>
      <c r="H103">
        <f>IF(COUNTIFS('United Data'!$A$3:$A$2150,H$1,'United Data'!$C$3:$C$2150,$A103,'United Data'!$B$3:$B$2150,"&lt;&gt;P")&gt;0,1,0)</f>
        <v>0</v>
      </c>
      <c r="I103">
        <f>IF(COUNTIFS('United Data'!$A$3:$A$2150,I$1,'United Data'!$C$3:$C$2150,$A103,'United Data'!$B$3:$B$2150,"&lt;&gt;P")&gt;0,1,0)</f>
        <v>0</v>
      </c>
      <c r="J103">
        <f>IF(COUNTIFS('United Data'!$A$3:$A$2150,J$1,'United Data'!$C$3:$C$2150,$A103,'United Data'!$B$3:$B$2150,"&lt;&gt;P")&gt;0,1,0)</f>
        <v>0</v>
      </c>
      <c r="K103">
        <f>IF(COUNTIFS('United Data'!$A$3:$A$2150,K$1,'United Data'!$C$3:$C$2150,$A103,'United Data'!$B$3:$B$2150,"&lt;&gt;P")&gt;0,1,0)</f>
        <v>1</v>
      </c>
      <c r="L103">
        <f>IF(COUNTIFS('United Data'!$A$3:$A$2150,L$1,'United Data'!$C$3:$C$2150,$A103,'United Data'!$B$3:$B$2150,"&lt;&gt;P")&gt;0,1,0)</f>
        <v>0</v>
      </c>
      <c r="M103">
        <f>IF(COUNTIFS('United Data'!$A$3:$A$2150,M$1,'United Data'!$C$3:$C$2150,$A103,'United Data'!$B$3:$B$2150,"&lt;&gt;P")&gt;0,1,0)</f>
        <v>0</v>
      </c>
      <c r="N103">
        <f>IF(COUNTIFS('United Data'!$A$3:$A$2150,N$1,'United Data'!$C$3:$C$2150,$A103,'United Data'!$B$3:$B$2150,"&lt;&gt;P")&gt;0,1,0)</f>
        <v>0</v>
      </c>
      <c r="O103">
        <f>IF(COUNTIFS('United Data'!$A$3:$A$2150,O$1,'United Data'!$C$3:$C$2150,$A103,'United Data'!$B$3:$B$2150,"&lt;&gt;P")&gt;0,1,0)</f>
        <v>0</v>
      </c>
      <c r="P103">
        <f>IF(COUNTIFS('United Data'!$A$3:$A$2150,P$1,'United Data'!$C$3:$C$2150,$A103,'United Data'!$B$3:$B$2150,"&lt;&gt;P")&gt;0,1,0)</f>
        <v>0</v>
      </c>
      <c r="Q103">
        <f>IF(COUNTIFS('United Data'!$A$3:$A$2150,Q$1,'United Data'!$C$3:$C$2150,$A103,'United Data'!$B$3:$B$2150,"&lt;&gt;P")&gt;0,1,0)</f>
        <v>0</v>
      </c>
      <c r="R103">
        <f>IF(COUNTIFS('United Data'!$A$3:$A$2150,R$1,'United Data'!$C$3:$C$2150,$A103,'United Data'!$B$3:$B$2150,"&lt;&gt;P")&gt;0,1,0)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149</v>
      </c>
      <c r="B104">
        <f>IF(COUNTIFS('United Data'!$A$3:$A$2150,B$1,'United Data'!$C$3:$C$2150,$A104,'United Data'!$B$3:$B$2150,"&lt;&gt;P")&gt;0,1,0)</f>
        <v>0</v>
      </c>
      <c r="C104">
        <f>IF(COUNTIFS('United Data'!$A$3:$A$2150,C$1,'United Data'!$C$3:$C$2150,$A104,'United Data'!$B$3:$B$2150,"&lt;&gt;P")&gt;0,1,0)</f>
        <v>0</v>
      </c>
      <c r="D104">
        <f>IF(COUNTIFS('United Data'!$A$3:$A$2150,D$1,'United Data'!$C$3:$C$2150,$A104,'United Data'!$B$3:$B$2150,"&lt;&gt;P")&gt;0,1,0)</f>
        <v>0</v>
      </c>
      <c r="E104">
        <f>IF(COUNTIFS('United Data'!$A$3:$A$2150,E$1,'United Data'!$C$3:$C$2150,$A104,'United Data'!$B$3:$B$2150,"&lt;&gt;P")&gt;0,1,0)</f>
        <v>0</v>
      </c>
      <c r="F104">
        <f>IF(COUNTIFS('United Data'!$A$3:$A$2150,F$1,'United Data'!$C$3:$C$2150,$A104,'United Data'!$B$3:$B$2150,"&lt;&gt;P")&gt;0,1,0)</f>
        <v>0</v>
      </c>
      <c r="G104">
        <f>IF(COUNTIFS('United Data'!$A$3:$A$2150,G$1,'United Data'!$C$3:$C$2150,$A104,'United Data'!$B$3:$B$2150,"&lt;&gt;P")&gt;0,1,0)</f>
        <v>0</v>
      </c>
      <c r="H104">
        <f>IF(COUNTIFS('United Data'!$A$3:$A$2150,H$1,'United Data'!$C$3:$C$2150,$A104,'United Data'!$B$3:$B$2150,"&lt;&gt;P")&gt;0,1,0)</f>
        <v>0</v>
      </c>
      <c r="I104">
        <f>IF(COUNTIFS('United Data'!$A$3:$A$2150,I$1,'United Data'!$C$3:$C$2150,$A104,'United Data'!$B$3:$B$2150,"&lt;&gt;P")&gt;0,1,0)</f>
        <v>0</v>
      </c>
      <c r="J104">
        <f>IF(COUNTIFS('United Data'!$A$3:$A$2150,J$1,'United Data'!$C$3:$C$2150,$A104,'United Data'!$B$3:$B$2150,"&lt;&gt;P")&gt;0,1,0)</f>
        <v>0</v>
      </c>
      <c r="K104">
        <f>IF(COUNTIFS('United Data'!$A$3:$A$2150,K$1,'United Data'!$C$3:$C$2150,$A104,'United Data'!$B$3:$B$2150,"&lt;&gt;P")&gt;0,1,0)</f>
        <v>1</v>
      </c>
      <c r="L104">
        <f>IF(COUNTIFS('United Data'!$A$3:$A$2150,L$1,'United Data'!$C$3:$C$2150,$A104,'United Data'!$B$3:$B$2150,"&lt;&gt;P")&gt;0,1,0)</f>
        <v>1</v>
      </c>
      <c r="M104">
        <f>IF(COUNTIFS('United Data'!$A$3:$A$2150,M$1,'United Data'!$C$3:$C$2150,$A104,'United Data'!$B$3:$B$2150,"&lt;&gt;P")&gt;0,1,0)</f>
        <v>0</v>
      </c>
      <c r="N104">
        <f>IF(COUNTIFS('United Data'!$A$3:$A$2150,N$1,'United Data'!$C$3:$C$2150,$A104,'United Data'!$B$3:$B$2150,"&lt;&gt;P")&gt;0,1,0)</f>
        <v>0</v>
      </c>
      <c r="O104">
        <f>IF(COUNTIFS('United Data'!$A$3:$A$2150,O$1,'United Data'!$C$3:$C$2150,$A104,'United Data'!$B$3:$B$2150,"&lt;&gt;P")&gt;0,1,0)</f>
        <v>0</v>
      </c>
      <c r="P104">
        <f>IF(COUNTIFS('United Data'!$A$3:$A$2150,P$1,'United Data'!$C$3:$C$2150,$A104,'United Data'!$B$3:$B$2150,"&lt;&gt;P")&gt;0,1,0)</f>
        <v>0</v>
      </c>
      <c r="Q104">
        <f>IF(COUNTIFS('United Data'!$A$3:$A$2150,Q$1,'United Data'!$C$3:$C$2150,$A104,'United Data'!$B$3:$B$2150,"&lt;&gt;P")&gt;0,1,0)</f>
        <v>0</v>
      </c>
      <c r="R104">
        <f>IF(COUNTIFS('United Data'!$A$3:$A$2150,R$1,'United Data'!$C$3:$C$2150,$A104,'United Data'!$B$3:$B$2150,"&lt;&gt;P")&gt;0,1,0)</f>
        <v>0</v>
      </c>
      <c r="S104">
        <f t="shared" si="2"/>
        <v>2</v>
      </c>
      <c r="T104">
        <f t="shared" si="3"/>
        <v>1</v>
      </c>
    </row>
    <row r="105" spans="1:20" x14ac:dyDescent="0.2">
      <c r="A105" t="s">
        <v>150</v>
      </c>
      <c r="B105">
        <f>IF(COUNTIFS('United Data'!$A$3:$A$2150,B$1,'United Data'!$C$3:$C$2150,$A105,'United Data'!$B$3:$B$2150,"&lt;&gt;P")&gt;0,1,0)</f>
        <v>0</v>
      </c>
      <c r="C105">
        <f>IF(COUNTIFS('United Data'!$A$3:$A$2150,C$1,'United Data'!$C$3:$C$2150,$A105,'United Data'!$B$3:$B$2150,"&lt;&gt;P")&gt;0,1,0)</f>
        <v>0</v>
      </c>
      <c r="D105">
        <f>IF(COUNTIFS('United Data'!$A$3:$A$2150,D$1,'United Data'!$C$3:$C$2150,$A105,'United Data'!$B$3:$B$2150,"&lt;&gt;P")&gt;0,1,0)</f>
        <v>0</v>
      </c>
      <c r="E105">
        <f>IF(COUNTIFS('United Data'!$A$3:$A$2150,E$1,'United Data'!$C$3:$C$2150,$A105,'United Data'!$B$3:$B$2150,"&lt;&gt;P")&gt;0,1,0)</f>
        <v>0</v>
      </c>
      <c r="F105">
        <f>IF(COUNTIFS('United Data'!$A$3:$A$2150,F$1,'United Data'!$C$3:$C$2150,$A105,'United Data'!$B$3:$B$2150,"&lt;&gt;P")&gt;0,1,0)</f>
        <v>0</v>
      </c>
      <c r="G105">
        <f>IF(COUNTIFS('United Data'!$A$3:$A$2150,G$1,'United Data'!$C$3:$C$2150,$A105,'United Data'!$B$3:$B$2150,"&lt;&gt;P")&gt;0,1,0)</f>
        <v>0</v>
      </c>
      <c r="H105">
        <f>IF(COUNTIFS('United Data'!$A$3:$A$2150,H$1,'United Data'!$C$3:$C$2150,$A105,'United Data'!$B$3:$B$2150,"&lt;&gt;P")&gt;0,1,0)</f>
        <v>0</v>
      </c>
      <c r="I105">
        <f>IF(COUNTIFS('United Data'!$A$3:$A$2150,I$1,'United Data'!$C$3:$C$2150,$A105,'United Data'!$B$3:$B$2150,"&lt;&gt;P")&gt;0,1,0)</f>
        <v>0</v>
      </c>
      <c r="J105">
        <f>IF(COUNTIFS('United Data'!$A$3:$A$2150,J$1,'United Data'!$C$3:$C$2150,$A105,'United Data'!$B$3:$B$2150,"&lt;&gt;P")&gt;0,1,0)</f>
        <v>0</v>
      </c>
      <c r="K105">
        <f>IF(COUNTIFS('United Data'!$A$3:$A$2150,K$1,'United Data'!$C$3:$C$2150,$A105,'United Data'!$B$3:$B$2150,"&lt;&gt;P")&gt;0,1,0)</f>
        <v>1</v>
      </c>
      <c r="L105">
        <f>IF(COUNTIFS('United Data'!$A$3:$A$2150,L$1,'United Data'!$C$3:$C$2150,$A105,'United Data'!$B$3:$B$2150,"&lt;&gt;P")&gt;0,1,0)</f>
        <v>1</v>
      </c>
      <c r="M105">
        <f>IF(COUNTIFS('United Data'!$A$3:$A$2150,M$1,'United Data'!$C$3:$C$2150,$A105,'United Data'!$B$3:$B$2150,"&lt;&gt;P")&gt;0,1,0)</f>
        <v>0</v>
      </c>
      <c r="N105">
        <f>IF(COUNTIFS('United Data'!$A$3:$A$2150,N$1,'United Data'!$C$3:$C$2150,$A105,'United Data'!$B$3:$B$2150,"&lt;&gt;P")&gt;0,1,0)</f>
        <v>0</v>
      </c>
      <c r="O105">
        <f>IF(COUNTIFS('United Data'!$A$3:$A$2150,O$1,'United Data'!$C$3:$C$2150,$A105,'United Data'!$B$3:$B$2150,"&lt;&gt;P")&gt;0,1,0)</f>
        <v>0</v>
      </c>
      <c r="P105">
        <f>IF(COUNTIFS('United Data'!$A$3:$A$2150,P$1,'United Data'!$C$3:$C$2150,$A105,'United Data'!$B$3:$B$2150,"&lt;&gt;P")&gt;0,1,0)</f>
        <v>0</v>
      </c>
      <c r="Q105">
        <f>IF(COUNTIFS('United Data'!$A$3:$A$2150,Q$1,'United Data'!$C$3:$C$2150,$A105,'United Data'!$B$3:$B$2150,"&lt;&gt;P")&gt;0,1,0)</f>
        <v>0</v>
      </c>
      <c r="R105">
        <f>IF(COUNTIFS('United Data'!$A$3:$A$2150,R$1,'United Data'!$C$3:$C$2150,$A105,'United Data'!$B$3:$B$2150,"&lt;&gt;P")&gt;0,1,0)</f>
        <v>0</v>
      </c>
      <c r="S105">
        <f t="shared" si="2"/>
        <v>2</v>
      </c>
      <c r="T105">
        <f t="shared" si="3"/>
        <v>1</v>
      </c>
    </row>
    <row r="106" spans="1:20" x14ac:dyDescent="0.2">
      <c r="A106" t="s">
        <v>151</v>
      </c>
      <c r="B106">
        <f>IF(COUNTIFS('United Data'!$A$3:$A$2150,B$1,'United Data'!$C$3:$C$2150,$A106,'United Data'!$B$3:$B$2150,"&lt;&gt;P")&gt;0,1,0)</f>
        <v>0</v>
      </c>
      <c r="C106">
        <f>IF(COUNTIFS('United Data'!$A$3:$A$2150,C$1,'United Data'!$C$3:$C$2150,$A106,'United Data'!$B$3:$B$2150,"&lt;&gt;P")&gt;0,1,0)</f>
        <v>0</v>
      </c>
      <c r="D106">
        <f>IF(COUNTIFS('United Data'!$A$3:$A$2150,D$1,'United Data'!$C$3:$C$2150,$A106,'United Data'!$B$3:$B$2150,"&lt;&gt;P")&gt;0,1,0)</f>
        <v>0</v>
      </c>
      <c r="E106">
        <f>IF(COUNTIFS('United Data'!$A$3:$A$2150,E$1,'United Data'!$C$3:$C$2150,$A106,'United Data'!$B$3:$B$2150,"&lt;&gt;P")&gt;0,1,0)</f>
        <v>0</v>
      </c>
      <c r="F106">
        <f>IF(COUNTIFS('United Data'!$A$3:$A$2150,F$1,'United Data'!$C$3:$C$2150,$A106,'United Data'!$B$3:$B$2150,"&lt;&gt;P")&gt;0,1,0)</f>
        <v>0</v>
      </c>
      <c r="G106">
        <f>IF(COUNTIFS('United Data'!$A$3:$A$2150,G$1,'United Data'!$C$3:$C$2150,$A106,'United Data'!$B$3:$B$2150,"&lt;&gt;P")&gt;0,1,0)</f>
        <v>0</v>
      </c>
      <c r="H106">
        <f>IF(COUNTIFS('United Data'!$A$3:$A$2150,H$1,'United Data'!$C$3:$C$2150,$A106,'United Data'!$B$3:$B$2150,"&lt;&gt;P")&gt;0,1,0)</f>
        <v>0</v>
      </c>
      <c r="I106">
        <f>IF(COUNTIFS('United Data'!$A$3:$A$2150,I$1,'United Data'!$C$3:$C$2150,$A106,'United Data'!$B$3:$B$2150,"&lt;&gt;P")&gt;0,1,0)</f>
        <v>0</v>
      </c>
      <c r="J106">
        <f>IF(COUNTIFS('United Data'!$A$3:$A$2150,J$1,'United Data'!$C$3:$C$2150,$A106,'United Data'!$B$3:$B$2150,"&lt;&gt;P")&gt;0,1,0)</f>
        <v>0</v>
      </c>
      <c r="K106">
        <f>IF(COUNTIFS('United Data'!$A$3:$A$2150,K$1,'United Data'!$C$3:$C$2150,$A106,'United Data'!$B$3:$B$2150,"&lt;&gt;P")&gt;0,1,0)</f>
        <v>1</v>
      </c>
      <c r="L106">
        <f>IF(COUNTIFS('United Data'!$A$3:$A$2150,L$1,'United Data'!$C$3:$C$2150,$A106,'United Data'!$B$3:$B$2150,"&lt;&gt;P")&gt;0,1,0)</f>
        <v>0</v>
      </c>
      <c r="M106">
        <f>IF(COUNTIFS('United Data'!$A$3:$A$2150,M$1,'United Data'!$C$3:$C$2150,$A106,'United Data'!$B$3:$B$2150,"&lt;&gt;P")&gt;0,1,0)</f>
        <v>0</v>
      </c>
      <c r="N106">
        <f>IF(COUNTIFS('United Data'!$A$3:$A$2150,N$1,'United Data'!$C$3:$C$2150,$A106,'United Data'!$B$3:$B$2150,"&lt;&gt;P")&gt;0,1,0)</f>
        <v>0</v>
      </c>
      <c r="O106">
        <f>IF(COUNTIFS('United Data'!$A$3:$A$2150,O$1,'United Data'!$C$3:$C$2150,$A106,'United Data'!$B$3:$B$2150,"&lt;&gt;P")&gt;0,1,0)</f>
        <v>0</v>
      </c>
      <c r="P106">
        <f>IF(COUNTIFS('United Data'!$A$3:$A$2150,P$1,'United Data'!$C$3:$C$2150,$A106,'United Data'!$B$3:$B$2150,"&lt;&gt;P")&gt;0,1,0)</f>
        <v>0</v>
      </c>
      <c r="Q106">
        <f>IF(COUNTIFS('United Data'!$A$3:$A$2150,Q$1,'United Data'!$C$3:$C$2150,$A106,'United Data'!$B$3:$B$2150,"&lt;&gt;P")&gt;0,1,0)</f>
        <v>0</v>
      </c>
      <c r="R106">
        <f>IF(COUNTIFS('United Data'!$A$3:$A$2150,R$1,'United Data'!$C$3:$C$2150,$A106,'United Data'!$B$3:$B$2150,"&lt;&gt;P")&gt;0,1,0)</f>
        <v>0</v>
      </c>
      <c r="S106">
        <f t="shared" si="2"/>
        <v>1</v>
      </c>
      <c r="T106">
        <f t="shared" si="3"/>
        <v>1</v>
      </c>
    </row>
    <row r="107" spans="1:20" x14ac:dyDescent="0.2">
      <c r="A107" t="s">
        <v>152</v>
      </c>
      <c r="B107">
        <f>IF(COUNTIFS('United Data'!$A$3:$A$2150,B$1,'United Data'!$C$3:$C$2150,$A107,'United Data'!$B$3:$B$2150,"&lt;&gt;P")&gt;0,1,0)</f>
        <v>0</v>
      </c>
      <c r="C107">
        <f>IF(COUNTIFS('United Data'!$A$3:$A$2150,C$1,'United Data'!$C$3:$C$2150,$A107,'United Data'!$B$3:$B$2150,"&lt;&gt;P")&gt;0,1,0)</f>
        <v>0</v>
      </c>
      <c r="D107">
        <f>IF(COUNTIFS('United Data'!$A$3:$A$2150,D$1,'United Data'!$C$3:$C$2150,$A107,'United Data'!$B$3:$B$2150,"&lt;&gt;P")&gt;0,1,0)</f>
        <v>0</v>
      </c>
      <c r="E107">
        <f>IF(COUNTIFS('United Data'!$A$3:$A$2150,E$1,'United Data'!$C$3:$C$2150,$A107,'United Data'!$B$3:$B$2150,"&lt;&gt;P")&gt;0,1,0)</f>
        <v>0</v>
      </c>
      <c r="F107">
        <f>IF(COUNTIFS('United Data'!$A$3:$A$2150,F$1,'United Data'!$C$3:$C$2150,$A107,'United Data'!$B$3:$B$2150,"&lt;&gt;P")&gt;0,1,0)</f>
        <v>0</v>
      </c>
      <c r="G107">
        <f>IF(COUNTIFS('United Data'!$A$3:$A$2150,G$1,'United Data'!$C$3:$C$2150,$A107,'United Data'!$B$3:$B$2150,"&lt;&gt;P")&gt;0,1,0)</f>
        <v>0</v>
      </c>
      <c r="H107">
        <f>IF(COUNTIFS('United Data'!$A$3:$A$2150,H$1,'United Data'!$C$3:$C$2150,$A107,'United Data'!$B$3:$B$2150,"&lt;&gt;P")&gt;0,1,0)</f>
        <v>0</v>
      </c>
      <c r="I107">
        <f>IF(COUNTIFS('United Data'!$A$3:$A$2150,I$1,'United Data'!$C$3:$C$2150,$A107,'United Data'!$B$3:$B$2150,"&lt;&gt;P")&gt;0,1,0)</f>
        <v>0</v>
      </c>
      <c r="J107">
        <f>IF(COUNTIFS('United Data'!$A$3:$A$2150,J$1,'United Data'!$C$3:$C$2150,$A107,'United Data'!$B$3:$B$2150,"&lt;&gt;P")&gt;0,1,0)</f>
        <v>0</v>
      </c>
      <c r="K107">
        <f>IF(COUNTIFS('United Data'!$A$3:$A$2150,K$1,'United Data'!$C$3:$C$2150,$A107,'United Data'!$B$3:$B$2150,"&lt;&gt;P")&gt;0,1,0)</f>
        <v>1</v>
      </c>
      <c r="L107">
        <f>IF(COUNTIFS('United Data'!$A$3:$A$2150,L$1,'United Data'!$C$3:$C$2150,$A107,'United Data'!$B$3:$B$2150,"&lt;&gt;P")&gt;0,1,0)</f>
        <v>0</v>
      </c>
      <c r="M107">
        <f>IF(COUNTIFS('United Data'!$A$3:$A$2150,M$1,'United Data'!$C$3:$C$2150,$A107,'United Data'!$B$3:$B$2150,"&lt;&gt;P")&gt;0,1,0)</f>
        <v>0</v>
      </c>
      <c r="N107">
        <f>IF(COUNTIFS('United Data'!$A$3:$A$2150,N$1,'United Data'!$C$3:$C$2150,$A107,'United Data'!$B$3:$B$2150,"&lt;&gt;P")&gt;0,1,0)</f>
        <v>0</v>
      </c>
      <c r="O107">
        <f>IF(COUNTIFS('United Data'!$A$3:$A$2150,O$1,'United Data'!$C$3:$C$2150,$A107,'United Data'!$B$3:$B$2150,"&lt;&gt;P")&gt;0,1,0)</f>
        <v>0</v>
      </c>
      <c r="P107">
        <f>IF(COUNTIFS('United Data'!$A$3:$A$2150,P$1,'United Data'!$C$3:$C$2150,$A107,'United Data'!$B$3:$B$2150,"&lt;&gt;P")&gt;0,1,0)</f>
        <v>0</v>
      </c>
      <c r="Q107">
        <f>IF(COUNTIFS('United Data'!$A$3:$A$2150,Q$1,'United Data'!$C$3:$C$2150,$A107,'United Data'!$B$3:$B$2150,"&lt;&gt;P")&gt;0,1,0)</f>
        <v>0</v>
      </c>
      <c r="R107">
        <f>IF(COUNTIFS('United Data'!$A$3:$A$2150,R$1,'United Data'!$C$3:$C$2150,$A107,'United Data'!$B$3:$B$2150,"&lt;&gt;P")&gt;0,1,0)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153</v>
      </c>
      <c r="B108">
        <f>IF(COUNTIFS('United Data'!$A$3:$A$2150,B$1,'United Data'!$C$3:$C$2150,$A108,'United Data'!$B$3:$B$2150,"&lt;&gt;P")&gt;0,1,0)</f>
        <v>0</v>
      </c>
      <c r="C108">
        <f>IF(COUNTIFS('United Data'!$A$3:$A$2150,C$1,'United Data'!$C$3:$C$2150,$A108,'United Data'!$B$3:$B$2150,"&lt;&gt;P")&gt;0,1,0)</f>
        <v>0</v>
      </c>
      <c r="D108">
        <f>IF(COUNTIFS('United Data'!$A$3:$A$2150,D$1,'United Data'!$C$3:$C$2150,$A108,'United Data'!$B$3:$B$2150,"&lt;&gt;P")&gt;0,1,0)</f>
        <v>0</v>
      </c>
      <c r="E108">
        <f>IF(COUNTIFS('United Data'!$A$3:$A$2150,E$1,'United Data'!$C$3:$C$2150,$A108,'United Data'!$B$3:$B$2150,"&lt;&gt;P")&gt;0,1,0)</f>
        <v>0</v>
      </c>
      <c r="F108">
        <f>IF(COUNTIFS('United Data'!$A$3:$A$2150,F$1,'United Data'!$C$3:$C$2150,$A108,'United Data'!$B$3:$B$2150,"&lt;&gt;P")&gt;0,1,0)</f>
        <v>0</v>
      </c>
      <c r="G108">
        <f>IF(COUNTIFS('United Data'!$A$3:$A$2150,G$1,'United Data'!$C$3:$C$2150,$A108,'United Data'!$B$3:$B$2150,"&lt;&gt;P")&gt;0,1,0)</f>
        <v>0</v>
      </c>
      <c r="H108">
        <f>IF(COUNTIFS('United Data'!$A$3:$A$2150,H$1,'United Data'!$C$3:$C$2150,$A108,'United Data'!$B$3:$B$2150,"&lt;&gt;P")&gt;0,1,0)</f>
        <v>0</v>
      </c>
      <c r="I108">
        <f>IF(COUNTIFS('United Data'!$A$3:$A$2150,I$1,'United Data'!$C$3:$C$2150,$A108,'United Data'!$B$3:$B$2150,"&lt;&gt;P")&gt;0,1,0)</f>
        <v>0</v>
      </c>
      <c r="J108">
        <f>IF(COUNTIFS('United Data'!$A$3:$A$2150,J$1,'United Data'!$C$3:$C$2150,$A108,'United Data'!$B$3:$B$2150,"&lt;&gt;P")&gt;0,1,0)</f>
        <v>0</v>
      </c>
      <c r="K108">
        <f>IF(COUNTIFS('United Data'!$A$3:$A$2150,K$1,'United Data'!$C$3:$C$2150,$A108,'United Data'!$B$3:$B$2150,"&lt;&gt;P")&gt;0,1,0)</f>
        <v>1</v>
      </c>
      <c r="L108">
        <f>IF(COUNTIFS('United Data'!$A$3:$A$2150,L$1,'United Data'!$C$3:$C$2150,$A108,'United Data'!$B$3:$B$2150,"&lt;&gt;P")&gt;0,1,0)</f>
        <v>0</v>
      </c>
      <c r="M108">
        <f>IF(COUNTIFS('United Data'!$A$3:$A$2150,M$1,'United Data'!$C$3:$C$2150,$A108,'United Data'!$B$3:$B$2150,"&lt;&gt;P")&gt;0,1,0)</f>
        <v>0</v>
      </c>
      <c r="N108">
        <f>IF(COUNTIFS('United Data'!$A$3:$A$2150,N$1,'United Data'!$C$3:$C$2150,$A108,'United Data'!$B$3:$B$2150,"&lt;&gt;P")&gt;0,1,0)</f>
        <v>0</v>
      </c>
      <c r="O108">
        <f>IF(COUNTIFS('United Data'!$A$3:$A$2150,O$1,'United Data'!$C$3:$C$2150,$A108,'United Data'!$B$3:$B$2150,"&lt;&gt;P")&gt;0,1,0)</f>
        <v>0</v>
      </c>
      <c r="P108">
        <f>IF(COUNTIFS('United Data'!$A$3:$A$2150,P$1,'United Data'!$C$3:$C$2150,$A108,'United Data'!$B$3:$B$2150,"&lt;&gt;P")&gt;0,1,0)</f>
        <v>0</v>
      </c>
      <c r="Q108">
        <f>IF(COUNTIFS('United Data'!$A$3:$A$2150,Q$1,'United Data'!$C$3:$C$2150,$A108,'United Data'!$B$3:$B$2150,"&lt;&gt;P")&gt;0,1,0)</f>
        <v>0</v>
      </c>
      <c r="R108">
        <f>IF(COUNTIFS('United Data'!$A$3:$A$2150,R$1,'United Data'!$C$3:$C$2150,$A108,'United Data'!$B$3:$B$2150,"&lt;&gt;P")&gt;0,1,0)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154</v>
      </c>
      <c r="B109">
        <f>IF(COUNTIFS('United Data'!$A$3:$A$2150,B$1,'United Data'!$C$3:$C$2150,$A109,'United Data'!$B$3:$B$2150,"&lt;&gt;P")&gt;0,1,0)</f>
        <v>0</v>
      </c>
      <c r="C109">
        <f>IF(COUNTIFS('United Data'!$A$3:$A$2150,C$1,'United Data'!$C$3:$C$2150,$A109,'United Data'!$B$3:$B$2150,"&lt;&gt;P")&gt;0,1,0)</f>
        <v>0</v>
      </c>
      <c r="D109">
        <f>IF(COUNTIFS('United Data'!$A$3:$A$2150,D$1,'United Data'!$C$3:$C$2150,$A109,'United Data'!$B$3:$B$2150,"&lt;&gt;P")&gt;0,1,0)</f>
        <v>0</v>
      </c>
      <c r="E109">
        <f>IF(COUNTIFS('United Data'!$A$3:$A$2150,E$1,'United Data'!$C$3:$C$2150,$A109,'United Data'!$B$3:$B$2150,"&lt;&gt;P")&gt;0,1,0)</f>
        <v>0</v>
      </c>
      <c r="F109">
        <f>IF(COUNTIFS('United Data'!$A$3:$A$2150,F$1,'United Data'!$C$3:$C$2150,$A109,'United Data'!$B$3:$B$2150,"&lt;&gt;P")&gt;0,1,0)</f>
        <v>0</v>
      </c>
      <c r="G109">
        <f>IF(COUNTIFS('United Data'!$A$3:$A$2150,G$1,'United Data'!$C$3:$C$2150,$A109,'United Data'!$B$3:$B$2150,"&lt;&gt;P")&gt;0,1,0)</f>
        <v>0</v>
      </c>
      <c r="H109">
        <f>IF(COUNTIFS('United Data'!$A$3:$A$2150,H$1,'United Data'!$C$3:$C$2150,$A109,'United Data'!$B$3:$B$2150,"&lt;&gt;P")&gt;0,1,0)</f>
        <v>0</v>
      </c>
      <c r="I109">
        <f>IF(COUNTIFS('United Data'!$A$3:$A$2150,I$1,'United Data'!$C$3:$C$2150,$A109,'United Data'!$B$3:$B$2150,"&lt;&gt;P")&gt;0,1,0)</f>
        <v>0</v>
      </c>
      <c r="J109">
        <f>IF(COUNTIFS('United Data'!$A$3:$A$2150,J$1,'United Data'!$C$3:$C$2150,$A109,'United Data'!$B$3:$B$2150,"&lt;&gt;P")&gt;0,1,0)</f>
        <v>0</v>
      </c>
      <c r="K109">
        <f>IF(COUNTIFS('United Data'!$A$3:$A$2150,K$1,'United Data'!$C$3:$C$2150,$A109,'United Data'!$B$3:$B$2150,"&lt;&gt;P")&gt;0,1,0)</f>
        <v>1</v>
      </c>
      <c r="L109">
        <f>IF(COUNTIFS('United Data'!$A$3:$A$2150,L$1,'United Data'!$C$3:$C$2150,$A109,'United Data'!$B$3:$B$2150,"&lt;&gt;P")&gt;0,1,0)</f>
        <v>0</v>
      </c>
      <c r="M109">
        <f>IF(COUNTIFS('United Data'!$A$3:$A$2150,M$1,'United Data'!$C$3:$C$2150,$A109,'United Data'!$B$3:$B$2150,"&lt;&gt;P")&gt;0,1,0)</f>
        <v>0</v>
      </c>
      <c r="N109">
        <f>IF(COUNTIFS('United Data'!$A$3:$A$2150,N$1,'United Data'!$C$3:$C$2150,$A109,'United Data'!$B$3:$B$2150,"&lt;&gt;P")&gt;0,1,0)</f>
        <v>0</v>
      </c>
      <c r="O109">
        <f>IF(COUNTIFS('United Data'!$A$3:$A$2150,O$1,'United Data'!$C$3:$C$2150,$A109,'United Data'!$B$3:$B$2150,"&lt;&gt;P")&gt;0,1,0)</f>
        <v>0</v>
      </c>
      <c r="P109">
        <f>IF(COUNTIFS('United Data'!$A$3:$A$2150,P$1,'United Data'!$C$3:$C$2150,$A109,'United Data'!$B$3:$B$2150,"&lt;&gt;P")&gt;0,1,0)</f>
        <v>0</v>
      </c>
      <c r="Q109">
        <f>IF(COUNTIFS('United Data'!$A$3:$A$2150,Q$1,'United Data'!$C$3:$C$2150,$A109,'United Data'!$B$3:$B$2150,"&lt;&gt;P")&gt;0,1,0)</f>
        <v>0</v>
      </c>
      <c r="R109">
        <f>IF(COUNTIFS('United Data'!$A$3:$A$2150,R$1,'United Data'!$C$3:$C$2150,$A109,'United Data'!$B$3:$B$2150,"&lt;&gt;P")&gt;0,1,0)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155</v>
      </c>
      <c r="B110">
        <f>IF(COUNTIFS('United Data'!$A$3:$A$2150,B$1,'United Data'!$C$3:$C$2150,$A110,'United Data'!$B$3:$B$2150,"&lt;&gt;P")&gt;0,1,0)</f>
        <v>0</v>
      </c>
      <c r="C110">
        <f>IF(COUNTIFS('United Data'!$A$3:$A$2150,C$1,'United Data'!$C$3:$C$2150,$A110,'United Data'!$B$3:$B$2150,"&lt;&gt;P")&gt;0,1,0)</f>
        <v>0</v>
      </c>
      <c r="D110">
        <f>IF(COUNTIFS('United Data'!$A$3:$A$2150,D$1,'United Data'!$C$3:$C$2150,$A110,'United Data'!$B$3:$B$2150,"&lt;&gt;P")&gt;0,1,0)</f>
        <v>0</v>
      </c>
      <c r="E110">
        <f>IF(COUNTIFS('United Data'!$A$3:$A$2150,E$1,'United Data'!$C$3:$C$2150,$A110,'United Data'!$B$3:$B$2150,"&lt;&gt;P")&gt;0,1,0)</f>
        <v>0</v>
      </c>
      <c r="F110">
        <f>IF(COUNTIFS('United Data'!$A$3:$A$2150,F$1,'United Data'!$C$3:$C$2150,$A110,'United Data'!$B$3:$B$2150,"&lt;&gt;P")&gt;0,1,0)</f>
        <v>0</v>
      </c>
      <c r="G110">
        <f>IF(COUNTIFS('United Data'!$A$3:$A$2150,G$1,'United Data'!$C$3:$C$2150,$A110,'United Data'!$B$3:$B$2150,"&lt;&gt;P")&gt;0,1,0)</f>
        <v>0</v>
      </c>
      <c r="H110">
        <f>IF(COUNTIFS('United Data'!$A$3:$A$2150,H$1,'United Data'!$C$3:$C$2150,$A110,'United Data'!$B$3:$B$2150,"&lt;&gt;P")&gt;0,1,0)</f>
        <v>0</v>
      </c>
      <c r="I110">
        <f>IF(COUNTIFS('United Data'!$A$3:$A$2150,I$1,'United Data'!$C$3:$C$2150,$A110,'United Data'!$B$3:$B$2150,"&lt;&gt;P")&gt;0,1,0)</f>
        <v>0</v>
      </c>
      <c r="J110">
        <f>IF(COUNTIFS('United Data'!$A$3:$A$2150,J$1,'United Data'!$C$3:$C$2150,$A110,'United Data'!$B$3:$B$2150,"&lt;&gt;P")&gt;0,1,0)</f>
        <v>0</v>
      </c>
      <c r="K110">
        <f>IF(COUNTIFS('United Data'!$A$3:$A$2150,K$1,'United Data'!$C$3:$C$2150,$A110,'United Data'!$B$3:$B$2150,"&lt;&gt;P")&gt;0,1,0)</f>
        <v>0</v>
      </c>
      <c r="L110">
        <f>IF(COUNTIFS('United Data'!$A$3:$A$2150,L$1,'United Data'!$C$3:$C$2150,$A110,'United Data'!$B$3:$B$2150,"&lt;&gt;P")&gt;0,1,0)</f>
        <v>1</v>
      </c>
      <c r="M110">
        <f>IF(COUNTIFS('United Data'!$A$3:$A$2150,M$1,'United Data'!$C$3:$C$2150,$A110,'United Data'!$B$3:$B$2150,"&lt;&gt;P")&gt;0,1,0)</f>
        <v>0</v>
      </c>
      <c r="N110">
        <f>IF(COUNTIFS('United Data'!$A$3:$A$2150,N$1,'United Data'!$C$3:$C$2150,$A110,'United Data'!$B$3:$B$2150,"&lt;&gt;P")&gt;0,1,0)</f>
        <v>0</v>
      </c>
      <c r="O110">
        <f>IF(COUNTIFS('United Data'!$A$3:$A$2150,O$1,'United Data'!$C$3:$C$2150,$A110,'United Data'!$B$3:$B$2150,"&lt;&gt;P")&gt;0,1,0)</f>
        <v>0</v>
      </c>
      <c r="P110">
        <f>IF(COUNTIFS('United Data'!$A$3:$A$2150,P$1,'United Data'!$C$3:$C$2150,$A110,'United Data'!$B$3:$B$2150,"&lt;&gt;P")&gt;0,1,0)</f>
        <v>0</v>
      </c>
      <c r="Q110">
        <f>IF(COUNTIFS('United Data'!$A$3:$A$2150,Q$1,'United Data'!$C$3:$C$2150,$A110,'United Data'!$B$3:$B$2150,"&lt;&gt;P")&gt;0,1,0)</f>
        <v>0</v>
      </c>
      <c r="R110">
        <f>IF(COUNTIFS('United Data'!$A$3:$A$2150,R$1,'United Data'!$C$3:$C$2150,$A110,'United Data'!$B$3:$B$2150,"&lt;&gt;P")&gt;0,1,0)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156</v>
      </c>
      <c r="B111">
        <f>IF(COUNTIFS('United Data'!$A$3:$A$2150,B$1,'United Data'!$C$3:$C$2150,$A111,'United Data'!$B$3:$B$2150,"&lt;&gt;P")&gt;0,1,0)</f>
        <v>0</v>
      </c>
      <c r="C111">
        <f>IF(COUNTIFS('United Data'!$A$3:$A$2150,C$1,'United Data'!$C$3:$C$2150,$A111,'United Data'!$B$3:$B$2150,"&lt;&gt;P")&gt;0,1,0)</f>
        <v>0</v>
      </c>
      <c r="D111">
        <f>IF(COUNTIFS('United Data'!$A$3:$A$2150,D$1,'United Data'!$C$3:$C$2150,$A111,'United Data'!$B$3:$B$2150,"&lt;&gt;P")&gt;0,1,0)</f>
        <v>0</v>
      </c>
      <c r="E111">
        <f>IF(COUNTIFS('United Data'!$A$3:$A$2150,E$1,'United Data'!$C$3:$C$2150,$A111,'United Data'!$B$3:$B$2150,"&lt;&gt;P")&gt;0,1,0)</f>
        <v>0</v>
      </c>
      <c r="F111">
        <f>IF(COUNTIFS('United Data'!$A$3:$A$2150,F$1,'United Data'!$C$3:$C$2150,$A111,'United Data'!$B$3:$B$2150,"&lt;&gt;P")&gt;0,1,0)</f>
        <v>0</v>
      </c>
      <c r="G111">
        <f>IF(COUNTIFS('United Data'!$A$3:$A$2150,G$1,'United Data'!$C$3:$C$2150,$A111,'United Data'!$B$3:$B$2150,"&lt;&gt;P")&gt;0,1,0)</f>
        <v>0</v>
      </c>
      <c r="H111">
        <f>IF(COUNTIFS('United Data'!$A$3:$A$2150,H$1,'United Data'!$C$3:$C$2150,$A111,'United Data'!$B$3:$B$2150,"&lt;&gt;P")&gt;0,1,0)</f>
        <v>0</v>
      </c>
      <c r="I111">
        <f>IF(COUNTIFS('United Data'!$A$3:$A$2150,I$1,'United Data'!$C$3:$C$2150,$A111,'United Data'!$B$3:$B$2150,"&lt;&gt;P")&gt;0,1,0)</f>
        <v>0</v>
      </c>
      <c r="J111">
        <f>IF(COUNTIFS('United Data'!$A$3:$A$2150,J$1,'United Data'!$C$3:$C$2150,$A111,'United Data'!$B$3:$B$2150,"&lt;&gt;P")&gt;0,1,0)</f>
        <v>0</v>
      </c>
      <c r="K111">
        <f>IF(COUNTIFS('United Data'!$A$3:$A$2150,K$1,'United Data'!$C$3:$C$2150,$A111,'United Data'!$B$3:$B$2150,"&lt;&gt;P")&gt;0,1,0)</f>
        <v>0</v>
      </c>
      <c r="L111">
        <f>IF(COUNTIFS('United Data'!$A$3:$A$2150,L$1,'United Data'!$C$3:$C$2150,$A111,'United Data'!$B$3:$B$2150,"&lt;&gt;P")&gt;0,1,0)</f>
        <v>1</v>
      </c>
      <c r="M111">
        <f>IF(COUNTIFS('United Data'!$A$3:$A$2150,M$1,'United Data'!$C$3:$C$2150,$A111,'United Data'!$B$3:$B$2150,"&lt;&gt;P")&gt;0,1,0)</f>
        <v>0</v>
      </c>
      <c r="N111">
        <f>IF(COUNTIFS('United Data'!$A$3:$A$2150,N$1,'United Data'!$C$3:$C$2150,$A111,'United Data'!$B$3:$B$2150,"&lt;&gt;P")&gt;0,1,0)</f>
        <v>0</v>
      </c>
      <c r="O111">
        <f>IF(COUNTIFS('United Data'!$A$3:$A$2150,O$1,'United Data'!$C$3:$C$2150,$A111,'United Data'!$B$3:$B$2150,"&lt;&gt;P")&gt;0,1,0)</f>
        <v>0</v>
      </c>
      <c r="P111">
        <f>IF(COUNTIFS('United Data'!$A$3:$A$2150,P$1,'United Data'!$C$3:$C$2150,$A111,'United Data'!$B$3:$B$2150,"&lt;&gt;P")&gt;0,1,0)</f>
        <v>0</v>
      </c>
      <c r="Q111">
        <f>IF(COUNTIFS('United Data'!$A$3:$A$2150,Q$1,'United Data'!$C$3:$C$2150,$A111,'United Data'!$B$3:$B$2150,"&lt;&gt;P")&gt;0,1,0)</f>
        <v>0</v>
      </c>
      <c r="R111">
        <f>IF(COUNTIFS('United Data'!$A$3:$A$2150,R$1,'United Data'!$C$3:$C$2150,$A111,'United Data'!$B$3:$B$2150,"&lt;&gt;P")&gt;0,1,0)</f>
        <v>0</v>
      </c>
      <c r="S111">
        <f t="shared" si="2"/>
        <v>1</v>
      </c>
      <c r="T111">
        <f t="shared" si="3"/>
        <v>1</v>
      </c>
    </row>
    <row r="112" spans="1:20" x14ac:dyDescent="0.2">
      <c r="A112" t="s">
        <v>157</v>
      </c>
      <c r="B112">
        <f>IF(COUNTIFS('United Data'!$A$3:$A$2150,B$1,'United Data'!$C$3:$C$2150,$A112,'United Data'!$B$3:$B$2150,"&lt;&gt;P")&gt;0,1,0)</f>
        <v>0</v>
      </c>
      <c r="C112">
        <f>IF(COUNTIFS('United Data'!$A$3:$A$2150,C$1,'United Data'!$C$3:$C$2150,$A112,'United Data'!$B$3:$B$2150,"&lt;&gt;P")&gt;0,1,0)</f>
        <v>0</v>
      </c>
      <c r="D112">
        <f>IF(COUNTIFS('United Data'!$A$3:$A$2150,D$1,'United Data'!$C$3:$C$2150,$A112,'United Data'!$B$3:$B$2150,"&lt;&gt;P")&gt;0,1,0)</f>
        <v>0</v>
      </c>
      <c r="E112">
        <f>IF(COUNTIFS('United Data'!$A$3:$A$2150,E$1,'United Data'!$C$3:$C$2150,$A112,'United Data'!$B$3:$B$2150,"&lt;&gt;P")&gt;0,1,0)</f>
        <v>0</v>
      </c>
      <c r="F112">
        <f>IF(COUNTIFS('United Data'!$A$3:$A$2150,F$1,'United Data'!$C$3:$C$2150,$A112,'United Data'!$B$3:$B$2150,"&lt;&gt;P")&gt;0,1,0)</f>
        <v>0</v>
      </c>
      <c r="G112">
        <f>IF(COUNTIFS('United Data'!$A$3:$A$2150,G$1,'United Data'!$C$3:$C$2150,$A112,'United Data'!$B$3:$B$2150,"&lt;&gt;P")&gt;0,1,0)</f>
        <v>0</v>
      </c>
      <c r="H112">
        <f>IF(COUNTIFS('United Data'!$A$3:$A$2150,H$1,'United Data'!$C$3:$C$2150,$A112,'United Data'!$B$3:$B$2150,"&lt;&gt;P")&gt;0,1,0)</f>
        <v>0</v>
      </c>
      <c r="I112">
        <f>IF(COUNTIFS('United Data'!$A$3:$A$2150,I$1,'United Data'!$C$3:$C$2150,$A112,'United Data'!$B$3:$B$2150,"&lt;&gt;P")&gt;0,1,0)</f>
        <v>0</v>
      </c>
      <c r="J112">
        <f>IF(COUNTIFS('United Data'!$A$3:$A$2150,J$1,'United Data'!$C$3:$C$2150,$A112,'United Data'!$B$3:$B$2150,"&lt;&gt;P")&gt;0,1,0)</f>
        <v>0</v>
      </c>
      <c r="K112">
        <f>IF(COUNTIFS('United Data'!$A$3:$A$2150,K$1,'United Data'!$C$3:$C$2150,$A112,'United Data'!$B$3:$B$2150,"&lt;&gt;P")&gt;0,1,0)</f>
        <v>0</v>
      </c>
      <c r="L112">
        <f>IF(COUNTIFS('United Data'!$A$3:$A$2150,L$1,'United Data'!$C$3:$C$2150,$A112,'United Data'!$B$3:$B$2150,"&lt;&gt;P")&gt;0,1,0)</f>
        <v>1</v>
      </c>
      <c r="M112">
        <f>IF(COUNTIFS('United Data'!$A$3:$A$2150,M$1,'United Data'!$C$3:$C$2150,$A112,'United Data'!$B$3:$B$2150,"&lt;&gt;P")&gt;0,1,0)</f>
        <v>0</v>
      </c>
      <c r="N112">
        <f>IF(COUNTIFS('United Data'!$A$3:$A$2150,N$1,'United Data'!$C$3:$C$2150,$A112,'United Data'!$B$3:$B$2150,"&lt;&gt;P")&gt;0,1,0)</f>
        <v>0</v>
      </c>
      <c r="O112">
        <f>IF(COUNTIFS('United Data'!$A$3:$A$2150,O$1,'United Data'!$C$3:$C$2150,$A112,'United Data'!$B$3:$B$2150,"&lt;&gt;P")&gt;0,1,0)</f>
        <v>0</v>
      </c>
      <c r="P112">
        <f>IF(COUNTIFS('United Data'!$A$3:$A$2150,P$1,'United Data'!$C$3:$C$2150,$A112,'United Data'!$B$3:$B$2150,"&lt;&gt;P")&gt;0,1,0)</f>
        <v>0</v>
      </c>
      <c r="Q112">
        <f>IF(COUNTIFS('United Data'!$A$3:$A$2150,Q$1,'United Data'!$C$3:$C$2150,$A112,'United Data'!$B$3:$B$2150,"&lt;&gt;P")&gt;0,1,0)</f>
        <v>0</v>
      </c>
      <c r="R112">
        <f>IF(COUNTIFS('United Data'!$A$3:$A$2150,R$1,'United Data'!$C$3:$C$2150,$A112,'United Data'!$B$3:$B$2150,"&lt;&gt;P")&gt;0,1,0)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158</v>
      </c>
      <c r="B113">
        <f>IF(COUNTIFS('United Data'!$A$3:$A$2150,B$1,'United Data'!$C$3:$C$2150,$A113,'United Data'!$B$3:$B$2150,"&lt;&gt;P")&gt;0,1,0)</f>
        <v>0</v>
      </c>
      <c r="C113">
        <f>IF(COUNTIFS('United Data'!$A$3:$A$2150,C$1,'United Data'!$C$3:$C$2150,$A113,'United Data'!$B$3:$B$2150,"&lt;&gt;P")&gt;0,1,0)</f>
        <v>0</v>
      </c>
      <c r="D113">
        <f>IF(COUNTIFS('United Data'!$A$3:$A$2150,D$1,'United Data'!$C$3:$C$2150,$A113,'United Data'!$B$3:$B$2150,"&lt;&gt;P")&gt;0,1,0)</f>
        <v>0</v>
      </c>
      <c r="E113">
        <f>IF(COUNTIFS('United Data'!$A$3:$A$2150,E$1,'United Data'!$C$3:$C$2150,$A113,'United Data'!$B$3:$B$2150,"&lt;&gt;P")&gt;0,1,0)</f>
        <v>0</v>
      </c>
      <c r="F113">
        <f>IF(COUNTIFS('United Data'!$A$3:$A$2150,F$1,'United Data'!$C$3:$C$2150,$A113,'United Data'!$B$3:$B$2150,"&lt;&gt;P")&gt;0,1,0)</f>
        <v>0</v>
      </c>
      <c r="G113">
        <f>IF(COUNTIFS('United Data'!$A$3:$A$2150,G$1,'United Data'!$C$3:$C$2150,$A113,'United Data'!$B$3:$B$2150,"&lt;&gt;P")&gt;0,1,0)</f>
        <v>0</v>
      </c>
      <c r="H113">
        <f>IF(COUNTIFS('United Data'!$A$3:$A$2150,H$1,'United Data'!$C$3:$C$2150,$A113,'United Data'!$B$3:$B$2150,"&lt;&gt;P")&gt;0,1,0)</f>
        <v>0</v>
      </c>
      <c r="I113">
        <f>IF(COUNTIFS('United Data'!$A$3:$A$2150,I$1,'United Data'!$C$3:$C$2150,$A113,'United Data'!$B$3:$B$2150,"&lt;&gt;P")&gt;0,1,0)</f>
        <v>0</v>
      </c>
      <c r="J113">
        <f>IF(COUNTIFS('United Data'!$A$3:$A$2150,J$1,'United Data'!$C$3:$C$2150,$A113,'United Data'!$B$3:$B$2150,"&lt;&gt;P")&gt;0,1,0)</f>
        <v>0</v>
      </c>
      <c r="K113">
        <f>IF(COUNTIFS('United Data'!$A$3:$A$2150,K$1,'United Data'!$C$3:$C$2150,$A113,'United Data'!$B$3:$B$2150,"&lt;&gt;P")&gt;0,1,0)</f>
        <v>0</v>
      </c>
      <c r="L113">
        <f>IF(COUNTIFS('United Data'!$A$3:$A$2150,L$1,'United Data'!$C$3:$C$2150,$A113,'United Data'!$B$3:$B$2150,"&lt;&gt;P")&gt;0,1,0)</f>
        <v>1</v>
      </c>
      <c r="M113">
        <f>IF(COUNTIFS('United Data'!$A$3:$A$2150,M$1,'United Data'!$C$3:$C$2150,$A113,'United Data'!$B$3:$B$2150,"&lt;&gt;P")&gt;0,1,0)</f>
        <v>1</v>
      </c>
      <c r="N113">
        <f>IF(COUNTIFS('United Data'!$A$3:$A$2150,N$1,'United Data'!$C$3:$C$2150,$A113,'United Data'!$B$3:$B$2150,"&lt;&gt;P")&gt;0,1,0)</f>
        <v>0</v>
      </c>
      <c r="O113">
        <f>IF(COUNTIFS('United Data'!$A$3:$A$2150,O$1,'United Data'!$C$3:$C$2150,$A113,'United Data'!$B$3:$B$2150,"&lt;&gt;P")&gt;0,1,0)</f>
        <v>0</v>
      </c>
      <c r="P113">
        <f>IF(COUNTIFS('United Data'!$A$3:$A$2150,P$1,'United Data'!$C$3:$C$2150,$A113,'United Data'!$B$3:$B$2150,"&lt;&gt;P")&gt;0,1,0)</f>
        <v>0</v>
      </c>
      <c r="Q113">
        <f>IF(COUNTIFS('United Data'!$A$3:$A$2150,Q$1,'United Data'!$C$3:$C$2150,$A113,'United Data'!$B$3:$B$2150,"&lt;&gt;P")&gt;0,1,0)</f>
        <v>0</v>
      </c>
      <c r="R113">
        <f>IF(COUNTIFS('United Data'!$A$3:$A$2150,R$1,'United Data'!$C$3:$C$2150,$A113,'United Data'!$B$3:$B$2150,"&lt;&gt;P")&gt;0,1,0)</f>
        <v>0</v>
      </c>
      <c r="S113">
        <f t="shared" si="2"/>
        <v>2</v>
      </c>
      <c r="T113">
        <f t="shared" si="3"/>
        <v>1</v>
      </c>
    </row>
    <row r="114" spans="1:20" x14ac:dyDescent="0.2">
      <c r="A114" t="s">
        <v>159</v>
      </c>
      <c r="B114">
        <f>IF(COUNTIFS('United Data'!$A$3:$A$2150,B$1,'United Data'!$C$3:$C$2150,$A114,'United Data'!$B$3:$B$2150,"&lt;&gt;P")&gt;0,1,0)</f>
        <v>0</v>
      </c>
      <c r="C114">
        <f>IF(COUNTIFS('United Data'!$A$3:$A$2150,C$1,'United Data'!$C$3:$C$2150,$A114,'United Data'!$B$3:$B$2150,"&lt;&gt;P")&gt;0,1,0)</f>
        <v>0</v>
      </c>
      <c r="D114">
        <f>IF(COUNTIFS('United Data'!$A$3:$A$2150,D$1,'United Data'!$C$3:$C$2150,$A114,'United Data'!$B$3:$B$2150,"&lt;&gt;P")&gt;0,1,0)</f>
        <v>0</v>
      </c>
      <c r="E114">
        <f>IF(COUNTIFS('United Data'!$A$3:$A$2150,E$1,'United Data'!$C$3:$C$2150,$A114,'United Data'!$B$3:$B$2150,"&lt;&gt;P")&gt;0,1,0)</f>
        <v>0</v>
      </c>
      <c r="F114">
        <f>IF(COUNTIFS('United Data'!$A$3:$A$2150,F$1,'United Data'!$C$3:$C$2150,$A114,'United Data'!$B$3:$B$2150,"&lt;&gt;P")&gt;0,1,0)</f>
        <v>0</v>
      </c>
      <c r="G114">
        <f>IF(COUNTIFS('United Data'!$A$3:$A$2150,G$1,'United Data'!$C$3:$C$2150,$A114,'United Data'!$B$3:$B$2150,"&lt;&gt;P")&gt;0,1,0)</f>
        <v>0</v>
      </c>
      <c r="H114">
        <f>IF(COUNTIFS('United Data'!$A$3:$A$2150,H$1,'United Data'!$C$3:$C$2150,$A114,'United Data'!$B$3:$B$2150,"&lt;&gt;P")&gt;0,1,0)</f>
        <v>0</v>
      </c>
      <c r="I114">
        <f>IF(COUNTIFS('United Data'!$A$3:$A$2150,I$1,'United Data'!$C$3:$C$2150,$A114,'United Data'!$B$3:$B$2150,"&lt;&gt;P")&gt;0,1,0)</f>
        <v>0</v>
      </c>
      <c r="J114">
        <f>IF(COUNTIFS('United Data'!$A$3:$A$2150,J$1,'United Data'!$C$3:$C$2150,$A114,'United Data'!$B$3:$B$2150,"&lt;&gt;P")&gt;0,1,0)</f>
        <v>0</v>
      </c>
      <c r="K114">
        <f>IF(COUNTIFS('United Data'!$A$3:$A$2150,K$1,'United Data'!$C$3:$C$2150,$A114,'United Data'!$B$3:$B$2150,"&lt;&gt;P")&gt;0,1,0)</f>
        <v>0</v>
      </c>
      <c r="L114">
        <f>IF(COUNTIFS('United Data'!$A$3:$A$2150,L$1,'United Data'!$C$3:$C$2150,$A114,'United Data'!$B$3:$B$2150,"&lt;&gt;P")&gt;0,1,0)</f>
        <v>1</v>
      </c>
      <c r="M114">
        <f>IF(COUNTIFS('United Data'!$A$3:$A$2150,M$1,'United Data'!$C$3:$C$2150,$A114,'United Data'!$B$3:$B$2150,"&lt;&gt;P")&gt;0,1,0)</f>
        <v>0</v>
      </c>
      <c r="N114">
        <f>IF(COUNTIFS('United Data'!$A$3:$A$2150,N$1,'United Data'!$C$3:$C$2150,$A114,'United Data'!$B$3:$B$2150,"&lt;&gt;P")&gt;0,1,0)</f>
        <v>0</v>
      </c>
      <c r="O114">
        <f>IF(COUNTIFS('United Data'!$A$3:$A$2150,O$1,'United Data'!$C$3:$C$2150,$A114,'United Data'!$B$3:$B$2150,"&lt;&gt;P")&gt;0,1,0)</f>
        <v>0</v>
      </c>
      <c r="P114">
        <f>IF(COUNTIFS('United Data'!$A$3:$A$2150,P$1,'United Data'!$C$3:$C$2150,$A114,'United Data'!$B$3:$B$2150,"&lt;&gt;P")&gt;0,1,0)</f>
        <v>0</v>
      </c>
      <c r="Q114">
        <f>IF(COUNTIFS('United Data'!$A$3:$A$2150,Q$1,'United Data'!$C$3:$C$2150,$A114,'United Data'!$B$3:$B$2150,"&lt;&gt;P")&gt;0,1,0)</f>
        <v>0</v>
      </c>
      <c r="R114">
        <f>IF(COUNTIFS('United Data'!$A$3:$A$2150,R$1,'United Data'!$C$3:$C$2150,$A114,'United Data'!$B$3:$B$2150,"&lt;&gt;P")&gt;0,1,0)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160</v>
      </c>
      <c r="B115">
        <f>IF(COUNTIFS('United Data'!$A$3:$A$2150,B$1,'United Data'!$C$3:$C$2150,$A115,'United Data'!$B$3:$B$2150,"&lt;&gt;P")&gt;0,1,0)</f>
        <v>0</v>
      </c>
      <c r="C115">
        <f>IF(COUNTIFS('United Data'!$A$3:$A$2150,C$1,'United Data'!$C$3:$C$2150,$A115,'United Data'!$B$3:$B$2150,"&lt;&gt;P")&gt;0,1,0)</f>
        <v>0</v>
      </c>
      <c r="D115">
        <f>IF(COUNTIFS('United Data'!$A$3:$A$2150,D$1,'United Data'!$C$3:$C$2150,$A115,'United Data'!$B$3:$B$2150,"&lt;&gt;P")&gt;0,1,0)</f>
        <v>0</v>
      </c>
      <c r="E115">
        <f>IF(COUNTIFS('United Data'!$A$3:$A$2150,E$1,'United Data'!$C$3:$C$2150,$A115,'United Data'!$B$3:$B$2150,"&lt;&gt;P")&gt;0,1,0)</f>
        <v>0</v>
      </c>
      <c r="F115">
        <f>IF(COUNTIFS('United Data'!$A$3:$A$2150,F$1,'United Data'!$C$3:$C$2150,$A115,'United Data'!$B$3:$B$2150,"&lt;&gt;P")&gt;0,1,0)</f>
        <v>0</v>
      </c>
      <c r="G115">
        <f>IF(COUNTIFS('United Data'!$A$3:$A$2150,G$1,'United Data'!$C$3:$C$2150,$A115,'United Data'!$B$3:$B$2150,"&lt;&gt;P")&gt;0,1,0)</f>
        <v>0</v>
      </c>
      <c r="H115">
        <f>IF(COUNTIFS('United Data'!$A$3:$A$2150,H$1,'United Data'!$C$3:$C$2150,$A115,'United Data'!$B$3:$B$2150,"&lt;&gt;P")&gt;0,1,0)</f>
        <v>0</v>
      </c>
      <c r="I115">
        <f>IF(COUNTIFS('United Data'!$A$3:$A$2150,I$1,'United Data'!$C$3:$C$2150,$A115,'United Data'!$B$3:$B$2150,"&lt;&gt;P")&gt;0,1,0)</f>
        <v>0</v>
      </c>
      <c r="J115">
        <f>IF(COUNTIFS('United Data'!$A$3:$A$2150,J$1,'United Data'!$C$3:$C$2150,$A115,'United Data'!$B$3:$B$2150,"&lt;&gt;P")&gt;0,1,0)</f>
        <v>0</v>
      </c>
      <c r="K115">
        <f>IF(COUNTIFS('United Data'!$A$3:$A$2150,K$1,'United Data'!$C$3:$C$2150,$A115,'United Data'!$B$3:$B$2150,"&lt;&gt;P")&gt;0,1,0)</f>
        <v>0</v>
      </c>
      <c r="L115">
        <f>IF(COUNTIFS('United Data'!$A$3:$A$2150,L$1,'United Data'!$C$3:$C$2150,$A115,'United Data'!$B$3:$B$2150,"&lt;&gt;P")&gt;0,1,0)</f>
        <v>1</v>
      </c>
      <c r="M115">
        <f>IF(COUNTIFS('United Data'!$A$3:$A$2150,M$1,'United Data'!$C$3:$C$2150,$A115,'United Data'!$B$3:$B$2150,"&lt;&gt;P")&gt;0,1,0)</f>
        <v>0</v>
      </c>
      <c r="N115">
        <f>IF(COUNTIFS('United Data'!$A$3:$A$2150,N$1,'United Data'!$C$3:$C$2150,$A115,'United Data'!$B$3:$B$2150,"&lt;&gt;P")&gt;0,1,0)</f>
        <v>0</v>
      </c>
      <c r="O115">
        <f>IF(COUNTIFS('United Data'!$A$3:$A$2150,O$1,'United Data'!$C$3:$C$2150,$A115,'United Data'!$B$3:$B$2150,"&lt;&gt;P")&gt;0,1,0)</f>
        <v>0</v>
      </c>
      <c r="P115">
        <f>IF(COUNTIFS('United Data'!$A$3:$A$2150,P$1,'United Data'!$C$3:$C$2150,$A115,'United Data'!$B$3:$B$2150,"&lt;&gt;P")&gt;0,1,0)</f>
        <v>0</v>
      </c>
      <c r="Q115">
        <f>IF(COUNTIFS('United Data'!$A$3:$A$2150,Q$1,'United Data'!$C$3:$C$2150,$A115,'United Data'!$B$3:$B$2150,"&lt;&gt;P")&gt;0,1,0)</f>
        <v>0</v>
      </c>
      <c r="R115">
        <f>IF(COUNTIFS('United Data'!$A$3:$A$2150,R$1,'United Data'!$C$3:$C$2150,$A115,'United Data'!$B$3:$B$2150,"&lt;&gt;P")&gt;0,1,0)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161</v>
      </c>
      <c r="B116">
        <f>IF(COUNTIFS('United Data'!$A$3:$A$2150,B$1,'United Data'!$C$3:$C$2150,$A116,'United Data'!$B$3:$B$2150,"&lt;&gt;P")&gt;0,1,0)</f>
        <v>0</v>
      </c>
      <c r="C116">
        <f>IF(COUNTIFS('United Data'!$A$3:$A$2150,C$1,'United Data'!$C$3:$C$2150,$A116,'United Data'!$B$3:$B$2150,"&lt;&gt;P")&gt;0,1,0)</f>
        <v>0</v>
      </c>
      <c r="D116">
        <f>IF(COUNTIFS('United Data'!$A$3:$A$2150,D$1,'United Data'!$C$3:$C$2150,$A116,'United Data'!$B$3:$B$2150,"&lt;&gt;P")&gt;0,1,0)</f>
        <v>0</v>
      </c>
      <c r="E116">
        <f>IF(COUNTIFS('United Data'!$A$3:$A$2150,E$1,'United Data'!$C$3:$C$2150,$A116,'United Data'!$B$3:$B$2150,"&lt;&gt;P")&gt;0,1,0)</f>
        <v>0</v>
      </c>
      <c r="F116">
        <f>IF(COUNTIFS('United Data'!$A$3:$A$2150,F$1,'United Data'!$C$3:$C$2150,$A116,'United Data'!$B$3:$B$2150,"&lt;&gt;P")&gt;0,1,0)</f>
        <v>0</v>
      </c>
      <c r="G116">
        <f>IF(COUNTIFS('United Data'!$A$3:$A$2150,G$1,'United Data'!$C$3:$C$2150,$A116,'United Data'!$B$3:$B$2150,"&lt;&gt;P")&gt;0,1,0)</f>
        <v>0</v>
      </c>
      <c r="H116">
        <f>IF(COUNTIFS('United Data'!$A$3:$A$2150,H$1,'United Data'!$C$3:$C$2150,$A116,'United Data'!$B$3:$B$2150,"&lt;&gt;P")&gt;0,1,0)</f>
        <v>0</v>
      </c>
      <c r="I116">
        <f>IF(COUNTIFS('United Data'!$A$3:$A$2150,I$1,'United Data'!$C$3:$C$2150,$A116,'United Data'!$B$3:$B$2150,"&lt;&gt;P")&gt;0,1,0)</f>
        <v>0</v>
      </c>
      <c r="J116">
        <f>IF(COUNTIFS('United Data'!$A$3:$A$2150,J$1,'United Data'!$C$3:$C$2150,$A116,'United Data'!$B$3:$B$2150,"&lt;&gt;P")&gt;0,1,0)</f>
        <v>0</v>
      </c>
      <c r="K116">
        <f>IF(COUNTIFS('United Data'!$A$3:$A$2150,K$1,'United Data'!$C$3:$C$2150,$A116,'United Data'!$B$3:$B$2150,"&lt;&gt;P")&gt;0,1,0)</f>
        <v>0</v>
      </c>
      <c r="L116">
        <f>IF(COUNTIFS('United Data'!$A$3:$A$2150,L$1,'United Data'!$C$3:$C$2150,$A116,'United Data'!$B$3:$B$2150,"&lt;&gt;P")&gt;0,1,0)</f>
        <v>1</v>
      </c>
      <c r="M116">
        <f>IF(COUNTIFS('United Data'!$A$3:$A$2150,M$1,'United Data'!$C$3:$C$2150,$A116,'United Data'!$B$3:$B$2150,"&lt;&gt;P")&gt;0,1,0)</f>
        <v>0</v>
      </c>
      <c r="N116">
        <f>IF(COUNTIFS('United Data'!$A$3:$A$2150,N$1,'United Data'!$C$3:$C$2150,$A116,'United Data'!$B$3:$B$2150,"&lt;&gt;P")&gt;0,1,0)</f>
        <v>0</v>
      </c>
      <c r="O116">
        <f>IF(COUNTIFS('United Data'!$A$3:$A$2150,O$1,'United Data'!$C$3:$C$2150,$A116,'United Data'!$B$3:$B$2150,"&lt;&gt;P")&gt;0,1,0)</f>
        <v>0</v>
      </c>
      <c r="P116">
        <f>IF(COUNTIFS('United Data'!$A$3:$A$2150,P$1,'United Data'!$C$3:$C$2150,$A116,'United Data'!$B$3:$B$2150,"&lt;&gt;P")&gt;0,1,0)</f>
        <v>0</v>
      </c>
      <c r="Q116">
        <f>IF(COUNTIFS('United Data'!$A$3:$A$2150,Q$1,'United Data'!$C$3:$C$2150,$A116,'United Data'!$B$3:$B$2150,"&lt;&gt;P")&gt;0,1,0)</f>
        <v>0</v>
      </c>
      <c r="R116">
        <f>IF(COUNTIFS('United Data'!$A$3:$A$2150,R$1,'United Data'!$C$3:$C$2150,$A116,'United Data'!$B$3:$B$2150,"&lt;&gt;P")&gt;0,1,0)</f>
        <v>0</v>
      </c>
      <c r="S116">
        <f t="shared" si="2"/>
        <v>1</v>
      </c>
      <c r="T116">
        <f t="shared" si="3"/>
        <v>1</v>
      </c>
    </row>
    <row r="117" spans="1:20" x14ac:dyDescent="0.2">
      <c r="A117" t="s">
        <v>162</v>
      </c>
      <c r="B117">
        <f>IF(COUNTIFS('United Data'!$A$3:$A$2150,B$1,'United Data'!$C$3:$C$2150,$A117,'United Data'!$B$3:$B$2150,"&lt;&gt;P")&gt;0,1,0)</f>
        <v>0</v>
      </c>
      <c r="C117">
        <f>IF(COUNTIFS('United Data'!$A$3:$A$2150,C$1,'United Data'!$C$3:$C$2150,$A117,'United Data'!$B$3:$B$2150,"&lt;&gt;P")&gt;0,1,0)</f>
        <v>0</v>
      </c>
      <c r="D117">
        <f>IF(COUNTIFS('United Data'!$A$3:$A$2150,D$1,'United Data'!$C$3:$C$2150,$A117,'United Data'!$B$3:$B$2150,"&lt;&gt;P")&gt;0,1,0)</f>
        <v>0</v>
      </c>
      <c r="E117">
        <f>IF(COUNTIFS('United Data'!$A$3:$A$2150,E$1,'United Data'!$C$3:$C$2150,$A117,'United Data'!$B$3:$B$2150,"&lt;&gt;P")&gt;0,1,0)</f>
        <v>0</v>
      </c>
      <c r="F117">
        <f>IF(COUNTIFS('United Data'!$A$3:$A$2150,F$1,'United Data'!$C$3:$C$2150,$A117,'United Data'!$B$3:$B$2150,"&lt;&gt;P")&gt;0,1,0)</f>
        <v>0</v>
      </c>
      <c r="G117">
        <f>IF(COUNTIFS('United Data'!$A$3:$A$2150,G$1,'United Data'!$C$3:$C$2150,$A117,'United Data'!$B$3:$B$2150,"&lt;&gt;P")&gt;0,1,0)</f>
        <v>0</v>
      </c>
      <c r="H117">
        <f>IF(COUNTIFS('United Data'!$A$3:$A$2150,H$1,'United Data'!$C$3:$C$2150,$A117,'United Data'!$B$3:$B$2150,"&lt;&gt;P")&gt;0,1,0)</f>
        <v>0</v>
      </c>
      <c r="I117">
        <f>IF(COUNTIFS('United Data'!$A$3:$A$2150,I$1,'United Data'!$C$3:$C$2150,$A117,'United Data'!$B$3:$B$2150,"&lt;&gt;P")&gt;0,1,0)</f>
        <v>0</v>
      </c>
      <c r="J117">
        <f>IF(COUNTIFS('United Data'!$A$3:$A$2150,J$1,'United Data'!$C$3:$C$2150,$A117,'United Data'!$B$3:$B$2150,"&lt;&gt;P")&gt;0,1,0)</f>
        <v>0</v>
      </c>
      <c r="K117">
        <f>IF(COUNTIFS('United Data'!$A$3:$A$2150,K$1,'United Data'!$C$3:$C$2150,$A117,'United Data'!$B$3:$B$2150,"&lt;&gt;P")&gt;0,1,0)</f>
        <v>0</v>
      </c>
      <c r="L117">
        <f>IF(COUNTIFS('United Data'!$A$3:$A$2150,L$1,'United Data'!$C$3:$C$2150,$A117,'United Data'!$B$3:$B$2150,"&lt;&gt;P")&gt;0,1,0)</f>
        <v>0</v>
      </c>
      <c r="M117">
        <f>IF(COUNTIFS('United Data'!$A$3:$A$2150,M$1,'United Data'!$C$3:$C$2150,$A117,'United Data'!$B$3:$B$2150,"&lt;&gt;P")&gt;0,1,0)</f>
        <v>1</v>
      </c>
      <c r="N117">
        <f>IF(COUNTIFS('United Data'!$A$3:$A$2150,N$1,'United Data'!$C$3:$C$2150,$A117,'United Data'!$B$3:$B$2150,"&lt;&gt;P")&gt;0,1,0)</f>
        <v>0</v>
      </c>
      <c r="O117">
        <f>IF(COUNTIFS('United Data'!$A$3:$A$2150,O$1,'United Data'!$C$3:$C$2150,$A117,'United Data'!$B$3:$B$2150,"&lt;&gt;P")&gt;0,1,0)</f>
        <v>0</v>
      </c>
      <c r="P117">
        <f>IF(COUNTIFS('United Data'!$A$3:$A$2150,P$1,'United Data'!$C$3:$C$2150,$A117,'United Data'!$B$3:$B$2150,"&lt;&gt;P")&gt;0,1,0)</f>
        <v>0</v>
      </c>
      <c r="Q117">
        <f>IF(COUNTIFS('United Data'!$A$3:$A$2150,Q$1,'United Data'!$C$3:$C$2150,$A117,'United Data'!$B$3:$B$2150,"&lt;&gt;P")&gt;0,1,0)</f>
        <v>0</v>
      </c>
      <c r="R117">
        <f>IF(COUNTIFS('United Data'!$A$3:$A$2150,R$1,'United Data'!$C$3:$C$2150,$A117,'United Data'!$B$3:$B$2150,"&lt;&gt;P")&gt;0,1,0)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163</v>
      </c>
      <c r="B118">
        <f>IF(COUNTIFS('United Data'!$A$3:$A$2150,B$1,'United Data'!$C$3:$C$2150,$A118,'United Data'!$B$3:$B$2150,"&lt;&gt;P")&gt;0,1,0)</f>
        <v>0</v>
      </c>
      <c r="C118">
        <f>IF(COUNTIFS('United Data'!$A$3:$A$2150,C$1,'United Data'!$C$3:$C$2150,$A118,'United Data'!$B$3:$B$2150,"&lt;&gt;P")&gt;0,1,0)</f>
        <v>0</v>
      </c>
      <c r="D118">
        <f>IF(COUNTIFS('United Data'!$A$3:$A$2150,D$1,'United Data'!$C$3:$C$2150,$A118,'United Data'!$B$3:$B$2150,"&lt;&gt;P")&gt;0,1,0)</f>
        <v>0</v>
      </c>
      <c r="E118">
        <f>IF(COUNTIFS('United Data'!$A$3:$A$2150,E$1,'United Data'!$C$3:$C$2150,$A118,'United Data'!$B$3:$B$2150,"&lt;&gt;P")&gt;0,1,0)</f>
        <v>0</v>
      </c>
      <c r="F118">
        <f>IF(COUNTIFS('United Data'!$A$3:$A$2150,F$1,'United Data'!$C$3:$C$2150,$A118,'United Data'!$B$3:$B$2150,"&lt;&gt;P")&gt;0,1,0)</f>
        <v>0</v>
      </c>
      <c r="G118">
        <f>IF(COUNTIFS('United Data'!$A$3:$A$2150,G$1,'United Data'!$C$3:$C$2150,$A118,'United Data'!$B$3:$B$2150,"&lt;&gt;P")&gt;0,1,0)</f>
        <v>0</v>
      </c>
      <c r="H118">
        <f>IF(COUNTIFS('United Data'!$A$3:$A$2150,H$1,'United Data'!$C$3:$C$2150,$A118,'United Data'!$B$3:$B$2150,"&lt;&gt;P")&gt;0,1,0)</f>
        <v>0</v>
      </c>
      <c r="I118">
        <f>IF(COUNTIFS('United Data'!$A$3:$A$2150,I$1,'United Data'!$C$3:$C$2150,$A118,'United Data'!$B$3:$B$2150,"&lt;&gt;P")&gt;0,1,0)</f>
        <v>0</v>
      </c>
      <c r="J118">
        <f>IF(COUNTIFS('United Data'!$A$3:$A$2150,J$1,'United Data'!$C$3:$C$2150,$A118,'United Data'!$B$3:$B$2150,"&lt;&gt;P")&gt;0,1,0)</f>
        <v>1</v>
      </c>
      <c r="K118">
        <f>IF(COUNTIFS('United Data'!$A$3:$A$2150,K$1,'United Data'!$C$3:$C$2150,$A118,'United Data'!$B$3:$B$2150,"&lt;&gt;P")&gt;0,1,0)</f>
        <v>0</v>
      </c>
      <c r="L118">
        <f>IF(COUNTIFS('United Data'!$A$3:$A$2150,L$1,'United Data'!$C$3:$C$2150,$A118,'United Data'!$B$3:$B$2150,"&lt;&gt;P")&gt;0,1,0)</f>
        <v>0</v>
      </c>
      <c r="M118">
        <f>IF(COUNTIFS('United Data'!$A$3:$A$2150,M$1,'United Data'!$C$3:$C$2150,$A118,'United Data'!$B$3:$B$2150,"&lt;&gt;P")&gt;0,1,0)</f>
        <v>1</v>
      </c>
      <c r="N118">
        <f>IF(COUNTIFS('United Data'!$A$3:$A$2150,N$1,'United Data'!$C$3:$C$2150,$A118,'United Data'!$B$3:$B$2150,"&lt;&gt;P")&gt;0,1,0)</f>
        <v>1</v>
      </c>
      <c r="O118">
        <f>IF(COUNTIFS('United Data'!$A$3:$A$2150,O$1,'United Data'!$C$3:$C$2150,$A118,'United Data'!$B$3:$B$2150,"&lt;&gt;P")&gt;0,1,0)</f>
        <v>0</v>
      </c>
      <c r="P118">
        <f>IF(COUNTIFS('United Data'!$A$3:$A$2150,P$1,'United Data'!$C$3:$C$2150,$A118,'United Data'!$B$3:$B$2150,"&lt;&gt;P")&gt;0,1,0)</f>
        <v>0</v>
      </c>
      <c r="Q118">
        <f>IF(COUNTIFS('United Data'!$A$3:$A$2150,Q$1,'United Data'!$C$3:$C$2150,$A118,'United Data'!$B$3:$B$2150,"&lt;&gt;P")&gt;0,1,0)</f>
        <v>0</v>
      </c>
      <c r="R118">
        <f>IF(COUNTIFS('United Data'!$A$3:$A$2150,R$1,'United Data'!$C$3:$C$2150,$A118,'United Data'!$B$3:$B$2150,"&lt;&gt;P")&gt;0,1,0)</f>
        <v>0</v>
      </c>
      <c r="S118">
        <f t="shared" si="2"/>
        <v>3</v>
      </c>
      <c r="T118">
        <f t="shared" si="3"/>
        <v>2</v>
      </c>
    </row>
    <row r="119" spans="1:20" x14ac:dyDescent="0.2">
      <c r="A119" t="s">
        <v>164</v>
      </c>
      <c r="B119">
        <f>IF(COUNTIFS('United Data'!$A$3:$A$2150,B$1,'United Data'!$C$3:$C$2150,$A119,'United Data'!$B$3:$B$2150,"&lt;&gt;P")&gt;0,1,0)</f>
        <v>0</v>
      </c>
      <c r="C119">
        <f>IF(COUNTIFS('United Data'!$A$3:$A$2150,C$1,'United Data'!$C$3:$C$2150,$A119,'United Data'!$B$3:$B$2150,"&lt;&gt;P")&gt;0,1,0)</f>
        <v>0</v>
      </c>
      <c r="D119">
        <f>IF(COUNTIFS('United Data'!$A$3:$A$2150,D$1,'United Data'!$C$3:$C$2150,$A119,'United Data'!$B$3:$B$2150,"&lt;&gt;P")&gt;0,1,0)</f>
        <v>0</v>
      </c>
      <c r="E119">
        <f>IF(COUNTIFS('United Data'!$A$3:$A$2150,E$1,'United Data'!$C$3:$C$2150,$A119,'United Data'!$B$3:$B$2150,"&lt;&gt;P")&gt;0,1,0)</f>
        <v>0</v>
      </c>
      <c r="F119">
        <f>IF(COUNTIFS('United Data'!$A$3:$A$2150,F$1,'United Data'!$C$3:$C$2150,$A119,'United Data'!$B$3:$B$2150,"&lt;&gt;P")&gt;0,1,0)</f>
        <v>0</v>
      </c>
      <c r="G119">
        <f>IF(COUNTIFS('United Data'!$A$3:$A$2150,G$1,'United Data'!$C$3:$C$2150,$A119,'United Data'!$B$3:$B$2150,"&lt;&gt;P")&gt;0,1,0)</f>
        <v>0</v>
      </c>
      <c r="H119">
        <f>IF(COUNTIFS('United Data'!$A$3:$A$2150,H$1,'United Data'!$C$3:$C$2150,$A119,'United Data'!$B$3:$B$2150,"&lt;&gt;P")&gt;0,1,0)</f>
        <v>0</v>
      </c>
      <c r="I119">
        <f>IF(COUNTIFS('United Data'!$A$3:$A$2150,I$1,'United Data'!$C$3:$C$2150,$A119,'United Data'!$B$3:$B$2150,"&lt;&gt;P")&gt;0,1,0)</f>
        <v>0</v>
      </c>
      <c r="J119">
        <f>IF(COUNTIFS('United Data'!$A$3:$A$2150,J$1,'United Data'!$C$3:$C$2150,$A119,'United Data'!$B$3:$B$2150,"&lt;&gt;P")&gt;0,1,0)</f>
        <v>0</v>
      </c>
      <c r="K119">
        <f>IF(COUNTIFS('United Data'!$A$3:$A$2150,K$1,'United Data'!$C$3:$C$2150,$A119,'United Data'!$B$3:$B$2150,"&lt;&gt;P")&gt;0,1,0)</f>
        <v>0</v>
      </c>
      <c r="L119">
        <f>IF(COUNTIFS('United Data'!$A$3:$A$2150,L$1,'United Data'!$C$3:$C$2150,$A119,'United Data'!$B$3:$B$2150,"&lt;&gt;P")&gt;0,1,0)</f>
        <v>0</v>
      </c>
      <c r="M119">
        <f>IF(COUNTIFS('United Data'!$A$3:$A$2150,M$1,'United Data'!$C$3:$C$2150,$A119,'United Data'!$B$3:$B$2150,"&lt;&gt;P")&gt;0,1,0)</f>
        <v>1</v>
      </c>
      <c r="N119">
        <f>IF(COUNTIFS('United Data'!$A$3:$A$2150,N$1,'United Data'!$C$3:$C$2150,$A119,'United Data'!$B$3:$B$2150,"&lt;&gt;P")&gt;0,1,0)</f>
        <v>0</v>
      </c>
      <c r="O119">
        <f>IF(COUNTIFS('United Data'!$A$3:$A$2150,O$1,'United Data'!$C$3:$C$2150,$A119,'United Data'!$B$3:$B$2150,"&lt;&gt;P")&gt;0,1,0)</f>
        <v>0</v>
      </c>
      <c r="P119">
        <f>IF(COUNTIFS('United Data'!$A$3:$A$2150,P$1,'United Data'!$C$3:$C$2150,$A119,'United Data'!$B$3:$B$2150,"&lt;&gt;P")&gt;0,1,0)</f>
        <v>0</v>
      </c>
      <c r="Q119">
        <f>IF(COUNTIFS('United Data'!$A$3:$A$2150,Q$1,'United Data'!$C$3:$C$2150,$A119,'United Data'!$B$3:$B$2150,"&lt;&gt;P")&gt;0,1,0)</f>
        <v>0</v>
      </c>
      <c r="R119">
        <f>IF(COUNTIFS('United Data'!$A$3:$A$2150,R$1,'United Data'!$C$3:$C$2150,$A119,'United Data'!$B$3:$B$2150,"&lt;&gt;P")&gt;0,1,0)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165</v>
      </c>
      <c r="B120">
        <f>IF(COUNTIFS('United Data'!$A$3:$A$2150,B$1,'United Data'!$C$3:$C$2150,$A120,'United Data'!$B$3:$B$2150,"&lt;&gt;P")&gt;0,1,0)</f>
        <v>0</v>
      </c>
      <c r="C120">
        <f>IF(COUNTIFS('United Data'!$A$3:$A$2150,C$1,'United Data'!$C$3:$C$2150,$A120,'United Data'!$B$3:$B$2150,"&lt;&gt;P")&gt;0,1,0)</f>
        <v>0</v>
      </c>
      <c r="D120">
        <f>IF(COUNTIFS('United Data'!$A$3:$A$2150,D$1,'United Data'!$C$3:$C$2150,$A120,'United Data'!$B$3:$B$2150,"&lt;&gt;P")&gt;0,1,0)</f>
        <v>0</v>
      </c>
      <c r="E120">
        <f>IF(COUNTIFS('United Data'!$A$3:$A$2150,E$1,'United Data'!$C$3:$C$2150,$A120,'United Data'!$B$3:$B$2150,"&lt;&gt;P")&gt;0,1,0)</f>
        <v>0</v>
      </c>
      <c r="F120">
        <f>IF(COUNTIFS('United Data'!$A$3:$A$2150,F$1,'United Data'!$C$3:$C$2150,$A120,'United Data'!$B$3:$B$2150,"&lt;&gt;P")&gt;0,1,0)</f>
        <v>0</v>
      </c>
      <c r="G120">
        <f>IF(COUNTIFS('United Data'!$A$3:$A$2150,G$1,'United Data'!$C$3:$C$2150,$A120,'United Data'!$B$3:$B$2150,"&lt;&gt;P")&gt;0,1,0)</f>
        <v>0</v>
      </c>
      <c r="H120">
        <f>IF(COUNTIFS('United Data'!$A$3:$A$2150,H$1,'United Data'!$C$3:$C$2150,$A120,'United Data'!$B$3:$B$2150,"&lt;&gt;P")&gt;0,1,0)</f>
        <v>0</v>
      </c>
      <c r="I120">
        <f>IF(COUNTIFS('United Data'!$A$3:$A$2150,I$1,'United Data'!$C$3:$C$2150,$A120,'United Data'!$B$3:$B$2150,"&lt;&gt;P")&gt;0,1,0)</f>
        <v>0</v>
      </c>
      <c r="J120">
        <f>IF(COUNTIFS('United Data'!$A$3:$A$2150,J$1,'United Data'!$C$3:$C$2150,$A120,'United Data'!$B$3:$B$2150,"&lt;&gt;P")&gt;0,1,0)</f>
        <v>0</v>
      </c>
      <c r="K120">
        <f>IF(COUNTIFS('United Data'!$A$3:$A$2150,K$1,'United Data'!$C$3:$C$2150,$A120,'United Data'!$B$3:$B$2150,"&lt;&gt;P")&gt;0,1,0)</f>
        <v>0</v>
      </c>
      <c r="L120">
        <f>IF(COUNTIFS('United Data'!$A$3:$A$2150,L$1,'United Data'!$C$3:$C$2150,$A120,'United Data'!$B$3:$B$2150,"&lt;&gt;P")&gt;0,1,0)</f>
        <v>0</v>
      </c>
      <c r="M120">
        <f>IF(COUNTIFS('United Data'!$A$3:$A$2150,M$1,'United Data'!$C$3:$C$2150,$A120,'United Data'!$B$3:$B$2150,"&lt;&gt;P")&gt;0,1,0)</f>
        <v>1</v>
      </c>
      <c r="N120">
        <f>IF(COUNTIFS('United Data'!$A$3:$A$2150,N$1,'United Data'!$C$3:$C$2150,$A120,'United Data'!$B$3:$B$2150,"&lt;&gt;P")&gt;0,1,0)</f>
        <v>0</v>
      </c>
      <c r="O120">
        <f>IF(COUNTIFS('United Data'!$A$3:$A$2150,O$1,'United Data'!$C$3:$C$2150,$A120,'United Data'!$B$3:$B$2150,"&lt;&gt;P")&gt;0,1,0)</f>
        <v>0</v>
      </c>
      <c r="P120">
        <f>IF(COUNTIFS('United Data'!$A$3:$A$2150,P$1,'United Data'!$C$3:$C$2150,$A120,'United Data'!$B$3:$B$2150,"&lt;&gt;P")&gt;0,1,0)</f>
        <v>0</v>
      </c>
      <c r="Q120">
        <f>IF(COUNTIFS('United Data'!$A$3:$A$2150,Q$1,'United Data'!$C$3:$C$2150,$A120,'United Data'!$B$3:$B$2150,"&lt;&gt;P")&gt;0,1,0)</f>
        <v>0</v>
      </c>
      <c r="R120">
        <f>IF(COUNTIFS('United Data'!$A$3:$A$2150,R$1,'United Data'!$C$3:$C$2150,$A120,'United Data'!$B$3:$B$2150,"&lt;&gt;P")&gt;0,1,0)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166</v>
      </c>
      <c r="B121">
        <f>IF(COUNTIFS('United Data'!$A$3:$A$2150,B$1,'United Data'!$C$3:$C$2150,$A121,'United Data'!$B$3:$B$2150,"&lt;&gt;P")&gt;0,1,0)</f>
        <v>0</v>
      </c>
      <c r="C121">
        <f>IF(COUNTIFS('United Data'!$A$3:$A$2150,C$1,'United Data'!$C$3:$C$2150,$A121,'United Data'!$B$3:$B$2150,"&lt;&gt;P")&gt;0,1,0)</f>
        <v>0</v>
      </c>
      <c r="D121">
        <f>IF(COUNTIFS('United Data'!$A$3:$A$2150,D$1,'United Data'!$C$3:$C$2150,$A121,'United Data'!$B$3:$B$2150,"&lt;&gt;P")&gt;0,1,0)</f>
        <v>0</v>
      </c>
      <c r="E121">
        <f>IF(COUNTIFS('United Data'!$A$3:$A$2150,E$1,'United Data'!$C$3:$C$2150,$A121,'United Data'!$B$3:$B$2150,"&lt;&gt;P")&gt;0,1,0)</f>
        <v>0</v>
      </c>
      <c r="F121">
        <f>IF(COUNTIFS('United Data'!$A$3:$A$2150,F$1,'United Data'!$C$3:$C$2150,$A121,'United Data'!$B$3:$B$2150,"&lt;&gt;P")&gt;0,1,0)</f>
        <v>0</v>
      </c>
      <c r="G121">
        <f>IF(COUNTIFS('United Data'!$A$3:$A$2150,G$1,'United Data'!$C$3:$C$2150,$A121,'United Data'!$B$3:$B$2150,"&lt;&gt;P")&gt;0,1,0)</f>
        <v>0</v>
      </c>
      <c r="H121">
        <f>IF(COUNTIFS('United Data'!$A$3:$A$2150,H$1,'United Data'!$C$3:$C$2150,$A121,'United Data'!$B$3:$B$2150,"&lt;&gt;P")&gt;0,1,0)</f>
        <v>0</v>
      </c>
      <c r="I121">
        <f>IF(COUNTIFS('United Data'!$A$3:$A$2150,I$1,'United Data'!$C$3:$C$2150,$A121,'United Data'!$B$3:$B$2150,"&lt;&gt;P")&gt;0,1,0)</f>
        <v>0</v>
      </c>
      <c r="J121">
        <f>IF(COUNTIFS('United Data'!$A$3:$A$2150,J$1,'United Data'!$C$3:$C$2150,$A121,'United Data'!$B$3:$B$2150,"&lt;&gt;P")&gt;0,1,0)</f>
        <v>0</v>
      </c>
      <c r="K121">
        <f>IF(COUNTIFS('United Data'!$A$3:$A$2150,K$1,'United Data'!$C$3:$C$2150,$A121,'United Data'!$B$3:$B$2150,"&lt;&gt;P")&gt;0,1,0)</f>
        <v>0</v>
      </c>
      <c r="L121">
        <f>IF(COUNTIFS('United Data'!$A$3:$A$2150,L$1,'United Data'!$C$3:$C$2150,$A121,'United Data'!$B$3:$B$2150,"&lt;&gt;P")&gt;0,1,0)</f>
        <v>0</v>
      </c>
      <c r="M121">
        <f>IF(COUNTIFS('United Data'!$A$3:$A$2150,M$1,'United Data'!$C$3:$C$2150,$A121,'United Data'!$B$3:$B$2150,"&lt;&gt;P")&gt;0,1,0)</f>
        <v>1</v>
      </c>
      <c r="N121">
        <f>IF(COUNTIFS('United Data'!$A$3:$A$2150,N$1,'United Data'!$C$3:$C$2150,$A121,'United Data'!$B$3:$B$2150,"&lt;&gt;P")&gt;0,1,0)</f>
        <v>0</v>
      </c>
      <c r="O121">
        <f>IF(COUNTIFS('United Data'!$A$3:$A$2150,O$1,'United Data'!$C$3:$C$2150,$A121,'United Data'!$B$3:$B$2150,"&lt;&gt;P")&gt;0,1,0)</f>
        <v>0</v>
      </c>
      <c r="P121">
        <f>IF(COUNTIFS('United Data'!$A$3:$A$2150,P$1,'United Data'!$C$3:$C$2150,$A121,'United Data'!$B$3:$B$2150,"&lt;&gt;P")&gt;0,1,0)</f>
        <v>0</v>
      </c>
      <c r="Q121">
        <f>IF(COUNTIFS('United Data'!$A$3:$A$2150,Q$1,'United Data'!$C$3:$C$2150,$A121,'United Data'!$B$3:$B$2150,"&lt;&gt;P")&gt;0,1,0)</f>
        <v>0</v>
      </c>
      <c r="R121">
        <f>IF(COUNTIFS('United Data'!$A$3:$A$2150,R$1,'United Data'!$C$3:$C$2150,$A121,'United Data'!$B$3:$B$2150,"&lt;&gt;P")&gt;0,1,0)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167</v>
      </c>
      <c r="B122">
        <f>IF(COUNTIFS('United Data'!$A$3:$A$2150,B$1,'United Data'!$C$3:$C$2150,$A122,'United Data'!$B$3:$B$2150,"&lt;&gt;P")&gt;0,1,0)</f>
        <v>0</v>
      </c>
      <c r="C122">
        <f>IF(COUNTIFS('United Data'!$A$3:$A$2150,C$1,'United Data'!$C$3:$C$2150,$A122,'United Data'!$B$3:$B$2150,"&lt;&gt;P")&gt;0,1,0)</f>
        <v>0</v>
      </c>
      <c r="D122">
        <f>IF(COUNTIFS('United Data'!$A$3:$A$2150,D$1,'United Data'!$C$3:$C$2150,$A122,'United Data'!$B$3:$B$2150,"&lt;&gt;P")&gt;0,1,0)</f>
        <v>0</v>
      </c>
      <c r="E122">
        <f>IF(COUNTIFS('United Data'!$A$3:$A$2150,E$1,'United Data'!$C$3:$C$2150,$A122,'United Data'!$B$3:$B$2150,"&lt;&gt;P")&gt;0,1,0)</f>
        <v>0</v>
      </c>
      <c r="F122">
        <f>IF(COUNTIFS('United Data'!$A$3:$A$2150,F$1,'United Data'!$C$3:$C$2150,$A122,'United Data'!$B$3:$B$2150,"&lt;&gt;P")&gt;0,1,0)</f>
        <v>0</v>
      </c>
      <c r="G122">
        <f>IF(COUNTIFS('United Data'!$A$3:$A$2150,G$1,'United Data'!$C$3:$C$2150,$A122,'United Data'!$B$3:$B$2150,"&lt;&gt;P")&gt;0,1,0)</f>
        <v>0</v>
      </c>
      <c r="H122">
        <f>IF(COUNTIFS('United Data'!$A$3:$A$2150,H$1,'United Data'!$C$3:$C$2150,$A122,'United Data'!$B$3:$B$2150,"&lt;&gt;P")&gt;0,1,0)</f>
        <v>0</v>
      </c>
      <c r="I122">
        <f>IF(COUNTIFS('United Data'!$A$3:$A$2150,I$1,'United Data'!$C$3:$C$2150,$A122,'United Data'!$B$3:$B$2150,"&lt;&gt;P")&gt;0,1,0)</f>
        <v>0</v>
      </c>
      <c r="J122">
        <f>IF(COUNTIFS('United Data'!$A$3:$A$2150,J$1,'United Data'!$C$3:$C$2150,$A122,'United Data'!$B$3:$B$2150,"&lt;&gt;P")&gt;0,1,0)</f>
        <v>0</v>
      </c>
      <c r="K122">
        <f>IF(COUNTIFS('United Data'!$A$3:$A$2150,K$1,'United Data'!$C$3:$C$2150,$A122,'United Data'!$B$3:$B$2150,"&lt;&gt;P")&gt;0,1,0)</f>
        <v>0</v>
      </c>
      <c r="L122">
        <f>IF(COUNTIFS('United Data'!$A$3:$A$2150,L$1,'United Data'!$C$3:$C$2150,$A122,'United Data'!$B$3:$B$2150,"&lt;&gt;P")&gt;0,1,0)</f>
        <v>0</v>
      </c>
      <c r="M122">
        <f>IF(COUNTIFS('United Data'!$A$3:$A$2150,M$1,'United Data'!$C$3:$C$2150,$A122,'United Data'!$B$3:$B$2150,"&lt;&gt;P")&gt;0,1,0)</f>
        <v>1</v>
      </c>
      <c r="N122">
        <f>IF(COUNTIFS('United Data'!$A$3:$A$2150,N$1,'United Data'!$C$3:$C$2150,$A122,'United Data'!$B$3:$B$2150,"&lt;&gt;P")&gt;0,1,0)</f>
        <v>0</v>
      </c>
      <c r="O122">
        <f>IF(COUNTIFS('United Data'!$A$3:$A$2150,O$1,'United Data'!$C$3:$C$2150,$A122,'United Data'!$B$3:$B$2150,"&lt;&gt;P")&gt;0,1,0)</f>
        <v>0</v>
      </c>
      <c r="P122">
        <f>IF(COUNTIFS('United Data'!$A$3:$A$2150,P$1,'United Data'!$C$3:$C$2150,$A122,'United Data'!$B$3:$B$2150,"&lt;&gt;P")&gt;0,1,0)</f>
        <v>0</v>
      </c>
      <c r="Q122">
        <f>IF(COUNTIFS('United Data'!$A$3:$A$2150,Q$1,'United Data'!$C$3:$C$2150,$A122,'United Data'!$B$3:$B$2150,"&lt;&gt;P")&gt;0,1,0)</f>
        <v>0</v>
      </c>
      <c r="R122">
        <f>IF(COUNTIFS('United Data'!$A$3:$A$2150,R$1,'United Data'!$C$3:$C$2150,$A122,'United Data'!$B$3:$B$2150,"&lt;&gt;P")&gt;0,1,0)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168</v>
      </c>
      <c r="B123">
        <f>IF(COUNTIFS('United Data'!$A$3:$A$2150,B$1,'United Data'!$C$3:$C$2150,$A123,'United Data'!$B$3:$B$2150,"&lt;&gt;P")&gt;0,1,0)</f>
        <v>0</v>
      </c>
      <c r="C123">
        <f>IF(COUNTIFS('United Data'!$A$3:$A$2150,C$1,'United Data'!$C$3:$C$2150,$A123,'United Data'!$B$3:$B$2150,"&lt;&gt;P")&gt;0,1,0)</f>
        <v>0</v>
      </c>
      <c r="D123">
        <f>IF(COUNTIFS('United Data'!$A$3:$A$2150,D$1,'United Data'!$C$3:$C$2150,$A123,'United Data'!$B$3:$B$2150,"&lt;&gt;P")&gt;0,1,0)</f>
        <v>0</v>
      </c>
      <c r="E123">
        <f>IF(COUNTIFS('United Data'!$A$3:$A$2150,E$1,'United Data'!$C$3:$C$2150,$A123,'United Data'!$B$3:$B$2150,"&lt;&gt;P")&gt;0,1,0)</f>
        <v>0</v>
      </c>
      <c r="F123">
        <f>IF(COUNTIFS('United Data'!$A$3:$A$2150,F$1,'United Data'!$C$3:$C$2150,$A123,'United Data'!$B$3:$B$2150,"&lt;&gt;P")&gt;0,1,0)</f>
        <v>0</v>
      </c>
      <c r="G123">
        <f>IF(COUNTIFS('United Data'!$A$3:$A$2150,G$1,'United Data'!$C$3:$C$2150,$A123,'United Data'!$B$3:$B$2150,"&lt;&gt;P")&gt;0,1,0)</f>
        <v>0</v>
      </c>
      <c r="H123">
        <f>IF(COUNTIFS('United Data'!$A$3:$A$2150,H$1,'United Data'!$C$3:$C$2150,$A123,'United Data'!$B$3:$B$2150,"&lt;&gt;P")&gt;0,1,0)</f>
        <v>0</v>
      </c>
      <c r="I123">
        <f>IF(COUNTIFS('United Data'!$A$3:$A$2150,I$1,'United Data'!$C$3:$C$2150,$A123,'United Data'!$B$3:$B$2150,"&lt;&gt;P")&gt;0,1,0)</f>
        <v>0</v>
      </c>
      <c r="J123">
        <f>IF(COUNTIFS('United Data'!$A$3:$A$2150,J$1,'United Data'!$C$3:$C$2150,$A123,'United Data'!$B$3:$B$2150,"&lt;&gt;P")&gt;0,1,0)</f>
        <v>0</v>
      </c>
      <c r="K123">
        <f>IF(COUNTIFS('United Data'!$A$3:$A$2150,K$1,'United Data'!$C$3:$C$2150,$A123,'United Data'!$B$3:$B$2150,"&lt;&gt;P")&gt;0,1,0)</f>
        <v>0</v>
      </c>
      <c r="L123">
        <f>IF(COUNTIFS('United Data'!$A$3:$A$2150,L$1,'United Data'!$C$3:$C$2150,$A123,'United Data'!$B$3:$B$2150,"&lt;&gt;P")&gt;0,1,0)</f>
        <v>0</v>
      </c>
      <c r="M123">
        <f>IF(COUNTIFS('United Data'!$A$3:$A$2150,M$1,'United Data'!$C$3:$C$2150,$A123,'United Data'!$B$3:$B$2150,"&lt;&gt;P")&gt;0,1,0)</f>
        <v>1</v>
      </c>
      <c r="N123">
        <f>IF(COUNTIFS('United Data'!$A$3:$A$2150,N$1,'United Data'!$C$3:$C$2150,$A123,'United Data'!$B$3:$B$2150,"&lt;&gt;P")&gt;0,1,0)</f>
        <v>0</v>
      </c>
      <c r="O123">
        <f>IF(COUNTIFS('United Data'!$A$3:$A$2150,O$1,'United Data'!$C$3:$C$2150,$A123,'United Data'!$B$3:$B$2150,"&lt;&gt;P")&gt;0,1,0)</f>
        <v>0</v>
      </c>
      <c r="P123">
        <f>IF(COUNTIFS('United Data'!$A$3:$A$2150,P$1,'United Data'!$C$3:$C$2150,$A123,'United Data'!$B$3:$B$2150,"&lt;&gt;P")&gt;0,1,0)</f>
        <v>0</v>
      </c>
      <c r="Q123">
        <f>IF(COUNTIFS('United Data'!$A$3:$A$2150,Q$1,'United Data'!$C$3:$C$2150,$A123,'United Data'!$B$3:$B$2150,"&lt;&gt;P")&gt;0,1,0)</f>
        <v>0</v>
      </c>
      <c r="R123">
        <f>IF(COUNTIFS('United Data'!$A$3:$A$2150,R$1,'United Data'!$C$3:$C$2150,$A123,'United Data'!$B$3:$B$2150,"&lt;&gt;P")&gt;0,1,0)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169</v>
      </c>
      <c r="B124">
        <f>IF(COUNTIFS('United Data'!$A$3:$A$2150,B$1,'United Data'!$C$3:$C$2150,$A124,'United Data'!$B$3:$B$2150,"&lt;&gt;P")&gt;0,1,0)</f>
        <v>0</v>
      </c>
      <c r="C124">
        <f>IF(COUNTIFS('United Data'!$A$3:$A$2150,C$1,'United Data'!$C$3:$C$2150,$A124,'United Data'!$B$3:$B$2150,"&lt;&gt;P")&gt;0,1,0)</f>
        <v>0</v>
      </c>
      <c r="D124">
        <f>IF(COUNTIFS('United Data'!$A$3:$A$2150,D$1,'United Data'!$C$3:$C$2150,$A124,'United Data'!$B$3:$B$2150,"&lt;&gt;P")&gt;0,1,0)</f>
        <v>0</v>
      </c>
      <c r="E124">
        <f>IF(COUNTIFS('United Data'!$A$3:$A$2150,E$1,'United Data'!$C$3:$C$2150,$A124,'United Data'!$B$3:$B$2150,"&lt;&gt;P")&gt;0,1,0)</f>
        <v>0</v>
      </c>
      <c r="F124">
        <f>IF(COUNTIFS('United Data'!$A$3:$A$2150,F$1,'United Data'!$C$3:$C$2150,$A124,'United Data'!$B$3:$B$2150,"&lt;&gt;P")&gt;0,1,0)</f>
        <v>0</v>
      </c>
      <c r="G124">
        <f>IF(COUNTIFS('United Data'!$A$3:$A$2150,G$1,'United Data'!$C$3:$C$2150,$A124,'United Data'!$B$3:$B$2150,"&lt;&gt;P")&gt;0,1,0)</f>
        <v>0</v>
      </c>
      <c r="H124">
        <f>IF(COUNTIFS('United Data'!$A$3:$A$2150,H$1,'United Data'!$C$3:$C$2150,$A124,'United Data'!$B$3:$B$2150,"&lt;&gt;P")&gt;0,1,0)</f>
        <v>0</v>
      </c>
      <c r="I124">
        <f>IF(COUNTIFS('United Data'!$A$3:$A$2150,I$1,'United Data'!$C$3:$C$2150,$A124,'United Data'!$B$3:$B$2150,"&lt;&gt;P")&gt;0,1,0)</f>
        <v>0</v>
      </c>
      <c r="J124">
        <f>IF(COUNTIFS('United Data'!$A$3:$A$2150,J$1,'United Data'!$C$3:$C$2150,$A124,'United Data'!$B$3:$B$2150,"&lt;&gt;P")&gt;0,1,0)</f>
        <v>0</v>
      </c>
      <c r="K124">
        <f>IF(COUNTIFS('United Data'!$A$3:$A$2150,K$1,'United Data'!$C$3:$C$2150,$A124,'United Data'!$B$3:$B$2150,"&lt;&gt;P")&gt;0,1,0)</f>
        <v>0</v>
      </c>
      <c r="L124">
        <f>IF(COUNTIFS('United Data'!$A$3:$A$2150,L$1,'United Data'!$C$3:$C$2150,$A124,'United Data'!$B$3:$B$2150,"&lt;&gt;P")&gt;0,1,0)</f>
        <v>0</v>
      </c>
      <c r="M124">
        <f>IF(COUNTIFS('United Data'!$A$3:$A$2150,M$1,'United Data'!$C$3:$C$2150,$A124,'United Data'!$B$3:$B$2150,"&lt;&gt;P")&gt;0,1,0)</f>
        <v>1</v>
      </c>
      <c r="N124">
        <f>IF(COUNTIFS('United Data'!$A$3:$A$2150,N$1,'United Data'!$C$3:$C$2150,$A124,'United Data'!$B$3:$B$2150,"&lt;&gt;P")&gt;0,1,0)</f>
        <v>0</v>
      </c>
      <c r="O124">
        <f>IF(COUNTIFS('United Data'!$A$3:$A$2150,O$1,'United Data'!$C$3:$C$2150,$A124,'United Data'!$B$3:$B$2150,"&lt;&gt;P")&gt;0,1,0)</f>
        <v>0</v>
      </c>
      <c r="P124">
        <f>IF(COUNTIFS('United Data'!$A$3:$A$2150,P$1,'United Data'!$C$3:$C$2150,$A124,'United Data'!$B$3:$B$2150,"&lt;&gt;P")&gt;0,1,0)</f>
        <v>0</v>
      </c>
      <c r="Q124">
        <f>IF(COUNTIFS('United Data'!$A$3:$A$2150,Q$1,'United Data'!$C$3:$C$2150,$A124,'United Data'!$B$3:$B$2150,"&lt;&gt;P")&gt;0,1,0)</f>
        <v>0</v>
      </c>
      <c r="R124">
        <f>IF(COUNTIFS('United Data'!$A$3:$A$2150,R$1,'United Data'!$C$3:$C$2150,$A124,'United Data'!$B$3:$B$2150,"&lt;&gt;P")&gt;0,1,0)</f>
        <v>0</v>
      </c>
      <c r="S124">
        <f t="shared" si="2"/>
        <v>1</v>
      </c>
      <c r="T124">
        <f t="shared" si="3"/>
        <v>1</v>
      </c>
    </row>
    <row r="125" spans="1:20" x14ac:dyDescent="0.2">
      <c r="A125" t="s">
        <v>170</v>
      </c>
      <c r="B125">
        <f>IF(COUNTIFS('United Data'!$A$3:$A$2150,B$1,'United Data'!$C$3:$C$2150,$A125,'United Data'!$B$3:$B$2150,"&lt;&gt;P")&gt;0,1,0)</f>
        <v>0</v>
      </c>
      <c r="C125">
        <f>IF(COUNTIFS('United Data'!$A$3:$A$2150,C$1,'United Data'!$C$3:$C$2150,$A125,'United Data'!$B$3:$B$2150,"&lt;&gt;P")&gt;0,1,0)</f>
        <v>1</v>
      </c>
      <c r="D125">
        <f>IF(COUNTIFS('United Data'!$A$3:$A$2150,D$1,'United Data'!$C$3:$C$2150,$A125,'United Data'!$B$3:$B$2150,"&lt;&gt;P")&gt;0,1,0)</f>
        <v>0</v>
      </c>
      <c r="E125">
        <f>IF(COUNTIFS('United Data'!$A$3:$A$2150,E$1,'United Data'!$C$3:$C$2150,$A125,'United Data'!$B$3:$B$2150,"&lt;&gt;P")&gt;0,1,0)</f>
        <v>0</v>
      </c>
      <c r="F125">
        <f>IF(COUNTIFS('United Data'!$A$3:$A$2150,F$1,'United Data'!$C$3:$C$2150,$A125,'United Data'!$B$3:$B$2150,"&lt;&gt;P")&gt;0,1,0)</f>
        <v>0</v>
      </c>
      <c r="G125">
        <f>IF(COUNTIFS('United Data'!$A$3:$A$2150,G$1,'United Data'!$C$3:$C$2150,$A125,'United Data'!$B$3:$B$2150,"&lt;&gt;P")&gt;0,1,0)</f>
        <v>0</v>
      </c>
      <c r="H125">
        <f>IF(COUNTIFS('United Data'!$A$3:$A$2150,H$1,'United Data'!$C$3:$C$2150,$A125,'United Data'!$B$3:$B$2150,"&lt;&gt;P")&gt;0,1,0)</f>
        <v>0</v>
      </c>
      <c r="I125">
        <f>IF(COUNTIFS('United Data'!$A$3:$A$2150,I$1,'United Data'!$C$3:$C$2150,$A125,'United Data'!$B$3:$B$2150,"&lt;&gt;P")&gt;0,1,0)</f>
        <v>0</v>
      </c>
      <c r="J125">
        <f>IF(COUNTIFS('United Data'!$A$3:$A$2150,J$1,'United Data'!$C$3:$C$2150,$A125,'United Data'!$B$3:$B$2150,"&lt;&gt;P")&gt;0,1,0)</f>
        <v>0</v>
      </c>
      <c r="K125">
        <f>IF(COUNTIFS('United Data'!$A$3:$A$2150,K$1,'United Data'!$C$3:$C$2150,$A125,'United Data'!$B$3:$B$2150,"&lt;&gt;P")&gt;0,1,0)</f>
        <v>0</v>
      </c>
      <c r="L125">
        <f>IF(COUNTIFS('United Data'!$A$3:$A$2150,L$1,'United Data'!$C$3:$C$2150,$A125,'United Data'!$B$3:$B$2150,"&lt;&gt;P")&gt;0,1,0)</f>
        <v>0</v>
      </c>
      <c r="M125">
        <f>IF(COUNTIFS('United Data'!$A$3:$A$2150,M$1,'United Data'!$C$3:$C$2150,$A125,'United Data'!$B$3:$B$2150,"&lt;&gt;P")&gt;0,1,0)</f>
        <v>1</v>
      </c>
      <c r="N125">
        <f>IF(COUNTIFS('United Data'!$A$3:$A$2150,N$1,'United Data'!$C$3:$C$2150,$A125,'United Data'!$B$3:$B$2150,"&lt;&gt;P")&gt;0,1,0)</f>
        <v>0</v>
      </c>
      <c r="O125">
        <f>IF(COUNTIFS('United Data'!$A$3:$A$2150,O$1,'United Data'!$C$3:$C$2150,$A125,'United Data'!$B$3:$B$2150,"&lt;&gt;P")&gt;0,1,0)</f>
        <v>0</v>
      </c>
      <c r="P125">
        <f>IF(COUNTIFS('United Data'!$A$3:$A$2150,P$1,'United Data'!$C$3:$C$2150,$A125,'United Data'!$B$3:$B$2150,"&lt;&gt;P")&gt;0,1,0)</f>
        <v>0</v>
      </c>
      <c r="Q125">
        <f>IF(COUNTIFS('United Data'!$A$3:$A$2150,Q$1,'United Data'!$C$3:$C$2150,$A125,'United Data'!$B$3:$B$2150,"&lt;&gt;P")&gt;0,1,0)</f>
        <v>0</v>
      </c>
      <c r="R125">
        <f>IF(COUNTIFS('United Data'!$A$3:$A$2150,R$1,'United Data'!$C$3:$C$2150,$A125,'United Data'!$B$3:$B$2150,"&lt;&gt;P")&gt;0,1,0)</f>
        <v>0</v>
      </c>
      <c r="S125">
        <f t="shared" si="2"/>
        <v>2</v>
      </c>
      <c r="T125">
        <f t="shared" si="3"/>
        <v>2</v>
      </c>
    </row>
    <row r="126" spans="1:20" x14ac:dyDescent="0.2">
      <c r="A126" t="s">
        <v>171</v>
      </c>
      <c r="B126">
        <f>IF(COUNTIFS('United Data'!$A$3:$A$2150,B$1,'United Data'!$C$3:$C$2150,$A126,'United Data'!$B$3:$B$2150,"&lt;&gt;P")&gt;0,1,0)</f>
        <v>0</v>
      </c>
      <c r="C126">
        <f>IF(COUNTIFS('United Data'!$A$3:$A$2150,C$1,'United Data'!$C$3:$C$2150,$A126,'United Data'!$B$3:$B$2150,"&lt;&gt;P")&gt;0,1,0)</f>
        <v>0</v>
      </c>
      <c r="D126">
        <f>IF(COUNTIFS('United Data'!$A$3:$A$2150,D$1,'United Data'!$C$3:$C$2150,$A126,'United Data'!$B$3:$B$2150,"&lt;&gt;P")&gt;0,1,0)</f>
        <v>0</v>
      </c>
      <c r="E126">
        <f>IF(COUNTIFS('United Data'!$A$3:$A$2150,E$1,'United Data'!$C$3:$C$2150,$A126,'United Data'!$B$3:$B$2150,"&lt;&gt;P")&gt;0,1,0)</f>
        <v>0</v>
      </c>
      <c r="F126">
        <f>IF(COUNTIFS('United Data'!$A$3:$A$2150,F$1,'United Data'!$C$3:$C$2150,$A126,'United Data'!$B$3:$B$2150,"&lt;&gt;P")&gt;0,1,0)</f>
        <v>0</v>
      </c>
      <c r="G126">
        <f>IF(COUNTIFS('United Data'!$A$3:$A$2150,G$1,'United Data'!$C$3:$C$2150,$A126,'United Data'!$B$3:$B$2150,"&lt;&gt;P")&gt;0,1,0)</f>
        <v>0</v>
      </c>
      <c r="H126">
        <f>IF(COUNTIFS('United Data'!$A$3:$A$2150,H$1,'United Data'!$C$3:$C$2150,$A126,'United Data'!$B$3:$B$2150,"&lt;&gt;P")&gt;0,1,0)</f>
        <v>0</v>
      </c>
      <c r="I126">
        <f>IF(COUNTIFS('United Data'!$A$3:$A$2150,I$1,'United Data'!$C$3:$C$2150,$A126,'United Data'!$B$3:$B$2150,"&lt;&gt;P")&gt;0,1,0)</f>
        <v>0</v>
      </c>
      <c r="J126">
        <f>IF(COUNTIFS('United Data'!$A$3:$A$2150,J$1,'United Data'!$C$3:$C$2150,$A126,'United Data'!$B$3:$B$2150,"&lt;&gt;P")&gt;0,1,0)</f>
        <v>0</v>
      </c>
      <c r="K126">
        <f>IF(COUNTIFS('United Data'!$A$3:$A$2150,K$1,'United Data'!$C$3:$C$2150,$A126,'United Data'!$B$3:$B$2150,"&lt;&gt;P")&gt;0,1,0)</f>
        <v>0</v>
      </c>
      <c r="L126">
        <f>IF(COUNTIFS('United Data'!$A$3:$A$2150,L$1,'United Data'!$C$3:$C$2150,$A126,'United Data'!$B$3:$B$2150,"&lt;&gt;P")&gt;0,1,0)</f>
        <v>0</v>
      </c>
      <c r="M126">
        <f>IF(COUNTIFS('United Data'!$A$3:$A$2150,M$1,'United Data'!$C$3:$C$2150,$A126,'United Data'!$B$3:$B$2150,"&lt;&gt;P")&gt;0,1,0)</f>
        <v>1</v>
      </c>
      <c r="N126">
        <f>IF(COUNTIFS('United Data'!$A$3:$A$2150,N$1,'United Data'!$C$3:$C$2150,$A126,'United Data'!$B$3:$B$2150,"&lt;&gt;P")&gt;0,1,0)</f>
        <v>1</v>
      </c>
      <c r="O126">
        <f>IF(COUNTIFS('United Data'!$A$3:$A$2150,O$1,'United Data'!$C$3:$C$2150,$A126,'United Data'!$B$3:$B$2150,"&lt;&gt;P")&gt;0,1,0)</f>
        <v>0</v>
      </c>
      <c r="P126">
        <f>IF(COUNTIFS('United Data'!$A$3:$A$2150,P$1,'United Data'!$C$3:$C$2150,$A126,'United Data'!$B$3:$B$2150,"&lt;&gt;P")&gt;0,1,0)</f>
        <v>0</v>
      </c>
      <c r="Q126">
        <f>IF(COUNTIFS('United Data'!$A$3:$A$2150,Q$1,'United Data'!$C$3:$C$2150,$A126,'United Data'!$B$3:$B$2150,"&lt;&gt;P")&gt;0,1,0)</f>
        <v>0</v>
      </c>
      <c r="R126">
        <f>IF(COUNTIFS('United Data'!$A$3:$A$2150,R$1,'United Data'!$C$3:$C$2150,$A126,'United Data'!$B$3:$B$2150,"&lt;&gt;P")&gt;0,1,0)</f>
        <v>0</v>
      </c>
      <c r="S126">
        <f t="shared" si="2"/>
        <v>2</v>
      </c>
      <c r="T126">
        <f t="shared" si="3"/>
        <v>1</v>
      </c>
    </row>
    <row r="127" spans="1:20" x14ac:dyDescent="0.2">
      <c r="A127" t="s">
        <v>172</v>
      </c>
      <c r="B127">
        <f>IF(COUNTIFS('United Data'!$A$3:$A$2150,B$1,'United Data'!$C$3:$C$2150,$A127,'United Data'!$B$3:$B$2150,"&lt;&gt;P")&gt;0,1,0)</f>
        <v>0</v>
      </c>
      <c r="C127">
        <f>IF(COUNTIFS('United Data'!$A$3:$A$2150,C$1,'United Data'!$C$3:$C$2150,$A127,'United Data'!$B$3:$B$2150,"&lt;&gt;P")&gt;0,1,0)</f>
        <v>0</v>
      </c>
      <c r="D127">
        <f>IF(COUNTIFS('United Data'!$A$3:$A$2150,D$1,'United Data'!$C$3:$C$2150,$A127,'United Data'!$B$3:$B$2150,"&lt;&gt;P")&gt;0,1,0)</f>
        <v>0</v>
      </c>
      <c r="E127">
        <f>IF(COUNTIFS('United Data'!$A$3:$A$2150,E$1,'United Data'!$C$3:$C$2150,$A127,'United Data'!$B$3:$B$2150,"&lt;&gt;P")&gt;0,1,0)</f>
        <v>0</v>
      </c>
      <c r="F127">
        <f>IF(COUNTIFS('United Data'!$A$3:$A$2150,F$1,'United Data'!$C$3:$C$2150,$A127,'United Data'!$B$3:$B$2150,"&lt;&gt;P")&gt;0,1,0)</f>
        <v>0</v>
      </c>
      <c r="G127">
        <f>IF(COUNTIFS('United Data'!$A$3:$A$2150,G$1,'United Data'!$C$3:$C$2150,$A127,'United Data'!$B$3:$B$2150,"&lt;&gt;P")&gt;0,1,0)</f>
        <v>0</v>
      </c>
      <c r="H127">
        <f>IF(COUNTIFS('United Data'!$A$3:$A$2150,H$1,'United Data'!$C$3:$C$2150,$A127,'United Data'!$B$3:$B$2150,"&lt;&gt;P")&gt;0,1,0)</f>
        <v>0</v>
      </c>
      <c r="I127">
        <f>IF(COUNTIFS('United Data'!$A$3:$A$2150,I$1,'United Data'!$C$3:$C$2150,$A127,'United Data'!$B$3:$B$2150,"&lt;&gt;P")&gt;0,1,0)</f>
        <v>0</v>
      </c>
      <c r="J127">
        <f>IF(COUNTIFS('United Data'!$A$3:$A$2150,J$1,'United Data'!$C$3:$C$2150,$A127,'United Data'!$B$3:$B$2150,"&lt;&gt;P")&gt;0,1,0)</f>
        <v>0</v>
      </c>
      <c r="K127">
        <f>IF(COUNTIFS('United Data'!$A$3:$A$2150,K$1,'United Data'!$C$3:$C$2150,$A127,'United Data'!$B$3:$B$2150,"&lt;&gt;P")&gt;0,1,0)</f>
        <v>0</v>
      </c>
      <c r="L127">
        <f>IF(COUNTIFS('United Data'!$A$3:$A$2150,L$1,'United Data'!$C$3:$C$2150,$A127,'United Data'!$B$3:$B$2150,"&lt;&gt;P")&gt;0,1,0)</f>
        <v>0</v>
      </c>
      <c r="M127">
        <f>IF(COUNTIFS('United Data'!$A$3:$A$2150,M$1,'United Data'!$C$3:$C$2150,$A127,'United Data'!$B$3:$B$2150,"&lt;&gt;P")&gt;0,1,0)</f>
        <v>1</v>
      </c>
      <c r="N127">
        <f>IF(COUNTIFS('United Data'!$A$3:$A$2150,N$1,'United Data'!$C$3:$C$2150,$A127,'United Data'!$B$3:$B$2150,"&lt;&gt;P")&gt;0,1,0)</f>
        <v>0</v>
      </c>
      <c r="O127">
        <f>IF(COUNTIFS('United Data'!$A$3:$A$2150,O$1,'United Data'!$C$3:$C$2150,$A127,'United Data'!$B$3:$B$2150,"&lt;&gt;P")&gt;0,1,0)</f>
        <v>0</v>
      </c>
      <c r="P127">
        <f>IF(COUNTIFS('United Data'!$A$3:$A$2150,P$1,'United Data'!$C$3:$C$2150,$A127,'United Data'!$B$3:$B$2150,"&lt;&gt;P")&gt;0,1,0)</f>
        <v>0</v>
      </c>
      <c r="Q127">
        <f>IF(COUNTIFS('United Data'!$A$3:$A$2150,Q$1,'United Data'!$C$3:$C$2150,$A127,'United Data'!$B$3:$B$2150,"&lt;&gt;P")&gt;0,1,0)</f>
        <v>0</v>
      </c>
      <c r="R127">
        <f>IF(COUNTIFS('United Data'!$A$3:$A$2150,R$1,'United Data'!$C$3:$C$2150,$A127,'United Data'!$B$3:$B$2150,"&lt;&gt;P")&gt;0,1,0)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173</v>
      </c>
      <c r="B128">
        <f>IF(COUNTIFS('United Data'!$A$3:$A$2150,B$1,'United Data'!$C$3:$C$2150,$A128,'United Data'!$B$3:$B$2150,"&lt;&gt;P")&gt;0,1,0)</f>
        <v>0</v>
      </c>
      <c r="C128">
        <f>IF(COUNTIFS('United Data'!$A$3:$A$2150,C$1,'United Data'!$C$3:$C$2150,$A128,'United Data'!$B$3:$B$2150,"&lt;&gt;P")&gt;0,1,0)</f>
        <v>0</v>
      </c>
      <c r="D128">
        <f>IF(COUNTIFS('United Data'!$A$3:$A$2150,D$1,'United Data'!$C$3:$C$2150,$A128,'United Data'!$B$3:$B$2150,"&lt;&gt;P")&gt;0,1,0)</f>
        <v>0</v>
      </c>
      <c r="E128">
        <f>IF(COUNTIFS('United Data'!$A$3:$A$2150,E$1,'United Data'!$C$3:$C$2150,$A128,'United Data'!$B$3:$B$2150,"&lt;&gt;P")&gt;0,1,0)</f>
        <v>0</v>
      </c>
      <c r="F128">
        <f>IF(COUNTIFS('United Data'!$A$3:$A$2150,F$1,'United Data'!$C$3:$C$2150,$A128,'United Data'!$B$3:$B$2150,"&lt;&gt;P")&gt;0,1,0)</f>
        <v>0</v>
      </c>
      <c r="G128">
        <f>IF(COUNTIFS('United Data'!$A$3:$A$2150,G$1,'United Data'!$C$3:$C$2150,$A128,'United Data'!$B$3:$B$2150,"&lt;&gt;P")&gt;0,1,0)</f>
        <v>0</v>
      </c>
      <c r="H128">
        <f>IF(COUNTIFS('United Data'!$A$3:$A$2150,H$1,'United Data'!$C$3:$C$2150,$A128,'United Data'!$B$3:$B$2150,"&lt;&gt;P")&gt;0,1,0)</f>
        <v>0</v>
      </c>
      <c r="I128">
        <f>IF(COUNTIFS('United Data'!$A$3:$A$2150,I$1,'United Data'!$C$3:$C$2150,$A128,'United Data'!$B$3:$B$2150,"&lt;&gt;P")&gt;0,1,0)</f>
        <v>0</v>
      </c>
      <c r="J128">
        <f>IF(COUNTIFS('United Data'!$A$3:$A$2150,J$1,'United Data'!$C$3:$C$2150,$A128,'United Data'!$B$3:$B$2150,"&lt;&gt;P")&gt;0,1,0)</f>
        <v>0</v>
      </c>
      <c r="K128">
        <f>IF(COUNTIFS('United Data'!$A$3:$A$2150,K$1,'United Data'!$C$3:$C$2150,$A128,'United Data'!$B$3:$B$2150,"&lt;&gt;P")&gt;0,1,0)</f>
        <v>0</v>
      </c>
      <c r="L128">
        <f>IF(COUNTIFS('United Data'!$A$3:$A$2150,L$1,'United Data'!$C$3:$C$2150,$A128,'United Data'!$B$3:$B$2150,"&lt;&gt;P")&gt;0,1,0)</f>
        <v>0</v>
      </c>
      <c r="M128">
        <f>IF(COUNTIFS('United Data'!$A$3:$A$2150,M$1,'United Data'!$C$3:$C$2150,$A128,'United Data'!$B$3:$B$2150,"&lt;&gt;P")&gt;0,1,0)</f>
        <v>1</v>
      </c>
      <c r="N128">
        <f>IF(COUNTIFS('United Data'!$A$3:$A$2150,N$1,'United Data'!$C$3:$C$2150,$A128,'United Data'!$B$3:$B$2150,"&lt;&gt;P")&gt;0,1,0)</f>
        <v>0</v>
      </c>
      <c r="O128">
        <f>IF(COUNTIFS('United Data'!$A$3:$A$2150,O$1,'United Data'!$C$3:$C$2150,$A128,'United Data'!$B$3:$B$2150,"&lt;&gt;P")&gt;0,1,0)</f>
        <v>0</v>
      </c>
      <c r="P128">
        <f>IF(COUNTIFS('United Data'!$A$3:$A$2150,P$1,'United Data'!$C$3:$C$2150,$A128,'United Data'!$B$3:$B$2150,"&lt;&gt;P")&gt;0,1,0)</f>
        <v>0</v>
      </c>
      <c r="Q128">
        <f>IF(COUNTIFS('United Data'!$A$3:$A$2150,Q$1,'United Data'!$C$3:$C$2150,$A128,'United Data'!$B$3:$B$2150,"&lt;&gt;P")&gt;0,1,0)</f>
        <v>0</v>
      </c>
      <c r="R128">
        <f>IF(COUNTIFS('United Data'!$A$3:$A$2150,R$1,'United Data'!$C$3:$C$2150,$A128,'United Data'!$B$3:$B$2150,"&lt;&gt;P")&gt;0,1,0)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174</v>
      </c>
      <c r="B129">
        <f>IF(COUNTIFS('United Data'!$A$3:$A$2150,B$1,'United Data'!$C$3:$C$2150,$A129,'United Data'!$B$3:$B$2150,"&lt;&gt;P")&gt;0,1,0)</f>
        <v>0</v>
      </c>
      <c r="C129">
        <f>IF(COUNTIFS('United Data'!$A$3:$A$2150,C$1,'United Data'!$C$3:$C$2150,$A129,'United Data'!$B$3:$B$2150,"&lt;&gt;P")&gt;0,1,0)</f>
        <v>0</v>
      </c>
      <c r="D129">
        <f>IF(COUNTIFS('United Data'!$A$3:$A$2150,D$1,'United Data'!$C$3:$C$2150,$A129,'United Data'!$B$3:$B$2150,"&lt;&gt;P")&gt;0,1,0)</f>
        <v>0</v>
      </c>
      <c r="E129">
        <f>IF(COUNTIFS('United Data'!$A$3:$A$2150,E$1,'United Data'!$C$3:$C$2150,$A129,'United Data'!$B$3:$B$2150,"&lt;&gt;P")&gt;0,1,0)</f>
        <v>0</v>
      </c>
      <c r="F129">
        <f>IF(COUNTIFS('United Data'!$A$3:$A$2150,F$1,'United Data'!$C$3:$C$2150,$A129,'United Data'!$B$3:$B$2150,"&lt;&gt;P")&gt;0,1,0)</f>
        <v>1</v>
      </c>
      <c r="G129">
        <f>IF(COUNTIFS('United Data'!$A$3:$A$2150,G$1,'United Data'!$C$3:$C$2150,$A129,'United Data'!$B$3:$B$2150,"&lt;&gt;P")&gt;0,1,0)</f>
        <v>0</v>
      </c>
      <c r="H129">
        <f>IF(COUNTIFS('United Data'!$A$3:$A$2150,H$1,'United Data'!$C$3:$C$2150,$A129,'United Data'!$B$3:$B$2150,"&lt;&gt;P")&gt;0,1,0)</f>
        <v>1</v>
      </c>
      <c r="I129">
        <f>IF(COUNTIFS('United Data'!$A$3:$A$2150,I$1,'United Data'!$C$3:$C$2150,$A129,'United Data'!$B$3:$B$2150,"&lt;&gt;P")&gt;0,1,0)</f>
        <v>1</v>
      </c>
      <c r="J129">
        <f>IF(COUNTIFS('United Data'!$A$3:$A$2150,J$1,'United Data'!$C$3:$C$2150,$A129,'United Data'!$B$3:$B$2150,"&lt;&gt;P")&gt;0,1,0)</f>
        <v>1</v>
      </c>
      <c r="K129">
        <f>IF(COUNTIFS('United Data'!$A$3:$A$2150,K$1,'United Data'!$C$3:$C$2150,$A129,'United Data'!$B$3:$B$2150,"&lt;&gt;P")&gt;0,1,0)</f>
        <v>0</v>
      </c>
      <c r="L129">
        <f>IF(COUNTIFS('United Data'!$A$3:$A$2150,L$1,'United Data'!$C$3:$C$2150,$A129,'United Data'!$B$3:$B$2150,"&lt;&gt;P")&gt;0,1,0)</f>
        <v>1</v>
      </c>
      <c r="M129">
        <f>IF(COUNTIFS('United Data'!$A$3:$A$2150,M$1,'United Data'!$C$3:$C$2150,$A129,'United Data'!$B$3:$B$2150,"&lt;&gt;P")&gt;0,1,0)</f>
        <v>1</v>
      </c>
      <c r="N129">
        <f>IF(COUNTIFS('United Data'!$A$3:$A$2150,N$1,'United Data'!$C$3:$C$2150,$A129,'United Data'!$B$3:$B$2150,"&lt;&gt;P")&gt;0,1,0)</f>
        <v>1</v>
      </c>
      <c r="O129">
        <f>IF(COUNTIFS('United Data'!$A$3:$A$2150,O$1,'United Data'!$C$3:$C$2150,$A129,'United Data'!$B$3:$B$2150,"&lt;&gt;P")&gt;0,1,0)</f>
        <v>0</v>
      </c>
      <c r="P129">
        <f>IF(COUNTIFS('United Data'!$A$3:$A$2150,P$1,'United Data'!$C$3:$C$2150,$A129,'United Data'!$B$3:$B$2150,"&lt;&gt;P")&gt;0,1,0)</f>
        <v>0</v>
      </c>
      <c r="Q129">
        <f>IF(COUNTIFS('United Data'!$A$3:$A$2150,Q$1,'United Data'!$C$3:$C$2150,$A129,'United Data'!$B$3:$B$2150,"&lt;&gt;P")&gt;0,1,0)</f>
        <v>0</v>
      </c>
      <c r="R129">
        <f>IF(COUNTIFS('United Data'!$A$3:$A$2150,R$1,'United Data'!$C$3:$C$2150,$A129,'United Data'!$B$3:$B$2150,"&lt;&gt;P")&gt;0,1,0)</f>
        <v>0</v>
      </c>
      <c r="S129">
        <f t="shared" si="2"/>
        <v>7</v>
      </c>
      <c r="T129">
        <f t="shared" si="3"/>
        <v>3</v>
      </c>
    </row>
    <row r="130" spans="1:20" x14ac:dyDescent="0.2">
      <c r="A130" t="s">
        <v>175</v>
      </c>
      <c r="B130">
        <f>IF(COUNTIFS('United Data'!$A$3:$A$2150,B$1,'United Data'!$C$3:$C$2150,$A130,'United Data'!$B$3:$B$2150,"&lt;&gt;P")&gt;0,1,0)</f>
        <v>0</v>
      </c>
      <c r="C130">
        <f>IF(COUNTIFS('United Data'!$A$3:$A$2150,C$1,'United Data'!$C$3:$C$2150,$A130,'United Data'!$B$3:$B$2150,"&lt;&gt;P")&gt;0,1,0)</f>
        <v>0</v>
      </c>
      <c r="D130">
        <f>IF(COUNTIFS('United Data'!$A$3:$A$2150,D$1,'United Data'!$C$3:$C$2150,$A130,'United Data'!$B$3:$B$2150,"&lt;&gt;P")&gt;0,1,0)</f>
        <v>0</v>
      </c>
      <c r="E130">
        <f>IF(COUNTIFS('United Data'!$A$3:$A$2150,E$1,'United Data'!$C$3:$C$2150,$A130,'United Data'!$B$3:$B$2150,"&lt;&gt;P")&gt;0,1,0)</f>
        <v>0</v>
      </c>
      <c r="F130">
        <f>IF(COUNTIFS('United Data'!$A$3:$A$2150,F$1,'United Data'!$C$3:$C$2150,$A130,'United Data'!$B$3:$B$2150,"&lt;&gt;P")&gt;0,1,0)</f>
        <v>0</v>
      </c>
      <c r="G130">
        <f>IF(COUNTIFS('United Data'!$A$3:$A$2150,G$1,'United Data'!$C$3:$C$2150,$A130,'United Data'!$B$3:$B$2150,"&lt;&gt;P")&gt;0,1,0)</f>
        <v>0</v>
      </c>
      <c r="H130">
        <f>IF(COUNTIFS('United Data'!$A$3:$A$2150,H$1,'United Data'!$C$3:$C$2150,$A130,'United Data'!$B$3:$B$2150,"&lt;&gt;P")&gt;0,1,0)</f>
        <v>0</v>
      </c>
      <c r="I130">
        <f>IF(COUNTIFS('United Data'!$A$3:$A$2150,I$1,'United Data'!$C$3:$C$2150,$A130,'United Data'!$B$3:$B$2150,"&lt;&gt;P")&gt;0,1,0)</f>
        <v>0</v>
      </c>
      <c r="J130">
        <f>IF(COUNTIFS('United Data'!$A$3:$A$2150,J$1,'United Data'!$C$3:$C$2150,$A130,'United Data'!$B$3:$B$2150,"&lt;&gt;P")&gt;0,1,0)</f>
        <v>0</v>
      </c>
      <c r="K130">
        <f>IF(COUNTIFS('United Data'!$A$3:$A$2150,K$1,'United Data'!$C$3:$C$2150,$A130,'United Data'!$B$3:$B$2150,"&lt;&gt;P")&gt;0,1,0)</f>
        <v>0</v>
      </c>
      <c r="L130">
        <f>IF(COUNTIFS('United Data'!$A$3:$A$2150,L$1,'United Data'!$C$3:$C$2150,$A130,'United Data'!$B$3:$B$2150,"&lt;&gt;P")&gt;0,1,0)</f>
        <v>0</v>
      </c>
      <c r="M130">
        <f>IF(COUNTIFS('United Data'!$A$3:$A$2150,M$1,'United Data'!$C$3:$C$2150,$A130,'United Data'!$B$3:$B$2150,"&lt;&gt;P")&gt;0,1,0)</f>
        <v>0</v>
      </c>
      <c r="N130">
        <f>IF(COUNTIFS('United Data'!$A$3:$A$2150,N$1,'United Data'!$C$3:$C$2150,$A130,'United Data'!$B$3:$B$2150,"&lt;&gt;P")&gt;0,1,0)</f>
        <v>1</v>
      </c>
      <c r="O130">
        <f>IF(COUNTIFS('United Data'!$A$3:$A$2150,O$1,'United Data'!$C$3:$C$2150,$A130,'United Data'!$B$3:$B$2150,"&lt;&gt;P")&gt;0,1,0)</f>
        <v>0</v>
      </c>
      <c r="P130">
        <f>IF(COUNTIFS('United Data'!$A$3:$A$2150,P$1,'United Data'!$C$3:$C$2150,$A130,'United Data'!$B$3:$B$2150,"&lt;&gt;P")&gt;0,1,0)</f>
        <v>0</v>
      </c>
      <c r="Q130">
        <f>IF(COUNTIFS('United Data'!$A$3:$A$2150,Q$1,'United Data'!$C$3:$C$2150,$A130,'United Data'!$B$3:$B$2150,"&lt;&gt;P")&gt;0,1,0)</f>
        <v>0</v>
      </c>
      <c r="R130">
        <f>IF(COUNTIFS('United Data'!$A$3:$A$2150,R$1,'United Data'!$C$3:$C$2150,$A130,'United Data'!$B$3:$B$2150,"&lt;&gt;P")&gt;0,1,0)</f>
        <v>0</v>
      </c>
      <c r="S130">
        <f t="shared" ref="S130:S193" si="4">SUM(B130:R130)</f>
        <v>1</v>
      </c>
      <c r="T130">
        <f t="shared" ref="T130:T193" si="5">B130+SUMPRODUCT(--(C130:R130&gt;B130:Q130))</f>
        <v>1</v>
      </c>
    </row>
    <row r="131" spans="1:20" x14ac:dyDescent="0.2">
      <c r="A131" t="s">
        <v>176</v>
      </c>
      <c r="B131">
        <f>IF(COUNTIFS('United Data'!$A$3:$A$2150,B$1,'United Data'!$C$3:$C$2150,$A131,'United Data'!$B$3:$B$2150,"&lt;&gt;P")&gt;0,1,0)</f>
        <v>0</v>
      </c>
      <c r="C131">
        <f>IF(COUNTIFS('United Data'!$A$3:$A$2150,C$1,'United Data'!$C$3:$C$2150,$A131,'United Data'!$B$3:$B$2150,"&lt;&gt;P")&gt;0,1,0)</f>
        <v>0</v>
      </c>
      <c r="D131">
        <f>IF(COUNTIFS('United Data'!$A$3:$A$2150,D$1,'United Data'!$C$3:$C$2150,$A131,'United Data'!$B$3:$B$2150,"&lt;&gt;P")&gt;0,1,0)</f>
        <v>0</v>
      </c>
      <c r="E131">
        <f>IF(COUNTIFS('United Data'!$A$3:$A$2150,E$1,'United Data'!$C$3:$C$2150,$A131,'United Data'!$B$3:$B$2150,"&lt;&gt;P")&gt;0,1,0)</f>
        <v>0</v>
      </c>
      <c r="F131">
        <f>IF(COUNTIFS('United Data'!$A$3:$A$2150,F$1,'United Data'!$C$3:$C$2150,$A131,'United Data'!$B$3:$B$2150,"&lt;&gt;P")&gt;0,1,0)</f>
        <v>0</v>
      </c>
      <c r="G131">
        <f>IF(COUNTIFS('United Data'!$A$3:$A$2150,G$1,'United Data'!$C$3:$C$2150,$A131,'United Data'!$B$3:$B$2150,"&lt;&gt;P")&gt;0,1,0)</f>
        <v>0</v>
      </c>
      <c r="H131">
        <f>IF(COUNTIFS('United Data'!$A$3:$A$2150,H$1,'United Data'!$C$3:$C$2150,$A131,'United Data'!$B$3:$B$2150,"&lt;&gt;P")&gt;0,1,0)</f>
        <v>0</v>
      </c>
      <c r="I131">
        <f>IF(COUNTIFS('United Data'!$A$3:$A$2150,I$1,'United Data'!$C$3:$C$2150,$A131,'United Data'!$B$3:$B$2150,"&lt;&gt;P")&gt;0,1,0)</f>
        <v>0</v>
      </c>
      <c r="J131">
        <f>IF(COUNTIFS('United Data'!$A$3:$A$2150,J$1,'United Data'!$C$3:$C$2150,$A131,'United Data'!$B$3:$B$2150,"&lt;&gt;P")&gt;0,1,0)</f>
        <v>0</v>
      </c>
      <c r="K131">
        <f>IF(COUNTIFS('United Data'!$A$3:$A$2150,K$1,'United Data'!$C$3:$C$2150,$A131,'United Data'!$B$3:$B$2150,"&lt;&gt;P")&gt;0,1,0)</f>
        <v>0</v>
      </c>
      <c r="L131">
        <f>IF(COUNTIFS('United Data'!$A$3:$A$2150,L$1,'United Data'!$C$3:$C$2150,$A131,'United Data'!$B$3:$B$2150,"&lt;&gt;P")&gt;0,1,0)</f>
        <v>0</v>
      </c>
      <c r="M131">
        <f>IF(COUNTIFS('United Data'!$A$3:$A$2150,M$1,'United Data'!$C$3:$C$2150,$A131,'United Data'!$B$3:$B$2150,"&lt;&gt;P")&gt;0,1,0)</f>
        <v>0</v>
      </c>
      <c r="N131">
        <f>IF(COUNTIFS('United Data'!$A$3:$A$2150,N$1,'United Data'!$C$3:$C$2150,$A131,'United Data'!$B$3:$B$2150,"&lt;&gt;P")&gt;0,1,0)</f>
        <v>1</v>
      </c>
      <c r="O131">
        <f>IF(COUNTIFS('United Data'!$A$3:$A$2150,O$1,'United Data'!$C$3:$C$2150,$A131,'United Data'!$B$3:$B$2150,"&lt;&gt;P")&gt;0,1,0)</f>
        <v>0</v>
      </c>
      <c r="P131">
        <f>IF(COUNTIFS('United Data'!$A$3:$A$2150,P$1,'United Data'!$C$3:$C$2150,$A131,'United Data'!$B$3:$B$2150,"&lt;&gt;P")&gt;0,1,0)</f>
        <v>0</v>
      </c>
      <c r="Q131">
        <f>IF(COUNTIFS('United Data'!$A$3:$A$2150,Q$1,'United Data'!$C$3:$C$2150,$A131,'United Data'!$B$3:$B$2150,"&lt;&gt;P")&gt;0,1,0)</f>
        <v>0</v>
      </c>
      <c r="R131">
        <f>IF(COUNTIFS('United Data'!$A$3:$A$2150,R$1,'United Data'!$C$3:$C$2150,$A131,'United Data'!$B$3:$B$2150,"&lt;&gt;P")&gt;0,1,0)</f>
        <v>0</v>
      </c>
      <c r="S131">
        <f t="shared" si="4"/>
        <v>1</v>
      </c>
      <c r="T131">
        <f t="shared" si="5"/>
        <v>1</v>
      </c>
    </row>
    <row r="132" spans="1:20" x14ac:dyDescent="0.2">
      <c r="A132" t="s">
        <v>177</v>
      </c>
      <c r="B132">
        <f>IF(COUNTIFS('United Data'!$A$3:$A$2150,B$1,'United Data'!$C$3:$C$2150,$A132,'United Data'!$B$3:$B$2150,"&lt;&gt;P")&gt;0,1,0)</f>
        <v>0</v>
      </c>
      <c r="C132">
        <f>IF(COUNTIFS('United Data'!$A$3:$A$2150,C$1,'United Data'!$C$3:$C$2150,$A132,'United Data'!$B$3:$B$2150,"&lt;&gt;P")&gt;0,1,0)</f>
        <v>0</v>
      </c>
      <c r="D132">
        <f>IF(COUNTIFS('United Data'!$A$3:$A$2150,D$1,'United Data'!$C$3:$C$2150,$A132,'United Data'!$B$3:$B$2150,"&lt;&gt;P")&gt;0,1,0)</f>
        <v>0</v>
      </c>
      <c r="E132">
        <f>IF(COUNTIFS('United Data'!$A$3:$A$2150,E$1,'United Data'!$C$3:$C$2150,$A132,'United Data'!$B$3:$B$2150,"&lt;&gt;P")&gt;0,1,0)</f>
        <v>0</v>
      </c>
      <c r="F132">
        <f>IF(COUNTIFS('United Data'!$A$3:$A$2150,F$1,'United Data'!$C$3:$C$2150,$A132,'United Data'!$B$3:$B$2150,"&lt;&gt;P")&gt;0,1,0)</f>
        <v>0</v>
      </c>
      <c r="G132">
        <f>IF(COUNTIFS('United Data'!$A$3:$A$2150,G$1,'United Data'!$C$3:$C$2150,$A132,'United Data'!$B$3:$B$2150,"&lt;&gt;P")&gt;0,1,0)</f>
        <v>0</v>
      </c>
      <c r="H132">
        <f>IF(COUNTIFS('United Data'!$A$3:$A$2150,H$1,'United Data'!$C$3:$C$2150,$A132,'United Data'!$B$3:$B$2150,"&lt;&gt;P")&gt;0,1,0)</f>
        <v>0</v>
      </c>
      <c r="I132">
        <f>IF(COUNTIFS('United Data'!$A$3:$A$2150,I$1,'United Data'!$C$3:$C$2150,$A132,'United Data'!$B$3:$B$2150,"&lt;&gt;P")&gt;0,1,0)</f>
        <v>0</v>
      </c>
      <c r="J132">
        <f>IF(COUNTIFS('United Data'!$A$3:$A$2150,J$1,'United Data'!$C$3:$C$2150,$A132,'United Data'!$B$3:$B$2150,"&lt;&gt;P")&gt;0,1,0)</f>
        <v>0</v>
      </c>
      <c r="K132">
        <f>IF(COUNTIFS('United Data'!$A$3:$A$2150,K$1,'United Data'!$C$3:$C$2150,$A132,'United Data'!$B$3:$B$2150,"&lt;&gt;P")&gt;0,1,0)</f>
        <v>0</v>
      </c>
      <c r="L132">
        <f>IF(COUNTIFS('United Data'!$A$3:$A$2150,L$1,'United Data'!$C$3:$C$2150,$A132,'United Data'!$B$3:$B$2150,"&lt;&gt;P")&gt;0,1,0)</f>
        <v>0</v>
      </c>
      <c r="M132">
        <f>IF(COUNTIFS('United Data'!$A$3:$A$2150,M$1,'United Data'!$C$3:$C$2150,$A132,'United Data'!$B$3:$B$2150,"&lt;&gt;P")&gt;0,1,0)</f>
        <v>0</v>
      </c>
      <c r="N132">
        <f>IF(COUNTIFS('United Data'!$A$3:$A$2150,N$1,'United Data'!$C$3:$C$2150,$A132,'United Data'!$B$3:$B$2150,"&lt;&gt;P")&gt;0,1,0)</f>
        <v>1</v>
      </c>
      <c r="O132">
        <f>IF(COUNTIFS('United Data'!$A$3:$A$2150,O$1,'United Data'!$C$3:$C$2150,$A132,'United Data'!$B$3:$B$2150,"&lt;&gt;P")&gt;0,1,0)</f>
        <v>1</v>
      </c>
      <c r="P132">
        <f>IF(COUNTIFS('United Data'!$A$3:$A$2150,P$1,'United Data'!$C$3:$C$2150,$A132,'United Data'!$B$3:$B$2150,"&lt;&gt;P")&gt;0,1,0)</f>
        <v>1</v>
      </c>
      <c r="Q132">
        <f>IF(COUNTIFS('United Data'!$A$3:$A$2150,Q$1,'United Data'!$C$3:$C$2150,$A132,'United Data'!$B$3:$B$2150,"&lt;&gt;P")&gt;0,1,0)</f>
        <v>0</v>
      </c>
      <c r="R132">
        <f>IF(COUNTIFS('United Data'!$A$3:$A$2150,R$1,'United Data'!$C$3:$C$2150,$A132,'United Data'!$B$3:$B$2150,"&lt;&gt;P")&gt;0,1,0)</f>
        <v>0</v>
      </c>
      <c r="S132">
        <f t="shared" si="4"/>
        <v>3</v>
      </c>
      <c r="T132">
        <f t="shared" si="5"/>
        <v>1</v>
      </c>
    </row>
    <row r="133" spans="1:20" x14ac:dyDescent="0.2">
      <c r="A133" t="s">
        <v>178</v>
      </c>
      <c r="B133">
        <f>IF(COUNTIFS('United Data'!$A$3:$A$2150,B$1,'United Data'!$C$3:$C$2150,$A133,'United Data'!$B$3:$B$2150,"&lt;&gt;P")&gt;0,1,0)</f>
        <v>0</v>
      </c>
      <c r="C133">
        <f>IF(COUNTIFS('United Data'!$A$3:$A$2150,C$1,'United Data'!$C$3:$C$2150,$A133,'United Data'!$B$3:$B$2150,"&lt;&gt;P")&gt;0,1,0)</f>
        <v>0</v>
      </c>
      <c r="D133">
        <f>IF(COUNTIFS('United Data'!$A$3:$A$2150,D$1,'United Data'!$C$3:$C$2150,$A133,'United Data'!$B$3:$B$2150,"&lt;&gt;P")&gt;0,1,0)</f>
        <v>0</v>
      </c>
      <c r="E133">
        <f>IF(COUNTIFS('United Data'!$A$3:$A$2150,E$1,'United Data'!$C$3:$C$2150,$A133,'United Data'!$B$3:$B$2150,"&lt;&gt;P")&gt;0,1,0)</f>
        <v>0</v>
      </c>
      <c r="F133">
        <f>IF(COUNTIFS('United Data'!$A$3:$A$2150,F$1,'United Data'!$C$3:$C$2150,$A133,'United Data'!$B$3:$B$2150,"&lt;&gt;P")&gt;0,1,0)</f>
        <v>0</v>
      </c>
      <c r="G133">
        <f>IF(COUNTIFS('United Data'!$A$3:$A$2150,G$1,'United Data'!$C$3:$C$2150,$A133,'United Data'!$B$3:$B$2150,"&lt;&gt;P")&gt;0,1,0)</f>
        <v>0</v>
      </c>
      <c r="H133">
        <f>IF(COUNTIFS('United Data'!$A$3:$A$2150,H$1,'United Data'!$C$3:$C$2150,$A133,'United Data'!$B$3:$B$2150,"&lt;&gt;P")&gt;0,1,0)</f>
        <v>0</v>
      </c>
      <c r="I133">
        <f>IF(COUNTIFS('United Data'!$A$3:$A$2150,I$1,'United Data'!$C$3:$C$2150,$A133,'United Data'!$B$3:$B$2150,"&lt;&gt;P")&gt;0,1,0)</f>
        <v>0</v>
      </c>
      <c r="J133">
        <f>IF(COUNTIFS('United Data'!$A$3:$A$2150,J$1,'United Data'!$C$3:$C$2150,$A133,'United Data'!$B$3:$B$2150,"&lt;&gt;P")&gt;0,1,0)</f>
        <v>0</v>
      </c>
      <c r="K133">
        <f>IF(COUNTIFS('United Data'!$A$3:$A$2150,K$1,'United Data'!$C$3:$C$2150,$A133,'United Data'!$B$3:$B$2150,"&lt;&gt;P")&gt;0,1,0)</f>
        <v>0</v>
      </c>
      <c r="L133">
        <f>IF(COUNTIFS('United Data'!$A$3:$A$2150,L$1,'United Data'!$C$3:$C$2150,$A133,'United Data'!$B$3:$B$2150,"&lt;&gt;P")&gt;0,1,0)</f>
        <v>0</v>
      </c>
      <c r="M133">
        <f>IF(COUNTIFS('United Data'!$A$3:$A$2150,M$1,'United Data'!$C$3:$C$2150,$A133,'United Data'!$B$3:$B$2150,"&lt;&gt;P")&gt;0,1,0)</f>
        <v>0</v>
      </c>
      <c r="N133">
        <f>IF(COUNTIFS('United Data'!$A$3:$A$2150,N$1,'United Data'!$C$3:$C$2150,$A133,'United Data'!$B$3:$B$2150,"&lt;&gt;P")&gt;0,1,0)</f>
        <v>1</v>
      </c>
      <c r="O133">
        <f>IF(COUNTIFS('United Data'!$A$3:$A$2150,O$1,'United Data'!$C$3:$C$2150,$A133,'United Data'!$B$3:$B$2150,"&lt;&gt;P")&gt;0,1,0)</f>
        <v>0</v>
      </c>
      <c r="P133">
        <f>IF(COUNTIFS('United Data'!$A$3:$A$2150,P$1,'United Data'!$C$3:$C$2150,$A133,'United Data'!$B$3:$B$2150,"&lt;&gt;P")&gt;0,1,0)</f>
        <v>0</v>
      </c>
      <c r="Q133">
        <f>IF(COUNTIFS('United Data'!$A$3:$A$2150,Q$1,'United Data'!$C$3:$C$2150,$A133,'United Data'!$B$3:$B$2150,"&lt;&gt;P")&gt;0,1,0)</f>
        <v>0</v>
      </c>
      <c r="R133">
        <f>IF(COUNTIFS('United Data'!$A$3:$A$2150,R$1,'United Data'!$C$3:$C$2150,$A133,'United Data'!$B$3:$B$2150,"&lt;&gt;P")&gt;0,1,0)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179</v>
      </c>
      <c r="B134">
        <f>IF(COUNTIFS('United Data'!$A$3:$A$2150,B$1,'United Data'!$C$3:$C$2150,$A134,'United Data'!$B$3:$B$2150,"&lt;&gt;P")&gt;0,1,0)</f>
        <v>0</v>
      </c>
      <c r="C134">
        <f>IF(COUNTIFS('United Data'!$A$3:$A$2150,C$1,'United Data'!$C$3:$C$2150,$A134,'United Data'!$B$3:$B$2150,"&lt;&gt;P")&gt;0,1,0)</f>
        <v>0</v>
      </c>
      <c r="D134">
        <f>IF(COUNTIFS('United Data'!$A$3:$A$2150,D$1,'United Data'!$C$3:$C$2150,$A134,'United Data'!$B$3:$B$2150,"&lt;&gt;P")&gt;0,1,0)</f>
        <v>0</v>
      </c>
      <c r="E134">
        <f>IF(COUNTIFS('United Data'!$A$3:$A$2150,E$1,'United Data'!$C$3:$C$2150,$A134,'United Data'!$B$3:$B$2150,"&lt;&gt;P")&gt;0,1,0)</f>
        <v>0</v>
      </c>
      <c r="F134">
        <f>IF(COUNTIFS('United Data'!$A$3:$A$2150,F$1,'United Data'!$C$3:$C$2150,$A134,'United Data'!$B$3:$B$2150,"&lt;&gt;P")&gt;0,1,0)</f>
        <v>0</v>
      </c>
      <c r="G134">
        <f>IF(COUNTIFS('United Data'!$A$3:$A$2150,G$1,'United Data'!$C$3:$C$2150,$A134,'United Data'!$B$3:$B$2150,"&lt;&gt;P")&gt;0,1,0)</f>
        <v>0</v>
      </c>
      <c r="H134">
        <f>IF(COUNTIFS('United Data'!$A$3:$A$2150,H$1,'United Data'!$C$3:$C$2150,$A134,'United Data'!$B$3:$B$2150,"&lt;&gt;P")&gt;0,1,0)</f>
        <v>0</v>
      </c>
      <c r="I134">
        <f>IF(COUNTIFS('United Data'!$A$3:$A$2150,I$1,'United Data'!$C$3:$C$2150,$A134,'United Data'!$B$3:$B$2150,"&lt;&gt;P")&gt;0,1,0)</f>
        <v>0</v>
      </c>
      <c r="J134">
        <f>IF(COUNTIFS('United Data'!$A$3:$A$2150,J$1,'United Data'!$C$3:$C$2150,$A134,'United Data'!$B$3:$B$2150,"&lt;&gt;P")&gt;0,1,0)</f>
        <v>0</v>
      </c>
      <c r="K134">
        <f>IF(COUNTIFS('United Data'!$A$3:$A$2150,K$1,'United Data'!$C$3:$C$2150,$A134,'United Data'!$B$3:$B$2150,"&lt;&gt;P")&gt;0,1,0)</f>
        <v>0</v>
      </c>
      <c r="L134">
        <f>IF(COUNTIFS('United Data'!$A$3:$A$2150,L$1,'United Data'!$C$3:$C$2150,$A134,'United Data'!$B$3:$B$2150,"&lt;&gt;P")&gt;0,1,0)</f>
        <v>0</v>
      </c>
      <c r="M134">
        <f>IF(COUNTIFS('United Data'!$A$3:$A$2150,M$1,'United Data'!$C$3:$C$2150,$A134,'United Data'!$B$3:$B$2150,"&lt;&gt;P")&gt;0,1,0)</f>
        <v>0</v>
      </c>
      <c r="N134">
        <f>IF(COUNTIFS('United Data'!$A$3:$A$2150,N$1,'United Data'!$C$3:$C$2150,$A134,'United Data'!$B$3:$B$2150,"&lt;&gt;P")&gt;0,1,0)</f>
        <v>1</v>
      </c>
      <c r="O134">
        <f>IF(COUNTIFS('United Data'!$A$3:$A$2150,O$1,'United Data'!$C$3:$C$2150,$A134,'United Data'!$B$3:$B$2150,"&lt;&gt;P")&gt;0,1,0)</f>
        <v>0</v>
      </c>
      <c r="P134">
        <f>IF(COUNTIFS('United Data'!$A$3:$A$2150,P$1,'United Data'!$C$3:$C$2150,$A134,'United Data'!$B$3:$B$2150,"&lt;&gt;P")&gt;0,1,0)</f>
        <v>0</v>
      </c>
      <c r="Q134">
        <f>IF(COUNTIFS('United Data'!$A$3:$A$2150,Q$1,'United Data'!$C$3:$C$2150,$A134,'United Data'!$B$3:$B$2150,"&lt;&gt;P")&gt;0,1,0)</f>
        <v>0</v>
      </c>
      <c r="R134">
        <f>IF(COUNTIFS('United Data'!$A$3:$A$2150,R$1,'United Data'!$C$3:$C$2150,$A134,'United Data'!$B$3:$B$2150,"&lt;&gt;P")&gt;0,1,0)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180</v>
      </c>
      <c r="B135">
        <f>IF(COUNTIFS('United Data'!$A$3:$A$2150,B$1,'United Data'!$C$3:$C$2150,$A135,'United Data'!$B$3:$B$2150,"&lt;&gt;P")&gt;0,1,0)</f>
        <v>0</v>
      </c>
      <c r="C135">
        <f>IF(COUNTIFS('United Data'!$A$3:$A$2150,C$1,'United Data'!$C$3:$C$2150,$A135,'United Data'!$B$3:$B$2150,"&lt;&gt;P")&gt;0,1,0)</f>
        <v>0</v>
      </c>
      <c r="D135">
        <f>IF(COUNTIFS('United Data'!$A$3:$A$2150,D$1,'United Data'!$C$3:$C$2150,$A135,'United Data'!$B$3:$B$2150,"&lt;&gt;P")&gt;0,1,0)</f>
        <v>0</v>
      </c>
      <c r="E135">
        <f>IF(COUNTIFS('United Data'!$A$3:$A$2150,E$1,'United Data'!$C$3:$C$2150,$A135,'United Data'!$B$3:$B$2150,"&lt;&gt;P")&gt;0,1,0)</f>
        <v>0</v>
      </c>
      <c r="F135">
        <f>IF(COUNTIFS('United Data'!$A$3:$A$2150,F$1,'United Data'!$C$3:$C$2150,$A135,'United Data'!$B$3:$B$2150,"&lt;&gt;P")&gt;0,1,0)</f>
        <v>0</v>
      </c>
      <c r="G135">
        <f>IF(COUNTIFS('United Data'!$A$3:$A$2150,G$1,'United Data'!$C$3:$C$2150,$A135,'United Data'!$B$3:$B$2150,"&lt;&gt;P")&gt;0,1,0)</f>
        <v>0</v>
      </c>
      <c r="H135">
        <f>IF(COUNTIFS('United Data'!$A$3:$A$2150,H$1,'United Data'!$C$3:$C$2150,$A135,'United Data'!$B$3:$B$2150,"&lt;&gt;P")&gt;0,1,0)</f>
        <v>0</v>
      </c>
      <c r="I135">
        <f>IF(COUNTIFS('United Data'!$A$3:$A$2150,I$1,'United Data'!$C$3:$C$2150,$A135,'United Data'!$B$3:$B$2150,"&lt;&gt;P")&gt;0,1,0)</f>
        <v>0</v>
      </c>
      <c r="J135">
        <f>IF(COUNTIFS('United Data'!$A$3:$A$2150,J$1,'United Data'!$C$3:$C$2150,$A135,'United Data'!$B$3:$B$2150,"&lt;&gt;P")&gt;0,1,0)</f>
        <v>0</v>
      </c>
      <c r="K135">
        <f>IF(COUNTIFS('United Data'!$A$3:$A$2150,K$1,'United Data'!$C$3:$C$2150,$A135,'United Data'!$B$3:$B$2150,"&lt;&gt;P")&gt;0,1,0)</f>
        <v>0</v>
      </c>
      <c r="L135">
        <f>IF(COUNTIFS('United Data'!$A$3:$A$2150,L$1,'United Data'!$C$3:$C$2150,$A135,'United Data'!$B$3:$B$2150,"&lt;&gt;P")&gt;0,1,0)</f>
        <v>0</v>
      </c>
      <c r="M135">
        <f>IF(COUNTIFS('United Data'!$A$3:$A$2150,M$1,'United Data'!$C$3:$C$2150,$A135,'United Data'!$B$3:$B$2150,"&lt;&gt;P")&gt;0,1,0)</f>
        <v>0</v>
      </c>
      <c r="N135">
        <f>IF(COUNTIFS('United Data'!$A$3:$A$2150,N$1,'United Data'!$C$3:$C$2150,$A135,'United Data'!$B$3:$B$2150,"&lt;&gt;P")&gt;0,1,0)</f>
        <v>1</v>
      </c>
      <c r="O135">
        <f>IF(COUNTIFS('United Data'!$A$3:$A$2150,O$1,'United Data'!$C$3:$C$2150,$A135,'United Data'!$B$3:$B$2150,"&lt;&gt;P")&gt;0,1,0)</f>
        <v>1</v>
      </c>
      <c r="P135">
        <f>IF(COUNTIFS('United Data'!$A$3:$A$2150,P$1,'United Data'!$C$3:$C$2150,$A135,'United Data'!$B$3:$B$2150,"&lt;&gt;P")&gt;0,1,0)</f>
        <v>0</v>
      </c>
      <c r="Q135">
        <f>IF(COUNTIFS('United Data'!$A$3:$A$2150,Q$1,'United Data'!$C$3:$C$2150,$A135,'United Data'!$B$3:$B$2150,"&lt;&gt;P")&gt;0,1,0)</f>
        <v>0</v>
      </c>
      <c r="R135">
        <f>IF(COUNTIFS('United Data'!$A$3:$A$2150,R$1,'United Data'!$C$3:$C$2150,$A135,'United Data'!$B$3:$B$2150,"&lt;&gt;P")&gt;0,1,0)</f>
        <v>0</v>
      </c>
      <c r="S135">
        <f t="shared" si="4"/>
        <v>2</v>
      </c>
      <c r="T135">
        <f t="shared" si="5"/>
        <v>1</v>
      </c>
    </row>
    <row r="136" spans="1:20" x14ac:dyDescent="0.2">
      <c r="A136" t="s">
        <v>181</v>
      </c>
      <c r="B136">
        <f>IF(COUNTIFS('United Data'!$A$3:$A$2150,B$1,'United Data'!$C$3:$C$2150,$A136,'United Data'!$B$3:$B$2150,"&lt;&gt;P")&gt;0,1,0)</f>
        <v>0</v>
      </c>
      <c r="C136">
        <f>IF(COUNTIFS('United Data'!$A$3:$A$2150,C$1,'United Data'!$C$3:$C$2150,$A136,'United Data'!$B$3:$B$2150,"&lt;&gt;P")&gt;0,1,0)</f>
        <v>0</v>
      </c>
      <c r="D136">
        <f>IF(COUNTIFS('United Data'!$A$3:$A$2150,D$1,'United Data'!$C$3:$C$2150,$A136,'United Data'!$B$3:$B$2150,"&lt;&gt;P")&gt;0,1,0)</f>
        <v>0</v>
      </c>
      <c r="E136">
        <f>IF(COUNTIFS('United Data'!$A$3:$A$2150,E$1,'United Data'!$C$3:$C$2150,$A136,'United Data'!$B$3:$B$2150,"&lt;&gt;P")&gt;0,1,0)</f>
        <v>0</v>
      </c>
      <c r="F136">
        <f>IF(COUNTIFS('United Data'!$A$3:$A$2150,F$1,'United Data'!$C$3:$C$2150,$A136,'United Data'!$B$3:$B$2150,"&lt;&gt;P")&gt;0,1,0)</f>
        <v>0</v>
      </c>
      <c r="G136">
        <f>IF(COUNTIFS('United Data'!$A$3:$A$2150,G$1,'United Data'!$C$3:$C$2150,$A136,'United Data'!$B$3:$B$2150,"&lt;&gt;P")&gt;0,1,0)</f>
        <v>0</v>
      </c>
      <c r="H136">
        <f>IF(COUNTIFS('United Data'!$A$3:$A$2150,H$1,'United Data'!$C$3:$C$2150,$A136,'United Data'!$B$3:$B$2150,"&lt;&gt;P")&gt;0,1,0)</f>
        <v>0</v>
      </c>
      <c r="I136">
        <f>IF(COUNTIFS('United Data'!$A$3:$A$2150,I$1,'United Data'!$C$3:$C$2150,$A136,'United Data'!$B$3:$B$2150,"&lt;&gt;P")&gt;0,1,0)</f>
        <v>0</v>
      </c>
      <c r="J136">
        <f>IF(COUNTIFS('United Data'!$A$3:$A$2150,J$1,'United Data'!$C$3:$C$2150,$A136,'United Data'!$B$3:$B$2150,"&lt;&gt;P")&gt;0,1,0)</f>
        <v>0</v>
      </c>
      <c r="K136">
        <f>IF(COUNTIFS('United Data'!$A$3:$A$2150,K$1,'United Data'!$C$3:$C$2150,$A136,'United Data'!$B$3:$B$2150,"&lt;&gt;P")&gt;0,1,0)</f>
        <v>0</v>
      </c>
      <c r="L136">
        <f>IF(COUNTIFS('United Data'!$A$3:$A$2150,L$1,'United Data'!$C$3:$C$2150,$A136,'United Data'!$B$3:$B$2150,"&lt;&gt;P")&gt;0,1,0)</f>
        <v>0</v>
      </c>
      <c r="M136">
        <f>IF(COUNTIFS('United Data'!$A$3:$A$2150,M$1,'United Data'!$C$3:$C$2150,$A136,'United Data'!$B$3:$B$2150,"&lt;&gt;P")&gt;0,1,0)</f>
        <v>0</v>
      </c>
      <c r="N136">
        <f>IF(COUNTIFS('United Data'!$A$3:$A$2150,N$1,'United Data'!$C$3:$C$2150,$A136,'United Data'!$B$3:$B$2150,"&lt;&gt;P")&gt;0,1,0)</f>
        <v>1</v>
      </c>
      <c r="O136">
        <f>IF(COUNTIFS('United Data'!$A$3:$A$2150,O$1,'United Data'!$C$3:$C$2150,$A136,'United Data'!$B$3:$B$2150,"&lt;&gt;P")&gt;0,1,0)</f>
        <v>0</v>
      </c>
      <c r="P136">
        <f>IF(COUNTIFS('United Data'!$A$3:$A$2150,P$1,'United Data'!$C$3:$C$2150,$A136,'United Data'!$B$3:$B$2150,"&lt;&gt;P")&gt;0,1,0)</f>
        <v>0</v>
      </c>
      <c r="Q136">
        <f>IF(COUNTIFS('United Data'!$A$3:$A$2150,Q$1,'United Data'!$C$3:$C$2150,$A136,'United Data'!$B$3:$B$2150,"&lt;&gt;P")&gt;0,1,0)</f>
        <v>0</v>
      </c>
      <c r="R136">
        <f>IF(COUNTIFS('United Data'!$A$3:$A$2150,R$1,'United Data'!$C$3:$C$2150,$A136,'United Data'!$B$3:$B$2150,"&lt;&gt;P")&gt;0,1,0)</f>
        <v>0</v>
      </c>
      <c r="S136">
        <f t="shared" si="4"/>
        <v>1</v>
      </c>
      <c r="T136">
        <f t="shared" si="5"/>
        <v>1</v>
      </c>
    </row>
    <row r="137" spans="1:20" x14ac:dyDescent="0.2">
      <c r="A137" t="s">
        <v>182</v>
      </c>
      <c r="B137">
        <f>IF(COUNTIFS('United Data'!$A$3:$A$2150,B$1,'United Data'!$C$3:$C$2150,$A137,'United Data'!$B$3:$B$2150,"&lt;&gt;P")&gt;0,1,0)</f>
        <v>0</v>
      </c>
      <c r="C137">
        <f>IF(COUNTIFS('United Data'!$A$3:$A$2150,C$1,'United Data'!$C$3:$C$2150,$A137,'United Data'!$B$3:$B$2150,"&lt;&gt;P")&gt;0,1,0)</f>
        <v>0</v>
      </c>
      <c r="D137">
        <f>IF(COUNTIFS('United Data'!$A$3:$A$2150,D$1,'United Data'!$C$3:$C$2150,$A137,'United Data'!$B$3:$B$2150,"&lt;&gt;P")&gt;0,1,0)</f>
        <v>0</v>
      </c>
      <c r="E137">
        <f>IF(COUNTIFS('United Data'!$A$3:$A$2150,E$1,'United Data'!$C$3:$C$2150,$A137,'United Data'!$B$3:$B$2150,"&lt;&gt;P")&gt;0,1,0)</f>
        <v>0</v>
      </c>
      <c r="F137">
        <f>IF(COUNTIFS('United Data'!$A$3:$A$2150,F$1,'United Data'!$C$3:$C$2150,$A137,'United Data'!$B$3:$B$2150,"&lt;&gt;P")&gt;0,1,0)</f>
        <v>0</v>
      </c>
      <c r="G137">
        <f>IF(COUNTIFS('United Data'!$A$3:$A$2150,G$1,'United Data'!$C$3:$C$2150,$A137,'United Data'!$B$3:$B$2150,"&lt;&gt;P")&gt;0,1,0)</f>
        <v>0</v>
      </c>
      <c r="H137">
        <f>IF(COUNTIFS('United Data'!$A$3:$A$2150,H$1,'United Data'!$C$3:$C$2150,$A137,'United Data'!$B$3:$B$2150,"&lt;&gt;P")&gt;0,1,0)</f>
        <v>0</v>
      </c>
      <c r="I137">
        <f>IF(COUNTIFS('United Data'!$A$3:$A$2150,I$1,'United Data'!$C$3:$C$2150,$A137,'United Data'!$B$3:$B$2150,"&lt;&gt;P")&gt;0,1,0)</f>
        <v>0</v>
      </c>
      <c r="J137">
        <f>IF(COUNTIFS('United Data'!$A$3:$A$2150,J$1,'United Data'!$C$3:$C$2150,$A137,'United Data'!$B$3:$B$2150,"&lt;&gt;P")&gt;0,1,0)</f>
        <v>0</v>
      </c>
      <c r="K137">
        <f>IF(COUNTIFS('United Data'!$A$3:$A$2150,K$1,'United Data'!$C$3:$C$2150,$A137,'United Data'!$B$3:$B$2150,"&lt;&gt;P")&gt;0,1,0)</f>
        <v>0</v>
      </c>
      <c r="L137">
        <f>IF(COUNTIFS('United Data'!$A$3:$A$2150,L$1,'United Data'!$C$3:$C$2150,$A137,'United Data'!$B$3:$B$2150,"&lt;&gt;P")&gt;0,1,0)</f>
        <v>0</v>
      </c>
      <c r="M137">
        <f>IF(COUNTIFS('United Data'!$A$3:$A$2150,M$1,'United Data'!$C$3:$C$2150,$A137,'United Data'!$B$3:$B$2150,"&lt;&gt;P")&gt;0,1,0)</f>
        <v>0</v>
      </c>
      <c r="N137">
        <f>IF(COUNTIFS('United Data'!$A$3:$A$2150,N$1,'United Data'!$C$3:$C$2150,$A137,'United Data'!$B$3:$B$2150,"&lt;&gt;P")&gt;0,1,0)</f>
        <v>1</v>
      </c>
      <c r="O137">
        <f>IF(COUNTIFS('United Data'!$A$3:$A$2150,O$1,'United Data'!$C$3:$C$2150,$A137,'United Data'!$B$3:$B$2150,"&lt;&gt;P")&gt;0,1,0)</f>
        <v>0</v>
      </c>
      <c r="P137">
        <f>IF(COUNTIFS('United Data'!$A$3:$A$2150,P$1,'United Data'!$C$3:$C$2150,$A137,'United Data'!$B$3:$B$2150,"&lt;&gt;P")&gt;0,1,0)</f>
        <v>0</v>
      </c>
      <c r="Q137">
        <f>IF(COUNTIFS('United Data'!$A$3:$A$2150,Q$1,'United Data'!$C$3:$C$2150,$A137,'United Data'!$B$3:$B$2150,"&lt;&gt;P")&gt;0,1,0)</f>
        <v>0</v>
      </c>
      <c r="R137">
        <f>IF(COUNTIFS('United Data'!$A$3:$A$2150,R$1,'United Data'!$C$3:$C$2150,$A137,'United Data'!$B$3:$B$2150,"&lt;&gt;P")&gt;0,1,0)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183</v>
      </c>
      <c r="B138">
        <f>IF(COUNTIFS('United Data'!$A$3:$A$2150,B$1,'United Data'!$C$3:$C$2150,$A138,'United Data'!$B$3:$B$2150,"&lt;&gt;P")&gt;0,1,0)</f>
        <v>0</v>
      </c>
      <c r="C138">
        <f>IF(COUNTIFS('United Data'!$A$3:$A$2150,C$1,'United Data'!$C$3:$C$2150,$A138,'United Data'!$B$3:$B$2150,"&lt;&gt;P")&gt;0,1,0)</f>
        <v>0</v>
      </c>
      <c r="D138">
        <f>IF(COUNTIFS('United Data'!$A$3:$A$2150,D$1,'United Data'!$C$3:$C$2150,$A138,'United Data'!$B$3:$B$2150,"&lt;&gt;P")&gt;0,1,0)</f>
        <v>0</v>
      </c>
      <c r="E138">
        <f>IF(COUNTIFS('United Data'!$A$3:$A$2150,E$1,'United Data'!$C$3:$C$2150,$A138,'United Data'!$B$3:$B$2150,"&lt;&gt;P")&gt;0,1,0)</f>
        <v>0</v>
      </c>
      <c r="F138">
        <f>IF(COUNTIFS('United Data'!$A$3:$A$2150,F$1,'United Data'!$C$3:$C$2150,$A138,'United Data'!$B$3:$B$2150,"&lt;&gt;P")&gt;0,1,0)</f>
        <v>0</v>
      </c>
      <c r="G138">
        <f>IF(COUNTIFS('United Data'!$A$3:$A$2150,G$1,'United Data'!$C$3:$C$2150,$A138,'United Data'!$B$3:$B$2150,"&lt;&gt;P")&gt;0,1,0)</f>
        <v>0</v>
      </c>
      <c r="H138">
        <f>IF(COUNTIFS('United Data'!$A$3:$A$2150,H$1,'United Data'!$C$3:$C$2150,$A138,'United Data'!$B$3:$B$2150,"&lt;&gt;P")&gt;0,1,0)</f>
        <v>0</v>
      </c>
      <c r="I138">
        <f>IF(COUNTIFS('United Data'!$A$3:$A$2150,I$1,'United Data'!$C$3:$C$2150,$A138,'United Data'!$B$3:$B$2150,"&lt;&gt;P")&gt;0,1,0)</f>
        <v>0</v>
      </c>
      <c r="J138">
        <f>IF(COUNTIFS('United Data'!$A$3:$A$2150,J$1,'United Data'!$C$3:$C$2150,$A138,'United Data'!$B$3:$B$2150,"&lt;&gt;P")&gt;0,1,0)</f>
        <v>0</v>
      </c>
      <c r="K138">
        <f>IF(COUNTIFS('United Data'!$A$3:$A$2150,K$1,'United Data'!$C$3:$C$2150,$A138,'United Data'!$B$3:$B$2150,"&lt;&gt;P")&gt;0,1,0)</f>
        <v>0</v>
      </c>
      <c r="L138">
        <f>IF(COUNTIFS('United Data'!$A$3:$A$2150,L$1,'United Data'!$C$3:$C$2150,$A138,'United Data'!$B$3:$B$2150,"&lt;&gt;P")&gt;0,1,0)</f>
        <v>0</v>
      </c>
      <c r="M138">
        <f>IF(COUNTIFS('United Data'!$A$3:$A$2150,M$1,'United Data'!$C$3:$C$2150,$A138,'United Data'!$B$3:$B$2150,"&lt;&gt;P")&gt;0,1,0)</f>
        <v>0</v>
      </c>
      <c r="N138">
        <f>IF(COUNTIFS('United Data'!$A$3:$A$2150,N$1,'United Data'!$C$3:$C$2150,$A138,'United Data'!$B$3:$B$2150,"&lt;&gt;P")&gt;0,1,0)</f>
        <v>1</v>
      </c>
      <c r="O138">
        <f>IF(COUNTIFS('United Data'!$A$3:$A$2150,O$1,'United Data'!$C$3:$C$2150,$A138,'United Data'!$B$3:$B$2150,"&lt;&gt;P")&gt;0,1,0)</f>
        <v>0</v>
      </c>
      <c r="P138">
        <f>IF(COUNTIFS('United Data'!$A$3:$A$2150,P$1,'United Data'!$C$3:$C$2150,$A138,'United Data'!$B$3:$B$2150,"&lt;&gt;P")&gt;0,1,0)</f>
        <v>0</v>
      </c>
      <c r="Q138">
        <f>IF(COUNTIFS('United Data'!$A$3:$A$2150,Q$1,'United Data'!$C$3:$C$2150,$A138,'United Data'!$B$3:$B$2150,"&lt;&gt;P")&gt;0,1,0)</f>
        <v>0</v>
      </c>
      <c r="R138">
        <f>IF(COUNTIFS('United Data'!$A$3:$A$2150,R$1,'United Data'!$C$3:$C$2150,$A138,'United Data'!$B$3:$B$2150,"&lt;&gt;P")&gt;0,1,0)</f>
        <v>0</v>
      </c>
      <c r="S138">
        <f t="shared" si="4"/>
        <v>1</v>
      </c>
      <c r="T138">
        <f t="shared" si="5"/>
        <v>1</v>
      </c>
    </row>
    <row r="139" spans="1:20" x14ac:dyDescent="0.2">
      <c r="A139" t="s">
        <v>184</v>
      </c>
      <c r="B139">
        <f>IF(COUNTIFS('United Data'!$A$3:$A$2150,B$1,'United Data'!$C$3:$C$2150,$A139,'United Data'!$B$3:$B$2150,"&lt;&gt;P")&gt;0,1,0)</f>
        <v>0</v>
      </c>
      <c r="C139">
        <f>IF(COUNTIFS('United Data'!$A$3:$A$2150,C$1,'United Data'!$C$3:$C$2150,$A139,'United Data'!$B$3:$B$2150,"&lt;&gt;P")&gt;0,1,0)</f>
        <v>0</v>
      </c>
      <c r="D139">
        <f>IF(COUNTIFS('United Data'!$A$3:$A$2150,D$1,'United Data'!$C$3:$C$2150,$A139,'United Data'!$B$3:$B$2150,"&lt;&gt;P")&gt;0,1,0)</f>
        <v>0</v>
      </c>
      <c r="E139">
        <f>IF(COUNTIFS('United Data'!$A$3:$A$2150,E$1,'United Data'!$C$3:$C$2150,$A139,'United Data'!$B$3:$B$2150,"&lt;&gt;P")&gt;0,1,0)</f>
        <v>0</v>
      </c>
      <c r="F139">
        <f>IF(COUNTIFS('United Data'!$A$3:$A$2150,F$1,'United Data'!$C$3:$C$2150,$A139,'United Data'!$B$3:$B$2150,"&lt;&gt;P")&gt;0,1,0)</f>
        <v>0</v>
      </c>
      <c r="G139">
        <f>IF(COUNTIFS('United Data'!$A$3:$A$2150,G$1,'United Data'!$C$3:$C$2150,$A139,'United Data'!$B$3:$B$2150,"&lt;&gt;P")&gt;0,1,0)</f>
        <v>0</v>
      </c>
      <c r="H139">
        <f>IF(COUNTIFS('United Data'!$A$3:$A$2150,H$1,'United Data'!$C$3:$C$2150,$A139,'United Data'!$B$3:$B$2150,"&lt;&gt;P")&gt;0,1,0)</f>
        <v>0</v>
      </c>
      <c r="I139">
        <f>IF(COUNTIFS('United Data'!$A$3:$A$2150,I$1,'United Data'!$C$3:$C$2150,$A139,'United Data'!$B$3:$B$2150,"&lt;&gt;P")&gt;0,1,0)</f>
        <v>0</v>
      </c>
      <c r="J139">
        <f>IF(COUNTIFS('United Data'!$A$3:$A$2150,J$1,'United Data'!$C$3:$C$2150,$A139,'United Data'!$B$3:$B$2150,"&lt;&gt;P")&gt;0,1,0)</f>
        <v>0</v>
      </c>
      <c r="K139">
        <f>IF(COUNTIFS('United Data'!$A$3:$A$2150,K$1,'United Data'!$C$3:$C$2150,$A139,'United Data'!$B$3:$B$2150,"&lt;&gt;P")&gt;0,1,0)</f>
        <v>0</v>
      </c>
      <c r="L139">
        <f>IF(COUNTIFS('United Data'!$A$3:$A$2150,L$1,'United Data'!$C$3:$C$2150,$A139,'United Data'!$B$3:$B$2150,"&lt;&gt;P")&gt;0,1,0)</f>
        <v>0</v>
      </c>
      <c r="M139">
        <f>IF(COUNTIFS('United Data'!$A$3:$A$2150,M$1,'United Data'!$C$3:$C$2150,$A139,'United Data'!$B$3:$B$2150,"&lt;&gt;P")&gt;0,1,0)</f>
        <v>0</v>
      </c>
      <c r="N139">
        <f>IF(COUNTIFS('United Data'!$A$3:$A$2150,N$1,'United Data'!$C$3:$C$2150,$A139,'United Data'!$B$3:$B$2150,"&lt;&gt;P")&gt;0,1,0)</f>
        <v>1</v>
      </c>
      <c r="O139">
        <f>IF(COUNTIFS('United Data'!$A$3:$A$2150,O$1,'United Data'!$C$3:$C$2150,$A139,'United Data'!$B$3:$B$2150,"&lt;&gt;P")&gt;0,1,0)</f>
        <v>1</v>
      </c>
      <c r="P139">
        <f>IF(COUNTIFS('United Data'!$A$3:$A$2150,P$1,'United Data'!$C$3:$C$2150,$A139,'United Data'!$B$3:$B$2150,"&lt;&gt;P")&gt;0,1,0)</f>
        <v>0</v>
      </c>
      <c r="Q139">
        <f>IF(COUNTIFS('United Data'!$A$3:$A$2150,Q$1,'United Data'!$C$3:$C$2150,$A139,'United Data'!$B$3:$B$2150,"&lt;&gt;P")&gt;0,1,0)</f>
        <v>0</v>
      </c>
      <c r="R139">
        <f>IF(COUNTIFS('United Data'!$A$3:$A$2150,R$1,'United Data'!$C$3:$C$2150,$A139,'United Data'!$B$3:$B$2150,"&lt;&gt;P")&gt;0,1,0)</f>
        <v>0</v>
      </c>
      <c r="S139">
        <f t="shared" si="4"/>
        <v>2</v>
      </c>
      <c r="T139">
        <f t="shared" si="5"/>
        <v>1</v>
      </c>
    </row>
    <row r="140" spans="1:20" x14ac:dyDescent="0.2">
      <c r="A140" t="s">
        <v>185</v>
      </c>
      <c r="B140">
        <f>IF(COUNTIFS('United Data'!$A$3:$A$2150,B$1,'United Data'!$C$3:$C$2150,$A140,'United Data'!$B$3:$B$2150,"&lt;&gt;P")&gt;0,1,0)</f>
        <v>0</v>
      </c>
      <c r="C140">
        <f>IF(COUNTIFS('United Data'!$A$3:$A$2150,C$1,'United Data'!$C$3:$C$2150,$A140,'United Data'!$B$3:$B$2150,"&lt;&gt;P")&gt;0,1,0)</f>
        <v>0</v>
      </c>
      <c r="D140">
        <f>IF(COUNTIFS('United Data'!$A$3:$A$2150,D$1,'United Data'!$C$3:$C$2150,$A140,'United Data'!$B$3:$B$2150,"&lt;&gt;P")&gt;0,1,0)</f>
        <v>0</v>
      </c>
      <c r="E140">
        <f>IF(COUNTIFS('United Data'!$A$3:$A$2150,E$1,'United Data'!$C$3:$C$2150,$A140,'United Data'!$B$3:$B$2150,"&lt;&gt;P")&gt;0,1,0)</f>
        <v>0</v>
      </c>
      <c r="F140">
        <f>IF(COUNTIFS('United Data'!$A$3:$A$2150,F$1,'United Data'!$C$3:$C$2150,$A140,'United Data'!$B$3:$B$2150,"&lt;&gt;P")&gt;0,1,0)</f>
        <v>0</v>
      </c>
      <c r="G140">
        <f>IF(COUNTIFS('United Data'!$A$3:$A$2150,G$1,'United Data'!$C$3:$C$2150,$A140,'United Data'!$B$3:$B$2150,"&lt;&gt;P")&gt;0,1,0)</f>
        <v>0</v>
      </c>
      <c r="H140">
        <f>IF(COUNTIFS('United Data'!$A$3:$A$2150,H$1,'United Data'!$C$3:$C$2150,$A140,'United Data'!$B$3:$B$2150,"&lt;&gt;P")&gt;0,1,0)</f>
        <v>0</v>
      </c>
      <c r="I140">
        <f>IF(COUNTIFS('United Data'!$A$3:$A$2150,I$1,'United Data'!$C$3:$C$2150,$A140,'United Data'!$B$3:$B$2150,"&lt;&gt;P")&gt;0,1,0)</f>
        <v>0</v>
      </c>
      <c r="J140">
        <f>IF(COUNTIFS('United Data'!$A$3:$A$2150,J$1,'United Data'!$C$3:$C$2150,$A140,'United Data'!$B$3:$B$2150,"&lt;&gt;P")&gt;0,1,0)</f>
        <v>0</v>
      </c>
      <c r="K140">
        <f>IF(COUNTIFS('United Data'!$A$3:$A$2150,K$1,'United Data'!$C$3:$C$2150,$A140,'United Data'!$B$3:$B$2150,"&lt;&gt;P")&gt;0,1,0)</f>
        <v>0</v>
      </c>
      <c r="L140">
        <f>IF(COUNTIFS('United Data'!$A$3:$A$2150,L$1,'United Data'!$C$3:$C$2150,$A140,'United Data'!$B$3:$B$2150,"&lt;&gt;P")&gt;0,1,0)</f>
        <v>0</v>
      </c>
      <c r="M140">
        <f>IF(COUNTIFS('United Data'!$A$3:$A$2150,M$1,'United Data'!$C$3:$C$2150,$A140,'United Data'!$B$3:$B$2150,"&lt;&gt;P")&gt;0,1,0)</f>
        <v>0</v>
      </c>
      <c r="N140">
        <f>IF(COUNTIFS('United Data'!$A$3:$A$2150,N$1,'United Data'!$C$3:$C$2150,$A140,'United Data'!$B$3:$B$2150,"&lt;&gt;P")&gt;0,1,0)</f>
        <v>0</v>
      </c>
      <c r="O140">
        <f>IF(COUNTIFS('United Data'!$A$3:$A$2150,O$1,'United Data'!$C$3:$C$2150,$A140,'United Data'!$B$3:$B$2150,"&lt;&gt;P")&gt;0,1,0)</f>
        <v>1</v>
      </c>
      <c r="P140">
        <f>IF(COUNTIFS('United Data'!$A$3:$A$2150,P$1,'United Data'!$C$3:$C$2150,$A140,'United Data'!$B$3:$B$2150,"&lt;&gt;P")&gt;0,1,0)</f>
        <v>0</v>
      </c>
      <c r="Q140">
        <f>IF(COUNTIFS('United Data'!$A$3:$A$2150,Q$1,'United Data'!$C$3:$C$2150,$A140,'United Data'!$B$3:$B$2150,"&lt;&gt;P")&gt;0,1,0)</f>
        <v>0</v>
      </c>
      <c r="R140">
        <f>IF(COUNTIFS('United Data'!$A$3:$A$2150,R$1,'United Data'!$C$3:$C$2150,$A140,'United Data'!$B$3:$B$2150,"&lt;&gt;P")&gt;0,1,0)</f>
        <v>0</v>
      </c>
      <c r="S140">
        <f t="shared" si="4"/>
        <v>1</v>
      </c>
      <c r="T140">
        <f t="shared" si="5"/>
        <v>1</v>
      </c>
    </row>
    <row r="141" spans="1:20" x14ac:dyDescent="0.2">
      <c r="A141" t="s">
        <v>186</v>
      </c>
      <c r="B141">
        <f>IF(COUNTIFS('United Data'!$A$3:$A$2150,B$1,'United Data'!$C$3:$C$2150,$A141,'United Data'!$B$3:$B$2150,"&lt;&gt;P")&gt;0,1,0)</f>
        <v>0</v>
      </c>
      <c r="C141">
        <f>IF(COUNTIFS('United Data'!$A$3:$A$2150,C$1,'United Data'!$C$3:$C$2150,$A141,'United Data'!$B$3:$B$2150,"&lt;&gt;P")&gt;0,1,0)</f>
        <v>0</v>
      </c>
      <c r="D141">
        <f>IF(COUNTIFS('United Data'!$A$3:$A$2150,D$1,'United Data'!$C$3:$C$2150,$A141,'United Data'!$B$3:$B$2150,"&lt;&gt;P")&gt;0,1,0)</f>
        <v>0</v>
      </c>
      <c r="E141">
        <f>IF(COUNTIFS('United Data'!$A$3:$A$2150,E$1,'United Data'!$C$3:$C$2150,$A141,'United Data'!$B$3:$B$2150,"&lt;&gt;P")&gt;0,1,0)</f>
        <v>0</v>
      </c>
      <c r="F141">
        <f>IF(COUNTIFS('United Data'!$A$3:$A$2150,F$1,'United Data'!$C$3:$C$2150,$A141,'United Data'!$B$3:$B$2150,"&lt;&gt;P")&gt;0,1,0)</f>
        <v>0</v>
      </c>
      <c r="G141">
        <f>IF(COUNTIFS('United Data'!$A$3:$A$2150,G$1,'United Data'!$C$3:$C$2150,$A141,'United Data'!$B$3:$B$2150,"&lt;&gt;P")&gt;0,1,0)</f>
        <v>0</v>
      </c>
      <c r="H141">
        <f>IF(COUNTIFS('United Data'!$A$3:$A$2150,H$1,'United Data'!$C$3:$C$2150,$A141,'United Data'!$B$3:$B$2150,"&lt;&gt;P")&gt;0,1,0)</f>
        <v>0</v>
      </c>
      <c r="I141">
        <f>IF(COUNTIFS('United Data'!$A$3:$A$2150,I$1,'United Data'!$C$3:$C$2150,$A141,'United Data'!$B$3:$B$2150,"&lt;&gt;P")&gt;0,1,0)</f>
        <v>0</v>
      </c>
      <c r="J141">
        <f>IF(COUNTIFS('United Data'!$A$3:$A$2150,J$1,'United Data'!$C$3:$C$2150,$A141,'United Data'!$B$3:$B$2150,"&lt;&gt;P")&gt;0,1,0)</f>
        <v>0</v>
      </c>
      <c r="K141">
        <f>IF(COUNTIFS('United Data'!$A$3:$A$2150,K$1,'United Data'!$C$3:$C$2150,$A141,'United Data'!$B$3:$B$2150,"&lt;&gt;P")&gt;0,1,0)</f>
        <v>0</v>
      </c>
      <c r="L141">
        <f>IF(COUNTIFS('United Data'!$A$3:$A$2150,L$1,'United Data'!$C$3:$C$2150,$A141,'United Data'!$B$3:$B$2150,"&lt;&gt;P")&gt;0,1,0)</f>
        <v>0</v>
      </c>
      <c r="M141">
        <f>IF(COUNTIFS('United Data'!$A$3:$A$2150,M$1,'United Data'!$C$3:$C$2150,$A141,'United Data'!$B$3:$B$2150,"&lt;&gt;P")&gt;0,1,0)</f>
        <v>0</v>
      </c>
      <c r="N141">
        <f>IF(COUNTIFS('United Data'!$A$3:$A$2150,N$1,'United Data'!$C$3:$C$2150,$A141,'United Data'!$B$3:$B$2150,"&lt;&gt;P")&gt;0,1,0)</f>
        <v>0</v>
      </c>
      <c r="O141">
        <f>IF(COUNTIFS('United Data'!$A$3:$A$2150,O$1,'United Data'!$C$3:$C$2150,$A141,'United Data'!$B$3:$B$2150,"&lt;&gt;P")&gt;0,1,0)</f>
        <v>1</v>
      </c>
      <c r="P141">
        <f>IF(COUNTIFS('United Data'!$A$3:$A$2150,P$1,'United Data'!$C$3:$C$2150,$A141,'United Data'!$B$3:$B$2150,"&lt;&gt;P")&gt;0,1,0)</f>
        <v>0</v>
      </c>
      <c r="Q141">
        <f>IF(COUNTIFS('United Data'!$A$3:$A$2150,Q$1,'United Data'!$C$3:$C$2150,$A141,'United Data'!$B$3:$B$2150,"&lt;&gt;P")&gt;0,1,0)</f>
        <v>0</v>
      </c>
      <c r="R141">
        <f>IF(COUNTIFS('United Data'!$A$3:$A$2150,R$1,'United Data'!$C$3:$C$2150,$A141,'United Data'!$B$3:$B$2150,"&lt;&gt;P")&gt;0,1,0)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187</v>
      </c>
      <c r="B142">
        <f>IF(COUNTIFS('United Data'!$A$3:$A$2150,B$1,'United Data'!$C$3:$C$2150,$A142,'United Data'!$B$3:$B$2150,"&lt;&gt;P")&gt;0,1,0)</f>
        <v>0</v>
      </c>
      <c r="C142">
        <f>IF(COUNTIFS('United Data'!$A$3:$A$2150,C$1,'United Data'!$C$3:$C$2150,$A142,'United Data'!$B$3:$B$2150,"&lt;&gt;P")&gt;0,1,0)</f>
        <v>0</v>
      </c>
      <c r="D142">
        <f>IF(COUNTIFS('United Data'!$A$3:$A$2150,D$1,'United Data'!$C$3:$C$2150,$A142,'United Data'!$B$3:$B$2150,"&lt;&gt;P")&gt;0,1,0)</f>
        <v>0</v>
      </c>
      <c r="E142">
        <f>IF(COUNTIFS('United Data'!$A$3:$A$2150,E$1,'United Data'!$C$3:$C$2150,$A142,'United Data'!$B$3:$B$2150,"&lt;&gt;P")&gt;0,1,0)</f>
        <v>0</v>
      </c>
      <c r="F142">
        <f>IF(COUNTIFS('United Data'!$A$3:$A$2150,F$1,'United Data'!$C$3:$C$2150,$A142,'United Data'!$B$3:$B$2150,"&lt;&gt;P")&gt;0,1,0)</f>
        <v>0</v>
      </c>
      <c r="G142">
        <f>IF(COUNTIFS('United Data'!$A$3:$A$2150,G$1,'United Data'!$C$3:$C$2150,$A142,'United Data'!$B$3:$B$2150,"&lt;&gt;P")&gt;0,1,0)</f>
        <v>0</v>
      </c>
      <c r="H142">
        <f>IF(COUNTIFS('United Data'!$A$3:$A$2150,H$1,'United Data'!$C$3:$C$2150,$A142,'United Data'!$B$3:$B$2150,"&lt;&gt;P")&gt;0,1,0)</f>
        <v>0</v>
      </c>
      <c r="I142">
        <f>IF(COUNTIFS('United Data'!$A$3:$A$2150,I$1,'United Data'!$C$3:$C$2150,$A142,'United Data'!$B$3:$B$2150,"&lt;&gt;P")&gt;0,1,0)</f>
        <v>0</v>
      </c>
      <c r="J142">
        <f>IF(COUNTIFS('United Data'!$A$3:$A$2150,J$1,'United Data'!$C$3:$C$2150,$A142,'United Data'!$B$3:$B$2150,"&lt;&gt;P")&gt;0,1,0)</f>
        <v>0</v>
      </c>
      <c r="K142">
        <f>IF(COUNTIFS('United Data'!$A$3:$A$2150,K$1,'United Data'!$C$3:$C$2150,$A142,'United Data'!$B$3:$B$2150,"&lt;&gt;P")&gt;0,1,0)</f>
        <v>0</v>
      </c>
      <c r="L142">
        <f>IF(COUNTIFS('United Data'!$A$3:$A$2150,L$1,'United Data'!$C$3:$C$2150,$A142,'United Data'!$B$3:$B$2150,"&lt;&gt;P")&gt;0,1,0)</f>
        <v>0</v>
      </c>
      <c r="M142">
        <f>IF(COUNTIFS('United Data'!$A$3:$A$2150,M$1,'United Data'!$C$3:$C$2150,$A142,'United Data'!$B$3:$B$2150,"&lt;&gt;P")&gt;0,1,0)</f>
        <v>0</v>
      </c>
      <c r="N142">
        <f>IF(COUNTIFS('United Data'!$A$3:$A$2150,N$1,'United Data'!$C$3:$C$2150,$A142,'United Data'!$B$3:$B$2150,"&lt;&gt;P")&gt;0,1,0)</f>
        <v>0</v>
      </c>
      <c r="O142">
        <f>IF(COUNTIFS('United Data'!$A$3:$A$2150,O$1,'United Data'!$C$3:$C$2150,$A142,'United Data'!$B$3:$B$2150,"&lt;&gt;P")&gt;0,1,0)</f>
        <v>1</v>
      </c>
      <c r="P142">
        <f>IF(COUNTIFS('United Data'!$A$3:$A$2150,P$1,'United Data'!$C$3:$C$2150,$A142,'United Data'!$B$3:$B$2150,"&lt;&gt;P")&gt;0,1,0)</f>
        <v>1</v>
      </c>
      <c r="Q142">
        <f>IF(COUNTIFS('United Data'!$A$3:$A$2150,Q$1,'United Data'!$C$3:$C$2150,$A142,'United Data'!$B$3:$B$2150,"&lt;&gt;P")&gt;0,1,0)</f>
        <v>1</v>
      </c>
      <c r="R142">
        <f>IF(COUNTIFS('United Data'!$A$3:$A$2150,R$1,'United Data'!$C$3:$C$2150,$A142,'United Data'!$B$3:$B$2150,"&lt;&gt;P")&gt;0,1,0)</f>
        <v>0</v>
      </c>
      <c r="S142">
        <f t="shared" si="4"/>
        <v>3</v>
      </c>
      <c r="T142">
        <f t="shared" si="5"/>
        <v>1</v>
      </c>
    </row>
    <row r="143" spans="1:20" x14ac:dyDescent="0.2">
      <c r="A143" t="s">
        <v>188</v>
      </c>
      <c r="B143">
        <f>IF(COUNTIFS('United Data'!$A$3:$A$2150,B$1,'United Data'!$C$3:$C$2150,$A143,'United Data'!$B$3:$B$2150,"&lt;&gt;P")&gt;0,1,0)</f>
        <v>0</v>
      </c>
      <c r="C143">
        <f>IF(COUNTIFS('United Data'!$A$3:$A$2150,C$1,'United Data'!$C$3:$C$2150,$A143,'United Data'!$B$3:$B$2150,"&lt;&gt;P")&gt;0,1,0)</f>
        <v>0</v>
      </c>
      <c r="D143">
        <f>IF(COUNTIFS('United Data'!$A$3:$A$2150,D$1,'United Data'!$C$3:$C$2150,$A143,'United Data'!$B$3:$B$2150,"&lt;&gt;P")&gt;0,1,0)</f>
        <v>0</v>
      </c>
      <c r="E143">
        <f>IF(COUNTIFS('United Data'!$A$3:$A$2150,E$1,'United Data'!$C$3:$C$2150,$A143,'United Data'!$B$3:$B$2150,"&lt;&gt;P")&gt;0,1,0)</f>
        <v>0</v>
      </c>
      <c r="F143">
        <f>IF(COUNTIFS('United Data'!$A$3:$A$2150,F$1,'United Data'!$C$3:$C$2150,$A143,'United Data'!$B$3:$B$2150,"&lt;&gt;P")&gt;0,1,0)</f>
        <v>0</v>
      </c>
      <c r="G143">
        <f>IF(COUNTIFS('United Data'!$A$3:$A$2150,G$1,'United Data'!$C$3:$C$2150,$A143,'United Data'!$B$3:$B$2150,"&lt;&gt;P")&gt;0,1,0)</f>
        <v>0</v>
      </c>
      <c r="H143">
        <f>IF(COUNTIFS('United Data'!$A$3:$A$2150,H$1,'United Data'!$C$3:$C$2150,$A143,'United Data'!$B$3:$B$2150,"&lt;&gt;P")&gt;0,1,0)</f>
        <v>0</v>
      </c>
      <c r="I143">
        <f>IF(COUNTIFS('United Data'!$A$3:$A$2150,I$1,'United Data'!$C$3:$C$2150,$A143,'United Data'!$B$3:$B$2150,"&lt;&gt;P")&gt;0,1,0)</f>
        <v>0</v>
      </c>
      <c r="J143">
        <f>IF(COUNTIFS('United Data'!$A$3:$A$2150,J$1,'United Data'!$C$3:$C$2150,$A143,'United Data'!$B$3:$B$2150,"&lt;&gt;P")&gt;0,1,0)</f>
        <v>0</v>
      </c>
      <c r="K143">
        <f>IF(COUNTIFS('United Data'!$A$3:$A$2150,K$1,'United Data'!$C$3:$C$2150,$A143,'United Data'!$B$3:$B$2150,"&lt;&gt;P")&gt;0,1,0)</f>
        <v>0</v>
      </c>
      <c r="L143">
        <f>IF(COUNTIFS('United Data'!$A$3:$A$2150,L$1,'United Data'!$C$3:$C$2150,$A143,'United Data'!$B$3:$B$2150,"&lt;&gt;P")&gt;0,1,0)</f>
        <v>0</v>
      </c>
      <c r="M143">
        <f>IF(COUNTIFS('United Data'!$A$3:$A$2150,M$1,'United Data'!$C$3:$C$2150,$A143,'United Data'!$B$3:$B$2150,"&lt;&gt;P")&gt;0,1,0)</f>
        <v>0</v>
      </c>
      <c r="N143">
        <f>IF(COUNTIFS('United Data'!$A$3:$A$2150,N$1,'United Data'!$C$3:$C$2150,$A143,'United Data'!$B$3:$B$2150,"&lt;&gt;P")&gt;0,1,0)</f>
        <v>0</v>
      </c>
      <c r="O143">
        <f>IF(COUNTIFS('United Data'!$A$3:$A$2150,O$1,'United Data'!$C$3:$C$2150,$A143,'United Data'!$B$3:$B$2150,"&lt;&gt;P")&gt;0,1,0)</f>
        <v>1</v>
      </c>
      <c r="P143">
        <f>IF(COUNTIFS('United Data'!$A$3:$A$2150,P$1,'United Data'!$C$3:$C$2150,$A143,'United Data'!$B$3:$B$2150,"&lt;&gt;P")&gt;0,1,0)</f>
        <v>1</v>
      </c>
      <c r="Q143">
        <f>IF(COUNTIFS('United Data'!$A$3:$A$2150,Q$1,'United Data'!$C$3:$C$2150,$A143,'United Data'!$B$3:$B$2150,"&lt;&gt;P")&gt;0,1,0)</f>
        <v>0</v>
      </c>
      <c r="R143">
        <f>IF(COUNTIFS('United Data'!$A$3:$A$2150,R$1,'United Data'!$C$3:$C$2150,$A143,'United Data'!$B$3:$B$2150,"&lt;&gt;P")&gt;0,1,0)</f>
        <v>0</v>
      </c>
      <c r="S143">
        <f t="shared" si="4"/>
        <v>2</v>
      </c>
      <c r="T143">
        <f t="shared" si="5"/>
        <v>1</v>
      </c>
    </row>
    <row r="144" spans="1:20" x14ac:dyDescent="0.2">
      <c r="A144" t="s">
        <v>189</v>
      </c>
      <c r="B144">
        <f>IF(COUNTIFS('United Data'!$A$3:$A$2150,B$1,'United Data'!$C$3:$C$2150,$A144,'United Data'!$B$3:$B$2150,"&lt;&gt;P")&gt;0,1,0)</f>
        <v>0</v>
      </c>
      <c r="C144">
        <f>IF(COUNTIFS('United Data'!$A$3:$A$2150,C$1,'United Data'!$C$3:$C$2150,$A144,'United Data'!$B$3:$B$2150,"&lt;&gt;P")&gt;0,1,0)</f>
        <v>0</v>
      </c>
      <c r="D144">
        <f>IF(COUNTIFS('United Data'!$A$3:$A$2150,D$1,'United Data'!$C$3:$C$2150,$A144,'United Data'!$B$3:$B$2150,"&lt;&gt;P")&gt;0,1,0)</f>
        <v>0</v>
      </c>
      <c r="E144">
        <f>IF(COUNTIFS('United Data'!$A$3:$A$2150,E$1,'United Data'!$C$3:$C$2150,$A144,'United Data'!$B$3:$B$2150,"&lt;&gt;P")&gt;0,1,0)</f>
        <v>0</v>
      </c>
      <c r="F144">
        <f>IF(COUNTIFS('United Data'!$A$3:$A$2150,F$1,'United Data'!$C$3:$C$2150,$A144,'United Data'!$B$3:$B$2150,"&lt;&gt;P")&gt;0,1,0)</f>
        <v>0</v>
      </c>
      <c r="G144">
        <f>IF(COUNTIFS('United Data'!$A$3:$A$2150,G$1,'United Data'!$C$3:$C$2150,$A144,'United Data'!$B$3:$B$2150,"&lt;&gt;P")&gt;0,1,0)</f>
        <v>0</v>
      </c>
      <c r="H144">
        <f>IF(COUNTIFS('United Data'!$A$3:$A$2150,H$1,'United Data'!$C$3:$C$2150,$A144,'United Data'!$B$3:$B$2150,"&lt;&gt;P")&gt;0,1,0)</f>
        <v>0</v>
      </c>
      <c r="I144">
        <f>IF(COUNTIFS('United Data'!$A$3:$A$2150,I$1,'United Data'!$C$3:$C$2150,$A144,'United Data'!$B$3:$B$2150,"&lt;&gt;P")&gt;0,1,0)</f>
        <v>0</v>
      </c>
      <c r="J144">
        <f>IF(COUNTIFS('United Data'!$A$3:$A$2150,J$1,'United Data'!$C$3:$C$2150,$A144,'United Data'!$B$3:$B$2150,"&lt;&gt;P")&gt;0,1,0)</f>
        <v>0</v>
      </c>
      <c r="K144">
        <f>IF(COUNTIFS('United Data'!$A$3:$A$2150,K$1,'United Data'!$C$3:$C$2150,$A144,'United Data'!$B$3:$B$2150,"&lt;&gt;P")&gt;0,1,0)</f>
        <v>0</v>
      </c>
      <c r="L144">
        <f>IF(COUNTIFS('United Data'!$A$3:$A$2150,L$1,'United Data'!$C$3:$C$2150,$A144,'United Data'!$B$3:$B$2150,"&lt;&gt;P")&gt;0,1,0)</f>
        <v>0</v>
      </c>
      <c r="M144">
        <f>IF(COUNTIFS('United Data'!$A$3:$A$2150,M$1,'United Data'!$C$3:$C$2150,$A144,'United Data'!$B$3:$B$2150,"&lt;&gt;P")&gt;0,1,0)</f>
        <v>0</v>
      </c>
      <c r="N144">
        <f>IF(COUNTIFS('United Data'!$A$3:$A$2150,N$1,'United Data'!$C$3:$C$2150,$A144,'United Data'!$B$3:$B$2150,"&lt;&gt;P")&gt;0,1,0)</f>
        <v>0</v>
      </c>
      <c r="O144">
        <f>IF(COUNTIFS('United Data'!$A$3:$A$2150,O$1,'United Data'!$C$3:$C$2150,$A144,'United Data'!$B$3:$B$2150,"&lt;&gt;P")&gt;0,1,0)</f>
        <v>1</v>
      </c>
      <c r="P144">
        <f>IF(COUNTIFS('United Data'!$A$3:$A$2150,P$1,'United Data'!$C$3:$C$2150,$A144,'United Data'!$B$3:$B$2150,"&lt;&gt;P")&gt;0,1,0)</f>
        <v>1</v>
      </c>
      <c r="Q144">
        <f>IF(COUNTIFS('United Data'!$A$3:$A$2150,Q$1,'United Data'!$C$3:$C$2150,$A144,'United Data'!$B$3:$B$2150,"&lt;&gt;P")&gt;0,1,0)</f>
        <v>0</v>
      </c>
      <c r="R144">
        <f>IF(COUNTIFS('United Data'!$A$3:$A$2150,R$1,'United Data'!$C$3:$C$2150,$A144,'United Data'!$B$3:$B$2150,"&lt;&gt;P")&gt;0,1,0)</f>
        <v>0</v>
      </c>
      <c r="S144">
        <f t="shared" si="4"/>
        <v>2</v>
      </c>
      <c r="T144">
        <f t="shared" si="5"/>
        <v>1</v>
      </c>
    </row>
    <row r="145" spans="1:20" x14ac:dyDescent="0.2">
      <c r="A145" t="s">
        <v>190</v>
      </c>
      <c r="B145">
        <f>IF(COUNTIFS('United Data'!$A$3:$A$2150,B$1,'United Data'!$C$3:$C$2150,$A145,'United Data'!$B$3:$B$2150,"&lt;&gt;P")&gt;0,1,0)</f>
        <v>0</v>
      </c>
      <c r="C145">
        <f>IF(COUNTIFS('United Data'!$A$3:$A$2150,C$1,'United Data'!$C$3:$C$2150,$A145,'United Data'!$B$3:$B$2150,"&lt;&gt;P")&gt;0,1,0)</f>
        <v>0</v>
      </c>
      <c r="D145">
        <f>IF(COUNTIFS('United Data'!$A$3:$A$2150,D$1,'United Data'!$C$3:$C$2150,$A145,'United Data'!$B$3:$B$2150,"&lt;&gt;P")&gt;0,1,0)</f>
        <v>0</v>
      </c>
      <c r="E145">
        <f>IF(COUNTIFS('United Data'!$A$3:$A$2150,E$1,'United Data'!$C$3:$C$2150,$A145,'United Data'!$B$3:$B$2150,"&lt;&gt;P")&gt;0,1,0)</f>
        <v>0</v>
      </c>
      <c r="F145">
        <f>IF(COUNTIFS('United Data'!$A$3:$A$2150,F$1,'United Data'!$C$3:$C$2150,$A145,'United Data'!$B$3:$B$2150,"&lt;&gt;P")&gt;0,1,0)</f>
        <v>0</v>
      </c>
      <c r="G145">
        <f>IF(COUNTIFS('United Data'!$A$3:$A$2150,G$1,'United Data'!$C$3:$C$2150,$A145,'United Data'!$B$3:$B$2150,"&lt;&gt;P")&gt;0,1,0)</f>
        <v>0</v>
      </c>
      <c r="H145">
        <f>IF(COUNTIFS('United Data'!$A$3:$A$2150,H$1,'United Data'!$C$3:$C$2150,$A145,'United Data'!$B$3:$B$2150,"&lt;&gt;P")&gt;0,1,0)</f>
        <v>0</v>
      </c>
      <c r="I145">
        <f>IF(COUNTIFS('United Data'!$A$3:$A$2150,I$1,'United Data'!$C$3:$C$2150,$A145,'United Data'!$B$3:$B$2150,"&lt;&gt;P")&gt;0,1,0)</f>
        <v>0</v>
      </c>
      <c r="J145">
        <f>IF(COUNTIFS('United Data'!$A$3:$A$2150,J$1,'United Data'!$C$3:$C$2150,$A145,'United Data'!$B$3:$B$2150,"&lt;&gt;P")&gt;0,1,0)</f>
        <v>0</v>
      </c>
      <c r="K145">
        <f>IF(COUNTIFS('United Data'!$A$3:$A$2150,K$1,'United Data'!$C$3:$C$2150,$A145,'United Data'!$B$3:$B$2150,"&lt;&gt;P")&gt;0,1,0)</f>
        <v>0</v>
      </c>
      <c r="L145">
        <f>IF(COUNTIFS('United Data'!$A$3:$A$2150,L$1,'United Data'!$C$3:$C$2150,$A145,'United Data'!$B$3:$B$2150,"&lt;&gt;P")&gt;0,1,0)</f>
        <v>0</v>
      </c>
      <c r="M145">
        <f>IF(COUNTIFS('United Data'!$A$3:$A$2150,M$1,'United Data'!$C$3:$C$2150,$A145,'United Data'!$B$3:$B$2150,"&lt;&gt;P")&gt;0,1,0)</f>
        <v>0</v>
      </c>
      <c r="N145">
        <f>IF(COUNTIFS('United Data'!$A$3:$A$2150,N$1,'United Data'!$C$3:$C$2150,$A145,'United Data'!$B$3:$B$2150,"&lt;&gt;P")&gt;0,1,0)</f>
        <v>0</v>
      </c>
      <c r="O145">
        <f>IF(COUNTIFS('United Data'!$A$3:$A$2150,O$1,'United Data'!$C$3:$C$2150,$A145,'United Data'!$B$3:$B$2150,"&lt;&gt;P")&gt;0,1,0)</f>
        <v>1</v>
      </c>
      <c r="P145">
        <f>IF(COUNTIFS('United Data'!$A$3:$A$2150,P$1,'United Data'!$C$3:$C$2150,$A145,'United Data'!$B$3:$B$2150,"&lt;&gt;P")&gt;0,1,0)</f>
        <v>0</v>
      </c>
      <c r="Q145">
        <f>IF(COUNTIFS('United Data'!$A$3:$A$2150,Q$1,'United Data'!$C$3:$C$2150,$A145,'United Data'!$B$3:$B$2150,"&lt;&gt;P")&gt;0,1,0)</f>
        <v>0</v>
      </c>
      <c r="R145">
        <f>IF(COUNTIFS('United Data'!$A$3:$A$2150,R$1,'United Data'!$C$3:$C$2150,$A145,'United Data'!$B$3:$B$2150,"&lt;&gt;P")&gt;0,1,0)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191</v>
      </c>
      <c r="B146">
        <f>IF(COUNTIFS('United Data'!$A$3:$A$2150,B$1,'United Data'!$C$3:$C$2150,$A146,'United Data'!$B$3:$B$2150,"&lt;&gt;P")&gt;0,1,0)</f>
        <v>0</v>
      </c>
      <c r="C146">
        <f>IF(COUNTIFS('United Data'!$A$3:$A$2150,C$1,'United Data'!$C$3:$C$2150,$A146,'United Data'!$B$3:$B$2150,"&lt;&gt;P")&gt;0,1,0)</f>
        <v>0</v>
      </c>
      <c r="D146">
        <f>IF(COUNTIFS('United Data'!$A$3:$A$2150,D$1,'United Data'!$C$3:$C$2150,$A146,'United Data'!$B$3:$B$2150,"&lt;&gt;P")&gt;0,1,0)</f>
        <v>0</v>
      </c>
      <c r="E146">
        <f>IF(COUNTIFS('United Data'!$A$3:$A$2150,E$1,'United Data'!$C$3:$C$2150,$A146,'United Data'!$B$3:$B$2150,"&lt;&gt;P")&gt;0,1,0)</f>
        <v>0</v>
      </c>
      <c r="F146">
        <f>IF(COUNTIFS('United Data'!$A$3:$A$2150,F$1,'United Data'!$C$3:$C$2150,$A146,'United Data'!$B$3:$B$2150,"&lt;&gt;P")&gt;0,1,0)</f>
        <v>0</v>
      </c>
      <c r="G146">
        <f>IF(COUNTIFS('United Data'!$A$3:$A$2150,G$1,'United Data'!$C$3:$C$2150,$A146,'United Data'!$B$3:$B$2150,"&lt;&gt;P")&gt;0,1,0)</f>
        <v>0</v>
      </c>
      <c r="H146">
        <f>IF(COUNTIFS('United Data'!$A$3:$A$2150,H$1,'United Data'!$C$3:$C$2150,$A146,'United Data'!$B$3:$B$2150,"&lt;&gt;P")&gt;0,1,0)</f>
        <v>0</v>
      </c>
      <c r="I146">
        <f>IF(COUNTIFS('United Data'!$A$3:$A$2150,I$1,'United Data'!$C$3:$C$2150,$A146,'United Data'!$B$3:$B$2150,"&lt;&gt;P")&gt;0,1,0)</f>
        <v>0</v>
      </c>
      <c r="J146">
        <f>IF(COUNTIFS('United Data'!$A$3:$A$2150,J$1,'United Data'!$C$3:$C$2150,$A146,'United Data'!$B$3:$B$2150,"&lt;&gt;P")&gt;0,1,0)</f>
        <v>0</v>
      </c>
      <c r="K146">
        <f>IF(COUNTIFS('United Data'!$A$3:$A$2150,K$1,'United Data'!$C$3:$C$2150,$A146,'United Data'!$B$3:$B$2150,"&lt;&gt;P")&gt;0,1,0)</f>
        <v>0</v>
      </c>
      <c r="L146">
        <f>IF(COUNTIFS('United Data'!$A$3:$A$2150,L$1,'United Data'!$C$3:$C$2150,$A146,'United Data'!$B$3:$B$2150,"&lt;&gt;P")&gt;0,1,0)</f>
        <v>0</v>
      </c>
      <c r="M146">
        <f>IF(COUNTIFS('United Data'!$A$3:$A$2150,M$1,'United Data'!$C$3:$C$2150,$A146,'United Data'!$B$3:$B$2150,"&lt;&gt;P")&gt;0,1,0)</f>
        <v>0</v>
      </c>
      <c r="N146">
        <f>IF(COUNTIFS('United Data'!$A$3:$A$2150,N$1,'United Data'!$C$3:$C$2150,$A146,'United Data'!$B$3:$B$2150,"&lt;&gt;P")&gt;0,1,0)</f>
        <v>0</v>
      </c>
      <c r="O146">
        <f>IF(COUNTIFS('United Data'!$A$3:$A$2150,O$1,'United Data'!$C$3:$C$2150,$A146,'United Data'!$B$3:$B$2150,"&lt;&gt;P")&gt;0,1,0)</f>
        <v>1</v>
      </c>
      <c r="P146">
        <f>IF(COUNTIFS('United Data'!$A$3:$A$2150,P$1,'United Data'!$C$3:$C$2150,$A146,'United Data'!$B$3:$B$2150,"&lt;&gt;P")&gt;0,1,0)</f>
        <v>1</v>
      </c>
      <c r="Q146">
        <f>IF(COUNTIFS('United Data'!$A$3:$A$2150,Q$1,'United Data'!$C$3:$C$2150,$A146,'United Data'!$B$3:$B$2150,"&lt;&gt;P")&gt;0,1,0)</f>
        <v>0</v>
      </c>
      <c r="R146">
        <f>IF(COUNTIFS('United Data'!$A$3:$A$2150,R$1,'United Data'!$C$3:$C$2150,$A146,'United Data'!$B$3:$B$2150,"&lt;&gt;P")&gt;0,1,0)</f>
        <v>0</v>
      </c>
      <c r="S146">
        <f t="shared" si="4"/>
        <v>2</v>
      </c>
      <c r="T146">
        <f t="shared" si="5"/>
        <v>1</v>
      </c>
    </row>
    <row r="147" spans="1:20" x14ac:dyDescent="0.2">
      <c r="A147" t="s">
        <v>192</v>
      </c>
      <c r="B147">
        <f>IF(COUNTIFS('United Data'!$A$3:$A$2150,B$1,'United Data'!$C$3:$C$2150,$A147,'United Data'!$B$3:$B$2150,"&lt;&gt;P")&gt;0,1,0)</f>
        <v>0</v>
      </c>
      <c r="C147">
        <f>IF(COUNTIFS('United Data'!$A$3:$A$2150,C$1,'United Data'!$C$3:$C$2150,$A147,'United Data'!$B$3:$B$2150,"&lt;&gt;P")&gt;0,1,0)</f>
        <v>0</v>
      </c>
      <c r="D147">
        <f>IF(COUNTIFS('United Data'!$A$3:$A$2150,D$1,'United Data'!$C$3:$C$2150,$A147,'United Data'!$B$3:$B$2150,"&lt;&gt;P")&gt;0,1,0)</f>
        <v>0</v>
      </c>
      <c r="E147">
        <f>IF(COUNTIFS('United Data'!$A$3:$A$2150,E$1,'United Data'!$C$3:$C$2150,$A147,'United Data'!$B$3:$B$2150,"&lt;&gt;P")&gt;0,1,0)</f>
        <v>0</v>
      </c>
      <c r="F147">
        <f>IF(COUNTIFS('United Data'!$A$3:$A$2150,F$1,'United Data'!$C$3:$C$2150,$A147,'United Data'!$B$3:$B$2150,"&lt;&gt;P")&gt;0,1,0)</f>
        <v>0</v>
      </c>
      <c r="G147">
        <f>IF(COUNTIFS('United Data'!$A$3:$A$2150,G$1,'United Data'!$C$3:$C$2150,$A147,'United Data'!$B$3:$B$2150,"&lt;&gt;P")&gt;0,1,0)</f>
        <v>0</v>
      </c>
      <c r="H147">
        <f>IF(COUNTIFS('United Data'!$A$3:$A$2150,H$1,'United Data'!$C$3:$C$2150,$A147,'United Data'!$B$3:$B$2150,"&lt;&gt;P")&gt;0,1,0)</f>
        <v>0</v>
      </c>
      <c r="I147">
        <f>IF(COUNTIFS('United Data'!$A$3:$A$2150,I$1,'United Data'!$C$3:$C$2150,$A147,'United Data'!$B$3:$B$2150,"&lt;&gt;P")&gt;0,1,0)</f>
        <v>0</v>
      </c>
      <c r="J147">
        <f>IF(COUNTIFS('United Data'!$A$3:$A$2150,J$1,'United Data'!$C$3:$C$2150,$A147,'United Data'!$B$3:$B$2150,"&lt;&gt;P")&gt;0,1,0)</f>
        <v>0</v>
      </c>
      <c r="K147">
        <f>IF(COUNTIFS('United Data'!$A$3:$A$2150,K$1,'United Data'!$C$3:$C$2150,$A147,'United Data'!$B$3:$B$2150,"&lt;&gt;P")&gt;0,1,0)</f>
        <v>0</v>
      </c>
      <c r="L147">
        <f>IF(COUNTIFS('United Data'!$A$3:$A$2150,L$1,'United Data'!$C$3:$C$2150,$A147,'United Data'!$B$3:$B$2150,"&lt;&gt;P")&gt;0,1,0)</f>
        <v>0</v>
      </c>
      <c r="M147">
        <f>IF(COUNTIFS('United Data'!$A$3:$A$2150,M$1,'United Data'!$C$3:$C$2150,$A147,'United Data'!$B$3:$B$2150,"&lt;&gt;P")&gt;0,1,0)</f>
        <v>0</v>
      </c>
      <c r="N147">
        <f>IF(COUNTIFS('United Data'!$A$3:$A$2150,N$1,'United Data'!$C$3:$C$2150,$A147,'United Data'!$B$3:$B$2150,"&lt;&gt;P")&gt;0,1,0)</f>
        <v>0</v>
      </c>
      <c r="O147">
        <f>IF(COUNTIFS('United Data'!$A$3:$A$2150,O$1,'United Data'!$C$3:$C$2150,$A147,'United Data'!$B$3:$B$2150,"&lt;&gt;P")&gt;0,1,0)</f>
        <v>1</v>
      </c>
      <c r="P147">
        <f>IF(COUNTIFS('United Data'!$A$3:$A$2150,P$1,'United Data'!$C$3:$C$2150,$A147,'United Data'!$B$3:$B$2150,"&lt;&gt;P")&gt;0,1,0)</f>
        <v>1</v>
      </c>
      <c r="Q147">
        <f>IF(COUNTIFS('United Data'!$A$3:$A$2150,Q$1,'United Data'!$C$3:$C$2150,$A147,'United Data'!$B$3:$B$2150,"&lt;&gt;P")&gt;0,1,0)</f>
        <v>0</v>
      </c>
      <c r="R147">
        <f>IF(COUNTIFS('United Data'!$A$3:$A$2150,R$1,'United Data'!$C$3:$C$2150,$A147,'United Data'!$B$3:$B$2150,"&lt;&gt;P")&gt;0,1,0)</f>
        <v>0</v>
      </c>
      <c r="S147">
        <f t="shared" si="4"/>
        <v>2</v>
      </c>
      <c r="T147">
        <f t="shared" si="5"/>
        <v>1</v>
      </c>
    </row>
    <row r="148" spans="1:20" x14ac:dyDescent="0.2">
      <c r="A148" t="s">
        <v>193</v>
      </c>
      <c r="B148">
        <f>IF(COUNTIFS('United Data'!$A$3:$A$2150,B$1,'United Data'!$C$3:$C$2150,$A148,'United Data'!$B$3:$B$2150,"&lt;&gt;P")&gt;0,1,0)</f>
        <v>0</v>
      </c>
      <c r="C148">
        <f>IF(COUNTIFS('United Data'!$A$3:$A$2150,C$1,'United Data'!$C$3:$C$2150,$A148,'United Data'!$B$3:$B$2150,"&lt;&gt;P")&gt;0,1,0)</f>
        <v>0</v>
      </c>
      <c r="D148">
        <f>IF(COUNTIFS('United Data'!$A$3:$A$2150,D$1,'United Data'!$C$3:$C$2150,$A148,'United Data'!$B$3:$B$2150,"&lt;&gt;P")&gt;0,1,0)</f>
        <v>0</v>
      </c>
      <c r="E148">
        <f>IF(COUNTIFS('United Data'!$A$3:$A$2150,E$1,'United Data'!$C$3:$C$2150,$A148,'United Data'!$B$3:$B$2150,"&lt;&gt;P")&gt;0,1,0)</f>
        <v>0</v>
      </c>
      <c r="F148">
        <f>IF(COUNTIFS('United Data'!$A$3:$A$2150,F$1,'United Data'!$C$3:$C$2150,$A148,'United Data'!$B$3:$B$2150,"&lt;&gt;P")&gt;0,1,0)</f>
        <v>0</v>
      </c>
      <c r="G148">
        <f>IF(COUNTIFS('United Data'!$A$3:$A$2150,G$1,'United Data'!$C$3:$C$2150,$A148,'United Data'!$B$3:$B$2150,"&lt;&gt;P")&gt;0,1,0)</f>
        <v>0</v>
      </c>
      <c r="H148">
        <f>IF(COUNTIFS('United Data'!$A$3:$A$2150,H$1,'United Data'!$C$3:$C$2150,$A148,'United Data'!$B$3:$B$2150,"&lt;&gt;P")&gt;0,1,0)</f>
        <v>0</v>
      </c>
      <c r="I148">
        <f>IF(COUNTIFS('United Data'!$A$3:$A$2150,I$1,'United Data'!$C$3:$C$2150,$A148,'United Data'!$B$3:$B$2150,"&lt;&gt;P")&gt;0,1,0)</f>
        <v>0</v>
      </c>
      <c r="J148">
        <f>IF(COUNTIFS('United Data'!$A$3:$A$2150,J$1,'United Data'!$C$3:$C$2150,$A148,'United Data'!$B$3:$B$2150,"&lt;&gt;P")&gt;0,1,0)</f>
        <v>0</v>
      </c>
      <c r="K148">
        <f>IF(COUNTIFS('United Data'!$A$3:$A$2150,K$1,'United Data'!$C$3:$C$2150,$A148,'United Data'!$B$3:$B$2150,"&lt;&gt;P")&gt;0,1,0)</f>
        <v>0</v>
      </c>
      <c r="L148">
        <f>IF(COUNTIFS('United Data'!$A$3:$A$2150,L$1,'United Data'!$C$3:$C$2150,$A148,'United Data'!$B$3:$B$2150,"&lt;&gt;P")&gt;0,1,0)</f>
        <v>0</v>
      </c>
      <c r="M148">
        <f>IF(COUNTIFS('United Data'!$A$3:$A$2150,M$1,'United Data'!$C$3:$C$2150,$A148,'United Data'!$B$3:$B$2150,"&lt;&gt;P")&gt;0,1,0)</f>
        <v>0</v>
      </c>
      <c r="N148">
        <f>IF(COUNTIFS('United Data'!$A$3:$A$2150,N$1,'United Data'!$C$3:$C$2150,$A148,'United Data'!$B$3:$B$2150,"&lt;&gt;P")&gt;0,1,0)</f>
        <v>0</v>
      </c>
      <c r="O148">
        <f>IF(COUNTIFS('United Data'!$A$3:$A$2150,O$1,'United Data'!$C$3:$C$2150,$A148,'United Data'!$B$3:$B$2150,"&lt;&gt;P")&gt;0,1,0)</f>
        <v>1</v>
      </c>
      <c r="P148">
        <f>IF(COUNTIFS('United Data'!$A$3:$A$2150,P$1,'United Data'!$C$3:$C$2150,$A148,'United Data'!$B$3:$B$2150,"&lt;&gt;P")&gt;0,1,0)</f>
        <v>0</v>
      </c>
      <c r="Q148">
        <f>IF(COUNTIFS('United Data'!$A$3:$A$2150,Q$1,'United Data'!$C$3:$C$2150,$A148,'United Data'!$B$3:$B$2150,"&lt;&gt;P")&gt;0,1,0)</f>
        <v>0</v>
      </c>
      <c r="R148">
        <f>IF(COUNTIFS('United Data'!$A$3:$A$2150,R$1,'United Data'!$C$3:$C$2150,$A148,'United Data'!$B$3:$B$2150,"&lt;&gt;P")&gt;0,1,0)</f>
        <v>0</v>
      </c>
      <c r="S148">
        <f t="shared" si="4"/>
        <v>1</v>
      </c>
      <c r="T148">
        <f t="shared" si="5"/>
        <v>1</v>
      </c>
    </row>
    <row r="149" spans="1:20" x14ac:dyDescent="0.2">
      <c r="A149" t="s">
        <v>194</v>
      </c>
      <c r="B149">
        <f>IF(COUNTIFS('United Data'!$A$3:$A$2150,B$1,'United Data'!$C$3:$C$2150,$A149,'United Data'!$B$3:$B$2150,"&lt;&gt;P")&gt;0,1,0)</f>
        <v>0</v>
      </c>
      <c r="C149">
        <f>IF(COUNTIFS('United Data'!$A$3:$A$2150,C$1,'United Data'!$C$3:$C$2150,$A149,'United Data'!$B$3:$B$2150,"&lt;&gt;P")&gt;0,1,0)</f>
        <v>0</v>
      </c>
      <c r="D149">
        <f>IF(COUNTIFS('United Data'!$A$3:$A$2150,D$1,'United Data'!$C$3:$C$2150,$A149,'United Data'!$B$3:$B$2150,"&lt;&gt;P")&gt;0,1,0)</f>
        <v>0</v>
      </c>
      <c r="E149">
        <f>IF(COUNTIFS('United Data'!$A$3:$A$2150,E$1,'United Data'!$C$3:$C$2150,$A149,'United Data'!$B$3:$B$2150,"&lt;&gt;P")&gt;0,1,0)</f>
        <v>0</v>
      </c>
      <c r="F149">
        <f>IF(COUNTIFS('United Data'!$A$3:$A$2150,F$1,'United Data'!$C$3:$C$2150,$A149,'United Data'!$B$3:$B$2150,"&lt;&gt;P")&gt;0,1,0)</f>
        <v>0</v>
      </c>
      <c r="G149">
        <f>IF(COUNTIFS('United Data'!$A$3:$A$2150,G$1,'United Data'!$C$3:$C$2150,$A149,'United Data'!$B$3:$B$2150,"&lt;&gt;P")&gt;0,1,0)</f>
        <v>0</v>
      </c>
      <c r="H149">
        <f>IF(COUNTIFS('United Data'!$A$3:$A$2150,H$1,'United Data'!$C$3:$C$2150,$A149,'United Data'!$B$3:$B$2150,"&lt;&gt;P")&gt;0,1,0)</f>
        <v>0</v>
      </c>
      <c r="I149">
        <f>IF(COUNTIFS('United Data'!$A$3:$A$2150,I$1,'United Data'!$C$3:$C$2150,$A149,'United Data'!$B$3:$B$2150,"&lt;&gt;P")&gt;0,1,0)</f>
        <v>0</v>
      </c>
      <c r="J149">
        <f>IF(COUNTIFS('United Data'!$A$3:$A$2150,J$1,'United Data'!$C$3:$C$2150,$A149,'United Data'!$B$3:$B$2150,"&lt;&gt;P")&gt;0,1,0)</f>
        <v>0</v>
      </c>
      <c r="K149">
        <f>IF(COUNTIFS('United Data'!$A$3:$A$2150,K$1,'United Data'!$C$3:$C$2150,$A149,'United Data'!$B$3:$B$2150,"&lt;&gt;P")&gt;0,1,0)</f>
        <v>0</v>
      </c>
      <c r="L149">
        <f>IF(COUNTIFS('United Data'!$A$3:$A$2150,L$1,'United Data'!$C$3:$C$2150,$A149,'United Data'!$B$3:$B$2150,"&lt;&gt;P")&gt;0,1,0)</f>
        <v>0</v>
      </c>
      <c r="M149">
        <f>IF(COUNTIFS('United Data'!$A$3:$A$2150,M$1,'United Data'!$C$3:$C$2150,$A149,'United Data'!$B$3:$B$2150,"&lt;&gt;P")&gt;0,1,0)</f>
        <v>0</v>
      </c>
      <c r="N149">
        <f>IF(COUNTIFS('United Data'!$A$3:$A$2150,N$1,'United Data'!$C$3:$C$2150,$A149,'United Data'!$B$3:$B$2150,"&lt;&gt;P")&gt;0,1,0)</f>
        <v>0</v>
      </c>
      <c r="O149">
        <f>IF(COUNTIFS('United Data'!$A$3:$A$2150,O$1,'United Data'!$C$3:$C$2150,$A149,'United Data'!$B$3:$B$2150,"&lt;&gt;P")&gt;0,1,0)</f>
        <v>1</v>
      </c>
      <c r="P149">
        <f>IF(COUNTIFS('United Data'!$A$3:$A$2150,P$1,'United Data'!$C$3:$C$2150,$A149,'United Data'!$B$3:$B$2150,"&lt;&gt;P")&gt;0,1,0)</f>
        <v>0</v>
      </c>
      <c r="Q149">
        <f>IF(COUNTIFS('United Data'!$A$3:$A$2150,Q$1,'United Data'!$C$3:$C$2150,$A149,'United Data'!$B$3:$B$2150,"&lt;&gt;P")&gt;0,1,0)</f>
        <v>0</v>
      </c>
      <c r="R149">
        <f>IF(COUNTIFS('United Data'!$A$3:$A$2150,R$1,'United Data'!$C$3:$C$2150,$A149,'United Data'!$B$3:$B$2150,"&lt;&gt;P")&gt;0,1,0)</f>
        <v>0</v>
      </c>
      <c r="S149">
        <f t="shared" si="4"/>
        <v>1</v>
      </c>
      <c r="T149">
        <f t="shared" si="5"/>
        <v>1</v>
      </c>
    </row>
    <row r="150" spans="1:20" x14ac:dyDescent="0.2">
      <c r="A150" t="s">
        <v>195</v>
      </c>
      <c r="B150">
        <f>IF(COUNTIFS('United Data'!$A$3:$A$2150,B$1,'United Data'!$C$3:$C$2150,$A150,'United Data'!$B$3:$B$2150,"&lt;&gt;P")&gt;0,1,0)</f>
        <v>0</v>
      </c>
      <c r="C150">
        <f>IF(COUNTIFS('United Data'!$A$3:$A$2150,C$1,'United Data'!$C$3:$C$2150,$A150,'United Data'!$B$3:$B$2150,"&lt;&gt;P")&gt;0,1,0)</f>
        <v>0</v>
      </c>
      <c r="D150">
        <f>IF(COUNTIFS('United Data'!$A$3:$A$2150,D$1,'United Data'!$C$3:$C$2150,$A150,'United Data'!$B$3:$B$2150,"&lt;&gt;P")&gt;0,1,0)</f>
        <v>0</v>
      </c>
      <c r="E150">
        <f>IF(COUNTIFS('United Data'!$A$3:$A$2150,E$1,'United Data'!$C$3:$C$2150,$A150,'United Data'!$B$3:$B$2150,"&lt;&gt;P")&gt;0,1,0)</f>
        <v>0</v>
      </c>
      <c r="F150">
        <f>IF(COUNTIFS('United Data'!$A$3:$A$2150,F$1,'United Data'!$C$3:$C$2150,$A150,'United Data'!$B$3:$B$2150,"&lt;&gt;P")&gt;0,1,0)</f>
        <v>0</v>
      </c>
      <c r="G150">
        <f>IF(COUNTIFS('United Data'!$A$3:$A$2150,G$1,'United Data'!$C$3:$C$2150,$A150,'United Data'!$B$3:$B$2150,"&lt;&gt;P")&gt;0,1,0)</f>
        <v>0</v>
      </c>
      <c r="H150">
        <f>IF(COUNTIFS('United Data'!$A$3:$A$2150,H$1,'United Data'!$C$3:$C$2150,$A150,'United Data'!$B$3:$B$2150,"&lt;&gt;P")&gt;0,1,0)</f>
        <v>0</v>
      </c>
      <c r="I150">
        <f>IF(COUNTIFS('United Data'!$A$3:$A$2150,I$1,'United Data'!$C$3:$C$2150,$A150,'United Data'!$B$3:$B$2150,"&lt;&gt;P")&gt;0,1,0)</f>
        <v>0</v>
      </c>
      <c r="J150">
        <f>IF(COUNTIFS('United Data'!$A$3:$A$2150,J$1,'United Data'!$C$3:$C$2150,$A150,'United Data'!$B$3:$B$2150,"&lt;&gt;P")&gt;0,1,0)</f>
        <v>0</v>
      </c>
      <c r="K150">
        <f>IF(COUNTIFS('United Data'!$A$3:$A$2150,K$1,'United Data'!$C$3:$C$2150,$A150,'United Data'!$B$3:$B$2150,"&lt;&gt;P")&gt;0,1,0)</f>
        <v>0</v>
      </c>
      <c r="L150">
        <f>IF(COUNTIFS('United Data'!$A$3:$A$2150,L$1,'United Data'!$C$3:$C$2150,$A150,'United Data'!$B$3:$B$2150,"&lt;&gt;P")&gt;0,1,0)</f>
        <v>0</v>
      </c>
      <c r="M150">
        <f>IF(COUNTIFS('United Data'!$A$3:$A$2150,M$1,'United Data'!$C$3:$C$2150,$A150,'United Data'!$B$3:$B$2150,"&lt;&gt;P")&gt;0,1,0)</f>
        <v>0</v>
      </c>
      <c r="N150">
        <f>IF(COUNTIFS('United Data'!$A$3:$A$2150,N$1,'United Data'!$C$3:$C$2150,$A150,'United Data'!$B$3:$B$2150,"&lt;&gt;P")&gt;0,1,0)</f>
        <v>0</v>
      </c>
      <c r="O150">
        <f>IF(COUNTIFS('United Data'!$A$3:$A$2150,O$1,'United Data'!$C$3:$C$2150,$A150,'United Data'!$B$3:$B$2150,"&lt;&gt;P")&gt;0,1,0)</f>
        <v>1</v>
      </c>
      <c r="P150">
        <f>IF(COUNTIFS('United Data'!$A$3:$A$2150,P$1,'United Data'!$C$3:$C$2150,$A150,'United Data'!$B$3:$B$2150,"&lt;&gt;P")&gt;0,1,0)</f>
        <v>0</v>
      </c>
      <c r="Q150">
        <f>IF(COUNTIFS('United Data'!$A$3:$A$2150,Q$1,'United Data'!$C$3:$C$2150,$A150,'United Data'!$B$3:$B$2150,"&lt;&gt;P")&gt;0,1,0)</f>
        <v>0</v>
      </c>
      <c r="R150">
        <f>IF(COUNTIFS('United Data'!$A$3:$A$2150,R$1,'United Data'!$C$3:$C$2150,$A150,'United Data'!$B$3:$B$2150,"&lt;&gt;P")&gt;0,1,0)</f>
        <v>0</v>
      </c>
      <c r="S150">
        <f t="shared" si="4"/>
        <v>1</v>
      </c>
      <c r="T150">
        <f t="shared" si="5"/>
        <v>1</v>
      </c>
    </row>
    <row r="151" spans="1:20" x14ac:dyDescent="0.2">
      <c r="A151" t="s">
        <v>196</v>
      </c>
      <c r="B151">
        <f>IF(COUNTIFS('United Data'!$A$3:$A$2150,B$1,'United Data'!$C$3:$C$2150,$A151,'United Data'!$B$3:$B$2150,"&lt;&gt;P")&gt;0,1,0)</f>
        <v>0</v>
      </c>
      <c r="C151">
        <f>IF(COUNTIFS('United Data'!$A$3:$A$2150,C$1,'United Data'!$C$3:$C$2150,$A151,'United Data'!$B$3:$B$2150,"&lt;&gt;P")&gt;0,1,0)</f>
        <v>0</v>
      </c>
      <c r="D151">
        <f>IF(COUNTIFS('United Data'!$A$3:$A$2150,D$1,'United Data'!$C$3:$C$2150,$A151,'United Data'!$B$3:$B$2150,"&lt;&gt;P")&gt;0,1,0)</f>
        <v>0</v>
      </c>
      <c r="E151">
        <f>IF(COUNTIFS('United Data'!$A$3:$A$2150,E$1,'United Data'!$C$3:$C$2150,$A151,'United Data'!$B$3:$B$2150,"&lt;&gt;P")&gt;0,1,0)</f>
        <v>0</v>
      </c>
      <c r="F151">
        <f>IF(COUNTIFS('United Data'!$A$3:$A$2150,F$1,'United Data'!$C$3:$C$2150,$A151,'United Data'!$B$3:$B$2150,"&lt;&gt;P")&gt;0,1,0)</f>
        <v>0</v>
      </c>
      <c r="G151">
        <f>IF(COUNTIFS('United Data'!$A$3:$A$2150,G$1,'United Data'!$C$3:$C$2150,$A151,'United Data'!$B$3:$B$2150,"&lt;&gt;P")&gt;0,1,0)</f>
        <v>0</v>
      </c>
      <c r="H151">
        <f>IF(COUNTIFS('United Data'!$A$3:$A$2150,H$1,'United Data'!$C$3:$C$2150,$A151,'United Data'!$B$3:$B$2150,"&lt;&gt;P")&gt;0,1,0)</f>
        <v>0</v>
      </c>
      <c r="I151">
        <f>IF(COUNTIFS('United Data'!$A$3:$A$2150,I$1,'United Data'!$C$3:$C$2150,$A151,'United Data'!$B$3:$B$2150,"&lt;&gt;P")&gt;0,1,0)</f>
        <v>0</v>
      </c>
      <c r="J151">
        <f>IF(COUNTIFS('United Data'!$A$3:$A$2150,J$1,'United Data'!$C$3:$C$2150,$A151,'United Data'!$B$3:$B$2150,"&lt;&gt;P")&gt;0,1,0)</f>
        <v>0</v>
      </c>
      <c r="K151">
        <f>IF(COUNTIFS('United Data'!$A$3:$A$2150,K$1,'United Data'!$C$3:$C$2150,$A151,'United Data'!$B$3:$B$2150,"&lt;&gt;P")&gt;0,1,0)</f>
        <v>0</v>
      </c>
      <c r="L151">
        <f>IF(COUNTIFS('United Data'!$A$3:$A$2150,L$1,'United Data'!$C$3:$C$2150,$A151,'United Data'!$B$3:$B$2150,"&lt;&gt;P")&gt;0,1,0)</f>
        <v>0</v>
      </c>
      <c r="M151">
        <f>IF(COUNTIFS('United Data'!$A$3:$A$2150,M$1,'United Data'!$C$3:$C$2150,$A151,'United Data'!$B$3:$B$2150,"&lt;&gt;P")&gt;0,1,0)</f>
        <v>0</v>
      </c>
      <c r="N151">
        <f>IF(COUNTIFS('United Data'!$A$3:$A$2150,N$1,'United Data'!$C$3:$C$2150,$A151,'United Data'!$B$3:$B$2150,"&lt;&gt;P")&gt;0,1,0)</f>
        <v>0</v>
      </c>
      <c r="O151">
        <f>IF(COUNTIFS('United Data'!$A$3:$A$2150,O$1,'United Data'!$C$3:$C$2150,$A151,'United Data'!$B$3:$B$2150,"&lt;&gt;P")&gt;0,1,0)</f>
        <v>1</v>
      </c>
      <c r="P151">
        <f>IF(COUNTIFS('United Data'!$A$3:$A$2150,P$1,'United Data'!$C$3:$C$2150,$A151,'United Data'!$B$3:$B$2150,"&lt;&gt;P")&gt;0,1,0)</f>
        <v>1</v>
      </c>
      <c r="Q151">
        <f>IF(COUNTIFS('United Data'!$A$3:$A$2150,Q$1,'United Data'!$C$3:$C$2150,$A151,'United Data'!$B$3:$B$2150,"&lt;&gt;P")&gt;0,1,0)</f>
        <v>0</v>
      </c>
      <c r="R151">
        <f>IF(COUNTIFS('United Data'!$A$3:$A$2150,R$1,'United Data'!$C$3:$C$2150,$A151,'United Data'!$B$3:$B$2150,"&lt;&gt;P")&gt;0,1,0)</f>
        <v>0</v>
      </c>
      <c r="S151">
        <f t="shared" si="4"/>
        <v>2</v>
      </c>
      <c r="T151">
        <f t="shared" si="5"/>
        <v>1</v>
      </c>
    </row>
    <row r="152" spans="1:20" x14ac:dyDescent="0.2">
      <c r="A152" t="s">
        <v>197</v>
      </c>
      <c r="B152">
        <f>IF(COUNTIFS('United Data'!$A$3:$A$2150,B$1,'United Data'!$C$3:$C$2150,$A152,'United Data'!$B$3:$B$2150,"&lt;&gt;P")&gt;0,1,0)</f>
        <v>0</v>
      </c>
      <c r="C152">
        <f>IF(COUNTIFS('United Data'!$A$3:$A$2150,C$1,'United Data'!$C$3:$C$2150,$A152,'United Data'!$B$3:$B$2150,"&lt;&gt;P")&gt;0,1,0)</f>
        <v>0</v>
      </c>
      <c r="D152">
        <f>IF(COUNTIFS('United Data'!$A$3:$A$2150,D$1,'United Data'!$C$3:$C$2150,$A152,'United Data'!$B$3:$B$2150,"&lt;&gt;P")&gt;0,1,0)</f>
        <v>0</v>
      </c>
      <c r="E152">
        <f>IF(COUNTIFS('United Data'!$A$3:$A$2150,E$1,'United Data'!$C$3:$C$2150,$A152,'United Data'!$B$3:$B$2150,"&lt;&gt;P")&gt;0,1,0)</f>
        <v>0</v>
      </c>
      <c r="F152">
        <f>IF(COUNTIFS('United Data'!$A$3:$A$2150,F$1,'United Data'!$C$3:$C$2150,$A152,'United Data'!$B$3:$B$2150,"&lt;&gt;P")&gt;0,1,0)</f>
        <v>0</v>
      </c>
      <c r="G152">
        <f>IF(COUNTIFS('United Data'!$A$3:$A$2150,G$1,'United Data'!$C$3:$C$2150,$A152,'United Data'!$B$3:$B$2150,"&lt;&gt;P")&gt;0,1,0)</f>
        <v>0</v>
      </c>
      <c r="H152">
        <f>IF(COUNTIFS('United Data'!$A$3:$A$2150,H$1,'United Data'!$C$3:$C$2150,$A152,'United Data'!$B$3:$B$2150,"&lt;&gt;P")&gt;0,1,0)</f>
        <v>0</v>
      </c>
      <c r="I152">
        <f>IF(COUNTIFS('United Data'!$A$3:$A$2150,I$1,'United Data'!$C$3:$C$2150,$A152,'United Data'!$B$3:$B$2150,"&lt;&gt;P")&gt;0,1,0)</f>
        <v>0</v>
      </c>
      <c r="J152">
        <f>IF(COUNTIFS('United Data'!$A$3:$A$2150,J$1,'United Data'!$C$3:$C$2150,$A152,'United Data'!$B$3:$B$2150,"&lt;&gt;P")&gt;0,1,0)</f>
        <v>0</v>
      </c>
      <c r="K152">
        <f>IF(COUNTIFS('United Data'!$A$3:$A$2150,K$1,'United Data'!$C$3:$C$2150,$A152,'United Data'!$B$3:$B$2150,"&lt;&gt;P")&gt;0,1,0)</f>
        <v>0</v>
      </c>
      <c r="L152">
        <f>IF(COUNTIFS('United Data'!$A$3:$A$2150,L$1,'United Data'!$C$3:$C$2150,$A152,'United Data'!$B$3:$B$2150,"&lt;&gt;P")&gt;0,1,0)</f>
        <v>0</v>
      </c>
      <c r="M152">
        <f>IF(COUNTIFS('United Data'!$A$3:$A$2150,M$1,'United Data'!$C$3:$C$2150,$A152,'United Data'!$B$3:$B$2150,"&lt;&gt;P")&gt;0,1,0)</f>
        <v>0</v>
      </c>
      <c r="N152">
        <f>IF(COUNTIFS('United Data'!$A$3:$A$2150,N$1,'United Data'!$C$3:$C$2150,$A152,'United Data'!$B$3:$B$2150,"&lt;&gt;P")&gt;0,1,0)</f>
        <v>0</v>
      </c>
      <c r="O152">
        <f>IF(COUNTIFS('United Data'!$A$3:$A$2150,O$1,'United Data'!$C$3:$C$2150,$A152,'United Data'!$B$3:$B$2150,"&lt;&gt;P")&gt;0,1,0)</f>
        <v>0</v>
      </c>
      <c r="P152">
        <f>IF(COUNTIFS('United Data'!$A$3:$A$2150,P$1,'United Data'!$C$3:$C$2150,$A152,'United Data'!$B$3:$B$2150,"&lt;&gt;P")&gt;0,1,0)</f>
        <v>1</v>
      </c>
      <c r="Q152">
        <f>IF(COUNTIFS('United Data'!$A$3:$A$2150,Q$1,'United Data'!$C$3:$C$2150,$A152,'United Data'!$B$3:$B$2150,"&lt;&gt;P")&gt;0,1,0)</f>
        <v>0</v>
      </c>
      <c r="R152">
        <f>IF(COUNTIFS('United Data'!$A$3:$A$2150,R$1,'United Data'!$C$3:$C$2150,$A152,'United Data'!$B$3:$B$2150,"&lt;&gt;P")&gt;0,1,0)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198</v>
      </c>
      <c r="B153">
        <f>IF(COUNTIFS('United Data'!$A$3:$A$2150,B$1,'United Data'!$C$3:$C$2150,$A153,'United Data'!$B$3:$B$2150,"&lt;&gt;P")&gt;0,1,0)</f>
        <v>0</v>
      </c>
      <c r="C153">
        <f>IF(COUNTIFS('United Data'!$A$3:$A$2150,C$1,'United Data'!$C$3:$C$2150,$A153,'United Data'!$B$3:$B$2150,"&lt;&gt;P")&gt;0,1,0)</f>
        <v>0</v>
      </c>
      <c r="D153">
        <f>IF(COUNTIFS('United Data'!$A$3:$A$2150,D$1,'United Data'!$C$3:$C$2150,$A153,'United Data'!$B$3:$B$2150,"&lt;&gt;P")&gt;0,1,0)</f>
        <v>0</v>
      </c>
      <c r="E153">
        <f>IF(COUNTIFS('United Data'!$A$3:$A$2150,E$1,'United Data'!$C$3:$C$2150,$A153,'United Data'!$B$3:$B$2150,"&lt;&gt;P")&gt;0,1,0)</f>
        <v>0</v>
      </c>
      <c r="F153">
        <f>IF(COUNTIFS('United Data'!$A$3:$A$2150,F$1,'United Data'!$C$3:$C$2150,$A153,'United Data'!$B$3:$B$2150,"&lt;&gt;P")&gt;0,1,0)</f>
        <v>0</v>
      </c>
      <c r="G153">
        <f>IF(COUNTIFS('United Data'!$A$3:$A$2150,G$1,'United Data'!$C$3:$C$2150,$A153,'United Data'!$B$3:$B$2150,"&lt;&gt;P")&gt;0,1,0)</f>
        <v>0</v>
      </c>
      <c r="H153">
        <f>IF(COUNTIFS('United Data'!$A$3:$A$2150,H$1,'United Data'!$C$3:$C$2150,$A153,'United Data'!$B$3:$B$2150,"&lt;&gt;P")&gt;0,1,0)</f>
        <v>0</v>
      </c>
      <c r="I153">
        <f>IF(COUNTIFS('United Data'!$A$3:$A$2150,I$1,'United Data'!$C$3:$C$2150,$A153,'United Data'!$B$3:$B$2150,"&lt;&gt;P")&gt;0,1,0)</f>
        <v>0</v>
      </c>
      <c r="J153">
        <f>IF(COUNTIFS('United Data'!$A$3:$A$2150,J$1,'United Data'!$C$3:$C$2150,$A153,'United Data'!$B$3:$B$2150,"&lt;&gt;P")&gt;0,1,0)</f>
        <v>0</v>
      </c>
      <c r="K153">
        <f>IF(COUNTIFS('United Data'!$A$3:$A$2150,K$1,'United Data'!$C$3:$C$2150,$A153,'United Data'!$B$3:$B$2150,"&lt;&gt;P")&gt;0,1,0)</f>
        <v>0</v>
      </c>
      <c r="L153">
        <f>IF(COUNTIFS('United Data'!$A$3:$A$2150,L$1,'United Data'!$C$3:$C$2150,$A153,'United Data'!$B$3:$B$2150,"&lt;&gt;P")&gt;0,1,0)</f>
        <v>0</v>
      </c>
      <c r="M153">
        <f>IF(COUNTIFS('United Data'!$A$3:$A$2150,M$1,'United Data'!$C$3:$C$2150,$A153,'United Data'!$B$3:$B$2150,"&lt;&gt;P")&gt;0,1,0)</f>
        <v>0</v>
      </c>
      <c r="N153">
        <f>IF(COUNTIFS('United Data'!$A$3:$A$2150,N$1,'United Data'!$C$3:$C$2150,$A153,'United Data'!$B$3:$B$2150,"&lt;&gt;P")&gt;0,1,0)</f>
        <v>0</v>
      </c>
      <c r="O153">
        <f>IF(COUNTIFS('United Data'!$A$3:$A$2150,O$1,'United Data'!$C$3:$C$2150,$A153,'United Data'!$B$3:$B$2150,"&lt;&gt;P")&gt;0,1,0)</f>
        <v>0</v>
      </c>
      <c r="P153">
        <f>IF(COUNTIFS('United Data'!$A$3:$A$2150,P$1,'United Data'!$C$3:$C$2150,$A153,'United Data'!$B$3:$B$2150,"&lt;&gt;P")&gt;0,1,0)</f>
        <v>1</v>
      </c>
      <c r="Q153">
        <f>IF(COUNTIFS('United Data'!$A$3:$A$2150,Q$1,'United Data'!$C$3:$C$2150,$A153,'United Data'!$B$3:$B$2150,"&lt;&gt;P")&gt;0,1,0)</f>
        <v>0</v>
      </c>
      <c r="R153">
        <f>IF(COUNTIFS('United Data'!$A$3:$A$2150,R$1,'United Data'!$C$3:$C$2150,$A153,'United Data'!$B$3:$B$2150,"&lt;&gt;P")&gt;0,1,0)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199</v>
      </c>
      <c r="B154">
        <f>IF(COUNTIFS('United Data'!$A$3:$A$2150,B$1,'United Data'!$C$3:$C$2150,$A154,'United Data'!$B$3:$B$2150,"&lt;&gt;P")&gt;0,1,0)</f>
        <v>0</v>
      </c>
      <c r="C154">
        <f>IF(COUNTIFS('United Data'!$A$3:$A$2150,C$1,'United Data'!$C$3:$C$2150,$A154,'United Data'!$B$3:$B$2150,"&lt;&gt;P")&gt;0,1,0)</f>
        <v>0</v>
      </c>
      <c r="D154">
        <f>IF(COUNTIFS('United Data'!$A$3:$A$2150,D$1,'United Data'!$C$3:$C$2150,$A154,'United Data'!$B$3:$B$2150,"&lt;&gt;P")&gt;0,1,0)</f>
        <v>0</v>
      </c>
      <c r="E154">
        <f>IF(COUNTIFS('United Data'!$A$3:$A$2150,E$1,'United Data'!$C$3:$C$2150,$A154,'United Data'!$B$3:$B$2150,"&lt;&gt;P")&gt;0,1,0)</f>
        <v>0</v>
      </c>
      <c r="F154">
        <f>IF(COUNTIFS('United Data'!$A$3:$A$2150,F$1,'United Data'!$C$3:$C$2150,$A154,'United Data'!$B$3:$B$2150,"&lt;&gt;P")&gt;0,1,0)</f>
        <v>0</v>
      </c>
      <c r="G154">
        <f>IF(COUNTIFS('United Data'!$A$3:$A$2150,G$1,'United Data'!$C$3:$C$2150,$A154,'United Data'!$B$3:$B$2150,"&lt;&gt;P")&gt;0,1,0)</f>
        <v>0</v>
      </c>
      <c r="H154">
        <f>IF(COUNTIFS('United Data'!$A$3:$A$2150,H$1,'United Data'!$C$3:$C$2150,$A154,'United Data'!$B$3:$B$2150,"&lt;&gt;P")&gt;0,1,0)</f>
        <v>0</v>
      </c>
      <c r="I154">
        <f>IF(COUNTIFS('United Data'!$A$3:$A$2150,I$1,'United Data'!$C$3:$C$2150,$A154,'United Data'!$B$3:$B$2150,"&lt;&gt;P")&gt;0,1,0)</f>
        <v>0</v>
      </c>
      <c r="J154">
        <f>IF(COUNTIFS('United Data'!$A$3:$A$2150,J$1,'United Data'!$C$3:$C$2150,$A154,'United Data'!$B$3:$B$2150,"&lt;&gt;P")&gt;0,1,0)</f>
        <v>0</v>
      </c>
      <c r="K154">
        <f>IF(COUNTIFS('United Data'!$A$3:$A$2150,K$1,'United Data'!$C$3:$C$2150,$A154,'United Data'!$B$3:$B$2150,"&lt;&gt;P")&gt;0,1,0)</f>
        <v>0</v>
      </c>
      <c r="L154">
        <f>IF(COUNTIFS('United Data'!$A$3:$A$2150,L$1,'United Data'!$C$3:$C$2150,$A154,'United Data'!$B$3:$B$2150,"&lt;&gt;P")&gt;0,1,0)</f>
        <v>0</v>
      </c>
      <c r="M154">
        <f>IF(COUNTIFS('United Data'!$A$3:$A$2150,M$1,'United Data'!$C$3:$C$2150,$A154,'United Data'!$B$3:$B$2150,"&lt;&gt;P")&gt;0,1,0)</f>
        <v>0</v>
      </c>
      <c r="N154">
        <f>IF(COUNTIFS('United Data'!$A$3:$A$2150,N$1,'United Data'!$C$3:$C$2150,$A154,'United Data'!$B$3:$B$2150,"&lt;&gt;P")&gt;0,1,0)</f>
        <v>0</v>
      </c>
      <c r="O154">
        <f>IF(COUNTIFS('United Data'!$A$3:$A$2150,O$1,'United Data'!$C$3:$C$2150,$A154,'United Data'!$B$3:$B$2150,"&lt;&gt;P")&gt;0,1,0)</f>
        <v>0</v>
      </c>
      <c r="P154">
        <f>IF(COUNTIFS('United Data'!$A$3:$A$2150,P$1,'United Data'!$C$3:$C$2150,$A154,'United Data'!$B$3:$B$2150,"&lt;&gt;P")&gt;0,1,0)</f>
        <v>1</v>
      </c>
      <c r="Q154">
        <f>IF(COUNTIFS('United Data'!$A$3:$A$2150,Q$1,'United Data'!$C$3:$C$2150,$A154,'United Data'!$B$3:$B$2150,"&lt;&gt;P")&gt;0,1,0)</f>
        <v>0</v>
      </c>
      <c r="R154">
        <f>IF(COUNTIFS('United Data'!$A$3:$A$2150,R$1,'United Data'!$C$3:$C$2150,$A154,'United Data'!$B$3:$B$2150,"&lt;&gt;P")&gt;0,1,0)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200</v>
      </c>
      <c r="B155">
        <f>IF(COUNTIFS('United Data'!$A$3:$A$2150,B$1,'United Data'!$C$3:$C$2150,$A155,'United Data'!$B$3:$B$2150,"&lt;&gt;P")&gt;0,1,0)</f>
        <v>0</v>
      </c>
      <c r="C155">
        <f>IF(COUNTIFS('United Data'!$A$3:$A$2150,C$1,'United Data'!$C$3:$C$2150,$A155,'United Data'!$B$3:$B$2150,"&lt;&gt;P")&gt;0,1,0)</f>
        <v>0</v>
      </c>
      <c r="D155">
        <f>IF(COUNTIFS('United Data'!$A$3:$A$2150,D$1,'United Data'!$C$3:$C$2150,$A155,'United Data'!$B$3:$B$2150,"&lt;&gt;P")&gt;0,1,0)</f>
        <v>0</v>
      </c>
      <c r="E155">
        <f>IF(COUNTIFS('United Data'!$A$3:$A$2150,E$1,'United Data'!$C$3:$C$2150,$A155,'United Data'!$B$3:$B$2150,"&lt;&gt;P")&gt;0,1,0)</f>
        <v>0</v>
      </c>
      <c r="F155">
        <f>IF(COUNTIFS('United Data'!$A$3:$A$2150,F$1,'United Data'!$C$3:$C$2150,$A155,'United Data'!$B$3:$B$2150,"&lt;&gt;P")&gt;0,1,0)</f>
        <v>0</v>
      </c>
      <c r="G155">
        <f>IF(COUNTIFS('United Data'!$A$3:$A$2150,G$1,'United Data'!$C$3:$C$2150,$A155,'United Data'!$B$3:$B$2150,"&lt;&gt;P")&gt;0,1,0)</f>
        <v>0</v>
      </c>
      <c r="H155">
        <f>IF(COUNTIFS('United Data'!$A$3:$A$2150,H$1,'United Data'!$C$3:$C$2150,$A155,'United Data'!$B$3:$B$2150,"&lt;&gt;P")&gt;0,1,0)</f>
        <v>0</v>
      </c>
      <c r="I155">
        <f>IF(COUNTIFS('United Data'!$A$3:$A$2150,I$1,'United Data'!$C$3:$C$2150,$A155,'United Data'!$B$3:$B$2150,"&lt;&gt;P")&gt;0,1,0)</f>
        <v>0</v>
      </c>
      <c r="J155">
        <f>IF(COUNTIFS('United Data'!$A$3:$A$2150,J$1,'United Data'!$C$3:$C$2150,$A155,'United Data'!$B$3:$B$2150,"&lt;&gt;P")&gt;0,1,0)</f>
        <v>0</v>
      </c>
      <c r="K155">
        <f>IF(COUNTIFS('United Data'!$A$3:$A$2150,K$1,'United Data'!$C$3:$C$2150,$A155,'United Data'!$B$3:$B$2150,"&lt;&gt;P")&gt;0,1,0)</f>
        <v>0</v>
      </c>
      <c r="L155">
        <f>IF(COUNTIFS('United Data'!$A$3:$A$2150,L$1,'United Data'!$C$3:$C$2150,$A155,'United Data'!$B$3:$B$2150,"&lt;&gt;P")&gt;0,1,0)</f>
        <v>0</v>
      </c>
      <c r="M155">
        <f>IF(COUNTIFS('United Data'!$A$3:$A$2150,M$1,'United Data'!$C$3:$C$2150,$A155,'United Data'!$B$3:$B$2150,"&lt;&gt;P")&gt;0,1,0)</f>
        <v>0</v>
      </c>
      <c r="N155">
        <f>IF(COUNTIFS('United Data'!$A$3:$A$2150,N$1,'United Data'!$C$3:$C$2150,$A155,'United Data'!$B$3:$B$2150,"&lt;&gt;P")&gt;0,1,0)</f>
        <v>0</v>
      </c>
      <c r="O155">
        <f>IF(COUNTIFS('United Data'!$A$3:$A$2150,O$1,'United Data'!$C$3:$C$2150,$A155,'United Data'!$B$3:$B$2150,"&lt;&gt;P")&gt;0,1,0)</f>
        <v>0</v>
      </c>
      <c r="P155">
        <f>IF(COUNTIFS('United Data'!$A$3:$A$2150,P$1,'United Data'!$C$3:$C$2150,$A155,'United Data'!$B$3:$B$2150,"&lt;&gt;P")&gt;0,1,0)</f>
        <v>1</v>
      </c>
      <c r="Q155">
        <f>IF(COUNTIFS('United Data'!$A$3:$A$2150,Q$1,'United Data'!$C$3:$C$2150,$A155,'United Data'!$B$3:$B$2150,"&lt;&gt;P")&gt;0,1,0)</f>
        <v>1</v>
      </c>
      <c r="R155">
        <f>IF(COUNTIFS('United Data'!$A$3:$A$2150,R$1,'United Data'!$C$3:$C$2150,$A155,'United Data'!$B$3:$B$2150,"&lt;&gt;P")&gt;0,1,0)</f>
        <v>0</v>
      </c>
      <c r="S155">
        <f t="shared" si="4"/>
        <v>2</v>
      </c>
      <c r="T155">
        <f t="shared" si="5"/>
        <v>1</v>
      </c>
    </row>
    <row r="156" spans="1:20" x14ac:dyDescent="0.2">
      <c r="A156" t="s">
        <v>201</v>
      </c>
      <c r="B156">
        <f>IF(COUNTIFS('United Data'!$A$3:$A$2150,B$1,'United Data'!$C$3:$C$2150,$A156,'United Data'!$B$3:$B$2150,"&lt;&gt;P")&gt;0,1,0)</f>
        <v>0</v>
      </c>
      <c r="C156">
        <f>IF(COUNTIFS('United Data'!$A$3:$A$2150,C$1,'United Data'!$C$3:$C$2150,$A156,'United Data'!$B$3:$B$2150,"&lt;&gt;P")&gt;0,1,0)</f>
        <v>0</v>
      </c>
      <c r="D156">
        <f>IF(COUNTIFS('United Data'!$A$3:$A$2150,D$1,'United Data'!$C$3:$C$2150,$A156,'United Data'!$B$3:$B$2150,"&lt;&gt;P")&gt;0,1,0)</f>
        <v>0</v>
      </c>
      <c r="E156">
        <f>IF(COUNTIFS('United Data'!$A$3:$A$2150,E$1,'United Data'!$C$3:$C$2150,$A156,'United Data'!$B$3:$B$2150,"&lt;&gt;P")&gt;0,1,0)</f>
        <v>0</v>
      </c>
      <c r="F156">
        <f>IF(COUNTIFS('United Data'!$A$3:$A$2150,F$1,'United Data'!$C$3:$C$2150,$A156,'United Data'!$B$3:$B$2150,"&lt;&gt;P")&gt;0,1,0)</f>
        <v>0</v>
      </c>
      <c r="G156">
        <f>IF(COUNTIFS('United Data'!$A$3:$A$2150,G$1,'United Data'!$C$3:$C$2150,$A156,'United Data'!$B$3:$B$2150,"&lt;&gt;P")&gt;0,1,0)</f>
        <v>0</v>
      </c>
      <c r="H156">
        <f>IF(COUNTIFS('United Data'!$A$3:$A$2150,H$1,'United Data'!$C$3:$C$2150,$A156,'United Data'!$B$3:$B$2150,"&lt;&gt;P")&gt;0,1,0)</f>
        <v>0</v>
      </c>
      <c r="I156">
        <f>IF(COUNTIFS('United Data'!$A$3:$A$2150,I$1,'United Data'!$C$3:$C$2150,$A156,'United Data'!$B$3:$B$2150,"&lt;&gt;P")&gt;0,1,0)</f>
        <v>0</v>
      </c>
      <c r="J156">
        <f>IF(COUNTIFS('United Data'!$A$3:$A$2150,J$1,'United Data'!$C$3:$C$2150,$A156,'United Data'!$B$3:$B$2150,"&lt;&gt;P")&gt;0,1,0)</f>
        <v>0</v>
      </c>
      <c r="K156">
        <f>IF(COUNTIFS('United Data'!$A$3:$A$2150,K$1,'United Data'!$C$3:$C$2150,$A156,'United Data'!$B$3:$B$2150,"&lt;&gt;P")&gt;0,1,0)</f>
        <v>0</v>
      </c>
      <c r="L156">
        <f>IF(COUNTIFS('United Data'!$A$3:$A$2150,L$1,'United Data'!$C$3:$C$2150,$A156,'United Data'!$B$3:$B$2150,"&lt;&gt;P")&gt;0,1,0)</f>
        <v>0</v>
      </c>
      <c r="M156">
        <f>IF(COUNTIFS('United Data'!$A$3:$A$2150,M$1,'United Data'!$C$3:$C$2150,$A156,'United Data'!$B$3:$B$2150,"&lt;&gt;P")&gt;0,1,0)</f>
        <v>0</v>
      </c>
      <c r="N156">
        <f>IF(COUNTIFS('United Data'!$A$3:$A$2150,N$1,'United Data'!$C$3:$C$2150,$A156,'United Data'!$B$3:$B$2150,"&lt;&gt;P")&gt;0,1,0)</f>
        <v>0</v>
      </c>
      <c r="O156">
        <f>IF(COUNTIFS('United Data'!$A$3:$A$2150,O$1,'United Data'!$C$3:$C$2150,$A156,'United Data'!$B$3:$B$2150,"&lt;&gt;P")&gt;0,1,0)</f>
        <v>0</v>
      </c>
      <c r="P156">
        <f>IF(COUNTIFS('United Data'!$A$3:$A$2150,P$1,'United Data'!$C$3:$C$2150,$A156,'United Data'!$B$3:$B$2150,"&lt;&gt;P")&gt;0,1,0)</f>
        <v>1</v>
      </c>
      <c r="Q156">
        <f>IF(COUNTIFS('United Data'!$A$3:$A$2150,Q$1,'United Data'!$C$3:$C$2150,$A156,'United Data'!$B$3:$B$2150,"&lt;&gt;P")&gt;0,1,0)</f>
        <v>0</v>
      </c>
      <c r="R156">
        <f>IF(COUNTIFS('United Data'!$A$3:$A$2150,R$1,'United Data'!$C$3:$C$2150,$A156,'United Data'!$B$3:$B$2150,"&lt;&gt;P")&gt;0,1,0)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202</v>
      </c>
      <c r="B157">
        <f>IF(COUNTIFS('United Data'!$A$3:$A$2150,B$1,'United Data'!$C$3:$C$2150,$A157,'United Data'!$B$3:$B$2150,"&lt;&gt;P")&gt;0,1,0)</f>
        <v>0</v>
      </c>
      <c r="C157">
        <f>IF(COUNTIFS('United Data'!$A$3:$A$2150,C$1,'United Data'!$C$3:$C$2150,$A157,'United Data'!$B$3:$B$2150,"&lt;&gt;P")&gt;0,1,0)</f>
        <v>0</v>
      </c>
      <c r="D157">
        <f>IF(COUNTIFS('United Data'!$A$3:$A$2150,D$1,'United Data'!$C$3:$C$2150,$A157,'United Data'!$B$3:$B$2150,"&lt;&gt;P")&gt;0,1,0)</f>
        <v>0</v>
      </c>
      <c r="E157">
        <f>IF(COUNTIFS('United Data'!$A$3:$A$2150,E$1,'United Data'!$C$3:$C$2150,$A157,'United Data'!$B$3:$B$2150,"&lt;&gt;P")&gt;0,1,0)</f>
        <v>0</v>
      </c>
      <c r="F157">
        <f>IF(COUNTIFS('United Data'!$A$3:$A$2150,F$1,'United Data'!$C$3:$C$2150,$A157,'United Data'!$B$3:$B$2150,"&lt;&gt;P")&gt;0,1,0)</f>
        <v>0</v>
      </c>
      <c r="G157">
        <f>IF(COUNTIFS('United Data'!$A$3:$A$2150,G$1,'United Data'!$C$3:$C$2150,$A157,'United Data'!$B$3:$B$2150,"&lt;&gt;P")&gt;0,1,0)</f>
        <v>0</v>
      </c>
      <c r="H157">
        <f>IF(COUNTIFS('United Data'!$A$3:$A$2150,H$1,'United Data'!$C$3:$C$2150,$A157,'United Data'!$B$3:$B$2150,"&lt;&gt;P")&gt;0,1,0)</f>
        <v>0</v>
      </c>
      <c r="I157">
        <f>IF(COUNTIFS('United Data'!$A$3:$A$2150,I$1,'United Data'!$C$3:$C$2150,$A157,'United Data'!$B$3:$B$2150,"&lt;&gt;P")&gt;0,1,0)</f>
        <v>0</v>
      </c>
      <c r="J157">
        <f>IF(COUNTIFS('United Data'!$A$3:$A$2150,J$1,'United Data'!$C$3:$C$2150,$A157,'United Data'!$B$3:$B$2150,"&lt;&gt;P")&gt;0,1,0)</f>
        <v>0</v>
      </c>
      <c r="K157">
        <f>IF(COUNTIFS('United Data'!$A$3:$A$2150,K$1,'United Data'!$C$3:$C$2150,$A157,'United Data'!$B$3:$B$2150,"&lt;&gt;P")&gt;0,1,0)</f>
        <v>0</v>
      </c>
      <c r="L157">
        <f>IF(COUNTIFS('United Data'!$A$3:$A$2150,L$1,'United Data'!$C$3:$C$2150,$A157,'United Data'!$B$3:$B$2150,"&lt;&gt;P")&gt;0,1,0)</f>
        <v>0</v>
      </c>
      <c r="M157">
        <f>IF(COUNTIFS('United Data'!$A$3:$A$2150,M$1,'United Data'!$C$3:$C$2150,$A157,'United Data'!$B$3:$B$2150,"&lt;&gt;P")&gt;0,1,0)</f>
        <v>0</v>
      </c>
      <c r="N157">
        <f>IF(COUNTIFS('United Data'!$A$3:$A$2150,N$1,'United Data'!$C$3:$C$2150,$A157,'United Data'!$B$3:$B$2150,"&lt;&gt;P")&gt;0,1,0)</f>
        <v>0</v>
      </c>
      <c r="O157">
        <f>IF(COUNTIFS('United Data'!$A$3:$A$2150,O$1,'United Data'!$C$3:$C$2150,$A157,'United Data'!$B$3:$B$2150,"&lt;&gt;P")&gt;0,1,0)</f>
        <v>0</v>
      </c>
      <c r="P157">
        <f>IF(COUNTIFS('United Data'!$A$3:$A$2150,P$1,'United Data'!$C$3:$C$2150,$A157,'United Data'!$B$3:$B$2150,"&lt;&gt;P")&gt;0,1,0)</f>
        <v>1</v>
      </c>
      <c r="Q157">
        <f>IF(COUNTIFS('United Data'!$A$3:$A$2150,Q$1,'United Data'!$C$3:$C$2150,$A157,'United Data'!$B$3:$B$2150,"&lt;&gt;P")&gt;0,1,0)</f>
        <v>1</v>
      </c>
      <c r="R157">
        <f>IF(COUNTIFS('United Data'!$A$3:$A$2150,R$1,'United Data'!$C$3:$C$2150,$A157,'United Data'!$B$3:$B$2150,"&lt;&gt;P")&gt;0,1,0)</f>
        <v>0</v>
      </c>
      <c r="S157">
        <f t="shared" si="4"/>
        <v>2</v>
      </c>
      <c r="T157">
        <f t="shared" si="5"/>
        <v>1</v>
      </c>
    </row>
    <row r="158" spans="1:20" x14ac:dyDescent="0.2">
      <c r="A158" t="s">
        <v>203</v>
      </c>
      <c r="B158">
        <f>IF(COUNTIFS('United Data'!$A$3:$A$2150,B$1,'United Data'!$C$3:$C$2150,$A158,'United Data'!$B$3:$B$2150,"&lt;&gt;P")&gt;0,1,0)</f>
        <v>0</v>
      </c>
      <c r="C158">
        <f>IF(COUNTIFS('United Data'!$A$3:$A$2150,C$1,'United Data'!$C$3:$C$2150,$A158,'United Data'!$B$3:$B$2150,"&lt;&gt;P")&gt;0,1,0)</f>
        <v>0</v>
      </c>
      <c r="D158">
        <f>IF(COUNTIFS('United Data'!$A$3:$A$2150,D$1,'United Data'!$C$3:$C$2150,$A158,'United Data'!$B$3:$B$2150,"&lt;&gt;P")&gt;0,1,0)</f>
        <v>0</v>
      </c>
      <c r="E158">
        <f>IF(COUNTIFS('United Data'!$A$3:$A$2150,E$1,'United Data'!$C$3:$C$2150,$A158,'United Data'!$B$3:$B$2150,"&lt;&gt;P")&gt;0,1,0)</f>
        <v>0</v>
      </c>
      <c r="F158">
        <f>IF(COUNTIFS('United Data'!$A$3:$A$2150,F$1,'United Data'!$C$3:$C$2150,$A158,'United Data'!$B$3:$B$2150,"&lt;&gt;P")&gt;0,1,0)</f>
        <v>0</v>
      </c>
      <c r="G158">
        <f>IF(COUNTIFS('United Data'!$A$3:$A$2150,G$1,'United Data'!$C$3:$C$2150,$A158,'United Data'!$B$3:$B$2150,"&lt;&gt;P")&gt;0,1,0)</f>
        <v>0</v>
      </c>
      <c r="H158">
        <f>IF(COUNTIFS('United Data'!$A$3:$A$2150,H$1,'United Data'!$C$3:$C$2150,$A158,'United Data'!$B$3:$B$2150,"&lt;&gt;P")&gt;0,1,0)</f>
        <v>0</v>
      </c>
      <c r="I158">
        <f>IF(COUNTIFS('United Data'!$A$3:$A$2150,I$1,'United Data'!$C$3:$C$2150,$A158,'United Data'!$B$3:$B$2150,"&lt;&gt;P")&gt;0,1,0)</f>
        <v>0</v>
      </c>
      <c r="J158">
        <f>IF(COUNTIFS('United Data'!$A$3:$A$2150,J$1,'United Data'!$C$3:$C$2150,$A158,'United Data'!$B$3:$B$2150,"&lt;&gt;P")&gt;0,1,0)</f>
        <v>0</v>
      </c>
      <c r="K158">
        <f>IF(COUNTIFS('United Data'!$A$3:$A$2150,K$1,'United Data'!$C$3:$C$2150,$A158,'United Data'!$B$3:$B$2150,"&lt;&gt;P")&gt;0,1,0)</f>
        <v>0</v>
      </c>
      <c r="L158">
        <f>IF(COUNTIFS('United Data'!$A$3:$A$2150,L$1,'United Data'!$C$3:$C$2150,$A158,'United Data'!$B$3:$B$2150,"&lt;&gt;P")&gt;0,1,0)</f>
        <v>0</v>
      </c>
      <c r="M158">
        <f>IF(COUNTIFS('United Data'!$A$3:$A$2150,M$1,'United Data'!$C$3:$C$2150,$A158,'United Data'!$B$3:$B$2150,"&lt;&gt;P")&gt;0,1,0)</f>
        <v>0</v>
      </c>
      <c r="N158">
        <f>IF(COUNTIFS('United Data'!$A$3:$A$2150,N$1,'United Data'!$C$3:$C$2150,$A158,'United Data'!$B$3:$B$2150,"&lt;&gt;P")&gt;0,1,0)</f>
        <v>0</v>
      </c>
      <c r="O158">
        <f>IF(COUNTIFS('United Data'!$A$3:$A$2150,O$1,'United Data'!$C$3:$C$2150,$A158,'United Data'!$B$3:$B$2150,"&lt;&gt;P")&gt;0,1,0)</f>
        <v>0</v>
      </c>
      <c r="P158">
        <f>IF(COUNTIFS('United Data'!$A$3:$A$2150,P$1,'United Data'!$C$3:$C$2150,$A158,'United Data'!$B$3:$B$2150,"&lt;&gt;P")&gt;0,1,0)</f>
        <v>1</v>
      </c>
      <c r="Q158">
        <f>IF(COUNTIFS('United Data'!$A$3:$A$2150,Q$1,'United Data'!$C$3:$C$2150,$A158,'United Data'!$B$3:$B$2150,"&lt;&gt;P")&gt;0,1,0)</f>
        <v>0</v>
      </c>
      <c r="R158">
        <f>IF(COUNTIFS('United Data'!$A$3:$A$2150,R$1,'United Data'!$C$3:$C$2150,$A158,'United Data'!$B$3:$B$2150,"&lt;&gt;P")&gt;0,1,0)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204</v>
      </c>
      <c r="B159">
        <f>IF(COUNTIFS('United Data'!$A$3:$A$2150,B$1,'United Data'!$C$3:$C$2150,$A159,'United Data'!$B$3:$B$2150,"&lt;&gt;P")&gt;0,1,0)</f>
        <v>0</v>
      </c>
      <c r="C159">
        <f>IF(COUNTIFS('United Data'!$A$3:$A$2150,C$1,'United Data'!$C$3:$C$2150,$A159,'United Data'!$B$3:$B$2150,"&lt;&gt;P")&gt;0,1,0)</f>
        <v>0</v>
      </c>
      <c r="D159">
        <f>IF(COUNTIFS('United Data'!$A$3:$A$2150,D$1,'United Data'!$C$3:$C$2150,$A159,'United Data'!$B$3:$B$2150,"&lt;&gt;P")&gt;0,1,0)</f>
        <v>0</v>
      </c>
      <c r="E159">
        <f>IF(COUNTIFS('United Data'!$A$3:$A$2150,E$1,'United Data'!$C$3:$C$2150,$A159,'United Data'!$B$3:$B$2150,"&lt;&gt;P")&gt;0,1,0)</f>
        <v>0</v>
      </c>
      <c r="F159">
        <f>IF(COUNTIFS('United Data'!$A$3:$A$2150,F$1,'United Data'!$C$3:$C$2150,$A159,'United Data'!$B$3:$B$2150,"&lt;&gt;P")&gt;0,1,0)</f>
        <v>0</v>
      </c>
      <c r="G159">
        <f>IF(COUNTIFS('United Data'!$A$3:$A$2150,G$1,'United Data'!$C$3:$C$2150,$A159,'United Data'!$B$3:$B$2150,"&lt;&gt;P")&gt;0,1,0)</f>
        <v>0</v>
      </c>
      <c r="H159">
        <f>IF(COUNTIFS('United Data'!$A$3:$A$2150,H$1,'United Data'!$C$3:$C$2150,$A159,'United Data'!$B$3:$B$2150,"&lt;&gt;P")&gt;0,1,0)</f>
        <v>0</v>
      </c>
      <c r="I159">
        <f>IF(COUNTIFS('United Data'!$A$3:$A$2150,I$1,'United Data'!$C$3:$C$2150,$A159,'United Data'!$B$3:$B$2150,"&lt;&gt;P")&gt;0,1,0)</f>
        <v>0</v>
      </c>
      <c r="J159">
        <f>IF(COUNTIFS('United Data'!$A$3:$A$2150,J$1,'United Data'!$C$3:$C$2150,$A159,'United Data'!$B$3:$B$2150,"&lt;&gt;P")&gt;0,1,0)</f>
        <v>0</v>
      </c>
      <c r="K159">
        <f>IF(COUNTIFS('United Data'!$A$3:$A$2150,K$1,'United Data'!$C$3:$C$2150,$A159,'United Data'!$B$3:$B$2150,"&lt;&gt;P")&gt;0,1,0)</f>
        <v>0</v>
      </c>
      <c r="L159">
        <f>IF(COUNTIFS('United Data'!$A$3:$A$2150,L$1,'United Data'!$C$3:$C$2150,$A159,'United Data'!$B$3:$B$2150,"&lt;&gt;P")&gt;0,1,0)</f>
        <v>0</v>
      </c>
      <c r="M159">
        <f>IF(COUNTIFS('United Data'!$A$3:$A$2150,M$1,'United Data'!$C$3:$C$2150,$A159,'United Data'!$B$3:$B$2150,"&lt;&gt;P")&gt;0,1,0)</f>
        <v>0</v>
      </c>
      <c r="N159">
        <f>IF(COUNTIFS('United Data'!$A$3:$A$2150,N$1,'United Data'!$C$3:$C$2150,$A159,'United Data'!$B$3:$B$2150,"&lt;&gt;P")&gt;0,1,0)</f>
        <v>0</v>
      </c>
      <c r="O159">
        <f>IF(COUNTIFS('United Data'!$A$3:$A$2150,O$1,'United Data'!$C$3:$C$2150,$A159,'United Data'!$B$3:$B$2150,"&lt;&gt;P")&gt;0,1,0)</f>
        <v>0</v>
      </c>
      <c r="P159">
        <f>IF(COUNTIFS('United Data'!$A$3:$A$2150,P$1,'United Data'!$C$3:$C$2150,$A159,'United Data'!$B$3:$B$2150,"&lt;&gt;P")&gt;0,1,0)</f>
        <v>1</v>
      </c>
      <c r="Q159">
        <f>IF(COUNTIFS('United Data'!$A$3:$A$2150,Q$1,'United Data'!$C$3:$C$2150,$A159,'United Data'!$B$3:$B$2150,"&lt;&gt;P")&gt;0,1,0)</f>
        <v>0</v>
      </c>
      <c r="R159">
        <f>IF(COUNTIFS('United Data'!$A$3:$A$2150,R$1,'United Data'!$C$3:$C$2150,$A159,'United Data'!$B$3:$B$2150,"&lt;&gt;P")&gt;0,1,0)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205</v>
      </c>
      <c r="B160">
        <f>IF(COUNTIFS('United Data'!$A$3:$A$2150,B$1,'United Data'!$C$3:$C$2150,$A160,'United Data'!$B$3:$B$2150,"&lt;&gt;P")&gt;0,1,0)</f>
        <v>0</v>
      </c>
      <c r="C160">
        <f>IF(COUNTIFS('United Data'!$A$3:$A$2150,C$1,'United Data'!$C$3:$C$2150,$A160,'United Data'!$B$3:$B$2150,"&lt;&gt;P")&gt;0,1,0)</f>
        <v>0</v>
      </c>
      <c r="D160">
        <f>IF(COUNTIFS('United Data'!$A$3:$A$2150,D$1,'United Data'!$C$3:$C$2150,$A160,'United Data'!$B$3:$B$2150,"&lt;&gt;P")&gt;0,1,0)</f>
        <v>0</v>
      </c>
      <c r="E160">
        <f>IF(COUNTIFS('United Data'!$A$3:$A$2150,E$1,'United Data'!$C$3:$C$2150,$A160,'United Data'!$B$3:$B$2150,"&lt;&gt;P")&gt;0,1,0)</f>
        <v>0</v>
      </c>
      <c r="F160">
        <f>IF(COUNTIFS('United Data'!$A$3:$A$2150,F$1,'United Data'!$C$3:$C$2150,$A160,'United Data'!$B$3:$B$2150,"&lt;&gt;P")&gt;0,1,0)</f>
        <v>0</v>
      </c>
      <c r="G160">
        <f>IF(COUNTIFS('United Data'!$A$3:$A$2150,G$1,'United Data'!$C$3:$C$2150,$A160,'United Data'!$B$3:$B$2150,"&lt;&gt;P")&gt;0,1,0)</f>
        <v>0</v>
      </c>
      <c r="H160">
        <f>IF(COUNTIFS('United Data'!$A$3:$A$2150,H$1,'United Data'!$C$3:$C$2150,$A160,'United Data'!$B$3:$B$2150,"&lt;&gt;P")&gt;0,1,0)</f>
        <v>0</v>
      </c>
      <c r="I160">
        <f>IF(COUNTIFS('United Data'!$A$3:$A$2150,I$1,'United Data'!$C$3:$C$2150,$A160,'United Data'!$B$3:$B$2150,"&lt;&gt;P")&gt;0,1,0)</f>
        <v>0</v>
      </c>
      <c r="J160">
        <f>IF(COUNTIFS('United Data'!$A$3:$A$2150,J$1,'United Data'!$C$3:$C$2150,$A160,'United Data'!$B$3:$B$2150,"&lt;&gt;P")&gt;0,1,0)</f>
        <v>0</v>
      </c>
      <c r="K160">
        <f>IF(COUNTIFS('United Data'!$A$3:$A$2150,K$1,'United Data'!$C$3:$C$2150,$A160,'United Data'!$B$3:$B$2150,"&lt;&gt;P")&gt;0,1,0)</f>
        <v>0</v>
      </c>
      <c r="L160">
        <f>IF(COUNTIFS('United Data'!$A$3:$A$2150,L$1,'United Data'!$C$3:$C$2150,$A160,'United Data'!$B$3:$B$2150,"&lt;&gt;P")&gt;0,1,0)</f>
        <v>0</v>
      </c>
      <c r="M160">
        <f>IF(COUNTIFS('United Data'!$A$3:$A$2150,M$1,'United Data'!$C$3:$C$2150,$A160,'United Data'!$B$3:$B$2150,"&lt;&gt;P")&gt;0,1,0)</f>
        <v>0</v>
      </c>
      <c r="N160">
        <f>IF(COUNTIFS('United Data'!$A$3:$A$2150,N$1,'United Data'!$C$3:$C$2150,$A160,'United Data'!$B$3:$B$2150,"&lt;&gt;P")&gt;0,1,0)</f>
        <v>0</v>
      </c>
      <c r="O160">
        <f>IF(COUNTIFS('United Data'!$A$3:$A$2150,O$1,'United Data'!$C$3:$C$2150,$A160,'United Data'!$B$3:$B$2150,"&lt;&gt;P")&gt;0,1,0)</f>
        <v>0</v>
      </c>
      <c r="P160">
        <f>IF(COUNTIFS('United Data'!$A$3:$A$2150,P$1,'United Data'!$C$3:$C$2150,$A160,'United Data'!$B$3:$B$2150,"&lt;&gt;P")&gt;0,1,0)</f>
        <v>1</v>
      </c>
      <c r="Q160">
        <f>IF(COUNTIFS('United Data'!$A$3:$A$2150,Q$1,'United Data'!$C$3:$C$2150,$A160,'United Data'!$B$3:$B$2150,"&lt;&gt;P")&gt;0,1,0)</f>
        <v>0</v>
      </c>
      <c r="R160">
        <f>IF(COUNTIFS('United Data'!$A$3:$A$2150,R$1,'United Data'!$C$3:$C$2150,$A160,'United Data'!$B$3:$B$2150,"&lt;&gt;P")&gt;0,1,0)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206</v>
      </c>
      <c r="B161">
        <f>IF(COUNTIFS('United Data'!$A$3:$A$2150,B$1,'United Data'!$C$3:$C$2150,$A161,'United Data'!$B$3:$B$2150,"&lt;&gt;P")&gt;0,1,0)</f>
        <v>0</v>
      </c>
      <c r="C161">
        <f>IF(COUNTIFS('United Data'!$A$3:$A$2150,C$1,'United Data'!$C$3:$C$2150,$A161,'United Data'!$B$3:$B$2150,"&lt;&gt;P")&gt;0,1,0)</f>
        <v>0</v>
      </c>
      <c r="D161">
        <f>IF(COUNTIFS('United Data'!$A$3:$A$2150,D$1,'United Data'!$C$3:$C$2150,$A161,'United Data'!$B$3:$B$2150,"&lt;&gt;P")&gt;0,1,0)</f>
        <v>0</v>
      </c>
      <c r="E161">
        <f>IF(COUNTIFS('United Data'!$A$3:$A$2150,E$1,'United Data'!$C$3:$C$2150,$A161,'United Data'!$B$3:$B$2150,"&lt;&gt;P")&gt;0,1,0)</f>
        <v>0</v>
      </c>
      <c r="F161">
        <f>IF(COUNTIFS('United Data'!$A$3:$A$2150,F$1,'United Data'!$C$3:$C$2150,$A161,'United Data'!$B$3:$B$2150,"&lt;&gt;P")&gt;0,1,0)</f>
        <v>0</v>
      </c>
      <c r="G161">
        <f>IF(COUNTIFS('United Data'!$A$3:$A$2150,G$1,'United Data'!$C$3:$C$2150,$A161,'United Data'!$B$3:$B$2150,"&lt;&gt;P")&gt;0,1,0)</f>
        <v>0</v>
      </c>
      <c r="H161">
        <f>IF(COUNTIFS('United Data'!$A$3:$A$2150,H$1,'United Data'!$C$3:$C$2150,$A161,'United Data'!$B$3:$B$2150,"&lt;&gt;P")&gt;0,1,0)</f>
        <v>0</v>
      </c>
      <c r="I161">
        <f>IF(COUNTIFS('United Data'!$A$3:$A$2150,I$1,'United Data'!$C$3:$C$2150,$A161,'United Data'!$B$3:$B$2150,"&lt;&gt;P")&gt;0,1,0)</f>
        <v>0</v>
      </c>
      <c r="J161">
        <f>IF(COUNTIFS('United Data'!$A$3:$A$2150,J$1,'United Data'!$C$3:$C$2150,$A161,'United Data'!$B$3:$B$2150,"&lt;&gt;P")&gt;0,1,0)</f>
        <v>0</v>
      </c>
      <c r="K161">
        <f>IF(COUNTIFS('United Data'!$A$3:$A$2150,K$1,'United Data'!$C$3:$C$2150,$A161,'United Data'!$B$3:$B$2150,"&lt;&gt;P")&gt;0,1,0)</f>
        <v>0</v>
      </c>
      <c r="L161">
        <f>IF(COUNTIFS('United Data'!$A$3:$A$2150,L$1,'United Data'!$C$3:$C$2150,$A161,'United Data'!$B$3:$B$2150,"&lt;&gt;P")&gt;0,1,0)</f>
        <v>0</v>
      </c>
      <c r="M161">
        <f>IF(COUNTIFS('United Data'!$A$3:$A$2150,M$1,'United Data'!$C$3:$C$2150,$A161,'United Data'!$B$3:$B$2150,"&lt;&gt;P")&gt;0,1,0)</f>
        <v>0</v>
      </c>
      <c r="N161">
        <f>IF(COUNTIFS('United Data'!$A$3:$A$2150,N$1,'United Data'!$C$3:$C$2150,$A161,'United Data'!$B$3:$B$2150,"&lt;&gt;P")&gt;0,1,0)</f>
        <v>0</v>
      </c>
      <c r="O161">
        <f>IF(COUNTIFS('United Data'!$A$3:$A$2150,O$1,'United Data'!$C$3:$C$2150,$A161,'United Data'!$B$3:$B$2150,"&lt;&gt;P")&gt;0,1,0)</f>
        <v>0</v>
      </c>
      <c r="P161">
        <f>IF(COUNTIFS('United Data'!$A$3:$A$2150,P$1,'United Data'!$C$3:$C$2150,$A161,'United Data'!$B$3:$B$2150,"&lt;&gt;P")&gt;0,1,0)</f>
        <v>0</v>
      </c>
      <c r="Q161">
        <f>IF(COUNTIFS('United Data'!$A$3:$A$2150,Q$1,'United Data'!$C$3:$C$2150,$A161,'United Data'!$B$3:$B$2150,"&lt;&gt;P")&gt;0,1,0)</f>
        <v>1</v>
      </c>
      <c r="R161">
        <f>IF(COUNTIFS('United Data'!$A$3:$A$2150,R$1,'United Data'!$C$3:$C$2150,$A161,'United Data'!$B$3:$B$2150,"&lt;&gt;P")&gt;0,1,0)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207</v>
      </c>
      <c r="B162">
        <f>IF(COUNTIFS('United Data'!$A$3:$A$2150,B$1,'United Data'!$C$3:$C$2150,$A162,'United Data'!$B$3:$B$2150,"&lt;&gt;P")&gt;0,1,0)</f>
        <v>0</v>
      </c>
      <c r="C162">
        <f>IF(COUNTIFS('United Data'!$A$3:$A$2150,C$1,'United Data'!$C$3:$C$2150,$A162,'United Data'!$B$3:$B$2150,"&lt;&gt;P")&gt;0,1,0)</f>
        <v>0</v>
      </c>
      <c r="D162">
        <f>IF(COUNTIFS('United Data'!$A$3:$A$2150,D$1,'United Data'!$C$3:$C$2150,$A162,'United Data'!$B$3:$B$2150,"&lt;&gt;P")&gt;0,1,0)</f>
        <v>0</v>
      </c>
      <c r="E162">
        <f>IF(COUNTIFS('United Data'!$A$3:$A$2150,E$1,'United Data'!$C$3:$C$2150,$A162,'United Data'!$B$3:$B$2150,"&lt;&gt;P")&gt;0,1,0)</f>
        <v>0</v>
      </c>
      <c r="F162">
        <f>IF(COUNTIFS('United Data'!$A$3:$A$2150,F$1,'United Data'!$C$3:$C$2150,$A162,'United Data'!$B$3:$B$2150,"&lt;&gt;P")&gt;0,1,0)</f>
        <v>0</v>
      </c>
      <c r="G162">
        <f>IF(COUNTIFS('United Data'!$A$3:$A$2150,G$1,'United Data'!$C$3:$C$2150,$A162,'United Data'!$B$3:$B$2150,"&lt;&gt;P")&gt;0,1,0)</f>
        <v>0</v>
      </c>
      <c r="H162">
        <f>IF(COUNTIFS('United Data'!$A$3:$A$2150,H$1,'United Data'!$C$3:$C$2150,$A162,'United Data'!$B$3:$B$2150,"&lt;&gt;P")&gt;0,1,0)</f>
        <v>0</v>
      </c>
      <c r="I162">
        <f>IF(COUNTIFS('United Data'!$A$3:$A$2150,I$1,'United Data'!$C$3:$C$2150,$A162,'United Data'!$B$3:$B$2150,"&lt;&gt;P")&gt;0,1,0)</f>
        <v>0</v>
      </c>
      <c r="J162">
        <f>IF(COUNTIFS('United Data'!$A$3:$A$2150,J$1,'United Data'!$C$3:$C$2150,$A162,'United Data'!$B$3:$B$2150,"&lt;&gt;P")&gt;0,1,0)</f>
        <v>0</v>
      </c>
      <c r="K162">
        <f>IF(COUNTIFS('United Data'!$A$3:$A$2150,K$1,'United Data'!$C$3:$C$2150,$A162,'United Data'!$B$3:$B$2150,"&lt;&gt;P")&gt;0,1,0)</f>
        <v>0</v>
      </c>
      <c r="L162">
        <f>IF(COUNTIFS('United Data'!$A$3:$A$2150,L$1,'United Data'!$C$3:$C$2150,$A162,'United Data'!$B$3:$B$2150,"&lt;&gt;P")&gt;0,1,0)</f>
        <v>0</v>
      </c>
      <c r="M162">
        <f>IF(COUNTIFS('United Data'!$A$3:$A$2150,M$1,'United Data'!$C$3:$C$2150,$A162,'United Data'!$B$3:$B$2150,"&lt;&gt;P")&gt;0,1,0)</f>
        <v>0</v>
      </c>
      <c r="N162">
        <f>IF(COUNTIFS('United Data'!$A$3:$A$2150,N$1,'United Data'!$C$3:$C$2150,$A162,'United Data'!$B$3:$B$2150,"&lt;&gt;P")&gt;0,1,0)</f>
        <v>0</v>
      </c>
      <c r="O162">
        <f>IF(COUNTIFS('United Data'!$A$3:$A$2150,O$1,'United Data'!$C$3:$C$2150,$A162,'United Data'!$B$3:$B$2150,"&lt;&gt;P")&gt;0,1,0)</f>
        <v>0</v>
      </c>
      <c r="P162">
        <f>IF(COUNTIFS('United Data'!$A$3:$A$2150,P$1,'United Data'!$C$3:$C$2150,$A162,'United Data'!$B$3:$B$2150,"&lt;&gt;P")&gt;0,1,0)</f>
        <v>0</v>
      </c>
      <c r="Q162">
        <f>IF(COUNTIFS('United Data'!$A$3:$A$2150,Q$1,'United Data'!$C$3:$C$2150,$A162,'United Data'!$B$3:$B$2150,"&lt;&gt;P")&gt;0,1,0)</f>
        <v>1</v>
      </c>
      <c r="R162">
        <f>IF(COUNTIFS('United Data'!$A$3:$A$2150,R$1,'United Data'!$C$3:$C$2150,$A162,'United Data'!$B$3:$B$2150,"&lt;&gt;P")&gt;0,1,0)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208</v>
      </c>
      <c r="B163">
        <f>IF(COUNTIFS('United Data'!$A$3:$A$2150,B$1,'United Data'!$C$3:$C$2150,$A163,'United Data'!$B$3:$B$2150,"&lt;&gt;P")&gt;0,1,0)</f>
        <v>0</v>
      </c>
      <c r="C163">
        <f>IF(COUNTIFS('United Data'!$A$3:$A$2150,C$1,'United Data'!$C$3:$C$2150,$A163,'United Data'!$B$3:$B$2150,"&lt;&gt;P")&gt;0,1,0)</f>
        <v>0</v>
      </c>
      <c r="D163">
        <f>IF(COUNTIFS('United Data'!$A$3:$A$2150,D$1,'United Data'!$C$3:$C$2150,$A163,'United Data'!$B$3:$B$2150,"&lt;&gt;P")&gt;0,1,0)</f>
        <v>0</v>
      </c>
      <c r="E163">
        <f>IF(COUNTIFS('United Data'!$A$3:$A$2150,E$1,'United Data'!$C$3:$C$2150,$A163,'United Data'!$B$3:$B$2150,"&lt;&gt;P")&gt;0,1,0)</f>
        <v>0</v>
      </c>
      <c r="F163">
        <f>IF(COUNTIFS('United Data'!$A$3:$A$2150,F$1,'United Data'!$C$3:$C$2150,$A163,'United Data'!$B$3:$B$2150,"&lt;&gt;P")&gt;0,1,0)</f>
        <v>0</v>
      </c>
      <c r="G163">
        <f>IF(COUNTIFS('United Data'!$A$3:$A$2150,G$1,'United Data'!$C$3:$C$2150,$A163,'United Data'!$B$3:$B$2150,"&lt;&gt;P")&gt;0,1,0)</f>
        <v>0</v>
      </c>
      <c r="H163">
        <f>IF(COUNTIFS('United Data'!$A$3:$A$2150,H$1,'United Data'!$C$3:$C$2150,$A163,'United Data'!$B$3:$B$2150,"&lt;&gt;P")&gt;0,1,0)</f>
        <v>0</v>
      </c>
      <c r="I163">
        <f>IF(COUNTIFS('United Data'!$A$3:$A$2150,I$1,'United Data'!$C$3:$C$2150,$A163,'United Data'!$B$3:$B$2150,"&lt;&gt;P")&gt;0,1,0)</f>
        <v>0</v>
      </c>
      <c r="J163">
        <f>IF(COUNTIFS('United Data'!$A$3:$A$2150,J$1,'United Data'!$C$3:$C$2150,$A163,'United Data'!$B$3:$B$2150,"&lt;&gt;P")&gt;0,1,0)</f>
        <v>0</v>
      </c>
      <c r="K163">
        <f>IF(COUNTIFS('United Data'!$A$3:$A$2150,K$1,'United Data'!$C$3:$C$2150,$A163,'United Data'!$B$3:$B$2150,"&lt;&gt;P")&gt;0,1,0)</f>
        <v>0</v>
      </c>
      <c r="L163">
        <f>IF(COUNTIFS('United Data'!$A$3:$A$2150,L$1,'United Data'!$C$3:$C$2150,$A163,'United Data'!$B$3:$B$2150,"&lt;&gt;P")&gt;0,1,0)</f>
        <v>0</v>
      </c>
      <c r="M163">
        <f>IF(COUNTIFS('United Data'!$A$3:$A$2150,M$1,'United Data'!$C$3:$C$2150,$A163,'United Data'!$B$3:$B$2150,"&lt;&gt;P")&gt;0,1,0)</f>
        <v>0</v>
      </c>
      <c r="N163">
        <f>IF(COUNTIFS('United Data'!$A$3:$A$2150,N$1,'United Data'!$C$3:$C$2150,$A163,'United Data'!$B$3:$B$2150,"&lt;&gt;P")&gt;0,1,0)</f>
        <v>0</v>
      </c>
      <c r="O163">
        <f>IF(COUNTIFS('United Data'!$A$3:$A$2150,O$1,'United Data'!$C$3:$C$2150,$A163,'United Data'!$B$3:$B$2150,"&lt;&gt;P")&gt;0,1,0)</f>
        <v>0</v>
      </c>
      <c r="P163">
        <f>IF(COUNTIFS('United Data'!$A$3:$A$2150,P$1,'United Data'!$C$3:$C$2150,$A163,'United Data'!$B$3:$B$2150,"&lt;&gt;P")&gt;0,1,0)</f>
        <v>0</v>
      </c>
      <c r="Q163">
        <f>IF(COUNTIFS('United Data'!$A$3:$A$2150,Q$1,'United Data'!$C$3:$C$2150,$A163,'United Data'!$B$3:$B$2150,"&lt;&gt;P")&gt;0,1,0)</f>
        <v>1</v>
      </c>
      <c r="R163">
        <f>IF(COUNTIFS('United Data'!$A$3:$A$2150,R$1,'United Data'!$C$3:$C$2150,$A163,'United Data'!$B$3:$B$2150,"&lt;&gt;P")&gt;0,1,0)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209</v>
      </c>
      <c r="B164">
        <f>IF(COUNTIFS('United Data'!$A$3:$A$2150,B$1,'United Data'!$C$3:$C$2150,$A164,'United Data'!$B$3:$B$2150,"&lt;&gt;P")&gt;0,1,0)</f>
        <v>0</v>
      </c>
      <c r="C164">
        <f>IF(COUNTIFS('United Data'!$A$3:$A$2150,C$1,'United Data'!$C$3:$C$2150,$A164,'United Data'!$B$3:$B$2150,"&lt;&gt;P")&gt;0,1,0)</f>
        <v>0</v>
      </c>
      <c r="D164">
        <f>IF(COUNTIFS('United Data'!$A$3:$A$2150,D$1,'United Data'!$C$3:$C$2150,$A164,'United Data'!$B$3:$B$2150,"&lt;&gt;P")&gt;0,1,0)</f>
        <v>0</v>
      </c>
      <c r="E164">
        <f>IF(COUNTIFS('United Data'!$A$3:$A$2150,E$1,'United Data'!$C$3:$C$2150,$A164,'United Data'!$B$3:$B$2150,"&lt;&gt;P")&gt;0,1,0)</f>
        <v>0</v>
      </c>
      <c r="F164">
        <f>IF(COUNTIFS('United Data'!$A$3:$A$2150,F$1,'United Data'!$C$3:$C$2150,$A164,'United Data'!$B$3:$B$2150,"&lt;&gt;P")&gt;0,1,0)</f>
        <v>0</v>
      </c>
      <c r="G164">
        <f>IF(COUNTIFS('United Data'!$A$3:$A$2150,G$1,'United Data'!$C$3:$C$2150,$A164,'United Data'!$B$3:$B$2150,"&lt;&gt;P")&gt;0,1,0)</f>
        <v>0</v>
      </c>
      <c r="H164">
        <f>IF(COUNTIFS('United Data'!$A$3:$A$2150,H$1,'United Data'!$C$3:$C$2150,$A164,'United Data'!$B$3:$B$2150,"&lt;&gt;P")&gt;0,1,0)</f>
        <v>0</v>
      </c>
      <c r="I164">
        <f>IF(COUNTIFS('United Data'!$A$3:$A$2150,I$1,'United Data'!$C$3:$C$2150,$A164,'United Data'!$B$3:$B$2150,"&lt;&gt;P")&gt;0,1,0)</f>
        <v>0</v>
      </c>
      <c r="J164">
        <f>IF(COUNTIFS('United Data'!$A$3:$A$2150,J$1,'United Data'!$C$3:$C$2150,$A164,'United Data'!$B$3:$B$2150,"&lt;&gt;P")&gt;0,1,0)</f>
        <v>0</v>
      </c>
      <c r="K164">
        <f>IF(COUNTIFS('United Data'!$A$3:$A$2150,K$1,'United Data'!$C$3:$C$2150,$A164,'United Data'!$B$3:$B$2150,"&lt;&gt;P")&gt;0,1,0)</f>
        <v>0</v>
      </c>
      <c r="L164">
        <f>IF(COUNTIFS('United Data'!$A$3:$A$2150,L$1,'United Data'!$C$3:$C$2150,$A164,'United Data'!$B$3:$B$2150,"&lt;&gt;P")&gt;0,1,0)</f>
        <v>0</v>
      </c>
      <c r="M164">
        <f>IF(COUNTIFS('United Data'!$A$3:$A$2150,M$1,'United Data'!$C$3:$C$2150,$A164,'United Data'!$B$3:$B$2150,"&lt;&gt;P")&gt;0,1,0)</f>
        <v>0</v>
      </c>
      <c r="N164">
        <f>IF(COUNTIFS('United Data'!$A$3:$A$2150,N$1,'United Data'!$C$3:$C$2150,$A164,'United Data'!$B$3:$B$2150,"&lt;&gt;P")&gt;0,1,0)</f>
        <v>0</v>
      </c>
      <c r="O164">
        <f>IF(COUNTIFS('United Data'!$A$3:$A$2150,O$1,'United Data'!$C$3:$C$2150,$A164,'United Data'!$B$3:$B$2150,"&lt;&gt;P")&gt;0,1,0)</f>
        <v>0</v>
      </c>
      <c r="P164">
        <f>IF(COUNTIFS('United Data'!$A$3:$A$2150,P$1,'United Data'!$C$3:$C$2150,$A164,'United Data'!$B$3:$B$2150,"&lt;&gt;P")&gt;0,1,0)</f>
        <v>0</v>
      </c>
      <c r="Q164">
        <f>IF(COUNTIFS('United Data'!$A$3:$A$2150,Q$1,'United Data'!$C$3:$C$2150,$A164,'United Data'!$B$3:$B$2150,"&lt;&gt;P")&gt;0,1,0)</f>
        <v>1</v>
      </c>
      <c r="R164">
        <f>IF(COUNTIFS('United Data'!$A$3:$A$2150,R$1,'United Data'!$C$3:$C$2150,$A164,'United Data'!$B$3:$B$2150,"&lt;&gt;P")&gt;0,1,0)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210</v>
      </c>
      <c r="B165">
        <f>IF(COUNTIFS('United Data'!$A$3:$A$2150,B$1,'United Data'!$C$3:$C$2150,$A165,'United Data'!$B$3:$B$2150,"&lt;&gt;P")&gt;0,1,0)</f>
        <v>0</v>
      </c>
      <c r="C165">
        <f>IF(COUNTIFS('United Data'!$A$3:$A$2150,C$1,'United Data'!$C$3:$C$2150,$A165,'United Data'!$B$3:$B$2150,"&lt;&gt;P")&gt;0,1,0)</f>
        <v>0</v>
      </c>
      <c r="D165">
        <f>IF(COUNTIFS('United Data'!$A$3:$A$2150,D$1,'United Data'!$C$3:$C$2150,$A165,'United Data'!$B$3:$B$2150,"&lt;&gt;P")&gt;0,1,0)</f>
        <v>0</v>
      </c>
      <c r="E165">
        <f>IF(COUNTIFS('United Data'!$A$3:$A$2150,E$1,'United Data'!$C$3:$C$2150,$A165,'United Data'!$B$3:$B$2150,"&lt;&gt;P")&gt;0,1,0)</f>
        <v>0</v>
      </c>
      <c r="F165">
        <f>IF(COUNTIFS('United Data'!$A$3:$A$2150,F$1,'United Data'!$C$3:$C$2150,$A165,'United Data'!$B$3:$B$2150,"&lt;&gt;P")&gt;0,1,0)</f>
        <v>0</v>
      </c>
      <c r="G165">
        <f>IF(COUNTIFS('United Data'!$A$3:$A$2150,G$1,'United Data'!$C$3:$C$2150,$A165,'United Data'!$B$3:$B$2150,"&lt;&gt;P")&gt;0,1,0)</f>
        <v>0</v>
      </c>
      <c r="H165">
        <f>IF(COUNTIFS('United Data'!$A$3:$A$2150,H$1,'United Data'!$C$3:$C$2150,$A165,'United Data'!$B$3:$B$2150,"&lt;&gt;P")&gt;0,1,0)</f>
        <v>0</v>
      </c>
      <c r="I165">
        <f>IF(COUNTIFS('United Data'!$A$3:$A$2150,I$1,'United Data'!$C$3:$C$2150,$A165,'United Data'!$B$3:$B$2150,"&lt;&gt;P")&gt;0,1,0)</f>
        <v>0</v>
      </c>
      <c r="J165">
        <f>IF(COUNTIFS('United Data'!$A$3:$A$2150,J$1,'United Data'!$C$3:$C$2150,$A165,'United Data'!$B$3:$B$2150,"&lt;&gt;P")&gt;0,1,0)</f>
        <v>0</v>
      </c>
      <c r="K165">
        <f>IF(COUNTIFS('United Data'!$A$3:$A$2150,K$1,'United Data'!$C$3:$C$2150,$A165,'United Data'!$B$3:$B$2150,"&lt;&gt;P")&gt;0,1,0)</f>
        <v>0</v>
      </c>
      <c r="L165">
        <f>IF(COUNTIFS('United Data'!$A$3:$A$2150,L$1,'United Data'!$C$3:$C$2150,$A165,'United Data'!$B$3:$B$2150,"&lt;&gt;P")&gt;0,1,0)</f>
        <v>0</v>
      </c>
      <c r="M165">
        <f>IF(COUNTIFS('United Data'!$A$3:$A$2150,M$1,'United Data'!$C$3:$C$2150,$A165,'United Data'!$B$3:$B$2150,"&lt;&gt;P")&gt;0,1,0)</f>
        <v>0</v>
      </c>
      <c r="N165">
        <f>IF(COUNTIFS('United Data'!$A$3:$A$2150,N$1,'United Data'!$C$3:$C$2150,$A165,'United Data'!$B$3:$B$2150,"&lt;&gt;P")&gt;0,1,0)</f>
        <v>0</v>
      </c>
      <c r="O165">
        <f>IF(COUNTIFS('United Data'!$A$3:$A$2150,O$1,'United Data'!$C$3:$C$2150,$A165,'United Data'!$B$3:$B$2150,"&lt;&gt;P")&gt;0,1,0)</f>
        <v>0</v>
      </c>
      <c r="P165">
        <f>IF(COUNTIFS('United Data'!$A$3:$A$2150,P$1,'United Data'!$C$3:$C$2150,$A165,'United Data'!$B$3:$B$2150,"&lt;&gt;P")&gt;0,1,0)</f>
        <v>0</v>
      </c>
      <c r="Q165">
        <f>IF(COUNTIFS('United Data'!$A$3:$A$2150,Q$1,'United Data'!$C$3:$C$2150,$A165,'United Data'!$B$3:$B$2150,"&lt;&gt;P")&gt;0,1,0)</f>
        <v>1</v>
      </c>
      <c r="R165">
        <f>IF(COUNTIFS('United Data'!$A$3:$A$2150,R$1,'United Data'!$C$3:$C$2150,$A165,'United Data'!$B$3:$B$2150,"&lt;&gt;P")&gt;0,1,0)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211</v>
      </c>
      <c r="B166">
        <f>IF(COUNTIFS('United Data'!$A$3:$A$2150,B$1,'United Data'!$C$3:$C$2150,$A166,'United Data'!$B$3:$B$2150,"&lt;&gt;P")&gt;0,1,0)</f>
        <v>0</v>
      </c>
      <c r="C166">
        <f>IF(COUNTIFS('United Data'!$A$3:$A$2150,C$1,'United Data'!$C$3:$C$2150,$A166,'United Data'!$B$3:$B$2150,"&lt;&gt;P")&gt;0,1,0)</f>
        <v>0</v>
      </c>
      <c r="D166">
        <f>IF(COUNTIFS('United Data'!$A$3:$A$2150,D$1,'United Data'!$C$3:$C$2150,$A166,'United Data'!$B$3:$B$2150,"&lt;&gt;P")&gt;0,1,0)</f>
        <v>0</v>
      </c>
      <c r="E166">
        <f>IF(COUNTIFS('United Data'!$A$3:$A$2150,E$1,'United Data'!$C$3:$C$2150,$A166,'United Data'!$B$3:$B$2150,"&lt;&gt;P")&gt;0,1,0)</f>
        <v>0</v>
      </c>
      <c r="F166">
        <f>IF(COUNTIFS('United Data'!$A$3:$A$2150,F$1,'United Data'!$C$3:$C$2150,$A166,'United Data'!$B$3:$B$2150,"&lt;&gt;P")&gt;0,1,0)</f>
        <v>0</v>
      </c>
      <c r="G166">
        <f>IF(COUNTIFS('United Data'!$A$3:$A$2150,G$1,'United Data'!$C$3:$C$2150,$A166,'United Data'!$B$3:$B$2150,"&lt;&gt;P")&gt;0,1,0)</f>
        <v>0</v>
      </c>
      <c r="H166">
        <f>IF(COUNTIFS('United Data'!$A$3:$A$2150,H$1,'United Data'!$C$3:$C$2150,$A166,'United Data'!$B$3:$B$2150,"&lt;&gt;P")&gt;0,1,0)</f>
        <v>0</v>
      </c>
      <c r="I166">
        <f>IF(COUNTIFS('United Data'!$A$3:$A$2150,I$1,'United Data'!$C$3:$C$2150,$A166,'United Data'!$B$3:$B$2150,"&lt;&gt;P")&gt;0,1,0)</f>
        <v>0</v>
      </c>
      <c r="J166">
        <f>IF(COUNTIFS('United Data'!$A$3:$A$2150,J$1,'United Data'!$C$3:$C$2150,$A166,'United Data'!$B$3:$B$2150,"&lt;&gt;P")&gt;0,1,0)</f>
        <v>0</v>
      </c>
      <c r="K166">
        <f>IF(COUNTIFS('United Data'!$A$3:$A$2150,K$1,'United Data'!$C$3:$C$2150,$A166,'United Data'!$B$3:$B$2150,"&lt;&gt;P")&gt;0,1,0)</f>
        <v>0</v>
      </c>
      <c r="L166">
        <f>IF(COUNTIFS('United Data'!$A$3:$A$2150,L$1,'United Data'!$C$3:$C$2150,$A166,'United Data'!$B$3:$B$2150,"&lt;&gt;P")&gt;0,1,0)</f>
        <v>0</v>
      </c>
      <c r="M166">
        <f>IF(COUNTIFS('United Data'!$A$3:$A$2150,M$1,'United Data'!$C$3:$C$2150,$A166,'United Data'!$B$3:$B$2150,"&lt;&gt;P")&gt;0,1,0)</f>
        <v>0</v>
      </c>
      <c r="N166">
        <f>IF(COUNTIFS('United Data'!$A$3:$A$2150,N$1,'United Data'!$C$3:$C$2150,$A166,'United Data'!$B$3:$B$2150,"&lt;&gt;P")&gt;0,1,0)</f>
        <v>0</v>
      </c>
      <c r="O166">
        <f>IF(COUNTIFS('United Data'!$A$3:$A$2150,O$1,'United Data'!$C$3:$C$2150,$A166,'United Data'!$B$3:$B$2150,"&lt;&gt;P")&gt;0,1,0)</f>
        <v>0</v>
      </c>
      <c r="P166">
        <f>IF(COUNTIFS('United Data'!$A$3:$A$2150,P$1,'United Data'!$C$3:$C$2150,$A166,'United Data'!$B$3:$B$2150,"&lt;&gt;P")&gt;0,1,0)</f>
        <v>0</v>
      </c>
      <c r="Q166">
        <f>IF(COUNTIFS('United Data'!$A$3:$A$2150,Q$1,'United Data'!$C$3:$C$2150,$A166,'United Data'!$B$3:$B$2150,"&lt;&gt;P")&gt;0,1,0)</f>
        <v>1</v>
      </c>
      <c r="R166">
        <f>IF(COUNTIFS('United Data'!$A$3:$A$2150,R$1,'United Data'!$C$3:$C$2150,$A166,'United Data'!$B$3:$B$2150,"&lt;&gt;P")&gt;0,1,0)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212</v>
      </c>
      <c r="B167">
        <f>IF(COUNTIFS('United Data'!$A$3:$A$2150,B$1,'United Data'!$C$3:$C$2150,$A167,'United Data'!$B$3:$B$2150,"&lt;&gt;P")&gt;0,1,0)</f>
        <v>0</v>
      </c>
      <c r="C167">
        <f>IF(COUNTIFS('United Data'!$A$3:$A$2150,C$1,'United Data'!$C$3:$C$2150,$A167,'United Data'!$B$3:$B$2150,"&lt;&gt;P")&gt;0,1,0)</f>
        <v>0</v>
      </c>
      <c r="D167">
        <f>IF(COUNTIFS('United Data'!$A$3:$A$2150,D$1,'United Data'!$C$3:$C$2150,$A167,'United Data'!$B$3:$B$2150,"&lt;&gt;P")&gt;0,1,0)</f>
        <v>0</v>
      </c>
      <c r="E167">
        <f>IF(COUNTIFS('United Data'!$A$3:$A$2150,E$1,'United Data'!$C$3:$C$2150,$A167,'United Data'!$B$3:$B$2150,"&lt;&gt;P")&gt;0,1,0)</f>
        <v>0</v>
      </c>
      <c r="F167">
        <f>IF(COUNTIFS('United Data'!$A$3:$A$2150,F$1,'United Data'!$C$3:$C$2150,$A167,'United Data'!$B$3:$B$2150,"&lt;&gt;P")&gt;0,1,0)</f>
        <v>0</v>
      </c>
      <c r="G167">
        <f>IF(COUNTIFS('United Data'!$A$3:$A$2150,G$1,'United Data'!$C$3:$C$2150,$A167,'United Data'!$B$3:$B$2150,"&lt;&gt;P")&gt;0,1,0)</f>
        <v>0</v>
      </c>
      <c r="H167">
        <f>IF(COUNTIFS('United Data'!$A$3:$A$2150,H$1,'United Data'!$C$3:$C$2150,$A167,'United Data'!$B$3:$B$2150,"&lt;&gt;P")&gt;0,1,0)</f>
        <v>0</v>
      </c>
      <c r="I167">
        <f>IF(COUNTIFS('United Data'!$A$3:$A$2150,I$1,'United Data'!$C$3:$C$2150,$A167,'United Data'!$B$3:$B$2150,"&lt;&gt;P")&gt;0,1,0)</f>
        <v>0</v>
      </c>
      <c r="J167">
        <f>IF(COUNTIFS('United Data'!$A$3:$A$2150,J$1,'United Data'!$C$3:$C$2150,$A167,'United Data'!$B$3:$B$2150,"&lt;&gt;P")&gt;0,1,0)</f>
        <v>0</v>
      </c>
      <c r="K167">
        <f>IF(COUNTIFS('United Data'!$A$3:$A$2150,K$1,'United Data'!$C$3:$C$2150,$A167,'United Data'!$B$3:$B$2150,"&lt;&gt;P")&gt;0,1,0)</f>
        <v>0</v>
      </c>
      <c r="L167">
        <f>IF(COUNTIFS('United Data'!$A$3:$A$2150,L$1,'United Data'!$C$3:$C$2150,$A167,'United Data'!$B$3:$B$2150,"&lt;&gt;P")&gt;0,1,0)</f>
        <v>0</v>
      </c>
      <c r="M167">
        <f>IF(COUNTIFS('United Data'!$A$3:$A$2150,M$1,'United Data'!$C$3:$C$2150,$A167,'United Data'!$B$3:$B$2150,"&lt;&gt;P")&gt;0,1,0)</f>
        <v>0</v>
      </c>
      <c r="N167">
        <f>IF(COUNTIFS('United Data'!$A$3:$A$2150,N$1,'United Data'!$C$3:$C$2150,$A167,'United Data'!$B$3:$B$2150,"&lt;&gt;P")&gt;0,1,0)</f>
        <v>0</v>
      </c>
      <c r="O167">
        <f>IF(COUNTIFS('United Data'!$A$3:$A$2150,O$1,'United Data'!$C$3:$C$2150,$A167,'United Data'!$B$3:$B$2150,"&lt;&gt;P")&gt;0,1,0)</f>
        <v>0</v>
      </c>
      <c r="P167">
        <f>IF(COUNTIFS('United Data'!$A$3:$A$2150,P$1,'United Data'!$C$3:$C$2150,$A167,'United Data'!$B$3:$B$2150,"&lt;&gt;P")&gt;0,1,0)</f>
        <v>0</v>
      </c>
      <c r="Q167">
        <f>IF(COUNTIFS('United Data'!$A$3:$A$2150,Q$1,'United Data'!$C$3:$C$2150,$A167,'United Data'!$B$3:$B$2150,"&lt;&gt;P")&gt;0,1,0)</f>
        <v>1</v>
      </c>
      <c r="R167">
        <f>IF(COUNTIFS('United Data'!$A$3:$A$2150,R$1,'United Data'!$C$3:$C$2150,$A167,'United Data'!$B$3:$B$2150,"&lt;&gt;P")&gt;0,1,0)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213</v>
      </c>
      <c r="B168">
        <f>IF(COUNTIFS('United Data'!$A$3:$A$2150,B$1,'United Data'!$C$3:$C$2150,$A168,'United Data'!$B$3:$B$2150,"&lt;&gt;P")&gt;0,1,0)</f>
        <v>0</v>
      </c>
      <c r="C168">
        <f>IF(COUNTIFS('United Data'!$A$3:$A$2150,C$1,'United Data'!$C$3:$C$2150,$A168,'United Data'!$B$3:$B$2150,"&lt;&gt;P")&gt;0,1,0)</f>
        <v>0</v>
      </c>
      <c r="D168">
        <f>IF(COUNTIFS('United Data'!$A$3:$A$2150,D$1,'United Data'!$C$3:$C$2150,$A168,'United Data'!$B$3:$B$2150,"&lt;&gt;P")&gt;0,1,0)</f>
        <v>0</v>
      </c>
      <c r="E168">
        <f>IF(COUNTIFS('United Data'!$A$3:$A$2150,E$1,'United Data'!$C$3:$C$2150,$A168,'United Data'!$B$3:$B$2150,"&lt;&gt;P")&gt;0,1,0)</f>
        <v>0</v>
      </c>
      <c r="F168">
        <f>IF(COUNTIFS('United Data'!$A$3:$A$2150,F$1,'United Data'!$C$3:$C$2150,$A168,'United Data'!$B$3:$B$2150,"&lt;&gt;P")&gt;0,1,0)</f>
        <v>0</v>
      </c>
      <c r="G168">
        <f>IF(COUNTIFS('United Data'!$A$3:$A$2150,G$1,'United Data'!$C$3:$C$2150,$A168,'United Data'!$B$3:$B$2150,"&lt;&gt;P")&gt;0,1,0)</f>
        <v>0</v>
      </c>
      <c r="H168">
        <f>IF(COUNTIFS('United Data'!$A$3:$A$2150,H$1,'United Data'!$C$3:$C$2150,$A168,'United Data'!$B$3:$B$2150,"&lt;&gt;P")&gt;0,1,0)</f>
        <v>0</v>
      </c>
      <c r="I168">
        <f>IF(COUNTIFS('United Data'!$A$3:$A$2150,I$1,'United Data'!$C$3:$C$2150,$A168,'United Data'!$B$3:$B$2150,"&lt;&gt;P")&gt;0,1,0)</f>
        <v>0</v>
      </c>
      <c r="J168">
        <f>IF(COUNTIFS('United Data'!$A$3:$A$2150,J$1,'United Data'!$C$3:$C$2150,$A168,'United Data'!$B$3:$B$2150,"&lt;&gt;P")&gt;0,1,0)</f>
        <v>0</v>
      </c>
      <c r="K168">
        <f>IF(COUNTIFS('United Data'!$A$3:$A$2150,K$1,'United Data'!$C$3:$C$2150,$A168,'United Data'!$B$3:$B$2150,"&lt;&gt;P")&gt;0,1,0)</f>
        <v>0</v>
      </c>
      <c r="L168">
        <f>IF(COUNTIFS('United Data'!$A$3:$A$2150,L$1,'United Data'!$C$3:$C$2150,$A168,'United Data'!$B$3:$B$2150,"&lt;&gt;P")&gt;0,1,0)</f>
        <v>0</v>
      </c>
      <c r="M168">
        <f>IF(COUNTIFS('United Data'!$A$3:$A$2150,M$1,'United Data'!$C$3:$C$2150,$A168,'United Data'!$B$3:$B$2150,"&lt;&gt;P")&gt;0,1,0)</f>
        <v>0</v>
      </c>
      <c r="N168">
        <f>IF(COUNTIFS('United Data'!$A$3:$A$2150,N$1,'United Data'!$C$3:$C$2150,$A168,'United Data'!$B$3:$B$2150,"&lt;&gt;P")&gt;0,1,0)</f>
        <v>0</v>
      </c>
      <c r="O168">
        <f>IF(COUNTIFS('United Data'!$A$3:$A$2150,O$1,'United Data'!$C$3:$C$2150,$A168,'United Data'!$B$3:$B$2150,"&lt;&gt;P")&gt;0,1,0)</f>
        <v>0</v>
      </c>
      <c r="P168">
        <f>IF(COUNTIFS('United Data'!$A$3:$A$2150,P$1,'United Data'!$C$3:$C$2150,$A168,'United Data'!$B$3:$B$2150,"&lt;&gt;P")&gt;0,1,0)</f>
        <v>0</v>
      </c>
      <c r="Q168">
        <f>IF(COUNTIFS('United Data'!$A$3:$A$2150,Q$1,'United Data'!$C$3:$C$2150,$A168,'United Data'!$B$3:$B$2150,"&lt;&gt;P")&gt;0,1,0)</f>
        <v>1</v>
      </c>
      <c r="R168">
        <f>IF(COUNTIFS('United Data'!$A$3:$A$2150,R$1,'United Data'!$C$3:$C$2150,$A168,'United Data'!$B$3:$B$2150,"&lt;&gt;P")&gt;0,1,0)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214</v>
      </c>
      <c r="B169">
        <f>IF(COUNTIFS('United Data'!$A$3:$A$2150,B$1,'United Data'!$C$3:$C$2150,$A169,'United Data'!$B$3:$B$2150,"&lt;&gt;P")&gt;0,1,0)</f>
        <v>0</v>
      </c>
      <c r="C169">
        <f>IF(COUNTIFS('United Data'!$A$3:$A$2150,C$1,'United Data'!$C$3:$C$2150,$A169,'United Data'!$B$3:$B$2150,"&lt;&gt;P")&gt;0,1,0)</f>
        <v>0</v>
      </c>
      <c r="D169">
        <f>IF(COUNTIFS('United Data'!$A$3:$A$2150,D$1,'United Data'!$C$3:$C$2150,$A169,'United Data'!$B$3:$B$2150,"&lt;&gt;P")&gt;0,1,0)</f>
        <v>0</v>
      </c>
      <c r="E169">
        <f>IF(COUNTIFS('United Data'!$A$3:$A$2150,E$1,'United Data'!$C$3:$C$2150,$A169,'United Data'!$B$3:$B$2150,"&lt;&gt;P")&gt;0,1,0)</f>
        <v>0</v>
      </c>
      <c r="F169">
        <f>IF(COUNTIFS('United Data'!$A$3:$A$2150,F$1,'United Data'!$C$3:$C$2150,$A169,'United Data'!$B$3:$B$2150,"&lt;&gt;P")&gt;0,1,0)</f>
        <v>0</v>
      </c>
      <c r="G169">
        <f>IF(COUNTIFS('United Data'!$A$3:$A$2150,G$1,'United Data'!$C$3:$C$2150,$A169,'United Data'!$B$3:$B$2150,"&lt;&gt;P")&gt;0,1,0)</f>
        <v>0</v>
      </c>
      <c r="H169">
        <f>IF(COUNTIFS('United Data'!$A$3:$A$2150,H$1,'United Data'!$C$3:$C$2150,$A169,'United Data'!$B$3:$B$2150,"&lt;&gt;P")&gt;0,1,0)</f>
        <v>0</v>
      </c>
      <c r="I169">
        <f>IF(COUNTIFS('United Data'!$A$3:$A$2150,I$1,'United Data'!$C$3:$C$2150,$A169,'United Data'!$B$3:$B$2150,"&lt;&gt;P")&gt;0,1,0)</f>
        <v>0</v>
      </c>
      <c r="J169">
        <f>IF(COUNTIFS('United Data'!$A$3:$A$2150,J$1,'United Data'!$C$3:$C$2150,$A169,'United Data'!$B$3:$B$2150,"&lt;&gt;P")&gt;0,1,0)</f>
        <v>0</v>
      </c>
      <c r="K169">
        <f>IF(COUNTIFS('United Data'!$A$3:$A$2150,K$1,'United Data'!$C$3:$C$2150,$A169,'United Data'!$B$3:$B$2150,"&lt;&gt;P")&gt;0,1,0)</f>
        <v>0</v>
      </c>
      <c r="L169">
        <f>IF(COUNTIFS('United Data'!$A$3:$A$2150,L$1,'United Data'!$C$3:$C$2150,$A169,'United Data'!$B$3:$B$2150,"&lt;&gt;P")&gt;0,1,0)</f>
        <v>0</v>
      </c>
      <c r="M169">
        <f>IF(COUNTIFS('United Data'!$A$3:$A$2150,M$1,'United Data'!$C$3:$C$2150,$A169,'United Data'!$B$3:$B$2150,"&lt;&gt;P")&gt;0,1,0)</f>
        <v>0</v>
      </c>
      <c r="N169">
        <f>IF(COUNTIFS('United Data'!$A$3:$A$2150,N$1,'United Data'!$C$3:$C$2150,$A169,'United Data'!$B$3:$B$2150,"&lt;&gt;P")&gt;0,1,0)</f>
        <v>0</v>
      </c>
      <c r="O169">
        <f>IF(COUNTIFS('United Data'!$A$3:$A$2150,O$1,'United Data'!$C$3:$C$2150,$A169,'United Data'!$B$3:$B$2150,"&lt;&gt;P")&gt;0,1,0)</f>
        <v>0</v>
      </c>
      <c r="P169">
        <f>IF(COUNTIFS('United Data'!$A$3:$A$2150,P$1,'United Data'!$C$3:$C$2150,$A169,'United Data'!$B$3:$B$2150,"&lt;&gt;P")&gt;0,1,0)</f>
        <v>0</v>
      </c>
      <c r="Q169">
        <f>IF(COUNTIFS('United Data'!$A$3:$A$2150,Q$1,'United Data'!$C$3:$C$2150,$A169,'United Data'!$B$3:$B$2150,"&lt;&gt;P")&gt;0,1,0)</f>
        <v>1</v>
      </c>
      <c r="R169">
        <f>IF(COUNTIFS('United Data'!$A$3:$A$2150,R$1,'United Data'!$C$3:$C$2150,$A169,'United Data'!$B$3:$B$2150,"&lt;&gt;P")&gt;0,1,0)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215</v>
      </c>
      <c r="B170">
        <f>IF(COUNTIFS('United Data'!$A$3:$A$2150,B$1,'United Data'!$C$3:$C$2150,$A170,'United Data'!$B$3:$B$2150,"&lt;&gt;P")&gt;0,1,0)</f>
        <v>1</v>
      </c>
      <c r="C170">
        <f>IF(COUNTIFS('United Data'!$A$3:$A$2150,C$1,'United Data'!$C$3:$C$2150,$A170,'United Data'!$B$3:$B$2150,"&lt;&gt;P")&gt;0,1,0)</f>
        <v>1</v>
      </c>
      <c r="D170">
        <f>IF(COUNTIFS('United Data'!$A$3:$A$2150,D$1,'United Data'!$C$3:$C$2150,$A170,'United Data'!$B$3:$B$2150,"&lt;&gt;P")&gt;0,1,0)</f>
        <v>0</v>
      </c>
      <c r="E170">
        <f>IF(COUNTIFS('United Data'!$A$3:$A$2150,E$1,'United Data'!$C$3:$C$2150,$A170,'United Data'!$B$3:$B$2150,"&lt;&gt;P")&gt;0,1,0)</f>
        <v>0</v>
      </c>
      <c r="F170">
        <f>IF(COUNTIFS('United Data'!$A$3:$A$2150,F$1,'United Data'!$C$3:$C$2150,$A170,'United Data'!$B$3:$B$2150,"&lt;&gt;P")&gt;0,1,0)</f>
        <v>0</v>
      </c>
      <c r="G170">
        <f>IF(COUNTIFS('United Data'!$A$3:$A$2150,G$1,'United Data'!$C$3:$C$2150,$A170,'United Data'!$B$3:$B$2150,"&lt;&gt;P")&gt;0,1,0)</f>
        <v>0</v>
      </c>
      <c r="H170">
        <f>IF(COUNTIFS('United Data'!$A$3:$A$2150,H$1,'United Data'!$C$3:$C$2150,$A170,'United Data'!$B$3:$B$2150,"&lt;&gt;P")&gt;0,1,0)</f>
        <v>0</v>
      </c>
      <c r="I170">
        <f>IF(COUNTIFS('United Data'!$A$3:$A$2150,I$1,'United Data'!$C$3:$C$2150,$A170,'United Data'!$B$3:$B$2150,"&lt;&gt;P")&gt;0,1,0)</f>
        <v>0</v>
      </c>
      <c r="J170">
        <f>IF(COUNTIFS('United Data'!$A$3:$A$2150,J$1,'United Data'!$C$3:$C$2150,$A170,'United Data'!$B$3:$B$2150,"&lt;&gt;P")&gt;0,1,0)</f>
        <v>0</v>
      </c>
      <c r="K170">
        <f>IF(COUNTIFS('United Data'!$A$3:$A$2150,K$1,'United Data'!$C$3:$C$2150,$A170,'United Data'!$B$3:$B$2150,"&lt;&gt;P")&gt;0,1,0)</f>
        <v>0</v>
      </c>
      <c r="L170">
        <f>IF(COUNTIFS('United Data'!$A$3:$A$2150,L$1,'United Data'!$C$3:$C$2150,$A170,'United Data'!$B$3:$B$2150,"&lt;&gt;P")&gt;0,1,0)</f>
        <v>0</v>
      </c>
      <c r="M170">
        <f>IF(COUNTIFS('United Data'!$A$3:$A$2150,M$1,'United Data'!$C$3:$C$2150,$A170,'United Data'!$B$3:$B$2150,"&lt;&gt;P")&gt;0,1,0)</f>
        <v>0</v>
      </c>
      <c r="N170">
        <f>IF(COUNTIFS('United Data'!$A$3:$A$2150,N$1,'United Data'!$C$3:$C$2150,$A170,'United Data'!$B$3:$B$2150,"&lt;&gt;P")&gt;0,1,0)</f>
        <v>0</v>
      </c>
      <c r="O170">
        <f>IF(COUNTIFS('United Data'!$A$3:$A$2150,O$1,'United Data'!$C$3:$C$2150,$A170,'United Data'!$B$3:$B$2150,"&lt;&gt;P")&gt;0,1,0)</f>
        <v>1</v>
      </c>
      <c r="P170">
        <f>IF(COUNTIFS('United Data'!$A$3:$A$2150,P$1,'United Data'!$C$3:$C$2150,$A170,'United Data'!$B$3:$B$2150,"&lt;&gt;P")&gt;0,1,0)</f>
        <v>1</v>
      </c>
      <c r="Q170">
        <f>IF(COUNTIFS('United Data'!$A$3:$A$2150,Q$1,'United Data'!$C$3:$C$2150,$A170,'United Data'!$B$3:$B$2150,"&lt;&gt;P")&gt;0,1,0)</f>
        <v>1</v>
      </c>
      <c r="R170">
        <f>IF(COUNTIFS('United Data'!$A$3:$A$2150,R$1,'United Data'!$C$3:$C$2150,$A170,'United Data'!$B$3:$B$2150,"&lt;&gt;P")&gt;0,1,0)</f>
        <v>0</v>
      </c>
      <c r="S170">
        <f t="shared" si="4"/>
        <v>5</v>
      </c>
      <c r="T170">
        <f t="shared" si="5"/>
        <v>2</v>
      </c>
    </row>
    <row r="171" spans="1:20" x14ac:dyDescent="0.2">
      <c r="A171" t="s">
        <v>216</v>
      </c>
      <c r="B171">
        <f>IF(COUNTIFS('United Data'!$A$3:$A$2150,B$1,'United Data'!$C$3:$C$2150,$A171,'United Data'!$B$3:$B$2150,"&lt;&gt;P")&gt;0,1,0)</f>
        <v>1</v>
      </c>
      <c r="C171">
        <f>IF(COUNTIFS('United Data'!$A$3:$A$2150,C$1,'United Data'!$C$3:$C$2150,$A171,'United Data'!$B$3:$B$2150,"&lt;&gt;P")&gt;0,1,0)</f>
        <v>1</v>
      </c>
      <c r="D171">
        <f>IF(COUNTIFS('United Data'!$A$3:$A$2150,D$1,'United Data'!$C$3:$C$2150,$A171,'United Data'!$B$3:$B$2150,"&lt;&gt;P")&gt;0,1,0)</f>
        <v>1</v>
      </c>
      <c r="E171">
        <f>IF(COUNTIFS('United Data'!$A$3:$A$2150,E$1,'United Data'!$C$3:$C$2150,$A171,'United Data'!$B$3:$B$2150,"&lt;&gt;P")&gt;0,1,0)</f>
        <v>1</v>
      </c>
      <c r="F171">
        <f>IF(COUNTIFS('United Data'!$A$3:$A$2150,F$1,'United Data'!$C$3:$C$2150,$A171,'United Data'!$B$3:$B$2150,"&lt;&gt;P")&gt;0,1,0)</f>
        <v>0</v>
      </c>
      <c r="G171">
        <f>IF(COUNTIFS('United Data'!$A$3:$A$2150,G$1,'United Data'!$C$3:$C$2150,$A171,'United Data'!$B$3:$B$2150,"&lt;&gt;P")&gt;0,1,0)</f>
        <v>0</v>
      </c>
      <c r="H171">
        <f>IF(COUNTIFS('United Data'!$A$3:$A$2150,H$1,'United Data'!$C$3:$C$2150,$A171,'United Data'!$B$3:$B$2150,"&lt;&gt;P")&gt;0,1,0)</f>
        <v>1</v>
      </c>
      <c r="I171">
        <f>IF(COUNTIFS('United Data'!$A$3:$A$2150,I$1,'United Data'!$C$3:$C$2150,$A171,'United Data'!$B$3:$B$2150,"&lt;&gt;P")&gt;0,1,0)</f>
        <v>0</v>
      </c>
      <c r="J171">
        <f>IF(COUNTIFS('United Data'!$A$3:$A$2150,J$1,'United Data'!$C$3:$C$2150,$A171,'United Data'!$B$3:$B$2150,"&lt;&gt;P")&gt;0,1,0)</f>
        <v>1</v>
      </c>
      <c r="K171">
        <f>IF(COUNTIFS('United Data'!$A$3:$A$2150,K$1,'United Data'!$C$3:$C$2150,$A171,'United Data'!$B$3:$B$2150,"&lt;&gt;P")&gt;0,1,0)</f>
        <v>1</v>
      </c>
      <c r="L171">
        <f>IF(COUNTIFS('United Data'!$A$3:$A$2150,L$1,'United Data'!$C$3:$C$2150,$A171,'United Data'!$B$3:$B$2150,"&lt;&gt;P")&gt;0,1,0)</f>
        <v>1</v>
      </c>
      <c r="M171">
        <f>IF(COUNTIFS('United Data'!$A$3:$A$2150,M$1,'United Data'!$C$3:$C$2150,$A171,'United Data'!$B$3:$B$2150,"&lt;&gt;P")&gt;0,1,0)</f>
        <v>1</v>
      </c>
      <c r="N171">
        <f>IF(COUNTIFS('United Data'!$A$3:$A$2150,N$1,'United Data'!$C$3:$C$2150,$A171,'United Data'!$B$3:$B$2150,"&lt;&gt;P")&gt;0,1,0)</f>
        <v>0</v>
      </c>
      <c r="O171">
        <f>IF(COUNTIFS('United Data'!$A$3:$A$2150,O$1,'United Data'!$C$3:$C$2150,$A171,'United Data'!$B$3:$B$2150,"&lt;&gt;P")&gt;0,1,0)</f>
        <v>0</v>
      </c>
      <c r="P171">
        <f>IF(COUNTIFS('United Data'!$A$3:$A$2150,P$1,'United Data'!$C$3:$C$2150,$A171,'United Data'!$B$3:$B$2150,"&lt;&gt;P")&gt;0,1,0)</f>
        <v>0</v>
      </c>
      <c r="Q171">
        <f>IF(COUNTIFS('United Data'!$A$3:$A$2150,Q$1,'United Data'!$C$3:$C$2150,$A171,'United Data'!$B$3:$B$2150,"&lt;&gt;P")&gt;0,1,0)</f>
        <v>0</v>
      </c>
      <c r="R171">
        <f>IF(COUNTIFS('United Data'!$A$3:$A$2150,R$1,'United Data'!$C$3:$C$2150,$A171,'United Data'!$B$3:$B$2150,"&lt;&gt;P")&gt;0,1,0)</f>
        <v>0</v>
      </c>
      <c r="S171">
        <f t="shared" si="4"/>
        <v>9</v>
      </c>
      <c r="T171">
        <f t="shared" si="5"/>
        <v>3</v>
      </c>
    </row>
    <row r="172" spans="1:20" x14ac:dyDescent="0.2">
      <c r="A172" t="s">
        <v>217</v>
      </c>
      <c r="B172">
        <f>IF(COUNTIFS('United Data'!$A$3:$A$2150,B$1,'United Data'!$C$3:$C$2150,$A172,'United Data'!$B$3:$B$2150,"&lt;&gt;P")&gt;0,1,0)</f>
        <v>1</v>
      </c>
      <c r="C172">
        <f>IF(COUNTIFS('United Data'!$A$3:$A$2150,C$1,'United Data'!$C$3:$C$2150,$A172,'United Data'!$B$3:$B$2150,"&lt;&gt;P")&gt;0,1,0)</f>
        <v>0</v>
      </c>
      <c r="D172">
        <f>IF(COUNTIFS('United Data'!$A$3:$A$2150,D$1,'United Data'!$C$3:$C$2150,$A172,'United Data'!$B$3:$B$2150,"&lt;&gt;P")&gt;0,1,0)</f>
        <v>0</v>
      </c>
      <c r="E172">
        <f>IF(COUNTIFS('United Data'!$A$3:$A$2150,E$1,'United Data'!$C$3:$C$2150,$A172,'United Data'!$B$3:$B$2150,"&lt;&gt;P")&gt;0,1,0)</f>
        <v>0</v>
      </c>
      <c r="F172">
        <f>IF(COUNTIFS('United Data'!$A$3:$A$2150,F$1,'United Data'!$C$3:$C$2150,$A172,'United Data'!$B$3:$B$2150,"&lt;&gt;P")&gt;0,1,0)</f>
        <v>0</v>
      </c>
      <c r="G172">
        <f>IF(COUNTIFS('United Data'!$A$3:$A$2150,G$1,'United Data'!$C$3:$C$2150,$A172,'United Data'!$B$3:$B$2150,"&lt;&gt;P")&gt;0,1,0)</f>
        <v>0</v>
      </c>
      <c r="H172">
        <f>IF(COUNTIFS('United Data'!$A$3:$A$2150,H$1,'United Data'!$C$3:$C$2150,$A172,'United Data'!$B$3:$B$2150,"&lt;&gt;P")&gt;0,1,0)</f>
        <v>1</v>
      </c>
      <c r="I172">
        <f>IF(COUNTIFS('United Data'!$A$3:$A$2150,I$1,'United Data'!$C$3:$C$2150,$A172,'United Data'!$B$3:$B$2150,"&lt;&gt;P")&gt;0,1,0)</f>
        <v>0</v>
      </c>
      <c r="J172">
        <f>IF(COUNTIFS('United Data'!$A$3:$A$2150,J$1,'United Data'!$C$3:$C$2150,$A172,'United Data'!$B$3:$B$2150,"&lt;&gt;P")&gt;0,1,0)</f>
        <v>0</v>
      </c>
      <c r="K172">
        <f>IF(COUNTIFS('United Data'!$A$3:$A$2150,K$1,'United Data'!$C$3:$C$2150,$A172,'United Data'!$B$3:$B$2150,"&lt;&gt;P")&gt;0,1,0)</f>
        <v>0</v>
      </c>
      <c r="L172">
        <f>IF(COUNTIFS('United Data'!$A$3:$A$2150,L$1,'United Data'!$C$3:$C$2150,$A172,'United Data'!$B$3:$B$2150,"&lt;&gt;P")&gt;0,1,0)</f>
        <v>0</v>
      </c>
      <c r="M172">
        <f>IF(COUNTIFS('United Data'!$A$3:$A$2150,M$1,'United Data'!$C$3:$C$2150,$A172,'United Data'!$B$3:$B$2150,"&lt;&gt;P")&gt;0,1,0)</f>
        <v>0</v>
      </c>
      <c r="N172">
        <f>IF(COUNTIFS('United Data'!$A$3:$A$2150,N$1,'United Data'!$C$3:$C$2150,$A172,'United Data'!$B$3:$B$2150,"&lt;&gt;P")&gt;0,1,0)</f>
        <v>0</v>
      </c>
      <c r="O172">
        <f>IF(COUNTIFS('United Data'!$A$3:$A$2150,O$1,'United Data'!$C$3:$C$2150,$A172,'United Data'!$B$3:$B$2150,"&lt;&gt;P")&gt;0,1,0)</f>
        <v>1</v>
      </c>
      <c r="P172">
        <f>IF(COUNTIFS('United Data'!$A$3:$A$2150,P$1,'United Data'!$C$3:$C$2150,$A172,'United Data'!$B$3:$B$2150,"&lt;&gt;P")&gt;0,1,0)</f>
        <v>1</v>
      </c>
      <c r="Q172">
        <f>IF(COUNTIFS('United Data'!$A$3:$A$2150,Q$1,'United Data'!$C$3:$C$2150,$A172,'United Data'!$B$3:$B$2150,"&lt;&gt;P")&gt;0,1,0)</f>
        <v>1</v>
      </c>
      <c r="R172">
        <f>IF(COUNTIFS('United Data'!$A$3:$A$2150,R$1,'United Data'!$C$3:$C$2150,$A172,'United Data'!$B$3:$B$2150,"&lt;&gt;P")&gt;0,1,0)</f>
        <v>0</v>
      </c>
      <c r="S172">
        <f t="shared" si="4"/>
        <v>5</v>
      </c>
      <c r="T172">
        <f t="shared" si="5"/>
        <v>3</v>
      </c>
    </row>
    <row r="173" spans="1:20" x14ac:dyDescent="0.2">
      <c r="A173" t="s">
        <v>218</v>
      </c>
      <c r="B173">
        <f>IF(COUNTIFS('United Data'!$A$3:$A$2150,B$1,'United Data'!$C$3:$C$2150,$A173,'United Data'!$B$3:$B$2150,"&lt;&gt;P")&gt;0,1,0)</f>
        <v>1</v>
      </c>
      <c r="C173">
        <f>IF(COUNTIFS('United Data'!$A$3:$A$2150,C$1,'United Data'!$C$3:$C$2150,$A173,'United Data'!$B$3:$B$2150,"&lt;&gt;P")&gt;0,1,0)</f>
        <v>1</v>
      </c>
      <c r="D173">
        <f>IF(COUNTIFS('United Data'!$A$3:$A$2150,D$1,'United Data'!$C$3:$C$2150,$A173,'United Data'!$B$3:$B$2150,"&lt;&gt;P")&gt;0,1,0)</f>
        <v>0</v>
      </c>
      <c r="E173">
        <f>IF(COUNTIFS('United Data'!$A$3:$A$2150,E$1,'United Data'!$C$3:$C$2150,$A173,'United Data'!$B$3:$B$2150,"&lt;&gt;P")&gt;0,1,0)</f>
        <v>0</v>
      </c>
      <c r="F173">
        <f>IF(COUNTIFS('United Data'!$A$3:$A$2150,F$1,'United Data'!$C$3:$C$2150,$A173,'United Data'!$B$3:$B$2150,"&lt;&gt;P")&gt;0,1,0)</f>
        <v>0</v>
      </c>
      <c r="G173">
        <f>IF(COUNTIFS('United Data'!$A$3:$A$2150,G$1,'United Data'!$C$3:$C$2150,$A173,'United Data'!$B$3:$B$2150,"&lt;&gt;P")&gt;0,1,0)</f>
        <v>0</v>
      </c>
      <c r="H173">
        <f>IF(COUNTIFS('United Data'!$A$3:$A$2150,H$1,'United Data'!$C$3:$C$2150,$A173,'United Data'!$B$3:$B$2150,"&lt;&gt;P")&gt;0,1,0)</f>
        <v>0</v>
      </c>
      <c r="I173">
        <f>IF(COUNTIFS('United Data'!$A$3:$A$2150,I$1,'United Data'!$C$3:$C$2150,$A173,'United Data'!$B$3:$B$2150,"&lt;&gt;P")&gt;0,1,0)</f>
        <v>0</v>
      </c>
      <c r="J173">
        <f>IF(COUNTIFS('United Data'!$A$3:$A$2150,J$1,'United Data'!$C$3:$C$2150,$A173,'United Data'!$B$3:$B$2150,"&lt;&gt;P")&gt;0,1,0)</f>
        <v>0</v>
      </c>
      <c r="K173">
        <f>IF(COUNTIFS('United Data'!$A$3:$A$2150,K$1,'United Data'!$C$3:$C$2150,$A173,'United Data'!$B$3:$B$2150,"&lt;&gt;P")&gt;0,1,0)</f>
        <v>0</v>
      </c>
      <c r="L173">
        <f>IF(COUNTIFS('United Data'!$A$3:$A$2150,L$1,'United Data'!$C$3:$C$2150,$A173,'United Data'!$B$3:$B$2150,"&lt;&gt;P")&gt;0,1,0)</f>
        <v>0</v>
      </c>
      <c r="M173">
        <f>IF(COUNTIFS('United Data'!$A$3:$A$2150,M$1,'United Data'!$C$3:$C$2150,$A173,'United Data'!$B$3:$B$2150,"&lt;&gt;P")&gt;0,1,0)</f>
        <v>0</v>
      </c>
      <c r="N173">
        <f>IF(COUNTIFS('United Data'!$A$3:$A$2150,N$1,'United Data'!$C$3:$C$2150,$A173,'United Data'!$B$3:$B$2150,"&lt;&gt;P")&gt;0,1,0)</f>
        <v>1</v>
      </c>
      <c r="O173">
        <f>IF(COUNTIFS('United Data'!$A$3:$A$2150,O$1,'United Data'!$C$3:$C$2150,$A173,'United Data'!$B$3:$B$2150,"&lt;&gt;P")&gt;0,1,0)</f>
        <v>1</v>
      </c>
      <c r="P173">
        <f>IF(COUNTIFS('United Data'!$A$3:$A$2150,P$1,'United Data'!$C$3:$C$2150,$A173,'United Data'!$B$3:$B$2150,"&lt;&gt;P")&gt;0,1,0)</f>
        <v>1</v>
      </c>
      <c r="Q173">
        <f>IF(COUNTIFS('United Data'!$A$3:$A$2150,Q$1,'United Data'!$C$3:$C$2150,$A173,'United Data'!$B$3:$B$2150,"&lt;&gt;P")&gt;0,1,0)</f>
        <v>1</v>
      </c>
      <c r="R173">
        <f>IF(COUNTIFS('United Data'!$A$3:$A$2150,R$1,'United Data'!$C$3:$C$2150,$A173,'United Data'!$B$3:$B$2150,"&lt;&gt;P")&gt;0,1,0)</f>
        <v>0</v>
      </c>
      <c r="S173">
        <f t="shared" si="4"/>
        <v>6</v>
      </c>
      <c r="T173">
        <f t="shared" si="5"/>
        <v>2</v>
      </c>
    </row>
    <row r="174" spans="1:20" x14ac:dyDescent="0.2">
      <c r="A174" t="s">
        <v>219</v>
      </c>
      <c r="B174">
        <f>IF(COUNTIFS('United Data'!$A$3:$A$2150,B$1,'United Data'!$C$3:$C$2150,$A174,'United Data'!$B$3:$B$2150,"&lt;&gt;P")&gt;0,1,0)</f>
        <v>0</v>
      </c>
      <c r="C174">
        <f>IF(COUNTIFS('United Data'!$A$3:$A$2150,C$1,'United Data'!$C$3:$C$2150,$A174,'United Data'!$B$3:$B$2150,"&lt;&gt;P")&gt;0,1,0)</f>
        <v>0</v>
      </c>
      <c r="D174">
        <f>IF(COUNTIFS('United Data'!$A$3:$A$2150,D$1,'United Data'!$C$3:$C$2150,$A174,'United Data'!$B$3:$B$2150,"&lt;&gt;P")&gt;0,1,0)</f>
        <v>1</v>
      </c>
      <c r="E174">
        <f>IF(COUNTIFS('United Data'!$A$3:$A$2150,E$1,'United Data'!$C$3:$C$2150,$A174,'United Data'!$B$3:$B$2150,"&lt;&gt;P")&gt;0,1,0)</f>
        <v>0</v>
      </c>
      <c r="F174">
        <f>IF(COUNTIFS('United Data'!$A$3:$A$2150,F$1,'United Data'!$C$3:$C$2150,$A174,'United Data'!$B$3:$B$2150,"&lt;&gt;P")&gt;0,1,0)</f>
        <v>0</v>
      </c>
      <c r="G174">
        <f>IF(COUNTIFS('United Data'!$A$3:$A$2150,G$1,'United Data'!$C$3:$C$2150,$A174,'United Data'!$B$3:$B$2150,"&lt;&gt;P")&gt;0,1,0)</f>
        <v>0</v>
      </c>
      <c r="H174">
        <f>IF(COUNTIFS('United Data'!$A$3:$A$2150,H$1,'United Data'!$C$3:$C$2150,$A174,'United Data'!$B$3:$B$2150,"&lt;&gt;P")&gt;0,1,0)</f>
        <v>0</v>
      </c>
      <c r="I174">
        <f>IF(COUNTIFS('United Data'!$A$3:$A$2150,I$1,'United Data'!$C$3:$C$2150,$A174,'United Data'!$B$3:$B$2150,"&lt;&gt;P")&gt;0,1,0)</f>
        <v>0</v>
      </c>
      <c r="J174">
        <f>IF(COUNTIFS('United Data'!$A$3:$A$2150,J$1,'United Data'!$C$3:$C$2150,$A174,'United Data'!$B$3:$B$2150,"&lt;&gt;P")&gt;0,1,0)</f>
        <v>0</v>
      </c>
      <c r="K174">
        <f>IF(COUNTIFS('United Data'!$A$3:$A$2150,K$1,'United Data'!$C$3:$C$2150,$A174,'United Data'!$B$3:$B$2150,"&lt;&gt;P")&gt;0,1,0)</f>
        <v>0</v>
      </c>
      <c r="L174">
        <f>IF(COUNTIFS('United Data'!$A$3:$A$2150,L$1,'United Data'!$C$3:$C$2150,$A174,'United Data'!$B$3:$B$2150,"&lt;&gt;P")&gt;0,1,0)</f>
        <v>0</v>
      </c>
      <c r="M174">
        <f>IF(COUNTIFS('United Data'!$A$3:$A$2150,M$1,'United Data'!$C$3:$C$2150,$A174,'United Data'!$B$3:$B$2150,"&lt;&gt;P")&gt;0,1,0)</f>
        <v>0</v>
      </c>
      <c r="N174">
        <f>IF(COUNTIFS('United Data'!$A$3:$A$2150,N$1,'United Data'!$C$3:$C$2150,$A174,'United Data'!$B$3:$B$2150,"&lt;&gt;P")&gt;0,1,0)</f>
        <v>0</v>
      </c>
      <c r="O174">
        <f>IF(COUNTIFS('United Data'!$A$3:$A$2150,O$1,'United Data'!$C$3:$C$2150,$A174,'United Data'!$B$3:$B$2150,"&lt;&gt;P")&gt;0,1,0)</f>
        <v>0</v>
      </c>
      <c r="P174">
        <f>IF(COUNTIFS('United Data'!$A$3:$A$2150,P$1,'United Data'!$C$3:$C$2150,$A174,'United Data'!$B$3:$B$2150,"&lt;&gt;P")&gt;0,1,0)</f>
        <v>0</v>
      </c>
      <c r="Q174">
        <f>IF(COUNTIFS('United Data'!$A$3:$A$2150,Q$1,'United Data'!$C$3:$C$2150,$A174,'United Data'!$B$3:$B$2150,"&lt;&gt;P")&gt;0,1,0)</f>
        <v>0</v>
      </c>
      <c r="R174">
        <f>IF(COUNTIFS('United Data'!$A$3:$A$2150,R$1,'United Data'!$C$3:$C$2150,$A174,'United Data'!$B$3:$B$2150,"&lt;&gt;P")&gt;0,1,0)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220</v>
      </c>
      <c r="B175">
        <f>IF(COUNTIFS('United Data'!$A$3:$A$2150,B$1,'United Data'!$C$3:$C$2150,$A175,'United Data'!$B$3:$B$2150,"&lt;&gt;P")&gt;0,1,0)</f>
        <v>0</v>
      </c>
      <c r="C175">
        <f>IF(COUNTIFS('United Data'!$A$3:$A$2150,C$1,'United Data'!$C$3:$C$2150,$A175,'United Data'!$B$3:$B$2150,"&lt;&gt;P")&gt;0,1,0)</f>
        <v>0</v>
      </c>
      <c r="D175">
        <f>IF(COUNTIFS('United Data'!$A$3:$A$2150,D$1,'United Data'!$C$3:$C$2150,$A175,'United Data'!$B$3:$B$2150,"&lt;&gt;P")&gt;0,1,0)</f>
        <v>1</v>
      </c>
      <c r="E175">
        <f>IF(COUNTIFS('United Data'!$A$3:$A$2150,E$1,'United Data'!$C$3:$C$2150,$A175,'United Data'!$B$3:$B$2150,"&lt;&gt;P")&gt;0,1,0)</f>
        <v>0</v>
      </c>
      <c r="F175">
        <f>IF(COUNTIFS('United Data'!$A$3:$A$2150,F$1,'United Data'!$C$3:$C$2150,$A175,'United Data'!$B$3:$B$2150,"&lt;&gt;P")&gt;0,1,0)</f>
        <v>0</v>
      </c>
      <c r="G175">
        <f>IF(COUNTIFS('United Data'!$A$3:$A$2150,G$1,'United Data'!$C$3:$C$2150,$A175,'United Data'!$B$3:$B$2150,"&lt;&gt;P")&gt;0,1,0)</f>
        <v>0</v>
      </c>
      <c r="H175">
        <f>IF(COUNTIFS('United Data'!$A$3:$A$2150,H$1,'United Data'!$C$3:$C$2150,$A175,'United Data'!$B$3:$B$2150,"&lt;&gt;P")&gt;0,1,0)</f>
        <v>0</v>
      </c>
      <c r="I175">
        <f>IF(COUNTIFS('United Data'!$A$3:$A$2150,I$1,'United Data'!$C$3:$C$2150,$A175,'United Data'!$B$3:$B$2150,"&lt;&gt;P")&gt;0,1,0)</f>
        <v>0</v>
      </c>
      <c r="J175">
        <f>IF(COUNTIFS('United Data'!$A$3:$A$2150,J$1,'United Data'!$C$3:$C$2150,$A175,'United Data'!$B$3:$B$2150,"&lt;&gt;P")&gt;0,1,0)</f>
        <v>0</v>
      </c>
      <c r="K175">
        <f>IF(COUNTIFS('United Data'!$A$3:$A$2150,K$1,'United Data'!$C$3:$C$2150,$A175,'United Data'!$B$3:$B$2150,"&lt;&gt;P")&gt;0,1,0)</f>
        <v>0</v>
      </c>
      <c r="L175">
        <f>IF(COUNTIFS('United Data'!$A$3:$A$2150,L$1,'United Data'!$C$3:$C$2150,$A175,'United Data'!$B$3:$B$2150,"&lt;&gt;P")&gt;0,1,0)</f>
        <v>0</v>
      </c>
      <c r="M175">
        <f>IF(COUNTIFS('United Data'!$A$3:$A$2150,M$1,'United Data'!$C$3:$C$2150,$A175,'United Data'!$B$3:$B$2150,"&lt;&gt;P")&gt;0,1,0)</f>
        <v>0</v>
      </c>
      <c r="N175">
        <f>IF(COUNTIFS('United Data'!$A$3:$A$2150,N$1,'United Data'!$C$3:$C$2150,$A175,'United Data'!$B$3:$B$2150,"&lt;&gt;P")&gt;0,1,0)</f>
        <v>0</v>
      </c>
      <c r="O175">
        <f>IF(COUNTIFS('United Data'!$A$3:$A$2150,O$1,'United Data'!$C$3:$C$2150,$A175,'United Data'!$B$3:$B$2150,"&lt;&gt;P")&gt;0,1,0)</f>
        <v>0</v>
      </c>
      <c r="P175">
        <f>IF(COUNTIFS('United Data'!$A$3:$A$2150,P$1,'United Data'!$C$3:$C$2150,$A175,'United Data'!$B$3:$B$2150,"&lt;&gt;P")&gt;0,1,0)</f>
        <v>0</v>
      </c>
      <c r="Q175">
        <f>IF(COUNTIFS('United Data'!$A$3:$A$2150,Q$1,'United Data'!$C$3:$C$2150,$A175,'United Data'!$B$3:$B$2150,"&lt;&gt;P")&gt;0,1,0)</f>
        <v>0</v>
      </c>
      <c r="R175">
        <f>IF(COUNTIFS('United Data'!$A$3:$A$2150,R$1,'United Data'!$C$3:$C$2150,$A175,'United Data'!$B$3:$B$2150,"&lt;&gt;P")&gt;0,1,0)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221</v>
      </c>
      <c r="B176">
        <f>IF(COUNTIFS('United Data'!$A$3:$A$2150,B$1,'United Data'!$C$3:$C$2150,$A176,'United Data'!$B$3:$B$2150,"&lt;&gt;P")&gt;0,1,0)</f>
        <v>0</v>
      </c>
      <c r="C176">
        <f>IF(COUNTIFS('United Data'!$A$3:$A$2150,C$1,'United Data'!$C$3:$C$2150,$A176,'United Data'!$B$3:$B$2150,"&lt;&gt;P")&gt;0,1,0)</f>
        <v>0</v>
      </c>
      <c r="D176">
        <f>IF(COUNTIFS('United Data'!$A$3:$A$2150,D$1,'United Data'!$C$3:$C$2150,$A176,'United Data'!$B$3:$B$2150,"&lt;&gt;P")&gt;0,1,0)</f>
        <v>1</v>
      </c>
      <c r="E176">
        <f>IF(COUNTIFS('United Data'!$A$3:$A$2150,E$1,'United Data'!$C$3:$C$2150,$A176,'United Data'!$B$3:$B$2150,"&lt;&gt;P")&gt;0,1,0)</f>
        <v>1</v>
      </c>
      <c r="F176">
        <f>IF(COUNTIFS('United Data'!$A$3:$A$2150,F$1,'United Data'!$C$3:$C$2150,$A176,'United Data'!$B$3:$B$2150,"&lt;&gt;P")&gt;0,1,0)</f>
        <v>1</v>
      </c>
      <c r="G176">
        <f>IF(COUNTIFS('United Data'!$A$3:$A$2150,G$1,'United Data'!$C$3:$C$2150,$A176,'United Data'!$B$3:$B$2150,"&lt;&gt;P")&gt;0,1,0)</f>
        <v>1</v>
      </c>
      <c r="H176">
        <f>IF(COUNTIFS('United Data'!$A$3:$A$2150,H$1,'United Data'!$C$3:$C$2150,$A176,'United Data'!$B$3:$B$2150,"&lt;&gt;P")&gt;0,1,0)</f>
        <v>1</v>
      </c>
      <c r="I176">
        <f>IF(COUNTIFS('United Data'!$A$3:$A$2150,I$1,'United Data'!$C$3:$C$2150,$A176,'United Data'!$B$3:$B$2150,"&lt;&gt;P")&gt;0,1,0)</f>
        <v>1</v>
      </c>
      <c r="J176">
        <f>IF(COUNTIFS('United Data'!$A$3:$A$2150,J$1,'United Data'!$C$3:$C$2150,$A176,'United Data'!$B$3:$B$2150,"&lt;&gt;P")&gt;0,1,0)</f>
        <v>1</v>
      </c>
      <c r="K176">
        <f>IF(COUNTIFS('United Data'!$A$3:$A$2150,K$1,'United Data'!$C$3:$C$2150,$A176,'United Data'!$B$3:$B$2150,"&lt;&gt;P")&gt;0,1,0)</f>
        <v>0</v>
      </c>
      <c r="L176">
        <f>IF(COUNTIFS('United Data'!$A$3:$A$2150,L$1,'United Data'!$C$3:$C$2150,$A176,'United Data'!$B$3:$B$2150,"&lt;&gt;P")&gt;0,1,0)</f>
        <v>0</v>
      </c>
      <c r="M176">
        <f>IF(COUNTIFS('United Data'!$A$3:$A$2150,M$1,'United Data'!$C$3:$C$2150,$A176,'United Data'!$B$3:$B$2150,"&lt;&gt;P")&gt;0,1,0)</f>
        <v>0</v>
      </c>
      <c r="N176">
        <f>IF(COUNTIFS('United Data'!$A$3:$A$2150,N$1,'United Data'!$C$3:$C$2150,$A176,'United Data'!$B$3:$B$2150,"&lt;&gt;P")&gt;0,1,0)</f>
        <v>0</v>
      </c>
      <c r="O176">
        <f>IF(COUNTIFS('United Data'!$A$3:$A$2150,O$1,'United Data'!$C$3:$C$2150,$A176,'United Data'!$B$3:$B$2150,"&lt;&gt;P")&gt;0,1,0)</f>
        <v>0</v>
      </c>
      <c r="P176">
        <f>IF(COUNTIFS('United Data'!$A$3:$A$2150,P$1,'United Data'!$C$3:$C$2150,$A176,'United Data'!$B$3:$B$2150,"&lt;&gt;P")&gt;0,1,0)</f>
        <v>0</v>
      </c>
      <c r="Q176">
        <f>IF(COUNTIFS('United Data'!$A$3:$A$2150,Q$1,'United Data'!$C$3:$C$2150,$A176,'United Data'!$B$3:$B$2150,"&lt;&gt;P")&gt;0,1,0)</f>
        <v>0</v>
      </c>
      <c r="R176">
        <f>IF(COUNTIFS('United Data'!$A$3:$A$2150,R$1,'United Data'!$C$3:$C$2150,$A176,'United Data'!$B$3:$B$2150,"&lt;&gt;P")&gt;0,1,0)</f>
        <v>0</v>
      </c>
      <c r="S176">
        <f t="shared" si="4"/>
        <v>7</v>
      </c>
      <c r="T176">
        <f t="shared" si="5"/>
        <v>1</v>
      </c>
    </row>
    <row r="177" spans="1:20" x14ac:dyDescent="0.2">
      <c r="A177" t="s">
        <v>222</v>
      </c>
      <c r="B177">
        <f>IF(COUNTIFS('United Data'!$A$3:$A$2150,B$1,'United Data'!$C$3:$C$2150,$A177,'United Data'!$B$3:$B$2150,"&lt;&gt;P")&gt;0,1,0)</f>
        <v>0</v>
      </c>
      <c r="C177">
        <f>IF(COUNTIFS('United Data'!$A$3:$A$2150,C$1,'United Data'!$C$3:$C$2150,$A177,'United Data'!$B$3:$B$2150,"&lt;&gt;P")&gt;0,1,0)</f>
        <v>0</v>
      </c>
      <c r="D177">
        <f>IF(COUNTIFS('United Data'!$A$3:$A$2150,D$1,'United Data'!$C$3:$C$2150,$A177,'United Data'!$B$3:$B$2150,"&lt;&gt;P")&gt;0,1,0)</f>
        <v>1</v>
      </c>
      <c r="E177">
        <f>IF(COUNTIFS('United Data'!$A$3:$A$2150,E$1,'United Data'!$C$3:$C$2150,$A177,'United Data'!$B$3:$B$2150,"&lt;&gt;P")&gt;0,1,0)</f>
        <v>0</v>
      </c>
      <c r="F177">
        <f>IF(COUNTIFS('United Data'!$A$3:$A$2150,F$1,'United Data'!$C$3:$C$2150,$A177,'United Data'!$B$3:$B$2150,"&lt;&gt;P")&gt;0,1,0)</f>
        <v>0</v>
      </c>
      <c r="G177">
        <f>IF(COUNTIFS('United Data'!$A$3:$A$2150,G$1,'United Data'!$C$3:$C$2150,$A177,'United Data'!$B$3:$B$2150,"&lt;&gt;P")&gt;0,1,0)</f>
        <v>0</v>
      </c>
      <c r="H177">
        <f>IF(COUNTIFS('United Data'!$A$3:$A$2150,H$1,'United Data'!$C$3:$C$2150,$A177,'United Data'!$B$3:$B$2150,"&lt;&gt;P")&gt;0,1,0)</f>
        <v>0</v>
      </c>
      <c r="I177">
        <f>IF(COUNTIFS('United Data'!$A$3:$A$2150,I$1,'United Data'!$C$3:$C$2150,$A177,'United Data'!$B$3:$B$2150,"&lt;&gt;P")&gt;0,1,0)</f>
        <v>0</v>
      </c>
      <c r="J177">
        <f>IF(COUNTIFS('United Data'!$A$3:$A$2150,J$1,'United Data'!$C$3:$C$2150,$A177,'United Data'!$B$3:$B$2150,"&lt;&gt;P")&gt;0,1,0)</f>
        <v>0</v>
      </c>
      <c r="K177">
        <f>IF(COUNTIFS('United Data'!$A$3:$A$2150,K$1,'United Data'!$C$3:$C$2150,$A177,'United Data'!$B$3:$B$2150,"&lt;&gt;P")&gt;0,1,0)</f>
        <v>0</v>
      </c>
      <c r="L177">
        <f>IF(COUNTIFS('United Data'!$A$3:$A$2150,L$1,'United Data'!$C$3:$C$2150,$A177,'United Data'!$B$3:$B$2150,"&lt;&gt;P")&gt;0,1,0)</f>
        <v>0</v>
      </c>
      <c r="M177">
        <f>IF(COUNTIFS('United Data'!$A$3:$A$2150,M$1,'United Data'!$C$3:$C$2150,$A177,'United Data'!$B$3:$B$2150,"&lt;&gt;P")&gt;0,1,0)</f>
        <v>0</v>
      </c>
      <c r="N177">
        <f>IF(COUNTIFS('United Data'!$A$3:$A$2150,N$1,'United Data'!$C$3:$C$2150,$A177,'United Data'!$B$3:$B$2150,"&lt;&gt;P")&gt;0,1,0)</f>
        <v>0</v>
      </c>
      <c r="O177">
        <f>IF(COUNTIFS('United Data'!$A$3:$A$2150,O$1,'United Data'!$C$3:$C$2150,$A177,'United Data'!$B$3:$B$2150,"&lt;&gt;P")&gt;0,1,0)</f>
        <v>0</v>
      </c>
      <c r="P177">
        <f>IF(COUNTIFS('United Data'!$A$3:$A$2150,P$1,'United Data'!$C$3:$C$2150,$A177,'United Data'!$B$3:$B$2150,"&lt;&gt;P")&gt;0,1,0)</f>
        <v>0</v>
      </c>
      <c r="Q177">
        <f>IF(COUNTIFS('United Data'!$A$3:$A$2150,Q$1,'United Data'!$C$3:$C$2150,$A177,'United Data'!$B$3:$B$2150,"&lt;&gt;P")&gt;0,1,0)</f>
        <v>0</v>
      </c>
      <c r="R177">
        <f>IF(COUNTIFS('United Data'!$A$3:$A$2150,R$1,'United Data'!$C$3:$C$2150,$A177,'United Data'!$B$3:$B$2150,"&lt;&gt;P")&gt;0,1,0)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223</v>
      </c>
      <c r="B178">
        <f>IF(COUNTIFS('United Data'!$A$3:$A$2150,B$1,'United Data'!$C$3:$C$2150,$A178,'United Data'!$B$3:$B$2150,"&lt;&gt;P")&gt;0,1,0)</f>
        <v>0</v>
      </c>
      <c r="C178">
        <f>IF(COUNTIFS('United Data'!$A$3:$A$2150,C$1,'United Data'!$C$3:$C$2150,$A178,'United Data'!$B$3:$B$2150,"&lt;&gt;P")&gt;0,1,0)</f>
        <v>0</v>
      </c>
      <c r="D178">
        <f>IF(COUNTIFS('United Data'!$A$3:$A$2150,D$1,'United Data'!$C$3:$C$2150,$A178,'United Data'!$B$3:$B$2150,"&lt;&gt;P")&gt;0,1,0)</f>
        <v>0</v>
      </c>
      <c r="E178">
        <f>IF(COUNTIFS('United Data'!$A$3:$A$2150,E$1,'United Data'!$C$3:$C$2150,$A178,'United Data'!$B$3:$B$2150,"&lt;&gt;P")&gt;0,1,0)</f>
        <v>1</v>
      </c>
      <c r="F178">
        <f>IF(COUNTIFS('United Data'!$A$3:$A$2150,F$1,'United Data'!$C$3:$C$2150,$A178,'United Data'!$B$3:$B$2150,"&lt;&gt;P")&gt;0,1,0)</f>
        <v>1</v>
      </c>
      <c r="G178">
        <f>IF(COUNTIFS('United Data'!$A$3:$A$2150,G$1,'United Data'!$C$3:$C$2150,$A178,'United Data'!$B$3:$B$2150,"&lt;&gt;P")&gt;0,1,0)</f>
        <v>0</v>
      </c>
      <c r="H178">
        <f>IF(COUNTIFS('United Data'!$A$3:$A$2150,H$1,'United Data'!$C$3:$C$2150,$A178,'United Data'!$B$3:$B$2150,"&lt;&gt;P")&gt;0,1,0)</f>
        <v>1</v>
      </c>
      <c r="I178">
        <f>IF(COUNTIFS('United Data'!$A$3:$A$2150,I$1,'United Data'!$C$3:$C$2150,$A178,'United Data'!$B$3:$B$2150,"&lt;&gt;P")&gt;0,1,0)</f>
        <v>1</v>
      </c>
      <c r="J178">
        <f>IF(COUNTIFS('United Data'!$A$3:$A$2150,J$1,'United Data'!$C$3:$C$2150,$A178,'United Data'!$B$3:$B$2150,"&lt;&gt;P")&gt;0,1,0)</f>
        <v>1</v>
      </c>
      <c r="K178">
        <f>IF(COUNTIFS('United Data'!$A$3:$A$2150,K$1,'United Data'!$C$3:$C$2150,$A178,'United Data'!$B$3:$B$2150,"&lt;&gt;P")&gt;0,1,0)</f>
        <v>0</v>
      </c>
      <c r="L178">
        <f>IF(COUNTIFS('United Data'!$A$3:$A$2150,L$1,'United Data'!$C$3:$C$2150,$A178,'United Data'!$B$3:$B$2150,"&lt;&gt;P")&gt;0,1,0)</f>
        <v>1</v>
      </c>
      <c r="M178">
        <f>IF(COUNTIFS('United Data'!$A$3:$A$2150,M$1,'United Data'!$C$3:$C$2150,$A178,'United Data'!$B$3:$B$2150,"&lt;&gt;P")&gt;0,1,0)</f>
        <v>1</v>
      </c>
      <c r="N178">
        <f>IF(COUNTIFS('United Data'!$A$3:$A$2150,N$1,'United Data'!$C$3:$C$2150,$A178,'United Data'!$B$3:$B$2150,"&lt;&gt;P")&gt;0,1,0)</f>
        <v>0</v>
      </c>
      <c r="O178">
        <f>IF(COUNTIFS('United Data'!$A$3:$A$2150,O$1,'United Data'!$C$3:$C$2150,$A178,'United Data'!$B$3:$B$2150,"&lt;&gt;P")&gt;0,1,0)</f>
        <v>0</v>
      </c>
      <c r="P178">
        <f>IF(COUNTIFS('United Data'!$A$3:$A$2150,P$1,'United Data'!$C$3:$C$2150,$A178,'United Data'!$B$3:$B$2150,"&lt;&gt;P")&gt;0,1,0)</f>
        <v>0</v>
      </c>
      <c r="Q178">
        <f>IF(COUNTIFS('United Data'!$A$3:$A$2150,Q$1,'United Data'!$C$3:$C$2150,$A178,'United Data'!$B$3:$B$2150,"&lt;&gt;P")&gt;0,1,0)</f>
        <v>0</v>
      </c>
      <c r="R178">
        <f>IF(COUNTIFS('United Data'!$A$3:$A$2150,R$1,'United Data'!$C$3:$C$2150,$A178,'United Data'!$B$3:$B$2150,"&lt;&gt;P")&gt;0,1,0)</f>
        <v>0</v>
      </c>
      <c r="S178">
        <f t="shared" si="4"/>
        <v>7</v>
      </c>
      <c r="T178">
        <f t="shared" si="5"/>
        <v>3</v>
      </c>
    </row>
    <row r="179" spans="1:20" x14ac:dyDescent="0.2">
      <c r="A179" t="s">
        <v>224</v>
      </c>
      <c r="B179">
        <f>IF(COUNTIFS('United Data'!$A$3:$A$2150,B$1,'United Data'!$C$3:$C$2150,$A179,'United Data'!$B$3:$B$2150,"&lt;&gt;P")&gt;0,1,0)</f>
        <v>0</v>
      </c>
      <c r="C179">
        <f>IF(COUNTIFS('United Data'!$A$3:$A$2150,C$1,'United Data'!$C$3:$C$2150,$A179,'United Data'!$B$3:$B$2150,"&lt;&gt;P")&gt;0,1,0)</f>
        <v>0</v>
      </c>
      <c r="D179">
        <f>IF(COUNTIFS('United Data'!$A$3:$A$2150,D$1,'United Data'!$C$3:$C$2150,$A179,'United Data'!$B$3:$B$2150,"&lt;&gt;P")&gt;0,1,0)</f>
        <v>0</v>
      </c>
      <c r="E179">
        <f>IF(COUNTIFS('United Data'!$A$3:$A$2150,E$1,'United Data'!$C$3:$C$2150,$A179,'United Data'!$B$3:$B$2150,"&lt;&gt;P")&gt;0,1,0)</f>
        <v>1</v>
      </c>
      <c r="F179">
        <f>IF(COUNTIFS('United Data'!$A$3:$A$2150,F$1,'United Data'!$C$3:$C$2150,$A179,'United Data'!$B$3:$B$2150,"&lt;&gt;P")&gt;0,1,0)</f>
        <v>1</v>
      </c>
      <c r="G179">
        <f>IF(COUNTIFS('United Data'!$A$3:$A$2150,G$1,'United Data'!$C$3:$C$2150,$A179,'United Data'!$B$3:$B$2150,"&lt;&gt;P")&gt;0,1,0)</f>
        <v>0</v>
      </c>
      <c r="H179">
        <f>IF(COUNTIFS('United Data'!$A$3:$A$2150,H$1,'United Data'!$C$3:$C$2150,$A179,'United Data'!$B$3:$B$2150,"&lt;&gt;P")&gt;0,1,0)</f>
        <v>1</v>
      </c>
      <c r="I179">
        <f>IF(COUNTIFS('United Data'!$A$3:$A$2150,I$1,'United Data'!$C$3:$C$2150,$A179,'United Data'!$B$3:$B$2150,"&lt;&gt;P")&gt;0,1,0)</f>
        <v>1</v>
      </c>
      <c r="J179">
        <f>IF(COUNTIFS('United Data'!$A$3:$A$2150,J$1,'United Data'!$C$3:$C$2150,$A179,'United Data'!$B$3:$B$2150,"&lt;&gt;P")&gt;0,1,0)</f>
        <v>1</v>
      </c>
      <c r="K179">
        <f>IF(COUNTIFS('United Data'!$A$3:$A$2150,K$1,'United Data'!$C$3:$C$2150,$A179,'United Data'!$B$3:$B$2150,"&lt;&gt;P")&gt;0,1,0)</f>
        <v>1</v>
      </c>
      <c r="L179">
        <f>IF(COUNTIFS('United Data'!$A$3:$A$2150,L$1,'United Data'!$C$3:$C$2150,$A179,'United Data'!$B$3:$B$2150,"&lt;&gt;P")&gt;0,1,0)</f>
        <v>1</v>
      </c>
      <c r="M179">
        <f>IF(COUNTIFS('United Data'!$A$3:$A$2150,M$1,'United Data'!$C$3:$C$2150,$A179,'United Data'!$B$3:$B$2150,"&lt;&gt;P")&gt;0,1,0)</f>
        <v>1</v>
      </c>
      <c r="N179">
        <f>IF(COUNTIFS('United Data'!$A$3:$A$2150,N$1,'United Data'!$C$3:$C$2150,$A179,'United Data'!$B$3:$B$2150,"&lt;&gt;P")&gt;0,1,0)</f>
        <v>1</v>
      </c>
      <c r="O179">
        <f>IF(COUNTIFS('United Data'!$A$3:$A$2150,O$1,'United Data'!$C$3:$C$2150,$A179,'United Data'!$B$3:$B$2150,"&lt;&gt;P")&gt;0,1,0)</f>
        <v>0</v>
      </c>
      <c r="P179">
        <f>IF(COUNTIFS('United Data'!$A$3:$A$2150,P$1,'United Data'!$C$3:$C$2150,$A179,'United Data'!$B$3:$B$2150,"&lt;&gt;P")&gt;0,1,0)</f>
        <v>0</v>
      </c>
      <c r="Q179">
        <f>IF(COUNTIFS('United Data'!$A$3:$A$2150,Q$1,'United Data'!$C$3:$C$2150,$A179,'United Data'!$B$3:$B$2150,"&lt;&gt;P")&gt;0,1,0)</f>
        <v>0</v>
      </c>
      <c r="R179">
        <f>IF(COUNTIFS('United Data'!$A$3:$A$2150,R$1,'United Data'!$C$3:$C$2150,$A179,'United Data'!$B$3:$B$2150,"&lt;&gt;P")&gt;0,1,0)</f>
        <v>0</v>
      </c>
      <c r="S179">
        <f t="shared" si="4"/>
        <v>9</v>
      </c>
      <c r="T179">
        <f t="shared" si="5"/>
        <v>2</v>
      </c>
    </row>
    <row r="180" spans="1:20" x14ac:dyDescent="0.2">
      <c r="A180" t="s">
        <v>225</v>
      </c>
      <c r="B180">
        <f>IF(COUNTIFS('United Data'!$A$3:$A$2150,B$1,'United Data'!$C$3:$C$2150,$A180,'United Data'!$B$3:$B$2150,"&lt;&gt;P")&gt;0,1,0)</f>
        <v>0</v>
      </c>
      <c r="C180">
        <f>IF(COUNTIFS('United Data'!$A$3:$A$2150,C$1,'United Data'!$C$3:$C$2150,$A180,'United Data'!$B$3:$B$2150,"&lt;&gt;P")&gt;0,1,0)</f>
        <v>0</v>
      </c>
      <c r="D180">
        <f>IF(COUNTIFS('United Data'!$A$3:$A$2150,D$1,'United Data'!$C$3:$C$2150,$A180,'United Data'!$B$3:$B$2150,"&lt;&gt;P")&gt;0,1,0)</f>
        <v>0</v>
      </c>
      <c r="E180">
        <f>IF(COUNTIFS('United Data'!$A$3:$A$2150,E$1,'United Data'!$C$3:$C$2150,$A180,'United Data'!$B$3:$B$2150,"&lt;&gt;P")&gt;0,1,0)</f>
        <v>1</v>
      </c>
      <c r="F180">
        <f>IF(COUNTIFS('United Data'!$A$3:$A$2150,F$1,'United Data'!$C$3:$C$2150,$A180,'United Data'!$B$3:$B$2150,"&lt;&gt;P")&gt;0,1,0)</f>
        <v>1</v>
      </c>
      <c r="G180">
        <f>IF(COUNTIFS('United Data'!$A$3:$A$2150,G$1,'United Data'!$C$3:$C$2150,$A180,'United Data'!$B$3:$B$2150,"&lt;&gt;P")&gt;0,1,0)</f>
        <v>1</v>
      </c>
      <c r="H180">
        <f>IF(COUNTIFS('United Data'!$A$3:$A$2150,H$1,'United Data'!$C$3:$C$2150,$A180,'United Data'!$B$3:$B$2150,"&lt;&gt;P")&gt;0,1,0)</f>
        <v>1</v>
      </c>
      <c r="I180">
        <f>IF(COUNTIFS('United Data'!$A$3:$A$2150,I$1,'United Data'!$C$3:$C$2150,$A180,'United Data'!$B$3:$B$2150,"&lt;&gt;P")&gt;0,1,0)</f>
        <v>1</v>
      </c>
      <c r="J180">
        <f>IF(COUNTIFS('United Data'!$A$3:$A$2150,J$1,'United Data'!$C$3:$C$2150,$A180,'United Data'!$B$3:$B$2150,"&lt;&gt;P")&gt;0,1,0)</f>
        <v>1</v>
      </c>
      <c r="K180">
        <f>IF(COUNTIFS('United Data'!$A$3:$A$2150,K$1,'United Data'!$C$3:$C$2150,$A180,'United Data'!$B$3:$B$2150,"&lt;&gt;P")&gt;0,1,0)</f>
        <v>1</v>
      </c>
      <c r="L180">
        <f>IF(COUNTIFS('United Data'!$A$3:$A$2150,L$1,'United Data'!$C$3:$C$2150,$A180,'United Data'!$B$3:$B$2150,"&lt;&gt;P")&gt;0,1,0)</f>
        <v>1</v>
      </c>
      <c r="M180">
        <f>IF(COUNTIFS('United Data'!$A$3:$A$2150,M$1,'United Data'!$C$3:$C$2150,$A180,'United Data'!$B$3:$B$2150,"&lt;&gt;P")&gt;0,1,0)</f>
        <v>1</v>
      </c>
      <c r="N180">
        <f>IF(COUNTIFS('United Data'!$A$3:$A$2150,N$1,'United Data'!$C$3:$C$2150,$A180,'United Data'!$B$3:$B$2150,"&lt;&gt;P")&gt;0,1,0)</f>
        <v>1</v>
      </c>
      <c r="O180">
        <f>IF(COUNTIFS('United Data'!$A$3:$A$2150,O$1,'United Data'!$C$3:$C$2150,$A180,'United Data'!$B$3:$B$2150,"&lt;&gt;P")&gt;0,1,0)</f>
        <v>1</v>
      </c>
      <c r="P180">
        <f>IF(COUNTIFS('United Data'!$A$3:$A$2150,P$1,'United Data'!$C$3:$C$2150,$A180,'United Data'!$B$3:$B$2150,"&lt;&gt;P")&gt;0,1,0)</f>
        <v>1</v>
      </c>
      <c r="Q180">
        <f>IF(COUNTIFS('United Data'!$A$3:$A$2150,Q$1,'United Data'!$C$3:$C$2150,$A180,'United Data'!$B$3:$B$2150,"&lt;&gt;P")&gt;0,1,0)</f>
        <v>1</v>
      </c>
      <c r="R180">
        <f>IF(COUNTIFS('United Data'!$A$3:$A$2150,R$1,'United Data'!$C$3:$C$2150,$A180,'United Data'!$B$3:$B$2150,"&lt;&gt;P")&gt;0,1,0)</f>
        <v>0</v>
      </c>
      <c r="S180">
        <f t="shared" si="4"/>
        <v>13</v>
      </c>
      <c r="T180">
        <f t="shared" si="5"/>
        <v>1</v>
      </c>
    </row>
    <row r="181" spans="1:20" x14ac:dyDescent="0.2">
      <c r="A181" t="s">
        <v>226</v>
      </c>
      <c r="B181">
        <f>IF(COUNTIFS('United Data'!$A$3:$A$2150,B$1,'United Data'!$C$3:$C$2150,$A181,'United Data'!$B$3:$B$2150,"&lt;&gt;P")&gt;0,1,0)</f>
        <v>0</v>
      </c>
      <c r="C181">
        <f>IF(COUNTIFS('United Data'!$A$3:$A$2150,C$1,'United Data'!$C$3:$C$2150,$A181,'United Data'!$B$3:$B$2150,"&lt;&gt;P")&gt;0,1,0)</f>
        <v>0</v>
      </c>
      <c r="D181">
        <f>IF(COUNTIFS('United Data'!$A$3:$A$2150,D$1,'United Data'!$C$3:$C$2150,$A181,'United Data'!$B$3:$B$2150,"&lt;&gt;P")&gt;0,1,0)</f>
        <v>0</v>
      </c>
      <c r="E181">
        <f>IF(COUNTIFS('United Data'!$A$3:$A$2150,E$1,'United Data'!$C$3:$C$2150,$A181,'United Data'!$B$3:$B$2150,"&lt;&gt;P")&gt;0,1,0)</f>
        <v>1</v>
      </c>
      <c r="F181">
        <f>IF(COUNTIFS('United Data'!$A$3:$A$2150,F$1,'United Data'!$C$3:$C$2150,$A181,'United Data'!$B$3:$B$2150,"&lt;&gt;P")&gt;0,1,0)</f>
        <v>1</v>
      </c>
      <c r="G181">
        <f>IF(COUNTIFS('United Data'!$A$3:$A$2150,G$1,'United Data'!$C$3:$C$2150,$A181,'United Data'!$B$3:$B$2150,"&lt;&gt;P")&gt;0,1,0)</f>
        <v>1</v>
      </c>
      <c r="H181">
        <f>IF(COUNTIFS('United Data'!$A$3:$A$2150,H$1,'United Data'!$C$3:$C$2150,$A181,'United Data'!$B$3:$B$2150,"&lt;&gt;P")&gt;0,1,0)</f>
        <v>1</v>
      </c>
      <c r="I181">
        <f>IF(COUNTIFS('United Data'!$A$3:$A$2150,I$1,'United Data'!$C$3:$C$2150,$A181,'United Data'!$B$3:$B$2150,"&lt;&gt;P")&gt;0,1,0)</f>
        <v>1</v>
      </c>
      <c r="J181">
        <f>IF(COUNTIFS('United Data'!$A$3:$A$2150,J$1,'United Data'!$C$3:$C$2150,$A181,'United Data'!$B$3:$B$2150,"&lt;&gt;P")&gt;0,1,0)</f>
        <v>1</v>
      </c>
      <c r="K181">
        <f>IF(COUNTIFS('United Data'!$A$3:$A$2150,K$1,'United Data'!$C$3:$C$2150,$A181,'United Data'!$B$3:$B$2150,"&lt;&gt;P")&gt;0,1,0)</f>
        <v>1</v>
      </c>
      <c r="L181">
        <f>IF(COUNTIFS('United Data'!$A$3:$A$2150,L$1,'United Data'!$C$3:$C$2150,$A181,'United Data'!$B$3:$B$2150,"&lt;&gt;P")&gt;0,1,0)</f>
        <v>1</v>
      </c>
      <c r="M181">
        <f>IF(COUNTIFS('United Data'!$A$3:$A$2150,M$1,'United Data'!$C$3:$C$2150,$A181,'United Data'!$B$3:$B$2150,"&lt;&gt;P")&gt;0,1,0)</f>
        <v>1</v>
      </c>
      <c r="N181">
        <f>IF(COUNTIFS('United Data'!$A$3:$A$2150,N$1,'United Data'!$C$3:$C$2150,$A181,'United Data'!$B$3:$B$2150,"&lt;&gt;P")&gt;0,1,0)</f>
        <v>0</v>
      </c>
      <c r="O181">
        <f>IF(COUNTIFS('United Data'!$A$3:$A$2150,O$1,'United Data'!$C$3:$C$2150,$A181,'United Data'!$B$3:$B$2150,"&lt;&gt;P")&gt;0,1,0)</f>
        <v>0</v>
      </c>
      <c r="P181">
        <f>IF(COUNTIFS('United Data'!$A$3:$A$2150,P$1,'United Data'!$C$3:$C$2150,$A181,'United Data'!$B$3:$B$2150,"&lt;&gt;P")&gt;0,1,0)</f>
        <v>0</v>
      </c>
      <c r="Q181">
        <f>IF(COUNTIFS('United Data'!$A$3:$A$2150,Q$1,'United Data'!$C$3:$C$2150,$A181,'United Data'!$B$3:$B$2150,"&lt;&gt;P")&gt;0,1,0)</f>
        <v>0</v>
      </c>
      <c r="R181">
        <f>IF(COUNTIFS('United Data'!$A$3:$A$2150,R$1,'United Data'!$C$3:$C$2150,$A181,'United Data'!$B$3:$B$2150,"&lt;&gt;P")&gt;0,1,0)</f>
        <v>0</v>
      </c>
      <c r="S181">
        <f t="shared" si="4"/>
        <v>9</v>
      </c>
      <c r="T181">
        <f t="shared" si="5"/>
        <v>1</v>
      </c>
    </row>
    <row r="182" spans="1:20" x14ac:dyDescent="0.2">
      <c r="A182" t="s">
        <v>227</v>
      </c>
      <c r="B182">
        <f>IF(COUNTIFS('United Data'!$A$3:$A$2150,B$1,'United Data'!$C$3:$C$2150,$A182,'United Data'!$B$3:$B$2150,"&lt;&gt;P")&gt;0,1,0)</f>
        <v>0</v>
      </c>
      <c r="C182">
        <f>IF(COUNTIFS('United Data'!$A$3:$A$2150,C$1,'United Data'!$C$3:$C$2150,$A182,'United Data'!$B$3:$B$2150,"&lt;&gt;P")&gt;0,1,0)</f>
        <v>1</v>
      </c>
      <c r="D182">
        <f>IF(COUNTIFS('United Data'!$A$3:$A$2150,D$1,'United Data'!$C$3:$C$2150,$A182,'United Data'!$B$3:$B$2150,"&lt;&gt;P")&gt;0,1,0)</f>
        <v>1</v>
      </c>
      <c r="E182">
        <f>IF(COUNTIFS('United Data'!$A$3:$A$2150,E$1,'United Data'!$C$3:$C$2150,$A182,'United Data'!$B$3:$B$2150,"&lt;&gt;P")&gt;0,1,0)</f>
        <v>1</v>
      </c>
      <c r="F182">
        <f>IF(COUNTIFS('United Data'!$A$3:$A$2150,F$1,'United Data'!$C$3:$C$2150,$A182,'United Data'!$B$3:$B$2150,"&lt;&gt;P")&gt;0,1,0)</f>
        <v>1</v>
      </c>
      <c r="G182">
        <f>IF(COUNTIFS('United Data'!$A$3:$A$2150,G$1,'United Data'!$C$3:$C$2150,$A182,'United Data'!$B$3:$B$2150,"&lt;&gt;P")&gt;0,1,0)</f>
        <v>1</v>
      </c>
      <c r="H182">
        <f>IF(COUNTIFS('United Data'!$A$3:$A$2150,H$1,'United Data'!$C$3:$C$2150,$A182,'United Data'!$B$3:$B$2150,"&lt;&gt;P")&gt;0,1,0)</f>
        <v>1</v>
      </c>
      <c r="I182">
        <f>IF(COUNTIFS('United Data'!$A$3:$A$2150,I$1,'United Data'!$C$3:$C$2150,$A182,'United Data'!$B$3:$B$2150,"&lt;&gt;P")&gt;0,1,0)</f>
        <v>1</v>
      </c>
      <c r="J182">
        <f>IF(COUNTIFS('United Data'!$A$3:$A$2150,J$1,'United Data'!$C$3:$C$2150,$A182,'United Data'!$B$3:$B$2150,"&lt;&gt;P")&gt;0,1,0)</f>
        <v>1</v>
      </c>
      <c r="K182">
        <f>IF(COUNTIFS('United Data'!$A$3:$A$2150,K$1,'United Data'!$C$3:$C$2150,$A182,'United Data'!$B$3:$B$2150,"&lt;&gt;P")&gt;0,1,0)</f>
        <v>1</v>
      </c>
      <c r="L182">
        <f>IF(COUNTIFS('United Data'!$A$3:$A$2150,L$1,'United Data'!$C$3:$C$2150,$A182,'United Data'!$B$3:$B$2150,"&lt;&gt;P")&gt;0,1,0)</f>
        <v>1</v>
      </c>
      <c r="M182">
        <f>IF(COUNTIFS('United Data'!$A$3:$A$2150,M$1,'United Data'!$C$3:$C$2150,$A182,'United Data'!$B$3:$B$2150,"&lt;&gt;P")&gt;0,1,0)</f>
        <v>1</v>
      </c>
      <c r="N182">
        <f>IF(COUNTIFS('United Data'!$A$3:$A$2150,N$1,'United Data'!$C$3:$C$2150,$A182,'United Data'!$B$3:$B$2150,"&lt;&gt;P")&gt;0,1,0)</f>
        <v>1</v>
      </c>
      <c r="O182">
        <f>IF(COUNTIFS('United Data'!$A$3:$A$2150,O$1,'United Data'!$C$3:$C$2150,$A182,'United Data'!$B$3:$B$2150,"&lt;&gt;P")&gt;0,1,0)</f>
        <v>0</v>
      </c>
      <c r="P182">
        <f>IF(COUNTIFS('United Data'!$A$3:$A$2150,P$1,'United Data'!$C$3:$C$2150,$A182,'United Data'!$B$3:$B$2150,"&lt;&gt;P")&gt;0,1,0)</f>
        <v>0</v>
      </c>
      <c r="Q182">
        <f>IF(COUNTIFS('United Data'!$A$3:$A$2150,Q$1,'United Data'!$C$3:$C$2150,$A182,'United Data'!$B$3:$B$2150,"&lt;&gt;P")&gt;0,1,0)</f>
        <v>0</v>
      </c>
      <c r="R182">
        <f>IF(COUNTIFS('United Data'!$A$3:$A$2150,R$1,'United Data'!$C$3:$C$2150,$A182,'United Data'!$B$3:$B$2150,"&lt;&gt;P")&gt;0,1,0)</f>
        <v>0</v>
      </c>
      <c r="S182">
        <f t="shared" si="4"/>
        <v>12</v>
      </c>
      <c r="T182">
        <f t="shared" si="5"/>
        <v>1</v>
      </c>
    </row>
    <row r="183" spans="1:20" x14ac:dyDescent="0.2">
      <c r="A183" t="s">
        <v>228</v>
      </c>
      <c r="B183">
        <f>IF(COUNTIFS('United Data'!$A$3:$A$2150,B$1,'United Data'!$C$3:$C$2150,$A183,'United Data'!$B$3:$B$2150,"&lt;&gt;P")&gt;0,1,0)</f>
        <v>0</v>
      </c>
      <c r="C183">
        <f>IF(COUNTIFS('United Data'!$A$3:$A$2150,C$1,'United Data'!$C$3:$C$2150,$A183,'United Data'!$B$3:$B$2150,"&lt;&gt;P")&gt;0,1,0)</f>
        <v>0</v>
      </c>
      <c r="D183">
        <f>IF(COUNTIFS('United Data'!$A$3:$A$2150,D$1,'United Data'!$C$3:$C$2150,$A183,'United Data'!$B$3:$B$2150,"&lt;&gt;P")&gt;0,1,0)</f>
        <v>0</v>
      </c>
      <c r="E183">
        <f>IF(COUNTIFS('United Data'!$A$3:$A$2150,E$1,'United Data'!$C$3:$C$2150,$A183,'United Data'!$B$3:$B$2150,"&lt;&gt;P")&gt;0,1,0)</f>
        <v>1</v>
      </c>
      <c r="F183">
        <f>IF(COUNTIFS('United Data'!$A$3:$A$2150,F$1,'United Data'!$C$3:$C$2150,$A183,'United Data'!$B$3:$B$2150,"&lt;&gt;P")&gt;0,1,0)</f>
        <v>1</v>
      </c>
      <c r="G183">
        <f>IF(COUNTIFS('United Data'!$A$3:$A$2150,G$1,'United Data'!$C$3:$C$2150,$A183,'United Data'!$B$3:$B$2150,"&lt;&gt;P")&gt;0,1,0)</f>
        <v>1</v>
      </c>
      <c r="H183">
        <f>IF(COUNTIFS('United Data'!$A$3:$A$2150,H$1,'United Data'!$C$3:$C$2150,$A183,'United Data'!$B$3:$B$2150,"&lt;&gt;P")&gt;0,1,0)</f>
        <v>0</v>
      </c>
      <c r="I183">
        <f>IF(COUNTIFS('United Data'!$A$3:$A$2150,I$1,'United Data'!$C$3:$C$2150,$A183,'United Data'!$B$3:$B$2150,"&lt;&gt;P")&gt;0,1,0)</f>
        <v>0</v>
      </c>
      <c r="J183">
        <f>IF(COUNTIFS('United Data'!$A$3:$A$2150,J$1,'United Data'!$C$3:$C$2150,$A183,'United Data'!$B$3:$B$2150,"&lt;&gt;P")&gt;0,1,0)</f>
        <v>0</v>
      </c>
      <c r="K183">
        <f>IF(COUNTIFS('United Data'!$A$3:$A$2150,K$1,'United Data'!$C$3:$C$2150,$A183,'United Data'!$B$3:$B$2150,"&lt;&gt;P")&gt;0,1,0)</f>
        <v>0</v>
      </c>
      <c r="L183">
        <f>IF(COUNTIFS('United Data'!$A$3:$A$2150,L$1,'United Data'!$C$3:$C$2150,$A183,'United Data'!$B$3:$B$2150,"&lt;&gt;P")&gt;0,1,0)</f>
        <v>0</v>
      </c>
      <c r="M183">
        <f>IF(COUNTIFS('United Data'!$A$3:$A$2150,M$1,'United Data'!$C$3:$C$2150,$A183,'United Data'!$B$3:$B$2150,"&lt;&gt;P")&gt;0,1,0)</f>
        <v>0</v>
      </c>
      <c r="N183">
        <f>IF(COUNTIFS('United Data'!$A$3:$A$2150,N$1,'United Data'!$C$3:$C$2150,$A183,'United Data'!$B$3:$B$2150,"&lt;&gt;P")&gt;0,1,0)</f>
        <v>0</v>
      </c>
      <c r="O183">
        <f>IF(COUNTIFS('United Data'!$A$3:$A$2150,O$1,'United Data'!$C$3:$C$2150,$A183,'United Data'!$B$3:$B$2150,"&lt;&gt;P")&gt;0,1,0)</f>
        <v>0</v>
      </c>
      <c r="P183">
        <f>IF(COUNTIFS('United Data'!$A$3:$A$2150,P$1,'United Data'!$C$3:$C$2150,$A183,'United Data'!$B$3:$B$2150,"&lt;&gt;P")&gt;0,1,0)</f>
        <v>0</v>
      </c>
      <c r="Q183">
        <f>IF(COUNTIFS('United Data'!$A$3:$A$2150,Q$1,'United Data'!$C$3:$C$2150,$A183,'United Data'!$B$3:$B$2150,"&lt;&gt;P")&gt;0,1,0)</f>
        <v>0</v>
      </c>
      <c r="R183">
        <f>IF(COUNTIFS('United Data'!$A$3:$A$2150,R$1,'United Data'!$C$3:$C$2150,$A183,'United Data'!$B$3:$B$2150,"&lt;&gt;P")&gt;0,1,0)</f>
        <v>0</v>
      </c>
      <c r="S183">
        <f t="shared" si="4"/>
        <v>3</v>
      </c>
      <c r="T183">
        <f t="shared" si="5"/>
        <v>1</v>
      </c>
    </row>
    <row r="184" spans="1:20" x14ac:dyDescent="0.2">
      <c r="A184" t="s">
        <v>229</v>
      </c>
      <c r="B184">
        <f>IF(COUNTIFS('United Data'!$A$3:$A$2150,B$1,'United Data'!$C$3:$C$2150,$A184,'United Data'!$B$3:$B$2150,"&lt;&gt;P")&gt;0,1,0)</f>
        <v>0</v>
      </c>
      <c r="C184">
        <f>IF(COUNTIFS('United Data'!$A$3:$A$2150,C$1,'United Data'!$C$3:$C$2150,$A184,'United Data'!$B$3:$B$2150,"&lt;&gt;P")&gt;0,1,0)</f>
        <v>0</v>
      </c>
      <c r="D184">
        <f>IF(COUNTIFS('United Data'!$A$3:$A$2150,D$1,'United Data'!$C$3:$C$2150,$A184,'United Data'!$B$3:$B$2150,"&lt;&gt;P")&gt;0,1,0)</f>
        <v>0</v>
      </c>
      <c r="E184">
        <f>IF(COUNTIFS('United Data'!$A$3:$A$2150,E$1,'United Data'!$C$3:$C$2150,$A184,'United Data'!$B$3:$B$2150,"&lt;&gt;P")&gt;0,1,0)</f>
        <v>1</v>
      </c>
      <c r="F184">
        <f>IF(COUNTIFS('United Data'!$A$3:$A$2150,F$1,'United Data'!$C$3:$C$2150,$A184,'United Data'!$B$3:$B$2150,"&lt;&gt;P")&gt;0,1,0)</f>
        <v>1</v>
      </c>
      <c r="G184">
        <f>IF(COUNTIFS('United Data'!$A$3:$A$2150,G$1,'United Data'!$C$3:$C$2150,$A184,'United Data'!$B$3:$B$2150,"&lt;&gt;P")&gt;0,1,0)</f>
        <v>1</v>
      </c>
      <c r="H184">
        <f>IF(COUNTIFS('United Data'!$A$3:$A$2150,H$1,'United Data'!$C$3:$C$2150,$A184,'United Data'!$B$3:$B$2150,"&lt;&gt;P")&gt;0,1,0)</f>
        <v>1</v>
      </c>
      <c r="I184">
        <f>IF(COUNTIFS('United Data'!$A$3:$A$2150,I$1,'United Data'!$C$3:$C$2150,$A184,'United Data'!$B$3:$B$2150,"&lt;&gt;P")&gt;0,1,0)</f>
        <v>0</v>
      </c>
      <c r="J184">
        <f>IF(COUNTIFS('United Data'!$A$3:$A$2150,J$1,'United Data'!$C$3:$C$2150,$A184,'United Data'!$B$3:$B$2150,"&lt;&gt;P")&gt;0,1,0)</f>
        <v>1</v>
      </c>
      <c r="K184">
        <f>IF(COUNTIFS('United Data'!$A$3:$A$2150,K$1,'United Data'!$C$3:$C$2150,$A184,'United Data'!$B$3:$B$2150,"&lt;&gt;P")&gt;0,1,0)</f>
        <v>1</v>
      </c>
      <c r="L184">
        <f>IF(COUNTIFS('United Data'!$A$3:$A$2150,L$1,'United Data'!$C$3:$C$2150,$A184,'United Data'!$B$3:$B$2150,"&lt;&gt;P")&gt;0,1,0)</f>
        <v>1</v>
      </c>
      <c r="M184">
        <f>IF(COUNTIFS('United Data'!$A$3:$A$2150,M$1,'United Data'!$C$3:$C$2150,$A184,'United Data'!$B$3:$B$2150,"&lt;&gt;P")&gt;0,1,0)</f>
        <v>1</v>
      </c>
      <c r="N184">
        <f>IF(COUNTIFS('United Data'!$A$3:$A$2150,N$1,'United Data'!$C$3:$C$2150,$A184,'United Data'!$B$3:$B$2150,"&lt;&gt;P")&gt;0,1,0)</f>
        <v>0</v>
      </c>
      <c r="O184">
        <f>IF(COUNTIFS('United Data'!$A$3:$A$2150,O$1,'United Data'!$C$3:$C$2150,$A184,'United Data'!$B$3:$B$2150,"&lt;&gt;P")&gt;0,1,0)</f>
        <v>0</v>
      </c>
      <c r="P184">
        <f>IF(COUNTIFS('United Data'!$A$3:$A$2150,P$1,'United Data'!$C$3:$C$2150,$A184,'United Data'!$B$3:$B$2150,"&lt;&gt;P")&gt;0,1,0)</f>
        <v>0</v>
      </c>
      <c r="Q184">
        <f>IF(COUNTIFS('United Data'!$A$3:$A$2150,Q$1,'United Data'!$C$3:$C$2150,$A184,'United Data'!$B$3:$B$2150,"&lt;&gt;P")&gt;0,1,0)</f>
        <v>0</v>
      </c>
      <c r="R184">
        <f>IF(COUNTIFS('United Data'!$A$3:$A$2150,R$1,'United Data'!$C$3:$C$2150,$A184,'United Data'!$B$3:$B$2150,"&lt;&gt;P")&gt;0,1,0)</f>
        <v>0</v>
      </c>
      <c r="S184">
        <f t="shared" si="4"/>
        <v>8</v>
      </c>
      <c r="T184">
        <f t="shared" si="5"/>
        <v>2</v>
      </c>
    </row>
    <row r="185" spans="1:20" x14ac:dyDescent="0.2">
      <c r="A185" t="s">
        <v>230</v>
      </c>
      <c r="B185">
        <f>IF(COUNTIFS('United Data'!$A$3:$A$2150,B$1,'United Data'!$C$3:$C$2150,$A185,'United Data'!$B$3:$B$2150,"&lt;&gt;P")&gt;0,1,0)</f>
        <v>0</v>
      </c>
      <c r="C185">
        <f>IF(COUNTIFS('United Data'!$A$3:$A$2150,C$1,'United Data'!$C$3:$C$2150,$A185,'United Data'!$B$3:$B$2150,"&lt;&gt;P")&gt;0,1,0)</f>
        <v>0</v>
      </c>
      <c r="D185">
        <f>IF(COUNTIFS('United Data'!$A$3:$A$2150,D$1,'United Data'!$C$3:$C$2150,$A185,'United Data'!$B$3:$B$2150,"&lt;&gt;P")&gt;0,1,0)</f>
        <v>0</v>
      </c>
      <c r="E185">
        <f>IF(COUNTIFS('United Data'!$A$3:$A$2150,E$1,'United Data'!$C$3:$C$2150,$A185,'United Data'!$B$3:$B$2150,"&lt;&gt;P")&gt;0,1,0)</f>
        <v>1</v>
      </c>
      <c r="F185">
        <f>IF(COUNTIFS('United Data'!$A$3:$A$2150,F$1,'United Data'!$C$3:$C$2150,$A185,'United Data'!$B$3:$B$2150,"&lt;&gt;P")&gt;0,1,0)</f>
        <v>1</v>
      </c>
      <c r="G185">
        <f>IF(COUNTIFS('United Data'!$A$3:$A$2150,G$1,'United Data'!$C$3:$C$2150,$A185,'United Data'!$B$3:$B$2150,"&lt;&gt;P")&gt;0,1,0)</f>
        <v>1</v>
      </c>
      <c r="H185">
        <f>IF(COUNTIFS('United Data'!$A$3:$A$2150,H$1,'United Data'!$C$3:$C$2150,$A185,'United Data'!$B$3:$B$2150,"&lt;&gt;P")&gt;0,1,0)</f>
        <v>1</v>
      </c>
      <c r="I185">
        <f>IF(COUNTIFS('United Data'!$A$3:$A$2150,I$1,'United Data'!$C$3:$C$2150,$A185,'United Data'!$B$3:$B$2150,"&lt;&gt;P")&gt;0,1,0)</f>
        <v>1</v>
      </c>
      <c r="J185">
        <f>IF(COUNTIFS('United Data'!$A$3:$A$2150,J$1,'United Data'!$C$3:$C$2150,$A185,'United Data'!$B$3:$B$2150,"&lt;&gt;P")&gt;0,1,0)</f>
        <v>1</v>
      </c>
      <c r="K185">
        <f>IF(COUNTIFS('United Data'!$A$3:$A$2150,K$1,'United Data'!$C$3:$C$2150,$A185,'United Data'!$B$3:$B$2150,"&lt;&gt;P")&gt;0,1,0)</f>
        <v>1</v>
      </c>
      <c r="L185">
        <f>IF(COUNTIFS('United Data'!$A$3:$A$2150,L$1,'United Data'!$C$3:$C$2150,$A185,'United Data'!$B$3:$B$2150,"&lt;&gt;P")&gt;0,1,0)</f>
        <v>1</v>
      </c>
      <c r="M185">
        <f>IF(COUNTIFS('United Data'!$A$3:$A$2150,M$1,'United Data'!$C$3:$C$2150,$A185,'United Data'!$B$3:$B$2150,"&lt;&gt;P")&gt;0,1,0)</f>
        <v>1</v>
      </c>
      <c r="N185">
        <f>IF(COUNTIFS('United Data'!$A$3:$A$2150,N$1,'United Data'!$C$3:$C$2150,$A185,'United Data'!$B$3:$B$2150,"&lt;&gt;P")&gt;0,1,0)</f>
        <v>0</v>
      </c>
      <c r="O185">
        <f>IF(COUNTIFS('United Data'!$A$3:$A$2150,O$1,'United Data'!$C$3:$C$2150,$A185,'United Data'!$B$3:$B$2150,"&lt;&gt;P")&gt;0,1,0)</f>
        <v>0</v>
      </c>
      <c r="P185">
        <f>IF(COUNTIFS('United Data'!$A$3:$A$2150,P$1,'United Data'!$C$3:$C$2150,$A185,'United Data'!$B$3:$B$2150,"&lt;&gt;P")&gt;0,1,0)</f>
        <v>0</v>
      </c>
      <c r="Q185">
        <f>IF(COUNTIFS('United Data'!$A$3:$A$2150,Q$1,'United Data'!$C$3:$C$2150,$A185,'United Data'!$B$3:$B$2150,"&lt;&gt;P")&gt;0,1,0)</f>
        <v>0</v>
      </c>
      <c r="R185">
        <f>IF(COUNTIFS('United Data'!$A$3:$A$2150,R$1,'United Data'!$C$3:$C$2150,$A185,'United Data'!$B$3:$B$2150,"&lt;&gt;P")&gt;0,1,0)</f>
        <v>0</v>
      </c>
      <c r="S185">
        <f t="shared" si="4"/>
        <v>9</v>
      </c>
      <c r="T185">
        <f t="shared" si="5"/>
        <v>1</v>
      </c>
    </row>
    <row r="186" spans="1:20" x14ac:dyDescent="0.2">
      <c r="A186" t="s">
        <v>231</v>
      </c>
      <c r="B186">
        <f>IF(COUNTIFS('United Data'!$A$3:$A$2150,B$1,'United Data'!$C$3:$C$2150,$A186,'United Data'!$B$3:$B$2150,"&lt;&gt;P")&gt;0,1,0)</f>
        <v>0</v>
      </c>
      <c r="C186">
        <f>IF(COUNTIFS('United Data'!$A$3:$A$2150,C$1,'United Data'!$C$3:$C$2150,$A186,'United Data'!$B$3:$B$2150,"&lt;&gt;P")&gt;0,1,0)</f>
        <v>0</v>
      </c>
      <c r="D186">
        <f>IF(COUNTIFS('United Data'!$A$3:$A$2150,D$1,'United Data'!$C$3:$C$2150,$A186,'United Data'!$B$3:$B$2150,"&lt;&gt;P")&gt;0,1,0)</f>
        <v>0</v>
      </c>
      <c r="E186">
        <f>IF(COUNTIFS('United Data'!$A$3:$A$2150,E$1,'United Data'!$C$3:$C$2150,$A186,'United Data'!$B$3:$B$2150,"&lt;&gt;P")&gt;0,1,0)</f>
        <v>1</v>
      </c>
      <c r="F186">
        <f>IF(COUNTIFS('United Data'!$A$3:$A$2150,F$1,'United Data'!$C$3:$C$2150,$A186,'United Data'!$B$3:$B$2150,"&lt;&gt;P")&gt;0,1,0)</f>
        <v>1</v>
      </c>
      <c r="G186">
        <f>IF(COUNTIFS('United Data'!$A$3:$A$2150,G$1,'United Data'!$C$3:$C$2150,$A186,'United Data'!$B$3:$B$2150,"&lt;&gt;P")&gt;0,1,0)</f>
        <v>1</v>
      </c>
      <c r="H186">
        <f>IF(COUNTIFS('United Data'!$A$3:$A$2150,H$1,'United Data'!$C$3:$C$2150,$A186,'United Data'!$B$3:$B$2150,"&lt;&gt;P")&gt;0,1,0)</f>
        <v>0</v>
      </c>
      <c r="I186">
        <f>IF(COUNTIFS('United Data'!$A$3:$A$2150,I$1,'United Data'!$C$3:$C$2150,$A186,'United Data'!$B$3:$B$2150,"&lt;&gt;P")&gt;0,1,0)</f>
        <v>0</v>
      </c>
      <c r="J186">
        <f>IF(COUNTIFS('United Data'!$A$3:$A$2150,J$1,'United Data'!$C$3:$C$2150,$A186,'United Data'!$B$3:$B$2150,"&lt;&gt;P")&gt;0,1,0)</f>
        <v>0</v>
      </c>
      <c r="K186">
        <f>IF(COUNTIFS('United Data'!$A$3:$A$2150,K$1,'United Data'!$C$3:$C$2150,$A186,'United Data'!$B$3:$B$2150,"&lt;&gt;P")&gt;0,1,0)</f>
        <v>0</v>
      </c>
      <c r="L186">
        <f>IF(COUNTIFS('United Data'!$A$3:$A$2150,L$1,'United Data'!$C$3:$C$2150,$A186,'United Data'!$B$3:$B$2150,"&lt;&gt;P")&gt;0,1,0)</f>
        <v>0</v>
      </c>
      <c r="M186">
        <f>IF(COUNTIFS('United Data'!$A$3:$A$2150,M$1,'United Data'!$C$3:$C$2150,$A186,'United Data'!$B$3:$B$2150,"&lt;&gt;P")&gt;0,1,0)</f>
        <v>1</v>
      </c>
      <c r="N186">
        <f>IF(COUNTIFS('United Data'!$A$3:$A$2150,N$1,'United Data'!$C$3:$C$2150,$A186,'United Data'!$B$3:$B$2150,"&lt;&gt;P")&gt;0,1,0)</f>
        <v>0</v>
      </c>
      <c r="O186">
        <f>IF(COUNTIFS('United Data'!$A$3:$A$2150,O$1,'United Data'!$C$3:$C$2150,$A186,'United Data'!$B$3:$B$2150,"&lt;&gt;P")&gt;0,1,0)</f>
        <v>0</v>
      </c>
      <c r="P186">
        <f>IF(COUNTIFS('United Data'!$A$3:$A$2150,P$1,'United Data'!$C$3:$C$2150,$A186,'United Data'!$B$3:$B$2150,"&lt;&gt;P")&gt;0,1,0)</f>
        <v>0</v>
      </c>
      <c r="Q186">
        <f>IF(COUNTIFS('United Data'!$A$3:$A$2150,Q$1,'United Data'!$C$3:$C$2150,$A186,'United Data'!$B$3:$B$2150,"&lt;&gt;P")&gt;0,1,0)</f>
        <v>0</v>
      </c>
      <c r="R186">
        <f>IF(COUNTIFS('United Data'!$A$3:$A$2150,R$1,'United Data'!$C$3:$C$2150,$A186,'United Data'!$B$3:$B$2150,"&lt;&gt;P")&gt;0,1,0)</f>
        <v>0</v>
      </c>
      <c r="S186">
        <f t="shared" si="4"/>
        <v>4</v>
      </c>
      <c r="T186">
        <f t="shared" si="5"/>
        <v>2</v>
      </c>
    </row>
    <row r="187" spans="1:20" x14ac:dyDescent="0.2">
      <c r="A187" t="s">
        <v>232</v>
      </c>
      <c r="B187">
        <f>IF(COUNTIFS('United Data'!$A$3:$A$2150,B$1,'United Data'!$C$3:$C$2150,$A187,'United Data'!$B$3:$B$2150,"&lt;&gt;P")&gt;0,1,0)</f>
        <v>0</v>
      </c>
      <c r="C187">
        <f>IF(COUNTIFS('United Data'!$A$3:$A$2150,C$1,'United Data'!$C$3:$C$2150,$A187,'United Data'!$B$3:$B$2150,"&lt;&gt;P")&gt;0,1,0)</f>
        <v>0</v>
      </c>
      <c r="D187">
        <f>IF(COUNTIFS('United Data'!$A$3:$A$2150,D$1,'United Data'!$C$3:$C$2150,$A187,'United Data'!$B$3:$B$2150,"&lt;&gt;P")&gt;0,1,0)</f>
        <v>0</v>
      </c>
      <c r="E187">
        <f>IF(COUNTIFS('United Data'!$A$3:$A$2150,E$1,'United Data'!$C$3:$C$2150,$A187,'United Data'!$B$3:$B$2150,"&lt;&gt;P")&gt;0,1,0)</f>
        <v>1</v>
      </c>
      <c r="F187">
        <f>IF(COUNTIFS('United Data'!$A$3:$A$2150,F$1,'United Data'!$C$3:$C$2150,$A187,'United Data'!$B$3:$B$2150,"&lt;&gt;P")&gt;0,1,0)</f>
        <v>1</v>
      </c>
      <c r="G187">
        <f>IF(COUNTIFS('United Data'!$A$3:$A$2150,G$1,'United Data'!$C$3:$C$2150,$A187,'United Data'!$B$3:$B$2150,"&lt;&gt;P")&gt;0,1,0)</f>
        <v>1</v>
      </c>
      <c r="H187">
        <f>IF(COUNTIFS('United Data'!$A$3:$A$2150,H$1,'United Data'!$C$3:$C$2150,$A187,'United Data'!$B$3:$B$2150,"&lt;&gt;P")&gt;0,1,0)</f>
        <v>1</v>
      </c>
      <c r="I187">
        <f>IF(COUNTIFS('United Data'!$A$3:$A$2150,I$1,'United Data'!$C$3:$C$2150,$A187,'United Data'!$B$3:$B$2150,"&lt;&gt;P")&gt;0,1,0)</f>
        <v>0</v>
      </c>
      <c r="J187">
        <f>IF(COUNTIFS('United Data'!$A$3:$A$2150,J$1,'United Data'!$C$3:$C$2150,$A187,'United Data'!$B$3:$B$2150,"&lt;&gt;P")&gt;0,1,0)</f>
        <v>1</v>
      </c>
      <c r="K187">
        <f>IF(COUNTIFS('United Data'!$A$3:$A$2150,K$1,'United Data'!$C$3:$C$2150,$A187,'United Data'!$B$3:$B$2150,"&lt;&gt;P")&gt;0,1,0)</f>
        <v>1</v>
      </c>
      <c r="L187">
        <f>IF(COUNTIFS('United Data'!$A$3:$A$2150,L$1,'United Data'!$C$3:$C$2150,$A187,'United Data'!$B$3:$B$2150,"&lt;&gt;P")&gt;0,1,0)</f>
        <v>1</v>
      </c>
      <c r="M187">
        <f>IF(COUNTIFS('United Data'!$A$3:$A$2150,M$1,'United Data'!$C$3:$C$2150,$A187,'United Data'!$B$3:$B$2150,"&lt;&gt;P")&gt;0,1,0)</f>
        <v>1</v>
      </c>
      <c r="N187">
        <f>IF(COUNTIFS('United Data'!$A$3:$A$2150,N$1,'United Data'!$C$3:$C$2150,$A187,'United Data'!$B$3:$B$2150,"&lt;&gt;P")&gt;0,1,0)</f>
        <v>0</v>
      </c>
      <c r="O187">
        <f>IF(COUNTIFS('United Data'!$A$3:$A$2150,O$1,'United Data'!$C$3:$C$2150,$A187,'United Data'!$B$3:$B$2150,"&lt;&gt;P")&gt;0,1,0)</f>
        <v>0</v>
      </c>
      <c r="P187">
        <f>IF(COUNTIFS('United Data'!$A$3:$A$2150,P$1,'United Data'!$C$3:$C$2150,$A187,'United Data'!$B$3:$B$2150,"&lt;&gt;P")&gt;0,1,0)</f>
        <v>0</v>
      </c>
      <c r="Q187">
        <f>IF(COUNTIFS('United Data'!$A$3:$A$2150,Q$1,'United Data'!$C$3:$C$2150,$A187,'United Data'!$B$3:$B$2150,"&lt;&gt;P")&gt;0,1,0)</f>
        <v>0</v>
      </c>
      <c r="R187">
        <f>IF(COUNTIFS('United Data'!$A$3:$A$2150,R$1,'United Data'!$C$3:$C$2150,$A187,'United Data'!$B$3:$B$2150,"&lt;&gt;P")&gt;0,1,0)</f>
        <v>0</v>
      </c>
      <c r="S187">
        <f t="shared" si="4"/>
        <v>8</v>
      </c>
      <c r="T187">
        <f t="shared" si="5"/>
        <v>2</v>
      </c>
    </row>
    <row r="188" spans="1:20" x14ac:dyDescent="0.2">
      <c r="A188" t="s">
        <v>233</v>
      </c>
      <c r="B188">
        <f>IF(COUNTIFS('United Data'!$A$3:$A$2150,B$1,'United Data'!$C$3:$C$2150,$A188,'United Data'!$B$3:$B$2150,"&lt;&gt;P")&gt;0,1,0)</f>
        <v>0</v>
      </c>
      <c r="C188">
        <f>IF(COUNTIFS('United Data'!$A$3:$A$2150,C$1,'United Data'!$C$3:$C$2150,$A188,'United Data'!$B$3:$B$2150,"&lt;&gt;P")&gt;0,1,0)</f>
        <v>0</v>
      </c>
      <c r="D188">
        <f>IF(COUNTIFS('United Data'!$A$3:$A$2150,D$1,'United Data'!$C$3:$C$2150,$A188,'United Data'!$B$3:$B$2150,"&lt;&gt;P")&gt;0,1,0)</f>
        <v>0</v>
      </c>
      <c r="E188">
        <f>IF(COUNTIFS('United Data'!$A$3:$A$2150,E$1,'United Data'!$C$3:$C$2150,$A188,'United Data'!$B$3:$B$2150,"&lt;&gt;P")&gt;0,1,0)</f>
        <v>1</v>
      </c>
      <c r="F188">
        <f>IF(COUNTIFS('United Data'!$A$3:$A$2150,F$1,'United Data'!$C$3:$C$2150,$A188,'United Data'!$B$3:$B$2150,"&lt;&gt;P")&gt;0,1,0)</f>
        <v>1</v>
      </c>
      <c r="G188">
        <f>IF(COUNTIFS('United Data'!$A$3:$A$2150,G$1,'United Data'!$C$3:$C$2150,$A188,'United Data'!$B$3:$B$2150,"&lt;&gt;P")&gt;0,1,0)</f>
        <v>1</v>
      </c>
      <c r="H188">
        <f>IF(COUNTIFS('United Data'!$A$3:$A$2150,H$1,'United Data'!$C$3:$C$2150,$A188,'United Data'!$B$3:$B$2150,"&lt;&gt;P")&gt;0,1,0)</f>
        <v>1</v>
      </c>
      <c r="I188">
        <f>IF(COUNTIFS('United Data'!$A$3:$A$2150,I$1,'United Data'!$C$3:$C$2150,$A188,'United Data'!$B$3:$B$2150,"&lt;&gt;P")&gt;0,1,0)</f>
        <v>1</v>
      </c>
      <c r="J188">
        <f>IF(COUNTIFS('United Data'!$A$3:$A$2150,J$1,'United Data'!$C$3:$C$2150,$A188,'United Data'!$B$3:$B$2150,"&lt;&gt;P")&gt;0,1,0)</f>
        <v>1</v>
      </c>
      <c r="K188">
        <f>IF(COUNTIFS('United Data'!$A$3:$A$2150,K$1,'United Data'!$C$3:$C$2150,$A188,'United Data'!$B$3:$B$2150,"&lt;&gt;P")&gt;0,1,0)</f>
        <v>1</v>
      </c>
      <c r="L188">
        <f>IF(COUNTIFS('United Data'!$A$3:$A$2150,L$1,'United Data'!$C$3:$C$2150,$A188,'United Data'!$B$3:$B$2150,"&lt;&gt;P")&gt;0,1,0)</f>
        <v>1</v>
      </c>
      <c r="M188">
        <f>IF(COUNTIFS('United Data'!$A$3:$A$2150,M$1,'United Data'!$C$3:$C$2150,$A188,'United Data'!$B$3:$B$2150,"&lt;&gt;P")&gt;0,1,0)</f>
        <v>1</v>
      </c>
      <c r="N188">
        <f>IF(COUNTIFS('United Data'!$A$3:$A$2150,N$1,'United Data'!$C$3:$C$2150,$A188,'United Data'!$B$3:$B$2150,"&lt;&gt;P")&gt;0,1,0)</f>
        <v>0</v>
      </c>
      <c r="O188">
        <f>IF(COUNTIFS('United Data'!$A$3:$A$2150,O$1,'United Data'!$C$3:$C$2150,$A188,'United Data'!$B$3:$B$2150,"&lt;&gt;P")&gt;0,1,0)</f>
        <v>1</v>
      </c>
      <c r="P188">
        <f>IF(COUNTIFS('United Data'!$A$3:$A$2150,P$1,'United Data'!$C$3:$C$2150,$A188,'United Data'!$B$3:$B$2150,"&lt;&gt;P")&gt;0,1,0)</f>
        <v>0</v>
      </c>
      <c r="Q188">
        <f>IF(COUNTIFS('United Data'!$A$3:$A$2150,Q$1,'United Data'!$C$3:$C$2150,$A188,'United Data'!$B$3:$B$2150,"&lt;&gt;P")&gt;0,1,0)</f>
        <v>0</v>
      </c>
      <c r="R188">
        <f>IF(COUNTIFS('United Data'!$A$3:$A$2150,R$1,'United Data'!$C$3:$C$2150,$A188,'United Data'!$B$3:$B$2150,"&lt;&gt;P")&gt;0,1,0)</f>
        <v>0</v>
      </c>
      <c r="S188">
        <f t="shared" si="4"/>
        <v>10</v>
      </c>
      <c r="T188">
        <f t="shared" si="5"/>
        <v>2</v>
      </c>
    </row>
    <row r="189" spans="1:20" x14ac:dyDescent="0.2">
      <c r="A189" t="s">
        <v>234</v>
      </c>
      <c r="B189">
        <f>IF(COUNTIFS('United Data'!$A$3:$A$2150,B$1,'United Data'!$C$3:$C$2150,$A189,'United Data'!$B$3:$B$2150,"&lt;&gt;P")&gt;0,1,0)</f>
        <v>0</v>
      </c>
      <c r="C189">
        <f>IF(COUNTIFS('United Data'!$A$3:$A$2150,C$1,'United Data'!$C$3:$C$2150,$A189,'United Data'!$B$3:$B$2150,"&lt;&gt;P")&gt;0,1,0)</f>
        <v>0</v>
      </c>
      <c r="D189">
        <f>IF(COUNTIFS('United Data'!$A$3:$A$2150,D$1,'United Data'!$C$3:$C$2150,$A189,'United Data'!$B$3:$B$2150,"&lt;&gt;P")&gt;0,1,0)</f>
        <v>0</v>
      </c>
      <c r="E189">
        <f>IF(COUNTIFS('United Data'!$A$3:$A$2150,E$1,'United Data'!$C$3:$C$2150,$A189,'United Data'!$B$3:$B$2150,"&lt;&gt;P")&gt;0,1,0)</f>
        <v>1</v>
      </c>
      <c r="F189">
        <f>IF(COUNTIFS('United Data'!$A$3:$A$2150,F$1,'United Data'!$C$3:$C$2150,$A189,'United Data'!$B$3:$B$2150,"&lt;&gt;P")&gt;0,1,0)</f>
        <v>1</v>
      </c>
      <c r="G189">
        <f>IF(COUNTIFS('United Data'!$A$3:$A$2150,G$1,'United Data'!$C$3:$C$2150,$A189,'United Data'!$B$3:$B$2150,"&lt;&gt;P")&gt;0,1,0)</f>
        <v>1</v>
      </c>
      <c r="H189">
        <f>IF(COUNTIFS('United Data'!$A$3:$A$2150,H$1,'United Data'!$C$3:$C$2150,$A189,'United Data'!$B$3:$B$2150,"&lt;&gt;P")&gt;0,1,0)</f>
        <v>0</v>
      </c>
      <c r="I189">
        <f>IF(COUNTIFS('United Data'!$A$3:$A$2150,I$1,'United Data'!$C$3:$C$2150,$A189,'United Data'!$B$3:$B$2150,"&lt;&gt;P")&gt;0,1,0)</f>
        <v>0</v>
      </c>
      <c r="J189">
        <f>IF(COUNTIFS('United Data'!$A$3:$A$2150,J$1,'United Data'!$C$3:$C$2150,$A189,'United Data'!$B$3:$B$2150,"&lt;&gt;P")&gt;0,1,0)</f>
        <v>0</v>
      </c>
      <c r="K189">
        <f>IF(COUNTIFS('United Data'!$A$3:$A$2150,K$1,'United Data'!$C$3:$C$2150,$A189,'United Data'!$B$3:$B$2150,"&lt;&gt;P")&gt;0,1,0)</f>
        <v>0</v>
      </c>
      <c r="L189">
        <f>IF(COUNTIFS('United Data'!$A$3:$A$2150,L$1,'United Data'!$C$3:$C$2150,$A189,'United Data'!$B$3:$B$2150,"&lt;&gt;P")&gt;0,1,0)</f>
        <v>0</v>
      </c>
      <c r="M189">
        <f>IF(COUNTIFS('United Data'!$A$3:$A$2150,M$1,'United Data'!$C$3:$C$2150,$A189,'United Data'!$B$3:$B$2150,"&lt;&gt;P")&gt;0,1,0)</f>
        <v>0</v>
      </c>
      <c r="N189">
        <f>IF(COUNTIFS('United Data'!$A$3:$A$2150,N$1,'United Data'!$C$3:$C$2150,$A189,'United Data'!$B$3:$B$2150,"&lt;&gt;P")&gt;0,1,0)</f>
        <v>0</v>
      </c>
      <c r="O189">
        <f>IF(COUNTIFS('United Data'!$A$3:$A$2150,O$1,'United Data'!$C$3:$C$2150,$A189,'United Data'!$B$3:$B$2150,"&lt;&gt;P")&gt;0,1,0)</f>
        <v>0</v>
      </c>
      <c r="P189">
        <f>IF(COUNTIFS('United Data'!$A$3:$A$2150,P$1,'United Data'!$C$3:$C$2150,$A189,'United Data'!$B$3:$B$2150,"&lt;&gt;P")&gt;0,1,0)</f>
        <v>0</v>
      </c>
      <c r="Q189">
        <f>IF(COUNTIFS('United Data'!$A$3:$A$2150,Q$1,'United Data'!$C$3:$C$2150,$A189,'United Data'!$B$3:$B$2150,"&lt;&gt;P")&gt;0,1,0)</f>
        <v>0</v>
      </c>
      <c r="R189">
        <f>IF(COUNTIFS('United Data'!$A$3:$A$2150,R$1,'United Data'!$C$3:$C$2150,$A189,'United Data'!$B$3:$B$2150,"&lt;&gt;P")&gt;0,1,0)</f>
        <v>0</v>
      </c>
      <c r="S189">
        <f t="shared" si="4"/>
        <v>3</v>
      </c>
      <c r="T189">
        <f t="shared" si="5"/>
        <v>1</v>
      </c>
    </row>
    <row r="190" spans="1:20" x14ac:dyDescent="0.2">
      <c r="A190" t="s">
        <v>235</v>
      </c>
      <c r="B190">
        <f>IF(COUNTIFS('United Data'!$A$3:$A$2150,B$1,'United Data'!$C$3:$C$2150,$A190,'United Data'!$B$3:$B$2150,"&lt;&gt;P")&gt;0,1,0)</f>
        <v>0</v>
      </c>
      <c r="C190">
        <f>IF(COUNTIFS('United Data'!$A$3:$A$2150,C$1,'United Data'!$C$3:$C$2150,$A190,'United Data'!$B$3:$B$2150,"&lt;&gt;P")&gt;0,1,0)</f>
        <v>0</v>
      </c>
      <c r="D190">
        <f>IF(COUNTIFS('United Data'!$A$3:$A$2150,D$1,'United Data'!$C$3:$C$2150,$A190,'United Data'!$B$3:$B$2150,"&lt;&gt;P")&gt;0,1,0)</f>
        <v>0</v>
      </c>
      <c r="E190">
        <f>IF(COUNTIFS('United Data'!$A$3:$A$2150,E$1,'United Data'!$C$3:$C$2150,$A190,'United Data'!$B$3:$B$2150,"&lt;&gt;P")&gt;0,1,0)</f>
        <v>0</v>
      </c>
      <c r="F190">
        <f>IF(COUNTIFS('United Data'!$A$3:$A$2150,F$1,'United Data'!$C$3:$C$2150,$A190,'United Data'!$B$3:$B$2150,"&lt;&gt;P")&gt;0,1,0)</f>
        <v>1</v>
      </c>
      <c r="G190">
        <f>IF(COUNTIFS('United Data'!$A$3:$A$2150,G$1,'United Data'!$C$3:$C$2150,$A190,'United Data'!$B$3:$B$2150,"&lt;&gt;P")&gt;0,1,0)</f>
        <v>0</v>
      </c>
      <c r="H190">
        <f>IF(COUNTIFS('United Data'!$A$3:$A$2150,H$1,'United Data'!$C$3:$C$2150,$A190,'United Data'!$B$3:$B$2150,"&lt;&gt;P")&gt;0,1,0)</f>
        <v>0</v>
      </c>
      <c r="I190">
        <f>IF(COUNTIFS('United Data'!$A$3:$A$2150,I$1,'United Data'!$C$3:$C$2150,$A190,'United Data'!$B$3:$B$2150,"&lt;&gt;P")&gt;0,1,0)</f>
        <v>0</v>
      </c>
      <c r="J190">
        <f>IF(COUNTIFS('United Data'!$A$3:$A$2150,J$1,'United Data'!$C$3:$C$2150,$A190,'United Data'!$B$3:$B$2150,"&lt;&gt;P")&gt;0,1,0)</f>
        <v>0</v>
      </c>
      <c r="K190">
        <f>IF(COUNTIFS('United Data'!$A$3:$A$2150,K$1,'United Data'!$C$3:$C$2150,$A190,'United Data'!$B$3:$B$2150,"&lt;&gt;P")&gt;0,1,0)</f>
        <v>0</v>
      </c>
      <c r="L190">
        <f>IF(COUNTIFS('United Data'!$A$3:$A$2150,L$1,'United Data'!$C$3:$C$2150,$A190,'United Data'!$B$3:$B$2150,"&lt;&gt;P")&gt;0,1,0)</f>
        <v>0</v>
      </c>
      <c r="M190">
        <f>IF(COUNTIFS('United Data'!$A$3:$A$2150,M$1,'United Data'!$C$3:$C$2150,$A190,'United Data'!$B$3:$B$2150,"&lt;&gt;P")&gt;0,1,0)</f>
        <v>0</v>
      </c>
      <c r="N190">
        <f>IF(COUNTIFS('United Data'!$A$3:$A$2150,N$1,'United Data'!$C$3:$C$2150,$A190,'United Data'!$B$3:$B$2150,"&lt;&gt;P")&gt;0,1,0)</f>
        <v>0</v>
      </c>
      <c r="O190">
        <f>IF(COUNTIFS('United Data'!$A$3:$A$2150,O$1,'United Data'!$C$3:$C$2150,$A190,'United Data'!$B$3:$B$2150,"&lt;&gt;P")&gt;0,1,0)</f>
        <v>0</v>
      </c>
      <c r="P190">
        <f>IF(COUNTIFS('United Data'!$A$3:$A$2150,P$1,'United Data'!$C$3:$C$2150,$A190,'United Data'!$B$3:$B$2150,"&lt;&gt;P")&gt;0,1,0)</f>
        <v>0</v>
      </c>
      <c r="Q190">
        <f>IF(COUNTIFS('United Data'!$A$3:$A$2150,Q$1,'United Data'!$C$3:$C$2150,$A190,'United Data'!$B$3:$B$2150,"&lt;&gt;P")&gt;0,1,0)</f>
        <v>0</v>
      </c>
      <c r="R190">
        <f>IF(COUNTIFS('United Data'!$A$3:$A$2150,R$1,'United Data'!$C$3:$C$2150,$A190,'United Data'!$B$3:$B$2150,"&lt;&gt;P")&gt;0,1,0)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236</v>
      </c>
      <c r="B191">
        <f>IF(COUNTIFS('United Data'!$A$3:$A$2150,B$1,'United Data'!$C$3:$C$2150,$A191,'United Data'!$B$3:$B$2150,"&lt;&gt;P")&gt;0,1,0)</f>
        <v>0</v>
      </c>
      <c r="C191">
        <f>IF(COUNTIFS('United Data'!$A$3:$A$2150,C$1,'United Data'!$C$3:$C$2150,$A191,'United Data'!$B$3:$B$2150,"&lt;&gt;P")&gt;0,1,0)</f>
        <v>0</v>
      </c>
      <c r="D191">
        <f>IF(COUNTIFS('United Data'!$A$3:$A$2150,D$1,'United Data'!$C$3:$C$2150,$A191,'United Data'!$B$3:$B$2150,"&lt;&gt;P")&gt;0,1,0)</f>
        <v>0</v>
      </c>
      <c r="E191">
        <f>IF(COUNTIFS('United Data'!$A$3:$A$2150,E$1,'United Data'!$C$3:$C$2150,$A191,'United Data'!$B$3:$B$2150,"&lt;&gt;P")&gt;0,1,0)</f>
        <v>0</v>
      </c>
      <c r="F191">
        <f>IF(COUNTIFS('United Data'!$A$3:$A$2150,F$1,'United Data'!$C$3:$C$2150,$A191,'United Data'!$B$3:$B$2150,"&lt;&gt;P")&gt;0,1,0)</f>
        <v>1</v>
      </c>
      <c r="G191">
        <f>IF(COUNTIFS('United Data'!$A$3:$A$2150,G$1,'United Data'!$C$3:$C$2150,$A191,'United Data'!$B$3:$B$2150,"&lt;&gt;P")&gt;0,1,0)</f>
        <v>1</v>
      </c>
      <c r="H191">
        <f>IF(COUNTIFS('United Data'!$A$3:$A$2150,H$1,'United Data'!$C$3:$C$2150,$A191,'United Data'!$B$3:$B$2150,"&lt;&gt;P")&gt;0,1,0)</f>
        <v>0</v>
      </c>
      <c r="I191">
        <f>IF(COUNTIFS('United Data'!$A$3:$A$2150,I$1,'United Data'!$C$3:$C$2150,$A191,'United Data'!$B$3:$B$2150,"&lt;&gt;P")&gt;0,1,0)</f>
        <v>0</v>
      </c>
      <c r="J191">
        <f>IF(COUNTIFS('United Data'!$A$3:$A$2150,J$1,'United Data'!$C$3:$C$2150,$A191,'United Data'!$B$3:$B$2150,"&lt;&gt;P")&gt;0,1,0)</f>
        <v>0</v>
      </c>
      <c r="K191">
        <f>IF(COUNTIFS('United Data'!$A$3:$A$2150,K$1,'United Data'!$C$3:$C$2150,$A191,'United Data'!$B$3:$B$2150,"&lt;&gt;P")&gt;0,1,0)</f>
        <v>0</v>
      </c>
      <c r="L191">
        <f>IF(COUNTIFS('United Data'!$A$3:$A$2150,L$1,'United Data'!$C$3:$C$2150,$A191,'United Data'!$B$3:$B$2150,"&lt;&gt;P")&gt;0,1,0)</f>
        <v>0</v>
      </c>
      <c r="M191">
        <f>IF(COUNTIFS('United Data'!$A$3:$A$2150,M$1,'United Data'!$C$3:$C$2150,$A191,'United Data'!$B$3:$B$2150,"&lt;&gt;P")&gt;0,1,0)</f>
        <v>0</v>
      </c>
      <c r="N191">
        <f>IF(COUNTIFS('United Data'!$A$3:$A$2150,N$1,'United Data'!$C$3:$C$2150,$A191,'United Data'!$B$3:$B$2150,"&lt;&gt;P")&gt;0,1,0)</f>
        <v>0</v>
      </c>
      <c r="O191">
        <f>IF(COUNTIFS('United Data'!$A$3:$A$2150,O$1,'United Data'!$C$3:$C$2150,$A191,'United Data'!$B$3:$B$2150,"&lt;&gt;P")&gt;0,1,0)</f>
        <v>0</v>
      </c>
      <c r="P191">
        <f>IF(COUNTIFS('United Data'!$A$3:$A$2150,P$1,'United Data'!$C$3:$C$2150,$A191,'United Data'!$B$3:$B$2150,"&lt;&gt;P")&gt;0,1,0)</f>
        <v>0</v>
      </c>
      <c r="Q191">
        <f>IF(COUNTIFS('United Data'!$A$3:$A$2150,Q$1,'United Data'!$C$3:$C$2150,$A191,'United Data'!$B$3:$B$2150,"&lt;&gt;P")&gt;0,1,0)</f>
        <v>0</v>
      </c>
      <c r="R191">
        <f>IF(COUNTIFS('United Data'!$A$3:$A$2150,R$1,'United Data'!$C$3:$C$2150,$A191,'United Data'!$B$3:$B$2150,"&lt;&gt;P")&gt;0,1,0)</f>
        <v>0</v>
      </c>
      <c r="S191">
        <f t="shared" si="4"/>
        <v>2</v>
      </c>
      <c r="T191">
        <f t="shared" si="5"/>
        <v>1</v>
      </c>
    </row>
    <row r="192" spans="1:20" x14ac:dyDescent="0.2">
      <c r="A192" t="s">
        <v>237</v>
      </c>
      <c r="B192">
        <f>IF(COUNTIFS('United Data'!$A$3:$A$2150,B$1,'United Data'!$C$3:$C$2150,$A192,'United Data'!$B$3:$B$2150,"&lt;&gt;P")&gt;0,1,0)</f>
        <v>0</v>
      </c>
      <c r="C192">
        <f>IF(COUNTIFS('United Data'!$A$3:$A$2150,C$1,'United Data'!$C$3:$C$2150,$A192,'United Data'!$B$3:$B$2150,"&lt;&gt;P")&gt;0,1,0)</f>
        <v>0</v>
      </c>
      <c r="D192">
        <f>IF(COUNTIFS('United Data'!$A$3:$A$2150,D$1,'United Data'!$C$3:$C$2150,$A192,'United Data'!$B$3:$B$2150,"&lt;&gt;P")&gt;0,1,0)</f>
        <v>0</v>
      </c>
      <c r="E192">
        <f>IF(COUNTIFS('United Data'!$A$3:$A$2150,E$1,'United Data'!$C$3:$C$2150,$A192,'United Data'!$B$3:$B$2150,"&lt;&gt;P")&gt;0,1,0)</f>
        <v>0</v>
      </c>
      <c r="F192">
        <f>IF(COUNTIFS('United Data'!$A$3:$A$2150,F$1,'United Data'!$C$3:$C$2150,$A192,'United Data'!$B$3:$B$2150,"&lt;&gt;P")&gt;0,1,0)</f>
        <v>1</v>
      </c>
      <c r="G192">
        <f>IF(COUNTIFS('United Data'!$A$3:$A$2150,G$1,'United Data'!$C$3:$C$2150,$A192,'United Data'!$B$3:$B$2150,"&lt;&gt;P")&gt;0,1,0)</f>
        <v>1</v>
      </c>
      <c r="H192">
        <f>IF(COUNTIFS('United Data'!$A$3:$A$2150,H$1,'United Data'!$C$3:$C$2150,$A192,'United Data'!$B$3:$B$2150,"&lt;&gt;P")&gt;0,1,0)</f>
        <v>1</v>
      </c>
      <c r="I192">
        <f>IF(COUNTIFS('United Data'!$A$3:$A$2150,I$1,'United Data'!$C$3:$C$2150,$A192,'United Data'!$B$3:$B$2150,"&lt;&gt;P")&gt;0,1,0)</f>
        <v>1</v>
      </c>
      <c r="J192">
        <f>IF(COUNTIFS('United Data'!$A$3:$A$2150,J$1,'United Data'!$C$3:$C$2150,$A192,'United Data'!$B$3:$B$2150,"&lt;&gt;P")&gt;0,1,0)</f>
        <v>1</v>
      </c>
      <c r="K192">
        <f>IF(COUNTIFS('United Data'!$A$3:$A$2150,K$1,'United Data'!$C$3:$C$2150,$A192,'United Data'!$B$3:$B$2150,"&lt;&gt;P")&gt;0,1,0)</f>
        <v>1</v>
      </c>
      <c r="L192">
        <f>IF(COUNTIFS('United Data'!$A$3:$A$2150,L$1,'United Data'!$C$3:$C$2150,$A192,'United Data'!$B$3:$B$2150,"&lt;&gt;P")&gt;0,1,0)</f>
        <v>1</v>
      </c>
      <c r="M192">
        <f>IF(COUNTIFS('United Data'!$A$3:$A$2150,M$1,'United Data'!$C$3:$C$2150,$A192,'United Data'!$B$3:$B$2150,"&lt;&gt;P")&gt;0,1,0)</f>
        <v>1</v>
      </c>
      <c r="N192">
        <f>IF(COUNTIFS('United Data'!$A$3:$A$2150,N$1,'United Data'!$C$3:$C$2150,$A192,'United Data'!$B$3:$B$2150,"&lt;&gt;P")&gt;0,1,0)</f>
        <v>1</v>
      </c>
      <c r="O192">
        <f>IF(COUNTIFS('United Data'!$A$3:$A$2150,O$1,'United Data'!$C$3:$C$2150,$A192,'United Data'!$B$3:$B$2150,"&lt;&gt;P")&gt;0,1,0)</f>
        <v>0</v>
      </c>
      <c r="P192">
        <f>IF(COUNTIFS('United Data'!$A$3:$A$2150,P$1,'United Data'!$C$3:$C$2150,$A192,'United Data'!$B$3:$B$2150,"&lt;&gt;P")&gt;0,1,0)</f>
        <v>0</v>
      </c>
      <c r="Q192">
        <f>IF(COUNTIFS('United Data'!$A$3:$A$2150,Q$1,'United Data'!$C$3:$C$2150,$A192,'United Data'!$B$3:$B$2150,"&lt;&gt;P")&gt;0,1,0)</f>
        <v>0</v>
      </c>
      <c r="R192">
        <f>IF(COUNTIFS('United Data'!$A$3:$A$2150,R$1,'United Data'!$C$3:$C$2150,$A192,'United Data'!$B$3:$B$2150,"&lt;&gt;P")&gt;0,1,0)</f>
        <v>0</v>
      </c>
      <c r="S192">
        <f t="shared" si="4"/>
        <v>9</v>
      </c>
      <c r="T192">
        <f t="shared" si="5"/>
        <v>1</v>
      </c>
    </row>
    <row r="193" spans="1:20" x14ac:dyDescent="0.2">
      <c r="A193" t="s">
        <v>238</v>
      </c>
      <c r="B193">
        <f>IF(COUNTIFS('United Data'!$A$3:$A$2150,B$1,'United Data'!$C$3:$C$2150,$A193,'United Data'!$B$3:$B$2150,"&lt;&gt;P")&gt;0,1,0)</f>
        <v>0</v>
      </c>
      <c r="C193">
        <f>IF(COUNTIFS('United Data'!$A$3:$A$2150,C$1,'United Data'!$C$3:$C$2150,$A193,'United Data'!$B$3:$B$2150,"&lt;&gt;P")&gt;0,1,0)</f>
        <v>0</v>
      </c>
      <c r="D193">
        <f>IF(COUNTIFS('United Data'!$A$3:$A$2150,D$1,'United Data'!$C$3:$C$2150,$A193,'United Data'!$B$3:$B$2150,"&lt;&gt;P")&gt;0,1,0)</f>
        <v>0</v>
      </c>
      <c r="E193">
        <f>IF(COUNTIFS('United Data'!$A$3:$A$2150,E$1,'United Data'!$C$3:$C$2150,$A193,'United Data'!$B$3:$B$2150,"&lt;&gt;P")&gt;0,1,0)</f>
        <v>0</v>
      </c>
      <c r="F193">
        <f>IF(COUNTIFS('United Data'!$A$3:$A$2150,F$1,'United Data'!$C$3:$C$2150,$A193,'United Data'!$B$3:$B$2150,"&lt;&gt;P")&gt;0,1,0)</f>
        <v>1</v>
      </c>
      <c r="G193">
        <f>IF(COUNTIFS('United Data'!$A$3:$A$2150,G$1,'United Data'!$C$3:$C$2150,$A193,'United Data'!$B$3:$B$2150,"&lt;&gt;P")&gt;0,1,0)</f>
        <v>0</v>
      </c>
      <c r="H193">
        <f>IF(COUNTIFS('United Data'!$A$3:$A$2150,H$1,'United Data'!$C$3:$C$2150,$A193,'United Data'!$B$3:$B$2150,"&lt;&gt;P")&gt;0,1,0)</f>
        <v>0</v>
      </c>
      <c r="I193">
        <f>IF(COUNTIFS('United Data'!$A$3:$A$2150,I$1,'United Data'!$C$3:$C$2150,$A193,'United Data'!$B$3:$B$2150,"&lt;&gt;P")&gt;0,1,0)</f>
        <v>0</v>
      </c>
      <c r="J193">
        <f>IF(COUNTIFS('United Data'!$A$3:$A$2150,J$1,'United Data'!$C$3:$C$2150,$A193,'United Data'!$B$3:$B$2150,"&lt;&gt;P")&gt;0,1,0)</f>
        <v>0</v>
      </c>
      <c r="K193">
        <f>IF(COUNTIFS('United Data'!$A$3:$A$2150,K$1,'United Data'!$C$3:$C$2150,$A193,'United Data'!$B$3:$B$2150,"&lt;&gt;P")&gt;0,1,0)</f>
        <v>0</v>
      </c>
      <c r="L193">
        <f>IF(COUNTIFS('United Data'!$A$3:$A$2150,L$1,'United Data'!$C$3:$C$2150,$A193,'United Data'!$B$3:$B$2150,"&lt;&gt;P")&gt;0,1,0)</f>
        <v>0</v>
      </c>
      <c r="M193">
        <f>IF(COUNTIFS('United Data'!$A$3:$A$2150,M$1,'United Data'!$C$3:$C$2150,$A193,'United Data'!$B$3:$B$2150,"&lt;&gt;P")&gt;0,1,0)</f>
        <v>0</v>
      </c>
      <c r="N193">
        <f>IF(COUNTIFS('United Data'!$A$3:$A$2150,N$1,'United Data'!$C$3:$C$2150,$A193,'United Data'!$B$3:$B$2150,"&lt;&gt;P")&gt;0,1,0)</f>
        <v>0</v>
      </c>
      <c r="O193">
        <f>IF(COUNTIFS('United Data'!$A$3:$A$2150,O$1,'United Data'!$C$3:$C$2150,$A193,'United Data'!$B$3:$B$2150,"&lt;&gt;P")&gt;0,1,0)</f>
        <v>0</v>
      </c>
      <c r="P193">
        <f>IF(COUNTIFS('United Data'!$A$3:$A$2150,P$1,'United Data'!$C$3:$C$2150,$A193,'United Data'!$B$3:$B$2150,"&lt;&gt;P")&gt;0,1,0)</f>
        <v>0</v>
      </c>
      <c r="Q193">
        <f>IF(COUNTIFS('United Data'!$A$3:$A$2150,Q$1,'United Data'!$C$3:$C$2150,$A193,'United Data'!$B$3:$B$2150,"&lt;&gt;P")&gt;0,1,0)</f>
        <v>0</v>
      </c>
      <c r="R193">
        <f>IF(COUNTIFS('United Data'!$A$3:$A$2150,R$1,'United Data'!$C$3:$C$2150,$A193,'United Data'!$B$3:$B$2150,"&lt;&gt;P")&gt;0,1,0)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239</v>
      </c>
      <c r="B194">
        <f>IF(COUNTIFS('United Data'!$A$3:$A$2150,B$1,'United Data'!$C$3:$C$2150,$A194,'United Data'!$B$3:$B$2150,"&lt;&gt;P")&gt;0,1,0)</f>
        <v>0</v>
      </c>
      <c r="C194">
        <f>IF(COUNTIFS('United Data'!$A$3:$A$2150,C$1,'United Data'!$C$3:$C$2150,$A194,'United Data'!$B$3:$B$2150,"&lt;&gt;P")&gt;0,1,0)</f>
        <v>0</v>
      </c>
      <c r="D194">
        <f>IF(COUNTIFS('United Data'!$A$3:$A$2150,D$1,'United Data'!$C$3:$C$2150,$A194,'United Data'!$B$3:$B$2150,"&lt;&gt;P")&gt;0,1,0)</f>
        <v>0</v>
      </c>
      <c r="E194">
        <f>IF(COUNTIFS('United Data'!$A$3:$A$2150,E$1,'United Data'!$C$3:$C$2150,$A194,'United Data'!$B$3:$B$2150,"&lt;&gt;P")&gt;0,1,0)</f>
        <v>0</v>
      </c>
      <c r="F194">
        <f>IF(COUNTIFS('United Data'!$A$3:$A$2150,F$1,'United Data'!$C$3:$C$2150,$A194,'United Data'!$B$3:$B$2150,"&lt;&gt;P")&gt;0,1,0)</f>
        <v>1</v>
      </c>
      <c r="G194">
        <f>IF(COUNTIFS('United Data'!$A$3:$A$2150,G$1,'United Data'!$C$3:$C$2150,$A194,'United Data'!$B$3:$B$2150,"&lt;&gt;P")&gt;0,1,0)</f>
        <v>1</v>
      </c>
      <c r="H194">
        <f>IF(COUNTIFS('United Data'!$A$3:$A$2150,H$1,'United Data'!$C$3:$C$2150,$A194,'United Data'!$B$3:$B$2150,"&lt;&gt;P")&gt;0,1,0)</f>
        <v>1</v>
      </c>
      <c r="I194">
        <f>IF(COUNTIFS('United Data'!$A$3:$A$2150,I$1,'United Data'!$C$3:$C$2150,$A194,'United Data'!$B$3:$B$2150,"&lt;&gt;P")&gt;0,1,0)</f>
        <v>1</v>
      </c>
      <c r="J194">
        <f>IF(COUNTIFS('United Data'!$A$3:$A$2150,J$1,'United Data'!$C$3:$C$2150,$A194,'United Data'!$B$3:$B$2150,"&lt;&gt;P")&gt;0,1,0)</f>
        <v>1</v>
      </c>
      <c r="K194">
        <f>IF(COUNTIFS('United Data'!$A$3:$A$2150,K$1,'United Data'!$C$3:$C$2150,$A194,'United Data'!$B$3:$B$2150,"&lt;&gt;P")&gt;0,1,0)</f>
        <v>1</v>
      </c>
      <c r="L194">
        <f>IF(COUNTIFS('United Data'!$A$3:$A$2150,L$1,'United Data'!$C$3:$C$2150,$A194,'United Data'!$B$3:$B$2150,"&lt;&gt;P")&gt;0,1,0)</f>
        <v>1</v>
      </c>
      <c r="M194">
        <f>IF(COUNTIFS('United Data'!$A$3:$A$2150,M$1,'United Data'!$C$3:$C$2150,$A194,'United Data'!$B$3:$B$2150,"&lt;&gt;P")&gt;0,1,0)</f>
        <v>1</v>
      </c>
      <c r="N194">
        <f>IF(COUNTIFS('United Data'!$A$3:$A$2150,N$1,'United Data'!$C$3:$C$2150,$A194,'United Data'!$B$3:$B$2150,"&lt;&gt;P")&gt;0,1,0)</f>
        <v>1</v>
      </c>
      <c r="O194">
        <f>IF(COUNTIFS('United Data'!$A$3:$A$2150,O$1,'United Data'!$C$3:$C$2150,$A194,'United Data'!$B$3:$B$2150,"&lt;&gt;P")&gt;0,1,0)</f>
        <v>1</v>
      </c>
      <c r="P194">
        <f>IF(COUNTIFS('United Data'!$A$3:$A$2150,P$1,'United Data'!$C$3:$C$2150,$A194,'United Data'!$B$3:$B$2150,"&lt;&gt;P")&gt;0,1,0)</f>
        <v>1</v>
      </c>
      <c r="Q194">
        <f>IF(COUNTIFS('United Data'!$A$3:$A$2150,Q$1,'United Data'!$C$3:$C$2150,$A194,'United Data'!$B$3:$B$2150,"&lt;&gt;P")&gt;0,1,0)</f>
        <v>0</v>
      </c>
      <c r="R194">
        <f>IF(COUNTIFS('United Data'!$A$3:$A$2150,R$1,'United Data'!$C$3:$C$2150,$A194,'United Data'!$B$3:$B$2150,"&lt;&gt;P")&gt;0,1,0)</f>
        <v>0</v>
      </c>
      <c r="S194">
        <f t="shared" ref="S194:S257" si="6">SUM(B194:R194)</f>
        <v>11</v>
      </c>
      <c r="T194">
        <f t="shared" ref="T194:T257" si="7">B194+SUMPRODUCT(--(C194:R194&gt;B194:Q194))</f>
        <v>1</v>
      </c>
    </row>
    <row r="195" spans="1:20" x14ac:dyDescent="0.2">
      <c r="A195" t="s">
        <v>240</v>
      </c>
      <c r="B195">
        <f>IF(COUNTIFS('United Data'!$A$3:$A$2150,B$1,'United Data'!$C$3:$C$2150,$A195,'United Data'!$B$3:$B$2150,"&lt;&gt;P")&gt;0,1,0)</f>
        <v>0</v>
      </c>
      <c r="C195">
        <f>IF(COUNTIFS('United Data'!$A$3:$A$2150,C$1,'United Data'!$C$3:$C$2150,$A195,'United Data'!$B$3:$B$2150,"&lt;&gt;P")&gt;0,1,0)</f>
        <v>0</v>
      </c>
      <c r="D195">
        <f>IF(COUNTIFS('United Data'!$A$3:$A$2150,D$1,'United Data'!$C$3:$C$2150,$A195,'United Data'!$B$3:$B$2150,"&lt;&gt;P")&gt;0,1,0)</f>
        <v>0</v>
      </c>
      <c r="E195">
        <f>IF(COUNTIFS('United Data'!$A$3:$A$2150,E$1,'United Data'!$C$3:$C$2150,$A195,'United Data'!$B$3:$B$2150,"&lt;&gt;P")&gt;0,1,0)</f>
        <v>0</v>
      </c>
      <c r="F195">
        <f>IF(COUNTIFS('United Data'!$A$3:$A$2150,F$1,'United Data'!$C$3:$C$2150,$A195,'United Data'!$B$3:$B$2150,"&lt;&gt;P")&gt;0,1,0)</f>
        <v>1</v>
      </c>
      <c r="G195">
        <f>IF(COUNTIFS('United Data'!$A$3:$A$2150,G$1,'United Data'!$C$3:$C$2150,$A195,'United Data'!$B$3:$B$2150,"&lt;&gt;P")&gt;0,1,0)</f>
        <v>0</v>
      </c>
      <c r="H195">
        <f>IF(COUNTIFS('United Data'!$A$3:$A$2150,H$1,'United Data'!$C$3:$C$2150,$A195,'United Data'!$B$3:$B$2150,"&lt;&gt;P")&gt;0,1,0)</f>
        <v>0</v>
      </c>
      <c r="I195">
        <f>IF(COUNTIFS('United Data'!$A$3:$A$2150,I$1,'United Data'!$C$3:$C$2150,$A195,'United Data'!$B$3:$B$2150,"&lt;&gt;P")&gt;0,1,0)</f>
        <v>0</v>
      </c>
      <c r="J195">
        <f>IF(COUNTIFS('United Data'!$A$3:$A$2150,J$1,'United Data'!$C$3:$C$2150,$A195,'United Data'!$B$3:$B$2150,"&lt;&gt;P")&gt;0,1,0)</f>
        <v>0</v>
      </c>
      <c r="K195">
        <f>IF(COUNTIFS('United Data'!$A$3:$A$2150,K$1,'United Data'!$C$3:$C$2150,$A195,'United Data'!$B$3:$B$2150,"&lt;&gt;P")&gt;0,1,0)</f>
        <v>0</v>
      </c>
      <c r="L195">
        <f>IF(COUNTIFS('United Data'!$A$3:$A$2150,L$1,'United Data'!$C$3:$C$2150,$A195,'United Data'!$B$3:$B$2150,"&lt;&gt;P")&gt;0,1,0)</f>
        <v>0</v>
      </c>
      <c r="M195">
        <f>IF(COUNTIFS('United Data'!$A$3:$A$2150,M$1,'United Data'!$C$3:$C$2150,$A195,'United Data'!$B$3:$B$2150,"&lt;&gt;P")&gt;0,1,0)</f>
        <v>0</v>
      </c>
      <c r="N195">
        <f>IF(COUNTIFS('United Data'!$A$3:$A$2150,N$1,'United Data'!$C$3:$C$2150,$A195,'United Data'!$B$3:$B$2150,"&lt;&gt;P")&gt;0,1,0)</f>
        <v>0</v>
      </c>
      <c r="O195">
        <f>IF(COUNTIFS('United Data'!$A$3:$A$2150,O$1,'United Data'!$C$3:$C$2150,$A195,'United Data'!$B$3:$B$2150,"&lt;&gt;P")&gt;0,1,0)</f>
        <v>0</v>
      </c>
      <c r="P195">
        <f>IF(COUNTIFS('United Data'!$A$3:$A$2150,P$1,'United Data'!$C$3:$C$2150,$A195,'United Data'!$B$3:$B$2150,"&lt;&gt;P")&gt;0,1,0)</f>
        <v>0</v>
      </c>
      <c r="Q195">
        <f>IF(COUNTIFS('United Data'!$A$3:$A$2150,Q$1,'United Data'!$C$3:$C$2150,$A195,'United Data'!$B$3:$B$2150,"&lt;&gt;P")&gt;0,1,0)</f>
        <v>0</v>
      </c>
      <c r="R195">
        <f>IF(COUNTIFS('United Data'!$A$3:$A$2150,R$1,'United Data'!$C$3:$C$2150,$A195,'United Data'!$B$3:$B$2150,"&lt;&gt;P")&gt;0,1,0)</f>
        <v>0</v>
      </c>
      <c r="S195">
        <f t="shared" si="6"/>
        <v>1</v>
      </c>
      <c r="T195">
        <f t="shared" si="7"/>
        <v>1</v>
      </c>
    </row>
    <row r="196" spans="1:20" x14ac:dyDescent="0.2">
      <c r="A196" t="s">
        <v>241</v>
      </c>
      <c r="B196">
        <f>IF(COUNTIFS('United Data'!$A$3:$A$2150,B$1,'United Data'!$C$3:$C$2150,$A196,'United Data'!$B$3:$B$2150,"&lt;&gt;P")&gt;0,1,0)</f>
        <v>0</v>
      </c>
      <c r="C196">
        <f>IF(COUNTIFS('United Data'!$A$3:$A$2150,C$1,'United Data'!$C$3:$C$2150,$A196,'United Data'!$B$3:$B$2150,"&lt;&gt;P")&gt;0,1,0)</f>
        <v>0</v>
      </c>
      <c r="D196">
        <f>IF(COUNTIFS('United Data'!$A$3:$A$2150,D$1,'United Data'!$C$3:$C$2150,$A196,'United Data'!$B$3:$B$2150,"&lt;&gt;P")&gt;0,1,0)</f>
        <v>0</v>
      </c>
      <c r="E196">
        <f>IF(COUNTIFS('United Data'!$A$3:$A$2150,E$1,'United Data'!$C$3:$C$2150,$A196,'United Data'!$B$3:$B$2150,"&lt;&gt;P")&gt;0,1,0)</f>
        <v>0</v>
      </c>
      <c r="F196">
        <f>IF(COUNTIFS('United Data'!$A$3:$A$2150,F$1,'United Data'!$C$3:$C$2150,$A196,'United Data'!$B$3:$B$2150,"&lt;&gt;P")&gt;0,1,0)</f>
        <v>1</v>
      </c>
      <c r="G196">
        <f>IF(COUNTIFS('United Data'!$A$3:$A$2150,G$1,'United Data'!$C$3:$C$2150,$A196,'United Data'!$B$3:$B$2150,"&lt;&gt;P")&gt;0,1,0)</f>
        <v>1</v>
      </c>
      <c r="H196">
        <f>IF(COUNTIFS('United Data'!$A$3:$A$2150,H$1,'United Data'!$C$3:$C$2150,$A196,'United Data'!$B$3:$B$2150,"&lt;&gt;P")&gt;0,1,0)</f>
        <v>0</v>
      </c>
      <c r="I196">
        <f>IF(COUNTIFS('United Data'!$A$3:$A$2150,I$1,'United Data'!$C$3:$C$2150,$A196,'United Data'!$B$3:$B$2150,"&lt;&gt;P")&gt;0,1,0)</f>
        <v>0</v>
      </c>
      <c r="J196">
        <f>IF(COUNTIFS('United Data'!$A$3:$A$2150,J$1,'United Data'!$C$3:$C$2150,$A196,'United Data'!$B$3:$B$2150,"&lt;&gt;P")&gt;0,1,0)</f>
        <v>0</v>
      </c>
      <c r="K196">
        <f>IF(COUNTIFS('United Data'!$A$3:$A$2150,K$1,'United Data'!$C$3:$C$2150,$A196,'United Data'!$B$3:$B$2150,"&lt;&gt;P")&gt;0,1,0)</f>
        <v>0</v>
      </c>
      <c r="L196">
        <f>IF(COUNTIFS('United Data'!$A$3:$A$2150,L$1,'United Data'!$C$3:$C$2150,$A196,'United Data'!$B$3:$B$2150,"&lt;&gt;P")&gt;0,1,0)</f>
        <v>0</v>
      </c>
      <c r="M196">
        <f>IF(COUNTIFS('United Data'!$A$3:$A$2150,M$1,'United Data'!$C$3:$C$2150,$A196,'United Data'!$B$3:$B$2150,"&lt;&gt;P")&gt;0,1,0)</f>
        <v>0</v>
      </c>
      <c r="N196">
        <f>IF(COUNTIFS('United Data'!$A$3:$A$2150,N$1,'United Data'!$C$3:$C$2150,$A196,'United Data'!$B$3:$B$2150,"&lt;&gt;P")&gt;0,1,0)</f>
        <v>0</v>
      </c>
      <c r="O196">
        <f>IF(COUNTIFS('United Data'!$A$3:$A$2150,O$1,'United Data'!$C$3:$C$2150,$A196,'United Data'!$B$3:$B$2150,"&lt;&gt;P")&gt;0,1,0)</f>
        <v>0</v>
      </c>
      <c r="P196">
        <f>IF(COUNTIFS('United Data'!$A$3:$A$2150,P$1,'United Data'!$C$3:$C$2150,$A196,'United Data'!$B$3:$B$2150,"&lt;&gt;P")&gt;0,1,0)</f>
        <v>0</v>
      </c>
      <c r="Q196">
        <f>IF(COUNTIFS('United Data'!$A$3:$A$2150,Q$1,'United Data'!$C$3:$C$2150,$A196,'United Data'!$B$3:$B$2150,"&lt;&gt;P")&gt;0,1,0)</f>
        <v>0</v>
      </c>
      <c r="R196">
        <f>IF(COUNTIFS('United Data'!$A$3:$A$2150,R$1,'United Data'!$C$3:$C$2150,$A196,'United Data'!$B$3:$B$2150,"&lt;&gt;P")&gt;0,1,0)</f>
        <v>0</v>
      </c>
      <c r="S196">
        <f t="shared" si="6"/>
        <v>2</v>
      </c>
      <c r="T196">
        <f t="shared" si="7"/>
        <v>1</v>
      </c>
    </row>
    <row r="197" spans="1:20" x14ac:dyDescent="0.2">
      <c r="A197" t="s">
        <v>242</v>
      </c>
      <c r="B197">
        <f>IF(COUNTIFS('United Data'!$A$3:$A$2150,B$1,'United Data'!$C$3:$C$2150,$A197,'United Data'!$B$3:$B$2150,"&lt;&gt;P")&gt;0,1,0)</f>
        <v>0</v>
      </c>
      <c r="C197">
        <f>IF(COUNTIFS('United Data'!$A$3:$A$2150,C$1,'United Data'!$C$3:$C$2150,$A197,'United Data'!$B$3:$B$2150,"&lt;&gt;P")&gt;0,1,0)</f>
        <v>0</v>
      </c>
      <c r="D197">
        <f>IF(COUNTIFS('United Data'!$A$3:$A$2150,D$1,'United Data'!$C$3:$C$2150,$A197,'United Data'!$B$3:$B$2150,"&lt;&gt;P")&gt;0,1,0)</f>
        <v>0</v>
      </c>
      <c r="E197">
        <f>IF(COUNTIFS('United Data'!$A$3:$A$2150,E$1,'United Data'!$C$3:$C$2150,$A197,'United Data'!$B$3:$B$2150,"&lt;&gt;P")&gt;0,1,0)</f>
        <v>0</v>
      </c>
      <c r="F197">
        <f>IF(COUNTIFS('United Data'!$A$3:$A$2150,F$1,'United Data'!$C$3:$C$2150,$A197,'United Data'!$B$3:$B$2150,"&lt;&gt;P")&gt;0,1,0)</f>
        <v>0</v>
      </c>
      <c r="G197">
        <f>IF(COUNTIFS('United Data'!$A$3:$A$2150,G$1,'United Data'!$C$3:$C$2150,$A197,'United Data'!$B$3:$B$2150,"&lt;&gt;P")&gt;0,1,0)</f>
        <v>1</v>
      </c>
      <c r="H197">
        <f>IF(COUNTIFS('United Data'!$A$3:$A$2150,H$1,'United Data'!$C$3:$C$2150,$A197,'United Data'!$B$3:$B$2150,"&lt;&gt;P")&gt;0,1,0)</f>
        <v>0</v>
      </c>
      <c r="I197">
        <f>IF(COUNTIFS('United Data'!$A$3:$A$2150,I$1,'United Data'!$C$3:$C$2150,$A197,'United Data'!$B$3:$B$2150,"&lt;&gt;P")&gt;0,1,0)</f>
        <v>0</v>
      </c>
      <c r="J197">
        <f>IF(COUNTIFS('United Data'!$A$3:$A$2150,J$1,'United Data'!$C$3:$C$2150,$A197,'United Data'!$B$3:$B$2150,"&lt;&gt;P")&gt;0,1,0)</f>
        <v>0</v>
      </c>
      <c r="K197">
        <f>IF(COUNTIFS('United Data'!$A$3:$A$2150,K$1,'United Data'!$C$3:$C$2150,$A197,'United Data'!$B$3:$B$2150,"&lt;&gt;P")&gt;0,1,0)</f>
        <v>0</v>
      </c>
      <c r="L197">
        <f>IF(COUNTIFS('United Data'!$A$3:$A$2150,L$1,'United Data'!$C$3:$C$2150,$A197,'United Data'!$B$3:$B$2150,"&lt;&gt;P")&gt;0,1,0)</f>
        <v>0</v>
      </c>
      <c r="M197">
        <f>IF(COUNTIFS('United Data'!$A$3:$A$2150,M$1,'United Data'!$C$3:$C$2150,$A197,'United Data'!$B$3:$B$2150,"&lt;&gt;P")&gt;0,1,0)</f>
        <v>0</v>
      </c>
      <c r="N197">
        <f>IF(COUNTIFS('United Data'!$A$3:$A$2150,N$1,'United Data'!$C$3:$C$2150,$A197,'United Data'!$B$3:$B$2150,"&lt;&gt;P")&gt;0,1,0)</f>
        <v>0</v>
      </c>
      <c r="O197">
        <f>IF(COUNTIFS('United Data'!$A$3:$A$2150,O$1,'United Data'!$C$3:$C$2150,$A197,'United Data'!$B$3:$B$2150,"&lt;&gt;P")&gt;0,1,0)</f>
        <v>0</v>
      </c>
      <c r="P197">
        <f>IF(COUNTIFS('United Data'!$A$3:$A$2150,P$1,'United Data'!$C$3:$C$2150,$A197,'United Data'!$B$3:$B$2150,"&lt;&gt;P")&gt;0,1,0)</f>
        <v>0</v>
      </c>
      <c r="Q197">
        <f>IF(COUNTIFS('United Data'!$A$3:$A$2150,Q$1,'United Data'!$C$3:$C$2150,$A197,'United Data'!$B$3:$B$2150,"&lt;&gt;P")&gt;0,1,0)</f>
        <v>0</v>
      </c>
      <c r="R197">
        <f>IF(COUNTIFS('United Data'!$A$3:$A$2150,R$1,'United Data'!$C$3:$C$2150,$A197,'United Data'!$B$3:$B$2150,"&lt;&gt;P")&gt;0,1,0)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243</v>
      </c>
      <c r="B198">
        <f>IF(COUNTIFS('United Data'!$A$3:$A$2150,B$1,'United Data'!$C$3:$C$2150,$A198,'United Data'!$B$3:$B$2150,"&lt;&gt;P")&gt;0,1,0)</f>
        <v>0</v>
      </c>
      <c r="C198">
        <f>IF(COUNTIFS('United Data'!$A$3:$A$2150,C$1,'United Data'!$C$3:$C$2150,$A198,'United Data'!$B$3:$B$2150,"&lt;&gt;P")&gt;0,1,0)</f>
        <v>0</v>
      </c>
      <c r="D198">
        <f>IF(COUNTIFS('United Data'!$A$3:$A$2150,D$1,'United Data'!$C$3:$C$2150,$A198,'United Data'!$B$3:$B$2150,"&lt;&gt;P")&gt;0,1,0)</f>
        <v>0</v>
      </c>
      <c r="E198">
        <f>IF(COUNTIFS('United Data'!$A$3:$A$2150,E$1,'United Data'!$C$3:$C$2150,$A198,'United Data'!$B$3:$B$2150,"&lt;&gt;P")&gt;0,1,0)</f>
        <v>0</v>
      </c>
      <c r="F198">
        <f>IF(COUNTIFS('United Data'!$A$3:$A$2150,F$1,'United Data'!$C$3:$C$2150,$A198,'United Data'!$B$3:$B$2150,"&lt;&gt;P")&gt;0,1,0)</f>
        <v>0</v>
      </c>
      <c r="G198">
        <f>IF(COUNTIFS('United Data'!$A$3:$A$2150,G$1,'United Data'!$C$3:$C$2150,$A198,'United Data'!$B$3:$B$2150,"&lt;&gt;P")&gt;0,1,0)</f>
        <v>1</v>
      </c>
      <c r="H198">
        <f>IF(COUNTIFS('United Data'!$A$3:$A$2150,H$1,'United Data'!$C$3:$C$2150,$A198,'United Data'!$B$3:$B$2150,"&lt;&gt;P")&gt;0,1,0)</f>
        <v>1</v>
      </c>
      <c r="I198">
        <f>IF(COUNTIFS('United Data'!$A$3:$A$2150,I$1,'United Data'!$C$3:$C$2150,$A198,'United Data'!$B$3:$B$2150,"&lt;&gt;P")&gt;0,1,0)</f>
        <v>1</v>
      </c>
      <c r="J198">
        <f>IF(COUNTIFS('United Data'!$A$3:$A$2150,J$1,'United Data'!$C$3:$C$2150,$A198,'United Data'!$B$3:$B$2150,"&lt;&gt;P")&gt;0,1,0)</f>
        <v>1</v>
      </c>
      <c r="K198">
        <f>IF(COUNTIFS('United Data'!$A$3:$A$2150,K$1,'United Data'!$C$3:$C$2150,$A198,'United Data'!$B$3:$B$2150,"&lt;&gt;P")&gt;0,1,0)</f>
        <v>1</v>
      </c>
      <c r="L198">
        <f>IF(COUNTIFS('United Data'!$A$3:$A$2150,L$1,'United Data'!$C$3:$C$2150,$A198,'United Data'!$B$3:$B$2150,"&lt;&gt;P")&gt;0,1,0)</f>
        <v>1</v>
      </c>
      <c r="M198">
        <f>IF(COUNTIFS('United Data'!$A$3:$A$2150,M$1,'United Data'!$C$3:$C$2150,$A198,'United Data'!$B$3:$B$2150,"&lt;&gt;P")&gt;0,1,0)</f>
        <v>0</v>
      </c>
      <c r="N198">
        <f>IF(COUNTIFS('United Data'!$A$3:$A$2150,N$1,'United Data'!$C$3:$C$2150,$A198,'United Data'!$B$3:$B$2150,"&lt;&gt;P")&gt;0,1,0)</f>
        <v>0</v>
      </c>
      <c r="O198">
        <f>IF(COUNTIFS('United Data'!$A$3:$A$2150,O$1,'United Data'!$C$3:$C$2150,$A198,'United Data'!$B$3:$B$2150,"&lt;&gt;P")&gt;0,1,0)</f>
        <v>0</v>
      </c>
      <c r="P198">
        <f>IF(COUNTIFS('United Data'!$A$3:$A$2150,P$1,'United Data'!$C$3:$C$2150,$A198,'United Data'!$B$3:$B$2150,"&lt;&gt;P")&gt;0,1,0)</f>
        <v>0</v>
      </c>
      <c r="Q198">
        <f>IF(COUNTIFS('United Data'!$A$3:$A$2150,Q$1,'United Data'!$C$3:$C$2150,$A198,'United Data'!$B$3:$B$2150,"&lt;&gt;P")&gt;0,1,0)</f>
        <v>0</v>
      </c>
      <c r="R198">
        <f>IF(COUNTIFS('United Data'!$A$3:$A$2150,R$1,'United Data'!$C$3:$C$2150,$A198,'United Data'!$B$3:$B$2150,"&lt;&gt;P")&gt;0,1,0)</f>
        <v>0</v>
      </c>
      <c r="S198">
        <f t="shared" si="6"/>
        <v>6</v>
      </c>
      <c r="T198">
        <f t="shared" si="7"/>
        <v>1</v>
      </c>
    </row>
    <row r="199" spans="1:20" x14ac:dyDescent="0.2">
      <c r="A199" t="s">
        <v>244</v>
      </c>
      <c r="B199">
        <f>IF(COUNTIFS('United Data'!$A$3:$A$2150,B$1,'United Data'!$C$3:$C$2150,$A199,'United Data'!$B$3:$B$2150,"&lt;&gt;P")&gt;0,1,0)</f>
        <v>0</v>
      </c>
      <c r="C199">
        <f>IF(COUNTIFS('United Data'!$A$3:$A$2150,C$1,'United Data'!$C$3:$C$2150,$A199,'United Data'!$B$3:$B$2150,"&lt;&gt;P")&gt;0,1,0)</f>
        <v>0</v>
      </c>
      <c r="D199">
        <f>IF(COUNTIFS('United Data'!$A$3:$A$2150,D$1,'United Data'!$C$3:$C$2150,$A199,'United Data'!$B$3:$B$2150,"&lt;&gt;P")&gt;0,1,0)</f>
        <v>0</v>
      </c>
      <c r="E199">
        <f>IF(COUNTIFS('United Data'!$A$3:$A$2150,E$1,'United Data'!$C$3:$C$2150,$A199,'United Data'!$B$3:$B$2150,"&lt;&gt;P")&gt;0,1,0)</f>
        <v>0</v>
      </c>
      <c r="F199">
        <f>IF(COUNTIFS('United Data'!$A$3:$A$2150,F$1,'United Data'!$C$3:$C$2150,$A199,'United Data'!$B$3:$B$2150,"&lt;&gt;P")&gt;0,1,0)</f>
        <v>0</v>
      </c>
      <c r="G199">
        <f>IF(COUNTIFS('United Data'!$A$3:$A$2150,G$1,'United Data'!$C$3:$C$2150,$A199,'United Data'!$B$3:$B$2150,"&lt;&gt;P")&gt;0,1,0)</f>
        <v>1</v>
      </c>
      <c r="H199">
        <f>IF(COUNTIFS('United Data'!$A$3:$A$2150,H$1,'United Data'!$C$3:$C$2150,$A199,'United Data'!$B$3:$B$2150,"&lt;&gt;P")&gt;0,1,0)</f>
        <v>0</v>
      </c>
      <c r="I199">
        <f>IF(COUNTIFS('United Data'!$A$3:$A$2150,I$1,'United Data'!$C$3:$C$2150,$A199,'United Data'!$B$3:$B$2150,"&lt;&gt;P")&gt;0,1,0)</f>
        <v>0</v>
      </c>
      <c r="J199">
        <f>IF(COUNTIFS('United Data'!$A$3:$A$2150,J$1,'United Data'!$C$3:$C$2150,$A199,'United Data'!$B$3:$B$2150,"&lt;&gt;P")&gt;0,1,0)</f>
        <v>0</v>
      </c>
      <c r="K199">
        <f>IF(COUNTIFS('United Data'!$A$3:$A$2150,K$1,'United Data'!$C$3:$C$2150,$A199,'United Data'!$B$3:$B$2150,"&lt;&gt;P")&gt;0,1,0)</f>
        <v>0</v>
      </c>
      <c r="L199">
        <f>IF(COUNTIFS('United Data'!$A$3:$A$2150,L$1,'United Data'!$C$3:$C$2150,$A199,'United Data'!$B$3:$B$2150,"&lt;&gt;P")&gt;0,1,0)</f>
        <v>0</v>
      </c>
      <c r="M199">
        <f>IF(COUNTIFS('United Data'!$A$3:$A$2150,M$1,'United Data'!$C$3:$C$2150,$A199,'United Data'!$B$3:$B$2150,"&lt;&gt;P")&gt;0,1,0)</f>
        <v>0</v>
      </c>
      <c r="N199">
        <f>IF(COUNTIFS('United Data'!$A$3:$A$2150,N$1,'United Data'!$C$3:$C$2150,$A199,'United Data'!$B$3:$B$2150,"&lt;&gt;P")&gt;0,1,0)</f>
        <v>0</v>
      </c>
      <c r="O199">
        <f>IF(COUNTIFS('United Data'!$A$3:$A$2150,O$1,'United Data'!$C$3:$C$2150,$A199,'United Data'!$B$3:$B$2150,"&lt;&gt;P")&gt;0,1,0)</f>
        <v>0</v>
      </c>
      <c r="P199">
        <f>IF(COUNTIFS('United Data'!$A$3:$A$2150,P$1,'United Data'!$C$3:$C$2150,$A199,'United Data'!$B$3:$B$2150,"&lt;&gt;P")&gt;0,1,0)</f>
        <v>0</v>
      </c>
      <c r="Q199">
        <f>IF(COUNTIFS('United Data'!$A$3:$A$2150,Q$1,'United Data'!$C$3:$C$2150,$A199,'United Data'!$B$3:$B$2150,"&lt;&gt;P")&gt;0,1,0)</f>
        <v>0</v>
      </c>
      <c r="R199">
        <f>IF(COUNTIFS('United Data'!$A$3:$A$2150,R$1,'United Data'!$C$3:$C$2150,$A199,'United Data'!$B$3:$B$2150,"&lt;&gt;P")&gt;0,1,0)</f>
        <v>0</v>
      </c>
      <c r="S199">
        <f t="shared" si="6"/>
        <v>1</v>
      </c>
      <c r="T199">
        <f t="shared" si="7"/>
        <v>1</v>
      </c>
    </row>
    <row r="200" spans="1:20" x14ac:dyDescent="0.2">
      <c r="A200" t="s">
        <v>245</v>
      </c>
      <c r="B200">
        <f>IF(COUNTIFS('United Data'!$A$3:$A$2150,B$1,'United Data'!$C$3:$C$2150,$A200,'United Data'!$B$3:$B$2150,"&lt;&gt;P")&gt;0,1,0)</f>
        <v>0</v>
      </c>
      <c r="C200">
        <f>IF(COUNTIFS('United Data'!$A$3:$A$2150,C$1,'United Data'!$C$3:$C$2150,$A200,'United Data'!$B$3:$B$2150,"&lt;&gt;P")&gt;0,1,0)</f>
        <v>0</v>
      </c>
      <c r="D200">
        <f>IF(COUNTIFS('United Data'!$A$3:$A$2150,D$1,'United Data'!$C$3:$C$2150,$A200,'United Data'!$B$3:$B$2150,"&lt;&gt;P")&gt;0,1,0)</f>
        <v>0</v>
      </c>
      <c r="E200">
        <f>IF(COUNTIFS('United Data'!$A$3:$A$2150,E$1,'United Data'!$C$3:$C$2150,$A200,'United Data'!$B$3:$B$2150,"&lt;&gt;P")&gt;0,1,0)</f>
        <v>0</v>
      </c>
      <c r="F200">
        <f>IF(COUNTIFS('United Data'!$A$3:$A$2150,F$1,'United Data'!$C$3:$C$2150,$A200,'United Data'!$B$3:$B$2150,"&lt;&gt;P")&gt;0,1,0)</f>
        <v>0</v>
      </c>
      <c r="G200">
        <f>IF(COUNTIFS('United Data'!$A$3:$A$2150,G$1,'United Data'!$C$3:$C$2150,$A200,'United Data'!$B$3:$B$2150,"&lt;&gt;P")&gt;0,1,0)</f>
        <v>1</v>
      </c>
      <c r="H200">
        <f>IF(COUNTIFS('United Data'!$A$3:$A$2150,H$1,'United Data'!$C$3:$C$2150,$A200,'United Data'!$B$3:$B$2150,"&lt;&gt;P")&gt;0,1,0)</f>
        <v>0</v>
      </c>
      <c r="I200">
        <f>IF(COUNTIFS('United Data'!$A$3:$A$2150,I$1,'United Data'!$C$3:$C$2150,$A200,'United Data'!$B$3:$B$2150,"&lt;&gt;P")&gt;0,1,0)</f>
        <v>0</v>
      </c>
      <c r="J200">
        <f>IF(COUNTIFS('United Data'!$A$3:$A$2150,J$1,'United Data'!$C$3:$C$2150,$A200,'United Data'!$B$3:$B$2150,"&lt;&gt;P")&gt;0,1,0)</f>
        <v>0</v>
      </c>
      <c r="K200">
        <f>IF(COUNTIFS('United Data'!$A$3:$A$2150,K$1,'United Data'!$C$3:$C$2150,$A200,'United Data'!$B$3:$B$2150,"&lt;&gt;P")&gt;0,1,0)</f>
        <v>0</v>
      </c>
      <c r="L200">
        <f>IF(COUNTIFS('United Data'!$A$3:$A$2150,L$1,'United Data'!$C$3:$C$2150,$A200,'United Data'!$B$3:$B$2150,"&lt;&gt;P")&gt;0,1,0)</f>
        <v>0</v>
      </c>
      <c r="M200">
        <f>IF(COUNTIFS('United Data'!$A$3:$A$2150,M$1,'United Data'!$C$3:$C$2150,$A200,'United Data'!$B$3:$B$2150,"&lt;&gt;P")&gt;0,1,0)</f>
        <v>0</v>
      </c>
      <c r="N200">
        <f>IF(COUNTIFS('United Data'!$A$3:$A$2150,N$1,'United Data'!$C$3:$C$2150,$A200,'United Data'!$B$3:$B$2150,"&lt;&gt;P")&gt;0,1,0)</f>
        <v>0</v>
      </c>
      <c r="O200">
        <f>IF(COUNTIFS('United Data'!$A$3:$A$2150,O$1,'United Data'!$C$3:$C$2150,$A200,'United Data'!$B$3:$B$2150,"&lt;&gt;P")&gt;0,1,0)</f>
        <v>0</v>
      </c>
      <c r="P200">
        <f>IF(COUNTIFS('United Data'!$A$3:$A$2150,P$1,'United Data'!$C$3:$C$2150,$A200,'United Data'!$B$3:$B$2150,"&lt;&gt;P")&gt;0,1,0)</f>
        <v>0</v>
      </c>
      <c r="Q200">
        <f>IF(COUNTIFS('United Data'!$A$3:$A$2150,Q$1,'United Data'!$C$3:$C$2150,$A200,'United Data'!$B$3:$B$2150,"&lt;&gt;P")&gt;0,1,0)</f>
        <v>0</v>
      </c>
      <c r="R200">
        <f>IF(COUNTIFS('United Data'!$A$3:$A$2150,R$1,'United Data'!$C$3:$C$2150,$A200,'United Data'!$B$3:$B$2150,"&lt;&gt;P")&gt;0,1,0)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246</v>
      </c>
      <c r="B201">
        <f>IF(COUNTIFS('United Data'!$A$3:$A$2150,B$1,'United Data'!$C$3:$C$2150,$A201,'United Data'!$B$3:$B$2150,"&lt;&gt;P")&gt;0,1,0)</f>
        <v>0</v>
      </c>
      <c r="C201">
        <f>IF(COUNTIFS('United Data'!$A$3:$A$2150,C$1,'United Data'!$C$3:$C$2150,$A201,'United Data'!$B$3:$B$2150,"&lt;&gt;P")&gt;0,1,0)</f>
        <v>0</v>
      </c>
      <c r="D201">
        <f>IF(COUNTIFS('United Data'!$A$3:$A$2150,D$1,'United Data'!$C$3:$C$2150,$A201,'United Data'!$B$3:$B$2150,"&lt;&gt;P")&gt;0,1,0)</f>
        <v>0</v>
      </c>
      <c r="E201">
        <f>IF(COUNTIFS('United Data'!$A$3:$A$2150,E$1,'United Data'!$C$3:$C$2150,$A201,'United Data'!$B$3:$B$2150,"&lt;&gt;P")&gt;0,1,0)</f>
        <v>0</v>
      </c>
      <c r="F201">
        <f>IF(COUNTIFS('United Data'!$A$3:$A$2150,F$1,'United Data'!$C$3:$C$2150,$A201,'United Data'!$B$3:$B$2150,"&lt;&gt;P")&gt;0,1,0)</f>
        <v>0</v>
      </c>
      <c r="G201">
        <f>IF(COUNTIFS('United Data'!$A$3:$A$2150,G$1,'United Data'!$C$3:$C$2150,$A201,'United Data'!$B$3:$B$2150,"&lt;&gt;P")&gt;0,1,0)</f>
        <v>1</v>
      </c>
      <c r="H201">
        <f>IF(COUNTIFS('United Data'!$A$3:$A$2150,H$1,'United Data'!$C$3:$C$2150,$A201,'United Data'!$B$3:$B$2150,"&lt;&gt;P")&gt;0,1,0)</f>
        <v>1</v>
      </c>
      <c r="I201">
        <f>IF(COUNTIFS('United Data'!$A$3:$A$2150,I$1,'United Data'!$C$3:$C$2150,$A201,'United Data'!$B$3:$B$2150,"&lt;&gt;P")&gt;0,1,0)</f>
        <v>0</v>
      </c>
      <c r="J201">
        <f>IF(COUNTIFS('United Data'!$A$3:$A$2150,J$1,'United Data'!$C$3:$C$2150,$A201,'United Data'!$B$3:$B$2150,"&lt;&gt;P")&gt;0,1,0)</f>
        <v>0</v>
      </c>
      <c r="K201">
        <f>IF(COUNTIFS('United Data'!$A$3:$A$2150,K$1,'United Data'!$C$3:$C$2150,$A201,'United Data'!$B$3:$B$2150,"&lt;&gt;P")&gt;0,1,0)</f>
        <v>0</v>
      </c>
      <c r="L201">
        <f>IF(COUNTIFS('United Data'!$A$3:$A$2150,L$1,'United Data'!$C$3:$C$2150,$A201,'United Data'!$B$3:$B$2150,"&lt;&gt;P")&gt;0,1,0)</f>
        <v>0</v>
      </c>
      <c r="M201">
        <f>IF(COUNTIFS('United Data'!$A$3:$A$2150,M$1,'United Data'!$C$3:$C$2150,$A201,'United Data'!$B$3:$B$2150,"&lt;&gt;P")&gt;0,1,0)</f>
        <v>0</v>
      </c>
      <c r="N201">
        <f>IF(COUNTIFS('United Data'!$A$3:$A$2150,N$1,'United Data'!$C$3:$C$2150,$A201,'United Data'!$B$3:$B$2150,"&lt;&gt;P")&gt;0,1,0)</f>
        <v>0</v>
      </c>
      <c r="O201">
        <f>IF(COUNTIFS('United Data'!$A$3:$A$2150,O$1,'United Data'!$C$3:$C$2150,$A201,'United Data'!$B$3:$B$2150,"&lt;&gt;P")&gt;0,1,0)</f>
        <v>0</v>
      </c>
      <c r="P201">
        <f>IF(COUNTIFS('United Data'!$A$3:$A$2150,P$1,'United Data'!$C$3:$C$2150,$A201,'United Data'!$B$3:$B$2150,"&lt;&gt;P")&gt;0,1,0)</f>
        <v>0</v>
      </c>
      <c r="Q201">
        <f>IF(COUNTIFS('United Data'!$A$3:$A$2150,Q$1,'United Data'!$C$3:$C$2150,$A201,'United Data'!$B$3:$B$2150,"&lt;&gt;P")&gt;0,1,0)</f>
        <v>0</v>
      </c>
      <c r="R201">
        <f>IF(COUNTIFS('United Data'!$A$3:$A$2150,R$1,'United Data'!$C$3:$C$2150,$A201,'United Data'!$B$3:$B$2150,"&lt;&gt;P")&gt;0,1,0)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247</v>
      </c>
      <c r="B202">
        <f>IF(COUNTIFS('United Data'!$A$3:$A$2150,B$1,'United Data'!$C$3:$C$2150,$A202,'United Data'!$B$3:$B$2150,"&lt;&gt;P")&gt;0,1,0)</f>
        <v>0</v>
      </c>
      <c r="C202">
        <f>IF(COUNTIFS('United Data'!$A$3:$A$2150,C$1,'United Data'!$C$3:$C$2150,$A202,'United Data'!$B$3:$B$2150,"&lt;&gt;P")&gt;0,1,0)</f>
        <v>0</v>
      </c>
      <c r="D202">
        <f>IF(COUNTIFS('United Data'!$A$3:$A$2150,D$1,'United Data'!$C$3:$C$2150,$A202,'United Data'!$B$3:$B$2150,"&lt;&gt;P")&gt;0,1,0)</f>
        <v>0</v>
      </c>
      <c r="E202">
        <f>IF(COUNTIFS('United Data'!$A$3:$A$2150,E$1,'United Data'!$C$3:$C$2150,$A202,'United Data'!$B$3:$B$2150,"&lt;&gt;P")&gt;0,1,0)</f>
        <v>0</v>
      </c>
      <c r="F202">
        <f>IF(COUNTIFS('United Data'!$A$3:$A$2150,F$1,'United Data'!$C$3:$C$2150,$A202,'United Data'!$B$3:$B$2150,"&lt;&gt;P")&gt;0,1,0)</f>
        <v>0</v>
      </c>
      <c r="G202">
        <f>IF(COUNTIFS('United Data'!$A$3:$A$2150,G$1,'United Data'!$C$3:$C$2150,$A202,'United Data'!$B$3:$B$2150,"&lt;&gt;P")&gt;0,1,0)</f>
        <v>0</v>
      </c>
      <c r="H202">
        <f>IF(COUNTIFS('United Data'!$A$3:$A$2150,H$1,'United Data'!$C$3:$C$2150,$A202,'United Data'!$B$3:$B$2150,"&lt;&gt;P")&gt;0,1,0)</f>
        <v>1</v>
      </c>
      <c r="I202">
        <f>IF(COUNTIFS('United Data'!$A$3:$A$2150,I$1,'United Data'!$C$3:$C$2150,$A202,'United Data'!$B$3:$B$2150,"&lt;&gt;P")&gt;0,1,0)</f>
        <v>0</v>
      </c>
      <c r="J202">
        <f>IF(COUNTIFS('United Data'!$A$3:$A$2150,J$1,'United Data'!$C$3:$C$2150,$A202,'United Data'!$B$3:$B$2150,"&lt;&gt;P")&gt;0,1,0)</f>
        <v>0</v>
      </c>
      <c r="K202">
        <f>IF(COUNTIFS('United Data'!$A$3:$A$2150,K$1,'United Data'!$C$3:$C$2150,$A202,'United Data'!$B$3:$B$2150,"&lt;&gt;P")&gt;0,1,0)</f>
        <v>0</v>
      </c>
      <c r="L202">
        <f>IF(COUNTIFS('United Data'!$A$3:$A$2150,L$1,'United Data'!$C$3:$C$2150,$A202,'United Data'!$B$3:$B$2150,"&lt;&gt;P")&gt;0,1,0)</f>
        <v>0</v>
      </c>
      <c r="M202">
        <f>IF(COUNTIFS('United Data'!$A$3:$A$2150,M$1,'United Data'!$C$3:$C$2150,$A202,'United Data'!$B$3:$B$2150,"&lt;&gt;P")&gt;0,1,0)</f>
        <v>0</v>
      </c>
      <c r="N202">
        <f>IF(COUNTIFS('United Data'!$A$3:$A$2150,N$1,'United Data'!$C$3:$C$2150,$A202,'United Data'!$B$3:$B$2150,"&lt;&gt;P")&gt;0,1,0)</f>
        <v>0</v>
      </c>
      <c r="O202">
        <f>IF(COUNTIFS('United Data'!$A$3:$A$2150,O$1,'United Data'!$C$3:$C$2150,$A202,'United Data'!$B$3:$B$2150,"&lt;&gt;P")&gt;0,1,0)</f>
        <v>0</v>
      </c>
      <c r="P202">
        <f>IF(COUNTIFS('United Data'!$A$3:$A$2150,P$1,'United Data'!$C$3:$C$2150,$A202,'United Data'!$B$3:$B$2150,"&lt;&gt;P")&gt;0,1,0)</f>
        <v>0</v>
      </c>
      <c r="Q202">
        <f>IF(COUNTIFS('United Data'!$A$3:$A$2150,Q$1,'United Data'!$C$3:$C$2150,$A202,'United Data'!$B$3:$B$2150,"&lt;&gt;P")&gt;0,1,0)</f>
        <v>0</v>
      </c>
      <c r="R202">
        <f>IF(COUNTIFS('United Data'!$A$3:$A$2150,R$1,'United Data'!$C$3:$C$2150,$A202,'United Data'!$B$3:$B$2150,"&lt;&gt;P")&gt;0,1,0)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248</v>
      </c>
      <c r="B203">
        <f>IF(COUNTIFS('United Data'!$A$3:$A$2150,B$1,'United Data'!$C$3:$C$2150,$A203,'United Data'!$B$3:$B$2150,"&lt;&gt;P")&gt;0,1,0)</f>
        <v>0</v>
      </c>
      <c r="C203">
        <f>IF(COUNTIFS('United Data'!$A$3:$A$2150,C$1,'United Data'!$C$3:$C$2150,$A203,'United Data'!$B$3:$B$2150,"&lt;&gt;P")&gt;0,1,0)</f>
        <v>0</v>
      </c>
      <c r="D203">
        <f>IF(COUNTIFS('United Data'!$A$3:$A$2150,D$1,'United Data'!$C$3:$C$2150,$A203,'United Data'!$B$3:$B$2150,"&lt;&gt;P")&gt;0,1,0)</f>
        <v>0</v>
      </c>
      <c r="E203">
        <f>IF(COUNTIFS('United Data'!$A$3:$A$2150,E$1,'United Data'!$C$3:$C$2150,$A203,'United Data'!$B$3:$B$2150,"&lt;&gt;P")&gt;0,1,0)</f>
        <v>0</v>
      </c>
      <c r="F203">
        <f>IF(COUNTIFS('United Data'!$A$3:$A$2150,F$1,'United Data'!$C$3:$C$2150,$A203,'United Data'!$B$3:$B$2150,"&lt;&gt;P")&gt;0,1,0)</f>
        <v>0</v>
      </c>
      <c r="G203">
        <f>IF(COUNTIFS('United Data'!$A$3:$A$2150,G$1,'United Data'!$C$3:$C$2150,$A203,'United Data'!$B$3:$B$2150,"&lt;&gt;P")&gt;0,1,0)</f>
        <v>0</v>
      </c>
      <c r="H203">
        <f>IF(COUNTIFS('United Data'!$A$3:$A$2150,H$1,'United Data'!$C$3:$C$2150,$A203,'United Data'!$B$3:$B$2150,"&lt;&gt;P")&gt;0,1,0)</f>
        <v>1</v>
      </c>
      <c r="I203">
        <f>IF(COUNTIFS('United Data'!$A$3:$A$2150,I$1,'United Data'!$C$3:$C$2150,$A203,'United Data'!$B$3:$B$2150,"&lt;&gt;P")&gt;0,1,0)</f>
        <v>1</v>
      </c>
      <c r="J203">
        <f>IF(COUNTIFS('United Data'!$A$3:$A$2150,J$1,'United Data'!$C$3:$C$2150,$A203,'United Data'!$B$3:$B$2150,"&lt;&gt;P")&gt;0,1,0)</f>
        <v>1</v>
      </c>
      <c r="K203">
        <f>IF(COUNTIFS('United Data'!$A$3:$A$2150,K$1,'United Data'!$C$3:$C$2150,$A203,'United Data'!$B$3:$B$2150,"&lt;&gt;P")&gt;0,1,0)</f>
        <v>1</v>
      </c>
      <c r="L203">
        <f>IF(COUNTIFS('United Data'!$A$3:$A$2150,L$1,'United Data'!$C$3:$C$2150,$A203,'United Data'!$B$3:$B$2150,"&lt;&gt;P")&gt;0,1,0)</f>
        <v>1</v>
      </c>
      <c r="M203">
        <f>IF(COUNTIFS('United Data'!$A$3:$A$2150,M$1,'United Data'!$C$3:$C$2150,$A203,'United Data'!$B$3:$B$2150,"&lt;&gt;P")&gt;0,1,0)</f>
        <v>1</v>
      </c>
      <c r="N203">
        <f>IF(COUNTIFS('United Data'!$A$3:$A$2150,N$1,'United Data'!$C$3:$C$2150,$A203,'United Data'!$B$3:$B$2150,"&lt;&gt;P")&gt;0,1,0)</f>
        <v>1</v>
      </c>
      <c r="O203">
        <f>IF(COUNTIFS('United Data'!$A$3:$A$2150,O$1,'United Data'!$C$3:$C$2150,$A203,'United Data'!$B$3:$B$2150,"&lt;&gt;P")&gt;0,1,0)</f>
        <v>1</v>
      </c>
      <c r="P203">
        <f>IF(COUNTIFS('United Data'!$A$3:$A$2150,P$1,'United Data'!$C$3:$C$2150,$A203,'United Data'!$B$3:$B$2150,"&lt;&gt;P")&gt;0,1,0)</f>
        <v>1</v>
      </c>
      <c r="Q203">
        <f>IF(COUNTIFS('United Data'!$A$3:$A$2150,Q$1,'United Data'!$C$3:$C$2150,$A203,'United Data'!$B$3:$B$2150,"&lt;&gt;P")&gt;0,1,0)</f>
        <v>0</v>
      </c>
      <c r="R203">
        <f>IF(COUNTIFS('United Data'!$A$3:$A$2150,R$1,'United Data'!$C$3:$C$2150,$A203,'United Data'!$B$3:$B$2150,"&lt;&gt;P")&gt;0,1,0)</f>
        <v>0</v>
      </c>
      <c r="S203">
        <f t="shared" si="6"/>
        <v>9</v>
      </c>
      <c r="T203">
        <f t="shared" si="7"/>
        <v>1</v>
      </c>
    </row>
    <row r="204" spans="1:20" x14ac:dyDescent="0.2">
      <c r="A204" t="s">
        <v>249</v>
      </c>
      <c r="B204">
        <f>IF(COUNTIFS('United Data'!$A$3:$A$2150,B$1,'United Data'!$C$3:$C$2150,$A204,'United Data'!$B$3:$B$2150,"&lt;&gt;P")&gt;0,1,0)</f>
        <v>0</v>
      </c>
      <c r="C204">
        <f>IF(COUNTIFS('United Data'!$A$3:$A$2150,C$1,'United Data'!$C$3:$C$2150,$A204,'United Data'!$B$3:$B$2150,"&lt;&gt;P")&gt;0,1,0)</f>
        <v>0</v>
      </c>
      <c r="D204">
        <f>IF(COUNTIFS('United Data'!$A$3:$A$2150,D$1,'United Data'!$C$3:$C$2150,$A204,'United Data'!$B$3:$B$2150,"&lt;&gt;P")&gt;0,1,0)</f>
        <v>0</v>
      </c>
      <c r="E204">
        <f>IF(COUNTIFS('United Data'!$A$3:$A$2150,E$1,'United Data'!$C$3:$C$2150,$A204,'United Data'!$B$3:$B$2150,"&lt;&gt;P")&gt;0,1,0)</f>
        <v>0</v>
      </c>
      <c r="F204">
        <f>IF(COUNTIFS('United Data'!$A$3:$A$2150,F$1,'United Data'!$C$3:$C$2150,$A204,'United Data'!$B$3:$B$2150,"&lt;&gt;P")&gt;0,1,0)</f>
        <v>0</v>
      </c>
      <c r="G204">
        <f>IF(COUNTIFS('United Data'!$A$3:$A$2150,G$1,'United Data'!$C$3:$C$2150,$A204,'United Data'!$B$3:$B$2150,"&lt;&gt;P")&gt;0,1,0)</f>
        <v>0</v>
      </c>
      <c r="H204">
        <f>IF(COUNTIFS('United Data'!$A$3:$A$2150,H$1,'United Data'!$C$3:$C$2150,$A204,'United Data'!$B$3:$B$2150,"&lt;&gt;P")&gt;0,1,0)</f>
        <v>1</v>
      </c>
      <c r="I204">
        <f>IF(COUNTIFS('United Data'!$A$3:$A$2150,I$1,'United Data'!$C$3:$C$2150,$A204,'United Data'!$B$3:$B$2150,"&lt;&gt;P")&gt;0,1,0)</f>
        <v>1</v>
      </c>
      <c r="J204">
        <f>IF(COUNTIFS('United Data'!$A$3:$A$2150,J$1,'United Data'!$C$3:$C$2150,$A204,'United Data'!$B$3:$B$2150,"&lt;&gt;P")&gt;0,1,0)</f>
        <v>1</v>
      </c>
      <c r="K204">
        <f>IF(COUNTIFS('United Data'!$A$3:$A$2150,K$1,'United Data'!$C$3:$C$2150,$A204,'United Data'!$B$3:$B$2150,"&lt;&gt;P")&gt;0,1,0)</f>
        <v>1</v>
      </c>
      <c r="L204">
        <f>IF(COUNTIFS('United Data'!$A$3:$A$2150,L$1,'United Data'!$C$3:$C$2150,$A204,'United Data'!$B$3:$B$2150,"&lt;&gt;P")&gt;0,1,0)</f>
        <v>1</v>
      </c>
      <c r="M204">
        <f>IF(COUNTIFS('United Data'!$A$3:$A$2150,M$1,'United Data'!$C$3:$C$2150,$A204,'United Data'!$B$3:$B$2150,"&lt;&gt;P")&gt;0,1,0)</f>
        <v>0</v>
      </c>
      <c r="N204">
        <f>IF(COUNTIFS('United Data'!$A$3:$A$2150,N$1,'United Data'!$C$3:$C$2150,$A204,'United Data'!$B$3:$B$2150,"&lt;&gt;P")&gt;0,1,0)</f>
        <v>1</v>
      </c>
      <c r="O204">
        <f>IF(COUNTIFS('United Data'!$A$3:$A$2150,O$1,'United Data'!$C$3:$C$2150,$A204,'United Data'!$B$3:$B$2150,"&lt;&gt;P")&gt;0,1,0)</f>
        <v>1</v>
      </c>
      <c r="P204">
        <f>IF(COUNTIFS('United Data'!$A$3:$A$2150,P$1,'United Data'!$C$3:$C$2150,$A204,'United Data'!$B$3:$B$2150,"&lt;&gt;P")&gt;0,1,0)</f>
        <v>0</v>
      </c>
      <c r="Q204">
        <f>IF(COUNTIFS('United Data'!$A$3:$A$2150,Q$1,'United Data'!$C$3:$C$2150,$A204,'United Data'!$B$3:$B$2150,"&lt;&gt;P")&gt;0,1,0)</f>
        <v>0</v>
      </c>
      <c r="R204">
        <f>IF(COUNTIFS('United Data'!$A$3:$A$2150,R$1,'United Data'!$C$3:$C$2150,$A204,'United Data'!$B$3:$B$2150,"&lt;&gt;P")&gt;0,1,0)</f>
        <v>0</v>
      </c>
      <c r="S204">
        <f t="shared" si="6"/>
        <v>7</v>
      </c>
      <c r="T204">
        <f t="shared" si="7"/>
        <v>2</v>
      </c>
    </row>
    <row r="205" spans="1:20" x14ac:dyDescent="0.2">
      <c r="A205" t="s">
        <v>250</v>
      </c>
      <c r="B205">
        <f>IF(COUNTIFS('United Data'!$A$3:$A$2150,B$1,'United Data'!$C$3:$C$2150,$A205,'United Data'!$B$3:$B$2150,"&lt;&gt;P")&gt;0,1,0)</f>
        <v>0</v>
      </c>
      <c r="C205">
        <f>IF(COUNTIFS('United Data'!$A$3:$A$2150,C$1,'United Data'!$C$3:$C$2150,$A205,'United Data'!$B$3:$B$2150,"&lt;&gt;P")&gt;0,1,0)</f>
        <v>0</v>
      </c>
      <c r="D205">
        <f>IF(COUNTIFS('United Data'!$A$3:$A$2150,D$1,'United Data'!$C$3:$C$2150,$A205,'United Data'!$B$3:$B$2150,"&lt;&gt;P")&gt;0,1,0)</f>
        <v>0</v>
      </c>
      <c r="E205">
        <f>IF(COUNTIFS('United Data'!$A$3:$A$2150,E$1,'United Data'!$C$3:$C$2150,$A205,'United Data'!$B$3:$B$2150,"&lt;&gt;P")&gt;0,1,0)</f>
        <v>0</v>
      </c>
      <c r="F205">
        <f>IF(COUNTIFS('United Data'!$A$3:$A$2150,F$1,'United Data'!$C$3:$C$2150,$A205,'United Data'!$B$3:$B$2150,"&lt;&gt;P")&gt;0,1,0)</f>
        <v>0</v>
      </c>
      <c r="G205">
        <f>IF(COUNTIFS('United Data'!$A$3:$A$2150,G$1,'United Data'!$C$3:$C$2150,$A205,'United Data'!$B$3:$B$2150,"&lt;&gt;P")&gt;0,1,0)</f>
        <v>0</v>
      </c>
      <c r="H205">
        <f>IF(COUNTIFS('United Data'!$A$3:$A$2150,H$1,'United Data'!$C$3:$C$2150,$A205,'United Data'!$B$3:$B$2150,"&lt;&gt;P")&gt;0,1,0)</f>
        <v>1</v>
      </c>
      <c r="I205">
        <f>IF(COUNTIFS('United Data'!$A$3:$A$2150,I$1,'United Data'!$C$3:$C$2150,$A205,'United Data'!$B$3:$B$2150,"&lt;&gt;P")&gt;0,1,0)</f>
        <v>0</v>
      </c>
      <c r="J205">
        <f>IF(COUNTIFS('United Data'!$A$3:$A$2150,J$1,'United Data'!$C$3:$C$2150,$A205,'United Data'!$B$3:$B$2150,"&lt;&gt;P")&gt;0,1,0)</f>
        <v>0</v>
      </c>
      <c r="K205">
        <f>IF(COUNTIFS('United Data'!$A$3:$A$2150,K$1,'United Data'!$C$3:$C$2150,$A205,'United Data'!$B$3:$B$2150,"&lt;&gt;P")&gt;0,1,0)</f>
        <v>0</v>
      </c>
      <c r="L205">
        <f>IF(COUNTIFS('United Data'!$A$3:$A$2150,L$1,'United Data'!$C$3:$C$2150,$A205,'United Data'!$B$3:$B$2150,"&lt;&gt;P")&gt;0,1,0)</f>
        <v>0</v>
      </c>
      <c r="M205">
        <f>IF(COUNTIFS('United Data'!$A$3:$A$2150,M$1,'United Data'!$C$3:$C$2150,$A205,'United Data'!$B$3:$B$2150,"&lt;&gt;P")&gt;0,1,0)</f>
        <v>0</v>
      </c>
      <c r="N205">
        <f>IF(COUNTIFS('United Data'!$A$3:$A$2150,N$1,'United Data'!$C$3:$C$2150,$A205,'United Data'!$B$3:$B$2150,"&lt;&gt;P")&gt;0,1,0)</f>
        <v>0</v>
      </c>
      <c r="O205">
        <f>IF(COUNTIFS('United Data'!$A$3:$A$2150,O$1,'United Data'!$C$3:$C$2150,$A205,'United Data'!$B$3:$B$2150,"&lt;&gt;P")&gt;0,1,0)</f>
        <v>0</v>
      </c>
      <c r="P205">
        <f>IF(COUNTIFS('United Data'!$A$3:$A$2150,P$1,'United Data'!$C$3:$C$2150,$A205,'United Data'!$B$3:$B$2150,"&lt;&gt;P")&gt;0,1,0)</f>
        <v>0</v>
      </c>
      <c r="Q205">
        <f>IF(COUNTIFS('United Data'!$A$3:$A$2150,Q$1,'United Data'!$C$3:$C$2150,$A205,'United Data'!$B$3:$B$2150,"&lt;&gt;P")&gt;0,1,0)</f>
        <v>0</v>
      </c>
      <c r="R205">
        <f>IF(COUNTIFS('United Data'!$A$3:$A$2150,R$1,'United Data'!$C$3:$C$2150,$A205,'United Data'!$B$3:$B$2150,"&lt;&gt;P")&gt;0,1,0)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251</v>
      </c>
      <c r="B206">
        <f>IF(COUNTIFS('United Data'!$A$3:$A$2150,B$1,'United Data'!$C$3:$C$2150,$A206,'United Data'!$B$3:$B$2150,"&lt;&gt;P")&gt;0,1,0)</f>
        <v>0</v>
      </c>
      <c r="C206">
        <f>IF(COUNTIFS('United Data'!$A$3:$A$2150,C$1,'United Data'!$C$3:$C$2150,$A206,'United Data'!$B$3:$B$2150,"&lt;&gt;P")&gt;0,1,0)</f>
        <v>0</v>
      </c>
      <c r="D206">
        <f>IF(COUNTIFS('United Data'!$A$3:$A$2150,D$1,'United Data'!$C$3:$C$2150,$A206,'United Data'!$B$3:$B$2150,"&lt;&gt;P")&gt;0,1,0)</f>
        <v>0</v>
      </c>
      <c r="E206">
        <f>IF(COUNTIFS('United Data'!$A$3:$A$2150,E$1,'United Data'!$C$3:$C$2150,$A206,'United Data'!$B$3:$B$2150,"&lt;&gt;P")&gt;0,1,0)</f>
        <v>1</v>
      </c>
      <c r="F206">
        <f>IF(COUNTIFS('United Data'!$A$3:$A$2150,F$1,'United Data'!$C$3:$C$2150,$A206,'United Data'!$B$3:$B$2150,"&lt;&gt;P")&gt;0,1,0)</f>
        <v>0</v>
      </c>
      <c r="G206">
        <f>IF(COUNTIFS('United Data'!$A$3:$A$2150,G$1,'United Data'!$C$3:$C$2150,$A206,'United Data'!$B$3:$B$2150,"&lt;&gt;P")&gt;0,1,0)</f>
        <v>0</v>
      </c>
      <c r="H206">
        <f>IF(COUNTIFS('United Data'!$A$3:$A$2150,H$1,'United Data'!$C$3:$C$2150,$A206,'United Data'!$B$3:$B$2150,"&lt;&gt;P")&gt;0,1,0)</f>
        <v>1</v>
      </c>
      <c r="I206">
        <f>IF(COUNTIFS('United Data'!$A$3:$A$2150,I$1,'United Data'!$C$3:$C$2150,$A206,'United Data'!$B$3:$B$2150,"&lt;&gt;P")&gt;0,1,0)</f>
        <v>1</v>
      </c>
      <c r="J206">
        <f>IF(COUNTIFS('United Data'!$A$3:$A$2150,J$1,'United Data'!$C$3:$C$2150,$A206,'United Data'!$B$3:$B$2150,"&lt;&gt;P")&gt;0,1,0)</f>
        <v>1</v>
      </c>
      <c r="K206">
        <f>IF(COUNTIFS('United Data'!$A$3:$A$2150,K$1,'United Data'!$C$3:$C$2150,$A206,'United Data'!$B$3:$B$2150,"&lt;&gt;P")&gt;0,1,0)</f>
        <v>1</v>
      </c>
      <c r="L206">
        <f>IF(COUNTIFS('United Data'!$A$3:$A$2150,L$1,'United Data'!$C$3:$C$2150,$A206,'United Data'!$B$3:$B$2150,"&lt;&gt;P")&gt;0,1,0)</f>
        <v>0</v>
      </c>
      <c r="M206">
        <f>IF(COUNTIFS('United Data'!$A$3:$A$2150,M$1,'United Data'!$C$3:$C$2150,$A206,'United Data'!$B$3:$B$2150,"&lt;&gt;P")&gt;0,1,0)</f>
        <v>1</v>
      </c>
      <c r="N206">
        <f>IF(COUNTIFS('United Data'!$A$3:$A$2150,N$1,'United Data'!$C$3:$C$2150,$A206,'United Data'!$B$3:$B$2150,"&lt;&gt;P")&gt;0,1,0)</f>
        <v>1</v>
      </c>
      <c r="O206">
        <f>IF(COUNTIFS('United Data'!$A$3:$A$2150,O$1,'United Data'!$C$3:$C$2150,$A206,'United Data'!$B$3:$B$2150,"&lt;&gt;P")&gt;0,1,0)</f>
        <v>0</v>
      </c>
      <c r="P206">
        <f>IF(COUNTIFS('United Data'!$A$3:$A$2150,P$1,'United Data'!$C$3:$C$2150,$A206,'United Data'!$B$3:$B$2150,"&lt;&gt;P")&gt;0,1,0)</f>
        <v>0</v>
      </c>
      <c r="Q206">
        <f>IF(COUNTIFS('United Data'!$A$3:$A$2150,Q$1,'United Data'!$C$3:$C$2150,$A206,'United Data'!$B$3:$B$2150,"&lt;&gt;P")&gt;0,1,0)</f>
        <v>0</v>
      </c>
      <c r="R206">
        <f>IF(COUNTIFS('United Data'!$A$3:$A$2150,R$1,'United Data'!$C$3:$C$2150,$A206,'United Data'!$B$3:$B$2150,"&lt;&gt;P")&gt;0,1,0)</f>
        <v>0</v>
      </c>
      <c r="S206">
        <f t="shared" si="6"/>
        <v>7</v>
      </c>
      <c r="T206">
        <f t="shared" si="7"/>
        <v>3</v>
      </c>
    </row>
    <row r="207" spans="1:20" x14ac:dyDescent="0.2">
      <c r="A207" t="s">
        <v>252</v>
      </c>
      <c r="B207">
        <f>IF(COUNTIFS('United Data'!$A$3:$A$2150,B$1,'United Data'!$C$3:$C$2150,$A207,'United Data'!$B$3:$B$2150,"&lt;&gt;P")&gt;0,1,0)</f>
        <v>0</v>
      </c>
      <c r="C207">
        <f>IF(COUNTIFS('United Data'!$A$3:$A$2150,C$1,'United Data'!$C$3:$C$2150,$A207,'United Data'!$B$3:$B$2150,"&lt;&gt;P")&gt;0,1,0)</f>
        <v>0</v>
      </c>
      <c r="D207">
        <f>IF(COUNTIFS('United Data'!$A$3:$A$2150,D$1,'United Data'!$C$3:$C$2150,$A207,'United Data'!$B$3:$B$2150,"&lt;&gt;P")&gt;0,1,0)</f>
        <v>0</v>
      </c>
      <c r="E207">
        <f>IF(COUNTIFS('United Data'!$A$3:$A$2150,E$1,'United Data'!$C$3:$C$2150,$A207,'United Data'!$B$3:$B$2150,"&lt;&gt;P")&gt;0,1,0)</f>
        <v>1</v>
      </c>
      <c r="F207">
        <f>IF(COUNTIFS('United Data'!$A$3:$A$2150,F$1,'United Data'!$C$3:$C$2150,$A207,'United Data'!$B$3:$B$2150,"&lt;&gt;P")&gt;0,1,0)</f>
        <v>0</v>
      </c>
      <c r="G207">
        <f>IF(COUNTIFS('United Data'!$A$3:$A$2150,G$1,'United Data'!$C$3:$C$2150,$A207,'United Data'!$B$3:$B$2150,"&lt;&gt;P")&gt;0,1,0)</f>
        <v>1</v>
      </c>
      <c r="H207">
        <f>IF(COUNTIFS('United Data'!$A$3:$A$2150,H$1,'United Data'!$C$3:$C$2150,$A207,'United Data'!$B$3:$B$2150,"&lt;&gt;P")&gt;0,1,0)</f>
        <v>1</v>
      </c>
      <c r="I207">
        <f>IF(COUNTIFS('United Data'!$A$3:$A$2150,I$1,'United Data'!$C$3:$C$2150,$A207,'United Data'!$B$3:$B$2150,"&lt;&gt;P")&gt;0,1,0)</f>
        <v>1</v>
      </c>
      <c r="J207">
        <f>IF(COUNTIFS('United Data'!$A$3:$A$2150,J$1,'United Data'!$C$3:$C$2150,$A207,'United Data'!$B$3:$B$2150,"&lt;&gt;P")&gt;0,1,0)</f>
        <v>1</v>
      </c>
      <c r="K207">
        <f>IF(COUNTIFS('United Data'!$A$3:$A$2150,K$1,'United Data'!$C$3:$C$2150,$A207,'United Data'!$B$3:$B$2150,"&lt;&gt;P")&gt;0,1,0)</f>
        <v>1</v>
      </c>
      <c r="L207">
        <f>IF(COUNTIFS('United Data'!$A$3:$A$2150,L$1,'United Data'!$C$3:$C$2150,$A207,'United Data'!$B$3:$B$2150,"&lt;&gt;P")&gt;0,1,0)</f>
        <v>1</v>
      </c>
      <c r="M207">
        <f>IF(COUNTIFS('United Data'!$A$3:$A$2150,M$1,'United Data'!$C$3:$C$2150,$A207,'United Data'!$B$3:$B$2150,"&lt;&gt;P")&gt;0,1,0)</f>
        <v>1</v>
      </c>
      <c r="N207">
        <f>IF(COUNTIFS('United Data'!$A$3:$A$2150,N$1,'United Data'!$C$3:$C$2150,$A207,'United Data'!$B$3:$B$2150,"&lt;&gt;P")&gt;0,1,0)</f>
        <v>1</v>
      </c>
      <c r="O207">
        <f>IF(COUNTIFS('United Data'!$A$3:$A$2150,O$1,'United Data'!$C$3:$C$2150,$A207,'United Data'!$B$3:$B$2150,"&lt;&gt;P")&gt;0,1,0)</f>
        <v>1</v>
      </c>
      <c r="P207">
        <f>IF(COUNTIFS('United Data'!$A$3:$A$2150,P$1,'United Data'!$C$3:$C$2150,$A207,'United Data'!$B$3:$B$2150,"&lt;&gt;P")&gt;0,1,0)</f>
        <v>0</v>
      </c>
      <c r="Q207">
        <f>IF(COUNTIFS('United Data'!$A$3:$A$2150,Q$1,'United Data'!$C$3:$C$2150,$A207,'United Data'!$B$3:$B$2150,"&lt;&gt;P")&gt;0,1,0)</f>
        <v>0</v>
      </c>
      <c r="R207">
        <f>IF(COUNTIFS('United Data'!$A$3:$A$2150,R$1,'United Data'!$C$3:$C$2150,$A207,'United Data'!$B$3:$B$2150,"&lt;&gt;P")&gt;0,1,0)</f>
        <v>0</v>
      </c>
      <c r="S207">
        <f t="shared" si="6"/>
        <v>10</v>
      </c>
      <c r="T207">
        <f t="shared" si="7"/>
        <v>2</v>
      </c>
    </row>
    <row r="208" spans="1:20" x14ac:dyDescent="0.2">
      <c r="A208" t="s">
        <v>253</v>
      </c>
      <c r="B208">
        <f>IF(COUNTIFS('United Data'!$A$3:$A$2150,B$1,'United Data'!$C$3:$C$2150,$A208,'United Data'!$B$3:$B$2150,"&lt;&gt;P")&gt;0,1,0)</f>
        <v>0</v>
      </c>
      <c r="C208">
        <f>IF(COUNTIFS('United Data'!$A$3:$A$2150,C$1,'United Data'!$C$3:$C$2150,$A208,'United Data'!$B$3:$B$2150,"&lt;&gt;P")&gt;0,1,0)</f>
        <v>0</v>
      </c>
      <c r="D208">
        <f>IF(COUNTIFS('United Data'!$A$3:$A$2150,D$1,'United Data'!$C$3:$C$2150,$A208,'United Data'!$B$3:$B$2150,"&lt;&gt;P")&gt;0,1,0)</f>
        <v>0</v>
      </c>
      <c r="E208">
        <f>IF(COUNTIFS('United Data'!$A$3:$A$2150,E$1,'United Data'!$C$3:$C$2150,$A208,'United Data'!$B$3:$B$2150,"&lt;&gt;P")&gt;0,1,0)</f>
        <v>0</v>
      </c>
      <c r="F208">
        <f>IF(COUNTIFS('United Data'!$A$3:$A$2150,F$1,'United Data'!$C$3:$C$2150,$A208,'United Data'!$B$3:$B$2150,"&lt;&gt;P")&gt;0,1,0)</f>
        <v>0</v>
      </c>
      <c r="G208">
        <f>IF(COUNTIFS('United Data'!$A$3:$A$2150,G$1,'United Data'!$C$3:$C$2150,$A208,'United Data'!$B$3:$B$2150,"&lt;&gt;P")&gt;0,1,0)</f>
        <v>0</v>
      </c>
      <c r="H208">
        <f>IF(COUNTIFS('United Data'!$A$3:$A$2150,H$1,'United Data'!$C$3:$C$2150,$A208,'United Data'!$B$3:$B$2150,"&lt;&gt;P")&gt;0,1,0)</f>
        <v>0</v>
      </c>
      <c r="I208">
        <f>IF(COUNTIFS('United Data'!$A$3:$A$2150,I$1,'United Data'!$C$3:$C$2150,$A208,'United Data'!$B$3:$B$2150,"&lt;&gt;P")&gt;0,1,0)</f>
        <v>1</v>
      </c>
      <c r="J208">
        <f>IF(COUNTIFS('United Data'!$A$3:$A$2150,J$1,'United Data'!$C$3:$C$2150,$A208,'United Data'!$B$3:$B$2150,"&lt;&gt;P")&gt;0,1,0)</f>
        <v>0</v>
      </c>
      <c r="K208">
        <f>IF(COUNTIFS('United Data'!$A$3:$A$2150,K$1,'United Data'!$C$3:$C$2150,$A208,'United Data'!$B$3:$B$2150,"&lt;&gt;P")&gt;0,1,0)</f>
        <v>0</v>
      </c>
      <c r="L208">
        <f>IF(COUNTIFS('United Data'!$A$3:$A$2150,L$1,'United Data'!$C$3:$C$2150,$A208,'United Data'!$B$3:$B$2150,"&lt;&gt;P")&gt;0,1,0)</f>
        <v>0</v>
      </c>
      <c r="M208">
        <f>IF(COUNTIFS('United Data'!$A$3:$A$2150,M$1,'United Data'!$C$3:$C$2150,$A208,'United Data'!$B$3:$B$2150,"&lt;&gt;P")&gt;0,1,0)</f>
        <v>0</v>
      </c>
      <c r="N208">
        <f>IF(COUNTIFS('United Data'!$A$3:$A$2150,N$1,'United Data'!$C$3:$C$2150,$A208,'United Data'!$B$3:$B$2150,"&lt;&gt;P")&gt;0,1,0)</f>
        <v>0</v>
      </c>
      <c r="O208">
        <f>IF(COUNTIFS('United Data'!$A$3:$A$2150,O$1,'United Data'!$C$3:$C$2150,$A208,'United Data'!$B$3:$B$2150,"&lt;&gt;P")&gt;0,1,0)</f>
        <v>0</v>
      </c>
      <c r="P208">
        <f>IF(COUNTIFS('United Data'!$A$3:$A$2150,P$1,'United Data'!$C$3:$C$2150,$A208,'United Data'!$B$3:$B$2150,"&lt;&gt;P")&gt;0,1,0)</f>
        <v>0</v>
      </c>
      <c r="Q208">
        <f>IF(COUNTIFS('United Data'!$A$3:$A$2150,Q$1,'United Data'!$C$3:$C$2150,$A208,'United Data'!$B$3:$B$2150,"&lt;&gt;P")&gt;0,1,0)</f>
        <v>0</v>
      </c>
      <c r="R208">
        <f>IF(COUNTIFS('United Data'!$A$3:$A$2150,R$1,'United Data'!$C$3:$C$2150,$A208,'United Data'!$B$3:$B$2150,"&lt;&gt;P")&gt;0,1,0)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254</v>
      </c>
      <c r="B209">
        <f>IF(COUNTIFS('United Data'!$A$3:$A$2150,B$1,'United Data'!$C$3:$C$2150,$A209,'United Data'!$B$3:$B$2150,"&lt;&gt;P")&gt;0,1,0)</f>
        <v>0</v>
      </c>
      <c r="C209">
        <f>IF(COUNTIFS('United Data'!$A$3:$A$2150,C$1,'United Data'!$C$3:$C$2150,$A209,'United Data'!$B$3:$B$2150,"&lt;&gt;P")&gt;0,1,0)</f>
        <v>0</v>
      </c>
      <c r="D209">
        <f>IF(COUNTIFS('United Data'!$A$3:$A$2150,D$1,'United Data'!$C$3:$C$2150,$A209,'United Data'!$B$3:$B$2150,"&lt;&gt;P")&gt;0,1,0)</f>
        <v>0</v>
      </c>
      <c r="E209">
        <f>IF(COUNTIFS('United Data'!$A$3:$A$2150,E$1,'United Data'!$C$3:$C$2150,$A209,'United Data'!$B$3:$B$2150,"&lt;&gt;P")&gt;0,1,0)</f>
        <v>0</v>
      </c>
      <c r="F209">
        <f>IF(COUNTIFS('United Data'!$A$3:$A$2150,F$1,'United Data'!$C$3:$C$2150,$A209,'United Data'!$B$3:$B$2150,"&lt;&gt;P")&gt;0,1,0)</f>
        <v>0</v>
      </c>
      <c r="G209">
        <f>IF(COUNTIFS('United Data'!$A$3:$A$2150,G$1,'United Data'!$C$3:$C$2150,$A209,'United Data'!$B$3:$B$2150,"&lt;&gt;P")&gt;0,1,0)</f>
        <v>0</v>
      </c>
      <c r="H209">
        <f>IF(COUNTIFS('United Data'!$A$3:$A$2150,H$1,'United Data'!$C$3:$C$2150,$A209,'United Data'!$B$3:$B$2150,"&lt;&gt;P")&gt;0,1,0)</f>
        <v>0</v>
      </c>
      <c r="I209">
        <f>IF(COUNTIFS('United Data'!$A$3:$A$2150,I$1,'United Data'!$C$3:$C$2150,$A209,'United Data'!$B$3:$B$2150,"&lt;&gt;P")&gt;0,1,0)</f>
        <v>1</v>
      </c>
      <c r="J209">
        <f>IF(COUNTIFS('United Data'!$A$3:$A$2150,J$1,'United Data'!$C$3:$C$2150,$A209,'United Data'!$B$3:$B$2150,"&lt;&gt;P")&gt;0,1,0)</f>
        <v>0</v>
      </c>
      <c r="K209">
        <f>IF(COUNTIFS('United Data'!$A$3:$A$2150,K$1,'United Data'!$C$3:$C$2150,$A209,'United Data'!$B$3:$B$2150,"&lt;&gt;P")&gt;0,1,0)</f>
        <v>0</v>
      </c>
      <c r="L209">
        <f>IF(COUNTIFS('United Data'!$A$3:$A$2150,L$1,'United Data'!$C$3:$C$2150,$A209,'United Data'!$B$3:$B$2150,"&lt;&gt;P")&gt;0,1,0)</f>
        <v>0</v>
      </c>
      <c r="M209">
        <f>IF(COUNTIFS('United Data'!$A$3:$A$2150,M$1,'United Data'!$C$3:$C$2150,$A209,'United Data'!$B$3:$B$2150,"&lt;&gt;P")&gt;0,1,0)</f>
        <v>0</v>
      </c>
      <c r="N209">
        <f>IF(COUNTIFS('United Data'!$A$3:$A$2150,N$1,'United Data'!$C$3:$C$2150,$A209,'United Data'!$B$3:$B$2150,"&lt;&gt;P")&gt;0,1,0)</f>
        <v>0</v>
      </c>
      <c r="O209">
        <f>IF(COUNTIFS('United Data'!$A$3:$A$2150,O$1,'United Data'!$C$3:$C$2150,$A209,'United Data'!$B$3:$B$2150,"&lt;&gt;P")&gt;0,1,0)</f>
        <v>0</v>
      </c>
      <c r="P209">
        <f>IF(COUNTIFS('United Data'!$A$3:$A$2150,P$1,'United Data'!$C$3:$C$2150,$A209,'United Data'!$B$3:$B$2150,"&lt;&gt;P")&gt;0,1,0)</f>
        <v>0</v>
      </c>
      <c r="Q209">
        <f>IF(COUNTIFS('United Data'!$A$3:$A$2150,Q$1,'United Data'!$C$3:$C$2150,$A209,'United Data'!$B$3:$B$2150,"&lt;&gt;P")&gt;0,1,0)</f>
        <v>0</v>
      </c>
      <c r="R209">
        <f>IF(COUNTIFS('United Data'!$A$3:$A$2150,R$1,'United Data'!$C$3:$C$2150,$A209,'United Data'!$B$3:$B$2150,"&lt;&gt;P")&gt;0,1,0)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255</v>
      </c>
      <c r="B210">
        <f>IF(COUNTIFS('United Data'!$A$3:$A$2150,B$1,'United Data'!$C$3:$C$2150,$A210,'United Data'!$B$3:$B$2150,"&lt;&gt;P")&gt;0,1,0)</f>
        <v>0</v>
      </c>
      <c r="C210">
        <f>IF(COUNTIFS('United Data'!$A$3:$A$2150,C$1,'United Data'!$C$3:$C$2150,$A210,'United Data'!$B$3:$B$2150,"&lt;&gt;P")&gt;0,1,0)</f>
        <v>0</v>
      </c>
      <c r="D210">
        <f>IF(COUNTIFS('United Data'!$A$3:$A$2150,D$1,'United Data'!$C$3:$C$2150,$A210,'United Data'!$B$3:$B$2150,"&lt;&gt;P")&gt;0,1,0)</f>
        <v>0</v>
      </c>
      <c r="E210">
        <f>IF(COUNTIFS('United Data'!$A$3:$A$2150,E$1,'United Data'!$C$3:$C$2150,$A210,'United Data'!$B$3:$B$2150,"&lt;&gt;P")&gt;0,1,0)</f>
        <v>0</v>
      </c>
      <c r="F210">
        <f>IF(COUNTIFS('United Data'!$A$3:$A$2150,F$1,'United Data'!$C$3:$C$2150,$A210,'United Data'!$B$3:$B$2150,"&lt;&gt;P")&gt;0,1,0)</f>
        <v>0</v>
      </c>
      <c r="G210">
        <f>IF(COUNTIFS('United Data'!$A$3:$A$2150,G$1,'United Data'!$C$3:$C$2150,$A210,'United Data'!$B$3:$B$2150,"&lt;&gt;P")&gt;0,1,0)</f>
        <v>0</v>
      </c>
      <c r="H210">
        <f>IF(COUNTIFS('United Data'!$A$3:$A$2150,H$1,'United Data'!$C$3:$C$2150,$A210,'United Data'!$B$3:$B$2150,"&lt;&gt;P")&gt;0,1,0)</f>
        <v>0</v>
      </c>
      <c r="I210">
        <f>IF(COUNTIFS('United Data'!$A$3:$A$2150,I$1,'United Data'!$C$3:$C$2150,$A210,'United Data'!$B$3:$B$2150,"&lt;&gt;P")&gt;0,1,0)</f>
        <v>1</v>
      </c>
      <c r="J210">
        <f>IF(COUNTIFS('United Data'!$A$3:$A$2150,J$1,'United Data'!$C$3:$C$2150,$A210,'United Data'!$B$3:$B$2150,"&lt;&gt;P")&gt;0,1,0)</f>
        <v>0</v>
      </c>
      <c r="K210">
        <f>IF(COUNTIFS('United Data'!$A$3:$A$2150,K$1,'United Data'!$C$3:$C$2150,$A210,'United Data'!$B$3:$B$2150,"&lt;&gt;P")&gt;0,1,0)</f>
        <v>0</v>
      </c>
      <c r="L210">
        <f>IF(COUNTIFS('United Data'!$A$3:$A$2150,L$1,'United Data'!$C$3:$C$2150,$A210,'United Data'!$B$3:$B$2150,"&lt;&gt;P")&gt;0,1,0)</f>
        <v>0</v>
      </c>
      <c r="M210">
        <f>IF(COUNTIFS('United Data'!$A$3:$A$2150,M$1,'United Data'!$C$3:$C$2150,$A210,'United Data'!$B$3:$B$2150,"&lt;&gt;P")&gt;0,1,0)</f>
        <v>0</v>
      </c>
      <c r="N210">
        <f>IF(COUNTIFS('United Data'!$A$3:$A$2150,N$1,'United Data'!$C$3:$C$2150,$A210,'United Data'!$B$3:$B$2150,"&lt;&gt;P")&gt;0,1,0)</f>
        <v>0</v>
      </c>
      <c r="O210">
        <f>IF(COUNTIFS('United Data'!$A$3:$A$2150,O$1,'United Data'!$C$3:$C$2150,$A210,'United Data'!$B$3:$B$2150,"&lt;&gt;P")&gt;0,1,0)</f>
        <v>0</v>
      </c>
      <c r="P210">
        <f>IF(COUNTIFS('United Data'!$A$3:$A$2150,P$1,'United Data'!$C$3:$C$2150,$A210,'United Data'!$B$3:$B$2150,"&lt;&gt;P")&gt;0,1,0)</f>
        <v>0</v>
      </c>
      <c r="Q210">
        <f>IF(COUNTIFS('United Data'!$A$3:$A$2150,Q$1,'United Data'!$C$3:$C$2150,$A210,'United Data'!$B$3:$B$2150,"&lt;&gt;P")&gt;0,1,0)</f>
        <v>0</v>
      </c>
      <c r="R210">
        <f>IF(COUNTIFS('United Data'!$A$3:$A$2150,R$1,'United Data'!$C$3:$C$2150,$A210,'United Data'!$B$3:$B$2150,"&lt;&gt;P")&gt;0,1,0)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256</v>
      </c>
      <c r="B211">
        <f>IF(COUNTIFS('United Data'!$A$3:$A$2150,B$1,'United Data'!$C$3:$C$2150,$A211,'United Data'!$B$3:$B$2150,"&lt;&gt;P")&gt;0,1,0)</f>
        <v>0</v>
      </c>
      <c r="C211">
        <f>IF(COUNTIFS('United Data'!$A$3:$A$2150,C$1,'United Data'!$C$3:$C$2150,$A211,'United Data'!$B$3:$B$2150,"&lt;&gt;P")&gt;0,1,0)</f>
        <v>0</v>
      </c>
      <c r="D211">
        <f>IF(COUNTIFS('United Data'!$A$3:$A$2150,D$1,'United Data'!$C$3:$C$2150,$A211,'United Data'!$B$3:$B$2150,"&lt;&gt;P")&gt;0,1,0)</f>
        <v>0</v>
      </c>
      <c r="E211">
        <f>IF(COUNTIFS('United Data'!$A$3:$A$2150,E$1,'United Data'!$C$3:$C$2150,$A211,'United Data'!$B$3:$B$2150,"&lt;&gt;P")&gt;0,1,0)</f>
        <v>0</v>
      </c>
      <c r="F211">
        <f>IF(COUNTIFS('United Data'!$A$3:$A$2150,F$1,'United Data'!$C$3:$C$2150,$A211,'United Data'!$B$3:$B$2150,"&lt;&gt;P")&gt;0,1,0)</f>
        <v>0</v>
      </c>
      <c r="G211">
        <f>IF(COUNTIFS('United Data'!$A$3:$A$2150,G$1,'United Data'!$C$3:$C$2150,$A211,'United Data'!$B$3:$B$2150,"&lt;&gt;P")&gt;0,1,0)</f>
        <v>0</v>
      </c>
      <c r="H211">
        <f>IF(COUNTIFS('United Data'!$A$3:$A$2150,H$1,'United Data'!$C$3:$C$2150,$A211,'United Data'!$B$3:$B$2150,"&lt;&gt;P")&gt;0,1,0)</f>
        <v>0</v>
      </c>
      <c r="I211">
        <f>IF(COUNTIFS('United Data'!$A$3:$A$2150,I$1,'United Data'!$C$3:$C$2150,$A211,'United Data'!$B$3:$B$2150,"&lt;&gt;P")&gt;0,1,0)</f>
        <v>1</v>
      </c>
      <c r="J211">
        <f>IF(COUNTIFS('United Data'!$A$3:$A$2150,J$1,'United Data'!$C$3:$C$2150,$A211,'United Data'!$B$3:$B$2150,"&lt;&gt;P")&gt;0,1,0)</f>
        <v>1</v>
      </c>
      <c r="K211">
        <f>IF(COUNTIFS('United Data'!$A$3:$A$2150,K$1,'United Data'!$C$3:$C$2150,$A211,'United Data'!$B$3:$B$2150,"&lt;&gt;P")&gt;0,1,0)</f>
        <v>0</v>
      </c>
      <c r="L211">
        <f>IF(COUNTIFS('United Data'!$A$3:$A$2150,L$1,'United Data'!$C$3:$C$2150,$A211,'United Data'!$B$3:$B$2150,"&lt;&gt;P")&gt;0,1,0)</f>
        <v>0</v>
      </c>
      <c r="M211">
        <f>IF(COUNTIFS('United Data'!$A$3:$A$2150,M$1,'United Data'!$C$3:$C$2150,$A211,'United Data'!$B$3:$B$2150,"&lt;&gt;P")&gt;0,1,0)</f>
        <v>0</v>
      </c>
      <c r="N211">
        <f>IF(COUNTIFS('United Data'!$A$3:$A$2150,N$1,'United Data'!$C$3:$C$2150,$A211,'United Data'!$B$3:$B$2150,"&lt;&gt;P")&gt;0,1,0)</f>
        <v>0</v>
      </c>
      <c r="O211">
        <f>IF(COUNTIFS('United Data'!$A$3:$A$2150,O$1,'United Data'!$C$3:$C$2150,$A211,'United Data'!$B$3:$B$2150,"&lt;&gt;P")&gt;0,1,0)</f>
        <v>0</v>
      </c>
      <c r="P211">
        <f>IF(COUNTIFS('United Data'!$A$3:$A$2150,P$1,'United Data'!$C$3:$C$2150,$A211,'United Data'!$B$3:$B$2150,"&lt;&gt;P")&gt;0,1,0)</f>
        <v>0</v>
      </c>
      <c r="Q211">
        <f>IF(COUNTIFS('United Data'!$A$3:$A$2150,Q$1,'United Data'!$C$3:$C$2150,$A211,'United Data'!$B$3:$B$2150,"&lt;&gt;P")&gt;0,1,0)</f>
        <v>0</v>
      </c>
      <c r="R211">
        <f>IF(COUNTIFS('United Data'!$A$3:$A$2150,R$1,'United Data'!$C$3:$C$2150,$A211,'United Data'!$B$3:$B$2150,"&lt;&gt;P")&gt;0,1,0)</f>
        <v>0</v>
      </c>
      <c r="S211">
        <f t="shared" si="6"/>
        <v>2</v>
      </c>
      <c r="T211">
        <f t="shared" si="7"/>
        <v>1</v>
      </c>
    </row>
    <row r="212" spans="1:20" x14ac:dyDescent="0.2">
      <c r="A212" t="s">
        <v>257</v>
      </c>
      <c r="B212">
        <f>IF(COUNTIFS('United Data'!$A$3:$A$2150,B$1,'United Data'!$C$3:$C$2150,$A212,'United Data'!$B$3:$B$2150,"&lt;&gt;P")&gt;0,1,0)</f>
        <v>0</v>
      </c>
      <c r="C212">
        <f>IF(COUNTIFS('United Data'!$A$3:$A$2150,C$1,'United Data'!$C$3:$C$2150,$A212,'United Data'!$B$3:$B$2150,"&lt;&gt;P")&gt;0,1,0)</f>
        <v>0</v>
      </c>
      <c r="D212">
        <f>IF(COUNTIFS('United Data'!$A$3:$A$2150,D$1,'United Data'!$C$3:$C$2150,$A212,'United Data'!$B$3:$B$2150,"&lt;&gt;P")&gt;0,1,0)</f>
        <v>0</v>
      </c>
      <c r="E212">
        <f>IF(COUNTIFS('United Data'!$A$3:$A$2150,E$1,'United Data'!$C$3:$C$2150,$A212,'United Data'!$B$3:$B$2150,"&lt;&gt;P")&gt;0,1,0)</f>
        <v>0</v>
      </c>
      <c r="F212">
        <f>IF(COUNTIFS('United Data'!$A$3:$A$2150,F$1,'United Data'!$C$3:$C$2150,$A212,'United Data'!$B$3:$B$2150,"&lt;&gt;P")&gt;0,1,0)</f>
        <v>0</v>
      </c>
      <c r="G212">
        <f>IF(COUNTIFS('United Data'!$A$3:$A$2150,G$1,'United Data'!$C$3:$C$2150,$A212,'United Data'!$B$3:$B$2150,"&lt;&gt;P")&gt;0,1,0)</f>
        <v>0</v>
      </c>
      <c r="H212">
        <f>IF(COUNTIFS('United Data'!$A$3:$A$2150,H$1,'United Data'!$C$3:$C$2150,$A212,'United Data'!$B$3:$B$2150,"&lt;&gt;P")&gt;0,1,0)</f>
        <v>0</v>
      </c>
      <c r="I212">
        <f>IF(COUNTIFS('United Data'!$A$3:$A$2150,I$1,'United Data'!$C$3:$C$2150,$A212,'United Data'!$B$3:$B$2150,"&lt;&gt;P")&gt;0,1,0)</f>
        <v>1</v>
      </c>
      <c r="J212">
        <f>IF(COUNTIFS('United Data'!$A$3:$A$2150,J$1,'United Data'!$C$3:$C$2150,$A212,'United Data'!$B$3:$B$2150,"&lt;&gt;P")&gt;0,1,0)</f>
        <v>0</v>
      </c>
      <c r="K212">
        <f>IF(COUNTIFS('United Data'!$A$3:$A$2150,K$1,'United Data'!$C$3:$C$2150,$A212,'United Data'!$B$3:$B$2150,"&lt;&gt;P")&gt;0,1,0)</f>
        <v>0</v>
      </c>
      <c r="L212">
        <f>IF(COUNTIFS('United Data'!$A$3:$A$2150,L$1,'United Data'!$C$3:$C$2150,$A212,'United Data'!$B$3:$B$2150,"&lt;&gt;P")&gt;0,1,0)</f>
        <v>0</v>
      </c>
      <c r="M212">
        <f>IF(COUNTIFS('United Data'!$A$3:$A$2150,M$1,'United Data'!$C$3:$C$2150,$A212,'United Data'!$B$3:$B$2150,"&lt;&gt;P")&gt;0,1,0)</f>
        <v>0</v>
      </c>
      <c r="N212">
        <f>IF(COUNTIFS('United Data'!$A$3:$A$2150,N$1,'United Data'!$C$3:$C$2150,$A212,'United Data'!$B$3:$B$2150,"&lt;&gt;P")&gt;0,1,0)</f>
        <v>0</v>
      </c>
      <c r="O212">
        <f>IF(COUNTIFS('United Data'!$A$3:$A$2150,O$1,'United Data'!$C$3:$C$2150,$A212,'United Data'!$B$3:$B$2150,"&lt;&gt;P")&gt;0,1,0)</f>
        <v>0</v>
      </c>
      <c r="P212">
        <f>IF(COUNTIFS('United Data'!$A$3:$A$2150,P$1,'United Data'!$C$3:$C$2150,$A212,'United Data'!$B$3:$B$2150,"&lt;&gt;P")&gt;0,1,0)</f>
        <v>0</v>
      </c>
      <c r="Q212">
        <f>IF(COUNTIFS('United Data'!$A$3:$A$2150,Q$1,'United Data'!$C$3:$C$2150,$A212,'United Data'!$B$3:$B$2150,"&lt;&gt;P")&gt;0,1,0)</f>
        <v>0</v>
      </c>
      <c r="R212">
        <f>IF(COUNTIFS('United Data'!$A$3:$A$2150,R$1,'United Data'!$C$3:$C$2150,$A212,'United Data'!$B$3:$B$2150,"&lt;&gt;P")&gt;0,1,0)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258</v>
      </c>
      <c r="B213">
        <f>IF(COUNTIFS('United Data'!$A$3:$A$2150,B$1,'United Data'!$C$3:$C$2150,$A213,'United Data'!$B$3:$B$2150,"&lt;&gt;P")&gt;0,1,0)</f>
        <v>0</v>
      </c>
      <c r="C213">
        <f>IF(COUNTIFS('United Data'!$A$3:$A$2150,C$1,'United Data'!$C$3:$C$2150,$A213,'United Data'!$B$3:$B$2150,"&lt;&gt;P")&gt;0,1,0)</f>
        <v>0</v>
      </c>
      <c r="D213">
        <f>IF(COUNTIFS('United Data'!$A$3:$A$2150,D$1,'United Data'!$C$3:$C$2150,$A213,'United Data'!$B$3:$B$2150,"&lt;&gt;P")&gt;0,1,0)</f>
        <v>0</v>
      </c>
      <c r="E213">
        <f>IF(COUNTIFS('United Data'!$A$3:$A$2150,E$1,'United Data'!$C$3:$C$2150,$A213,'United Data'!$B$3:$B$2150,"&lt;&gt;P")&gt;0,1,0)</f>
        <v>0</v>
      </c>
      <c r="F213">
        <f>IF(COUNTIFS('United Data'!$A$3:$A$2150,F$1,'United Data'!$C$3:$C$2150,$A213,'United Data'!$B$3:$B$2150,"&lt;&gt;P")&gt;0,1,0)</f>
        <v>0</v>
      </c>
      <c r="G213">
        <f>IF(COUNTIFS('United Data'!$A$3:$A$2150,G$1,'United Data'!$C$3:$C$2150,$A213,'United Data'!$B$3:$B$2150,"&lt;&gt;P")&gt;0,1,0)</f>
        <v>0</v>
      </c>
      <c r="H213">
        <f>IF(COUNTIFS('United Data'!$A$3:$A$2150,H$1,'United Data'!$C$3:$C$2150,$A213,'United Data'!$B$3:$B$2150,"&lt;&gt;P")&gt;0,1,0)</f>
        <v>0</v>
      </c>
      <c r="I213">
        <f>IF(COUNTIFS('United Data'!$A$3:$A$2150,I$1,'United Data'!$C$3:$C$2150,$A213,'United Data'!$B$3:$B$2150,"&lt;&gt;P")&gt;0,1,0)</f>
        <v>1</v>
      </c>
      <c r="J213">
        <f>IF(COUNTIFS('United Data'!$A$3:$A$2150,J$1,'United Data'!$C$3:$C$2150,$A213,'United Data'!$B$3:$B$2150,"&lt;&gt;P")&gt;0,1,0)</f>
        <v>0</v>
      </c>
      <c r="K213">
        <f>IF(COUNTIFS('United Data'!$A$3:$A$2150,K$1,'United Data'!$C$3:$C$2150,$A213,'United Data'!$B$3:$B$2150,"&lt;&gt;P")&gt;0,1,0)</f>
        <v>0</v>
      </c>
      <c r="L213">
        <f>IF(COUNTIFS('United Data'!$A$3:$A$2150,L$1,'United Data'!$C$3:$C$2150,$A213,'United Data'!$B$3:$B$2150,"&lt;&gt;P")&gt;0,1,0)</f>
        <v>0</v>
      </c>
      <c r="M213">
        <f>IF(COUNTIFS('United Data'!$A$3:$A$2150,M$1,'United Data'!$C$3:$C$2150,$A213,'United Data'!$B$3:$B$2150,"&lt;&gt;P")&gt;0,1,0)</f>
        <v>0</v>
      </c>
      <c r="N213">
        <f>IF(COUNTIFS('United Data'!$A$3:$A$2150,N$1,'United Data'!$C$3:$C$2150,$A213,'United Data'!$B$3:$B$2150,"&lt;&gt;P")&gt;0,1,0)</f>
        <v>0</v>
      </c>
      <c r="O213">
        <f>IF(COUNTIFS('United Data'!$A$3:$A$2150,O$1,'United Data'!$C$3:$C$2150,$A213,'United Data'!$B$3:$B$2150,"&lt;&gt;P")&gt;0,1,0)</f>
        <v>0</v>
      </c>
      <c r="P213">
        <f>IF(COUNTIFS('United Data'!$A$3:$A$2150,P$1,'United Data'!$C$3:$C$2150,$A213,'United Data'!$B$3:$B$2150,"&lt;&gt;P")&gt;0,1,0)</f>
        <v>0</v>
      </c>
      <c r="Q213">
        <f>IF(COUNTIFS('United Data'!$A$3:$A$2150,Q$1,'United Data'!$C$3:$C$2150,$A213,'United Data'!$B$3:$B$2150,"&lt;&gt;P")&gt;0,1,0)</f>
        <v>0</v>
      </c>
      <c r="R213">
        <f>IF(COUNTIFS('United Data'!$A$3:$A$2150,R$1,'United Data'!$C$3:$C$2150,$A213,'United Data'!$B$3:$B$2150,"&lt;&gt;P")&gt;0,1,0)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259</v>
      </c>
      <c r="B214">
        <f>IF(COUNTIFS('United Data'!$A$3:$A$2150,B$1,'United Data'!$C$3:$C$2150,$A214,'United Data'!$B$3:$B$2150,"&lt;&gt;P")&gt;0,1,0)</f>
        <v>0</v>
      </c>
      <c r="C214">
        <f>IF(COUNTIFS('United Data'!$A$3:$A$2150,C$1,'United Data'!$C$3:$C$2150,$A214,'United Data'!$B$3:$B$2150,"&lt;&gt;P")&gt;0,1,0)</f>
        <v>0</v>
      </c>
      <c r="D214">
        <f>IF(COUNTIFS('United Data'!$A$3:$A$2150,D$1,'United Data'!$C$3:$C$2150,$A214,'United Data'!$B$3:$B$2150,"&lt;&gt;P")&gt;0,1,0)</f>
        <v>0</v>
      </c>
      <c r="E214">
        <f>IF(COUNTIFS('United Data'!$A$3:$A$2150,E$1,'United Data'!$C$3:$C$2150,$A214,'United Data'!$B$3:$B$2150,"&lt;&gt;P")&gt;0,1,0)</f>
        <v>0</v>
      </c>
      <c r="F214">
        <f>IF(COUNTIFS('United Data'!$A$3:$A$2150,F$1,'United Data'!$C$3:$C$2150,$A214,'United Data'!$B$3:$B$2150,"&lt;&gt;P")&gt;0,1,0)</f>
        <v>0</v>
      </c>
      <c r="G214">
        <f>IF(COUNTIFS('United Data'!$A$3:$A$2150,G$1,'United Data'!$C$3:$C$2150,$A214,'United Data'!$B$3:$B$2150,"&lt;&gt;P")&gt;0,1,0)</f>
        <v>0</v>
      </c>
      <c r="H214">
        <f>IF(COUNTIFS('United Data'!$A$3:$A$2150,H$1,'United Data'!$C$3:$C$2150,$A214,'United Data'!$B$3:$B$2150,"&lt;&gt;P")&gt;0,1,0)</f>
        <v>0</v>
      </c>
      <c r="I214">
        <f>IF(COUNTIFS('United Data'!$A$3:$A$2150,I$1,'United Data'!$C$3:$C$2150,$A214,'United Data'!$B$3:$B$2150,"&lt;&gt;P")&gt;0,1,0)</f>
        <v>1</v>
      </c>
      <c r="J214">
        <f>IF(COUNTIFS('United Data'!$A$3:$A$2150,J$1,'United Data'!$C$3:$C$2150,$A214,'United Data'!$B$3:$B$2150,"&lt;&gt;P")&gt;0,1,0)</f>
        <v>0</v>
      </c>
      <c r="K214">
        <f>IF(COUNTIFS('United Data'!$A$3:$A$2150,K$1,'United Data'!$C$3:$C$2150,$A214,'United Data'!$B$3:$B$2150,"&lt;&gt;P")&gt;0,1,0)</f>
        <v>0</v>
      </c>
      <c r="L214">
        <f>IF(COUNTIFS('United Data'!$A$3:$A$2150,L$1,'United Data'!$C$3:$C$2150,$A214,'United Data'!$B$3:$B$2150,"&lt;&gt;P")&gt;0,1,0)</f>
        <v>0</v>
      </c>
      <c r="M214">
        <f>IF(COUNTIFS('United Data'!$A$3:$A$2150,M$1,'United Data'!$C$3:$C$2150,$A214,'United Data'!$B$3:$B$2150,"&lt;&gt;P")&gt;0,1,0)</f>
        <v>0</v>
      </c>
      <c r="N214">
        <f>IF(COUNTIFS('United Data'!$A$3:$A$2150,N$1,'United Data'!$C$3:$C$2150,$A214,'United Data'!$B$3:$B$2150,"&lt;&gt;P")&gt;0,1,0)</f>
        <v>0</v>
      </c>
      <c r="O214">
        <f>IF(COUNTIFS('United Data'!$A$3:$A$2150,O$1,'United Data'!$C$3:$C$2150,$A214,'United Data'!$B$3:$B$2150,"&lt;&gt;P")&gt;0,1,0)</f>
        <v>0</v>
      </c>
      <c r="P214">
        <f>IF(COUNTIFS('United Data'!$A$3:$A$2150,P$1,'United Data'!$C$3:$C$2150,$A214,'United Data'!$B$3:$B$2150,"&lt;&gt;P")&gt;0,1,0)</f>
        <v>0</v>
      </c>
      <c r="Q214">
        <f>IF(COUNTIFS('United Data'!$A$3:$A$2150,Q$1,'United Data'!$C$3:$C$2150,$A214,'United Data'!$B$3:$B$2150,"&lt;&gt;P")&gt;0,1,0)</f>
        <v>0</v>
      </c>
      <c r="R214">
        <f>IF(COUNTIFS('United Data'!$A$3:$A$2150,R$1,'United Data'!$C$3:$C$2150,$A214,'United Data'!$B$3:$B$2150,"&lt;&gt;P")&gt;0,1,0)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260</v>
      </c>
      <c r="B215">
        <f>IF(COUNTIFS('United Data'!$A$3:$A$2150,B$1,'United Data'!$C$3:$C$2150,$A215,'United Data'!$B$3:$B$2150,"&lt;&gt;P")&gt;0,1,0)</f>
        <v>0</v>
      </c>
      <c r="C215">
        <f>IF(COUNTIFS('United Data'!$A$3:$A$2150,C$1,'United Data'!$C$3:$C$2150,$A215,'United Data'!$B$3:$B$2150,"&lt;&gt;P")&gt;0,1,0)</f>
        <v>0</v>
      </c>
      <c r="D215">
        <f>IF(COUNTIFS('United Data'!$A$3:$A$2150,D$1,'United Data'!$C$3:$C$2150,$A215,'United Data'!$B$3:$B$2150,"&lt;&gt;P")&gt;0,1,0)</f>
        <v>0</v>
      </c>
      <c r="E215">
        <f>IF(COUNTIFS('United Data'!$A$3:$A$2150,E$1,'United Data'!$C$3:$C$2150,$A215,'United Data'!$B$3:$B$2150,"&lt;&gt;P")&gt;0,1,0)</f>
        <v>0</v>
      </c>
      <c r="F215">
        <f>IF(COUNTIFS('United Data'!$A$3:$A$2150,F$1,'United Data'!$C$3:$C$2150,$A215,'United Data'!$B$3:$B$2150,"&lt;&gt;P")&gt;0,1,0)</f>
        <v>0</v>
      </c>
      <c r="G215">
        <f>IF(COUNTIFS('United Data'!$A$3:$A$2150,G$1,'United Data'!$C$3:$C$2150,$A215,'United Data'!$B$3:$B$2150,"&lt;&gt;P")&gt;0,1,0)</f>
        <v>0</v>
      </c>
      <c r="H215">
        <f>IF(COUNTIFS('United Data'!$A$3:$A$2150,H$1,'United Data'!$C$3:$C$2150,$A215,'United Data'!$B$3:$B$2150,"&lt;&gt;P")&gt;0,1,0)</f>
        <v>0</v>
      </c>
      <c r="I215">
        <f>IF(COUNTIFS('United Data'!$A$3:$A$2150,I$1,'United Data'!$C$3:$C$2150,$A215,'United Data'!$B$3:$B$2150,"&lt;&gt;P")&gt;0,1,0)</f>
        <v>1</v>
      </c>
      <c r="J215">
        <f>IF(COUNTIFS('United Data'!$A$3:$A$2150,J$1,'United Data'!$C$3:$C$2150,$A215,'United Data'!$B$3:$B$2150,"&lt;&gt;P")&gt;0,1,0)</f>
        <v>0</v>
      </c>
      <c r="K215">
        <f>IF(COUNTIFS('United Data'!$A$3:$A$2150,K$1,'United Data'!$C$3:$C$2150,$A215,'United Data'!$B$3:$B$2150,"&lt;&gt;P")&gt;0,1,0)</f>
        <v>0</v>
      </c>
      <c r="L215">
        <f>IF(COUNTIFS('United Data'!$A$3:$A$2150,L$1,'United Data'!$C$3:$C$2150,$A215,'United Data'!$B$3:$B$2150,"&lt;&gt;P")&gt;0,1,0)</f>
        <v>0</v>
      </c>
      <c r="M215">
        <f>IF(COUNTIFS('United Data'!$A$3:$A$2150,M$1,'United Data'!$C$3:$C$2150,$A215,'United Data'!$B$3:$B$2150,"&lt;&gt;P")&gt;0,1,0)</f>
        <v>0</v>
      </c>
      <c r="N215">
        <f>IF(COUNTIFS('United Data'!$A$3:$A$2150,N$1,'United Data'!$C$3:$C$2150,$A215,'United Data'!$B$3:$B$2150,"&lt;&gt;P")&gt;0,1,0)</f>
        <v>0</v>
      </c>
      <c r="O215">
        <f>IF(COUNTIFS('United Data'!$A$3:$A$2150,O$1,'United Data'!$C$3:$C$2150,$A215,'United Data'!$B$3:$B$2150,"&lt;&gt;P")&gt;0,1,0)</f>
        <v>0</v>
      </c>
      <c r="P215">
        <f>IF(COUNTIFS('United Data'!$A$3:$A$2150,P$1,'United Data'!$C$3:$C$2150,$A215,'United Data'!$B$3:$B$2150,"&lt;&gt;P")&gt;0,1,0)</f>
        <v>0</v>
      </c>
      <c r="Q215">
        <f>IF(COUNTIFS('United Data'!$A$3:$A$2150,Q$1,'United Data'!$C$3:$C$2150,$A215,'United Data'!$B$3:$B$2150,"&lt;&gt;P")&gt;0,1,0)</f>
        <v>0</v>
      </c>
      <c r="R215">
        <f>IF(COUNTIFS('United Data'!$A$3:$A$2150,R$1,'United Data'!$C$3:$C$2150,$A215,'United Data'!$B$3:$B$2150,"&lt;&gt;P")&gt;0,1,0)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261</v>
      </c>
      <c r="B216">
        <f>IF(COUNTIFS('United Data'!$A$3:$A$2150,B$1,'United Data'!$C$3:$C$2150,$A216,'United Data'!$B$3:$B$2150,"&lt;&gt;P")&gt;0,1,0)</f>
        <v>0</v>
      </c>
      <c r="C216">
        <f>IF(COUNTIFS('United Data'!$A$3:$A$2150,C$1,'United Data'!$C$3:$C$2150,$A216,'United Data'!$B$3:$B$2150,"&lt;&gt;P")&gt;0,1,0)</f>
        <v>0</v>
      </c>
      <c r="D216">
        <f>IF(COUNTIFS('United Data'!$A$3:$A$2150,D$1,'United Data'!$C$3:$C$2150,$A216,'United Data'!$B$3:$B$2150,"&lt;&gt;P")&gt;0,1,0)</f>
        <v>0</v>
      </c>
      <c r="E216">
        <f>IF(COUNTIFS('United Data'!$A$3:$A$2150,E$1,'United Data'!$C$3:$C$2150,$A216,'United Data'!$B$3:$B$2150,"&lt;&gt;P")&gt;0,1,0)</f>
        <v>0</v>
      </c>
      <c r="F216">
        <f>IF(COUNTIFS('United Data'!$A$3:$A$2150,F$1,'United Data'!$C$3:$C$2150,$A216,'United Data'!$B$3:$B$2150,"&lt;&gt;P")&gt;0,1,0)</f>
        <v>0</v>
      </c>
      <c r="G216">
        <f>IF(COUNTIFS('United Data'!$A$3:$A$2150,G$1,'United Data'!$C$3:$C$2150,$A216,'United Data'!$B$3:$B$2150,"&lt;&gt;P")&gt;0,1,0)</f>
        <v>0</v>
      </c>
      <c r="H216">
        <f>IF(COUNTIFS('United Data'!$A$3:$A$2150,H$1,'United Data'!$C$3:$C$2150,$A216,'United Data'!$B$3:$B$2150,"&lt;&gt;P")&gt;0,1,0)</f>
        <v>0</v>
      </c>
      <c r="I216">
        <f>IF(COUNTIFS('United Data'!$A$3:$A$2150,I$1,'United Data'!$C$3:$C$2150,$A216,'United Data'!$B$3:$B$2150,"&lt;&gt;P")&gt;0,1,0)</f>
        <v>1</v>
      </c>
      <c r="J216">
        <f>IF(COUNTIFS('United Data'!$A$3:$A$2150,J$1,'United Data'!$C$3:$C$2150,$A216,'United Data'!$B$3:$B$2150,"&lt;&gt;P")&gt;0,1,0)</f>
        <v>0</v>
      </c>
      <c r="K216">
        <f>IF(COUNTIFS('United Data'!$A$3:$A$2150,K$1,'United Data'!$C$3:$C$2150,$A216,'United Data'!$B$3:$B$2150,"&lt;&gt;P")&gt;0,1,0)</f>
        <v>0</v>
      </c>
      <c r="L216">
        <f>IF(COUNTIFS('United Data'!$A$3:$A$2150,L$1,'United Data'!$C$3:$C$2150,$A216,'United Data'!$B$3:$B$2150,"&lt;&gt;P")&gt;0,1,0)</f>
        <v>0</v>
      </c>
      <c r="M216">
        <f>IF(COUNTIFS('United Data'!$A$3:$A$2150,M$1,'United Data'!$C$3:$C$2150,$A216,'United Data'!$B$3:$B$2150,"&lt;&gt;P")&gt;0,1,0)</f>
        <v>0</v>
      </c>
      <c r="N216">
        <f>IF(COUNTIFS('United Data'!$A$3:$A$2150,N$1,'United Data'!$C$3:$C$2150,$A216,'United Data'!$B$3:$B$2150,"&lt;&gt;P")&gt;0,1,0)</f>
        <v>0</v>
      </c>
      <c r="O216">
        <f>IF(COUNTIFS('United Data'!$A$3:$A$2150,O$1,'United Data'!$C$3:$C$2150,$A216,'United Data'!$B$3:$B$2150,"&lt;&gt;P")&gt;0,1,0)</f>
        <v>0</v>
      </c>
      <c r="P216">
        <f>IF(COUNTIFS('United Data'!$A$3:$A$2150,P$1,'United Data'!$C$3:$C$2150,$A216,'United Data'!$B$3:$B$2150,"&lt;&gt;P")&gt;0,1,0)</f>
        <v>0</v>
      </c>
      <c r="Q216">
        <f>IF(COUNTIFS('United Data'!$A$3:$A$2150,Q$1,'United Data'!$C$3:$C$2150,$A216,'United Data'!$B$3:$B$2150,"&lt;&gt;P")&gt;0,1,0)</f>
        <v>0</v>
      </c>
      <c r="R216">
        <f>IF(COUNTIFS('United Data'!$A$3:$A$2150,R$1,'United Data'!$C$3:$C$2150,$A216,'United Data'!$B$3:$B$2150,"&lt;&gt;P")&gt;0,1,0)</f>
        <v>0</v>
      </c>
      <c r="S216">
        <f t="shared" si="6"/>
        <v>1</v>
      </c>
      <c r="T216">
        <f t="shared" si="7"/>
        <v>1</v>
      </c>
    </row>
    <row r="217" spans="1:20" x14ac:dyDescent="0.2">
      <c r="A217" t="s">
        <v>262</v>
      </c>
      <c r="B217">
        <f>IF(COUNTIFS('United Data'!$A$3:$A$2150,B$1,'United Data'!$C$3:$C$2150,$A217,'United Data'!$B$3:$B$2150,"&lt;&gt;P")&gt;0,1,0)</f>
        <v>0</v>
      </c>
      <c r="C217">
        <f>IF(COUNTIFS('United Data'!$A$3:$A$2150,C$1,'United Data'!$C$3:$C$2150,$A217,'United Data'!$B$3:$B$2150,"&lt;&gt;P")&gt;0,1,0)</f>
        <v>0</v>
      </c>
      <c r="D217">
        <f>IF(COUNTIFS('United Data'!$A$3:$A$2150,D$1,'United Data'!$C$3:$C$2150,$A217,'United Data'!$B$3:$B$2150,"&lt;&gt;P")&gt;0,1,0)</f>
        <v>0</v>
      </c>
      <c r="E217">
        <f>IF(COUNTIFS('United Data'!$A$3:$A$2150,E$1,'United Data'!$C$3:$C$2150,$A217,'United Data'!$B$3:$B$2150,"&lt;&gt;P")&gt;0,1,0)</f>
        <v>0</v>
      </c>
      <c r="F217">
        <f>IF(COUNTIFS('United Data'!$A$3:$A$2150,F$1,'United Data'!$C$3:$C$2150,$A217,'United Data'!$B$3:$B$2150,"&lt;&gt;P")&gt;0,1,0)</f>
        <v>0</v>
      </c>
      <c r="G217">
        <f>IF(COUNTIFS('United Data'!$A$3:$A$2150,G$1,'United Data'!$C$3:$C$2150,$A217,'United Data'!$B$3:$B$2150,"&lt;&gt;P")&gt;0,1,0)</f>
        <v>0</v>
      </c>
      <c r="H217">
        <f>IF(COUNTIFS('United Data'!$A$3:$A$2150,H$1,'United Data'!$C$3:$C$2150,$A217,'United Data'!$B$3:$B$2150,"&lt;&gt;P")&gt;0,1,0)</f>
        <v>0</v>
      </c>
      <c r="I217">
        <f>IF(COUNTIFS('United Data'!$A$3:$A$2150,I$1,'United Data'!$C$3:$C$2150,$A217,'United Data'!$B$3:$B$2150,"&lt;&gt;P")&gt;0,1,0)</f>
        <v>1</v>
      </c>
      <c r="J217">
        <f>IF(COUNTIFS('United Data'!$A$3:$A$2150,J$1,'United Data'!$C$3:$C$2150,$A217,'United Data'!$B$3:$B$2150,"&lt;&gt;P")&gt;0,1,0)</f>
        <v>0</v>
      </c>
      <c r="K217">
        <f>IF(COUNTIFS('United Data'!$A$3:$A$2150,K$1,'United Data'!$C$3:$C$2150,$A217,'United Data'!$B$3:$B$2150,"&lt;&gt;P")&gt;0,1,0)</f>
        <v>0</v>
      </c>
      <c r="L217">
        <f>IF(COUNTIFS('United Data'!$A$3:$A$2150,L$1,'United Data'!$C$3:$C$2150,$A217,'United Data'!$B$3:$B$2150,"&lt;&gt;P")&gt;0,1,0)</f>
        <v>0</v>
      </c>
      <c r="M217">
        <f>IF(COUNTIFS('United Data'!$A$3:$A$2150,M$1,'United Data'!$C$3:$C$2150,$A217,'United Data'!$B$3:$B$2150,"&lt;&gt;P")&gt;0,1,0)</f>
        <v>0</v>
      </c>
      <c r="N217">
        <f>IF(COUNTIFS('United Data'!$A$3:$A$2150,N$1,'United Data'!$C$3:$C$2150,$A217,'United Data'!$B$3:$B$2150,"&lt;&gt;P")&gt;0,1,0)</f>
        <v>0</v>
      </c>
      <c r="O217">
        <f>IF(COUNTIFS('United Data'!$A$3:$A$2150,O$1,'United Data'!$C$3:$C$2150,$A217,'United Data'!$B$3:$B$2150,"&lt;&gt;P")&gt;0,1,0)</f>
        <v>0</v>
      </c>
      <c r="P217">
        <f>IF(COUNTIFS('United Data'!$A$3:$A$2150,P$1,'United Data'!$C$3:$C$2150,$A217,'United Data'!$B$3:$B$2150,"&lt;&gt;P")&gt;0,1,0)</f>
        <v>0</v>
      </c>
      <c r="Q217">
        <f>IF(COUNTIFS('United Data'!$A$3:$A$2150,Q$1,'United Data'!$C$3:$C$2150,$A217,'United Data'!$B$3:$B$2150,"&lt;&gt;P")&gt;0,1,0)</f>
        <v>0</v>
      </c>
      <c r="R217">
        <f>IF(COUNTIFS('United Data'!$A$3:$A$2150,R$1,'United Data'!$C$3:$C$2150,$A217,'United Data'!$B$3:$B$2150,"&lt;&gt;P")&gt;0,1,0)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263</v>
      </c>
      <c r="B218">
        <f>IF(COUNTIFS('United Data'!$A$3:$A$2150,B$1,'United Data'!$C$3:$C$2150,$A218,'United Data'!$B$3:$B$2150,"&lt;&gt;P")&gt;0,1,0)</f>
        <v>0</v>
      </c>
      <c r="C218">
        <f>IF(COUNTIFS('United Data'!$A$3:$A$2150,C$1,'United Data'!$C$3:$C$2150,$A218,'United Data'!$B$3:$B$2150,"&lt;&gt;P")&gt;0,1,0)</f>
        <v>0</v>
      </c>
      <c r="D218">
        <f>IF(COUNTIFS('United Data'!$A$3:$A$2150,D$1,'United Data'!$C$3:$C$2150,$A218,'United Data'!$B$3:$B$2150,"&lt;&gt;P")&gt;0,1,0)</f>
        <v>0</v>
      </c>
      <c r="E218">
        <f>IF(COUNTIFS('United Data'!$A$3:$A$2150,E$1,'United Data'!$C$3:$C$2150,$A218,'United Data'!$B$3:$B$2150,"&lt;&gt;P")&gt;0,1,0)</f>
        <v>0</v>
      </c>
      <c r="F218">
        <f>IF(COUNTIFS('United Data'!$A$3:$A$2150,F$1,'United Data'!$C$3:$C$2150,$A218,'United Data'!$B$3:$B$2150,"&lt;&gt;P")&gt;0,1,0)</f>
        <v>0</v>
      </c>
      <c r="G218">
        <f>IF(COUNTIFS('United Data'!$A$3:$A$2150,G$1,'United Data'!$C$3:$C$2150,$A218,'United Data'!$B$3:$B$2150,"&lt;&gt;P")&gt;0,1,0)</f>
        <v>0</v>
      </c>
      <c r="H218">
        <f>IF(COUNTIFS('United Data'!$A$3:$A$2150,H$1,'United Data'!$C$3:$C$2150,$A218,'United Data'!$B$3:$B$2150,"&lt;&gt;P")&gt;0,1,0)</f>
        <v>0</v>
      </c>
      <c r="I218">
        <f>IF(COUNTIFS('United Data'!$A$3:$A$2150,I$1,'United Data'!$C$3:$C$2150,$A218,'United Data'!$B$3:$B$2150,"&lt;&gt;P")&gt;0,1,0)</f>
        <v>0</v>
      </c>
      <c r="J218">
        <f>IF(COUNTIFS('United Data'!$A$3:$A$2150,J$1,'United Data'!$C$3:$C$2150,$A218,'United Data'!$B$3:$B$2150,"&lt;&gt;P")&gt;0,1,0)</f>
        <v>1</v>
      </c>
      <c r="K218">
        <f>IF(COUNTIFS('United Data'!$A$3:$A$2150,K$1,'United Data'!$C$3:$C$2150,$A218,'United Data'!$B$3:$B$2150,"&lt;&gt;P")&gt;0,1,0)</f>
        <v>0</v>
      </c>
      <c r="L218">
        <f>IF(COUNTIFS('United Data'!$A$3:$A$2150,L$1,'United Data'!$C$3:$C$2150,$A218,'United Data'!$B$3:$B$2150,"&lt;&gt;P")&gt;0,1,0)</f>
        <v>0</v>
      </c>
      <c r="M218">
        <f>IF(COUNTIFS('United Data'!$A$3:$A$2150,M$1,'United Data'!$C$3:$C$2150,$A218,'United Data'!$B$3:$B$2150,"&lt;&gt;P")&gt;0,1,0)</f>
        <v>0</v>
      </c>
      <c r="N218">
        <f>IF(COUNTIFS('United Data'!$A$3:$A$2150,N$1,'United Data'!$C$3:$C$2150,$A218,'United Data'!$B$3:$B$2150,"&lt;&gt;P")&gt;0,1,0)</f>
        <v>0</v>
      </c>
      <c r="O218">
        <f>IF(COUNTIFS('United Data'!$A$3:$A$2150,O$1,'United Data'!$C$3:$C$2150,$A218,'United Data'!$B$3:$B$2150,"&lt;&gt;P")&gt;0,1,0)</f>
        <v>0</v>
      </c>
      <c r="P218">
        <f>IF(COUNTIFS('United Data'!$A$3:$A$2150,P$1,'United Data'!$C$3:$C$2150,$A218,'United Data'!$B$3:$B$2150,"&lt;&gt;P")&gt;0,1,0)</f>
        <v>0</v>
      </c>
      <c r="Q218">
        <f>IF(COUNTIFS('United Data'!$A$3:$A$2150,Q$1,'United Data'!$C$3:$C$2150,$A218,'United Data'!$B$3:$B$2150,"&lt;&gt;P")&gt;0,1,0)</f>
        <v>0</v>
      </c>
      <c r="R218">
        <f>IF(COUNTIFS('United Data'!$A$3:$A$2150,R$1,'United Data'!$C$3:$C$2150,$A218,'United Data'!$B$3:$B$2150,"&lt;&gt;P")&gt;0,1,0)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264</v>
      </c>
      <c r="B219">
        <f>IF(COUNTIFS('United Data'!$A$3:$A$2150,B$1,'United Data'!$C$3:$C$2150,$A219,'United Data'!$B$3:$B$2150,"&lt;&gt;P")&gt;0,1,0)</f>
        <v>0</v>
      </c>
      <c r="C219">
        <f>IF(COUNTIFS('United Data'!$A$3:$A$2150,C$1,'United Data'!$C$3:$C$2150,$A219,'United Data'!$B$3:$B$2150,"&lt;&gt;P")&gt;0,1,0)</f>
        <v>0</v>
      </c>
      <c r="D219">
        <f>IF(COUNTIFS('United Data'!$A$3:$A$2150,D$1,'United Data'!$C$3:$C$2150,$A219,'United Data'!$B$3:$B$2150,"&lt;&gt;P")&gt;0,1,0)</f>
        <v>0</v>
      </c>
      <c r="E219">
        <f>IF(COUNTIFS('United Data'!$A$3:$A$2150,E$1,'United Data'!$C$3:$C$2150,$A219,'United Data'!$B$3:$B$2150,"&lt;&gt;P")&gt;0,1,0)</f>
        <v>0</v>
      </c>
      <c r="F219">
        <f>IF(COUNTIFS('United Data'!$A$3:$A$2150,F$1,'United Data'!$C$3:$C$2150,$A219,'United Data'!$B$3:$B$2150,"&lt;&gt;P")&gt;0,1,0)</f>
        <v>0</v>
      </c>
      <c r="G219">
        <f>IF(COUNTIFS('United Data'!$A$3:$A$2150,G$1,'United Data'!$C$3:$C$2150,$A219,'United Data'!$B$3:$B$2150,"&lt;&gt;P")&gt;0,1,0)</f>
        <v>0</v>
      </c>
      <c r="H219">
        <f>IF(COUNTIFS('United Data'!$A$3:$A$2150,H$1,'United Data'!$C$3:$C$2150,$A219,'United Data'!$B$3:$B$2150,"&lt;&gt;P")&gt;0,1,0)</f>
        <v>0</v>
      </c>
      <c r="I219">
        <f>IF(COUNTIFS('United Data'!$A$3:$A$2150,I$1,'United Data'!$C$3:$C$2150,$A219,'United Data'!$B$3:$B$2150,"&lt;&gt;P")&gt;0,1,0)</f>
        <v>0</v>
      </c>
      <c r="J219">
        <f>IF(COUNTIFS('United Data'!$A$3:$A$2150,J$1,'United Data'!$C$3:$C$2150,$A219,'United Data'!$B$3:$B$2150,"&lt;&gt;P")&gt;0,1,0)</f>
        <v>1</v>
      </c>
      <c r="K219">
        <f>IF(COUNTIFS('United Data'!$A$3:$A$2150,K$1,'United Data'!$C$3:$C$2150,$A219,'United Data'!$B$3:$B$2150,"&lt;&gt;P")&gt;0,1,0)</f>
        <v>0</v>
      </c>
      <c r="L219">
        <f>IF(COUNTIFS('United Data'!$A$3:$A$2150,L$1,'United Data'!$C$3:$C$2150,$A219,'United Data'!$B$3:$B$2150,"&lt;&gt;P")&gt;0,1,0)</f>
        <v>0</v>
      </c>
      <c r="M219">
        <f>IF(COUNTIFS('United Data'!$A$3:$A$2150,M$1,'United Data'!$C$3:$C$2150,$A219,'United Data'!$B$3:$B$2150,"&lt;&gt;P")&gt;0,1,0)</f>
        <v>0</v>
      </c>
      <c r="N219">
        <f>IF(COUNTIFS('United Data'!$A$3:$A$2150,N$1,'United Data'!$C$3:$C$2150,$A219,'United Data'!$B$3:$B$2150,"&lt;&gt;P")&gt;0,1,0)</f>
        <v>0</v>
      </c>
      <c r="O219">
        <f>IF(COUNTIFS('United Data'!$A$3:$A$2150,O$1,'United Data'!$C$3:$C$2150,$A219,'United Data'!$B$3:$B$2150,"&lt;&gt;P")&gt;0,1,0)</f>
        <v>0</v>
      </c>
      <c r="P219">
        <f>IF(COUNTIFS('United Data'!$A$3:$A$2150,P$1,'United Data'!$C$3:$C$2150,$A219,'United Data'!$B$3:$B$2150,"&lt;&gt;P")&gt;0,1,0)</f>
        <v>0</v>
      </c>
      <c r="Q219">
        <f>IF(COUNTIFS('United Data'!$A$3:$A$2150,Q$1,'United Data'!$C$3:$C$2150,$A219,'United Data'!$B$3:$B$2150,"&lt;&gt;P")&gt;0,1,0)</f>
        <v>0</v>
      </c>
      <c r="R219">
        <f>IF(COUNTIFS('United Data'!$A$3:$A$2150,R$1,'United Data'!$C$3:$C$2150,$A219,'United Data'!$B$3:$B$2150,"&lt;&gt;P")&gt;0,1,0)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265</v>
      </c>
      <c r="B220">
        <f>IF(COUNTIFS('United Data'!$A$3:$A$2150,B$1,'United Data'!$C$3:$C$2150,$A220,'United Data'!$B$3:$B$2150,"&lt;&gt;P")&gt;0,1,0)</f>
        <v>0</v>
      </c>
      <c r="C220">
        <f>IF(COUNTIFS('United Data'!$A$3:$A$2150,C$1,'United Data'!$C$3:$C$2150,$A220,'United Data'!$B$3:$B$2150,"&lt;&gt;P")&gt;0,1,0)</f>
        <v>0</v>
      </c>
      <c r="D220">
        <f>IF(COUNTIFS('United Data'!$A$3:$A$2150,D$1,'United Data'!$C$3:$C$2150,$A220,'United Data'!$B$3:$B$2150,"&lt;&gt;P")&gt;0,1,0)</f>
        <v>0</v>
      </c>
      <c r="E220">
        <f>IF(COUNTIFS('United Data'!$A$3:$A$2150,E$1,'United Data'!$C$3:$C$2150,$A220,'United Data'!$B$3:$B$2150,"&lt;&gt;P")&gt;0,1,0)</f>
        <v>0</v>
      </c>
      <c r="F220">
        <f>IF(COUNTIFS('United Data'!$A$3:$A$2150,F$1,'United Data'!$C$3:$C$2150,$A220,'United Data'!$B$3:$B$2150,"&lt;&gt;P")&gt;0,1,0)</f>
        <v>0</v>
      </c>
      <c r="G220">
        <f>IF(COUNTIFS('United Data'!$A$3:$A$2150,G$1,'United Data'!$C$3:$C$2150,$A220,'United Data'!$B$3:$B$2150,"&lt;&gt;P")&gt;0,1,0)</f>
        <v>0</v>
      </c>
      <c r="H220">
        <f>IF(COUNTIFS('United Data'!$A$3:$A$2150,H$1,'United Data'!$C$3:$C$2150,$A220,'United Data'!$B$3:$B$2150,"&lt;&gt;P")&gt;0,1,0)</f>
        <v>0</v>
      </c>
      <c r="I220">
        <f>IF(COUNTIFS('United Data'!$A$3:$A$2150,I$1,'United Data'!$C$3:$C$2150,$A220,'United Data'!$B$3:$B$2150,"&lt;&gt;P")&gt;0,1,0)</f>
        <v>0</v>
      </c>
      <c r="J220">
        <f>IF(COUNTIFS('United Data'!$A$3:$A$2150,J$1,'United Data'!$C$3:$C$2150,$A220,'United Data'!$B$3:$B$2150,"&lt;&gt;P")&gt;0,1,0)</f>
        <v>1</v>
      </c>
      <c r="K220">
        <f>IF(COUNTIFS('United Data'!$A$3:$A$2150,K$1,'United Data'!$C$3:$C$2150,$A220,'United Data'!$B$3:$B$2150,"&lt;&gt;P")&gt;0,1,0)</f>
        <v>0</v>
      </c>
      <c r="L220">
        <f>IF(COUNTIFS('United Data'!$A$3:$A$2150,L$1,'United Data'!$C$3:$C$2150,$A220,'United Data'!$B$3:$B$2150,"&lt;&gt;P")&gt;0,1,0)</f>
        <v>0</v>
      </c>
      <c r="M220">
        <f>IF(COUNTIFS('United Data'!$A$3:$A$2150,M$1,'United Data'!$C$3:$C$2150,$A220,'United Data'!$B$3:$B$2150,"&lt;&gt;P")&gt;0,1,0)</f>
        <v>0</v>
      </c>
      <c r="N220">
        <f>IF(COUNTIFS('United Data'!$A$3:$A$2150,N$1,'United Data'!$C$3:$C$2150,$A220,'United Data'!$B$3:$B$2150,"&lt;&gt;P")&gt;0,1,0)</f>
        <v>0</v>
      </c>
      <c r="O220">
        <f>IF(COUNTIFS('United Data'!$A$3:$A$2150,O$1,'United Data'!$C$3:$C$2150,$A220,'United Data'!$B$3:$B$2150,"&lt;&gt;P")&gt;0,1,0)</f>
        <v>0</v>
      </c>
      <c r="P220">
        <f>IF(COUNTIFS('United Data'!$A$3:$A$2150,P$1,'United Data'!$C$3:$C$2150,$A220,'United Data'!$B$3:$B$2150,"&lt;&gt;P")&gt;0,1,0)</f>
        <v>0</v>
      </c>
      <c r="Q220">
        <f>IF(COUNTIFS('United Data'!$A$3:$A$2150,Q$1,'United Data'!$C$3:$C$2150,$A220,'United Data'!$B$3:$B$2150,"&lt;&gt;P")&gt;0,1,0)</f>
        <v>0</v>
      </c>
      <c r="R220">
        <f>IF(COUNTIFS('United Data'!$A$3:$A$2150,R$1,'United Data'!$C$3:$C$2150,$A220,'United Data'!$B$3:$B$2150,"&lt;&gt;P")&gt;0,1,0)</f>
        <v>0</v>
      </c>
      <c r="S220">
        <f t="shared" si="6"/>
        <v>1</v>
      </c>
      <c r="T220">
        <f t="shared" si="7"/>
        <v>1</v>
      </c>
    </row>
    <row r="221" spans="1:20" x14ac:dyDescent="0.2">
      <c r="A221" t="s">
        <v>266</v>
      </c>
      <c r="B221">
        <f>IF(COUNTIFS('United Data'!$A$3:$A$2150,B$1,'United Data'!$C$3:$C$2150,$A221,'United Data'!$B$3:$B$2150,"&lt;&gt;P")&gt;0,1,0)</f>
        <v>0</v>
      </c>
      <c r="C221">
        <f>IF(COUNTIFS('United Data'!$A$3:$A$2150,C$1,'United Data'!$C$3:$C$2150,$A221,'United Data'!$B$3:$B$2150,"&lt;&gt;P")&gt;0,1,0)</f>
        <v>0</v>
      </c>
      <c r="D221">
        <f>IF(COUNTIFS('United Data'!$A$3:$A$2150,D$1,'United Data'!$C$3:$C$2150,$A221,'United Data'!$B$3:$B$2150,"&lt;&gt;P")&gt;0,1,0)</f>
        <v>0</v>
      </c>
      <c r="E221">
        <f>IF(COUNTIFS('United Data'!$A$3:$A$2150,E$1,'United Data'!$C$3:$C$2150,$A221,'United Data'!$B$3:$B$2150,"&lt;&gt;P")&gt;0,1,0)</f>
        <v>0</v>
      </c>
      <c r="F221">
        <f>IF(COUNTIFS('United Data'!$A$3:$A$2150,F$1,'United Data'!$C$3:$C$2150,$A221,'United Data'!$B$3:$B$2150,"&lt;&gt;P")&gt;0,1,0)</f>
        <v>0</v>
      </c>
      <c r="G221">
        <f>IF(COUNTIFS('United Data'!$A$3:$A$2150,G$1,'United Data'!$C$3:$C$2150,$A221,'United Data'!$B$3:$B$2150,"&lt;&gt;P")&gt;0,1,0)</f>
        <v>0</v>
      </c>
      <c r="H221">
        <f>IF(COUNTIFS('United Data'!$A$3:$A$2150,H$1,'United Data'!$C$3:$C$2150,$A221,'United Data'!$B$3:$B$2150,"&lt;&gt;P")&gt;0,1,0)</f>
        <v>0</v>
      </c>
      <c r="I221">
        <f>IF(COUNTIFS('United Data'!$A$3:$A$2150,I$1,'United Data'!$C$3:$C$2150,$A221,'United Data'!$B$3:$B$2150,"&lt;&gt;P")&gt;0,1,0)</f>
        <v>0</v>
      </c>
      <c r="J221">
        <f>IF(COUNTIFS('United Data'!$A$3:$A$2150,J$1,'United Data'!$C$3:$C$2150,$A221,'United Data'!$B$3:$B$2150,"&lt;&gt;P")&gt;0,1,0)</f>
        <v>1</v>
      </c>
      <c r="K221">
        <f>IF(COUNTIFS('United Data'!$A$3:$A$2150,K$1,'United Data'!$C$3:$C$2150,$A221,'United Data'!$B$3:$B$2150,"&lt;&gt;P")&gt;0,1,0)</f>
        <v>0</v>
      </c>
      <c r="L221">
        <f>IF(COUNTIFS('United Data'!$A$3:$A$2150,L$1,'United Data'!$C$3:$C$2150,$A221,'United Data'!$B$3:$B$2150,"&lt;&gt;P")&gt;0,1,0)</f>
        <v>0</v>
      </c>
      <c r="M221">
        <f>IF(COUNTIFS('United Data'!$A$3:$A$2150,M$1,'United Data'!$C$3:$C$2150,$A221,'United Data'!$B$3:$B$2150,"&lt;&gt;P")&gt;0,1,0)</f>
        <v>0</v>
      </c>
      <c r="N221">
        <f>IF(COUNTIFS('United Data'!$A$3:$A$2150,N$1,'United Data'!$C$3:$C$2150,$A221,'United Data'!$B$3:$B$2150,"&lt;&gt;P")&gt;0,1,0)</f>
        <v>0</v>
      </c>
      <c r="O221">
        <f>IF(COUNTIFS('United Data'!$A$3:$A$2150,O$1,'United Data'!$C$3:$C$2150,$A221,'United Data'!$B$3:$B$2150,"&lt;&gt;P")&gt;0,1,0)</f>
        <v>0</v>
      </c>
      <c r="P221">
        <f>IF(COUNTIFS('United Data'!$A$3:$A$2150,P$1,'United Data'!$C$3:$C$2150,$A221,'United Data'!$B$3:$B$2150,"&lt;&gt;P")&gt;0,1,0)</f>
        <v>0</v>
      </c>
      <c r="Q221">
        <f>IF(COUNTIFS('United Data'!$A$3:$A$2150,Q$1,'United Data'!$C$3:$C$2150,$A221,'United Data'!$B$3:$B$2150,"&lt;&gt;P")&gt;0,1,0)</f>
        <v>0</v>
      </c>
      <c r="R221">
        <f>IF(COUNTIFS('United Data'!$A$3:$A$2150,R$1,'United Data'!$C$3:$C$2150,$A221,'United Data'!$B$3:$B$2150,"&lt;&gt;P")&gt;0,1,0)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267</v>
      </c>
      <c r="B222">
        <f>IF(COUNTIFS('United Data'!$A$3:$A$2150,B$1,'United Data'!$C$3:$C$2150,$A222,'United Data'!$B$3:$B$2150,"&lt;&gt;P")&gt;0,1,0)</f>
        <v>0</v>
      </c>
      <c r="C222">
        <f>IF(COUNTIFS('United Data'!$A$3:$A$2150,C$1,'United Data'!$C$3:$C$2150,$A222,'United Data'!$B$3:$B$2150,"&lt;&gt;P")&gt;0,1,0)</f>
        <v>0</v>
      </c>
      <c r="D222">
        <f>IF(COUNTIFS('United Data'!$A$3:$A$2150,D$1,'United Data'!$C$3:$C$2150,$A222,'United Data'!$B$3:$B$2150,"&lt;&gt;P")&gt;0,1,0)</f>
        <v>0</v>
      </c>
      <c r="E222">
        <f>IF(COUNTIFS('United Data'!$A$3:$A$2150,E$1,'United Data'!$C$3:$C$2150,$A222,'United Data'!$B$3:$B$2150,"&lt;&gt;P")&gt;0,1,0)</f>
        <v>0</v>
      </c>
      <c r="F222">
        <f>IF(COUNTIFS('United Data'!$A$3:$A$2150,F$1,'United Data'!$C$3:$C$2150,$A222,'United Data'!$B$3:$B$2150,"&lt;&gt;P")&gt;0,1,0)</f>
        <v>0</v>
      </c>
      <c r="G222">
        <f>IF(COUNTIFS('United Data'!$A$3:$A$2150,G$1,'United Data'!$C$3:$C$2150,$A222,'United Data'!$B$3:$B$2150,"&lt;&gt;P")&gt;0,1,0)</f>
        <v>0</v>
      </c>
      <c r="H222">
        <f>IF(COUNTIFS('United Data'!$A$3:$A$2150,H$1,'United Data'!$C$3:$C$2150,$A222,'United Data'!$B$3:$B$2150,"&lt;&gt;P")&gt;0,1,0)</f>
        <v>0</v>
      </c>
      <c r="I222">
        <f>IF(COUNTIFS('United Data'!$A$3:$A$2150,I$1,'United Data'!$C$3:$C$2150,$A222,'United Data'!$B$3:$B$2150,"&lt;&gt;P")&gt;0,1,0)</f>
        <v>0</v>
      </c>
      <c r="J222">
        <f>IF(COUNTIFS('United Data'!$A$3:$A$2150,J$1,'United Data'!$C$3:$C$2150,$A222,'United Data'!$B$3:$B$2150,"&lt;&gt;P")&gt;0,1,0)</f>
        <v>1</v>
      </c>
      <c r="K222">
        <f>IF(COUNTIFS('United Data'!$A$3:$A$2150,K$1,'United Data'!$C$3:$C$2150,$A222,'United Data'!$B$3:$B$2150,"&lt;&gt;P")&gt;0,1,0)</f>
        <v>1</v>
      </c>
      <c r="L222">
        <f>IF(COUNTIFS('United Data'!$A$3:$A$2150,L$1,'United Data'!$C$3:$C$2150,$A222,'United Data'!$B$3:$B$2150,"&lt;&gt;P")&gt;0,1,0)</f>
        <v>1</v>
      </c>
      <c r="M222">
        <f>IF(COUNTIFS('United Data'!$A$3:$A$2150,M$1,'United Data'!$C$3:$C$2150,$A222,'United Data'!$B$3:$B$2150,"&lt;&gt;P")&gt;0,1,0)</f>
        <v>1</v>
      </c>
      <c r="N222">
        <f>IF(COUNTIFS('United Data'!$A$3:$A$2150,N$1,'United Data'!$C$3:$C$2150,$A222,'United Data'!$B$3:$B$2150,"&lt;&gt;P")&gt;0,1,0)</f>
        <v>0</v>
      </c>
      <c r="O222">
        <f>IF(COUNTIFS('United Data'!$A$3:$A$2150,O$1,'United Data'!$C$3:$C$2150,$A222,'United Data'!$B$3:$B$2150,"&lt;&gt;P")&gt;0,1,0)</f>
        <v>0</v>
      </c>
      <c r="P222">
        <f>IF(COUNTIFS('United Data'!$A$3:$A$2150,P$1,'United Data'!$C$3:$C$2150,$A222,'United Data'!$B$3:$B$2150,"&lt;&gt;P")&gt;0,1,0)</f>
        <v>0</v>
      </c>
      <c r="Q222">
        <f>IF(COUNTIFS('United Data'!$A$3:$A$2150,Q$1,'United Data'!$C$3:$C$2150,$A222,'United Data'!$B$3:$B$2150,"&lt;&gt;P")&gt;0,1,0)</f>
        <v>0</v>
      </c>
      <c r="R222">
        <f>IF(COUNTIFS('United Data'!$A$3:$A$2150,R$1,'United Data'!$C$3:$C$2150,$A222,'United Data'!$B$3:$B$2150,"&lt;&gt;P")&gt;0,1,0)</f>
        <v>0</v>
      </c>
      <c r="S222">
        <f t="shared" si="6"/>
        <v>4</v>
      </c>
      <c r="T222">
        <f t="shared" si="7"/>
        <v>1</v>
      </c>
    </row>
    <row r="223" spans="1:20" x14ac:dyDescent="0.2">
      <c r="A223" t="s">
        <v>268</v>
      </c>
      <c r="B223">
        <f>IF(COUNTIFS('United Data'!$A$3:$A$2150,B$1,'United Data'!$C$3:$C$2150,$A223,'United Data'!$B$3:$B$2150,"&lt;&gt;P")&gt;0,1,0)</f>
        <v>0</v>
      </c>
      <c r="C223">
        <f>IF(COUNTIFS('United Data'!$A$3:$A$2150,C$1,'United Data'!$C$3:$C$2150,$A223,'United Data'!$B$3:$B$2150,"&lt;&gt;P")&gt;0,1,0)</f>
        <v>0</v>
      </c>
      <c r="D223">
        <f>IF(COUNTIFS('United Data'!$A$3:$A$2150,D$1,'United Data'!$C$3:$C$2150,$A223,'United Data'!$B$3:$B$2150,"&lt;&gt;P")&gt;0,1,0)</f>
        <v>0</v>
      </c>
      <c r="E223">
        <f>IF(COUNTIFS('United Data'!$A$3:$A$2150,E$1,'United Data'!$C$3:$C$2150,$A223,'United Data'!$B$3:$B$2150,"&lt;&gt;P")&gt;0,1,0)</f>
        <v>0</v>
      </c>
      <c r="F223">
        <f>IF(COUNTIFS('United Data'!$A$3:$A$2150,F$1,'United Data'!$C$3:$C$2150,$A223,'United Data'!$B$3:$B$2150,"&lt;&gt;P")&gt;0,1,0)</f>
        <v>0</v>
      </c>
      <c r="G223">
        <f>IF(COUNTIFS('United Data'!$A$3:$A$2150,G$1,'United Data'!$C$3:$C$2150,$A223,'United Data'!$B$3:$B$2150,"&lt;&gt;P")&gt;0,1,0)</f>
        <v>0</v>
      </c>
      <c r="H223">
        <f>IF(COUNTIFS('United Data'!$A$3:$A$2150,H$1,'United Data'!$C$3:$C$2150,$A223,'United Data'!$B$3:$B$2150,"&lt;&gt;P")&gt;0,1,0)</f>
        <v>0</v>
      </c>
      <c r="I223">
        <f>IF(COUNTIFS('United Data'!$A$3:$A$2150,I$1,'United Data'!$C$3:$C$2150,$A223,'United Data'!$B$3:$B$2150,"&lt;&gt;P")&gt;0,1,0)</f>
        <v>0</v>
      </c>
      <c r="J223">
        <f>IF(COUNTIFS('United Data'!$A$3:$A$2150,J$1,'United Data'!$C$3:$C$2150,$A223,'United Data'!$B$3:$B$2150,"&lt;&gt;P")&gt;0,1,0)</f>
        <v>1</v>
      </c>
      <c r="K223">
        <f>IF(COUNTIFS('United Data'!$A$3:$A$2150,K$1,'United Data'!$C$3:$C$2150,$A223,'United Data'!$B$3:$B$2150,"&lt;&gt;P")&gt;0,1,0)</f>
        <v>1</v>
      </c>
      <c r="L223">
        <f>IF(COUNTIFS('United Data'!$A$3:$A$2150,L$1,'United Data'!$C$3:$C$2150,$A223,'United Data'!$B$3:$B$2150,"&lt;&gt;P")&gt;0,1,0)</f>
        <v>1</v>
      </c>
      <c r="M223">
        <f>IF(COUNTIFS('United Data'!$A$3:$A$2150,M$1,'United Data'!$C$3:$C$2150,$A223,'United Data'!$B$3:$B$2150,"&lt;&gt;P")&gt;0,1,0)</f>
        <v>1</v>
      </c>
      <c r="N223">
        <f>IF(COUNTIFS('United Data'!$A$3:$A$2150,N$1,'United Data'!$C$3:$C$2150,$A223,'United Data'!$B$3:$B$2150,"&lt;&gt;P")&gt;0,1,0)</f>
        <v>1</v>
      </c>
      <c r="O223">
        <f>IF(COUNTIFS('United Data'!$A$3:$A$2150,O$1,'United Data'!$C$3:$C$2150,$A223,'United Data'!$B$3:$B$2150,"&lt;&gt;P")&gt;0,1,0)</f>
        <v>0</v>
      </c>
      <c r="P223">
        <f>IF(COUNTIFS('United Data'!$A$3:$A$2150,P$1,'United Data'!$C$3:$C$2150,$A223,'United Data'!$B$3:$B$2150,"&lt;&gt;P")&gt;0,1,0)</f>
        <v>0</v>
      </c>
      <c r="Q223">
        <f>IF(COUNTIFS('United Data'!$A$3:$A$2150,Q$1,'United Data'!$C$3:$C$2150,$A223,'United Data'!$B$3:$B$2150,"&lt;&gt;P")&gt;0,1,0)</f>
        <v>0</v>
      </c>
      <c r="R223">
        <f>IF(COUNTIFS('United Data'!$A$3:$A$2150,R$1,'United Data'!$C$3:$C$2150,$A223,'United Data'!$B$3:$B$2150,"&lt;&gt;P")&gt;0,1,0)</f>
        <v>0</v>
      </c>
      <c r="S223">
        <f t="shared" si="6"/>
        <v>5</v>
      </c>
      <c r="T223">
        <f t="shared" si="7"/>
        <v>1</v>
      </c>
    </row>
    <row r="224" spans="1:20" x14ac:dyDescent="0.2">
      <c r="A224" t="s">
        <v>269</v>
      </c>
      <c r="B224">
        <f>IF(COUNTIFS('United Data'!$A$3:$A$2150,B$1,'United Data'!$C$3:$C$2150,$A224,'United Data'!$B$3:$B$2150,"&lt;&gt;P")&gt;0,1,0)</f>
        <v>0</v>
      </c>
      <c r="C224">
        <f>IF(COUNTIFS('United Data'!$A$3:$A$2150,C$1,'United Data'!$C$3:$C$2150,$A224,'United Data'!$B$3:$B$2150,"&lt;&gt;P")&gt;0,1,0)</f>
        <v>0</v>
      </c>
      <c r="D224">
        <f>IF(COUNTIFS('United Data'!$A$3:$A$2150,D$1,'United Data'!$C$3:$C$2150,$A224,'United Data'!$B$3:$B$2150,"&lt;&gt;P")&gt;0,1,0)</f>
        <v>0</v>
      </c>
      <c r="E224">
        <f>IF(COUNTIFS('United Data'!$A$3:$A$2150,E$1,'United Data'!$C$3:$C$2150,$A224,'United Data'!$B$3:$B$2150,"&lt;&gt;P")&gt;0,1,0)</f>
        <v>0</v>
      </c>
      <c r="F224">
        <f>IF(COUNTIFS('United Data'!$A$3:$A$2150,F$1,'United Data'!$C$3:$C$2150,$A224,'United Data'!$B$3:$B$2150,"&lt;&gt;P")&gt;0,1,0)</f>
        <v>0</v>
      </c>
      <c r="G224">
        <f>IF(COUNTIFS('United Data'!$A$3:$A$2150,G$1,'United Data'!$C$3:$C$2150,$A224,'United Data'!$B$3:$B$2150,"&lt;&gt;P")&gt;0,1,0)</f>
        <v>0</v>
      </c>
      <c r="H224">
        <f>IF(COUNTIFS('United Data'!$A$3:$A$2150,H$1,'United Data'!$C$3:$C$2150,$A224,'United Data'!$B$3:$B$2150,"&lt;&gt;P")&gt;0,1,0)</f>
        <v>0</v>
      </c>
      <c r="I224">
        <f>IF(COUNTIFS('United Data'!$A$3:$A$2150,I$1,'United Data'!$C$3:$C$2150,$A224,'United Data'!$B$3:$B$2150,"&lt;&gt;P")&gt;0,1,0)</f>
        <v>0</v>
      </c>
      <c r="J224">
        <f>IF(COUNTIFS('United Data'!$A$3:$A$2150,J$1,'United Data'!$C$3:$C$2150,$A224,'United Data'!$B$3:$B$2150,"&lt;&gt;P")&gt;0,1,0)</f>
        <v>1</v>
      </c>
      <c r="K224">
        <f>IF(COUNTIFS('United Data'!$A$3:$A$2150,K$1,'United Data'!$C$3:$C$2150,$A224,'United Data'!$B$3:$B$2150,"&lt;&gt;P")&gt;0,1,0)</f>
        <v>1</v>
      </c>
      <c r="L224">
        <f>IF(COUNTIFS('United Data'!$A$3:$A$2150,L$1,'United Data'!$C$3:$C$2150,$A224,'United Data'!$B$3:$B$2150,"&lt;&gt;P")&gt;0,1,0)</f>
        <v>1</v>
      </c>
      <c r="M224">
        <f>IF(COUNTIFS('United Data'!$A$3:$A$2150,M$1,'United Data'!$C$3:$C$2150,$A224,'United Data'!$B$3:$B$2150,"&lt;&gt;P")&gt;0,1,0)</f>
        <v>1</v>
      </c>
      <c r="N224">
        <f>IF(COUNTIFS('United Data'!$A$3:$A$2150,N$1,'United Data'!$C$3:$C$2150,$A224,'United Data'!$B$3:$B$2150,"&lt;&gt;P")&gt;0,1,0)</f>
        <v>1</v>
      </c>
      <c r="O224">
        <f>IF(COUNTIFS('United Data'!$A$3:$A$2150,O$1,'United Data'!$C$3:$C$2150,$A224,'United Data'!$B$3:$B$2150,"&lt;&gt;P")&gt;0,1,0)</f>
        <v>0</v>
      </c>
      <c r="P224">
        <f>IF(COUNTIFS('United Data'!$A$3:$A$2150,P$1,'United Data'!$C$3:$C$2150,$A224,'United Data'!$B$3:$B$2150,"&lt;&gt;P")&gt;0,1,0)</f>
        <v>0</v>
      </c>
      <c r="Q224">
        <f>IF(COUNTIFS('United Data'!$A$3:$A$2150,Q$1,'United Data'!$C$3:$C$2150,$A224,'United Data'!$B$3:$B$2150,"&lt;&gt;P")&gt;0,1,0)</f>
        <v>0</v>
      </c>
      <c r="R224">
        <f>IF(COUNTIFS('United Data'!$A$3:$A$2150,R$1,'United Data'!$C$3:$C$2150,$A224,'United Data'!$B$3:$B$2150,"&lt;&gt;P")&gt;0,1,0)</f>
        <v>0</v>
      </c>
      <c r="S224">
        <f t="shared" si="6"/>
        <v>5</v>
      </c>
      <c r="T224">
        <f t="shared" si="7"/>
        <v>1</v>
      </c>
    </row>
    <row r="225" spans="1:20" x14ac:dyDescent="0.2">
      <c r="A225" t="s">
        <v>270</v>
      </c>
      <c r="B225">
        <f>IF(COUNTIFS('United Data'!$A$3:$A$2150,B$1,'United Data'!$C$3:$C$2150,$A225,'United Data'!$B$3:$B$2150,"&lt;&gt;P")&gt;0,1,0)</f>
        <v>0</v>
      </c>
      <c r="C225">
        <f>IF(COUNTIFS('United Data'!$A$3:$A$2150,C$1,'United Data'!$C$3:$C$2150,$A225,'United Data'!$B$3:$B$2150,"&lt;&gt;P")&gt;0,1,0)</f>
        <v>0</v>
      </c>
      <c r="D225">
        <f>IF(COUNTIFS('United Data'!$A$3:$A$2150,D$1,'United Data'!$C$3:$C$2150,$A225,'United Data'!$B$3:$B$2150,"&lt;&gt;P")&gt;0,1,0)</f>
        <v>0</v>
      </c>
      <c r="E225">
        <f>IF(COUNTIFS('United Data'!$A$3:$A$2150,E$1,'United Data'!$C$3:$C$2150,$A225,'United Data'!$B$3:$B$2150,"&lt;&gt;P")&gt;0,1,0)</f>
        <v>0</v>
      </c>
      <c r="F225">
        <f>IF(COUNTIFS('United Data'!$A$3:$A$2150,F$1,'United Data'!$C$3:$C$2150,$A225,'United Data'!$B$3:$B$2150,"&lt;&gt;P")&gt;0,1,0)</f>
        <v>0</v>
      </c>
      <c r="G225">
        <f>IF(COUNTIFS('United Data'!$A$3:$A$2150,G$1,'United Data'!$C$3:$C$2150,$A225,'United Data'!$B$3:$B$2150,"&lt;&gt;P")&gt;0,1,0)</f>
        <v>0</v>
      </c>
      <c r="H225">
        <f>IF(COUNTIFS('United Data'!$A$3:$A$2150,H$1,'United Data'!$C$3:$C$2150,$A225,'United Data'!$B$3:$B$2150,"&lt;&gt;P")&gt;0,1,0)</f>
        <v>0</v>
      </c>
      <c r="I225">
        <f>IF(COUNTIFS('United Data'!$A$3:$A$2150,I$1,'United Data'!$C$3:$C$2150,$A225,'United Data'!$B$3:$B$2150,"&lt;&gt;P")&gt;0,1,0)</f>
        <v>0</v>
      </c>
      <c r="J225">
        <f>IF(COUNTIFS('United Data'!$A$3:$A$2150,J$1,'United Data'!$C$3:$C$2150,$A225,'United Data'!$B$3:$B$2150,"&lt;&gt;P")&gt;0,1,0)</f>
        <v>0</v>
      </c>
      <c r="K225">
        <f>IF(COUNTIFS('United Data'!$A$3:$A$2150,K$1,'United Data'!$C$3:$C$2150,$A225,'United Data'!$B$3:$B$2150,"&lt;&gt;P")&gt;0,1,0)</f>
        <v>1</v>
      </c>
      <c r="L225">
        <f>IF(COUNTIFS('United Data'!$A$3:$A$2150,L$1,'United Data'!$C$3:$C$2150,$A225,'United Data'!$B$3:$B$2150,"&lt;&gt;P")&gt;0,1,0)</f>
        <v>0</v>
      </c>
      <c r="M225">
        <f>IF(COUNTIFS('United Data'!$A$3:$A$2150,M$1,'United Data'!$C$3:$C$2150,$A225,'United Data'!$B$3:$B$2150,"&lt;&gt;P")&gt;0,1,0)</f>
        <v>0</v>
      </c>
      <c r="N225">
        <f>IF(COUNTIFS('United Data'!$A$3:$A$2150,N$1,'United Data'!$C$3:$C$2150,$A225,'United Data'!$B$3:$B$2150,"&lt;&gt;P")&gt;0,1,0)</f>
        <v>0</v>
      </c>
      <c r="O225">
        <f>IF(COUNTIFS('United Data'!$A$3:$A$2150,O$1,'United Data'!$C$3:$C$2150,$A225,'United Data'!$B$3:$B$2150,"&lt;&gt;P")&gt;0,1,0)</f>
        <v>0</v>
      </c>
      <c r="P225">
        <f>IF(COUNTIFS('United Data'!$A$3:$A$2150,P$1,'United Data'!$C$3:$C$2150,$A225,'United Data'!$B$3:$B$2150,"&lt;&gt;P")&gt;0,1,0)</f>
        <v>0</v>
      </c>
      <c r="Q225">
        <f>IF(COUNTIFS('United Data'!$A$3:$A$2150,Q$1,'United Data'!$C$3:$C$2150,$A225,'United Data'!$B$3:$B$2150,"&lt;&gt;P")&gt;0,1,0)</f>
        <v>0</v>
      </c>
      <c r="R225">
        <f>IF(COUNTIFS('United Data'!$A$3:$A$2150,R$1,'United Data'!$C$3:$C$2150,$A225,'United Data'!$B$3:$B$2150,"&lt;&gt;P")&gt;0,1,0)</f>
        <v>0</v>
      </c>
      <c r="S225">
        <f t="shared" si="6"/>
        <v>1</v>
      </c>
      <c r="T225">
        <f t="shared" si="7"/>
        <v>1</v>
      </c>
    </row>
    <row r="226" spans="1:20" x14ac:dyDescent="0.2">
      <c r="A226" t="s">
        <v>271</v>
      </c>
      <c r="B226">
        <f>IF(COUNTIFS('United Data'!$A$3:$A$2150,B$1,'United Data'!$C$3:$C$2150,$A226,'United Data'!$B$3:$B$2150,"&lt;&gt;P")&gt;0,1,0)</f>
        <v>0</v>
      </c>
      <c r="C226">
        <f>IF(COUNTIFS('United Data'!$A$3:$A$2150,C$1,'United Data'!$C$3:$C$2150,$A226,'United Data'!$B$3:$B$2150,"&lt;&gt;P")&gt;0,1,0)</f>
        <v>0</v>
      </c>
      <c r="D226">
        <f>IF(COUNTIFS('United Data'!$A$3:$A$2150,D$1,'United Data'!$C$3:$C$2150,$A226,'United Data'!$B$3:$B$2150,"&lt;&gt;P")&gt;0,1,0)</f>
        <v>0</v>
      </c>
      <c r="E226">
        <f>IF(COUNTIFS('United Data'!$A$3:$A$2150,E$1,'United Data'!$C$3:$C$2150,$A226,'United Data'!$B$3:$B$2150,"&lt;&gt;P")&gt;0,1,0)</f>
        <v>0</v>
      </c>
      <c r="F226">
        <f>IF(COUNTIFS('United Data'!$A$3:$A$2150,F$1,'United Data'!$C$3:$C$2150,$A226,'United Data'!$B$3:$B$2150,"&lt;&gt;P")&gt;0,1,0)</f>
        <v>0</v>
      </c>
      <c r="G226">
        <f>IF(COUNTIFS('United Data'!$A$3:$A$2150,G$1,'United Data'!$C$3:$C$2150,$A226,'United Data'!$B$3:$B$2150,"&lt;&gt;P")&gt;0,1,0)</f>
        <v>0</v>
      </c>
      <c r="H226">
        <f>IF(COUNTIFS('United Data'!$A$3:$A$2150,H$1,'United Data'!$C$3:$C$2150,$A226,'United Data'!$B$3:$B$2150,"&lt;&gt;P")&gt;0,1,0)</f>
        <v>0</v>
      </c>
      <c r="I226">
        <f>IF(COUNTIFS('United Data'!$A$3:$A$2150,I$1,'United Data'!$C$3:$C$2150,$A226,'United Data'!$B$3:$B$2150,"&lt;&gt;P")&gt;0,1,0)</f>
        <v>0</v>
      </c>
      <c r="J226">
        <f>IF(COUNTIFS('United Data'!$A$3:$A$2150,J$1,'United Data'!$C$3:$C$2150,$A226,'United Data'!$B$3:$B$2150,"&lt;&gt;P")&gt;0,1,0)</f>
        <v>0</v>
      </c>
      <c r="K226">
        <f>IF(COUNTIFS('United Data'!$A$3:$A$2150,K$1,'United Data'!$C$3:$C$2150,$A226,'United Data'!$B$3:$B$2150,"&lt;&gt;P")&gt;0,1,0)</f>
        <v>1</v>
      </c>
      <c r="L226">
        <f>IF(COUNTIFS('United Data'!$A$3:$A$2150,L$1,'United Data'!$C$3:$C$2150,$A226,'United Data'!$B$3:$B$2150,"&lt;&gt;P")&gt;0,1,0)</f>
        <v>0</v>
      </c>
      <c r="M226">
        <f>IF(COUNTIFS('United Data'!$A$3:$A$2150,M$1,'United Data'!$C$3:$C$2150,$A226,'United Data'!$B$3:$B$2150,"&lt;&gt;P")&gt;0,1,0)</f>
        <v>0</v>
      </c>
      <c r="N226">
        <f>IF(COUNTIFS('United Data'!$A$3:$A$2150,N$1,'United Data'!$C$3:$C$2150,$A226,'United Data'!$B$3:$B$2150,"&lt;&gt;P")&gt;0,1,0)</f>
        <v>0</v>
      </c>
      <c r="O226">
        <f>IF(COUNTIFS('United Data'!$A$3:$A$2150,O$1,'United Data'!$C$3:$C$2150,$A226,'United Data'!$B$3:$B$2150,"&lt;&gt;P")&gt;0,1,0)</f>
        <v>0</v>
      </c>
      <c r="P226">
        <f>IF(COUNTIFS('United Data'!$A$3:$A$2150,P$1,'United Data'!$C$3:$C$2150,$A226,'United Data'!$B$3:$B$2150,"&lt;&gt;P")&gt;0,1,0)</f>
        <v>0</v>
      </c>
      <c r="Q226">
        <f>IF(COUNTIFS('United Data'!$A$3:$A$2150,Q$1,'United Data'!$C$3:$C$2150,$A226,'United Data'!$B$3:$B$2150,"&lt;&gt;P")&gt;0,1,0)</f>
        <v>0</v>
      </c>
      <c r="R226">
        <f>IF(COUNTIFS('United Data'!$A$3:$A$2150,R$1,'United Data'!$C$3:$C$2150,$A226,'United Data'!$B$3:$B$2150,"&lt;&gt;P")&gt;0,1,0)</f>
        <v>0</v>
      </c>
      <c r="S226">
        <f t="shared" si="6"/>
        <v>1</v>
      </c>
      <c r="T226">
        <f t="shared" si="7"/>
        <v>1</v>
      </c>
    </row>
    <row r="227" spans="1:20" x14ac:dyDescent="0.2">
      <c r="A227" t="s">
        <v>272</v>
      </c>
      <c r="B227">
        <f>IF(COUNTIFS('United Data'!$A$3:$A$2150,B$1,'United Data'!$C$3:$C$2150,$A227,'United Data'!$B$3:$B$2150,"&lt;&gt;P")&gt;0,1,0)</f>
        <v>0</v>
      </c>
      <c r="C227">
        <f>IF(COUNTIFS('United Data'!$A$3:$A$2150,C$1,'United Data'!$C$3:$C$2150,$A227,'United Data'!$B$3:$B$2150,"&lt;&gt;P")&gt;0,1,0)</f>
        <v>0</v>
      </c>
      <c r="D227">
        <f>IF(COUNTIFS('United Data'!$A$3:$A$2150,D$1,'United Data'!$C$3:$C$2150,$A227,'United Data'!$B$3:$B$2150,"&lt;&gt;P")&gt;0,1,0)</f>
        <v>0</v>
      </c>
      <c r="E227">
        <f>IF(COUNTIFS('United Data'!$A$3:$A$2150,E$1,'United Data'!$C$3:$C$2150,$A227,'United Data'!$B$3:$B$2150,"&lt;&gt;P")&gt;0,1,0)</f>
        <v>0</v>
      </c>
      <c r="F227">
        <f>IF(COUNTIFS('United Data'!$A$3:$A$2150,F$1,'United Data'!$C$3:$C$2150,$A227,'United Data'!$B$3:$B$2150,"&lt;&gt;P")&gt;0,1,0)</f>
        <v>0</v>
      </c>
      <c r="G227">
        <f>IF(COUNTIFS('United Data'!$A$3:$A$2150,G$1,'United Data'!$C$3:$C$2150,$A227,'United Data'!$B$3:$B$2150,"&lt;&gt;P")&gt;0,1,0)</f>
        <v>0</v>
      </c>
      <c r="H227">
        <f>IF(COUNTIFS('United Data'!$A$3:$A$2150,H$1,'United Data'!$C$3:$C$2150,$A227,'United Data'!$B$3:$B$2150,"&lt;&gt;P")&gt;0,1,0)</f>
        <v>0</v>
      </c>
      <c r="I227">
        <f>IF(COUNTIFS('United Data'!$A$3:$A$2150,I$1,'United Data'!$C$3:$C$2150,$A227,'United Data'!$B$3:$B$2150,"&lt;&gt;P")&gt;0,1,0)</f>
        <v>0</v>
      </c>
      <c r="J227">
        <f>IF(COUNTIFS('United Data'!$A$3:$A$2150,J$1,'United Data'!$C$3:$C$2150,$A227,'United Data'!$B$3:$B$2150,"&lt;&gt;P")&gt;0,1,0)</f>
        <v>0</v>
      </c>
      <c r="K227">
        <f>IF(COUNTIFS('United Data'!$A$3:$A$2150,K$1,'United Data'!$C$3:$C$2150,$A227,'United Data'!$B$3:$B$2150,"&lt;&gt;P")&gt;0,1,0)</f>
        <v>1</v>
      </c>
      <c r="L227">
        <f>IF(COUNTIFS('United Data'!$A$3:$A$2150,L$1,'United Data'!$C$3:$C$2150,$A227,'United Data'!$B$3:$B$2150,"&lt;&gt;P")&gt;0,1,0)</f>
        <v>0</v>
      </c>
      <c r="M227">
        <f>IF(COUNTIFS('United Data'!$A$3:$A$2150,M$1,'United Data'!$C$3:$C$2150,$A227,'United Data'!$B$3:$B$2150,"&lt;&gt;P")&gt;0,1,0)</f>
        <v>0</v>
      </c>
      <c r="N227">
        <f>IF(COUNTIFS('United Data'!$A$3:$A$2150,N$1,'United Data'!$C$3:$C$2150,$A227,'United Data'!$B$3:$B$2150,"&lt;&gt;P")&gt;0,1,0)</f>
        <v>0</v>
      </c>
      <c r="O227">
        <f>IF(COUNTIFS('United Data'!$A$3:$A$2150,O$1,'United Data'!$C$3:$C$2150,$A227,'United Data'!$B$3:$B$2150,"&lt;&gt;P")&gt;0,1,0)</f>
        <v>0</v>
      </c>
      <c r="P227">
        <f>IF(COUNTIFS('United Data'!$A$3:$A$2150,P$1,'United Data'!$C$3:$C$2150,$A227,'United Data'!$B$3:$B$2150,"&lt;&gt;P")&gt;0,1,0)</f>
        <v>0</v>
      </c>
      <c r="Q227">
        <f>IF(COUNTIFS('United Data'!$A$3:$A$2150,Q$1,'United Data'!$C$3:$C$2150,$A227,'United Data'!$B$3:$B$2150,"&lt;&gt;P")&gt;0,1,0)</f>
        <v>0</v>
      </c>
      <c r="R227">
        <f>IF(COUNTIFS('United Data'!$A$3:$A$2150,R$1,'United Data'!$C$3:$C$2150,$A227,'United Data'!$B$3:$B$2150,"&lt;&gt;P")&gt;0,1,0)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273</v>
      </c>
      <c r="B228">
        <f>IF(COUNTIFS('United Data'!$A$3:$A$2150,B$1,'United Data'!$C$3:$C$2150,$A228,'United Data'!$B$3:$B$2150,"&lt;&gt;P")&gt;0,1,0)</f>
        <v>0</v>
      </c>
      <c r="C228">
        <f>IF(COUNTIFS('United Data'!$A$3:$A$2150,C$1,'United Data'!$C$3:$C$2150,$A228,'United Data'!$B$3:$B$2150,"&lt;&gt;P")&gt;0,1,0)</f>
        <v>0</v>
      </c>
      <c r="D228">
        <f>IF(COUNTIFS('United Data'!$A$3:$A$2150,D$1,'United Data'!$C$3:$C$2150,$A228,'United Data'!$B$3:$B$2150,"&lt;&gt;P")&gt;0,1,0)</f>
        <v>0</v>
      </c>
      <c r="E228">
        <f>IF(COUNTIFS('United Data'!$A$3:$A$2150,E$1,'United Data'!$C$3:$C$2150,$A228,'United Data'!$B$3:$B$2150,"&lt;&gt;P")&gt;0,1,0)</f>
        <v>0</v>
      </c>
      <c r="F228">
        <f>IF(COUNTIFS('United Data'!$A$3:$A$2150,F$1,'United Data'!$C$3:$C$2150,$A228,'United Data'!$B$3:$B$2150,"&lt;&gt;P")&gt;0,1,0)</f>
        <v>0</v>
      </c>
      <c r="G228">
        <f>IF(COUNTIFS('United Data'!$A$3:$A$2150,G$1,'United Data'!$C$3:$C$2150,$A228,'United Data'!$B$3:$B$2150,"&lt;&gt;P")&gt;0,1,0)</f>
        <v>0</v>
      </c>
      <c r="H228">
        <f>IF(COUNTIFS('United Data'!$A$3:$A$2150,H$1,'United Data'!$C$3:$C$2150,$A228,'United Data'!$B$3:$B$2150,"&lt;&gt;P")&gt;0,1,0)</f>
        <v>0</v>
      </c>
      <c r="I228">
        <f>IF(COUNTIFS('United Data'!$A$3:$A$2150,I$1,'United Data'!$C$3:$C$2150,$A228,'United Data'!$B$3:$B$2150,"&lt;&gt;P")&gt;0,1,0)</f>
        <v>0</v>
      </c>
      <c r="J228">
        <f>IF(COUNTIFS('United Data'!$A$3:$A$2150,J$1,'United Data'!$C$3:$C$2150,$A228,'United Data'!$B$3:$B$2150,"&lt;&gt;P")&gt;0,1,0)</f>
        <v>0</v>
      </c>
      <c r="K228">
        <f>IF(COUNTIFS('United Data'!$A$3:$A$2150,K$1,'United Data'!$C$3:$C$2150,$A228,'United Data'!$B$3:$B$2150,"&lt;&gt;P")&gt;0,1,0)</f>
        <v>1</v>
      </c>
      <c r="L228">
        <f>IF(COUNTIFS('United Data'!$A$3:$A$2150,L$1,'United Data'!$C$3:$C$2150,$A228,'United Data'!$B$3:$B$2150,"&lt;&gt;P")&gt;0,1,0)</f>
        <v>0</v>
      </c>
      <c r="M228">
        <f>IF(COUNTIFS('United Data'!$A$3:$A$2150,M$1,'United Data'!$C$3:$C$2150,$A228,'United Data'!$B$3:$B$2150,"&lt;&gt;P")&gt;0,1,0)</f>
        <v>0</v>
      </c>
      <c r="N228">
        <f>IF(COUNTIFS('United Data'!$A$3:$A$2150,N$1,'United Data'!$C$3:$C$2150,$A228,'United Data'!$B$3:$B$2150,"&lt;&gt;P")&gt;0,1,0)</f>
        <v>0</v>
      </c>
      <c r="O228">
        <f>IF(COUNTIFS('United Data'!$A$3:$A$2150,O$1,'United Data'!$C$3:$C$2150,$A228,'United Data'!$B$3:$B$2150,"&lt;&gt;P")&gt;0,1,0)</f>
        <v>0</v>
      </c>
      <c r="P228">
        <f>IF(COUNTIFS('United Data'!$A$3:$A$2150,P$1,'United Data'!$C$3:$C$2150,$A228,'United Data'!$B$3:$B$2150,"&lt;&gt;P")&gt;0,1,0)</f>
        <v>0</v>
      </c>
      <c r="Q228">
        <f>IF(COUNTIFS('United Data'!$A$3:$A$2150,Q$1,'United Data'!$C$3:$C$2150,$A228,'United Data'!$B$3:$B$2150,"&lt;&gt;P")&gt;0,1,0)</f>
        <v>0</v>
      </c>
      <c r="R228">
        <f>IF(COUNTIFS('United Data'!$A$3:$A$2150,R$1,'United Data'!$C$3:$C$2150,$A228,'United Data'!$B$3:$B$2150,"&lt;&gt;P")&gt;0,1,0)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274</v>
      </c>
      <c r="B229">
        <f>IF(COUNTIFS('United Data'!$A$3:$A$2150,B$1,'United Data'!$C$3:$C$2150,$A229,'United Data'!$B$3:$B$2150,"&lt;&gt;P")&gt;0,1,0)</f>
        <v>0</v>
      </c>
      <c r="C229">
        <f>IF(COUNTIFS('United Data'!$A$3:$A$2150,C$1,'United Data'!$C$3:$C$2150,$A229,'United Data'!$B$3:$B$2150,"&lt;&gt;P")&gt;0,1,0)</f>
        <v>0</v>
      </c>
      <c r="D229">
        <f>IF(COUNTIFS('United Data'!$A$3:$A$2150,D$1,'United Data'!$C$3:$C$2150,$A229,'United Data'!$B$3:$B$2150,"&lt;&gt;P")&gt;0,1,0)</f>
        <v>0</v>
      </c>
      <c r="E229">
        <f>IF(COUNTIFS('United Data'!$A$3:$A$2150,E$1,'United Data'!$C$3:$C$2150,$A229,'United Data'!$B$3:$B$2150,"&lt;&gt;P")&gt;0,1,0)</f>
        <v>0</v>
      </c>
      <c r="F229">
        <f>IF(COUNTIFS('United Data'!$A$3:$A$2150,F$1,'United Data'!$C$3:$C$2150,$A229,'United Data'!$B$3:$B$2150,"&lt;&gt;P")&gt;0,1,0)</f>
        <v>0</v>
      </c>
      <c r="G229">
        <f>IF(COUNTIFS('United Data'!$A$3:$A$2150,G$1,'United Data'!$C$3:$C$2150,$A229,'United Data'!$B$3:$B$2150,"&lt;&gt;P")&gt;0,1,0)</f>
        <v>0</v>
      </c>
      <c r="H229">
        <f>IF(COUNTIFS('United Data'!$A$3:$A$2150,H$1,'United Data'!$C$3:$C$2150,$A229,'United Data'!$B$3:$B$2150,"&lt;&gt;P")&gt;0,1,0)</f>
        <v>0</v>
      </c>
      <c r="I229">
        <f>IF(COUNTIFS('United Data'!$A$3:$A$2150,I$1,'United Data'!$C$3:$C$2150,$A229,'United Data'!$B$3:$B$2150,"&lt;&gt;P")&gt;0,1,0)</f>
        <v>0</v>
      </c>
      <c r="J229">
        <f>IF(COUNTIFS('United Data'!$A$3:$A$2150,J$1,'United Data'!$C$3:$C$2150,$A229,'United Data'!$B$3:$B$2150,"&lt;&gt;P")&gt;0,1,0)</f>
        <v>0</v>
      </c>
      <c r="K229">
        <f>IF(COUNTIFS('United Data'!$A$3:$A$2150,K$1,'United Data'!$C$3:$C$2150,$A229,'United Data'!$B$3:$B$2150,"&lt;&gt;P")&gt;0,1,0)</f>
        <v>1</v>
      </c>
      <c r="L229">
        <f>IF(COUNTIFS('United Data'!$A$3:$A$2150,L$1,'United Data'!$C$3:$C$2150,$A229,'United Data'!$B$3:$B$2150,"&lt;&gt;P")&gt;0,1,0)</f>
        <v>0</v>
      </c>
      <c r="M229">
        <f>IF(COUNTIFS('United Data'!$A$3:$A$2150,M$1,'United Data'!$C$3:$C$2150,$A229,'United Data'!$B$3:$B$2150,"&lt;&gt;P")&gt;0,1,0)</f>
        <v>0</v>
      </c>
      <c r="N229">
        <f>IF(COUNTIFS('United Data'!$A$3:$A$2150,N$1,'United Data'!$C$3:$C$2150,$A229,'United Data'!$B$3:$B$2150,"&lt;&gt;P")&gt;0,1,0)</f>
        <v>0</v>
      </c>
      <c r="O229">
        <f>IF(COUNTIFS('United Data'!$A$3:$A$2150,O$1,'United Data'!$C$3:$C$2150,$A229,'United Data'!$B$3:$B$2150,"&lt;&gt;P")&gt;0,1,0)</f>
        <v>0</v>
      </c>
      <c r="P229">
        <f>IF(COUNTIFS('United Data'!$A$3:$A$2150,P$1,'United Data'!$C$3:$C$2150,$A229,'United Data'!$B$3:$B$2150,"&lt;&gt;P")&gt;0,1,0)</f>
        <v>0</v>
      </c>
      <c r="Q229">
        <f>IF(COUNTIFS('United Data'!$A$3:$A$2150,Q$1,'United Data'!$C$3:$C$2150,$A229,'United Data'!$B$3:$B$2150,"&lt;&gt;P")&gt;0,1,0)</f>
        <v>0</v>
      </c>
      <c r="R229">
        <f>IF(COUNTIFS('United Data'!$A$3:$A$2150,R$1,'United Data'!$C$3:$C$2150,$A229,'United Data'!$B$3:$B$2150,"&lt;&gt;P")&gt;0,1,0)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275</v>
      </c>
      <c r="B230">
        <f>IF(COUNTIFS('United Data'!$A$3:$A$2150,B$1,'United Data'!$C$3:$C$2150,$A230,'United Data'!$B$3:$B$2150,"&lt;&gt;P")&gt;0,1,0)</f>
        <v>0</v>
      </c>
      <c r="C230">
        <f>IF(COUNTIFS('United Data'!$A$3:$A$2150,C$1,'United Data'!$C$3:$C$2150,$A230,'United Data'!$B$3:$B$2150,"&lt;&gt;P")&gt;0,1,0)</f>
        <v>0</v>
      </c>
      <c r="D230">
        <f>IF(COUNTIFS('United Data'!$A$3:$A$2150,D$1,'United Data'!$C$3:$C$2150,$A230,'United Data'!$B$3:$B$2150,"&lt;&gt;P")&gt;0,1,0)</f>
        <v>0</v>
      </c>
      <c r="E230">
        <f>IF(COUNTIFS('United Data'!$A$3:$A$2150,E$1,'United Data'!$C$3:$C$2150,$A230,'United Data'!$B$3:$B$2150,"&lt;&gt;P")&gt;0,1,0)</f>
        <v>0</v>
      </c>
      <c r="F230">
        <f>IF(COUNTIFS('United Data'!$A$3:$A$2150,F$1,'United Data'!$C$3:$C$2150,$A230,'United Data'!$B$3:$B$2150,"&lt;&gt;P")&gt;0,1,0)</f>
        <v>0</v>
      </c>
      <c r="G230">
        <f>IF(COUNTIFS('United Data'!$A$3:$A$2150,G$1,'United Data'!$C$3:$C$2150,$A230,'United Data'!$B$3:$B$2150,"&lt;&gt;P")&gt;0,1,0)</f>
        <v>0</v>
      </c>
      <c r="H230">
        <f>IF(COUNTIFS('United Data'!$A$3:$A$2150,H$1,'United Data'!$C$3:$C$2150,$A230,'United Data'!$B$3:$B$2150,"&lt;&gt;P")&gt;0,1,0)</f>
        <v>0</v>
      </c>
      <c r="I230">
        <f>IF(COUNTIFS('United Data'!$A$3:$A$2150,I$1,'United Data'!$C$3:$C$2150,$A230,'United Data'!$B$3:$B$2150,"&lt;&gt;P")&gt;0,1,0)</f>
        <v>0</v>
      </c>
      <c r="J230">
        <f>IF(COUNTIFS('United Data'!$A$3:$A$2150,J$1,'United Data'!$C$3:$C$2150,$A230,'United Data'!$B$3:$B$2150,"&lt;&gt;P")&gt;0,1,0)</f>
        <v>0</v>
      </c>
      <c r="K230">
        <f>IF(COUNTIFS('United Data'!$A$3:$A$2150,K$1,'United Data'!$C$3:$C$2150,$A230,'United Data'!$B$3:$B$2150,"&lt;&gt;P")&gt;0,1,0)</f>
        <v>1</v>
      </c>
      <c r="L230">
        <f>IF(COUNTIFS('United Data'!$A$3:$A$2150,L$1,'United Data'!$C$3:$C$2150,$A230,'United Data'!$B$3:$B$2150,"&lt;&gt;P")&gt;0,1,0)</f>
        <v>0</v>
      </c>
      <c r="M230">
        <f>IF(COUNTIFS('United Data'!$A$3:$A$2150,M$1,'United Data'!$C$3:$C$2150,$A230,'United Data'!$B$3:$B$2150,"&lt;&gt;P")&gt;0,1,0)</f>
        <v>0</v>
      </c>
      <c r="N230">
        <f>IF(COUNTIFS('United Data'!$A$3:$A$2150,N$1,'United Data'!$C$3:$C$2150,$A230,'United Data'!$B$3:$B$2150,"&lt;&gt;P")&gt;0,1,0)</f>
        <v>0</v>
      </c>
      <c r="O230">
        <f>IF(COUNTIFS('United Data'!$A$3:$A$2150,O$1,'United Data'!$C$3:$C$2150,$A230,'United Data'!$B$3:$B$2150,"&lt;&gt;P")&gt;0,1,0)</f>
        <v>0</v>
      </c>
      <c r="P230">
        <f>IF(COUNTIFS('United Data'!$A$3:$A$2150,P$1,'United Data'!$C$3:$C$2150,$A230,'United Data'!$B$3:$B$2150,"&lt;&gt;P")&gt;0,1,0)</f>
        <v>0</v>
      </c>
      <c r="Q230">
        <f>IF(COUNTIFS('United Data'!$A$3:$A$2150,Q$1,'United Data'!$C$3:$C$2150,$A230,'United Data'!$B$3:$B$2150,"&lt;&gt;P")&gt;0,1,0)</f>
        <v>0</v>
      </c>
      <c r="R230">
        <f>IF(COUNTIFS('United Data'!$A$3:$A$2150,R$1,'United Data'!$C$3:$C$2150,$A230,'United Data'!$B$3:$B$2150,"&lt;&gt;P")&gt;0,1,0)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276</v>
      </c>
      <c r="B231">
        <f>IF(COUNTIFS('United Data'!$A$3:$A$2150,B$1,'United Data'!$C$3:$C$2150,$A231,'United Data'!$B$3:$B$2150,"&lt;&gt;P")&gt;0,1,0)</f>
        <v>0</v>
      </c>
      <c r="C231">
        <f>IF(COUNTIFS('United Data'!$A$3:$A$2150,C$1,'United Data'!$C$3:$C$2150,$A231,'United Data'!$B$3:$B$2150,"&lt;&gt;P")&gt;0,1,0)</f>
        <v>0</v>
      </c>
      <c r="D231">
        <f>IF(COUNTIFS('United Data'!$A$3:$A$2150,D$1,'United Data'!$C$3:$C$2150,$A231,'United Data'!$B$3:$B$2150,"&lt;&gt;P")&gt;0,1,0)</f>
        <v>0</v>
      </c>
      <c r="E231">
        <f>IF(COUNTIFS('United Data'!$A$3:$A$2150,E$1,'United Data'!$C$3:$C$2150,$A231,'United Data'!$B$3:$B$2150,"&lt;&gt;P")&gt;0,1,0)</f>
        <v>0</v>
      </c>
      <c r="F231">
        <f>IF(COUNTIFS('United Data'!$A$3:$A$2150,F$1,'United Data'!$C$3:$C$2150,$A231,'United Data'!$B$3:$B$2150,"&lt;&gt;P")&gt;0,1,0)</f>
        <v>0</v>
      </c>
      <c r="G231">
        <f>IF(COUNTIFS('United Data'!$A$3:$A$2150,G$1,'United Data'!$C$3:$C$2150,$A231,'United Data'!$B$3:$B$2150,"&lt;&gt;P")&gt;0,1,0)</f>
        <v>0</v>
      </c>
      <c r="H231">
        <f>IF(COUNTIFS('United Data'!$A$3:$A$2150,H$1,'United Data'!$C$3:$C$2150,$A231,'United Data'!$B$3:$B$2150,"&lt;&gt;P")&gt;0,1,0)</f>
        <v>0</v>
      </c>
      <c r="I231">
        <f>IF(COUNTIFS('United Data'!$A$3:$A$2150,I$1,'United Data'!$C$3:$C$2150,$A231,'United Data'!$B$3:$B$2150,"&lt;&gt;P")&gt;0,1,0)</f>
        <v>0</v>
      </c>
      <c r="J231">
        <f>IF(COUNTIFS('United Data'!$A$3:$A$2150,J$1,'United Data'!$C$3:$C$2150,$A231,'United Data'!$B$3:$B$2150,"&lt;&gt;P")&gt;0,1,0)</f>
        <v>0</v>
      </c>
      <c r="K231">
        <f>IF(COUNTIFS('United Data'!$A$3:$A$2150,K$1,'United Data'!$C$3:$C$2150,$A231,'United Data'!$B$3:$B$2150,"&lt;&gt;P")&gt;0,1,0)</f>
        <v>0</v>
      </c>
      <c r="L231">
        <f>IF(COUNTIFS('United Data'!$A$3:$A$2150,L$1,'United Data'!$C$3:$C$2150,$A231,'United Data'!$B$3:$B$2150,"&lt;&gt;P")&gt;0,1,0)</f>
        <v>1</v>
      </c>
      <c r="M231">
        <f>IF(COUNTIFS('United Data'!$A$3:$A$2150,M$1,'United Data'!$C$3:$C$2150,$A231,'United Data'!$B$3:$B$2150,"&lt;&gt;P")&gt;0,1,0)</f>
        <v>0</v>
      </c>
      <c r="N231">
        <f>IF(COUNTIFS('United Data'!$A$3:$A$2150,N$1,'United Data'!$C$3:$C$2150,$A231,'United Data'!$B$3:$B$2150,"&lt;&gt;P")&gt;0,1,0)</f>
        <v>0</v>
      </c>
      <c r="O231">
        <f>IF(COUNTIFS('United Data'!$A$3:$A$2150,O$1,'United Data'!$C$3:$C$2150,$A231,'United Data'!$B$3:$B$2150,"&lt;&gt;P")&gt;0,1,0)</f>
        <v>0</v>
      </c>
      <c r="P231">
        <f>IF(COUNTIFS('United Data'!$A$3:$A$2150,P$1,'United Data'!$C$3:$C$2150,$A231,'United Data'!$B$3:$B$2150,"&lt;&gt;P")&gt;0,1,0)</f>
        <v>0</v>
      </c>
      <c r="Q231">
        <f>IF(COUNTIFS('United Data'!$A$3:$A$2150,Q$1,'United Data'!$C$3:$C$2150,$A231,'United Data'!$B$3:$B$2150,"&lt;&gt;P")&gt;0,1,0)</f>
        <v>0</v>
      </c>
      <c r="R231">
        <f>IF(COUNTIFS('United Data'!$A$3:$A$2150,R$1,'United Data'!$C$3:$C$2150,$A231,'United Data'!$B$3:$B$2150,"&lt;&gt;P")&gt;0,1,0)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277</v>
      </c>
      <c r="B232">
        <f>IF(COUNTIFS('United Data'!$A$3:$A$2150,B$1,'United Data'!$C$3:$C$2150,$A232,'United Data'!$B$3:$B$2150,"&lt;&gt;P")&gt;0,1,0)</f>
        <v>0</v>
      </c>
      <c r="C232">
        <f>IF(COUNTIFS('United Data'!$A$3:$A$2150,C$1,'United Data'!$C$3:$C$2150,$A232,'United Data'!$B$3:$B$2150,"&lt;&gt;P")&gt;0,1,0)</f>
        <v>0</v>
      </c>
      <c r="D232">
        <f>IF(COUNTIFS('United Data'!$A$3:$A$2150,D$1,'United Data'!$C$3:$C$2150,$A232,'United Data'!$B$3:$B$2150,"&lt;&gt;P")&gt;0,1,0)</f>
        <v>0</v>
      </c>
      <c r="E232">
        <f>IF(COUNTIFS('United Data'!$A$3:$A$2150,E$1,'United Data'!$C$3:$C$2150,$A232,'United Data'!$B$3:$B$2150,"&lt;&gt;P")&gt;0,1,0)</f>
        <v>0</v>
      </c>
      <c r="F232">
        <f>IF(COUNTIFS('United Data'!$A$3:$A$2150,F$1,'United Data'!$C$3:$C$2150,$A232,'United Data'!$B$3:$B$2150,"&lt;&gt;P")&gt;0,1,0)</f>
        <v>0</v>
      </c>
      <c r="G232">
        <f>IF(COUNTIFS('United Data'!$A$3:$A$2150,G$1,'United Data'!$C$3:$C$2150,$A232,'United Data'!$B$3:$B$2150,"&lt;&gt;P")&gt;0,1,0)</f>
        <v>0</v>
      </c>
      <c r="H232">
        <f>IF(COUNTIFS('United Data'!$A$3:$A$2150,H$1,'United Data'!$C$3:$C$2150,$A232,'United Data'!$B$3:$B$2150,"&lt;&gt;P")&gt;0,1,0)</f>
        <v>0</v>
      </c>
      <c r="I232">
        <f>IF(COUNTIFS('United Data'!$A$3:$A$2150,I$1,'United Data'!$C$3:$C$2150,$A232,'United Data'!$B$3:$B$2150,"&lt;&gt;P")&gt;0,1,0)</f>
        <v>0</v>
      </c>
      <c r="J232">
        <f>IF(COUNTIFS('United Data'!$A$3:$A$2150,J$1,'United Data'!$C$3:$C$2150,$A232,'United Data'!$B$3:$B$2150,"&lt;&gt;P")&gt;0,1,0)</f>
        <v>0</v>
      </c>
      <c r="K232">
        <f>IF(COUNTIFS('United Data'!$A$3:$A$2150,K$1,'United Data'!$C$3:$C$2150,$A232,'United Data'!$B$3:$B$2150,"&lt;&gt;P")&gt;0,1,0)</f>
        <v>0</v>
      </c>
      <c r="L232">
        <f>IF(COUNTIFS('United Data'!$A$3:$A$2150,L$1,'United Data'!$C$3:$C$2150,$A232,'United Data'!$B$3:$B$2150,"&lt;&gt;P")&gt;0,1,0)</f>
        <v>0</v>
      </c>
      <c r="M232">
        <f>IF(COUNTIFS('United Data'!$A$3:$A$2150,M$1,'United Data'!$C$3:$C$2150,$A232,'United Data'!$B$3:$B$2150,"&lt;&gt;P")&gt;0,1,0)</f>
        <v>1</v>
      </c>
      <c r="N232">
        <f>IF(COUNTIFS('United Data'!$A$3:$A$2150,N$1,'United Data'!$C$3:$C$2150,$A232,'United Data'!$B$3:$B$2150,"&lt;&gt;P")&gt;0,1,0)</f>
        <v>1</v>
      </c>
      <c r="O232">
        <f>IF(COUNTIFS('United Data'!$A$3:$A$2150,O$1,'United Data'!$C$3:$C$2150,$A232,'United Data'!$B$3:$B$2150,"&lt;&gt;P")&gt;0,1,0)</f>
        <v>0</v>
      </c>
      <c r="P232">
        <f>IF(COUNTIFS('United Data'!$A$3:$A$2150,P$1,'United Data'!$C$3:$C$2150,$A232,'United Data'!$B$3:$B$2150,"&lt;&gt;P")&gt;0,1,0)</f>
        <v>0</v>
      </c>
      <c r="Q232">
        <f>IF(COUNTIFS('United Data'!$A$3:$A$2150,Q$1,'United Data'!$C$3:$C$2150,$A232,'United Data'!$B$3:$B$2150,"&lt;&gt;P")&gt;0,1,0)</f>
        <v>0</v>
      </c>
      <c r="R232">
        <f>IF(COUNTIFS('United Data'!$A$3:$A$2150,R$1,'United Data'!$C$3:$C$2150,$A232,'United Data'!$B$3:$B$2150,"&lt;&gt;P")&gt;0,1,0)</f>
        <v>0</v>
      </c>
      <c r="S232">
        <f t="shared" si="6"/>
        <v>2</v>
      </c>
      <c r="T232">
        <f t="shared" si="7"/>
        <v>1</v>
      </c>
    </row>
    <row r="233" spans="1:20" x14ac:dyDescent="0.2">
      <c r="A233" t="s">
        <v>278</v>
      </c>
      <c r="B233">
        <f>IF(COUNTIFS('United Data'!$A$3:$A$2150,B$1,'United Data'!$C$3:$C$2150,$A233,'United Data'!$B$3:$B$2150,"&lt;&gt;P")&gt;0,1,0)</f>
        <v>0</v>
      </c>
      <c r="C233">
        <f>IF(COUNTIFS('United Data'!$A$3:$A$2150,C$1,'United Data'!$C$3:$C$2150,$A233,'United Data'!$B$3:$B$2150,"&lt;&gt;P")&gt;0,1,0)</f>
        <v>0</v>
      </c>
      <c r="D233">
        <f>IF(COUNTIFS('United Data'!$A$3:$A$2150,D$1,'United Data'!$C$3:$C$2150,$A233,'United Data'!$B$3:$B$2150,"&lt;&gt;P")&gt;0,1,0)</f>
        <v>0</v>
      </c>
      <c r="E233">
        <f>IF(COUNTIFS('United Data'!$A$3:$A$2150,E$1,'United Data'!$C$3:$C$2150,$A233,'United Data'!$B$3:$B$2150,"&lt;&gt;P")&gt;0,1,0)</f>
        <v>0</v>
      </c>
      <c r="F233">
        <f>IF(COUNTIFS('United Data'!$A$3:$A$2150,F$1,'United Data'!$C$3:$C$2150,$A233,'United Data'!$B$3:$B$2150,"&lt;&gt;P")&gt;0,1,0)</f>
        <v>0</v>
      </c>
      <c r="G233">
        <f>IF(COUNTIFS('United Data'!$A$3:$A$2150,G$1,'United Data'!$C$3:$C$2150,$A233,'United Data'!$B$3:$B$2150,"&lt;&gt;P")&gt;0,1,0)</f>
        <v>0</v>
      </c>
      <c r="H233">
        <f>IF(COUNTIFS('United Data'!$A$3:$A$2150,H$1,'United Data'!$C$3:$C$2150,$A233,'United Data'!$B$3:$B$2150,"&lt;&gt;P")&gt;0,1,0)</f>
        <v>0</v>
      </c>
      <c r="I233">
        <f>IF(COUNTIFS('United Data'!$A$3:$A$2150,I$1,'United Data'!$C$3:$C$2150,$A233,'United Data'!$B$3:$B$2150,"&lt;&gt;P")&gt;0,1,0)</f>
        <v>0</v>
      </c>
      <c r="J233">
        <f>IF(COUNTIFS('United Data'!$A$3:$A$2150,J$1,'United Data'!$C$3:$C$2150,$A233,'United Data'!$B$3:$B$2150,"&lt;&gt;P")&gt;0,1,0)</f>
        <v>0</v>
      </c>
      <c r="K233">
        <f>IF(COUNTIFS('United Data'!$A$3:$A$2150,K$1,'United Data'!$C$3:$C$2150,$A233,'United Data'!$B$3:$B$2150,"&lt;&gt;P")&gt;0,1,0)</f>
        <v>0</v>
      </c>
      <c r="L233">
        <f>IF(COUNTIFS('United Data'!$A$3:$A$2150,L$1,'United Data'!$C$3:$C$2150,$A233,'United Data'!$B$3:$B$2150,"&lt;&gt;P")&gt;0,1,0)</f>
        <v>0</v>
      </c>
      <c r="M233">
        <f>IF(COUNTIFS('United Data'!$A$3:$A$2150,M$1,'United Data'!$C$3:$C$2150,$A233,'United Data'!$B$3:$B$2150,"&lt;&gt;P")&gt;0,1,0)</f>
        <v>1</v>
      </c>
      <c r="N233">
        <f>IF(COUNTIFS('United Data'!$A$3:$A$2150,N$1,'United Data'!$C$3:$C$2150,$A233,'United Data'!$B$3:$B$2150,"&lt;&gt;P")&gt;0,1,0)</f>
        <v>1</v>
      </c>
      <c r="O233">
        <f>IF(COUNTIFS('United Data'!$A$3:$A$2150,O$1,'United Data'!$C$3:$C$2150,$A233,'United Data'!$B$3:$B$2150,"&lt;&gt;P")&gt;0,1,0)</f>
        <v>0</v>
      </c>
      <c r="P233">
        <f>IF(COUNTIFS('United Data'!$A$3:$A$2150,P$1,'United Data'!$C$3:$C$2150,$A233,'United Data'!$B$3:$B$2150,"&lt;&gt;P")&gt;0,1,0)</f>
        <v>0</v>
      </c>
      <c r="Q233">
        <f>IF(COUNTIFS('United Data'!$A$3:$A$2150,Q$1,'United Data'!$C$3:$C$2150,$A233,'United Data'!$B$3:$B$2150,"&lt;&gt;P")&gt;0,1,0)</f>
        <v>0</v>
      </c>
      <c r="R233">
        <f>IF(COUNTIFS('United Data'!$A$3:$A$2150,R$1,'United Data'!$C$3:$C$2150,$A233,'United Data'!$B$3:$B$2150,"&lt;&gt;P")&gt;0,1,0)</f>
        <v>0</v>
      </c>
      <c r="S233">
        <f t="shared" si="6"/>
        <v>2</v>
      </c>
      <c r="T233">
        <f t="shared" si="7"/>
        <v>1</v>
      </c>
    </row>
    <row r="234" spans="1:20" x14ac:dyDescent="0.2">
      <c r="A234" t="s">
        <v>279</v>
      </c>
      <c r="B234">
        <f>IF(COUNTIFS('United Data'!$A$3:$A$2150,B$1,'United Data'!$C$3:$C$2150,$A234,'United Data'!$B$3:$B$2150,"&lt;&gt;P")&gt;0,1,0)</f>
        <v>0</v>
      </c>
      <c r="C234">
        <f>IF(COUNTIFS('United Data'!$A$3:$A$2150,C$1,'United Data'!$C$3:$C$2150,$A234,'United Data'!$B$3:$B$2150,"&lt;&gt;P")&gt;0,1,0)</f>
        <v>0</v>
      </c>
      <c r="D234">
        <f>IF(COUNTIFS('United Data'!$A$3:$A$2150,D$1,'United Data'!$C$3:$C$2150,$A234,'United Data'!$B$3:$B$2150,"&lt;&gt;P")&gt;0,1,0)</f>
        <v>0</v>
      </c>
      <c r="E234">
        <f>IF(COUNTIFS('United Data'!$A$3:$A$2150,E$1,'United Data'!$C$3:$C$2150,$A234,'United Data'!$B$3:$B$2150,"&lt;&gt;P")&gt;0,1,0)</f>
        <v>0</v>
      </c>
      <c r="F234">
        <f>IF(COUNTIFS('United Data'!$A$3:$A$2150,F$1,'United Data'!$C$3:$C$2150,$A234,'United Data'!$B$3:$B$2150,"&lt;&gt;P")&gt;0,1,0)</f>
        <v>0</v>
      </c>
      <c r="G234">
        <f>IF(COUNTIFS('United Data'!$A$3:$A$2150,G$1,'United Data'!$C$3:$C$2150,$A234,'United Data'!$B$3:$B$2150,"&lt;&gt;P")&gt;0,1,0)</f>
        <v>0</v>
      </c>
      <c r="H234">
        <f>IF(COUNTIFS('United Data'!$A$3:$A$2150,H$1,'United Data'!$C$3:$C$2150,$A234,'United Data'!$B$3:$B$2150,"&lt;&gt;P")&gt;0,1,0)</f>
        <v>0</v>
      </c>
      <c r="I234">
        <f>IF(COUNTIFS('United Data'!$A$3:$A$2150,I$1,'United Data'!$C$3:$C$2150,$A234,'United Data'!$B$3:$B$2150,"&lt;&gt;P")&gt;0,1,0)</f>
        <v>0</v>
      </c>
      <c r="J234">
        <f>IF(COUNTIFS('United Data'!$A$3:$A$2150,J$1,'United Data'!$C$3:$C$2150,$A234,'United Data'!$B$3:$B$2150,"&lt;&gt;P")&gt;0,1,0)</f>
        <v>0</v>
      </c>
      <c r="K234">
        <f>IF(COUNTIFS('United Data'!$A$3:$A$2150,K$1,'United Data'!$C$3:$C$2150,$A234,'United Data'!$B$3:$B$2150,"&lt;&gt;P")&gt;0,1,0)</f>
        <v>0</v>
      </c>
      <c r="L234">
        <f>IF(COUNTIFS('United Data'!$A$3:$A$2150,L$1,'United Data'!$C$3:$C$2150,$A234,'United Data'!$B$3:$B$2150,"&lt;&gt;P")&gt;0,1,0)</f>
        <v>0</v>
      </c>
      <c r="M234">
        <f>IF(COUNTIFS('United Data'!$A$3:$A$2150,M$1,'United Data'!$C$3:$C$2150,$A234,'United Data'!$B$3:$B$2150,"&lt;&gt;P")&gt;0,1,0)</f>
        <v>1</v>
      </c>
      <c r="N234">
        <f>IF(COUNTIFS('United Data'!$A$3:$A$2150,N$1,'United Data'!$C$3:$C$2150,$A234,'United Data'!$B$3:$B$2150,"&lt;&gt;P")&gt;0,1,0)</f>
        <v>1</v>
      </c>
      <c r="O234">
        <f>IF(COUNTIFS('United Data'!$A$3:$A$2150,O$1,'United Data'!$C$3:$C$2150,$A234,'United Data'!$B$3:$B$2150,"&lt;&gt;P")&gt;0,1,0)</f>
        <v>1</v>
      </c>
      <c r="P234">
        <f>IF(COUNTIFS('United Data'!$A$3:$A$2150,P$1,'United Data'!$C$3:$C$2150,$A234,'United Data'!$B$3:$B$2150,"&lt;&gt;P")&gt;0,1,0)</f>
        <v>1</v>
      </c>
      <c r="Q234">
        <f>IF(COUNTIFS('United Data'!$A$3:$A$2150,Q$1,'United Data'!$C$3:$C$2150,$A234,'United Data'!$B$3:$B$2150,"&lt;&gt;P")&gt;0,1,0)</f>
        <v>1</v>
      </c>
      <c r="R234">
        <f>IF(COUNTIFS('United Data'!$A$3:$A$2150,R$1,'United Data'!$C$3:$C$2150,$A234,'United Data'!$B$3:$B$2150,"&lt;&gt;P")&gt;0,1,0)</f>
        <v>0</v>
      </c>
      <c r="S234">
        <f t="shared" si="6"/>
        <v>5</v>
      </c>
      <c r="T234">
        <f t="shared" si="7"/>
        <v>1</v>
      </c>
    </row>
    <row r="235" spans="1:20" x14ac:dyDescent="0.2">
      <c r="A235" t="s">
        <v>280</v>
      </c>
      <c r="B235">
        <f>IF(COUNTIFS('United Data'!$A$3:$A$2150,B$1,'United Data'!$C$3:$C$2150,$A235,'United Data'!$B$3:$B$2150,"&lt;&gt;P")&gt;0,1,0)</f>
        <v>0</v>
      </c>
      <c r="C235">
        <f>IF(COUNTIFS('United Data'!$A$3:$A$2150,C$1,'United Data'!$C$3:$C$2150,$A235,'United Data'!$B$3:$B$2150,"&lt;&gt;P")&gt;0,1,0)</f>
        <v>0</v>
      </c>
      <c r="D235">
        <f>IF(COUNTIFS('United Data'!$A$3:$A$2150,D$1,'United Data'!$C$3:$C$2150,$A235,'United Data'!$B$3:$B$2150,"&lt;&gt;P")&gt;0,1,0)</f>
        <v>0</v>
      </c>
      <c r="E235">
        <f>IF(COUNTIFS('United Data'!$A$3:$A$2150,E$1,'United Data'!$C$3:$C$2150,$A235,'United Data'!$B$3:$B$2150,"&lt;&gt;P")&gt;0,1,0)</f>
        <v>0</v>
      </c>
      <c r="F235">
        <f>IF(COUNTIFS('United Data'!$A$3:$A$2150,F$1,'United Data'!$C$3:$C$2150,$A235,'United Data'!$B$3:$B$2150,"&lt;&gt;P")&gt;0,1,0)</f>
        <v>0</v>
      </c>
      <c r="G235">
        <f>IF(COUNTIFS('United Data'!$A$3:$A$2150,G$1,'United Data'!$C$3:$C$2150,$A235,'United Data'!$B$3:$B$2150,"&lt;&gt;P")&gt;0,1,0)</f>
        <v>0</v>
      </c>
      <c r="H235">
        <f>IF(COUNTIFS('United Data'!$A$3:$A$2150,H$1,'United Data'!$C$3:$C$2150,$A235,'United Data'!$B$3:$B$2150,"&lt;&gt;P")&gt;0,1,0)</f>
        <v>0</v>
      </c>
      <c r="I235">
        <f>IF(COUNTIFS('United Data'!$A$3:$A$2150,I$1,'United Data'!$C$3:$C$2150,$A235,'United Data'!$B$3:$B$2150,"&lt;&gt;P")&gt;0,1,0)</f>
        <v>0</v>
      </c>
      <c r="J235">
        <f>IF(COUNTIFS('United Data'!$A$3:$A$2150,J$1,'United Data'!$C$3:$C$2150,$A235,'United Data'!$B$3:$B$2150,"&lt;&gt;P")&gt;0,1,0)</f>
        <v>0</v>
      </c>
      <c r="K235">
        <f>IF(COUNTIFS('United Data'!$A$3:$A$2150,K$1,'United Data'!$C$3:$C$2150,$A235,'United Data'!$B$3:$B$2150,"&lt;&gt;P")&gt;0,1,0)</f>
        <v>0</v>
      </c>
      <c r="L235">
        <f>IF(COUNTIFS('United Data'!$A$3:$A$2150,L$1,'United Data'!$C$3:$C$2150,$A235,'United Data'!$B$3:$B$2150,"&lt;&gt;P")&gt;0,1,0)</f>
        <v>0</v>
      </c>
      <c r="M235">
        <f>IF(COUNTIFS('United Data'!$A$3:$A$2150,M$1,'United Data'!$C$3:$C$2150,$A235,'United Data'!$B$3:$B$2150,"&lt;&gt;P")&gt;0,1,0)</f>
        <v>1</v>
      </c>
      <c r="N235">
        <f>IF(COUNTIFS('United Data'!$A$3:$A$2150,N$1,'United Data'!$C$3:$C$2150,$A235,'United Data'!$B$3:$B$2150,"&lt;&gt;P")&gt;0,1,0)</f>
        <v>0</v>
      </c>
      <c r="O235">
        <f>IF(COUNTIFS('United Data'!$A$3:$A$2150,O$1,'United Data'!$C$3:$C$2150,$A235,'United Data'!$B$3:$B$2150,"&lt;&gt;P")&gt;0,1,0)</f>
        <v>0</v>
      </c>
      <c r="P235">
        <f>IF(COUNTIFS('United Data'!$A$3:$A$2150,P$1,'United Data'!$C$3:$C$2150,$A235,'United Data'!$B$3:$B$2150,"&lt;&gt;P")&gt;0,1,0)</f>
        <v>0</v>
      </c>
      <c r="Q235">
        <f>IF(COUNTIFS('United Data'!$A$3:$A$2150,Q$1,'United Data'!$C$3:$C$2150,$A235,'United Data'!$B$3:$B$2150,"&lt;&gt;P")&gt;0,1,0)</f>
        <v>0</v>
      </c>
      <c r="R235">
        <f>IF(COUNTIFS('United Data'!$A$3:$A$2150,R$1,'United Data'!$C$3:$C$2150,$A235,'United Data'!$B$3:$B$2150,"&lt;&gt;P")&gt;0,1,0)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281</v>
      </c>
      <c r="B236">
        <f>IF(COUNTIFS('United Data'!$A$3:$A$2150,B$1,'United Data'!$C$3:$C$2150,$A236,'United Data'!$B$3:$B$2150,"&lt;&gt;P")&gt;0,1,0)</f>
        <v>0</v>
      </c>
      <c r="C236">
        <f>IF(COUNTIFS('United Data'!$A$3:$A$2150,C$1,'United Data'!$C$3:$C$2150,$A236,'United Data'!$B$3:$B$2150,"&lt;&gt;P")&gt;0,1,0)</f>
        <v>0</v>
      </c>
      <c r="D236">
        <f>IF(COUNTIFS('United Data'!$A$3:$A$2150,D$1,'United Data'!$C$3:$C$2150,$A236,'United Data'!$B$3:$B$2150,"&lt;&gt;P")&gt;0,1,0)</f>
        <v>0</v>
      </c>
      <c r="E236">
        <f>IF(COUNTIFS('United Data'!$A$3:$A$2150,E$1,'United Data'!$C$3:$C$2150,$A236,'United Data'!$B$3:$B$2150,"&lt;&gt;P")&gt;0,1,0)</f>
        <v>0</v>
      </c>
      <c r="F236">
        <f>IF(COUNTIFS('United Data'!$A$3:$A$2150,F$1,'United Data'!$C$3:$C$2150,$A236,'United Data'!$B$3:$B$2150,"&lt;&gt;P")&gt;0,1,0)</f>
        <v>0</v>
      </c>
      <c r="G236">
        <f>IF(COUNTIFS('United Data'!$A$3:$A$2150,G$1,'United Data'!$C$3:$C$2150,$A236,'United Data'!$B$3:$B$2150,"&lt;&gt;P")&gt;0,1,0)</f>
        <v>0</v>
      </c>
      <c r="H236">
        <f>IF(COUNTIFS('United Data'!$A$3:$A$2150,H$1,'United Data'!$C$3:$C$2150,$A236,'United Data'!$B$3:$B$2150,"&lt;&gt;P")&gt;0,1,0)</f>
        <v>0</v>
      </c>
      <c r="I236">
        <f>IF(COUNTIFS('United Data'!$A$3:$A$2150,I$1,'United Data'!$C$3:$C$2150,$A236,'United Data'!$B$3:$B$2150,"&lt;&gt;P")&gt;0,1,0)</f>
        <v>0</v>
      </c>
      <c r="J236">
        <f>IF(COUNTIFS('United Data'!$A$3:$A$2150,J$1,'United Data'!$C$3:$C$2150,$A236,'United Data'!$B$3:$B$2150,"&lt;&gt;P")&gt;0,1,0)</f>
        <v>0</v>
      </c>
      <c r="K236">
        <f>IF(COUNTIFS('United Data'!$A$3:$A$2150,K$1,'United Data'!$C$3:$C$2150,$A236,'United Data'!$B$3:$B$2150,"&lt;&gt;P")&gt;0,1,0)</f>
        <v>0</v>
      </c>
      <c r="L236">
        <f>IF(COUNTIFS('United Data'!$A$3:$A$2150,L$1,'United Data'!$C$3:$C$2150,$A236,'United Data'!$B$3:$B$2150,"&lt;&gt;P")&gt;0,1,0)</f>
        <v>0</v>
      </c>
      <c r="M236">
        <f>IF(COUNTIFS('United Data'!$A$3:$A$2150,M$1,'United Data'!$C$3:$C$2150,$A236,'United Data'!$B$3:$B$2150,"&lt;&gt;P")&gt;0,1,0)</f>
        <v>0</v>
      </c>
      <c r="N236">
        <f>IF(COUNTIFS('United Data'!$A$3:$A$2150,N$1,'United Data'!$C$3:$C$2150,$A236,'United Data'!$B$3:$B$2150,"&lt;&gt;P")&gt;0,1,0)</f>
        <v>1</v>
      </c>
      <c r="O236">
        <f>IF(COUNTIFS('United Data'!$A$3:$A$2150,O$1,'United Data'!$C$3:$C$2150,$A236,'United Data'!$B$3:$B$2150,"&lt;&gt;P")&gt;0,1,0)</f>
        <v>0</v>
      </c>
      <c r="P236">
        <f>IF(COUNTIFS('United Data'!$A$3:$A$2150,P$1,'United Data'!$C$3:$C$2150,$A236,'United Data'!$B$3:$B$2150,"&lt;&gt;P")&gt;0,1,0)</f>
        <v>0</v>
      </c>
      <c r="Q236">
        <f>IF(COUNTIFS('United Data'!$A$3:$A$2150,Q$1,'United Data'!$C$3:$C$2150,$A236,'United Data'!$B$3:$B$2150,"&lt;&gt;P")&gt;0,1,0)</f>
        <v>0</v>
      </c>
      <c r="R236">
        <f>IF(COUNTIFS('United Data'!$A$3:$A$2150,R$1,'United Data'!$C$3:$C$2150,$A236,'United Data'!$B$3:$B$2150,"&lt;&gt;P")&gt;0,1,0)</f>
        <v>0</v>
      </c>
      <c r="S236">
        <f t="shared" si="6"/>
        <v>1</v>
      </c>
      <c r="T236">
        <f t="shared" si="7"/>
        <v>1</v>
      </c>
    </row>
    <row r="237" spans="1:20" x14ac:dyDescent="0.2">
      <c r="A237" t="s">
        <v>282</v>
      </c>
      <c r="B237">
        <f>IF(COUNTIFS('United Data'!$A$3:$A$2150,B$1,'United Data'!$C$3:$C$2150,$A237,'United Data'!$B$3:$B$2150,"&lt;&gt;P")&gt;0,1,0)</f>
        <v>0</v>
      </c>
      <c r="C237">
        <f>IF(COUNTIFS('United Data'!$A$3:$A$2150,C$1,'United Data'!$C$3:$C$2150,$A237,'United Data'!$B$3:$B$2150,"&lt;&gt;P")&gt;0,1,0)</f>
        <v>0</v>
      </c>
      <c r="D237">
        <f>IF(COUNTIFS('United Data'!$A$3:$A$2150,D$1,'United Data'!$C$3:$C$2150,$A237,'United Data'!$B$3:$B$2150,"&lt;&gt;P")&gt;0,1,0)</f>
        <v>0</v>
      </c>
      <c r="E237">
        <f>IF(COUNTIFS('United Data'!$A$3:$A$2150,E$1,'United Data'!$C$3:$C$2150,$A237,'United Data'!$B$3:$B$2150,"&lt;&gt;P")&gt;0,1,0)</f>
        <v>0</v>
      </c>
      <c r="F237">
        <f>IF(COUNTIFS('United Data'!$A$3:$A$2150,F$1,'United Data'!$C$3:$C$2150,$A237,'United Data'!$B$3:$B$2150,"&lt;&gt;P")&gt;0,1,0)</f>
        <v>0</v>
      </c>
      <c r="G237">
        <f>IF(COUNTIFS('United Data'!$A$3:$A$2150,G$1,'United Data'!$C$3:$C$2150,$A237,'United Data'!$B$3:$B$2150,"&lt;&gt;P")&gt;0,1,0)</f>
        <v>0</v>
      </c>
      <c r="H237">
        <f>IF(COUNTIFS('United Data'!$A$3:$A$2150,H$1,'United Data'!$C$3:$C$2150,$A237,'United Data'!$B$3:$B$2150,"&lt;&gt;P")&gt;0,1,0)</f>
        <v>0</v>
      </c>
      <c r="I237">
        <f>IF(COUNTIFS('United Data'!$A$3:$A$2150,I$1,'United Data'!$C$3:$C$2150,$A237,'United Data'!$B$3:$B$2150,"&lt;&gt;P")&gt;0,1,0)</f>
        <v>0</v>
      </c>
      <c r="J237">
        <f>IF(COUNTIFS('United Data'!$A$3:$A$2150,J$1,'United Data'!$C$3:$C$2150,$A237,'United Data'!$B$3:$B$2150,"&lt;&gt;P")&gt;0,1,0)</f>
        <v>0</v>
      </c>
      <c r="K237">
        <f>IF(COUNTIFS('United Data'!$A$3:$A$2150,K$1,'United Data'!$C$3:$C$2150,$A237,'United Data'!$B$3:$B$2150,"&lt;&gt;P")&gt;0,1,0)</f>
        <v>0</v>
      </c>
      <c r="L237">
        <f>IF(COUNTIFS('United Data'!$A$3:$A$2150,L$1,'United Data'!$C$3:$C$2150,$A237,'United Data'!$B$3:$B$2150,"&lt;&gt;P")&gt;0,1,0)</f>
        <v>0</v>
      </c>
      <c r="M237">
        <f>IF(COUNTIFS('United Data'!$A$3:$A$2150,M$1,'United Data'!$C$3:$C$2150,$A237,'United Data'!$B$3:$B$2150,"&lt;&gt;P")&gt;0,1,0)</f>
        <v>0</v>
      </c>
      <c r="N237">
        <f>IF(COUNTIFS('United Data'!$A$3:$A$2150,N$1,'United Data'!$C$3:$C$2150,$A237,'United Data'!$B$3:$B$2150,"&lt;&gt;P")&gt;0,1,0)</f>
        <v>1</v>
      </c>
      <c r="O237">
        <f>IF(COUNTIFS('United Data'!$A$3:$A$2150,O$1,'United Data'!$C$3:$C$2150,$A237,'United Data'!$B$3:$B$2150,"&lt;&gt;P")&gt;0,1,0)</f>
        <v>0</v>
      </c>
      <c r="P237">
        <f>IF(COUNTIFS('United Data'!$A$3:$A$2150,P$1,'United Data'!$C$3:$C$2150,$A237,'United Data'!$B$3:$B$2150,"&lt;&gt;P")&gt;0,1,0)</f>
        <v>0</v>
      </c>
      <c r="Q237">
        <f>IF(COUNTIFS('United Data'!$A$3:$A$2150,Q$1,'United Data'!$C$3:$C$2150,$A237,'United Data'!$B$3:$B$2150,"&lt;&gt;P")&gt;0,1,0)</f>
        <v>0</v>
      </c>
      <c r="R237">
        <f>IF(COUNTIFS('United Data'!$A$3:$A$2150,R$1,'United Data'!$C$3:$C$2150,$A237,'United Data'!$B$3:$B$2150,"&lt;&gt;P")&gt;0,1,0)</f>
        <v>0</v>
      </c>
      <c r="S237">
        <f t="shared" si="6"/>
        <v>1</v>
      </c>
      <c r="T237">
        <f t="shared" si="7"/>
        <v>1</v>
      </c>
    </row>
    <row r="238" spans="1:20" x14ac:dyDescent="0.2">
      <c r="A238" t="s">
        <v>283</v>
      </c>
      <c r="B238">
        <f>IF(COUNTIFS('United Data'!$A$3:$A$2150,B$1,'United Data'!$C$3:$C$2150,$A238,'United Data'!$B$3:$B$2150,"&lt;&gt;P")&gt;0,1,0)</f>
        <v>0</v>
      </c>
      <c r="C238">
        <f>IF(COUNTIFS('United Data'!$A$3:$A$2150,C$1,'United Data'!$C$3:$C$2150,$A238,'United Data'!$B$3:$B$2150,"&lt;&gt;P")&gt;0,1,0)</f>
        <v>0</v>
      </c>
      <c r="D238">
        <f>IF(COUNTIFS('United Data'!$A$3:$A$2150,D$1,'United Data'!$C$3:$C$2150,$A238,'United Data'!$B$3:$B$2150,"&lt;&gt;P")&gt;0,1,0)</f>
        <v>0</v>
      </c>
      <c r="E238">
        <f>IF(COUNTIFS('United Data'!$A$3:$A$2150,E$1,'United Data'!$C$3:$C$2150,$A238,'United Data'!$B$3:$B$2150,"&lt;&gt;P")&gt;0,1,0)</f>
        <v>0</v>
      </c>
      <c r="F238">
        <f>IF(COUNTIFS('United Data'!$A$3:$A$2150,F$1,'United Data'!$C$3:$C$2150,$A238,'United Data'!$B$3:$B$2150,"&lt;&gt;P")&gt;0,1,0)</f>
        <v>0</v>
      </c>
      <c r="G238">
        <f>IF(COUNTIFS('United Data'!$A$3:$A$2150,G$1,'United Data'!$C$3:$C$2150,$A238,'United Data'!$B$3:$B$2150,"&lt;&gt;P")&gt;0,1,0)</f>
        <v>0</v>
      </c>
      <c r="H238">
        <f>IF(COUNTIFS('United Data'!$A$3:$A$2150,H$1,'United Data'!$C$3:$C$2150,$A238,'United Data'!$B$3:$B$2150,"&lt;&gt;P")&gt;0,1,0)</f>
        <v>0</v>
      </c>
      <c r="I238">
        <f>IF(COUNTIFS('United Data'!$A$3:$A$2150,I$1,'United Data'!$C$3:$C$2150,$A238,'United Data'!$B$3:$B$2150,"&lt;&gt;P")&gt;0,1,0)</f>
        <v>0</v>
      </c>
      <c r="J238">
        <f>IF(COUNTIFS('United Data'!$A$3:$A$2150,J$1,'United Data'!$C$3:$C$2150,$A238,'United Data'!$B$3:$B$2150,"&lt;&gt;P")&gt;0,1,0)</f>
        <v>0</v>
      </c>
      <c r="K238">
        <f>IF(COUNTIFS('United Data'!$A$3:$A$2150,K$1,'United Data'!$C$3:$C$2150,$A238,'United Data'!$B$3:$B$2150,"&lt;&gt;P")&gt;0,1,0)</f>
        <v>0</v>
      </c>
      <c r="L238">
        <f>IF(COUNTIFS('United Data'!$A$3:$A$2150,L$1,'United Data'!$C$3:$C$2150,$A238,'United Data'!$B$3:$B$2150,"&lt;&gt;P")&gt;0,1,0)</f>
        <v>0</v>
      </c>
      <c r="M238">
        <f>IF(COUNTIFS('United Data'!$A$3:$A$2150,M$1,'United Data'!$C$3:$C$2150,$A238,'United Data'!$B$3:$B$2150,"&lt;&gt;P")&gt;0,1,0)</f>
        <v>0</v>
      </c>
      <c r="N238">
        <f>IF(COUNTIFS('United Data'!$A$3:$A$2150,N$1,'United Data'!$C$3:$C$2150,$A238,'United Data'!$B$3:$B$2150,"&lt;&gt;P")&gt;0,1,0)</f>
        <v>1</v>
      </c>
      <c r="O238">
        <f>IF(COUNTIFS('United Data'!$A$3:$A$2150,O$1,'United Data'!$C$3:$C$2150,$A238,'United Data'!$B$3:$B$2150,"&lt;&gt;P")&gt;0,1,0)</f>
        <v>0</v>
      </c>
      <c r="P238">
        <f>IF(COUNTIFS('United Data'!$A$3:$A$2150,P$1,'United Data'!$C$3:$C$2150,$A238,'United Data'!$B$3:$B$2150,"&lt;&gt;P")&gt;0,1,0)</f>
        <v>0</v>
      </c>
      <c r="Q238">
        <f>IF(COUNTIFS('United Data'!$A$3:$A$2150,Q$1,'United Data'!$C$3:$C$2150,$A238,'United Data'!$B$3:$B$2150,"&lt;&gt;P")&gt;0,1,0)</f>
        <v>0</v>
      </c>
      <c r="R238">
        <f>IF(COUNTIFS('United Data'!$A$3:$A$2150,R$1,'United Data'!$C$3:$C$2150,$A238,'United Data'!$B$3:$B$2150,"&lt;&gt;P")&gt;0,1,0)</f>
        <v>0</v>
      </c>
      <c r="S238">
        <f t="shared" si="6"/>
        <v>1</v>
      </c>
      <c r="T238">
        <f t="shared" si="7"/>
        <v>1</v>
      </c>
    </row>
    <row r="239" spans="1:20" x14ac:dyDescent="0.2">
      <c r="A239" t="s">
        <v>284</v>
      </c>
      <c r="B239">
        <f>IF(COUNTIFS('United Data'!$A$3:$A$2150,B$1,'United Data'!$C$3:$C$2150,$A239,'United Data'!$B$3:$B$2150,"&lt;&gt;P")&gt;0,1,0)</f>
        <v>0</v>
      </c>
      <c r="C239">
        <f>IF(COUNTIFS('United Data'!$A$3:$A$2150,C$1,'United Data'!$C$3:$C$2150,$A239,'United Data'!$B$3:$B$2150,"&lt;&gt;P")&gt;0,1,0)</f>
        <v>0</v>
      </c>
      <c r="D239">
        <f>IF(COUNTIFS('United Data'!$A$3:$A$2150,D$1,'United Data'!$C$3:$C$2150,$A239,'United Data'!$B$3:$B$2150,"&lt;&gt;P")&gt;0,1,0)</f>
        <v>0</v>
      </c>
      <c r="E239">
        <f>IF(COUNTIFS('United Data'!$A$3:$A$2150,E$1,'United Data'!$C$3:$C$2150,$A239,'United Data'!$B$3:$B$2150,"&lt;&gt;P")&gt;0,1,0)</f>
        <v>0</v>
      </c>
      <c r="F239">
        <f>IF(COUNTIFS('United Data'!$A$3:$A$2150,F$1,'United Data'!$C$3:$C$2150,$A239,'United Data'!$B$3:$B$2150,"&lt;&gt;P")&gt;0,1,0)</f>
        <v>0</v>
      </c>
      <c r="G239">
        <f>IF(COUNTIFS('United Data'!$A$3:$A$2150,G$1,'United Data'!$C$3:$C$2150,$A239,'United Data'!$B$3:$B$2150,"&lt;&gt;P")&gt;0,1,0)</f>
        <v>0</v>
      </c>
      <c r="H239">
        <f>IF(COUNTIFS('United Data'!$A$3:$A$2150,H$1,'United Data'!$C$3:$C$2150,$A239,'United Data'!$B$3:$B$2150,"&lt;&gt;P")&gt;0,1,0)</f>
        <v>0</v>
      </c>
      <c r="I239">
        <f>IF(COUNTIFS('United Data'!$A$3:$A$2150,I$1,'United Data'!$C$3:$C$2150,$A239,'United Data'!$B$3:$B$2150,"&lt;&gt;P")&gt;0,1,0)</f>
        <v>0</v>
      </c>
      <c r="J239">
        <f>IF(COUNTIFS('United Data'!$A$3:$A$2150,J$1,'United Data'!$C$3:$C$2150,$A239,'United Data'!$B$3:$B$2150,"&lt;&gt;P")&gt;0,1,0)</f>
        <v>0</v>
      </c>
      <c r="K239">
        <f>IF(COUNTIFS('United Data'!$A$3:$A$2150,K$1,'United Data'!$C$3:$C$2150,$A239,'United Data'!$B$3:$B$2150,"&lt;&gt;P")&gt;0,1,0)</f>
        <v>0</v>
      </c>
      <c r="L239">
        <f>IF(COUNTIFS('United Data'!$A$3:$A$2150,L$1,'United Data'!$C$3:$C$2150,$A239,'United Data'!$B$3:$B$2150,"&lt;&gt;P")&gt;0,1,0)</f>
        <v>0</v>
      </c>
      <c r="M239">
        <f>IF(COUNTIFS('United Data'!$A$3:$A$2150,M$1,'United Data'!$C$3:$C$2150,$A239,'United Data'!$B$3:$B$2150,"&lt;&gt;P")&gt;0,1,0)</f>
        <v>0</v>
      </c>
      <c r="N239">
        <f>IF(COUNTIFS('United Data'!$A$3:$A$2150,N$1,'United Data'!$C$3:$C$2150,$A239,'United Data'!$B$3:$B$2150,"&lt;&gt;P")&gt;0,1,0)</f>
        <v>1</v>
      </c>
      <c r="O239">
        <f>IF(COUNTIFS('United Data'!$A$3:$A$2150,O$1,'United Data'!$C$3:$C$2150,$A239,'United Data'!$B$3:$B$2150,"&lt;&gt;P")&gt;0,1,0)</f>
        <v>0</v>
      </c>
      <c r="P239">
        <f>IF(COUNTIFS('United Data'!$A$3:$A$2150,P$1,'United Data'!$C$3:$C$2150,$A239,'United Data'!$B$3:$B$2150,"&lt;&gt;P")&gt;0,1,0)</f>
        <v>0</v>
      </c>
      <c r="Q239">
        <f>IF(COUNTIFS('United Data'!$A$3:$A$2150,Q$1,'United Data'!$C$3:$C$2150,$A239,'United Data'!$B$3:$B$2150,"&lt;&gt;P")&gt;0,1,0)</f>
        <v>0</v>
      </c>
      <c r="R239">
        <f>IF(COUNTIFS('United Data'!$A$3:$A$2150,R$1,'United Data'!$C$3:$C$2150,$A239,'United Data'!$B$3:$B$2150,"&lt;&gt;P")&gt;0,1,0)</f>
        <v>0</v>
      </c>
      <c r="S239">
        <f t="shared" si="6"/>
        <v>1</v>
      </c>
      <c r="T239">
        <f t="shared" si="7"/>
        <v>1</v>
      </c>
    </row>
    <row r="240" spans="1:20" x14ac:dyDescent="0.2">
      <c r="A240" t="s">
        <v>285</v>
      </c>
      <c r="B240">
        <f>IF(COUNTIFS('United Data'!$A$3:$A$2150,B$1,'United Data'!$C$3:$C$2150,$A240,'United Data'!$B$3:$B$2150,"&lt;&gt;P")&gt;0,1,0)</f>
        <v>0</v>
      </c>
      <c r="C240">
        <f>IF(COUNTIFS('United Data'!$A$3:$A$2150,C$1,'United Data'!$C$3:$C$2150,$A240,'United Data'!$B$3:$B$2150,"&lt;&gt;P")&gt;0,1,0)</f>
        <v>0</v>
      </c>
      <c r="D240">
        <f>IF(COUNTIFS('United Data'!$A$3:$A$2150,D$1,'United Data'!$C$3:$C$2150,$A240,'United Data'!$B$3:$B$2150,"&lt;&gt;P")&gt;0,1,0)</f>
        <v>0</v>
      </c>
      <c r="E240">
        <f>IF(COUNTIFS('United Data'!$A$3:$A$2150,E$1,'United Data'!$C$3:$C$2150,$A240,'United Data'!$B$3:$B$2150,"&lt;&gt;P")&gt;0,1,0)</f>
        <v>0</v>
      </c>
      <c r="F240">
        <f>IF(COUNTIFS('United Data'!$A$3:$A$2150,F$1,'United Data'!$C$3:$C$2150,$A240,'United Data'!$B$3:$B$2150,"&lt;&gt;P")&gt;0,1,0)</f>
        <v>0</v>
      </c>
      <c r="G240">
        <f>IF(COUNTIFS('United Data'!$A$3:$A$2150,G$1,'United Data'!$C$3:$C$2150,$A240,'United Data'!$B$3:$B$2150,"&lt;&gt;P")&gt;0,1,0)</f>
        <v>0</v>
      </c>
      <c r="H240">
        <f>IF(COUNTIFS('United Data'!$A$3:$A$2150,H$1,'United Data'!$C$3:$C$2150,$A240,'United Data'!$B$3:$B$2150,"&lt;&gt;P")&gt;0,1,0)</f>
        <v>0</v>
      </c>
      <c r="I240">
        <f>IF(COUNTIFS('United Data'!$A$3:$A$2150,I$1,'United Data'!$C$3:$C$2150,$A240,'United Data'!$B$3:$B$2150,"&lt;&gt;P")&gt;0,1,0)</f>
        <v>0</v>
      </c>
      <c r="J240">
        <f>IF(COUNTIFS('United Data'!$A$3:$A$2150,J$1,'United Data'!$C$3:$C$2150,$A240,'United Data'!$B$3:$B$2150,"&lt;&gt;P")&gt;0,1,0)</f>
        <v>0</v>
      </c>
      <c r="K240">
        <f>IF(COUNTIFS('United Data'!$A$3:$A$2150,K$1,'United Data'!$C$3:$C$2150,$A240,'United Data'!$B$3:$B$2150,"&lt;&gt;P")&gt;0,1,0)</f>
        <v>0</v>
      </c>
      <c r="L240">
        <f>IF(COUNTIFS('United Data'!$A$3:$A$2150,L$1,'United Data'!$C$3:$C$2150,$A240,'United Data'!$B$3:$B$2150,"&lt;&gt;P")&gt;0,1,0)</f>
        <v>0</v>
      </c>
      <c r="M240">
        <f>IF(COUNTIFS('United Data'!$A$3:$A$2150,M$1,'United Data'!$C$3:$C$2150,$A240,'United Data'!$B$3:$B$2150,"&lt;&gt;P")&gt;0,1,0)</f>
        <v>0</v>
      </c>
      <c r="N240">
        <f>IF(COUNTIFS('United Data'!$A$3:$A$2150,N$1,'United Data'!$C$3:$C$2150,$A240,'United Data'!$B$3:$B$2150,"&lt;&gt;P")&gt;0,1,0)</f>
        <v>1</v>
      </c>
      <c r="O240">
        <f>IF(COUNTIFS('United Data'!$A$3:$A$2150,O$1,'United Data'!$C$3:$C$2150,$A240,'United Data'!$B$3:$B$2150,"&lt;&gt;P")&gt;0,1,0)</f>
        <v>1</v>
      </c>
      <c r="P240">
        <f>IF(COUNTIFS('United Data'!$A$3:$A$2150,P$1,'United Data'!$C$3:$C$2150,$A240,'United Data'!$B$3:$B$2150,"&lt;&gt;P")&gt;0,1,0)</f>
        <v>1</v>
      </c>
      <c r="Q240">
        <f>IF(COUNTIFS('United Data'!$A$3:$A$2150,Q$1,'United Data'!$C$3:$C$2150,$A240,'United Data'!$B$3:$B$2150,"&lt;&gt;P")&gt;0,1,0)</f>
        <v>1</v>
      </c>
      <c r="R240">
        <f>IF(COUNTIFS('United Data'!$A$3:$A$2150,R$1,'United Data'!$C$3:$C$2150,$A240,'United Data'!$B$3:$B$2150,"&lt;&gt;P")&gt;0,1,0)</f>
        <v>0</v>
      </c>
      <c r="S240">
        <f t="shared" si="6"/>
        <v>4</v>
      </c>
      <c r="T240">
        <f t="shared" si="7"/>
        <v>1</v>
      </c>
    </row>
    <row r="241" spans="1:20" x14ac:dyDescent="0.2">
      <c r="A241" t="s">
        <v>286</v>
      </c>
      <c r="B241">
        <f>IF(COUNTIFS('United Data'!$A$3:$A$2150,B$1,'United Data'!$C$3:$C$2150,$A241,'United Data'!$B$3:$B$2150,"&lt;&gt;P")&gt;0,1,0)</f>
        <v>0</v>
      </c>
      <c r="C241">
        <f>IF(COUNTIFS('United Data'!$A$3:$A$2150,C$1,'United Data'!$C$3:$C$2150,$A241,'United Data'!$B$3:$B$2150,"&lt;&gt;P")&gt;0,1,0)</f>
        <v>0</v>
      </c>
      <c r="D241">
        <f>IF(COUNTIFS('United Data'!$A$3:$A$2150,D$1,'United Data'!$C$3:$C$2150,$A241,'United Data'!$B$3:$B$2150,"&lt;&gt;P")&gt;0,1,0)</f>
        <v>0</v>
      </c>
      <c r="E241">
        <f>IF(COUNTIFS('United Data'!$A$3:$A$2150,E$1,'United Data'!$C$3:$C$2150,$A241,'United Data'!$B$3:$B$2150,"&lt;&gt;P")&gt;0,1,0)</f>
        <v>0</v>
      </c>
      <c r="F241">
        <f>IF(COUNTIFS('United Data'!$A$3:$A$2150,F$1,'United Data'!$C$3:$C$2150,$A241,'United Data'!$B$3:$B$2150,"&lt;&gt;P")&gt;0,1,0)</f>
        <v>0</v>
      </c>
      <c r="G241">
        <f>IF(COUNTIFS('United Data'!$A$3:$A$2150,G$1,'United Data'!$C$3:$C$2150,$A241,'United Data'!$B$3:$B$2150,"&lt;&gt;P")&gt;0,1,0)</f>
        <v>0</v>
      </c>
      <c r="H241">
        <f>IF(COUNTIFS('United Data'!$A$3:$A$2150,H$1,'United Data'!$C$3:$C$2150,$A241,'United Data'!$B$3:$B$2150,"&lt;&gt;P")&gt;0,1,0)</f>
        <v>0</v>
      </c>
      <c r="I241">
        <f>IF(COUNTIFS('United Data'!$A$3:$A$2150,I$1,'United Data'!$C$3:$C$2150,$A241,'United Data'!$B$3:$B$2150,"&lt;&gt;P")&gt;0,1,0)</f>
        <v>0</v>
      </c>
      <c r="J241">
        <f>IF(COUNTIFS('United Data'!$A$3:$A$2150,J$1,'United Data'!$C$3:$C$2150,$A241,'United Data'!$B$3:$B$2150,"&lt;&gt;P")&gt;0,1,0)</f>
        <v>0</v>
      </c>
      <c r="K241">
        <f>IF(COUNTIFS('United Data'!$A$3:$A$2150,K$1,'United Data'!$C$3:$C$2150,$A241,'United Data'!$B$3:$B$2150,"&lt;&gt;P")&gt;0,1,0)</f>
        <v>0</v>
      </c>
      <c r="L241">
        <f>IF(COUNTIFS('United Data'!$A$3:$A$2150,L$1,'United Data'!$C$3:$C$2150,$A241,'United Data'!$B$3:$B$2150,"&lt;&gt;P")&gt;0,1,0)</f>
        <v>0</v>
      </c>
      <c r="M241">
        <f>IF(COUNTIFS('United Data'!$A$3:$A$2150,M$1,'United Data'!$C$3:$C$2150,$A241,'United Data'!$B$3:$B$2150,"&lt;&gt;P")&gt;0,1,0)</f>
        <v>0</v>
      </c>
      <c r="N241">
        <f>IF(COUNTIFS('United Data'!$A$3:$A$2150,N$1,'United Data'!$C$3:$C$2150,$A241,'United Data'!$B$3:$B$2150,"&lt;&gt;P")&gt;0,1,0)</f>
        <v>1</v>
      </c>
      <c r="O241">
        <f>IF(COUNTIFS('United Data'!$A$3:$A$2150,O$1,'United Data'!$C$3:$C$2150,$A241,'United Data'!$B$3:$B$2150,"&lt;&gt;P")&gt;0,1,0)</f>
        <v>0</v>
      </c>
      <c r="P241">
        <f>IF(COUNTIFS('United Data'!$A$3:$A$2150,P$1,'United Data'!$C$3:$C$2150,$A241,'United Data'!$B$3:$B$2150,"&lt;&gt;P")&gt;0,1,0)</f>
        <v>0</v>
      </c>
      <c r="Q241">
        <f>IF(COUNTIFS('United Data'!$A$3:$A$2150,Q$1,'United Data'!$C$3:$C$2150,$A241,'United Data'!$B$3:$B$2150,"&lt;&gt;P")&gt;0,1,0)</f>
        <v>0</v>
      </c>
      <c r="R241">
        <f>IF(COUNTIFS('United Data'!$A$3:$A$2150,R$1,'United Data'!$C$3:$C$2150,$A241,'United Data'!$B$3:$B$2150,"&lt;&gt;P")&gt;0,1,0)</f>
        <v>0</v>
      </c>
      <c r="S241">
        <f t="shared" si="6"/>
        <v>1</v>
      </c>
      <c r="T241">
        <f t="shared" si="7"/>
        <v>1</v>
      </c>
    </row>
    <row r="242" spans="1:20" x14ac:dyDescent="0.2">
      <c r="A242" t="s">
        <v>287</v>
      </c>
      <c r="B242">
        <f>IF(COUNTIFS('United Data'!$A$3:$A$2150,B$1,'United Data'!$C$3:$C$2150,$A242,'United Data'!$B$3:$B$2150,"&lt;&gt;P")&gt;0,1,0)</f>
        <v>0</v>
      </c>
      <c r="C242">
        <f>IF(COUNTIFS('United Data'!$A$3:$A$2150,C$1,'United Data'!$C$3:$C$2150,$A242,'United Data'!$B$3:$B$2150,"&lt;&gt;P")&gt;0,1,0)</f>
        <v>0</v>
      </c>
      <c r="D242">
        <f>IF(COUNTIFS('United Data'!$A$3:$A$2150,D$1,'United Data'!$C$3:$C$2150,$A242,'United Data'!$B$3:$B$2150,"&lt;&gt;P")&gt;0,1,0)</f>
        <v>0</v>
      </c>
      <c r="E242">
        <f>IF(COUNTIFS('United Data'!$A$3:$A$2150,E$1,'United Data'!$C$3:$C$2150,$A242,'United Data'!$B$3:$B$2150,"&lt;&gt;P")&gt;0,1,0)</f>
        <v>0</v>
      </c>
      <c r="F242">
        <f>IF(COUNTIFS('United Data'!$A$3:$A$2150,F$1,'United Data'!$C$3:$C$2150,$A242,'United Data'!$B$3:$B$2150,"&lt;&gt;P")&gt;0,1,0)</f>
        <v>0</v>
      </c>
      <c r="G242">
        <f>IF(COUNTIFS('United Data'!$A$3:$A$2150,G$1,'United Data'!$C$3:$C$2150,$A242,'United Data'!$B$3:$B$2150,"&lt;&gt;P")&gt;0,1,0)</f>
        <v>0</v>
      </c>
      <c r="H242">
        <f>IF(COUNTIFS('United Data'!$A$3:$A$2150,H$1,'United Data'!$C$3:$C$2150,$A242,'United Data'!$B$3:$B$2150,"&lt;&gt;P")&gt;0,1,0)</f>
        <v>0</v>
      </c>
      <c r="I242">
        <f>IF(COUNTIFS('United Data'!$A$3:$A$2150,I$1,'United Data'!$C$3:$C$2150,$A242,'United Data'!$B$3:$B$2150,"&lt;&gt;P")&gt;0,1,0)</f>
        <v>0</v>
      </c>
      <c r="J242">
        <f>IF(COUNTIFS('United Data'!$A$3:$A$2150,J$1,'United Data'!$C$3:$C$2150,$A242,'United Data'!$B$3:$B$2150,"&lt;&gt;P")&gt;0,1,0)</f>
        <v>0</v>
      </c>
      <c r="K242">
        <f>IF(COUNTIFS('United Data'!$A$3:$A$2150,K$1,'United Data'!$C$3:$C$2150,$A242,'United Data'!$B$3:$B$2150,"&lt;&gt;P")&gt;0,1,0)</f>
        <v>0</v>
      </c>
      <c r="L242">
        <f>IF(COUNTIFS('United Data'!$A$3:$A$2150,L$1,'United Data'!$C$3:$C$2150,$A242,'United Data'!$B$3:$B$2150,"&lt;&gt;P")&gt;0,1,0)</f>
        <v>0</v>
      </c>
      <c r="M242">
        <f>IF(COUNTIFS('United Data'!$A$3:$A$2150,M$1,'United Data'!$C$3:$C$2150,$A242,'United Data'!$B$3:$B$2150,"&lt;&gt;P")&gt;0,1,0)</f>
        <v>0</v>
      </c>
      <c r="N242">
        <f>IF(COUNTIFS('United Data'!$A$3:$A$2150,N$1,'United Data'!$C$3:$C$2150,$A242,'United Data'!$B$3:$B$2150,"&lt;&gt;P")&gt;0,1,0)</f>
        <v>0</v>
      </c>
      <c r="O242">
        <f>IF(COUNTIFS('United Data'!$A$3:$A$2150,O$1,'United Data'!$C$3:$C$2150,$A242,'United Data'!$B$3:$B$2150,"&lt;&gt;P")&gt;0,1,0)</f>
        <v>1</v>
      </c>
      <c r="P242">
        <f>IF(COUNTIFS('United Data'!$A$3:$A$2150,P$1,'United Data'!$C$3:$C$2150,$A242,'United Data'!$B$3:$B$2150,"&lt;&gt;P")&gt;0,1,0)</f>
        <v>0</v>
      </c>
      <c r="Q242">
        <f>IF(COUNTIFS('United Data'!$A$3:$A$2150,Q$1,'United Data'!$C$3:$C$2150,$A242,'United Data'!$B$3:$B$2150,"&lt;&gt;P")&gt;0,1,0)</f>
        <v>0</v>
      </c>
      <c r="R242">
        <f>IF(COUNTIFS('United Data'!$A$3:$A$2150,R$1,'United Data'!$C$3:$C$2150,$A242,'United Data'!$B$3:$B$2150,"&lt;&gt;P")&gt;0,1,0)</f>
        <v>0</v>
      </c>
      <c r="S242">
        <f t="shared" si="6"/>
        <v>1</v>
      </c>
      <c r="T242">
        <f t="shared" si="7"/>
        <v>1</v>
      </c>
    </row>
    <row r="243" spans="1:20" x14ac:dyDescent="0.2">
      <c r="A243" t="s">
        <v>288</v>
      </c>
      <c r="B243">
        <f>IF(COUNTIFS('United Data'!$A$3:$A$2150,B$1,'United Data'!$C$3:$C$2150,$A243,'United Data'!$B$3:$B$2150,"&lt;&gt;P")&gt;0,1,0)</f>
        <v>0</v>
      </c>
      <c r="C243">
        <f>IF(COUNTIFS('United Data'!$A$3:$A$2150,C$1,'United Data'!$C$3:$C$2150,$A243,'United Data'!$B$3:$B$2150,"&lt;&gt;P")&gt;0,1,0)</f>
        <v>0</v>
      </c>
      <c r="D243">
        <f>IF(COUNTIFS('United Data'!$A$3:$A$2150,D$1,'United Data'!$C$3:$C$2150,$A243,'United Data'!$B$3:$B$2150,"&lt;&gt;P")&gt;0,1,0)</f>
        <v>0</v>
      </c>
      <c r="E243">
        <f>IF(COUNTIFS('United Data'!$A$3:$A$2150,E$1,'United Data'!$C$3:$C$2150,$A243,'United Data'!$B$3:$B$2150,"&lt;&gt;P")&gt;0,1,0)</f>
        <v>0</v>
      </c>
      <c r="F243">
        <f>IF(COUNTIFS('United Data'!$A$3:$A$2150,F$1,'United Data'!$C$3:$C$2150,$A243,'United Data'!$B$3:$B$2150,"&lt;&gt;P")&gt;0,1,0)</f>
        <v>0</v>
      </c>
      <c r="G243">
        <f>IF(COUNTIFS('United Data'!$A$3:$A$2150,G$1,'United Data'!$C$3:$C$2150,$A243,'United Data'!$B$3:$B$2150,"&lt;&gt;P")&gt;0,1,0)</f>
        <v>0</v>
      </c>
      <c r="H243">
        <f>IF(COUNTIFS('United Data'!$A$3:$A$2150,H$1,'United Data'!$C$3:$C$2150,$A243,'United Data'!$B$3:$B$2150,"&lt;&gt;P")&gt;0,1,0)</f>
        <v>0</v>
      </c>
      <c r="I243">
        <f>IF(COUNTIFS('United Data'!$A$3:$A$2150,I$1,'United Data'!$C$3:$C$2150,$A243,'United Data'!$B$3:$B$2150,"&lt;&gt;P")&gt;0,1,0)</f>
        <v>0</v>
      </c>
      <c r="J243">
        <f>IF(COUNTIFS('United Data'!$A$3:$A$2150,J$1,'United Data'!$C$3:$C$2150,$A243,'United Data'!$B$3:$B$2150,"&lt;&gt;P")&gt;0,1,0)</f>
        <v>0</v>
      </c>
      <c r="K243">
        <f>IF(COUNTIFS('United Data'!$A$3:$A$2150,K$1,'United Data'!$C$3:$C$2150,$A243,'United Data'!$B$3:$B$2150,"&lt;&gt;P")&gt;0,1,0)</f>
        <v>0</v>
      </c>
      <c r="L243">
        <f>IF(COUNTIFS('United Data'!$A$3:$A$2150,L$1,'United Data'!$C$3:$C$2150,$A243,'United Data'!$B$3:$B$2150,"&lt;&gt;P")&gt;0,1,0)</f>
        <v>0</v>
      </c>
      <c r="M243">
        <f>IF(COUNTIFS('United Data'!$A$3:$A$2150,M$1,'United Data'!$C$3:$C$2150,$A243,'United Data'!$B$3:$B$2150,"&lt;&gt;P")&gt;0,1,0)</f>
        <v>0</v>
      </c>
      <c r="N243">
        <f>IF(COUNTIFS('United Data'!$A$3:$A$2150,N$1,'United Data'!$C$3:$C$2150,$A243,'United Data'!$B$3:$B$2150,"&lt;&gt;P")&gt;0,1,0)</f>
        <v>0</v>
      </c>
      <c r="O243">
        <f>IF(COUNTIFS('United Data'!$A$3:$A$2150,O$1,'United Data'!$C$3:$C$2150,$A243,'United Data'!$B$3:$B$2150,"&lt;&gt;P")&gt;0,1,0)</f>
        <v>1</v>
      </c>
      <c r="P243">
        <f>IF(COUNTIFS('United Data'!$A$3:$A$2150,P$1,'United Data'!$C$3:$C$2150,$A243,'United Data'!$B$3:$B$2150,"&lt;&gt;P")&gt;0,1,0)</f>
        <v>0</v>
      </c>
      <c r="Q243">
        <f>IF(COUNTIFS('United Data'!$A$3:$A$2150,Q$1,'United Data'!$C$3:$C$2150,$A243,'United Data'!$B$3:$B$2150,"&lt;&gt;P")&gt;0,1,0)</f>
        <v>0</v>
      </c>
      <c r="R243">
        <f>IF(COUNTIFS('United Data'!$A$3:$A$2150,R$1,'United Data'!$C$3:$C$2150,$A243,'United Data'!$B$3:$B$2150,"&lt;&gt;P")&gt;0,1,0)</f>
        <v>0</v>
      </c>
      <c r="S243">
        <f t="shared" si="6"/>
        <v>1</v>
      </c>
      <c r="T243">
        <f t="shared" si="7"/>
        <v>1</v>
      </c>
    </row>
    <row r="244" spans="1:20" x14ac:dyDescent="0.2">
      <c r="A244" t="s">
        <v>289</v>
      </c>
      <c r="B244">
        <f>IF(COUNTIFS('United Data'!$A$3:$A$2150,B$1,'United Data'!$C$3:$C$2150,$A244,'United Data'!$B$3:$B$2150,"&lt;&gt;P")&gt;0,1,0)</f>
        <v>0</v>
      </c>
      <c r="C244">
        <f>IF(COUNTIFS('United Data'!$A$3:$A$2150,C$1,'United Data'!$C$3:$C$2150,$A244,'United Data'!$B$3:$B$2150,"&lt;&gt;P")&gt;0,1,0)</f>
        <v>0</v>
      </c>
      <c r="D244">
        <f>IF(COUNTIFS('United Data'!$A$3:$A$2150,D$1,'United Data'!$C$3:$C$2150,$A244,'United Data'!$B$3:$B$2150,"&lt;&gt;P")&gt;0,1,0)</f>
        <v>0</v>
      </c>
      <c r="E244">
        <f>IF(COUNTIFS('United Data'!$A$3:$A$2150,E$1,'United Data'!$C$3:$C$2150,$A244,'United Data'!$B$3:$B$2150,"&lt;&gt;P")&gt;0,1,0)</f>
        <v>0</v>
      </c>
      <c r="F244">
        <f>IF(COUNTIFS('United Data'!$A$3:$A$2150,F$1,'United Data'!$C$3:$C$2150,$A244,'United Data'!$B$3:$B$2150,"&lt;&gt;P")&gt;0,1,0)</f>
        <v>0</v>
      </c>
      <c r="G244">
        <f>IF(COUNTIFS('United Data'!$A$3:$A$2150,G$1,'United Data'!$C$3:$C$2150,$A244,'United Data'!$B$3:$B$2150,"&lt;&gt;P")&gt;0,1,0)</f>
        <v>0</v>
      </c>
      <c r="H244">
        <f>IF(COUNTIFS('United Data'!$A$3:$A$2150,H$1,'United Data'!$C$3:$C$2150,$A244,'United Data'!$B$3:$B$2150,"&lt;&gt;P")&gt;0,1,0)</f>
        <v>0</v>
      </c>
      <c r="I244">
        <f>IF(COUNTIFS('United Data'!$A$3:$A$2150,I$1,'United Data'!$C$3:$C$2150,$A244,'United Data'!$B$3:$B$2150,"&lt;&gt;P")&gt;0,1,0)</f>
        <v>0</v>
      </c>
      <c r="J244">
        <f>IF(COUNTIFS('United Data'!$A$3:$A$2150,J$1,'United Data'!$C$3:$C$2150,$A244,'United Data'!$B$3:$B$2150,"&lt;&gt;P")&gt;0,1,0)</f>
        <v>0</v>
      </c>
      <c r="K244">
        <f>IF(COUNTIFS('United Data'!$A$3:$A$2150,K$1,'United Data'!$C$3:$C$2150,$A244,'United Data'!$B$3:$B$2150,"&lt;&gt;P")&gt;0,1,0)</f>
        <v>0</v>
      </c>
      <c r="L244">
        <f>IF(COUNTIFS('United Data'!$A$3:$A$2150,L$1,'United Data'!$C$3:$C$2150,$A244,'United Data'!$B$3:$B$2150,"&lt;&gt;P")&gt;0,1,0)</f>
        <v>0</v>
      </c>
      <c r="M244">
        <f>IF(COUNTIFS('United Data'!$A$3:$A$2150,M$1,'United Data'!$C$3:$C$2150,$A244,'United Data'!$B$3:$B$2150,"&lt;&gt;P")&gt;0,1,0)</f>
        <v>0</v>
      </c>
      <c r="N244">
        <f>IF(COUNTIFS('United Data'!$A$3:$A$2150,N$1,'United Data'!$C$3:$C$2150,$A244,'United Data'!$B$3:$B$2150,"&lt;&gt;P")&gt;0,1,0)</f>
        <v>0</v>
      </c>
      <c r="O244">
        <f>IF(COUNTIFS('United Data'!$A$3:$A$2150,O$1,'United Data'!$C$3:$C$2150,$A244,'United Data'!$B$3:$B$2150,"&lt;&gt;P")&gt;0,1,0)</f>
        <v>1</v>
      </c>
      <c r="P244">
        <f>IF(COUNTIFS('United Data'!$A$3:$A$2150,P$1,'United Data'!$C$3:$C$2150,$A244,'United Data'!$B$3:$B$2150,"&lt;&gt;P")&gt;0,1,0)</f>
        <v>0</v>
      </c>
      <c r="Q244">
        <f>IF(COUNTIFS('United Data'!$A$3:$A$2150,Q$1,'United Data'!$C$3:$C$2150,$A244,'United Data'!$B$3:$B$2150,"&lt;&gt;P")&gt;0,1,0)</f>
        <v>0</v>
      </c>
      <c r="R244">
        <f>IF(COUNTIFS('United Data'!$A$3:$A$2150,R$1,'United Data'!$C$3:$C$2150,$A244,'United Data'!$B$3:$B$2150,"&lt;&gt;P")&gt;0,1,0)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290</v>
      </c>
      <c r="B245">
        <f>IF(COUNTIFS('United Data'!$A$3:$A$2150,B$1,'United Data'!$C$3:$C$2150,$A245,'United Data'!$B$3:$B$2150,"&lt;&gt;P")&gt;0,1,0)</f>
        <v>0</v>
      </c>
      <c r="C245">
        <f>IF(COUNTIFS('United Data'!$A$3:$A$2150,C$1,'United Data'!$C$3:$C$2150,$A245,'United Data'!$B$3:$B$2150,"&lt;&gt;P")&gt;0,1,0)</f>
        <v>0</v>
      </c>
      <c r="D245">
        <f>IF(COUNTIFS('United Data'!$A$3:$A$2150,D$1,'United Data'!$C$3:$C$2150,$A245,'United Data'!$B$3:$B$2150,"&lt;&gt;P")&gt;0,1,0)</f>
        <v>0</v>
      </c>
      <c r="E245">
        <f>IF(COUNTIFS('United Data'!$A$3:$A$2150,E$1,'United Data'!$C$3:$C$2150,$A245,'United Data'!$B$3:$B$2150,"&lt;&gt;P")&gt;0,1,0)</f>
        <v>0</v>
      </c>
      <c r="F245">
        <f>IF(COUNTIFS('United Data'!$A$3:$A$2150,F$1,'United Data'!$C$3:$C$2150,$A245,'United Data'!$B$3:$B$2150,"&lt;&gt;P")&gt;0,1,0)</f>
        <v>0</v>
      </c>
      <c r="G245">
        <f>IF(COUNTIFS('United Data'!$A$3:$A$2150,G$1,'United Data'!$C$3:$C$2150,$A245,'United Data'!$B$3:$B$2150,"&lt;&gt;P")&gt;0,1,0)</f>
        <v>0</v>
      </c>
      <c r="H245">
        <f>IF(COUNTIFS('United Data'!$A$3:$A$2150,H$1,'United Data'!$C$3:$C$2150,$A245,'United Data'!$B$3:$B$2150,"&lt;&gt;P")&gt;0,1,0)</f>
        <v>0</v>
      </c>
      <c r="I245">
        <f>IF(COUNTIFS('United Data'!$A$3:$A$2150,I$1,'United Data'!$C$3:$C$2150,$A245,'United Data'!$B$3:$B$2150,"&lt;&gt;P")&gt;0,1,0)</f>
        <v>0</v>
      </c>
      <c r="J245">
        <f>IF(COUNTIFS('United Data'!$A$3:$A$2150,J$1,'United Data'!$C$3:$C$2150,$A245,'United Data'!$B$3:$B$2150,"&lt;&gt;P")&gt;0,1,0)</f>
        <v>0</v>
      </c>
      <c r="K245">
        <f>IF(COUNTIFS('United Data'!$A$3:$A$2150,K$1,'United Data'!$C$3:$C$2150,$A245,'United Data'!$B$3:$B$2150,"&lt;&gt;P")&gt;0,1,0)</f>
        <v>0</v>
      </c>
      <c r="L245">
        <f>IF(COUNTIFS('United Data'!$A$3:$A$2150,L$1,'United Data'!$C$3:$C$2150,$A245,'United Data'!$B$3:$B$2150,"&lt;&gt;P")&gt;0,1,0)</f>
        <v>0</v>
      </c>
      <c r="M245">
        <f>IF(COUNTIFS('United Data'!$A$3:$A$2150,M$1,'United Data'!$C$3:$C$2150,$A245,'United Data'!$B$3:$B$2150,"&lt;&gt;P")&gt;0,1,0)</f>
        <v>0</v>
      </c>
      <c r="N245">
        <f>IF(COUNTIFS('United Data'!$A$3:$A$2150,N$1,'United Data'!$C$3:$C$2150,$A245,'United Data'!$B$3:$B$2150,"&lt;&gt;P")&gt;0,1,0)</f>
        <v>0</v>
      </c>
      <c r="O245">
        <f>IF(COUNTIFS('United Data'!$A$3:$A$2150,O$1,'United Data'!$C$3:$C$2150,$A245,'United Data'!$B$3:$B$2150,"&lt;&gt;P")&gt;0,1,0)</f>
        <v>1</v>
      </c>
      <c r="P245">
        <f>IF(COUNTIFS('United Data'!$A$3:$A$2150,P$1,'United Data'!$C$3:$C$2150,$A245,'United Data'!$B$3:$B$2150,"&lt;&gt;P")&gt;0,1,0)</f>
        <v>0</v>
      </c>
      <c r="Q245">
        <f>IF(COUNTIFS('United Data'!$A$3:$A$2150,Q$1,'United Data'!$C$3:$C$2150,$A245,'United Data'!$B$3:$B$2150,"&lt;&gt;P")&gt;0,1,0)</f>
        <v>0</v>
      </c>
      <c r="R245">
        <f>IF(COUNTIFS('United Data'!$A$3:$A$2150,R$1,'United Data'!$C$3:$C$2150,$A245,'United Data'!$B$3:$B$2150,"&lt;&gt;P")&gt;0,1,0)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291</v>
      </c>
      <c r="B246">
        <f>IF(COUNTIFS('United Data'!$A$3:$A$2150,B$1,'United Data'!$C$3:$C$2150,$A246,'United Data'!$B$3:$B$2150,"&lt;&gt;P")&gt;0,1,0)</f>
        <v>0</v>
      </c>
      <c r="C246">
        <f>IF(COUNTIFS('United Data'!$A$3:$A$2150,C$1,'United Data'!$C$3:$C$2150,$A246,'United Data'!$B$3:$B$2150,"&lt;&gt;P")&gt;0,1,0)</f>
        <v>0</v>
      </c>
      <c r="D246">
        <f>IF(COUNTIFS('United Data'!$A$3:$A$2150,D$1,'United Data'!$C$3:$C$2150,$A246,'United Data'!$B$3:$B$2150,"&lt;&gt;P")&gt;0,1,0)</f>
        <v>0</v>
      </c>
      <c r="E246">
        <f>IF(COUNTIFS('United Data'!$A$3:$A$2150,E$1,'United Data'!$C$3:$C$2150,$A246,'United Data'!$B$3:$B$2150,"&lt;&gt;P")&gt;0,1,0)</f>
        <v>0</v>
      </c>
      <c r="F246">
        <f>IF(COUNTIFS('United Data'!$A$3:$A$2150,F$1,'United Data'!$C$3:$C$2150,$A246,'United Data'!$B$3:$B$2150,"&lt;&gt;P")&gt;0,1,0)</f>
        <v>0</v>
      </c>
      <c r="G246">
        <f>IF(COUNTIFS('United Data'!$A$3:$A$2150,G$1,'United Data'!$C$3:$C$2150,$A246,'United Data'!$B$3:$B$2150,"&lt;&gt;P")&gt;0,1,0)</f>
        <v>0</v>
      </c>
      <c r="H246">
        <f>IF(COUNTIFS('United Data'!$A$3:$A$2150,H$1,'United Data'!$C$3:$C$2150,$A246,'United Data'!$B$3:$B$2150,"&lt;&gt;P")&gt;0,1,0)</f>
        <v>0</v>
      </c>
      <c r="I246">
        <f>IF(COUNTIFS('United Data'!$A$3:$A$2150,I$1,'United Data'!$C$3:$C$2150,$A246,'United Data'!$B$3:$B$2150,"&lt;&gt;P")&gt;0,1,0)</f>
        <v>0</v>
      </c>
      <c r="J246">
        <f>IF(COUNTIFS('United Data'!$A$3:$A$2150,J$1,'United Data'!$C$3:$C$2150,$A246,'United Data'!$B$3:$B$2150,"&lt;&gt;P")&gt;0,1,0)</f>
        <v>0</v>
      </c>
      <c r="K246">
        <f>IF(COUNTIFS('United Data'!$A$3:$A$2150,K$1,'United Data'!$C$3:$C$2150,$A246,'United Data'!$B$3:$B$2150,"&lt;&gt;P")&gt;0,1,0)</f>
        <v>0</v>
      </c>
      <c r="L246">
        <f>IF(COUNTIFS('United Data'!$A$3:$A$2150,L$1,'United Data'!$C$3:$C$2150,$A246,'United Data'!$B$3:$B$2150,"&lt;&gt;P")&gt;0,1,0)</f>
        <v>0</v>
      </c>
      <c r="M246">
        <f>IF(COUNTIFS('United Data'!$A$3:$A$2150,M$1,'United Data'!$C$3:$C$2150,$A246,'United Data'!$B$3:$B$2150,"&lt;&gt;P")&gt;0,1,0)</f>
        <v>0</v>
      </c>
      <c r="N246">
        <f>IF(COUNTIFS('United Data'!$A$3:$A$2150,N$1,'United Data'!$C$3:$C$2150,$A246,'United Data'!$B$3:$B$2150,"&lt;&gt;P")&gt;0,1,0)</f>
        <v>0</v>
      </c>
      <c r="O246">
        <f>IF(COUNTIFS('United Data'!$A$3:$A$2150,O$1,'United Data'!$C$3:$C$2150,$A246,'United Data'!$B$3:$B$2150,"&lt;&gt;P")&gt;0,1,0)</f>
        <v>1</v>
      </c>
      <c r="P246">
        <f>IF(COUNTIFS('United Data'!$A$3:$A$2150,P$1,'United Data'!$C$3:$C$2150,$A246,'United Data'!$B$3:$B$2150,"&lt;&gt;P")&gt;0,1,0)</f>
        <v>1</v>
      </c>
      <c r="Q246">
        <f>IF(COUNTIFS('United Data'!$A$3:$A$2150,Q$1,'United Data'!$C$3:$C$2150,$A246,'United Data'!$B$3:$B$2150,"&lt;&gt;P")&gt;0,1,0)</f>
        <v>1</v>
      </c>
      <c r="R246">
        <f>IF(COUNTIFS('United Data'!$A$3:$A$2150,R$1,'United Data'!$C$3:$C$2150,$A246,'United Data'!$B$3:$B$2150,"&lt;&gt;P")&gt;0,1,0)</f>
        <v>0</v>
      </c>
      <c r="S246">
        <f t="shared" si="6"/>
        <v>3</v>
      </c>
      <c r="T246">
        <f t="shared" si="7"/>
        <v>1</v>
      </c>
    </row>
    <row r="247" spans="1:20" x14ac:dyDescent="0.2">
      <c r="A247" t="s">
        <v>292</v>
      </c>
      <c r="B247">
        <f>IF(COUNTIFS('United Data'!$A$3:$A$2150,B$1,'United Data'!$C$3:$C$2150,$A247,'United Data'!$B$3:$B$2150,"&lt;&gt;P")&gt;0,1,0)</f>
        <v>0</v>
      </c>
      <c r="C247">
        <f>IF(COUNTIFS('United Data'!$A$3:$A$2150,C$1,'United Data'!$C$3:$C$2150,$A247,'United Data'!$B$3:$B$2150,"&lt;&gt;P")&gt;0,1,0)</f>
        <v>0</v>
      </c>
      <c r="D247">
        <f>IF(COUNTIFS('United Data'!$A$3:$A$2150,D$1,'United Data'!$C$3:$C$2150,$A247,'United Data'!$B$3:$B$2150,"&lt;&gt;P")&gt;0,1,0)</f>
        <v>0</v>
      </c>
      <c r="E247">
        <f>IF(COUNTIFS('United Data'!$A$3:$A$2150,E$1,'United Data'!$C$3:$C$2150,$A247,'United Data'!$B$3:$B$2150,"&lt;&gt;P")&gt;0,1,0)</f>
        <v>0</v>
      </c>
      <c r="F247">
        <f>IF(COUNTIFS('United Data'!$A$3:$A$2150,F$1,'United Data'!$C$3:$C$2150,$A247,'United Data'!$B$3:$B$2150,"&lt;&gt;P")&gt;0,1,0)</f>
        <v>0</v>
      </c>
      <c r="G247">
        <f>IF(COUNTIFS('United Data'!$A$3:$A$2150,G$1,'United Data'!$C$3:$C$2150,$A247,'United Data'!$B$3:$B$2150,"&lt;&gt;P")&gt;0,1,0)</f>
        <v>0</v>
      </c>
      <c r="H247">
        <f>IF(COUNTIFS('United Data'!$A$3:$A$2150,H$1,'United Data'!$C$3:$C$2150,$A247,'United Data'!$B$3:$B$2150,"&lt;&gt;P")&gt;0,1,0)</f>
        <v>0</v>
      </c>
      <c r="I247">
        <f>IF(COUNTIFS('United Data'!$A$3:$A$2150,I$1,'United Data'!$C$3:$C$2150,$A247,'United Data'!$B$3:$B$2150,"&lt;&gt;P")&gt;0,1,0)</f>
        <v>0</v>
      </c>
      <c r="J247">
        <f>IF(COUNTIFS('United Data'!$A$3:$A$2150,J$1,'United Data'!$C$3:$C$2150,$A247,'United Data'!$B$3:$B$2150,"&lt;&gt;P")&gt;0,1,0)</f>
        <v>0</v>
      </c>
      <c r="K247">
        <f>IF(COUNTIFS('United Data'!$A$3:$A$2150,K$1,'United Data'!$C$3:$C$2150,$A247,'United Data'!$B$3:$B$2150,"&lt;&gt;P")&gt;0,1,0)</f>
        <v>0</v>
      </c>
      <c r="L247">
        <f>IF(COUNTIFS('United Data'!$A$3:$A$2150,L$1,'United Data'!$C$3:$C$2150,$A247,'United Data'!$B$3:$B$2150,"&lt;&gt;P")&gt;0,1,0)</f>
        <v>0</v>
      </c>
      <c r="M247">
        <f>IF(COUNTIFS('United Data'!$A$3:$A$2150,M$1,'United Data'!$C$3:$C$2150,$A247,'United Data'!$B$3:$B$2150,"&lt;&gt;P")&gt;0,1,0)</f>
        <v>0</v>
      </c>
      <c r="N247">
        <f>IF(COUNTIFS('United Data'!$A$3:$A$2150,N$1,'United Data'!$C$3:$C$2150,$A247,'United Data'!$B$3:$B$2150,"&lt;&gt;P")&gt;0,1,0)</f>
        <v>0</v>
      </c>
      <c r="O247">
        <f>IF(COUNTIFS('United Data'!$A$3:$A$2150,O$1,'United Data'!$C$3:$C$2150,$A247,'United Data'!$B$3:$B$2150,"&lt;&gt;P")&gt;0,1,0)</f>
        <v>1</v>
      </c>
      <c r="P247">
        <f>IF(COUNTIFS('United Data'!$A$3:$A$2150,P$1,'United Data'!$C$3:$C$2150,$A247,'United Data'!$B$3:$B$2150,"&lt;&gt;P")&gt;0,1,0)</f>
        <v>1</v>
      </c>
      <c r="Q247">
        <f>IF(COUNTIFS('United Data'!$A$3:$A$2150,Q$1,'United Data'!$C$3:$C$2150,$A247,'United Data'!$B$3:$B$2150,"&lt;&gt;P")&gt;0,1,0)</f>
        <v>0</v>
      </c>
      <c r="R247">
        <f>IF(COUNTIFS('United Data'!$A$3:$A$2150,R$1,'United Data'!$C$3:$C$2150,$A247,'United Data'!$B$3:$B$2150,"&lt;&gt;P")&gt;0,1,0)</f>
        <v>0</v>
      </c>
      <c r="S247">
        <f t="shared" si="6"/>
        <v>2</v>
      </c>
      <c r="T247">
        <f t="shared" si="7"/>
        <v>1</v>
      </c>
    </row>
    <row r="248" spans="1:20" x14ac:dyDescent="0.2">
      <c r="A248" t="s">
        <v>293</v>
      </c>
      <c r="B248">
        <f>IF(COUNTIFS('United Data'!$A$3:$A$2150,B$1,'United Data'!$C$3:$C$2150,$A248,'United Data'!$B$3:$B$2150,"&lt;&gt;P")&gt;0,1,0)</f>
        <v>0</v>
      </c>
      <c r="C248">
        <f>IF(COUNTIFS('United Data'!$A$3:$A$2150,C$1,'United Data'!$C$3:$C$2150,$A248,'United Data'!$B$3:$B$2150,"&lt;&gt;P")&gt;0,1,0)</f>
        <v>0</v>
      </c>
      <c r="D248">
        <f>IF(COUNTIFS('United Data'!$A$3:$A$2150,D$1,'United Data'!$C$3:$C$2150,$A248,'United Data'!$B$3:$B$2150,"&lt;&gt;P")&gt;0,1,0)</f>
        <v>0</v>
      </c>
      <c r="E248">
        <f>IF(COUNTIFS('United Data'!$A$3:$A$2150,E$1,'United Data'!$C$3:$C$2150,$A248,'United Data'!$B$3:$B$2150,"&lt;&gt;P")&gt;0,1,0)</f>
        <v>0</v>
      </c>
      <c r="F248">
        <f>IF(COUNTIFS('United Data'!$A$3:$A$2150,F$1,'United Data'!$C$3:$C$2150,$A248,'United Data'!$B$3:$B$2150,"&lt;&gt;P")&gt;0,1,0)</f>
        <v>0</v>
      </c>
      <c r="G248">
        <f>IF(COUNTIFS('United Data'!$A$3:$A$2150,G$1,'United Data'!$C$3:$C$2150,$A248,'United Data'!$B$3:$B$2150,"&lt;&gt;P")&gt;0,1,0)</f>
        <v>0</v>
      </c>
      <c r="H248">
        <f>IF(COUNTIFS('United Data'!$A$3:$A$2150,H$1,'United Data'!$C$3:$C$2150,$A248,'United Data'!$B$3:$B$2150,"&lt;&gt;P")&gt;0,1,0)</f>
        <v>0</v>
      </c>
      <c r="I248">
        <f>IF(COUNTIFS('United Data'!$A$3:$A$2150,I$1,'United Data'!$C$3:$C$2150,$A248,'United Data'!$B$3:$B$2150,"&lt;&gt;P")&gt;0,1,0)</f>
        <v>0</v>
      </c>
      <c r="J248">
        <f>IF(COUNTIFS('United Data'!$A$3:$A$2150,J$1,'United Data'!$C$3:$C$2150,$A248,'United Data'!$B$3:$B$2150,"&lt;&gt;P")&gt;0,1,0)</f>
        <v>0</v>
      </c>
      <c r="K248">
        <f>IF(COUNTIFS('United Data'!$A$3:$A$2150,K$1,'United Data'!$C$3:$C$2150,$A248,'United Data'!$B$3:$B$2150,"&lt;&gt;P")&gt;0,1,0)</f>
        <v>0</v>
      </c>
      <c r="L248">
        <f>IF(COUNTIFS('United Data'!$A$3:$A$2150,L$1,'United Data'!$C$3:$C$2150,$A248,'United Data'!$B$3:$B$2150,"&lt;&gt;P")&gt;0,1,0)</f>
        <v>0</v>
      </c>
      <c r="M248">
        <f>IF(COUNTIFS('United Data'!$A$3:$A$2150,M$1,'United Data'!$C$3:$C$2150,$A248,'United Data'!$B$3:$B$2150,"&lt;&gt;P")&gt;0,1,0)</f>
        <v>0</v>
      </c>
      <c r="N248">
        <f>IF(COUNTIFS('United Data'!$A$3:$A$2150,N$1,'United Data'!$C$3:$C$2150,$A248,'United Data'!$B$3:$B$2150,"&lt;&gt;P")&gt;0,1,0)</f>
        <v>0</v>
      </c>
      <c r="O248">
        <f>IF(COUNTIFS('United Data'!$A$3:$A$2150,O$1,'United Data'!$C$3:$C$2150,$A248,'United Data'!$B$3:$B$2150,"&lt;&gt;P")&gt;0,1,0)</f>
        <v>1</v>
      </c>
      <c r="P248">
        <f>IF(COUNTIFS('United Data'!$A$3:$A$2150,P$1,'United Data'!$C$3:$C$2150,$A248,'United Data'!$B$3:$B$2150,"&lt;&gt;P")&gt;0,1,0)</f>
        <v>0</v>
      </c>
      <c r="Q248">
        <f>IF(COUNTIFS('United Data'!$A$3:$A$2150,Q$1,'United Data'!$C$3:$C$2150,$A248,'United Data'!$B$3:$B$2150,"&lt;&gt;P")&gt;0,1,0)</f>
        <v>0</v>
      </c>
      <c r="R248">
        <f>IF(COUNTIFS('United Data'!$A$3:$A$2150,R$1,'United Data'!$C$3:$C$2150,$A248,'United Data'!$B$3:$B$2150,"&lt;&gt;P")&gt;0,1,0)</f>
        <v>0</v>
      </c>
      <c r="S248">
        <f t="shared" si="6"/>
        <v>1</v>
      </c>
      <c r="T248">
        <f t="shared" si="7"/>
        <v>1</v>
      </c>
    </row>
    <row r="249" spans="1:20" x14ac:dyDescent="0.2">
      <c r="A249" t="s">
        <v>294</v>
      </c>
      <c r="B249">
        <f>IF(COUNTIFS('United Data'!$A$3:$A$2150,B$1,'United Data'!$C$3:$C$2150,$A249,'United Data'!$B$3:$B$2150,"&lt;&gt;P")&gt;0,1,0)</f>
        <v>0</v>
      </c>
      <c r="C249">
        <f>IF(COUNTIFS('United Data'!$A$3:$A$2150,C$1,'United Data'!$C$3:$C$2150,$A249,'United Data'!$B$3:$B$2150,"&lt;&gt;P")&gt;0,1,0)</f>
        <v>0</v>
      </c>
      <c r="D249">
        <f>IF(COUNTIFS('United Data'!$A$3:$A$2150,D$1,'United Data'!$C$3:$C$2150,$A249,'United Data'!$B$3:$B$2150,"&lt;&gt;P")&gt;0,1,0)</f>
        <v>0</v>
      </c>
      <c r="E249">
        <f>IF(COUNTIFS('United Data'!$A$3:$A$2150,E$1,'United Data'!$C$3:$C$2150,$A249,'United Data'!$B$3:$B$2150,"&lt;&gt;P")&gt;0,1,0)</f>
        <v>0</v>
      </c>
      <c r="F249">
        <f>IF(COUNTIFS('United Data'!$A$3:$A$2150,F$1,'United Data'!$C$3:$C$2150,$A249,'United Data'!$B$3:$B$2150,"&lt;&gt;P")&gt;0,1,0)</f>
        <v>0</v>
      </c>
      <c r="G249">
        <f>IF(COUNTIFS('United Data'!$A$3:$A$2150,G$1,'United Data'!$C$3:$C$2150,$A249,'United Data'!$B$3:$B$2150,"&lt;&gt;P")&gt;0,1,0)</f>
        <v>0</v>
      </c>
      <c r="H249">
        <f>IF(COUNTIFS('United Data'!$A$3:$A$2150,H$1,'United Data'!$C$3:$C$2150,$A249,'United Data'!$B$3:$B$2150,"&lt;&gt;P")&gt;0,1,0)</f>
        <v>0</v>
      </c>
      <c r="I249">
        <f>IF(COUNTIFS('United Data'!$A$3:$A$2150,I$1,'United Data'!$C$3:$C$2150,$A249,'United Data'!$B$3:$B$2150,"&lt;&gt;P")&gt;0,1,0)</f>
        <v>0</v>
      </c>
      <c r="J249">
        <f>IF(COUNTIFS('United Data'!$A$3:$A$2150,J$1,'United Data'!$C$3:$C$2150,$A249,'United Data'!$B$3:$B$2150,"&lt;&gt;P")&gt;0,1,0)</f>
        <v>0</v>
      </c>
      <c r="K249">
        <f>IF(COUNTIFS('United Data'!$A$3:$A$2150,K$1,'United Data'!$C$3:$C$2150,$A249,'United Data'!$B$3:$B$2150,"&lt;&gt;P")&gt;0,1,0)</f>
        <v>0</v>
      </c>
      <c r="L249">
        <f>IF(COUNTIFS('United Data'!$A$3:$A$2150,L$1,'United Data'!$C$3:$C$2150,$A249,'United Data'!$B$3:$B$2150,"&lt;&gt;P")&gt;0,1,0)</f>
        <v>0</v>
      </c>
      <c r="M249">
        <f>IF(COUNTIFS('United Data'!$A$3:$A$2150,M$1,'United Data'!$C$3:$C$2150,$A249,'United Data'!$B$3:$B$2150,"&lt;&gt;P")&gt;0,1,0)</f>
        <v>0</v>
      </c>
      <c r="N249">
        <f>IF(COUNTIFS('United Data'!$A$3:$A$2150,N$1,'United Data'!$C$3:$C$2150,$A249,'United Data'!$B$3:$B$2150,"&lt;&gt;P")&gt;0,1,0)</f>
        <v>0</v>
      </c>
      <c r="O249">
        <f>IF(COUNTIFS('United Data'!$A$3:$A$2150,O$1,'United Data'!$C$3:$C$2150,$A249,'United Data'!$B$3:$B$2150,"&lt;&gt;P")&gt;0,1,0)</f>
        <v>0</v>
      </c>
      <c r="P249">
        <f>IF(COUNTIFS('United Data'!$A$3:$A$2150,P$1,'United Data'!$C$3:$C$2150,$A249,'United Data'!$B$3:$B$2150,"&lt;&gt;P")&gt;0,1,0)</f>
        <v>1</v>
      </c>
      <c r="Q249">
        <f>IF(COUNTIFS('United Data'!$A$3:$A$2150,Q$1,'United Data'!$C$3:$C$2150,$A249,'United Data'!$B$3:$B$2150,"&lt;&gt;P")&gt;0,1,0)</f>
        <v>1</v>
      </c>
      <c r="R249">
        <f>IF(COUNTIFS('United Data'!$A$3:$A$2150,R$1,'United Data'!$C$3:$C$2150,$A249,'United Data'!$B$3:$B$2150,"&lt;&gt;P")&gt;0,1,0)</f>
        <v>0</v>
      </c>
      <c r="S249">
        <f t="shared" si="6"/>
        <v>2</v>
      </c>
      <c r="T249">
        <f t="shared" si="7"/>
        <v>1</v>
      </c>
    </row>
    <row r="250" spans="1:20" x14ac:dyDescent="0.2">
      <c r="A250" t="s">
        <v>295</v>
      </c>
      <c r="B250">
        <f>IF(COUNTIFS('United Data'!$A$3:$A$2150,B$1,'United Data'!$C$3:$C$2150,$A250,'United Data'!$B$3:$B$2150,"&lt;&gt;P")&gt;0,1,0)</f>
        <v>0</v>
      </c>
      <c r="C250">
        <f>IF(COUNTIFS('United Data'!$A$3:$A$2150,C$1,'United Data'!$C$3:$C$2150,$A250,'United Data'!$B$3:$B$2150,"&lt;&gt;P")&gt;0,1,0)</f>
        <v>0</v>
      </c>
      <c r="D250">
        <f>IF(COUNTIFS('United Data'!$A$3:$A$2150,D$1,'United Data'!$C$3:$C$2150,$A250,'United Data'!$B$3:$B$2150,"&lt;&gt;P")&gt;0,1,0)</f>
        <v>0</v>
      </c>
      <c r="E250">
        <f>IF(COUNTIFS('United Data'!$A$3:$A$2150,E$1,'United Data'!$C$3:$C$2150,$A250,'United Data'!$B$3:$B$2150,"&lt;&gt;P")&gt;0,1,0)</f>
        <v>0</v>
      </c>
      <c r="F250">
        <f>IF(COUNTIFS('United Data'!$A$3:$A$2150,F$1,'United Data'!$C$3:$C$2150,$A250,'United Data'!$B$3:$B$2150,"&lt;&gt;P")&gt;0,1,0)</f>
        <v>0</v>
      </c>
      <c r="G250">
        <f>IF(COUNTIFS('United Data'!$A$3:$A$2150,G$1,'United Data'!$C$3:$C$2150,$A250,'United Data'!$B$3:$B$2150,"&lt;&gt;P")&gt;0,1,0)</f>
        <v>0</v>
      </c>
      <c r="H250">
        <f>IF(COUNTIFS('United Data'!$A$3:$A$2150,H$1,'United Data'!$C$3:$C$2150,$A250,'United Data'!$B$3:$B$2150,"&lt;&gt;P")&gt;0,1,0)</f>
        <v>0</v>
      </c>
      <c r="I250">
        <f>IF(COUNTIFS('United Data'!$A$3:$A$2150,I$1,'United Data'!$C$3:$C$2150,$A250,'United Data'!$B$3:$B$2150,"&lt;&gt;P")&gt;0,1,0)</f>
        <v>0</v>
      </c>
      <c r="J250">
        <f>IF(COUNTIFS('United Data'!$A$3:$A$2150,J$1,'United Data'!$C$3:$C$2150,$A250,'United Data'!$B$3:$B$2150,"&lt;&gt;P")&gt;0,1,0)</f>
        <v>0</v>
      </c>
      <c r="K250">
        <f>IF(COUNTIFS('United Data'!$A$3:$A$2150,K$1,'United Data'!$C$3:$C$2150,$A250,'United Data'!$B$3:$B$2150,"&lt;&gt;P")&gt;0,1,0)</f>
        <v>0</v>
      </c>
      <c r="L250">
        <f>IF(COUNTIFS('United Data'!$A$3:$A$2150,L$1,'United Data'!$C$3:$C$2150,$A250,'United Data'!$B$3:$B$2150,"&lt;&gt;P")&gt;0,1,0)</f>
        <v>0</v>
      </c>
      <c r="M250">
        <f>IF(COUNTIFS('United Data'!$A$3:$A$2150,M$1,'United Data'!$C$3:$C$2150,$A250,'United Data'!$B$3:$B$2150,"&lt;&gt;P")&gt;0,1,0)</f>
        <v>0</v>
      </c>
      <c r="N250">
        <f>IF(COUNTIFS('United Data'!$A$3:$A$2150,N$1,'United Data'!$C$3:$C$2150,$A250,'United Data'!$B$3:$B$2150,"&lt;&gt;P")&gt;0,1,0)</f>
        <v>0</v>
      </c>
      <c r="O250">
        <f>IF(COUNTIFS('United Data'!$A$3:$A$2150,O$1,'United Data'!$C$3:$C$2150,$A250,'United Data'!$B$3:$B$2150,"&lt;&gt;P")&gt;0,1,0)</f>
        <v>0</v>
      </c>
      <c r="P250">
        <f>IF(COUNTIFS('United Data'!$A$3:$A$2150,P$1,'United Data'!$C$3:$C$2150,$A250,'United Data'!$B$3:$B$2150,"&lt;&gt;P")&gt;0,1,0)</f>
        <v>0</v>
      </c>
      <c r="Q250">
        <f>IF(COUNTIFS('United Data'!$A$3:$A$2150,Q$1,'United Data'!$C$3:$C$2150,$A250,'United Data'!$B$3:$B$2150,"&lt;&gt;P")&gt;0,1,0)</f>
        <v>1</v>
      </c>
      <c r="R250">
        <f>IF(COUNTIFS('United Data'!$A$3:$A$2150,R$1,'United Data'!$C$3:$C$2150,$A250,'United Data'!$B$3:$B$2150,"&lt;&gt;P")&gt;0,1,0)</f>
        <v>0</v>
      </c>
      <c r="S250">
        <f t="shared" si="6"/>
        <v>1</v>
      </c>
      <c r="T250">
        <f t="shared" si="7"/>
        <v>1</v>
      </c>
    </row>
    <row r="251" spans="1:20" x14ac:dyDescent="0.2">
      <c r="A251" t="s">
        <v>296</v>
      </c>
      <c r="B251">
        <f>IF(COUNTIFS('United Data'!$A$3:$A$2150,B$1,'United Data'!$C$3:$C$2150,$A251,'United Data'!$B$3:$B$2150,"&lt;&gt;P")&gt;0,1,0)</f>
        <v>1</v>
      </c>
      <c r="C251">
        <f>IF(COUNTIFS('United Data'!$A$3:$A$2150,C$1,'United Data'!$C$3:$C$2150,$A251,'United Data'!$B$3:$B$2150,"&lt;&gt;P")&gt;0,1,0)</f>
        <v>0</v>
      </c>
      <c r="D251">
        <f>IF(COUNTIFS('United Data'!$A$3:$A$2150,D$1,'United Data'!$C$3:$C$2150,$A251,'United Data'!$B$3:$B$2150,"&lt;&gt;P")&gt;0,1,0)</f>
        <v>0</v>
      </c>
      <c r="E251">
        <f>IF(COUNTIFS('United Data'!$A$3:$A$2150,E$1,'United Data'!$C$3:$C$2150,$A251,'United Data'!$B$3:$B$2150,"&lt;&gt;P")&gt;0,1,0)</f>
        <v>1</v>
      </c>
      <c r="F251">
        <f>IF(COUNTIFS('United Data'!$A$3:$A$2150,F$1,'United Data'!$C$3:$C$2150,$A251,'United Data'!$B$3:$B$2150,"&lt;&gt;P")&gt;0,1,0)</f>
        <v>0</v>
      </c>
      <c r="G251">
        <f>IF(COUNTIFS('United Data'!$A$3:$A$2150,G$1,'United Data'!$C$3:$C$2150,$A251,'United Data'!$B$3:$B$2150,"&lt;&gt;P")&gt;0,1,0)</f>
        <v>1</v>
      </c>
      <c r="H251">
        <f>IF(COUNTIFS('United Data'!$A$3:$A$2150,H$1,'United Data'!$C$3:$C$2150,$A251,'United Data'!$B$3:$B$2150,"&lt;&gt;P")&gt;0,1,0)</f>
        <v>1</v>
      </c>
      <c r="I251">
        <f>IF(COUNTIFS('United Data'!$A$3:$A$2150,I$1,'United Data'!$C$3:$C$2150,$A251,'United Data'!$B$3:$B$2150,"&lt;&gt;P")&gt;0,1,0)</f>
        <v>0</v>
      </c>
      <c r="J251">
        <f>IF(COUNTIFS('United Data'!$A$3:$A$2150,J$1,'United Data'!$C$3:$C$2150,$A251,'United Data'!$B$3:$B$2150,"&lt;&gt;P")&gt;0,1,0)</f>
        <v>1</v>
      </c>
      <c r="K251">
        <f>IF(COUNTIFS('United Data'!$A$3:$A$2150,K$1,'United Data'!$C$3:$C$2150,$A251,'United Data'!$B$3:$B$2150,"&lt;&gt;P")&gt;0,1,0)</f>
        <v>0</v>
      </c>
      <c r="L251">
        <f>IF(COUNTIFS('United Data'!$A$3:$A$2150,L$1,'United Data'!$C$3:$C$2150,$A251,'United Data'!$B$3:$B$2150,"&lt;&gt;P")&gt;0,1,0)</f>
        <v>0</v>
      </c>
      <c r="M251">
        <f>IF(COUNTIFS('United Data'!$A$3:$A$2150,M$1,'United Data'!$C$3:$C$2150,$A251,'United Data'!$B$3:$B$2150,"&lt;&gt;P")&gt;0,1,0)</f>
        <v>1</v>
      </c>
      <c r="N251">
        <f>IF(COUNTIFS('United Data'!$A$3:$A$2150,N$1,'United Data'!$C$3:$C$2150,$A251,'United Data'!$B$3:$B$2150,"&lt;&gt;P")&gt;0,1,0)</f>
        <v>0</v>
      </c>
      <c r="O251">
        <f>IF(COUNTIFS('United Data'!$A$3:$A$2150,O$1,'United Data'!$C$3:$C$2150,$A251,'United Data'!$B$3:$B$2150,"&lt;&gt;P")&gt;0,1,0)</f>
        <v>0</v>
      </c>
      <c r="P251">
        <f>IF(COUNTIFS('United Data'!$A$3:$A$2150,P$1,'United Data'!$C$3:$C$2150,$A251,'United Data'!$B$3:$B$2150,"&lt;&gt;P")&gt;0,1,0)</f>
        <v>0</v>
      </c>
      <c r="Q251">
        <f>IF(COUNTIFS('United Data'!$A$3:$A$2150,Q$1,'United Data'!$C$3:$C$2150,$A251,'United Data'!$B$3:$B$2150,"&lt;&gt;P")&gt;0,1,0)</f>
        <v>0</v>
      </c>
      <c r="R251">
        <f>IF(COUNTIFS('United Data'!$A$3:$A$2150,R$1,'United Data'!$C$3:$C$2150,$A251,'United Data'!$B$3:$B$2150,"&lt;&gt;P")&gt;0,1,0)</f>
        <v>0</v>
      </c>
      <c r="S251">
        <f t="shared" si="6"/>
        <v>6</v>
      </c>
      <c r="T251">
        <f t="shared" si="7"/>
        <v>5</v>
      </c>
    </row>
    <row r="252" spans="1:20" x14ac:dyDescent="0.2">
      <c r="A252" t="s">
        <v>297</v>
      </c>
      <c r="B252">
        <f>IF(COUNTIFS('United Data'!$A$3:$A$2150,B$1,'United Data'!$C$3:$C$2150,$A252,'United Data'!$B$3:$B$2150,"&lt;&gt;P")&gt;0,1,0)</f>
        <v>0</v>
      </c>
      <c r="C252">
        <f>IF(COUNTIFS('United Data'!$A$3:$A$2150,C$1,'United Data'!$C$3:$C$2150,$A252,'United Data'!$B$3:$B$2150,"&lt;&gt;P")&gt;0,1,0)</f>
        <v>1</v>
      </c>
      <c r="D252">
        <f>IF(COUNTIFS('United Data'!$A$3:$A$2150,D$1,'United Data'!$C$3:$C$2150,$A252,'United Data'!$B$3:$B$2150,"&lt;&gt;P")&gt;0,1,0)</f>
        <v>0</v>
      </c>
      <c r="E252">
        <f>IF(COUNTIFS('United Data'!$A$3:$A$2150,E$1,'United Data'!$C$3:$C$2150,$A252,'United Data'!$B$3:$B$2150,"&lt;&gt;P")&gt;0,1,0)</f>
        <v>0</v>
      </c>
      <c r="F252">
        <f>IF(COUNTIFS('United Data'!$A$3:$A$2150,F$1,'United Data'!$C$3:$C$2150,$A252,'United Data'!$B$3:$B$2150,"&lt;&gt;P")&gt;0,1,0)</f>
        <v>0</v>
      </c>
      <c r="G252">
        <f>IF(COUNTIFS('United Data'!$A$3:$A$2150,G$1,'United Data'!$C$3:$C$2150,$A252,'United Data'!$B$3:$B$2150,"&lt;&gt;P")&gt;0,1,0)</f>
        <v>0</v>
      </c>
      <c r="H252">
        <f>IF(COUNTIFS('United Data'!$A$3:$A$2150,H$1,'United Data'!$C$3:$C$2150,$A252,'United Data'!$B$3:$B$2150,"&lt;&gt;P")&gt;0,1,0)</f>
        <v>0</v>
      </c>
      <c r="I252">
        <f>IF(COUNTIFS('United Data'!$A$3:$A$2150,I$1,'United Data'!$C$3:$C$2150,$A252,'United Data'!$B$3:$B$2150,"&lt;&gt;P")&gt;0,1,0)</f>
        <v>0</v>
      </c>
      <c r="J252">
        <f>IF(COUNTIFS('United Data'!$A$3:$A$2150,J$1,'United Data'!$C$3:$C$2150,$A252,'United Data'!$B$3:$B$2150,"&lt;&gt;P")&gt;0,1,0)</f>
        <v>0</v>
      </c>
      <c r="K252">
        <f>IF(COUNTIFS('United Data'!$A$3:$A$2150,K$1,'United Data'!$C$3:$C$2150,$A252,'United Data'!$B$3:$B$2150,"&lt;&gt;P")&gt;0,1,0)</f>
        <v>0</v>
      </c>
      <c r="L252">
        <f>IF(COUNTIFS('United Data'!$A$3:$A$2150,L$1,'United Data'!$C$3:$C$2150,$A252,'United Data'!$B$3:$B$2150,"&lt;&gt;P")&gt;0,1,0)</f>
        <v>0</v>
      </c>
      <c r="M252">
        <f>IF(COUNTIFS('United Data'!$A$3:$A$2150,M$1,'United Data'!$C$3:$C$2150,$A252,'United Data'!$B$3:$B$2150,"&lt;&gt;P")&gt;0,1,0)</f>
        <v>0</v>
      </c>
      <c r="N252">
        <f>IF(COUNTIFS('United Data'!$A$3:$A$2150,N$1,'United Data'!$C$3:$C$2150,$A252,'United Data'!$B$3:$B$2150,"&lt;&gt;P")&gt;0,1,0)</f>
        <v>0</v>
      </c>
      <c r="O252">
        <f>IF(COUNTIFS('United Data'!$A$3:$A$2150,O$1,'United Data'!$C$3:$C$2150,$A252,'United Data'!$B$3:$B$2150,"&lt;&gt;P")&gt;0,1,0)</f>
        <v>0</v>
      </c>
      <c r="P252">
        <f>IF(COUNTIFS('United Data'!$A$3:$A$2150,P$1,'United Data'!$C$3:$C$2150,$A252,'United Data'!$B$3:$B$2150,"&lt;&gt;P")&gt;0,1,0)</f>
        <v>0</v>
      </c>
      <c r="Q252">
        <f>IF(COUNTIFS('United Data'!$A$3:$A$2150,Q$1,'United Data'!$C$3:$C$2150,$A252,'United Data'!$B$3:$B$2150,"&lt;&gt;P")&gt;0,1,0)</f>
        <v>0</v>
      </c>
      <c r="R252">
        <f>IF(COUNTIFS('United Data'!$A$3:$A$2150,R$1,'United Data'!$C$3:$C$2150,$A252,'United Data'!$B$3:$B$2150,"&lt;&gt;P")&gt;0,1,0)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298</v>
      </c>
      <c r="B253">
        <f>IF(COUNTIFS('United Data'!$A$3:$A$2150,B$1,'United Data'!$C$3:$C$2150,$A253,'United Data'!$B$3:$B$2150,"&lt;&gt;P")&gt;0,1,0)</f>
        <v>0</v>
      </c>
      <c r="C253">
        <f>IF(COUNTIFS('United Data'!$A$3:$A$2150,C$1,'United Data'!$C$3:$C$2150,$A253,'United Data'!$B$3:$B$2150,"&lt;&gt;P")&gt;0,1,0)</f>
        <v>0</v>
      </c>
      <c r="D253">
        <f>IF(COUNTIFS('United Data'!$A$3:$A$2150,D$1,'United Data'!$C$3:$C$2150,$A253,'United Data'!$B$3:$B$2150,"&lt;&gt;P")&gt;0,1,0)</f>
        <v>1</v>
      </c>
      <c r="E253">
        <f>IF(COUNTIFS('United Data'!$A$3:$A$2150,E$1,'United Data'!$C$3:$C$2150,$A253,'United Data'!$B$3:$B$2150,"&lt;&gt;P")&gt;0,1,0)</f>
        <v>0</v>
      </c>
      <c r="F253">
        <f>IF(COUNTIFS('United Data'!$A$3:$A$2150,F$1,'United Data'!$C$3:$C$2150,$A253,'United Data'!$B$3:$B$2150,"&lt;&gt;P")&gt;0,1,0)</f>
        <v>0</v>
      </c>
      <c r="G253">
        <f>IF(COUNTIFS('United Data'!$A$3:$A$2150,G$1,'United Data'!$C$3:$C$2150,$A253,'United Data'!$B$3:$B$2150,"&lt;&gt;P")&gt;0,1,0)</f>
        <v>0</v>
      </c>
      <c r="H253">
        <f>IF(COUNTIFS('United Data'!$A$3:$A$2150,H$1,'United Data'!$C$3:$C$2150,$A253,'United Data'!$B$3:$B$2150,"&lt;&gt;P")&gt;0,1,0)</f>
        <v>0</v>
      </c>
      <c r="I253">
        <f>IF(COUNTIFS('United Data'!$A$3:$A$2150,I$1,'United Data'!$C$3:$C$2150,$A253,'United Data'!$B$3:$B$2150,"&lt;&gt;P")&gt;0,1,0)</f>
        <v>0</v>
      </c>
      <c r="J253">
        <f>IF(COUNTIFS('United Data'!$A$3:$A$2150,J$1,'United Data'!$C$3:$C$2150,$A253,'United Data'!$B$3:$B$2150,"&lt;&gt;P")&gt;0,1,0)</f>
        <v>0</v>
      </c>
      <c r="K253">
        <f>IF(COUNTIFS('United Data'!$A$3:$A$2150,K$1,'United Data'!$C$3:$C$2150,$A253,'United Data'!$B$3:$B$2150,"&lt;&gt;P")&gt;0,1,0)</f>
        <v>0</v>
      </c>
      <c r="L253">
        <f>IF(COUNTIFS('United Data'!$A$3:$A$2150,L$1,'United Data'!$C$3:$C$2150,$A253,'United Data'!$B$3:$B$2150,"&lt;&gt;P")&gt;0,1,0)</f>
        <v>0</v>
      </c>
      <c r="M253">
        <f>IF(COUNTIFS('United Data'!$A$3:$A$2150,M$1,'United Data'!$C$3:$C$2150,$A253,'United Data'!$B$3:$B$2150,"&lt;&gt;P")&gt;0,1,0)</f>
        <v>0</v>
      </c>
      <c r="N253">
        <f>IF(COUNTIFS('United Data'!$A$3:$A$2150,N$1,'United Data'!$C$3:$C$2150,$A253,'United Data'!$B$3:$B$2150,"&lt;&gt;P")&gt;0,1,0)</f>
        <v>0</v>
      </c>
      <c r="O253">
        <f>IF(COUNTIFS('United Data'!$A$3:$A$2150,O$1,'United Data'!$C$3:$C$2150,$A253,'United Data'!$B$3:$B$2150,"&lt;&gt;P")&gt;0,1,0)</f>
        <v>0</v>
      </c>
      <c r="P253">
        <f>IF(COUNTIFS('United Data'!$A$3:$A$2150,P$1,'United Data'!$C$3:$C$2150,$A253,'United Data'!$B$3:$B$2150,"&lt;&gt;P")&gt;0,1,0)</f>
        <v>0</v>
      </c>
      <c r="Q253">
        <f>IF(COUNTIFS('United Data'!$A$3:$A$2150,Q$1,'United Data'!$C$3:$C$2150,$A253,'United Data'!$B$3:$B$2150,"&lt;&gt;P")&gt;0,1,0)</f>
        <v>0</v>
      </c>
      <c r="R253">
        <f>IF(COUNTIFS('United Data'!$A$3:$A$2150,R$1,'United Data'!$C$3:$C$2150,$A253,'United Data'!$B$3:$B$2150,"&lt;&gt;P")&gt;0,1,0)</f>
        <v>0</v>
      </c>
      <c r="S253">
        <f t="shared" si="6"/>
        <v>1</v>
      </c>
      <c r="T253">
        <f t="shared" si="7"/>
        <v>1</v>
      </c>
    </row>
    <row r="254" spans="1:20" x14ac:dyDescent="0.2">
      <c r="A254" t="s">
        <v>978</v>
      </c>
      <c r="B254">
        <f>IF(COUNTIFS('United Data'!$A$3:$A$2150,B$1,'United Data'!$C$3:$C$2150,$A254,'United Data'!$B$3:$B$2150,"&lt;&gt;P")&gt;0,1,0)</f>
        <v>0</v>
      </c>
      <c r="C254">
        <f>IF(COUNTIFS('United Data'!$A$3:$A$2150,C$1,'United Data'!$C$3:$C$2150,$A254,'United Data'!$B$3:$B$2150,"&lt;&gt;P")&gt;0,1,0)</f>
        <v>0</v>
      </c>
      <c r="D254">
        <f>IF(COUNTIFS('United Data'!$A$3:$A$2150,D$1,'United Data'!$C$3:$C$2150,$A254,'United Data'!$B$3:$B$2150,"&lt;&gt;P")&gt;0,1,0)</f>
        <v>0</v>
      </c>
      <c r="E254">
        <f>IF(COUNTIFS('United Data'!$A$3:$A$2150,E$1,'United Data'!$C$3:$C$2150,$A254,'United Data'!$B$3:$B$2150,"&lt;&gt;P")&gt;0,1,0)</f>
        <v>0</v>
      </c>
      <c r="F254">
        <f>IF(COUNTIFS('United Data'!$A$3:$A$2150,F$1,'United Data'!$C$3:$C$2150,$A254,'United Data'!$B$3:$B$2150,"&lt;&gt;P")&gt;0,1,0)</f>
        <v>1</v>
      </c>
      <c r="G254">
        <f>IF(COUNTIFS('United Data'!$A$3:$A$2150,G$1,'United Data'!$C$3:$C$2150,$A254,'United Data'!$B$3:$B$2150,"&lt;&gt;P")&gt;0,1,0)</f>
        <v>0</v>
      </c>
      <c r="H254">
        <f>IF(COUNTIFS('United Data'!$A$3:$A$2150,H$1,'United Data'!$C$3:$C$2150,$A254,'United Data'!$B$3:$B$2150,"&lt;&gt;P")&gt;0,1,0)</f>
        <v>0</v>
      </c>
      <c r="I254">
        <f>IF(COUNTIFS('United Data'!$A$3:$A$2150,I$1,'United Data'!$C$3:$C$2150,$A254,'United Data'!$B$3:$B$2150,"&lt;&gt;P")&gt;0,1,0)</f>
        <v>0</v>
      </c>
      <c r="J254">
        <f>IF(COUNTIFS('United Data'!$A$3:$A$2150,J$1,'United Data'!$C$3:$C$2150,$A254,'United Data'!$B$3:$B$2150,"&lt;&gt;P")&gt;0,1,0)</f>
        <v>0</v>
      </c>
      <c r="K254">
        <f>IF(COUNTIFS('United Data'!$A$3:$A$2150,K$1,'United Data'!$C$3:$C$2150,$A254,'United Data'!$B$3:$B$2150,"&lt;&gt;P")&gt;0,1,0)</f>
        <v>0</v>
      </c>
      <c r="L254">
        <f>IF(COUNTIFS('United Data'!$A$3:$A$2150,L$1,'United Data'!$C$3:$C$2150,$A254,'United Data'!$B$3:$B$2150,"&lt;&gt;P")&gt;0,1,0)</f>
        <v>0</v>
      </c>
      <c r="M254">
        <f>IF(COUNTIFS('United Data'!$A$3:$A$2150,M$1,'United Data'!$C$3:$C$2150,$A254,'United Data'!$B$3:$B$2150,"&lt;&gt;P")&gt;0,1,0)</f>
        <v>0</v>
      </c>
      <c r="N254">
        <f>IF(COUNTIFS('United Data'!$A$3:$A$2150,N$1,'United Data'!$C$3:$C$2150,$A254,'United Data'!$B$3:$B$2150,"&lt;&gt;P")&gt;0,1,0)</f>
        <v>0</v>
      </c>
      <c r="O254">
        <f>IF(COUNTIFS('United Data'!$A$3:$A$2150,O$1,'United Data'!$C$3:$C$2150,$A254,'United Data'!$B$3:$B$2150,"&lt;&gt;P")&gt;0,1,0)</f>
        <v>0</v>
      </c>
      <c r="P254">
        <f>IF(COUNTIFS('United Data'!$A$3:$A$2150,P$1,'United Data'!$C$3:$C$2150,$A254,'United Data'!$B$3:$B$2150,"&lt;&gt;P")&gt;0,1,0)</f>
        <v>0</v>
      </c>
      <c r="Q254">
        <f>IF(COUNTIFS('United Data'!$A$3:$A$2150,Q$1,'United Data'!$C$3:$C$2150,$A254,'United Data'!$B$3:$B$2150,"&lt;&gt;P")&gt;0,1,0)</f>
        <v>0</v>
      </c>
      <c r="R254">
        <f>IF(COUNTIFS('United Data'!$A$3:$A$2150,R$1,'United Data'!$C$3:$C$2150,$A254,'United Data'!$B$3:$B$2150,"&lt;&gt;P")&gt;0,1,0)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300</v>
      </c>
      <c r="B255">
        <f>IF(COUNTIFS('United Data'!$A$3:$A$2150,B$1,'United Data'!$C$3:$C$2150,$A255,'United Data'!$B$3:$B$2150,"&lt;&gt;P")&gt;0,1,0)</f>
        <v>0</v>
      </c>
      <c r="C255">
        <f>IF(COUNTIFS('United Data'!$A$3:$A$2150,C$1,'United Data'!$C$3:$C$2150,$A255,'United Data'!$B$3:$B$2150,"&lt;&gt;P")&gt;0,1,0)</f>
        <v>0</v>
      </c>
      <c r="D255">
        <f>IF(COUNTIFS('United Data'!$A$3:$A$2150,D$1,'United Data'!$C$3:$C$2150,$A255,'United Data'!$B$3:$B$2150,"&lt;&gt;P")&gt;0,1,0)</f>
        <v>0</v>
      </c>
      <c r="E255">
        <f>IF(COUNTIFS('United Data'!$A$3:$A$2150,E$1,'United Data'!$C$3:$C$2150,$A255,'United Data'!$B$3:$B$2150,"&lt;&gt;P")&gt;0,1,0)</f>
        <v>0</v>
      </c>
      <c r="F255">
        <f>IF(COUNTIFS('United Data'!$A$3:$A$2150,F$1,'United Data'!$C$3:$C$2150,$A255,'United Data'!$B$3:$B$2150,"&lt;&gt;P")&gt;0,1,0)</f>
        <v>1</v>
      </c>
      <c r="G255">
        <f>IF(COUNTIFS('United Data'!$A$3:$A$2150,G$1,'United Data'!$C$3:$C$2150,$A255,'United Data'!$B$3:$B$2150,"&lt;&gt;P")&gt;0,1,0)</f>
        <v>0</v>
      </c>
      <c r="H255">
        <f>IF(COUNTIFS('United Data'!$A$3:$A$2150,H$1,'United Data'!$C$3:$C$2150,$A255,'United Data'!$B$3:$B$2150,"&lt;&gt;P")&gt;0,1,0)</f>
        <v>0</v>
      </c>
      <c r="I255">
        <f>IF(COUNTIFS('United Data'!$A$3:$A$2150,I$1,'United Data'!$C$3:$C$2150,$A255,'United Data'!$B$3:$B$2150,"&lt;&gt;P")&gt;0,1,0)</f>
        <v>0</v>
      </c>
      <c r="J255">
        <f>IF(COUNTIFS('United Data'!$A$3:$A$2150,J$1,'United Data'!$C$3:$C$2150,$A255,'United Data'!$B$3:$B$2150,"&lt;&gt;P")&gt;0,1,0)</f>
        <v>0</v>
      </c>
      <c r="K255">
        <f>IF(COUNTIFS('United Data'!$A$3:$A$2150,K$1,'United Data'!$C$3:$C$2150,$A255,'United Data'!$B$3:$B$2150,"&lt;&gt;P")&gt;0,1,0)</f>
        <v>0</v>
      </c>
      <c r="L255">
        <f>IF(COUNTIFS('United Data'!$A$3:$A$2150,L$1,'United Data'!$C$3:$C$2150,$A255,'United Data'!$B$3:$B$2150,"&lt;&gt;P")&gt;0,1,0)</f>
        <v>0</v>
      </c>
      <c r="M255">
        <f>IF(COUNTIFS('United Data'!$A$3:$A$2150,M$1,'United Data'!$C$3:$C$2150,$A255,'United Data'!$B$3:$B$2150,"&lt;&gt;P")&gt;0,1,0)</f>
        <v>0</v>
      </c>
      <c r="N255">
        <f>IF(COUNTIFS('United Data'!$A$3:$A$2150,N$1,'United Data'!$C$3:$C$2150,$A255,'United Data'!$B$3:$B$2150,"&lt;&gt;P")&gt;0,1,0)</f>
        <v>0</v>
      </c>
      <c r="O255">
        <f>IF(COUNTIFS('United Data'!$A$3:$A$2150,O$1,'United Data'!$C$3:$C$2150,$A255,'United Data'!$B$3:$B$2150,"&lt;&gt;P")&gt;0,1,0)</f>
        <v>0</v>
      </c>
      <c r="P255">
        <f>IF(COUNTIFS('United Data'!$A$3:$A$2150,P$1,'United Data'!$C$3:$C$2150,$A255,'United Data'!$B$3:$B$2150,"&lt;&gt;P")&gt;0,1,0)</f>
        <v>0</v>
      </c>
      <c r="Q255">
        <f>IF(COUNTIFS('United Data'!$A$3:$A$2150,Q$1,'United Data'!$C$3:$C$2150,$A255,'United Data'!$B$3:$B$2150,"&lt;&gt;P")&gt;0,1,0)</f>
        <v>0</v>
      </c>
      <c r="R255">
        <f>IF(COUNTIFS('United Data'!$A$3:$A$2150,R$1,'United Data'!$C$3:$C$2150,$A255,'United Data'!$B$3:$B$2150,"&lt;&gt;P")&gt;0,1,0)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301</v>
      </c>
      <c r="B256">
        <f>IF(COUNTIFS('United Data'!$A$3:$A$2150,B$1,'United Data'!$C$3:$C$2150,$A256,'United Data'!$B$3:$B$2150,"&lt;&gt;P")&gt;0,1,0)</f>
        <v>0</v>
      </c>
      <c r="C256">
        <f>IF(COUNTIFS('United Data'!$A$3:$A$2150,C$1,'United Data'!$C$3:$C$2150,$A256,'United Data'!$B$3:$B$2150,"&lt;&gt;P")&gt;0,1,0)</f>
        <v>0</v>
      </c>
      <c r="D256">
        <f>IF(COUNTIFS('United Data'!$A$3:$A$2150,D$1,'United Data'!$C$3:$C$2150,$A256,'United Data'!$B$3:$B$2150,"&lt;&gt;P")&gt;0,1,0)</f>
        <v>0</v>
      </c>
      <c r="E256">
        <f>IF(COUNTIFS('United Data'!$A$3:$A$2150,E$1,'United Data'!$C$3:$C$2150,$A256,'United Data'!$B$3:$B$2150,"&lt;&gt;P")&gt;0,1,0)</f>
        <v>0</v>
      </c>
      <c r="F256">
        <f>IF(COUNTIFS('United Data'!$A$3:$A$2150,F$1,'United Data'!$C$3:$C$2150,$A256,'United Data'!$B$3:$B$2150,"&lt;&gt;P")&gt;0,1,0)</f>
        <v>0</v>
      </c>
      <c r="G256">
        <f>IF(COUNTIFS('United Data'!$A$3:$A$2150,G$1,'United Data'!$C$3:$C$2150,$A256,'United Data'!$B$3:$B$2150,"&lt;&gt;P")&gt;0,1,0)</f>
        <v>1</v>
      </c>
      <c r="H256">
        <f>IF(COUNTIFS('United Data'!$A$3:$A$2150,H$1,'United Data'!$C$3:$C$2150,$A256,'United Data'!$B$3:$B$2150,"&lt;&gt;P")&gt;0,1,0)</f>
        <v>0</v>
      </c>
      <c r="I256">
        <f>IF(COUNTIFS('United Data'!$A$3:$A$2150,I$1,'United Data'!$C$3:$C$2150,$A256,'United Data'!$B$3:$B$2150,"&lt;&gt;P")&gt;0,1,0)</f>
        <v>0</v>
      </c>
      <c r="J256">
        <f>IF(COUNTIFS('United Data'!$A$3:$A$2150,J$1,'United Data'!$C$3:$C$2150,$A256,'United Data'!$B$3:$B$2150,"&lt;&gt;P")&gt;0,1,0)</f>
        <v>0</v>
      </c>
      <c r="K256">
        <f>IF(COUNTIFS('United Data'!$A$3:$A$2150,K$1,'United Data'!$C$3:$C$2150,$A256,'United Data'!$B$3:$B$2150,"&lt;&gt;P")&gt;0,1,0)</f>
        <v>0</v>
      </c>
      <c r="L256">
        <f>IF(COUNTIFS('United Data'!$A$3:$A$2150,L$1,'United Data'!$C$3:$C$2150,$A256,'United Data'!$B$3:$B$2150,"&lt;&gt;P")&gt;0,1,0)</f>
        <v>0</v>
      </c>
      <c r="M256">
        <f>IF(COUNTIFS('United Data'!$A$3:$A$2150,M$1,'United Data'!$C$3:$C$2150,$A256,'United Data'!$B$3:$B$2150,"&lt;&gt;P")&gt;0,1,0)</f>
        <v>0</v>
      </c>
      <c r="N256">
        <f>IF(COUNTIFS('United Data'!$A$3:$A$2150,N$1,'United Data'!$C$3:$C$2150,$A256,'United Data'!$B$3:$B$2150,"&lt;&gt;P")&gt;0,1,0)</f>
        <v>0</v>
      </c>
      <c r="O256">
        <f>IF(COUNTIFS('United Data'!$A$3:$A$2150,O$1,'United Data'!$C$3:$C$2150,$A256,'United Data'!$B$3:$B$2150,"&lt;&gt;P")&gt;0,1,0)</f>
        <v>0</v>
      </c>
      <c r="P256">
        <f>IF(COUNTIFS('United Data'!$A$3:$A$2150,P$1,'United Data'!$C$3:$C$2150,$A256,'United Data'!$B$3:$B$2150,"&lt;&gt;P")&gt;0,1,0)</f>
        <v>0</v>
      </c>
      <c r="Q256">
        <f>IF(COUNTIFS('United Data'!$A$3:$A$2150,Q$1,'United Data'!$C$3:$C$2150,$A256,'United Data'!$B$3:$B$2150,"&lt;&gt;P")&gt;0,1,0)</f>
        <v>0</v>
      </c>
      <c r="R256">
        <f>IF(COUNTIFS('United Data'!$A$3:$A$2150,R$1,'United Data'!$C$3:$C$2150,$A256,'United Data'!$B$3:$B$2150,"&lt;&gt;P")&gt;0,1,0)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302</v>
      </c>
      <c r="B257">
        <f>IF(COUNTIFS('United Data'!$A$3:$A$2150,B$1,'United Data'!$C$3:$C$2150,$A257,'United Data'!$B$3:$B$2150,"&lt;&gt;P")&gt;0,1,0)</f>
        <v>0</v>
      </c>
      <c r="C257">
        <f>IF(COUNTIFS('United Data'!$A$3:$A$2150,C$1,'United Data'!$C$3:$C$2150,$A257,'United Data'!$B$3:$B$2150,"&lt;&gt;P")&gt;0,1,0)</f>
        <v>0</v>
      </c>
      <c r="D257">
        <f>IF(COUNTIFS('United Data'!$A$3:$A$2150,D$1,'United Data'!$C$3:$C$2150,$A257,'United Data'!$B$3:$B$2150,"&lt;&gt;P")&gt;0,1,0)</f>
        <v>0</v>
      </c>
      <c r="E257">
        <f>IF(COUNTIFS('United Data'!$A$3:$A$2150,E$1,'United Data'!$C$3:$C$2150,$A257,'United Data'!$B$3:$B$2150,"&lt;&gt;P")&gt;0,1,0)</f>
        <v>0</v>
      </c>
      <c r="F257">
        <f>IF(COUNTIFS('United Data'!$A$3:$A$2150,F$1,'United Data'!$C$3:$C$2150,$A257,'United Data'!$B$3:$B$2150,"&lt;&gt;P")&gt;0,1,0)</f>
        <v>0</v>
      </c>
      <c r="G257">
        <f>IF(COUNTIFS('United Data'!$A$3:$A$2150,G$1,'United Data'!$C$3:$C$2150,$A257,'United Data'!$B$3:$B$2150,"&lt;&gt;P")&gt;0,1,0)</f>
        <v>0</v>
      </c>
      <c r="H257">
        <f>IF(COUNTIFS('United Data'!$A$3:$A$2150,H$1,'United Data'!$C$3:$C$2150,$A257,'United Data'!$B$3:$B$2150,"&lt;&gt;P")&gt;0,1,0)</f>
        <v>1</v>
      </c>
      <c r="I257">
        <f>IF(COUNTIFS('United Data'!$A$3:$A$2150,I$1,'United Data'!$C$3:$C$2150,$A257,'United Data'!$B$3:$B$2150,"&lt;&gt;P")&gt;0,1,0)</f>
        <v>0</v>
      </c>
      <c r="J257">
        <f>IF(COUNTIFS('United Data'!$A$3:$A$2150,J$1,'United Data'!$C$3:$C$2150,$A257,'United Data'!$B$3:$B$2150,"&lt;&gt;P")&gt;0,1,0)</f>
        <v>0</v>
      </c>
      <c r="K257">
        <f>IF(COUNTIFS('United Data'!$A$3:$A$2150,K$1,'United Data'!$C$3:$C$2150,$A257,'United Data'!$B$3:$B$2150,"&lt;&gt;P")&gt;0,1,0)</f>
        <v>0</v>
      </c>
      <c r="L257">
        <f>IF(COUNTIFS('United Data'!$A$3:$A$2150,L$1,'United Data'!$C$3:$C$2150,$A257,'United Data'!$B$3:$B$2150,"&lt;&gt;P")&gt;0,1,0)</f>
        <v>0</v>
      </c>
      <c r="M257">
        <f>IF(COUNTIFS('United Data'!$A$3:$A$2150,M$1,'United Data'!$C$3:$C$2150,$A257,'United Data'!$B$3:$B$2150,"&lt;&gt;P")&gt;0,1,0)</f>
        <v>0</v>
      </c>
      <c r="N257">
        <f>IF(COUNTIFS('United Data'!$A$3:$A$2150,N$1,'United Data'!$C$3:$C$2150,$A257,'United Data'!$B$3:$B$2150,"&lt;&gt;P")&gt;0,1,0)</f>
        <v>0</v>
      </c>
      <c r="O257">
        <f>IF(COUNTIFS('United Data'!$A$3:$A$2150,O$1,'United Data'!$C$3:$C$2150,$A257,'United Data'!$B$3:$B$2150,"&lt;&gt;P")&gt;0,1,0)</f>
        <v>0</v>
      </c>
      <c r="P257">
        <f>IF(COUNTIFS('United Data'!$A$3:$A$2150,P$1,'United Data'!$C$3:$C$2150,$A257,'United Data'!$B$3:$B$2150,"&lt;&gt;P")&gt;0,1,0)</f>
        <v>0</v>
      </c>
      <c r="Q257">
        <f>IF(COUNTIFS('United Data'!$A$3:$A$2150,Q$1,'United Data'!$C$3:$C$2150,$A257,'United Data'!$B$3:$B$2150,"&lt;&gt;P")&gt;0,1,0)</f>
        <v>0</v>
      </c>
      <c r="R257">
        <f>IF(COUNTIFS('United Data'!$A$3:$A$2150,R$1,'United Data'!$C$3:$C$2150,$A257,'United Data'!$B$3:$B$2150,"&lt;&gt;P")&gt;0,1,0)</f>
        <v>0</v>
      </c>
      <c r="S257">
        <f t="shared" si="6"/>
        <v>1</v>
      </c>
      <c r="T257">
        <f t="shared" si="7"/>
        <v>1</v>
      </c>
    </row>
    <row r="258" spans="1:20" x14ac:dyDescent="0.2">
      <c r="A258" t="s">
        <v>303</v>
      </c>
      <c r="B258">
        <f>IF(COUNTIFS('United Data'!$A$3:$A$2150,B$1,'United Data'!$C$3:$C$2150,$A258,'United Data'!$B$3:$B$2150,"&lt;&gt;P")&gt;0,1,0)</f>
        <v>0</v>
      </c>
      <c r="C258">
        <f>IF(COUNTIFS('United Data'!$A$3:$A$2150,C$1,'United Data'!$C$3:$C$2150,$A258,'United Data'!$B$3:$B$2150,"&lt;&gt;P")&gt;0,1,0)</f>
        <v>0</v>
      </c>
      <c r="D258">
        <f>IF(COUNTIFS('United Data'!$A$3:$A$2150,D$1,'United Data'!$C$3:$C$2150,$A258,'United Data'!$B$3:$B$2150,"&lt;&gt;P")&gt;0,1,0)</f>
        <v>0</v>
      </c>
      <c r="E258">
        <f>IF(COUNTIFS('United Data'!$A$3:$A$2150,E$1,'United Data'!$C$3:$C$2150,$A258,'United Data'!$B$3:$B$2150,"&lt;&gt;P")&gt;0,1,0)</f>
        <v>0</v>
      </c>
      <c r="F258">
        <f>IF(COUNTIFS('United Data'!$A$3:$A$2150,F$1,'United Data'!$C$3:$C$2150,$A258,'United Data'!$B$3:$B$2150,"&lt;&gt;P")&gt;0,1,0)</f>
        <v>0</v>
      </c>
      <c r="G258">
        <f>IF(COUNTIFS('United Data'!$A$3:$A$2150,G$1,'United Data'!$C$3:$C$2150,$A258,'United Data'!$B$3:$B$2150,"&lt;&gt;P")&gt;0,1,0)</f>
        <v>0</v>
      </c>
      <c r="H258">
        <f>IF(COUNTIFS('United Data'!$A$3:$A$2150,H$1,'United Data'!$C$3:$C$2150,$A258,'United Data'!$B$3:$B$2150,"&lt;&gt;P")&gt;0,1,0)</f>
        <v>1</v>
      </c>
      <c r="I258">
        <f>IF(COUNTIFS('United Data'!$A$3:$A$2150,I$1,'United Data'!$C$3:$C$2150,$A258,'United Data'!$B$3:$B$2150,"&lt;&gt;P")&gt;0,1,0)</f>
        <v>0</v>
      </c>
      <c r="J258">
        <f>IF(COUNTIFS('United Data'!$A$3:$A$2150,J$1,'United Data'!$C$3:$C$2150,$A258,'United Data'!$B$3:$B$2150,"&lt;&gt;P")&gt;0,1,0)</f>
        <v>0</v>
      </c>
      <c r="K258">
        <f>IF(COUNTIFS('United Data'!$A$3:$A$2150,K$1,'United Data'!$C$3:$C$2150,$A258,'United Data'!$B$3:$B$2150,"&lt;&gt;P")&gt;0,1,0)</f>
        <v>0</v>
      </c>
      <c r="L258">
        <f>IF(COUNTIFS('United Data'!$A$3:$A$2150,L$1,'United Data'!$C$3:$C$2150,$A258,'United Data'!$B$3:$B$2150,"&lt;&gt;P")&gt;0,1,0)</f>
        <v>0</v>
      </c>
      <c r="M258">
        <f>IF(COUNTIFS('United Data'!$A$3:$A$2150,M$1,'United Data'!$C$3:$C$2150,$A258,'United Data'!$B$3:$B$2150,"&lt;&gt;P")&gt;0,1,0)</f>
        <v>0</v>
      </c>
      <c r="N258">
        <f>IF(COUNTIFS('United Data'!$A$3:$A$2150,N$1,'United Data'!$C$3:$C$2150,$A258,'United Data'!$B$3:$B$2150,"&lt;&gt;P")&gt;0,1,0)</f>
        <v>0</v>
      </c>
      <c r="O258">
        <f>IF(COUNTIFS('United Data'!$A$3:$A$2150,O$1,'United Data'!$C$3:$C$2150,$A258,'United Data'!$B$3:$B$2150,"&lt;&gt;P")&gt;0,1,0)</f>
        <v>0</v>
      </c>
      <c r="P258">
        <f>IF(COUNTIFS('United Data'!$A$3:$A$2150,P$1,'United Data'!$C$3:$C$2150,$A258,'United Data'!$B$3:$B$2150,"&lt;&gt;P")&gt;0,1,0)</f>
        <v>0</v>
      </c>
      <c r="Q258">
        <f>IF(COUNTIFS('United Data'!$A$3:$A$2150,Q$1,'United Data'!$C$3:$C$2150,$A258,'United Data'!$B$3:$B$2150,"&lt;&gt;P")&gt;0,1,0)</f>
        <v>0</v>
      </c>
      <c r="R258">
        <f>IF(COUNTIFS('United Data'!$A$3:$A$2150,R$1,'United Data'!$C$3:$C$2150,$A258,'United Data'!$B$3:$B$2150,"&lt;&gt;P")&gt;0,1,0)</f>
        <v>0</v>
      </c>
      <c r="S258">
        <f t="shared" ref="S258:S321" si="8">SUM(B258:R258)</f>
        <v>1</v>
      </c>
      <c r="T258">
        <f t="shared" ref="T258:T321" si="9">B258+SUMPRODUCT(--(C258:R258&gt;B258:Q258))</f>
        <v>1</v>
      </c>
    </row>
    <row r="259" spans="1:20" x14ac:dyDescent="0.2">
      <c r="A259" t="s">
        <v>304</v>
      </c>
      <c r="B259">
        <f>IF(COUNTIFS('United Data'!$A$3:$A$2150,B$1,'United Data'!$C$3:$C$2150,$A259,'United Data'!$B$3:$B$2150,"&lt;&gt;P")&gt;0,1,0)</f>
        <v>0</v>
      </c>
      <c r="C259">
        <f>IF(COUNTIFS('United Data'!$A$3:$A$2150,C$1,'United Data'!$C$3:$C$2150,$A259,'United Data'!$B$3:$B$2150,"&lt;&gt;P")&gt;0,1,0)</f>
        <v>0</v>
      </c>
      <c r="D259">
        <f>IF(COUNTIFS('United Data'!$A$3:$A$2150,D$1,'United Data'!$C$3:$C$2150,$A259,'United Data'!$B$3:$B$2150,"&lt;&gt;P")&gt;0,1,0)</f>
        <v>0</v>
      </c>
      <c r="E259">
        <f>IF(COUNTIFS('United Data'!$A$3:$A$2150,E$1,'United Data'!$C$3:$C$2150,$A259,'United Data'!$B$3:$B$2150,"&lt;&gt;P")&gt;0,1,0)</f>
        <v>0</v>
      </c>
      <c r="F259">
        <f>IF(COUNTIFS('United Data'!$A$3:$A$2150,F$1,'United Data'!$C$3:$C$2150,$A259,'United Data'!$B$3:$B$2150,"&lt;&gt;P")&gt;0,1,0)</f>
        <v>0</v>
      </c>
      <c r="G259">
        <f>IF(COUNTIFS('United Data'!$A$3:$A$2150,G$1,'United Data'!$C$3:$C$2150,$A259,'United Data'!$B$3:$B$2150,"&lt;&gt;P")&gt;0,1,0)</f>
        <v>0</v>
      </c>
      <c r="H259">
        <f>IF(COUNTIFS('United Data'!$A$3:$A$2150,H$1,'United Data'!$C$3:$C$2150,$A259,'United Data'!$B$3:$B$2150,"&lt;&gt;P")&gt;0,1,0)</f>
        <v>0</v>
      </c>
      <c r="I259">
        <f>IF(COUNTIFS('United Data'!$A$3:$A$2150,I$1,'United Data'!$C$3:$C$2150,$A259,'United Data'!$B$3:$B$2150,"&lt;&gt;P")&gt;0,1,0)</f>
        <v>1</v>
      </c>
      <c r="J259">
        <f>IF(COUNTIFS('United Data'!$A$3:$A$2150,J$1,'United Data'!$C$3:$C$2150,$A259,'United Data'!$B$3:$B$2150,"&lt;&gt;P")&gt;0,1,0)</f>
        <v>0</v>
      </c>
      <c r="K259">
        <f>IF(COUNTIFS('United Data'!$A$3:$A$2150,K$1,'United Data'!$C$3:$C$2150,$A259,'United Data'!$B$3:$B$2150,"&lt;&gt;P")&gt;0,1,0)</f>
        <v>0</v>
      </c>
      <c r="L259">
        <f>IF(COUNTIFS('United Data'!$A$3:$A$2150,L$1,'United Data'!$C$3:$C$2150,$A259,'United Data'!$B$3:$B$2150,"&lt;&gt;P")&gt;0,1,0)</f>
        <v>0</v>
      </c>
      <c r="M259">
        <f>IF(COUNTIFS('United Data'!$A$3:$A$2150,M$1,'United Data'!$C$3:$C$2150,$A259,'United Data'!$B$3:$B$2150,"&lt;&gt;P")&gt;0,1,0)</f>
        <v>0</v>
      </c>
      <c r="N259">
        <f>IF(COUNTIFS('United Data'!$A$3:$A$2150,N$1,'United Data'!$C$3:$C$2150,$A259,'United Data'!$B$3:$B$2150,"&lt;&gt;P")&gt;0,1,0)</f>
        <v>0</v>
      </c>
      <c r="O259">
        <f>IF(COUNTIFS('United Data'!$A$3:$A$2150,O$1,'United Data'!$C$3:$C$2150,$A259,'United Data'!$B$3:$B$2150,"&lt;&gt;P")&gt;0,1,0)</f>
        <v>0</v>
      </c>
      <c r="P259">
        <f>IF(COUNTIFS('United Data'!$A$3:$A$2150,P$1,'United Data'!$C$3:$C$2150,$A259,'United Data'!$B$3:$B$2150,"&lt;&gt;P")&gt;0,1,0)</f>
        <v>0</v>
      </c>
      <c r="Q259">
        <f>IF(COUNTIFS('United Data'!$A$3:$A$2150,Q$1,'United Data'!$C$3:$C$2150,$A259,'United Data'!$B$3:$B$2150,"&lt;&gt;P")&gt;0,1,0)</f>
        <v>0</v>
      </c>
      <c r="R259">
        <f>IF(COUNTIFS('United Data'!$A$3:$A$2150,R$1,'United Data'!$C$3:$C$2150,$A259,'United Data'!$B$3:$B$2150,"&lt;&gt;P")&gt;0,1,0)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305</v>
      </c>
      <c r="B260">
        <f>IF(COUNTIFS('United Data'!$A$3:$A$2150,B$1,'United Data'!$C$3:$C$2150,$A260,'United Data'!$B$3:$B$2150,"&lt;&gt;P")&gt;0,1,0)</f>
        <v>0</v>
      </c>
      <c r="C260">
        <f>IF(COUNTIFS('United Data'!$A$3:$A$2150,C$1,'United Data'!$C$3:$C$2150,$A260,'United Data'!$B$3:$B$2150,"&lt;&gt;P")&gt;0,1,0)</f>
        <v>0</v>
      </c>
      <c r="D260">
        <f>IF(COUNTIFS('United Data'!$A$3:$A$2150,D$1,'United Data'!$C$3:$C$2150,$A260,'United Data'!$B$3:$B$2150,"&lt;&gt;P")&gt;0,1,0)</f>
        <v>0</v>
      </c>
      <c r="E260">
        <f>IF(COUNTIFS('United Data'!$A$3:$A$2150,E$1,'United Data'!$C$3:$C$2150,$A260,'United Data'!$B$3:$B$2150,"&lt;&gt;P")&gt;0,1,0)</f>
        <v>0</v>
      </c>
      <c r="F260">
        <f>IF(COUNTIFS('United Data'!$A$3:$A$2150,F$1,'United Data'!$C$3:$C$2150,$A260,'United Data'!$B$3:$B$2150,"&lt;&gt;P")&gt;0,1,0)</f>
        <v>0</v>
      </c>
      <c r="G260">
        <f>IF(COUNTIFS('United Data'!$A$3:$A$2150,G$1,'United Data'!$C$3:$C$2150,$A260,'United Data'!$B$3:$B$2150,"&lt;&gt;P")&gt;0,1,0)</f>
        <v>0</v>
      </c>
      <c r="H260">
        <f>IF(COUNTIFS('United Data'!$A$3:$A$2150,H$1,'United Data'!$C$3:$C$2150,$A260,'United Data'!$B$3:$B$2150,"&lt;&gt;P")&gt;0,1,0)</f>
        <v>0</v>
      </c>
      <c r="I260">
        <f>IF(COUNTIFS('United Data'!$A$3:$A$2150,I$1,'United Data'!$C$3:$C$2150,$A260,'United Data'!$B$3:$B$2150,"&lt;&gt;P")&gt;0,1,0)</f>
        <v>1</v>
      </c>
      <c r="J260">
        <f>IF(COUNTIFS('United Data'!$A$3:$A$2150,J$1,'United Data'!$C$3:$C$2150,$A260,'United Data'!$B$3:$B$2150,"&lt;&gt;P")&gt;0,1,0)</f>
        <v>0</v>
      </c>
      <c r="K260">
        <f>IF(COUNTIFS('United Data'!$A$3:$A$2150,K$1,'United Data'!$C$3:$C$2150,$A260,'United Data'!$B$3:$B$2150,"&lt;&gt;P")&gt;0,1,0)</f>
        <v>1</v>
      </c>
      <c r="L260">
        <f>IF(COUNTIFS('United Data'!$A$3:$A$2150,L$1,'United Data'!$C$3:$C$2150,$A260,'United Data'!$B$3:$B$2150,"&lt;&gt;P")&gt;0,1,0)</f>
        <v>0</v>
      </c>
      <c r="M260">
        <f>IF(COUNTIFS('United Data'!$A$3:$A$2150,M$1,'United Data'!$C$3:$C$2150,$A260,'United Data'!$B$3:$B$2150,"&lt;&gt;P")&gt;0,1,0)</f>
        <v>0</v>
      </c>
      <c r="N260">
        <f>IF(COUNTIFS('United Data'!$A$3:$A$2150,N$1,'United Data'!$C$3:$C$2150,$A260,'United Data'!$B$3:$B$2150,"&lt;&gt;P")&gt;0,1,0)</f>
        <v>0</v>
      </c>
      <c r="O260">
        <f>IF(COUNTIFS('United Data'!$A$3:$A$2150,O$1,'United Data'!$C$3:$C$2150,$A260,'United Data'!$B$3:$B$2150,"&lt;&gt;P")&gt;0,1,0)</f>
        <v>0</v>
      </c>
      <c r="P260">
        <f>IF(COUNTIFS('United Data'!$A$3:$A$2150,P$1,'United Data'!$C$3:$C$2150,$A260,'United Data'!$B$3:$B$2150,"&lt;&gt;P")&gt;0,1,0)</f>
        <v>0</v>
      </c>
      <c r="Q260">
        <f>IF(COUNTIFS('United Data'!$A$3:$A$2150,Q$1,'United Data'!$C$3:$C$2150,$A260,'United Data'!$B$3:$B$2150,"&lt;&gt;P")&gt;0,1,0)</f>
        <v>0</v>
      </c>
      <c r="R260">
        <f>IF(COUNTIFS('United Data'!$A$3:$A$2150,R$1,'United Data'!$C$3:$C$2150,$A260,'United Data'!$B$3:$B$2150,"&lt;&gt;P")&gt;0,1,0)</f>
        <v>0</v>
      </c>
      <c r="S260">
        <f t="shared" si="8"/>
        <v>2</v>
      </c>
      <c r="T260">
        <f t="shared" si="9"/>
        <v>2</v>
      </c>
    </row>
    <row r="261" spans="1:20" x14ac:dyDescent="0.2">
      <c r="A261" t="s">
        <v>306</v>
      </c>
      <c r="B261">
        <f>IF(COUNTIFS('United Data'!$A$3:$A$2150,B$1,'United Data'!$C$3:$C$2150,$A261,'United Data'!$B$3:$B$2150,"&lt;&gt;P")&gt;0,1,0)</f>
        <v>0</v>
      </c>
      <c r="C261">
        <f>IF(COUNTIFS('United Data'!$A$3:$A$2150,C$1,'United Data'!$C$3:$C$2150,$A261,'United Data'!$B$3:$B$2150,"&lt;&gt;P")&gt;0,1,0)</f>
        <v>0</v>
      </c>
      <c r="D261">
        <f>IF(COUNTIFS('United Data'!$A$3:$A$2150,D$1,'United Data'!$C$3:$C$2150,$A261,'United Data'!$B$3:$B$2150,"&lt;&gt;P")&gt;0,1,0)</f>
        <v>0</v>
      </c>
      <c r="E261">
        <f>IF(COUNTIFS('United Data'!$A$3:$A$2150,E$1,'United Data'!$C$3:$C$2150,$A261,'United Data'!$B$3:$B$2150,"&lt;&gt;P")&gt;0,1,0)</f>
        <v>0</v>
      </c>
      <c r="F261">
        <f>IF(COUNTIFS('United Data'!$A$3:$A$2150,F$1,'United Data'!$C$3:$C$2150,$A261,'United Data'!$B$3:$B$2150,"&lt;&gt;P")&gt;0,1,0)</f>
        <v>0</v>
      </c>
      <c r="G261">
        <f>IF(COUNTIFS('United Data'!$A$3:$A$2150,G$1,'United Data'!$C$3:$C$2150,$A261,'United Data'!$B$3:$B$2150,"&lt;&gt;P")&gt;0,1,0)</f>
        <v>0</v>
      </c>
      <c r="H261">
        <f>IF(COUNTIFS('United Data'!$A$3:$A$2150,H$1,'United Data'!$C$3:$C$2150,$A261,'United Data'!$B$3:$B$2150,"&lt;&gt;P")&gt;0,1,0)</f>
        <v>0</v>
      </c>
      <c r="I261">
        <f>IF(COUNTIFS('United Data'!$A$3:$A$2150,I$1,'United Data'!$C$3:$C$2150,$A261,'United Data'!$B$3:$B$2150,"&lt;&gt;P")&gt;0,1,0)</f>
        <v>0</v>
      </c>
      <c r="J261">
        <f>IF(COUNTIFS('United Data'!$A$3:$A$2150,J$1,'United Data'!$C$3:$C$2150,$A261,'United Data'!$B$3:$B$2150,"&lt;&gt;P")&gt;0,1,0)</f>
        <v>0</v>
      </c>
      <c r="K261">
        <f>IF(COUNTIFS('United Data'!$A$3:$A$2150,K$1,'United Data'!$C$3:$C$2150,$A261,'United Data'!$B$3:$B$2150,"&lt;&gt;P")&gt;0,1,0)</f>
        <v>0</v>
      </c>
      <c r="L261">
        <f>IF(COUNTIFS('United Data'!$A$3:$A$2150,L$1,'United Data'!$C$3:$C$2150,$A261,'United Data'!$B$3:$B$2150,"&lt;&gt;P")&gt;0,1,0)</f>
        <v>1</v>
      </c>
      <c r="M261">
        <f>IF(COUNTIFS('United Data'!$A$3:$A$2150,M$1,'United Data'!$C$3:$C$2150,$A261,'United Data'!$B$3:$B$2150,"&lt;&gt;P")&gt;0,1,0)</f>
        <v>0</v>
      </c>
      <c r="N261">
        <f>IF(COUNTIFS('United Data'!$A$3:$A$2150,N$1,'United Data'!$C$3:$C$2150,$A261,'United Data'!$B$3:$B$2150,"&lt;&gt;P")&gt;0,1,0)</f>
        <v>0</v>
      </c>
      <c r="O261">
        <f>IF(COUNTIFS('United Data'!$A$3:$A$2150,O$1,'United Data'!$C$3:$C$2150,$A261,'United Data'!$B$3:$B$2150,"&lt;&gt;P")&gt;0,1,0)</f>
        <v>0</v>
      </c>
      <c r="P261">
        <f>IF(COUNTIFS('United Data'!$A$3:$A$2150,P$1,'United Data'!$C$3:$C$2150,$A261,'United Data'!$B$3:$B$2150,"&lt;&gt;P")&gt;0,1,0)</f>
        <v>0</v>
      </c>
      <c r="Q261">
        <f>IF(COUNTIFS('United Data'!$A$3:$A$2150,Q$1,'United Data'!$C$3:$C$2150,$A261,'United Data'!$B$3:$B$2150,"&lt;&gt;P")&gt;0,1,0)</f>
        <v>0</v>
      </c>
      <c r="R261">
        <f>IF(COUNTIFS('United Data'!$A$3:$A$2150,R$1,'United Data'!$C$3:$C$2150,$A261,'United Data'!$B$3:$B$2150,"&lt;&gt;P")&gt;0,1,0)</f>
        <v>0</v>
      </c>
      <c r="S261">
        <f t="shared" si="8"/>
        <v>1</v>
      </c>
      <c r="T261">
        <f t="shared" si="9"/>
        <v>1</v>
      </c>
    </row>
    <row r="262" spans="1:20" x14ac:dyDescent="0.2">
      <c r="A262" t="s">
        <v>307</v>
      </c>
      <c r="B262">
        <f>IF(COUNTIFS('United Data'!$A$3:$A$2150,B$1,'United Data'!$C$3:$C$2150,$A262,'United Data'!$B$3:$B$2150,"&lt;&gt;P")&gt;0,1,0)</f>
        <v>0</v>
      </c>
      <c r="C262">
        <f>IF(COUNTIFS('United Data'!$A$3:$A$2150,C$1,'United Data'!$C$3:$C$2150,$A262,'United Data'!$B$3:$B$2150,"&lt;&gt;P")&gt;0,1,0)</f>
        <v>0</v>
      </c>
      <c r="D262">
        <f>IF(COUNTIFS('United Data'!$A$3:$A$2150,D$1,'United Data'!$C$3:$C$2150,$A262,'United Data'!$B$3:$B$2150,"&lt;&gt;P")&gt;0,1,0)</f>
        <v>0</v>
      </c>
      <c r="E262">
        <f>IF(COUNTIFS('United Data'!$A$3:$A$2150,E$1,'United Data'!$C$3:$C$2150,$A262,'United Data'!$B$3:$B$2150,"&lt;&gt;P")&gt;0,1,0)</f>
        <v>0</v>
      </c>
      <c r="F262">
        <f>IF(COUNTIFS('United Data'!$A$3:$A$2150,F$1,'United Data'!$C$3:$C$2150,$A262,'United Data'!$B$3:$B$2150,"&lt;&gt;P")&gt;0,1,0)</f>
        <v>0</v>
      </c>
      <c r="G262">
        <f>IF(COUNTIFS('United Data'!$A$3:$A$2150,G$1,'United Data'!$C$3:$C$2150,$A262,'United Data'!$B$3:$B$2150,"&lt;&gt;P")&gt;0,1,0)</f>
        <v>0</v>
      </c>
      <c r="H262">
        <f>IF(COUNTIFS('United Data'!$A$3:$A$2150,H$1,'United Data'!$C$3:$C$2150,$A262,'United Data'!$B$3:$B$2150,"&lt;&gt;P")&gt;0,1,0)</f>
        <v>0</v>
      </c>
      <c r="I262">
        <f>IF(COUNTIFS('United Data'!$A$3:$A$2150,I$1,'United Data'!$C$3:$C$2150,$A262,'United Data'!$B$3:$B$2150,"&lt;&gt;P")&gt;0,1,0)</f>
        <v>0</v>
      </c>
      <c r="J262">
        <f>IF(COUNTIFS('United Data'!$A$3:$A$2150,J$1,'United Data'!$C$3:$C$2150,$A262,'United Data'!$B$3:$B$2150,"&lt;&gt;P")&gt;0,1,0)</f>
        <v>0</v>
      </c>
      <c r="K262">
        <f>IF(COUNTIFS('United Data'!$A$3:$A$2150,K$1,'United Data'!$C$3:$C$2150,$A262,'United Data'!$B$3:$B$2150,"&lt;&gt;P")&gt;0,1,0)</f>
        <v>0</v>
      </c>
      <c r="L262">
        <f>IF(COUNTIFS('United Data'!$A$3:$A$2150,L$1,'United Data'!$C$3:$C$2150,$A262,'United Data'!$B$3:$B$2150,"&lt;&gt;P")&gt;0,1,0)</f>
        <v>0</v>
      </c>
      <c r="M262">
        <f>IF(COUNTIFS('United Data'!$A$3:$A$2150,M$1,'United Data'!$C$3:$C$2150,$A262,'United Data'!$B$3:$B$2150,"&lt;&gt;P")&gt;0,1,0)</f>
        <v>1</v>
      </c>
      <c r="N262">
        <f>IF(COUNTIFS('United Data'!$A$3:$A$2150,N$1,'United Data'!$C$3:$C$2150,$A262,'United Data'!$B$3:$B$2150,"&lt;&gt;P")&gt;0,1,0)</f>
        <v>0</v>
      </c>
      <c r="O262">
        <f>IF(COUNTIFS('United Data'!$A$3:$A$2150,O$1,'United Data'!$C$3:$C$2150,$A262,'United Data'!$B$3:$B$2150,"&lt;&gt;P")&gt;0,1,0)</f>
        <v>0</v>
      </c>
      <c r="P262">
        <f>IF(COUNTIFS('United Data'!$A$3:$A$2150,P$1,'United Data'!$C$3:$C$2150,$A262,'United Data'!$B$3:$B$2150,"&lt;&gt;P")&gt;0,1,0)</f>
        <v>0</v>
      </c>
      <c r="Q262">
        <f>IF(COUNTIFS('United Data'!$A$3:$A$2150,Q$1,'United Data'!$C$3:$C$2150,$A262,'United Data'!$B$3:$B$2150,"&lt;&gt;P")&gt;0,1,0)</f>
        <v>0</v>
      </c>
      <c r="R262">
        <f>IF(COUNTIFS('United Data'!$A$3:$A$2150,R$1,'United Data'!$C$3:$C$2150,$A262,'United Data'!$B$3:$B$2150,"&lt;&gt;P")&gt;0,1,0)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308</v>
      </c>
      <c r="B263">
        <f>IF(COUNTIFS('United Data'!$A$3:$A$2150,B$1,'United Data'!$C$3:$C$2150,$A263,'United Data'!$B$3:$B$2150,"&lt;&gt;P")&gt;0,1,0)</f>
        <v>0</v>
      </c>
      <c r="C263">
        <f>IF(COUNTIFS('United Data'!$A$3:$A$2150,C$1,'United Data'!$C$3:$C$2150,$A263,'United Data'!$B$3:$B$2150,"&lt;&gt;P")&gt;0,1,0)</f>
        <v>0</v>
      </c>
      <c r="D263">
        <f>IF(COUNTIFS('United Data'!$A$3:$A$2150,D$1,'United Data'!$C$3:$C$2150,$A263,'United Data'!$B$3:$B$2150,"&lt;&gt;P")&gt;0,1,0)</f>
        <v>0</v>
      </c>
      <c r="E263">
        <f>IF(COUNTIFS('United Data'!$A$3:$A$2150,E$1,'United Data'!$C$3:$C$2150,$A263,'United Data'!$B$3:$B$2150,"&lt;&gt;P")&gt;0,1,0)</f>
        <v>0</v>
      </c>
      <c r="F263">
        <f>IF(COUNTIFS('United Data'!$A$3:$A$2150,F$1,'United Data'!$C$3:$C$2150,$A263,'United Data'!$B$3:$B$2150,"&lt;&gt;P")&gt;0,1,0)</f>
        <v>0</v>
      </c>
      <c r="G263">
        <f>IF(COUNTIFS('United Data'!$A$3:$A$2150,G$1,'United Data'!$C$3:$C$2150,$A263,'United Data'!$B$3:$B$2150,"&lt;&gt;P")&gt;0,1,0)</f>
        <v>0</v>
      </c>
      <c r="H263">
        <f>IF(COUNTIFS('United Data'!$A$3:$A$2150,H$1,'United Data'!$C$3:$C$2150,$A263,'United Data'!$B$3:$B$2150,"&lt;&gt;P")&gt;0,1,0)</f>
        <v>0</v>
      </c>
      <c r="I263">
        <f>IF(COUNTIFS('United Data'!$A$3:$A$2150,I$1,'United Data'!$C$3:$C$2150,$A263,'United Data'!$B$3:$B$2150,"&lt;&gt;P")&gt;0,1,0)</f>
        <v>0</v>
      </c>
      <c r="J263">
        <f>IF(COUNTIFS('United Data'!$A$3:$A$2150,J$1,'United Data'!$C$3:$C$2150,$A263,'United Data'!$B$3:$B$2150,"&lt;&gt;P")&gt;0,1,0)</f>
        <v>0</v>
      </c>
      <c r="K263">
        <f>IF(COUNTIFS('United Data'!$A$3:$A$2150,K$1,'United Data'!$C$3:$C$2150,$A263,'United Data'!$B$3:$B$2150,"&lt;&gt;P")&gt;0,1,0)</f>
        <v>0</v>
      </c>
      <c r="L263">
        <f>IF(COUNTIFS('United Data'!$A$3:$A$2150,L$1,'United Data'!$C$3:$C$2150,$A263,'United Data'!$B$3:$B$2150,"&lt;&gt;P")&gt;0,1,0)</f>
        <v>0</v>
      </c>
      <c r="M263">
        <f>IF(COUNTIFS('United Data'!$A$3:$A$2150,M$1,'United Data'!$C$3:$C$2150,$A263,'United Data'!$B$3:$B$2150,"&lt;&gt;P")&gt;0,1,0)</f>
        <v>1</v>
      </c>
      <c r="N263">
        <f>IF(COUNTIFS('United Data'!$A$3:$A$2150,N$1,'United Data'!$C$3:$C$2150,$A263,'United Data'!$B$3:$B$2150,"&lt;&gt;P")&gt;0,1,0)</f>
        <v>0</v>
      </c>
      <c r="O263">
        <f>IF(COUNTIFS('United Data'!$A$3:$A$2150,O$1,'United Data'!$C$3:$C$2150,$A263,'United Data'!$B$3:$B$2150,"&lt;&gt;P")&gt;0,1,0)</f>
        <v>0</v>
      </c>
      <c r="P263">
        <f>IF(COUNTIFS('United Data'!$A$3:$A$2150,P$1,'United Data'!$C$3:$C$2150,$A263,'United Data'!$B$3:$B$2150,"&lt;&gt;P")&gt;0,1,0)</f>
        <v>0</v>
      </c>
      <c r="Q263">
        <f>IF(COUNTIFS('United Data'!$A$3:$A$2150,Q$1,'United Data'!$C$3:$C$2150,$A263,'United Data'!$B$3:$B$2150,"&lt;&gt;P")&gt;0,1,0)</f>
        <v>0</v>
      </c>
      <c r="R263">
        <f>IF(COUNTIFS('United Data'!$A$3:$A$2150,R$1,'United Data'!$C$3:$C$2150,$A263,'United Data'!$B$3:$B$2150,"&lt;&gt;P")&gt;0,1,0)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309</v>
      </c>
      <c r="B264">
        <f>IF(COUNTIFS('United Data'!$A$3:$A$2150,B$1,'United Data'!$C$3:$C$2150,$A264,'United Data'!$B$3:$B$2150,"&lt;&gt;P")&gt;0,1,0)</f>
        <v>0</v>
      </c>
      <c r="C264">
        <f>IF(COUNTIFS('United Data'!$A$3:$A$2150,C$1,'United Data'!$C$3:$C$2150,$A264,'United Data'!$B$3:$B$2150,"&lt;&gt;P")&gt;0,1,0)</f>
        <v>0</v>
      </c>
      <c r="D264">
        <f>IF(COUNTIFS('United Data'!$A$3:$A$2150,D$1,'United Data'!$C$3:$C$2150,$A264,'United Data'!$B$3:$B$2150,"&lt;&gt;P")&gt;0,1,0)</f>
        <v>0</v>
      </c>
      <c r="E264">
        <f>IF(COUNTIFS('United Data'!$A$3:$A$2150,E$1,'United Data'!$C$3:$C$2150,$A264,'United Data'!$B$3:$B$2150,"&lt;&gt;P")&gt;0,1,0)</f>
        <v>0</v>
      </c>
      <c r="F264">
        <f>IF(COUNTIFS('United Data'!$A$3:$A$2150,F$1,'United Data'!$C$3:$C$2150,$A264,'United Data'!$B$3:$B$2150,"&lt;&gt;P")&gt;0,1,0)</f>
        <v>0</v>
      </c>
      <c r="G264">
        <f>IF(COUNTIFS('United Data'!$A$3:$A$2150,G$1,'United Data'!$C$3:$C$2150,$A264,'United Data'!$B$3:$B$2150,"&lt;&gt;P")&gt;0,1,0)</f>
        <v>0</v>
      </c>
      <c r="H264">
        <f>IF(COUNTIFS('United Data'!$A$3:$A$2150,H$1,'United Data'!$C$3:$C$2150,$A264,'United Data'!$B$3:$B$2150,"&lt;&gt;P")&gt;0,1,0)</f>
        <v>0</v>
      </c>
      <c r="I264">
        <f>IF(COUNTIFS('United Data'!$A$3:$A$2150,I$1,'United Data'!$C$3:$C$2150,$A264,'United Data'!$B$3:$B$2150,"&lt;&gt;P")&gt;0,1,0)</f>
        <v>0</v>
      </c>
      <c r="J264">
        <f>IF(COUNTIFS('United Data'!$A$3:$A$2150,J$1,'United Data'!$C$3:$C$2150,$A264,'United Data'!$B$3:$B$2150,"&lt;&gt;P")&gt;0,1,0)</f>
        <v>0</v>
      </c>
      <c r="K264">
        <f>IF(COUNTIFS('United Data'!$A$3:$A$2150,K$1,'United Data'!$C$3:$C$2150,$A264,'United Data'!$B$3:$B$2150,"&lt;&gt;P")&gt;0,1,0)</f>
        <v>0</v>
      </c>
      <c r="L264">
        <f>IF(COUNTIFS('United Data'!$A$3:$A$2150,L$1,'United Data'!$C$3:$C$2150,$A264,'United Data'!$B$3:$B$2150,"&lt;&gt;P")&gt;0,1,0)</f>
        <v>0</v>
      </c>
      <c r="M264">
        <f>IF(COUNTIFS('United Data'!$A$3:$A$2150,M$1,'United Data'!$C$3:$C$2150,$A264,'United Data'!$B$3:$B$2150,"&lt;&gt;P")&gt;0,1,0)</f>
        <v>0</v>
      </c>
      <c r="N264">
        <f>IF(COUNTIFS('United Data'!$A$3:$A$2150,N$1,'United Data'!$C$3:$C$2150,$A264,'United Data'!$B$3:$B$2150,"&lt;&gt;P")&gt;0,1,0)</f>
        <v>0</v>
      </c>
      <c r="O264">
        <f>IF(COUNTIFS('United Data'!$A$3:$A$2150,O$1,'United Data'!$C$3:$C$2150,$A264,'United Data'!$B$3:$B$2150,"&lt;&gt;P")&gt;0,1,0)</f>
        <v>0</v>
      </c>
      <c r="P264">
        <f>IF(COUNTIFS('United Data'!$A$3:$A$2150,P$1,'United Data'!$C$3:$C$2150,$A264,'United Data'!$B$3:$B$2150,"&lt;&gt;P")&gt;0,1,0)</f>
        <v>1</v>
      </c>
      <c r="Q264">
        <f>IF(COUNTIFS('United Data'!$A$3:$A$2150,Q$1,'United Data'!$C$3:$C$2150,$A264,'United Data'!$B$3:$B$2150,"&lt;&gt;P")&gt;0,1,0)</f>
        <v>0</v>
      </c>
      <c r="R264">
        <f>IF(COUNTIFS('United Data'!$A$3:$A$2150,R$1,'United Data'!$C$3:$C$2150,$A264,'United Data'!$B$3:$B$2150,"&lt;&gt;P")&gt;0,1,0)</f>
        <v>0</v>
      </c>
      <c r="S264">
        <f t="shared" si="8"/>
        <v>1</v>
      </c>
      <c r="T264">
        <f t="shared" si="9"/>
        <v>1</v>
      </c>
    </row>
    <row r="265" spans="1:20" x14ac:dyDescent="0.2">
      <c r="A265" t="s">
        <v>310</v>
      </c>
      <c r="B265">
        <f>IF(COUNTIFS('United Data'!$A$3:$A$2150,B$1,'United Data'!$C$3:$C$2150,$A265,'United Data'!$B$3:$B$2150,"&lt;&gt;P")&gt;0,1,0)</f>
        <v>0</v>
      </c>
      <c r="C265">
        <f>IF(COUNTIFS('United Data'!$A$3:$A$2150,C$1,'United Data'!$C$3:$C$2150,$A265,'United Data'!$B$3:$B$2150,"&lt;&gt;P")&gt;0,1,0)</f>
        <v>0</v>
      </c>
      <c r="D265">
        <f>IF(COUNTIFS('United Data'!$A$3:$A$2150,D$1,'United Data'!$C$3:$C$2150,$A265,'United Data'!$B$3:$B$2150,"&lt;&gt;P")&gt;0,1,0)</f>
        <v>0</v>
      </c>
      <c r="E265">
        <f>IF(COUNTIFS('United Data'!$A$3:$A$2150,E$1,'United Data'!$C$3:$C$2150,$A265,'United Data'!$B$3:$B$2150,"&lt;&gt;P")&gt;0,1,0)</f>
        <v>0</v>
      </c>
      <c r="F265">
        <f>IF(COUNTIFS('United Data'!$A$3:$A$2150,F$1,'United Data'!$C$3:$C$2150,$A265,'United Data'!$B$3:$B$2150,"&lt;&gt;P")&gt;0,1,0)</f>
        <v>0</v>
      </c>
      <c r="G265">
        <f>IF(COUNTIFS('United Data'!$A$3:$A$2150,G$1,'United Data'!$C$3:$C$2150,$A265,'United Data'!$B$3:$B$2150,"&lt;&gt;P")&gt;0,1,0)</f>
        <v>0</v>
      </c>
      <c r="H265">
        <f>IF(COUNTIFS('United Data'!$A$3:$A$2150,H$1,'United Data'!$C$3:$C$2150,$A265,'United Data'!$B$3:$B$2150,"&lt;&gt;P")&gt;0,1,0)</f>
        <v>0</v>
      </c>
      <c r="I265">
        <f>IF(COUNTIFS('United Data'!$A$3:$A$2150,I$1,'United Data'!$C$3:$C$2150,$A265,'United Data'!$B$3:$B$2150,"&lt;&gt;P")&gt;0,1,0)</f>
        <v>0</v>
      </c>
      <c r="J265">
        <f>IF(COUNTIFS('United Data'!$A$3:$A$2150,J$1,'United Data'!$C$3:$C$2150,$A265,'United Data'!$B$3:$B$2150,"&lt;&gt;P")&gt;0,1,0)</f>
        <v>0</v>
      </c>
      <c r="K265">
        <f>IF(COUNTIFS('United Data'!$A$3:$A$2150,K$1,'United Data'!$C$3:$C$2150,$A265,'United Data'!$B$3:$B$2150,"&lt;&gt;P")&gt;0,1,0)</f>
        <v>0</v>
      </c>
      <c r="L265">
        <f>IF(COUNTIFS('United Data'!$A$3:$A$2150,L$1,'United Data'!$C$3:$C$2150,$A265,'United Data'!$B$3:$B$2150,"&lt;&gt;P")&gt;0,1,0)</f>
        <v>0</v>
      </c>
      <c r="M265">
        <f>IF(COUNTIFS('United Data'!$A$3:$A$2150,M$1,'United Data'!$C$3:$C$2150,$A265,'United Data'!$B$3:$B$2150,"&lt;&gt;P")&gt;0,1,0)</f>
        <v>0</v>
      </c>
      <c r="N265">
        <f>IF(COUNTIFS('United Data'!$A$3:$A$2150,N$1,'United Data'!$C$3:$C$2150,$A265,'United Data'!$B$3:$B$2150,"&lt;&gt;P")&gt;0,1,0)</f>
        <v>0</v>
      </c>
      <c r="O265">
        <f>IF(COUNTIFS('United Data'!$A$3:$A$2150,O$1,'United Data'!$C$3:$C$2150,$A265,'United Data'!$B$3:$B$2150,"&lt;&gt;P")&gt;0,1,0)</f>
        <v>0</v>
      </c>
      <c r="P265">
        <f>IF(COUNTIFS('United Data'!$A$3:$A$2150,P$1,'United Data'!$C$3:$C$2150,$A265,'United Data'!$B$3:$B$2150,"&lt;&gt;P")&gt;0,1,0)</f>
        <v>1</v>
      </c>
      <c r="Q265">
        <f>IF(COUNTIFS('United Data'!$A$3:$A$2150,Q$1,'United Data'!$C$3:$C$2150,$A265,'United Data'!$B$3:$B$2150,"&lt;&gt;P")&gt;0,1,0)</f>
        <v>0</v>
      </c>
      <c r="R265">
        <f>IF(COUNTIFS('United Data'!$A$3:$A$2150,R$1,'United Data'!$C$3:$C$2150,$A265,'United Data'!$B$3:$B$2150,"&lt;&gt;P")&gt;0,1,0)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311</v>
      </c>
      <c r="B266">
        <f>IF(COUNTIFS('United Data'!$A$3:$A$2150,B$1,'United Data'!$C$3:$C$2150,$A266,'United Data'!$B$3:$B$2150,"&lt;&gt;P")&gt;0,1,0)</f>
        <v>0</v>
      </c>
      <c r="C266">
        <f>IF(COUNTIFS('United Data'!$A$3:$A$2150,C$1,'United Data'!$C$3:$C$2150,$A266,'United Data'!$B$3:$B$2150,"&lt;&gt;P")&gt;0,1,0)</f>
        <v>0</v>
      </c>
      <c r="D266">
        <f>IF(COUNTIFS('United Data'!$A$3:$A$2150,D$1,'United Data'!$C$3:$C$2150,$A266,'United Data'!$B$3:$B$2150,"&lt;&gt;P")&gt;0,1,0)</f>
        <v>0</v>
      </c>
      <c r="E266">
        <f>IF(COUNTIFS('United Data'!$A$3:$A$2150,E$1,'United Data'!$C$3:$C$2150,$A266,'United Data'!$B$3:$B$2150,"&lt;&gt;P")&gt;0,1,0)</f>
        <v>0</v>
      </c>
      <c r="F266">
        <f>IF(COUNTIFS('United Data'!$A$3:$A$2150,F$1,'United Data'!$C$3:$C$2150,$A266,'United Data'!$B$3:$B$2150,"&lt;&gt;P")&gt;0,1,0)</f>
        <v>0</v>
      </c>
      <c r="G266">
        <f>IF(COUNTIFS('United Data'!$A$3:$A$2150,G$1,'United Data'!$C$3:$C$2150,$A266,'United Data'!$B$3:$B$2150,"&lt;&gt;P")&gt;0,1,0)</f>
        <v>0</v>
      </c>
      <c r="H266">
        <f>IF(COUNTIFS('United Data'!$A$3:$A$2150,H$1,'United Data'!$C$3:$C$2150,$A266,'United Data'!$B$3:$B$2150,"&lt;&gt;P")&gt;0,1,0)</f>
        <v>0</v>
      </c>
      <c r="I266">
        <f>IF(COUNTIFS('United Data'!$A$3:$A$2150,I$1,'United Data'!$C$3:$C$2150,$A266,'United Data'!$B$3:$B$2150,"&lt;&gt;P")&gt;0,1,0)</f>
        <v>0</v>
      </c>
      <c r="J266">
        <f>IF(COUNTIFS('United Data'!$A$3:$A$2150,J$1,'United Data'!$C$3:$C$2150,$A266,'United Data'!$B$3:$B$2150,"&lt;&gt;P")&gt;0,1,0)</f>
        <v>0</v>
      </c>
      <c r="K266">
        <f>IF(COUNTIFS('United Data'!$A$3:$A$2150,K$1,'United Data'!$C$3:$C$2150,$A266,'United Data'!$B$3:$B$2150,"&lt;&gt;P")&gt;0,1,0)</f>
        <v>0</v>
      </c>
      <c r="L266">
        <f>IF(COUNTIFS('United Data'!$A$3:$A$2150,L$1,'United Data'!$C$3:$C$2150,$A266,'United Data'!$B$3:$B$2150,"&lt;&gt;P")&gt;0,1,0)</f>
        <v>0</v>
      </c>
      <c r="M266">
        <f>IF(COUNTIFS('United Data'!$A$3:$A$2150,M$1,'United Data'!$C$3:$C$2150,$A266,'United Data'!$B$3:$B$2150,"&lt;&gt;P")&gt;0,1,0)</f>
        <v>0</v>
      </c>
      <c r="N266">
        <f>IF(COUNTIFS('United Data'!$A$3:$A$2150,N$1,'United Data'!$C$3:$C$2150,$A266,'United Data'!$B$3:$B$2150,"&lt;&gt;P")&gt;0,1,0)</f>
        <v>0</v>
      </c>
      <c r="O266">
        <f>IF(COUNTIFS('United Data'!$A$3:$A$2150,O$1,'United Data'!$C$3:$C$2150,$A266,'United Data'!$B$3:$B$2150,"&lt;&gt;P")&gt;0,1,0)</f>
        <v>0</v>
      </c>
      <c r="P266">
        <f>IF(COUNTIFS('United Data'!$A$3:$A$2150,P$1,'United Data'!$C$3:$C$2150,$A266,'United Data'!$B$3:$B$2150,"&lt;&gt;P")&gt;0,1,0)</f>
        <v>0</v>
      </c>
      <c r="Q266">
        <f>IF(COUNTIFS('United Data'!$A$3:$A$2150,Q$1,'United Data'!$C$3:$C$2150,$A266,'United Data'!$B$3:$B$2150,"&lt;&gt;P")&gt;0,1,0)</f>
        <v>1</v>
      </c>
      <c r="R266">
        <f>IF(COUNTIFS('United Data'!$A$3:$A$2150,R$1,'United Data'!$C$3:$C$2150,$A266,'United Data'!$B$3:$B$2150,"&lt;&gt;P")&gt;0,1,0)</f>
        <v>0</v>
      </c>
      <c r="S266">
        <f t="shared" si="8"/>
        <v>1</v>
      </c>
      <c r="T266">
        <f t="shared" si="9"/>
        <v>1</v>
      </c>
    </row>
    <row r="267" spans="1:20" x14ac:dyDescent="0.2">
      <c r="A267" t="s">
        <v>312</v>
      </c>
      <c r="B267">
        <f>IF(COUNTIFS('United Data'!$A$3:$A$2150,B$1,'United Data'!$C$3:$C$2150,$A267,'United Data'!$B$3:$B$2150,"&lt;&gt;P")&gt;0,1,0)</f>
        <v>0</v>
      </c>
      <c r="C267">
        <f>IF(COUNTIFS('United Data'!$A$3:$A$2150,C$1,'United Data'!$C$3:$C$2150,$A267,'United Data'!$B$3:$B$2150,"&lt;&gt;P")&gt;0,1,0)</f>
        <v>1</v>
      </c>
      <c r="D267">
        <f>IF(COUNTIFS('United Data'!$A$3:$A$2150,D$1,'United Data'!$C$3:$C$2150,$A267,'United Data'!$B$3:$B$2150,"&lt;&gt;P")&gt;0,1,0)</f>
        <v>0</v>
      </c>
      <c r="E267">
        <f>IF(COUNTIFS('United Data'!$A$3:$A$2150,E$1,'United Data'!$C$3:$C$2150,$A267,'United Data'!$B$3:$B$2150,"&lt;&gt;P")&gt;0,1,0)</f>
        <v>0</v>
      </c>
      <c r="F267">
        <f>IF(COUNTIFS('United Data'!$A$3:$A$2150,F$1,'United Data'!$C$3:$C$2150,$A267,'United Data'!$B$3:$B$2150,"&lt;&gt;P")&gt;0,1,0)</f>
        <v>0</v>
      </c>
      <c r="G267">
        <f>IF(COUNTIFS('United Data'!$A$3:$A$2150,G$1,'United Data'!$C$3:$C$2150,$A267,'United Data'!$B$3:$B$2150,"&lt;&gt;P")&gt;0,1,0)</f>
        <v>0</v>
      </c>
      <c r="H267">
        <f>IF(COUNTIFS('United Data'!$A$3:$A$2150,H$1,'United Data'!$C$3:$C$2150,$A267,'United Data'!$B$3:$B$2150,"&lt;&gt;P")&gt;0,1,0)</f>
        <v>0</v>
      </c>
      <c r="I267">
        <f>IF(COUNTIFS('United Data'!$A$3:$A$2150,I$1,'United Data'!$C$3:$C$2150,$A267,'United Data'!$B$3:$B$2150,"&lt;&gt;P")&gt;0,1,0)</f>
        <v>0</v>
      </c>
      <c r="J267">
        <f>IF(COUNTIFS('United Data'!$A$3:$A$2150,J$1,'United Data'!$C$3:$C$2150,$A267,'United Data'!$B$3:$B$2150,"&lt;&gt;P")&gt;0,1,0)</f>
        <v>0</v>
      </c>
      <c r="K267">
        <f>IF(COUNTIFS('United Data'!$A$3:$A$2150,K$1,'United Data'!$C$3:$C$2150,$A267,'United Data'!$B$3:$B$2150,"&lt;&gt;P")&gt;0,1,0)</f>
        <v>0</v>
      </c>
      <c r="L267">
        <f>IF(COUNTIFS('United Data'!$A$3:$A$2150,L$1,'United Data'!$C$3:$C$2150,$A267,'United Data'!$B$3:$B$2150,"&lt;&gt;P")&gt;0,1,0)</f>
        <v>0</v>
      </c>
      <c r="M267">
        <f>IF(COUNTIFS('United Data'!$A$3:$A$2150,M$1,'United Data'!$C$3:$C$2150,$A267,'United Data'!$B$3:$B$2150,"&lt;&gt;P")&gt;0,1,0)</f>
        <v>0</v>
      </c>
      <c r="N267">
        <f>IF(COUNTIFS('United Data'!$A$3:$A$2150,N$1,'United Data'!$C$3:$C$2150,$A267,'United Data'!$B$3:$B$2150,"&lt;&gt;P")&gt;0,1,0)</f>
        <v>0</v>
      </c>
      <c r="O267">
        <f>IF(COUNTIFS('United Data'!$A$3:$A$2150,O$1,'United Data'!$C$3:$C$2150,$A267,'United Data'!$B$3:$B$2150,"&lt;&gt;P")&gt;0,1,0)</f>
        <v>0</v>
      </c>
      <c r="P267">
        <f>IF(COUNTIFS('United Data'!$A$3:$A$2150,P$1,'United Data'!$C$3:$C$2150,$A267,'United Data'!$B$3:$B$2150,"&lt;&gt;P")&gt;0,1,0)</f>
        <v>0</v>
      </c>
      <c r="Q267">
        <f>IF(COUNTIFS('United Data'!$A$3:$A$2150,Q$1,'United Data'!$C$3:$C$2150,$A267,'United Data'!$B$3:$B$2150,"&lt;&gt;P")&gt;0,1,0)</f>
        <v>0</v>
      </c>
      <c r="R267">
        <f>IF(COUNTIFS('United Data'!$A$3:$A$2150,R$1,'United Data'!$C$3:$C$2150,$A267,'United Data'!$B$3:$B$2150,"&lt;&gt;P")&gt;0,1,0)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313</v>
      </c>
      <c r="B268">
        <f>IF(COUNTIFS('United Data'!$A$3:$A$2150,B$1,'United Data'!$C$3:$C$2150,$A268,'United Data'!$B$3:$B$2150,"&lt;&gt;P")&gt;0,1,0)</f>
        <v>0</v>
      </c>
      <c r="C268">
        <f>IF(COUNTIFS('United Data'!$A$3:$A$2150,C$1,'United Data'!$C$3:$C$2150,$A268,'United Data'!$B$3:$B$2150,"&lt;&gt;P")&gt;0,1,0)</f>
        <v>1</v>
      </c>
      <c r="D268">
        <f>IF(COUNTIFS('United Data'!$A$3:$A$2150,D$1,'United Data'!$C$3:$C$2150,$A268,'United Data'!$B$3:$B$2150,"&lt;&gt;P")&gt;0,1,0)</f>
        <v>0</v>
      </c>
      <c r="E268">
        <f>IF(COUNTIFS('United Data'!$A$3:$A$2150,E$1,'United Data'!$C$3:$C$2150,$A268,'United Data'!$B$3:$B$2150,"&lt;&gt;P")&gt;0,1,0)</f>
        <v>0</v>
      </c>
      <c r="F268">
        <f>IF(COUNTIFS('United Data'!$A$3:$A$2150,F$1,'United Data'!$C$3:$C$2150,$A268,'United Data'!$B$3:$B$2150,"&lt;&gt;P")&gt;0,1,0)</f>
        <v>0</v>
      </c>
      <c r="G268">
        <f>IF(COUNTIFS('United Data'!$A$3:$A$2150,G$1,'United Data'!$C$3:$C$2150,$A268,'United Data'!$B$3:$B$2150,"&lt;&gt;P")&gt;0,1,0)</f>
        <v>0</v>
      </c>
      <c r="H268">
        <f>IF(COUNTIFS('United Data'!$A$3:$A$2150,H$1,'United Data'!$C$3:$C$2150,$A268,'United Data'!$B$3:$B$2150,"&lt;&gt;P")&gt;0,1,0)</f>
        <v>0</v>
      </c>
      <c r="I268">
        <f>IF(COUNTIFS('United Data'!$A$3:$A$2150,I$1,'United Data'!$C$3:$C$2150,$A268,'United Data'!$B$3:$B$2150,"&lt;&gt;P")&gt;0,1,0)</f>
        <v>0</v>
      </c>
      <c r="J268">
        <f>IF(COUNTIFS('United Data'!$A$3:$A$2150,J$1,'United Data'!$C$3:$C$2150,$A268,'United Data'!$B$3:$B$2150,"&lt;&gt;P")&gt;0,1,0)</f>
        <v>0</v>
      </c>
      <c r="K268">
        <f>IF(COUNTIFS('United Data'!$A$3:$A$2150,K$1,'United Data'!$C$3:$C$2150,$A268,'United Data'!$B$3:$B$2150,"&lt;&gt;P")&gt;0,1,0)</f>
        <v>0</v>
      </c>
      <c r="L268">
        <f>IF(COUNTIFS('United Data'!$A$3:$A$2150,L$1,'United Data'!$C$3:$C$2150,$A268,'United Data'!$B$3:$B$2150,"&lt;&gt;P")&gt;0,1,0)</f>
        <v>0</v>
      </c>
      <c r="M268">
        <f>IF(COUNTIFS('United Data'!$A$3:$A$2150,M$1,'United Data'!$C$3:$C$2150,$A268,'United Data'!$B$3:$B$2150,"&lt;&gt;P")&gt;0,1,0)</f>
        <v>0</v>
      </c>
      <c r="N268">
        <f>IF(COUNTIFS('United Data'!$A$3:$A$2150,N$1,'United Data'!$C$3:$C$2150,$A268,'United Data'!$B$3:$B$2150,"&lt;&gt;P")&gt;0,1,0)</f>
        <v>0</v>
      </c>
      <c r="O268">
        <f>IF(COUNTIFS('United Data'!$A$3:$A$2150,O$1,'United Data'!$C$3:$C$2150,$A268,'United Data'!$B$3:$B$2150,"&lt;&gt;P")&gt;0,1,0)</f>
        <v>0</v>
      </c>
      <c r="P268">
        <f>IF(COUNTIFS('United Data'!$A$3:$A$2150,P$1,'United Data'!$C$3:$C$2150,$A268,'United Data'!$B$3:$B$2150,"&lt;&gt;P")&gt;0,1,0)</f>
        <v>0</v>
      </c>
      <c r="Q268">
        <f>IF(COUNTIFS('United Data'!$A$3:$A$2150,Q$1,'United Data'!$C$3:$C$2150,$A268,'United Data'!$B$3:$B$2150,"&lt;&gt;P")&gt;0,1,0)</f>
        <v>0</v>
      </c>
      <c r="R268">
        <f>IF(COUNTIFS('United Data'!$A$3:$A$2150,R$1,'United Data'!$C$3:$C$2150,$A268,'United Data'!$B$3:$B$2150,"&lt;&gt;P")&gt;0,1,0)</f>
        <v>0</v>
      </c>
      <c r="S268">
        <f t="shared" si="8"/>
        <v>1</v>
      </c>
      <c r="T268">
        <f t="shared" si="9"/>
        <v>1</v>
      </c>
    </row>
    <row r="269" spans="1:20" x14ac:dyDescent="0.2">
      <c r="A269" t="s">
        <v>314</v>
      </c>
      <c r="B269">
        <f>IF(COUNTIFS('United Data'!$A$3:$A$2150,B$1,'United Data'!$C$3:$C$2150,$A269,'United Data'!$B$3:$B$2150,"&lt;&gt;P")&gt;0,1,0)</f>
        <v>0</v>
      </c>
      <c r="C269">
        <f>IF(COUNTIFS('United Data'!$A$3:$A$2150,C$1,'United Data'!$C$3:$C$2150,$A269,'United Data'!$B$3:$B$2150,"&lt;&gt;P")&gt;0,1,0)</f>
        <v>0</v>
      </c>
      <c r="D269">
        <f>IF(COUNTIFS('United Data'!$A$3:$A$2150,D$1,'United Data'!$C$3:$C$2150,$A269,'United Data'!$B$3:$B$2150,"&lt;&gt;P")&gt;0,1,0)</f>
        <v>1</v>
      </c>
      <c r="E269">
        <f>IF(COUNTIFS('United Data'!$A$3:$A$2150,E$1,'United Data'!$C$3:$C$2150,$A269,'United Data'!$B$3:$B$2150,"&lt;&gt;P")&gt;0,1,0)</f>
        <v>1</v>
      </c>
      <c r="F269">
        <f>IF(COUNTIFS('United Data'!$A$3:$A$2150,F$1,'United Data'!$C$3:$C$2150,$A269,'United Data'!$B$3:$B$2150,"&lt;&gt;P")&gt;0,1,0)</f>
        <v>1</v>
      </c>
      <c r="G269">
        <f>IF(COUNTIFS('United Data'!$A$3:$A$2150,G$1,'United Data'!$C$3:$C$2150,$A269,'United Data'!$B$3:$B$2150,"&lt;&gt;P")&gt;0,1,0)</f>
        <v>1</v>
      </c>
      <c r="H269">
        <f>IF(COUNTIFS('United Data'!$A$3:$A$2150,H$1,'United Data'!$C$3:$C$2150,$A269,'United Data'!$B$3:$B$2150,"&lt;&gt;P")&gt;0,1,0)</f>
        <v>0</v>
      </c>
      <c r="I269">
        <f>IF(COUNTIFS('United Data'!$A$3:$A$2150,I$1,'United Data'!$C$3:$C$2150,$A269,'United Data'!$B$3:$B$2150,"&lt;&gt;P")&gt;0,1,0)</f>
        <v>0</v>
      </c>
      <c r="J269">
        <f>IF(COUNTIFS('United Data'!$A$3:$A$2150,J$1,'United Data'!$C$3:$C$2150,$A269,'United Data'!$B$3:$B$2150,"&lt;&gt;P")&gt;0,1,0)</f>
        <v>0</v>
      </c>
      <c r="K269">
        <f>IF(COUNTIFS('United Data'!$A$3:$A$2150,K$1,'United Data'!$C$3:$C$2150,$A269,'United Data'!$B$3:$B$2150,"&lt;&gt;P")&gt;0,1,0)</f>
        <v>0</v>
      </c>
      <c r="L269">
        <f>IF(COUNTIFS('United Data'!$A$3:$A$2150,L$1,'United Data'!$C$3:$C$2150,$A269,'United Data'!$B$3:$B$2150,"&lt;&gt;P")&gt;0,1,0)</f>
        <v>0</v>
      </c>
      <c r="M269">
        <f>IF(COUNTIFS('United Data'!$A$3:$A$2150,M$1,'United Data'!$C$3:$C$2150,$A269,'United Data'!$B$3:$B$2150,"&lt;&gt;P")&gt;0,1,0)</f>
        <v>0</v>
      </c>
      <c r="N269">
        <f>IF(COUNTIFS('United Data'!$A$3:$A$2150,N$1,'United Data'!$C$3:$C$2150,$A269,'United Data'!$B$3:$B$2150,"&lt;&gt;P")&gt;0,1,0)</f>
        <v>0</v>
      </c>
      <c r="O269">
        <f>IF(COUNTIFS('United Data'!$A$3:$A$2150,O$1,'United Data'!$C$3:$C$2150,$A269,'United Data'!$B$3:$B$2150,"&lt;&gt;P")&gt;0,1,0)</f>
        <v>0</v>
      </c>
      <c r="P269">
        <f>IF(COUNTIFS('United Data'!$A$3:$A$2150,P$1,'United Data'!$C$3:$C$2150,$A269,'United Data'!$B$3:$B$2150,"&lt;&gt;P")&gt;0,1,0)</f>
        <v>0</v>
      </c>
      <c r="Q269">
        <f>IF(COUNTIFS('United Data'!$A$3:$A$2150,Q$1,'United Data'!$C$3:$C$2150,$A269,'United Data'!$B$3:$B$2150,"&lt;&gt;P")&gt;0,1,0)</f>
        <v>0</v>
      </c>
      <c r="R269">
        <f>IF(COUNTIFS('United Data'!$A$3:$A$2150,R$1,'United Data'!$C$3:$C$2150,$A269,'United Data'!$B$3:$B$2150,"&lt;&gt;P")&gt;0,1,0)</f>
        <v>0</v>
      </c>
      <c r="S269">
        <f t="shared" si="8"/>
        <v>4</v>
      </c>
      <c r="T269">
        <f t="shared" si="9"/>
        <v>1</v>
      </c>
    </row>
    <row r="270" spans="1:20" x14ac:dyDescent="0.2">
      <c r="A270" t="s">
        <v>315</v>
      </c>
      <c r="B270">
        <f>IF(COUNTIFS('United Data'!$A$3:$A$2150,B$1,'United Data'!$C$3:$C$2150,$A270,'United Data'!$B$3:$B$2150,"&lt;&gt;P")&gt;0,1,0)</f>
        <v>0</v>
      </c>
      <c r="C270">
        <f>IF(COUNTIFS('United Data'!$A$3:$A$2150,C$1,'United Data'!$C$3:$C$2150,$A270,'United Data'!$B$3:$B$2150,"&lt;&gt;P")&gt;0,1,0)</f>
        <v>0</v>
      </c>
      <c r="D270">
        <f>IF(COUNTIFS('United Data'!$A$3:$A$2150,D$1,'United Data'!$C$3:$C$2150,$A270,'United Data'!$B$3:$B$2150,"&lt;&gt;P")&gt;0,1,0)</f>
        <v>1</v>
      </c>
      <c r="E270">
        <f>IF(COUNTIFS('United Data'!$A$3:$A$2150,E$1,'United Data'!$C$3:$C$2150,$A270,'United Data'!$B$3:$B$2150,"&lt;&gt;P")&gt;0,1,0)</f>
        <v>0</v>
      </c>
      <c r="F270">
        <f>IF(COUNTIFS('United Data'!$A$3:$A$2150,F$1,'United Data'!$C$3:$C$2150,$A270,'United Data'!$B$3:$B$2150,"&lt;&gt;P")&gt;0,1,0)</f>
        <v>0</v>
      </c>
      <c r="G270">
        <f>IF(COUNTIFS('United Data'!$A$3:$A$2150,G$1,'United Data'!$C$3:$C$2150,$A270,'United Data'!$B$3:$B$2150,"&lt;&gt;P")&gt;0,1,0)</f>
        <v>0</v>
      </c>
      <c r="H270">
        <f>IF(COUNTIFS('United Data'!$A$3:$A$2150,H$1,'United Data'!$C$3:$C$2150,$A270,'United Data'!$B$3:$B$2150,"&lt;&gt;P")&gt;0,1,0)</f>
        <v>0</v>
      </c>
      <c r="I270">
        <f>IF(COUNTIFS('United Data'!$A$3:$A$2150,I$1,'United Data'!$C$3:$C$2150,$A270,'United Data'!$B$3:$B$2150,"&lt;&gt;P")&gt;0,1,0)</f>
        <v>0</v>
      </c>
      <c r="J270">
        <f>IF(COUNTIFS('United Data'!$A$3:$A$2150,J$1,'United Data'!$C$3:$C$2150,$A270,'United Data'!$B$3:$B$2150,"&lt;&gt;P")&gt;0,1,0)</f>
        <v>0</v>
      </c>
      <c r="K270">
        <f>IF(COUNTIFS('United Data'!$A$3:$A$2150,K$1,'United Data'!$C$3:$C$2150,$A270,'United Data'!$B$3:$B$2150,"&lt;&gt;P")&gt;0,1,0)</f>
        <v>0</v>
      </c>
      <c r="L270">
        <f>IF(COUNTIFS('United Data'!$A$3:$A$2150,L$1,'United Data'!$C$3:$C$2150,$A270,'United Data'!$B$3:$B$2150,"&lt;&gt;P")&gt;0,1,0)</f>
        <v>0</v>
      </c>
      <c r="M270">
        <f>IF(COUNTIFS('United Data'!$A$3:$A$2150,M$1,'United Data'!$C$3:$C$2150,$A270,'United Data'!$B$3:$B$2150,"&lt;&gt;P")&gt;0,1,0)</f>
        <v>0</v>
      </c>
      <c r="N270">
        <f>IF(COUNTIFS('United Data'!$A$3:$A$2150,N$1,'United Data'!$C$3:$C$2150,$A270,'United Data'!$B$3:$B$2150,"&lt;&gt;P")&gt;0,1,0)</f>
        <v>0</v>
      </c>
      <c r="O270">
        <f>IF(COUNTIFS('United Data'!$A$3:$A$2150,O$1,'United Data'!$C$3:$C$2150,$A270,'United Data'!$B$3:$B$2150,"&lt;&gt;P")&gt;0,1,0)</f>
        <v>0</v>
      </c>
      <c r="P270">
        <f>IF(COUNTIFS('United Data'!$A$3:$A$2150,P$1,'United Data'!$C$3:$C$2150,$A270,'United Data'!$B$3:$B$2150,"&lt;&gt;P")&gt;0,1,0)</f>
        <v>0</v>
      </c>
      <c r="Q270">
        <f>IF(COUNTIFS('United Data'!$A$3:$A$2150,Q$1,'United Data'!$C$3:$C$2150,$A270,'United Data'!$B$3:$B$2150,"&lt;&gt;P")&gt;0,1,0)</f>
        <v>0</v>
      </c>
      <c r="R270">
        <f>IF(COUNTIFS('United Data'!$A$3:$A$2150,R$1,'United Data'!$C$3:$C$2150,$A270,'United Data'!$B$3:$B$2150,"&lt;&gt;P")&gt;0,1,0)</f>
        <v>0</v>
      </c>
      <c r="S270">
        <f t="shared" si="8"/>
        <v>1</v>
      </c>
      <c r="T270">
        <f t="shared" si="9"/>
        <v>1</v>
      </c>
    </row>
    <row r="271" spans="1:20" x14ac:dyDescent="0.2">
      <c r="A271" t="s">
        <v>316</v>
      </c>
      <c r="B271">
        <f>IF(COUNTIFS('United Data'!$A$3:$A$2150,B$1,'United Data'!$C$3:$C$2150,$A271,'United Data'!$B$3:$B$2150,"&lt;&gt;P")&gt;0,1,0)</f>
        <v>0</v>
      </c>
      <c r="C271">
        <f>IF(COUNTIFS('United Data'!$A$3:$A$2150,C$1,'United Data'!$C$3:$C$2150,$A271,'United Data'!$B$3:$B$2150,"&lt;&gt;P")&gt;0,1,0)</f>
        <v>0</v>
      </c>
      <c r="D271">
        <f>IF(COUNTIFS('United Data'!$A$3:$A$2150,D$1,'United Data'!$C$3:$C$2150,$A271,'United Data'!$B$3:$B$2150,"&lt;&gt;P")&gt;0,1,0)</f>
        <v>1</v>
      </c>
      <c r="E271">
        <f>IF(COUNTIFS('United Data'!$A$3:$A$2150,E$1,'United Data'!$C$3:$C$2150,$A271,'United Data'!$B$3:$B$2150,"&lt;&gt;P")&gt;0,1,0)</f>
        <v>0</v>
      </c>
      <c r="F271">
        <f>IF(COUNTIFS('United Data'!$A$3:$A$2150,F$1,'United Data'!$C$3:$C$2150,$A271,'United Data'!$B$3:$B$2150,"&lt;&gt;P")&gt;0,1,0)</f>
        <v>0</v>
      </c>
      <c r="G271">
        <f>IF(COUNTIFS('United Data'!$A$3:$A$2150,G$1,'United Data'!$C$3:$C$2150,$A271,'United Data'!$B$3:$B$2150,"&lt;&gt;P")&gt;0,1,0)</f>
        <v>0</v>
      </c>
      <c r="H271">
        <f>IF(COUNTIFS('United Data'!$A$3:$A$2150,H$1,'United Data'!$C$3:$C$2150,$A271,'United Data'!$B$3:$B$2150,"&lt;&gt;P")&gt;0,1,0)</f>
        <v>0</v>
      </c>
      <c r="I271">
        <f>IF(COUNTIFS('United Data'!$A$3:$A$2150,I$1,'United Data'!$C$3:$C$2150,$A271,'United Data'!$B$3:$B$2150,"&lt;&gt;P")&gt;0,1,0)</f>
        <v>0</v>
      </c>
      <c r="J271">
        <f>IF(COUNTIFS('United Data'!$A$3:$A$2150,J$1,'United Data'!$C$3:$C$2150,$A271,'United Data'!$B$3:$B$2150,"&lt;&gt;P")&gt;0,1,0)</f>
        <v>0</v>
      </c>
      <c r="K271">
        <f>IF(COUNTIFS('United Data'!$A$3:$A$2150,K$1,'United Data'!$C$3:$C$2150,$A271,'United Data'!$B$3:$B$2150,"&lt;&gt;P")&gt;0,1,0)</f>
        <v>0</v>
      </c>
      <c r="L271">
        <f>IF(COUNTIFS('United Data'!$A$3:$A$2150,L$1,'United Data'!$C$3:$C$2150,$A271,'United Data'!$B$3:$B$2150,"&lt;&gt;P")&gt;0,1,0)</f>
        <v>0</v>
      </c>
      <c r="M271">
        <f>IF(COUNTIFS('United Data'!$A$3:$A$2150,M$1,'United Data'!$C$3:$C$2150,$A271,'United Data'!$B$3:$B$2150,"&lt;&gt;P")&gt;0,1,0)</f>
        <v>0</v>
      </c>
      <c r="N271">
        <f>IF(COUNTIFS('United Data'!$A$3:$A$2150,N$1,'United Data'!$C$3:$C$2150,$A271,'United Data'!$B$3:$B$2150,"&lt;&gt;P")&gt;0,1,0)</f>
        <v>0</v>
      </c>
      <c r="O271">
        <f>IF(COUNTIFS('United Data'!$A$3:$A$2150,O$1,'United Data'!$C$3:$C$2150,$A271,'United Data'!$B$3:$B$2150,"&lt;&gt;P")&gt;0,1,0)</f>
        <v>0</v>
      </c>
      <c r="P271">
        <f>IF(COUNTIFS('United Data'!$A$3:$A$2150,P$1,'United Data'!$C$3:$C$2150,$A271,'United Data'!$B$3:$B$2150,"&lt;&gt;P")&gt;0,1,0)</f>
        <v>0</v>
      </c>
      <c r="Q271">
        <f>IF(COUNTIFS('United Data'!$A$3:$A$2150,Q$1,'United Data'!$C$3:$C$2150,$A271,'United Data'!$B$3:$B$2150,"&lt;&gt;P")&gt;0,1,0)</f>
        <v>0</v>
      </c>
      <c r="R271">
        <f>IF(COUNTIFS('United Data'!$A$3:$A$2150,R$1,'United Data'!$C$3:$C$2150,$A271,'United Data'!$B$3:$B$2150,"&lt;&gt;P")&gt;0,1,0)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317</v>
      </c>
      <c r="B272">
        <f>IF(COUNTIFS('United Data'!$A$3:$A$2150,B$1,'United Data'!$C$3:$C$2150,$A272,'United Data'!$B$3:$B$2150,"&lt;&gt;P")&gt;0,1,0)</f>
        <v>1</v>
      </c>
      <c r="C272">
        <f>IF(COUNTIFS('United Data'!$A$3:$A$2150,C$1,'United Data'!$C$3:$C$2150,$A272,'United Data'!$B$3:$B$2150,"&lt;&gt;P")&gt;0,1,0)</f>
        <v>1</v>
      </c>
      <c r="D272">
        <f>IF(COUNTIFS('United Data'!$A$3:$A$2150,D$1,'United Data'!$C$3:$C$2150,$A272,'United Data'!$B$3:$B$2150,"&lt;&gt;P")&gt;0,1,0)</f>
        <v>1</v>
      </c>
      <c r="E272">
        <f>IF(COUNTIFS('United Data'!$A$3:$A$2150,E$1,'United Data'!$C$3:$C$2150,$A272,'United Data'!$B$3:$B$2150,"&lt;&gt;P")&gt;0,1,0)</f>
        <v>0</v>
      </c>
      <c r="F272">
        <f>IF(COUNTIFS('United Data'!$A$3:$A$2150,F$1,'United Data'!$C$3:$C$2150,$A272,'United Data'!$B$3:$B$2150,"&lt;&gt;P")&gt;0,1,0)</f>
        <v>0</v>
      </c>
      <c r="G272">
        <f>IF(COUNTIFS('United Data'!$A$3:$A$2150,G$1,'United Data'!$C$3:$C$2150,$A272,'United Data'!$B$3:$B$2150,"&lt;&gt;P")&gt;0,1,0)</f>
        <v>0</v>
      </c>
      <c r="H272">
        <f>IF(COUNTIFS('United Data'!$A$3:$A$2150,H$1,'United Data'!$C$3:$C$2150,$A272,'United Data'!$B$3:$B$2150,"&lt;&gt;P")&gt;0,1,0)</f>
        <v>0</v>
      </c>
      <c r="I272">
        <f>IF(COUNTIFS('United Data'!$A$3:$A$2150,I$1,'United Data'!$C$3:$C$2150,$A272,'United Data'!$B$3:$B$2150,"&lt;&gt;P")&gt;0,1,0)</f>
        <v>0</v>
      </c>
      <c r="J272">
        <f>IF(COUNTIFS('United Data'!$A$3:$A$2150,J$1,'United Data'!$C$3:$C$2150,$A272,'United Data'!$B$3:$B$2150,"&lt;&gt;P")&gt;0,1,0)</f>
        <v>0</v>
      </c>
      <c r="K272">
        <f>IF(COUNTIFS('United Data'!$A$3:$A$2150,K$1,'United Data'!$C$3:$C$2150,$A272,'United Data'!$B$3:$B$2150,"&lt;&gt;P")&gt;0,1,0)</f>
        <v>1</v>
      </c>
      <c r="L272">
        <f>IF(COUNTIFS('United Data'!$A$3:$A$2150,L$1,'United Data'!$C$3:$C$2150,$A272,'United Data'!$B$3:$B$2150,"&lt;&gt;P")&gt;0,1,0)</f>
        <v>0</v>
      </c>
      <c r="M272">
        <f>IF(COUNTIFS('United Data'!$A$3:$A$2150,M$1,'United Data'!$C$3:$C$2150,$A272,'United Data'!$B$3:$B$2150,"&lt;&gt;P")&gt;0,1,0)</f>
        <v>1</v>
      </c>
      <c r="N272">
        <f>IF(COUNTIFS('United Data'!$A$3:$A$2150,N$1,'United Data'!$C$3:$C$2150,$A272,'United Data'!$B$3:$B$2150,"&lt;&gt;P")&gt;0,1,0)</f>
        <v>0</v>
      </c>
      <c r="O272">
        <f>IF(COUNTIFS('United Data'!$A$3:$A$2150,O$1,'United Data'!$C$3:$C$2150,$A272,'United Data'!$B$3:$B$2150,"&lt;&gt;P")&gt;0,1,0)</f>
        <v>0</v>
      </c>
      <c r="P272">
        <f>IF(COUNTIFS('United Data'!$A$3:$A$2150,P$1,'United Data'!$C$3:$C$2150,$A272,'United Data'!$B$3:$B$2150,"&lt;&gt;P")&gt;0,1,0)</f>
        <v>1</v>
      </c>
      <c r="Q272">
        <f>IF(COUNTIFS('United Data'!$A$3:$A$2150,Q$1,'United Data'!$C$3:$C$2150,$A272,'United Data'!$B$3:$B$2150,"&lt;&gt;P")&gt;0,1,0)</f>
        <v>1</v>
      </c>
      <c r="R272">
        <f>IF(COUNTIFS('United Data'!$A$3:$A$2150,R$1,'United Data'!$C$3:$C$2150,$A272,'United Data'!$B$3:$B$2150,"&lt;&gt;P")&gt;0,1,0)</f>
        <v>0</v>
      </c>
      <c r="S272">
        <f t="shared" si="8"/>
        <v>7</v>
      </c>
      <c r="T272">
        <f t="shared" si="9"/>
        <v>4</v>
      </c>
    </row>
    <row r="273" spans="1:20" x14ac:dyDescent="0.2">
      <c r="A273" t="s">
        <v>318</v>
      </c>
      <c r="B273">
        <f>IF(COUNTIFS('United Data'!$A$3:$A$2150,B$1,'United Data'!$C$3:$C$2150,$A273,'United Data'!$B$3:$B$2150,"&lt;&gt;P")&gt;0,1,0)</f>
        <v>0</v>
      </c>
      <c r="C273">
        <f>IF(COUNTIFS('United Data'!$A$3:$A$2150,C$1,'United Data'!$C$3:$C$2150,$A273,'United Data'!$B$3:$B$2150,"&lt;&gt;P")&gt;0,1,0)</f>
        <v>0</v>
      </c>
      <c r="D273">
        <f>IF(COUNTIFS('United Data'!$A$3:$A$2150,D$1,'United Data'!$C$3:$C$2150,$A273,'United Data'!$B$3:$B$2150,"&lt;&gt;P")&gt;0,1,0)</f>
        <v>0</v>
      </c>
      <c r="E273">
        <f>IF(COUNTIFS('United Data'!$A$3:$A$2150,E$1,'United Data'!$C$3:$C$2150,$A273,'United Data'!$B$3:$B$2150,"&lt;&gt;P")&gt;0,1,0)</f>
        <v>1</v>
      </c>
      <c r="F273">
        <f>IF(COUNTIFS('United Data'!$A$3:$A$2150,F$1,'United Data'!$C$3:$C$2150,$A273,'United Data'!$B$3:$B$2150,"&lt;&gt;P")&gt;0,1,0)</f>
        <v>1</v>
      </c>
      <c r="G273">
        <f>IF(COUNTIFS('United Data'!$A$3:$A$2150,G$1,'United Data'!$C$3:$C$2150,$A273,'United Data'!$B$3:$B$2150,"&lt;&gt;P")&gt;0,1,0)</f>
        <v>1</v>
      </c>
      <c r="H273">
        <f>IF(COUNTIFS('United Data'!$A$3:$A$2150,H$1,'United Data'!$C$3:$C$2150,$A273,'United Data'!$B$3:$B$2150,"&lt;&gt;P")&gt;0,1,0)</f>
        <v>1</v>
      </c>
      <c r="I273">
        <f>IF(COUNTIFS('United Data'!$A$3:$A$2150,I$1,'United Data'!$C$3:$C$2150,$A273,'United Data'!$B$3:$B$2150,"&lt;&gt;P")&gt;0,1,0)</f>
        <v>0</v>
      </c>
      <c r="J273">
        <f>IF(COUNTIFS('United Data'!$A$3:$A$2150,J$1,'United Data'!$C$3:$C$2150,$A273,'United Data'!$B$3:$B$2150,"&lt;&gt;P")&gt;0,1,0)</f>
        <v>0</v>
      </c>
      <c r="K273">
        <f>IF(COUNTIFS('United Data'!$A$3:$A$2150,K$1,'United Data'!$C$3:$C$2150,$A273,'United Data'!$B$3:$B$2150,"&lt;&gt;P")&gt;0,1,0)</f>
        <v>0</v>
      </c>
      <c r="L273">
        <f>IF(COUNTIFS('United Data'!$A$3:$A$2150,L$1,'United Data'!$C$3:$C$2150,$A273,'United Data'!$B$3:$B$2150,"&lt;&gt;P")&gt;0,1,0)</f>
        <v>0</v>
      </c>
      <c r="M273">
        <f>IF(COUNTIFS('United Data'!$A$3:$A$2150,M$1,'United Data'!$C$3:$C$2150,$A273,'United Data'!$B$3:$B$2150,"&lt;&gt;P")&gt;0,1,0)</f>
        <v>0</v>
      </c>
      <c r="N273">
        <f>IF(COUNTIFS('United Data'!$A$3:$A$2150,N$1,'United Data'!$C$3:$C$2150,$A273,'United Data'!$B$3:$B$2150,"&lt;&gt;P")&gt;0,1,0)</f>
        <v>0</v>
      </c>
      <c r="O273">
        <f>IF(COUNTIFS('United Data'!$A$3:$A$2150,O$1,'United Data'!$C$3:$C$2150,$A273,'United Data'!$B$3:$B$2150,"&lt;&gt;P")&gt;0,1,0)</f>
        <v>0</v>
      </c>
      <c r="P273">
        <f>IF(COUNTIFS('United Data'!$A$3:$A$2150,P$1,'United Data'!$C$3:$C$2150,$A273,'United Data'!$B$3:$B$2150,"&lt;&gt;P")&gt;0,1,0)</f>
        <v>0</v>
      </c>
      <c r="Q273">
        <f>IF(COUNTIFS('United Data'!$A$3:$A$2150,Q$1,'United Data'!$C$3:$C$2150,$A273,'United Data'!$B$3:$B$2150,"&lt;&gt;P")&gt;0,1,0)</f>
        <v>0</v>
      </c>
      <c r="R273">
        <f>IF(COUNTIFS('United Data'!$A$3:$A$2150,R$1,'United Data'!$C$3:$C$2150,$A273,'United Data'!$B$3:$B$2150,"&lt;&gt;P")&gt;0,1,0)</f>
        <v>0</v>
      </c>
      <c r="S273">
        <f t="shared" si="8"/>
        <v>4</v>
      </c>
      <c r="T273">
        <f t="shared" si="9"/>
        <v>1</v>
      </c>
    </row>
    <row r="274" spans="1:20" x14ac:dyDescent="0.2">
      <c r="A274" t="s">
        <v>319</v>
      </c>
      <c r="B274">
        <f>IF(COUNTIFS('United Data'!$A$3:$A$2150,B$1,'United Data'!$C$3:$C$2150,$A274,'United Data'!$B$3:$B$2150,"&lt;&gt;P")&gt;0,1,0)</f>
        <v>0</v>
      </c>
      <c r="C274">
        <f>IF(COUNTIFS('United Data'!$A$3:$A$2150,C$1,'United Data'!$C$3:$C$2150,$A274,'United Data'!$B$3:$B$2150,"&lt;&gt;P")&gt;0,1,0)</f>
        <v>0</v>
      </c>
      <c r="D274">
        <f>IF(COUNTIFS('United Data'!$A$3:$A$2150,D$1,'United Data'!$C$3:$C$2150,$A274,'United Data'!$B$3:$B$2150,"&lt;&gt;P")&gt;0,1,0)</f>
        <v>0</v>
      </c>
      <c r="E274">
        <f>IF(COUNTIFS('United Data'!$A$3:$A$2150,E$1,'United Data'!$C$3:$C$2150,$A274,'United Data'!$B$3:$B$2150,"&lt;&gt;P")&gt;0,1,0)</f>
        <v>1</v>
      </c>
      <c r="F274">
        <f>IF(COUNTIFS('United Data'!$A$3:$A$2150,F$1,'United Data'!$C$3:$C$2150,$A274,'United Data'!$B$3:$B$2150,"&lt;&gt;P")&gt;0,1,0)</f>
        <v>0</v>
      </c>
      <c r="G274">
        <f>IF(COUNTIFS('United Data'!$A$3:$A$2150,G$1,'United Data'!$C$3:$C$2150,$A274,'United Data'!$B$3:$B$2150,"&lt;&gt;P")&gt;0,1,0)</f>
        <v>0</v>
      </c>
      <c r="H274">
        <f>IF(COUNTIFS('United Data'!$A$3:$A$2150,H$1,'United Data'!$C$3:$C$2150,$A274,'United Data'!$B$3:$B$2150,"&lt;&gt;P")&gt;0,1,0)</f>
        <v>0</v>
      </c>
      <c r="I274">
        <f>IF(COUNTIFS('United Data'!$A$3:$A$2150,I$1,'United Data'!$C$3:$C$2150,$A274,'United Data'!$B$3:$B$2150,"&lt;&gt;P")&gt;0,1,0)</f>
        <v>0</v>
      </c>
      <c r="J274">
        <f>IF(COUNTIFS('United Data'!$A$3:$A$2150,J$1,'United Data'!$C$3:$C$2150,$A274,'United Data'!$B$3:$B$2150,"&lt;&gt;P")&gt;0,1,0)</f>
        <v>0</v>
      </c>
      <c r="K274">
        <f>IF(COUNTIFS('United Data'!$A$3:$A$2150,K$1,'United Data'!$C$3:$C$2150,$A274,'United Data'!$B$3:$B$2150,"&lt;&gt;P")&gt;0,1,0)</f>
        <v>0</v>
      </c>
      <c r="L274">
        <f>IF(COUNTIFS('United Data'!$A$3:$A$2150,L$1,'United Data'!$C$3:$C$2150,$A274,'United Data'!$B$3:$B$2150,"&lt;&gt;P")&gt;0,1,0)</f>
        <v>0</v>
      </c>
      <c r="M274">
        <f>IF(COUNTIFS('United Data'!$A$3:$A$2150,M$1,'United Data'!$C$3:$C$2150,$A274,'United Data'!$B$3:$B$2150,"&lt;&gt;P")&gt;0,1,0)</f>
        <v>0</v>
      </c>
      <c r="N274">
        <f>IF(COUNTIFS('United Data'!$A$3:$A$2150,N$1,'United Data'!$C$3:$C$2150,$A274,'United Data'!$B$3:$B$2150,"&lt;&gt;P")&gt;0,1,0)</f>
        <v>0</v>
      </c>
      <c r="O274">
        <f>IF(COUNTIFS('United Data'!$A$3:$A$2150,O$1,'United Data'!$C$3:$C$2150,$A274,'United Data'!$B$3:$B$2150,"&lt;&gt;P")&gt;0,1,0)</f>
        <v>0</v>
      </c>
      <c r="P274">
        <f>IF(COUNTIFS('United Data'!$A$3:$A$2150,P$1,'United Data'!$C$3:$C$2150,$A274,'United Data'!$B$3:$B$2150,"&lt;&gt;P")&gt;0,1,0)</f>
        <v>1</v>
      </c>
      <c r="Q274">
        <f>IF(COUNTIFS('United Data'!$A$3:$A$2150,Q$1,'United Data'!$C$3:$C$2150,$A274,'United Data'!$B$3:$B$2150,"&lt;&gt;P")&gt;0,1,0)</f>
        <v>0</v>
      </c>
      <c r="R274">
        <f>IF(COUNTIFS('United Data'!$A$3:$A$2150,R$1,'United Data'!$C$3:$C$2150,$A274,'United Data'!$B$3:$B$2150,"&lt;&gt;P")&gt;0,1,0)</f>
        <v>0</v>
      </c>
      <c r="S274">
        <f t="shared" si="8"/>
        <v>2</v>
      </c>
      <c r="T274">
        <f t="shared" si="9"/>
        <v>2</v>
      </c>
    </row>
    <row r="275" spans="1:20" x14ac:dyDescent="0.2">
      <c r="A275" t="s">
        <v>320</v>
      </c>
      <c r="B275">
        <f>IF(COUNTIFS('United Data'!$A$3:$A$2150,B$1,'United Data'!$C$3:$C$2150,$A275,'United Data'!$B$3:$B$2150,"&lt;&gt;P")&gt;0,1,0)</f>
        <v>0</v>
      </c>
      <c r="C275">
        <f>IF(COUNTIFS('United Data'!$A$3:$A$2150,C$1,'United Data'!$C$3:$C$2150,$A275,'United Data'!$B$3:$B$2150,"&lt;&gt;P")&gt;0,1,0)</f>
        <v>0</v>
      </c>
      <c r="D275">
        <f>IF(COUNTIFS('United Data'!$A$3:$A$2150,D$1,'United Data'!$C$3:$C$2150,$A275,'United Data'!$B$3:$B$2150,"&lt;&gt;P")&gt;0,1,0)</f>
        <v>1</v>
      </c>
      <c r="E275">
        <f>IF(COUNTIFS('United Data'!$A$3:$A$2150,E$1,'United Data'!$C$3:$C$2150,$A275,'United Data'!$B$3:$B$2150,"&lt;&gt;P")&gt;0,1,0)</f>
        <v>1</v>
      </c>
      <c r="F275">
        <f>IF(COUNTIFS('United Data'!$A$3:$A$2150,F$1,'United Data'!$C$3:$C$2150,$A275,'United Data'!$B$3:$B$2150,"&lt;&gt;P")&gt;0,1,0)</f>
        <v>1</v>
      </c>
      <c r="G275">
        <f>IF(COUNTIFS('United Data'!$A$3:$A$2150,G$1,'United Data'!$C$3:$C$2150,$A275,'United Data'!$B$3:$B$2150,"&lt;&gt;P")&gt;0,1,0)</f>
        <v>1</v>
      </c>
      <c r="H275">
        <f>IF(COUNTIFS('United Data'!$A$3:$A$2150,H$1,'United Data'!$C$3:$C$2150,$A275,'United Data'!$B$3:$B$2150,"&lt;&gt;P")&gt;0,1,0)</f>
        <v>0</v>
      </c>
      <c r="I275">
        <f>IF(COUNTIFS('United Data'!$A$3:$A$2150,I$1,'United Data'!$C$3:$C$2150,$A275,'United Data'!$B$3:$B$2150,"&lt;&gt;P")&gt;0,1,0)</f>
        <v>1</v>
      </c>
      <c r="J275">
        <f>IF(COUNTIFS('United Data'!$A$3:$A$2150,J$1,'United Data'!$C$3:$C$2150,$A275,'United Data'!$B$3:$B$2150,"&lt;&gt;P")&gt;0,1,0)</f>
        <v>0</v>
      </c>
      <c r="K275">
        <f>IF(COUNTIFS('United Data'!$A$3:$A$2150,K$1,'United Data'!$C$3:$C$2150,$A275,'United Data'!$B$3:$B$2150,"&lt;&gt;P")&gt;0,1,0)</f>
        <v>0</v>
      </c>
      <c r="L275">
        <f>IF(COUNTIFS('United Data'!$A$3:$A$2150,L$1,'United Data'!$C$3:$C$2150,$A275,'United Data'!$B$3:$B$2150,"&lt;&gt;P")&gt;0,1,0)</f>
        <v>0</v>
      </c>
      <c r="M275">
        <f>IF(COUNTIFS('United Data'!$A$3:$A$2150,M$1,'United Data'!$C$3:$C$2150,$A275,'United Data'!$B$3:$B$2150,"&lt;&gt;P")&gt;0,1,0)</f>
        <v>0</v>
      </c>
      <c r="N275">
        <f>IF(COUNTIFS('United Data'!$A$3:$A$2150,N$1,'United Data'!$C$3:$C$2150,$A275,'United Data'!$B$3:$B$2150,"&lt;&gt;P")&gt;0,1,0)</f>
        <v>0</v>
      </c>
      <c r="O275">
        <f>IF(COUNTIFS('United Data'!$A$3:$A$2150,O$1,'United Data'!$C$3:$C$2150,$A275,'United Data'!$B$3:$B$2150,"&lt;&gt;P")&gt;0,1,0)</f>
        <v>0</v>
      </c>
      <c r="P275">
        <f>IF(COUNTIFS('United Data'!$A$3:$A$2150,P$1,'United Data'!$C$3:$C$2150,$A275,'United Data'!$B$3:$B$2150,"&lt;&gt;P")&gt;0,1,0)</f>
        <v>0</v>
      </c>
      <c r="Q275">
        <f>IF(COUNTIFS('United Data'!$A$3:$A$2150,Q$1,'United Data'!$C$3:$C$2150,$A275,'United Data'!$B$3:$B$2150,"&lt;&gt;P")&gt;0,1,0)</f>
        <v>0</v>
      </c>
      <c r="R275">
        <f>IF(COUNTIFS('United Data'!$A$3:$A$2150,R$1,'United Data'!$C$3:$C$2150,$A275,'United Data'!$B$3:$B$2150,"&lt;&gt;P")&gt;0,1,0)</f>
        <v>0</v>
      </c>
      <c r="S275">
        <f t="shared" si="8"/>
        <v>5</v>
      </c>
      <c r="T275">
        <f t="shared" si="9"/>
        <v>2</v>
      </c>
    </row>
    <row r="276" spans="1:20" x14ac:dyDescent="0.2">
      <c r="A276" t="s">
        <v>321</v>
      </c>
      <c r="B276">
        <f>IF(COUNTIFS('United Data'!$A$3:$A$2150,B$1,'United Data'!$C$3:$C$2150,$A276,'United Data'!$B$3:$B$2150,"&lt;&gt;P")&gt;0,1,0)</f>
        <v>0</v>
      </c>
      <c r="C276">
        <f>IF(COUNTIFS('United Data'!$A$3:$A$2150,C$1,'United Data'!$C$3:$C$2150,$A276,'United Data'!$B$3:$B$2150,"&lt;&gt;P")&gt;0,1,0)</f>
        <v>0</v>
      </c>
      <c r="D276">
        <f>IF(COUNTIFS('United Data'!$A$3:$A$2150,D$1,'United Data'!$C$3:$C$2150,$A276,'United Data'!$B$3:$B$2150,"&lt;&gt;P")&gt;0,1,0)</f>
        <v>0</v>
      </c>
      <c r="E276">
        <f>IF(COUNTIFS('United Data'!$A$3:$A$2150,E$1,'United Data'!$C$3:$C$2150,$A276,'United Data'!$B$3:$B$2150,"&lt;&gt;P")&gt;0,1,0)</f>
        <v>1</v>
      </c>
      <c r="F276">
        <f>IF(COUNTIFS('United Data'!$A$3:$A$2150,F$1,'United Data'!$C$3:$C$2150,$A276,'United Data'!$B$3:$B$2150,"&lt;&gt;P")&gt;0,1,0)</f>
        <v>1</v>
      </c>
      <c r="G276">
        <f>IF(COUNTIFS('United Data'!$A$3:$A$2150,G$1,'United Data'!$C$3:$C$2150,$A276,'United Data'!$B$3:$B$2150,"&lt;&gt;P")&gt;0,1,0)</f>
        <v>1</v>
      </c>
      <c r="H276">
        <f>IF(COUNTIFS('United Data'!$A$3:$A$2150,H$1,'United Data'!$C$3:$C$2150,$A276,'United Data'!$B$3:$B$2150,"&lt;&gt;P")&gt;0,1,0)</f>
        <v>0</v>
      </c>
      <c r="I276">
        <f>IF(COUNTIFS('United Data'!$A$3:$A$2150,I$1,'United Data'!$C$3:$C$2150,$A276,'United Data'!$B$3:$B$2150,"&lt;&gt;P")&gt;0,1,0)</f>
        <v>1</v>
      </c>
      <c r="J276">
        <f>IF(COUNTIFS('United Data'!$A$3:$A$2150,J$1,'United Data'!$C$3:$C$2150,$A276,'United Data'!$B$3:$B$2150,"&lt;&gt;P")&gt;0,1,0)</f>
        <v>0</v>
      </c>
      <c r="K276">
        <f>IF(COUNTIFS('United Data'!$A$3:$A$2150,K$1,'United Data'!$C$3:$C$2150,$A276,'United Data'!$B$3:$B$2150,"&lt;&gt;P")&gt;0,1,0)</f>
        <v>0</v>
      </c>
      <c r="L276">
        <f>IF(COUNTIFS('United Data'!$A$3:$A$2150,L$1,'United Data'!$C$3:$C$2150,$A276,'United Data'!$B$3:$B$2150,"&lt;&gt;P")&gt;0,1,0)</f>
        <v>0</v>
      </c>
      <c r="M276">
        <f>IF(COUNTIFS('United Data'!$A$3:$A$2150,M$1,'United Data'!$C$3:$C$2150,$A276,'United Data'!$B$3:$B$2150,"&lt;&gt;P")&gt;0,1,0)</f>
        <v>0</v>
      </c>
      <c r="N276">
        <f>IF(COUNTIFS('United Data'!$A$3:$A$2150,N$1,'United Data'!$C$3:$C$2150,$A276,'United Data'!$B$3:$B$2150,"&lt;&gt;P")&gt;0,1,0)</f>
        <v>0</v>
      </c>
      <c r="O276">
        <f>IF(COUNTIFS('United Data'!$A$3:$A$2150,O$1,'United Data'!$C$3:$C$2150,$A276,'United Data'!$B$3:$B$2150,"&lt;&gt;P")&gt;0,1,0)</f>
        <v>0</v>
      </c>
      <c r="P276">
        <f>IF(COUNTIFS('United Data'!$A$3:$A$2150,P$1,'United Data'!$C$3:$C$2150,$A276,'United Data'!$B$3:$B$2150,"&lt;&gt;P")&gt;0,1,0)</f>
        <v>0</v>
      </c>
      <c r="Q276">
        <f>IF(COUNTIFS('United Data'!$A$3:$A$2150,Q$1,'United Data'!$C$3:$C$2150,$A276,'United Data'!$B$3:$B$2150,"&lt;&gt;P")&gt;0,1,0)</f>
        <v>0</v>
      </c>
      <c r="R276">
        <f>IF(COUNTIFS('United Data'!$A$3:$A$2150,R$1,'United Data'!$C$3:$C$2150,$A276,'United Data'!$B$3:$B$2150,"&lt;&gt;P")&gt;0,1,0)</f>
        <v>0</v>
      </c>
      <c r="S276">
        <f t="shared" si="8"/>
        <v>4</v>
      </c>
      <c r="T276">
        <f t="shared" si="9"/>
        <v>2</v>
      </c>
    </row>
    <row r="277" spans="1:20" x14ac:dyDescent="0.2">
      <c r="A277" t="s">
        <v>322</v>
      </c>
      <c r="B277">
        <f>IF(COUNTIFS('United Data'!$A$3:$A$2150,B$1,'United Data'!$C$3:$C$2150,$A277,'United Data'!$B$3:$B$2150,"&lt;&gt;P")&gt;0,1,0)</f>
        <v>0</v>
      </c>
      <c r="C277">
        <f>IF(COUNTIFS('United Data'!$A$3:$A$2150,C$1,'United Data'!$C$3:$C$2150,$A277,'United Data'!$B$3:$B$2150,"&lt;&gt;P")&gt;0,1,0)</f>
        <v>0</v>
      </c>
      <c r="D277">
        <f>IF(COUNTIFS('United Data'!$A$3:$A$2150,D$1,'United Data'!$C$3:$C$2150,$A277,'United Data'!$B$3:$B$2150,"&lt;&gt;P")&gt;0,1,0)</f>
        <v>0</v>
      </c>
      <c r="E277">
        <f>IF(COUNTIFS('United Data'!$A$3:$A$2150,E$1,'United Data'!$C$3:$C$2150,$A277,'United Data'!$B$3:$B$2150,"&lt;&gt;P")&gt;0,1,0)</f>
        <v>1</v>
      </c>
      <c r="F277">
        <f>IF(COUNTIFS('United Data'!$A$3:$A$2150,F$1,'United Data'!$C$3:$C$2150,$A277,'United Data'!$B$3:$B$2150,"&lt;&gt;P")&gt;0,1,0)</f>
        <v>1</v>
      </c>
      <c r="G277">
        <f>IF(COUNTIFS('United Data'!$A$3:$A$2150,G$1,'United Data'!$C$3:$C$2150,$A277,'United Data'!$B$3:$B$2150,"&lt;&gt;P")&gt;0,1,0)</f>
        <v>1</v>
      </c>
      <c r="H277">
        <f>IF(COUNTIFS('United Data'!$A$3:$A$2150,H$1,'United Data'!$C$3:$C$2150,$A277,'United Data'!$B$3:$B$2150,"&lt;&gt;P")&gt;0,1,0)</f>
        <v>0</v>
      </c>
      <c r="I277">
        <f>IF(COUNTIFS('United Data'!$A$3:$A$2150,I$1,'United Data'!$C$3:$C$2150,$A277,'United Data'!$B$3:$B$2150,"&lt;&gt;P")&gt;0,1,0)</f>
        <v>1</v>
      </c>
      <c r="J277">
        <f>IF(COUNTIFS('United Data'!$A$3:$A$2150,J$1,'United Data'!$C$3:$C$2150,$A277,'United Data'!$B$3:$B$2150,"&lt;&gt;P")&gt;0,1,0)</f>
        <v>0</v>
      </c>
      <c r="K277">
        <f>IF(COUNTIFS('United Data'!$A$3:$A$2150,K$1,'United Data'!$C$3:$C$2150,$A277,'United Data'!$B$3:$B$2150,"&lt;&gt;P")&gt;0,1,0)</f>
        <v>1</v>
      </c>
      <c r="L277">
        <f>IF(COUNTIFS('United Data'!$A$3:$A$2150,L$1,'United Data'!$C$3:$C$2150,$A277,'United Data'!$B$3:$B$2150,"&lt;&gt;P")&gt;0,1,0)</f>
        <v>0</v>
      </c>
      <c r="M277">
        <f>IF(COUNTIFS('United Data'!$A$3:$A$2150,M$1,'United Data'!$C$3:$C$2150,$A277,'United Data'!$B$3:$B$2150,"&lt;&gt;P")&gt;0,1,0)</f>
        <v>1</v>
      </c>
      <c r="N277">
        <f>IF(COUNTIFS('United Data'!$A$3:$A$2150,N$1,'United Data'!$C$3:$C$2150,$A277,'United Data'!$B$3:$B$2150,"&lt;&gt;P")&gt;0,1,0)</f>
        <v>0</v>
      </c>
      <c r="O277">
        <f>IF(COUNTIFS('United Data'!$A$3:$A$2150,O$1,'United Data'!$C$3:$C$2150,$A277,'United Data'!$B$3:$B$2150,"&lt;&gt;P")&gt;0,1,0)</f>
        <v>0</v>
      </c>
      <c r="P277">
        <f>IF(COUNTIFS('United Data'!$A$3:$A$2150,P$1,'United Data'!$C$3:$C$2150,$A277,'United Data'!$B$3:$B$2150,"&lt;&gt;P")&gt;0,1,0)</f>
        <v>1</v>
      </c>
      <c r="Q277">
        <f>IF(COUNTIFS('United Data'!$A$3:$A$2150,Q$1,'United Data'!$C$3:$C$2150,$A277,'United Data'!$B$3:$B$2150,"&lt;&gt;P")&gt;0,1,0)</f>
        <v>1</v>
      </c>
      <c r="R277">
        <f>IF(COUNTIFS('United Data'!$A$3:$A$2150,R$1,'United Data'!$C$3:$C$2150,$A277,'United Data'!$B$3:$B$2150,"&lt;&gt;P")&gt;0,1,0)</f>
        <v>0</v>
      </c>
      <c r="S277">
        <f t="shared" si="8"/>
        <v>8</v>
      </c>
      <c r="T277">
        <f t="shared" si="9"/>
        <v>5</v>
      </c>
    </row>
    <row r="278" spans="1:20" x14ac:dyDescent="0.2">
      <c r="A278" t="s">
        <v>323</v>
      </c>
      <c r="B278">
        <f>IF(COUNTIFS('United Data'!$A$3:$A$2150,B$1,'United Data'!$C$3:$C$2150,$A278,'United Data'!$B$3:$B$2150,"&lt;&gt;P")&gt;0,1,0)</f>
        <v>0</v>
      </c>
      <c r="C278">
        <f>IF(COUNTIFS('United Data'!$A$3:$A$2150,C$1,'United Data'!$C$3:$C$2150,$A278,'United Data'!$B$3:$B$2150,"&lt;&gt;P")&gt;0,1,0)</f>
        <v>0</v>
      </c>
      <c r="D278">
        <f>IF(COUNTIFS('United Data'!$A$3:$A$2150,D$1,'United Data'!$C$3:$C$2150,$A278,'United Data'!$B$3:$B$2150,"&lt;&gt;P")&gt;0,1,0)</f>
        <v>0</v>
      </c>
      <c r="E278">
        <f>IF(COUNTIFS('United Data'!$A$3:$A$2150,E$1,'United Data'!$C$3:$C$2150,$A278,'United Data'!$B$3:$B$2150,"&lt;&gt;P")&gt;0,1,0)</f>
        <v>0</v>
      </c>
      <c r="F278">
        <f>IF(COUNTIFS('United Data'!$A$3:$A$2150,F$1,'United Data'!$C$3:$C$2150,$A278,'United Data'!$B$3:$B$2150,"&lt;&gt;P")&gt;0,1,0)</f>
        <v>1</v>
      </c>
      <c r="G278">
        <f>IF(COUNTIFS('United Data'!$A$3:$A$2150,G$1,'United Data'!$C$3:$C$2150,$A278,'United Data'!$B$3:$B$2150,"&lt;&gt;P")&gt;0,1,0)</f>
        <v>0</v>
      </c>
      <c r="H278">
        <f>IF(COUNTIFS('United Data'!$A$3:$A$2150,H$1,'United Data'!$C$3:$C$2150,$A278,'United Data'!$B$3:$B$2150,"&lt;&gt;P")&gt;0,1,0)</f>
        <v>0</v>
      </c>
      <c r="I278">
        <f>IF(COUNTIFS('United Data'!$A$3:$A$2150,I$1,'United Data'!$C$3:$C$2150,$A278,'United Data'!$B$3:$B$2150,"&lt;&gt;P")&gt;0,1,0)</f>
        <v>0</v>
      </c>
      <c r="J278">
        <f>IF(COUNTIFS('United Data'!$A$3:$A$2150,J$1,'United Data'!$C$3:$C$2150,$A278,'United Data'!$B$3:$B$2150,"&lt;&gt;P")&gt;0,1,0)</f>
        <v>0</v>
      </c>
      <c r="K278">
        <f>IF(COUNTIFS('United Data'!$A$3:$A$2150,K$1,'United Data'!$C$3:$C$2150,$A278,'United Data'!$B$3:$B$2150,"&lt;&gt;P")&gt;0,1,0)</f>
        <v>0</v>
      </c>
      <c r="L278">
        <f>IF(COUNTIFS('United Data'!$A$3:$A$2150,L$1,'United Data'!$C$3:$C$2150,$A278,'United Data'!$B$3:$B$2150,"&lt;&gt;P")&gt;0,1,0)</f>
        <v>0</v>
      </c>
      <c r="M278">
        <f>IF(COUNTIFS('United Data'!$A$3:$A$2150,M$1,'United Data'!$C$3:$C$2150,$A278,'United Data'!$B$3:$B$2150,"&lt;&gt;P")&gt;0,1,0)</f>
        <v>0</v>
      </c>
      <c r="N278">
        <f>IF(COUNTIFS('United Data'!$A$3:$A$2150,N$1,'United Data'!$C$3:$C$2150,$A278,'United Data'!$B$3:$B$2150,"&lt;&gt;P")&gt;0,1,0)</f>
        <v>0</v>
      </c>
      <c r="O278">
        <f>IF(COUNTIFS('United Data'!$A$3:$A$2150,O$1,'United Data'!$C$3:$C$2150,$A278,'United Data'!$B$3:$B$2150,"&lt;&gt;P")&gt;0,1,0)</f>
        <v>0</v>
      </c>
      <c r="P278">
        <f>IF(COUNTIFS('United Data'!$A$3:$A$2150,P$1,'United Data'!$C$3:$C$2150,$A278,'United Data'!$B$3:$B$2150,"&lt;&gt;P")&gt;0,1,0)</f>
        <v>0</v>
      </c>
      <c r="Q278">
        <f>IF(COUNTIFS('United Data'!$A$3:$A$2150,Q$1,'United Data'!$C$3:$C$2150,$A278,'United Data'!$B$3:$B$2150,"&lt;&gt;P")&gt;0,1,0)</f>
        <v>0</v>
      </c>
      <c r="R278">
        <f>IF(COUNTIFS('United Data'!$A$3:$A$2150,R$1,'United Data'!$C$3:$C$2150,$A278,'United Data'!$B$3:$B$2150,"&lt;&gt;P")&gt;0,1,0)</f>
        <v>0</v>
      </c>
      <c r="S278">
        <f t="shared" si="8"/>
        <v>1</v>
      </c>
      <c r="T278">
        <f t="shared" si="9"/>
        <v>1</v>
      </c>
    </row>
    <row r="279" spans="1:20" x14ac:dyDescent="0.2">
      <c r="A279" t="s">
        <v>324</v>
      </c>
      <c r="B279">
        <f>IF(COUNTIFS('United Data'!$A$3:$A$2150,B$1,'United Data'!$C$3:$C$2150,$A279,'United Data'!$B$3:$B$2150,"&lt;&gt;P")&gt;0,1,0)</f>
        <v>0</v>
      </c>
      <c r="C279">
        <f>IF(COUNTIFS('United Data'!$A$3:$A$2150,C$1,'United Data'!$C$3:$C$2150,$A279,'United Data'!$B$3:$B$2150,"&lt;&gt;P")&gt;0,1,0)</f>
        <v>0</v>
      </c>
      <c r="D279">
        <f>IF(COUNTIFS('United Data'!$A$3:$A$2150,D$1,'United Data'!$C$3:$C$2150,$A279,'United Data'!$B$3:$B$2150,"&lt;&gt;P")&gt;0,1,0)</f>
        <v>0</v>
      </c>
      <c r="E279">
        <f>IF(COUNTIFS('United Data'!$A$3:$A$2150,E$1,'United Data'!$C$3:$C$2150,$A279,'United Data'!$B$3:$B$2150,"&lt;&gt;P")&gt;0,1,0)</f>
        <v>0</v>
      </c>
      <c r="F279">
        <f>IF(COUNTIFS('United Data'!$A$3:$A$2150,F$1,'United Data'!$C$3:$C$2150,$A279,'United Data'!$B$3:$B$2150,"&lt;&gt;P")&gt;0,1,0)</f>
        <v>1</v>
      </c>
      <c r="G279">
        <f>IF(COUNTIFS('United Data'!$A$3:$A$2150,G$1,'United Data'!$C$3:$C$2150,$A279,'United Data'!$B$3:$B$2150,"&lt;&gt;P")&gt;0,1,0)</f>
        <v>0</v>
      </c>
      <c r="H279">
        <f>IF(COUNTIFS('United Data'!$A$3:$A$2150,H$1,'United Data'!$C$3:$C$2150,$A279,'United Data'!$B$3:$B$2150,"&lt;&gt;P")&gt;0,1,0)</f>
        <v>0</v>
      </c>
      <c r="I279">
        <f>IF(COUNTIFS('United Data'!$A$3:$A$2150,I$1,'United Data'!$C$3:$C$2150,$A279,'United Data'!$B$3:$B$2150,"&lt;&gt;P")&gt;0,1,0)</f>
        <v>0</v>
      </c>
      <c r="J279">
        <f>IF(COUNTIFS('United Data'!$A$3:$A$2150,J$1,'United Data'!$C$3:$C$2150,$A279,'United Data'!$B$3:$B$2150,"&lt;&gt;P")&gt;0,1,0)</f>
        <v>0</v>
      </c>
      <c r="K279">
        <f>IF(COUNTIFS('United Data'!$A$3:$A$2150,K$1,'United Data'!$C$3:$C$2150,$A279,'United Data'!$B$3:$B$2150,"&lt;&gt;P")&gt;0,1,0)</f>
        <v>0</v>
      </c>
      <c r="L279">
        <f>IF(COUNTIFS('United Data'!$A$3:$A$2150,L$1,'United Data'!$C$3:$C$2150,$A279,'United Data'!$B$3:$B$2150,"&lt;&gt;P")&gt;0,1,0)</f>
        <v>0</v>
      </c>
      <c r="M279">
        <f>IF(COUNTIFS('United Data'!$A$3:$A$2150,M$1,'United Data'!$C$3:$C$2150,$A279,'United Data'!$B$3:$B$2150,"&lt;&gt;P")&gt;0,1,0)</f>
        <v>0</v>
      </c>
      <c r="N279">
        <f>IF(COUNTIFS('United Data'!$A$3:$A$2150,N$1,'United Data'!$C$3:$C$2150,$A279,'United Data'!$B$3:$B$2150,"&lt;&gt;P")&gt;0,1,0)</f>
        <v>0</v>
      </c>
      <c r="O279">
        <f>IF(COUNTIFS('United Data'!$A$3:$A$2150,O$1,'United Data'!$C$3:$C$2150,$A279,'United Data'!$B$3:$B$2150,"&lt;&gt;P")&gt;0,1,0)</f>
        <v>0</v>
      </c>
      <c r="P279">
        <f>IF(COUNTIFS('United Data'!$A$3:$A$2150,P$1,'United Data'!$C$3:$C$2150,$A279,'United Data'!$B$3:$B$2150,"&lt;&gt;P")&gt;0,1,0)</f>
        <v>0</v>
      </c>
      <c r="Q279">
        <f>IF(COUNTIFS('United Data'!$A$3:$A$2150,Q$1,'United Data'!$C$3:$C$2150,$A279,'United Data'!$B$3:$B$2150,"&lt;&gt;P")&gt;0,1,0)</f>
        <v>0</v>
      </c>
      <c r="R279">
        <f>IF(COUNTIFS('United Data'!$A$3:$A$2150,R$1,'United Data'!$C$3:$C$2150,$A279,'United Data'!$B$3:$B$2150,"&lt;&gt;P")&gt;0,1,0)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325</v>
      </c>
      <c r="B280">
        <f>IF(COUNTIFS('United Data'!$A$3:$A$2150,B$1,'United Data'!$C$3:$C$2150,$A280,'United Data'!$B$3:$B$2150,"&lt;&gt;P")&gt;0,1,0)</f>
        <v>0</v>
      </c>
      <c r="C280">
        <f>IF(COUNTIFS('United Data'!$A$3:$A$2150,C$1,'United Data'!$C$3:$C$2150,$A280,'United Data'!$B$3:$B$2150,"&lt;&gt;P")&gt;0,1,0)</f>
        <v>0</v>
      </c>
      <c r="D280">
        <f>IF(COUNTIFS('United Data'!$A$3:$A$2150,D$1,'United Data'!$C$3:$C$2150,$A280,'United Data'!$B$3:$B$2150,"&lt;&gt;P")&gt;0,1,0)</f>
        <v>0</v>
      </c>
      <c r="E280">
        <f>IF(COUNTIFS('United Data'!$A$3:$A$2150,E$1,'United Data'!$C$3:$C$2150,$A280,'United Data'!$B$3:$B$2150,"&lt;&gt;P")&gt;0,1,0)</f>
        <v>0</v>
      </c>
      <c r="F280">
        <f>IF(COUNTIFS('United Data'!$A$3:$A$2150,F$1,'United Data'!$C$3:$C$2150,$A280,'United Data'!$B$3:$B$2150,"&lt;&gt;P")&gt;0,1,0)</f>
        <v>1</v>
      </c>
      <c r="G280">
        <f>IF(COUNTIFS('United Data'!$A$3:$A$2150,G$1,'United Data'!$C$3:$C$2150,$A280,'United Data'!$B$3:$B$2150,"&lt;&gt;P")&gt;0,1,0)</f>
        <v>0</v>
      </c>
      <c r="H280">
        <f>IF(COUNTIFS('United Data'!$A$3:$A$2150,H$1,'United Data'!$C$3:$C$2150,$A280,'United Data'!$B$3:$B$2150,"&lt;&gt;P")&gt;0,1,0)</f>
        <v>0</v>
      </c>
      <c r="I280">
        <f>IF(COUNTIFS('United Data'!$A$3:$A$2150,I$1,'United Data'!$C$3:$C$2150,$A280,'United Data'!$B$3:$B$2150,"&lt;&gt;P")&gt;0,1,0)</f>
        <v>0</v>
      </c>
      <c r="J280">
        <f>IF(COUNTIFS('United Data'!$A$3:$A$2150,J$1,'United Data'!$C$3:$C$2150,$A280,'United Data'!$B$3:$B$2150,"&lt;&gt;P")&gt;0,1,0)</f>
        <v>0</v>
      </c>
      <c r="K280">
        <f>IF(COUNTIFS('United Data'!$A$3:$A$2150,K$1,'United Data'!$C$3:$C$2150,$A280,'United Data'!$B$3:$B$2150,"&lt;&gt;P")&gt;0,1,0)</f>
        <v>0</v>
      </c>
      <c r="L280">
        <f>IF(COUNTIFS('United Data'!$A$3:$A$2150,L$1,'United Data'!$C$3:$C$2150,$A280,'United Data'!$B$3:$B$2150,"&lt;&gt;P")&gt;0,1,0)</f>
        <v>0</v>
      </c>
      <c r="M280">
        <f>IF(COUNTIFS('United Data'!$A$3:$A$2150,M$1,'United Data'!$C$3:$C$2150,$A280,'United Data'!$B$3:$B$2150,"&lt;&gt;P")&gt;0,1,0)</f>
        <v>0</v>
      </c>
      <c r="N280">
        <f>IF(COUNTIFS('United Data'!$A$3:$A$2150,N$1,'United Data'!$C$3:$C$2150,$A280,'United Data'!$B$3:$B$2150,"&lt;&gt;P")&gt;0,1,0)</f>
        <v>0</v>
      </c>
      <c r="O280">
        <f>IF(COUNTIFS('United Data'!$A$3:$A$2150,O$1,'United Data'!$C$3:$C$2150,$A280,'United Data'!$B$3:$B$2150,"&lt;&gt;P")&gt;0,1,0)</f>
        <v>0</v>
      </c>
      <c r="P280">
        <f>IF(COUNTIFS('United Data'!$A$3:$A$2150,P$1,'United Data'!$C$3:$C$2150,$A280,'United Data'!$B$3:$B$2150,"&lt;&gt;P")&gt;0,1,0)</f>
        <v>0</v>
      </c>
      <c r="Q280">
        <f>IF(COUNTIFS('United Data'!$A$3:$A$2150,Q$1,'United Data'!$C$3:$C$2150,$A280,'United Data'!$B$3:$B$2150,"&lt;&gt;P")&gt;0,1,0)</f>
        <v>0</v>
      </c>
      <c r="R280">
        <f>IF(COUNTIFS('United Data'!$A$3:$A$2150,R$1,'United Data'!$C$3:$C$2150,$A280,'United Data'!$B$3:$B$2150,"&lt;&gt;P")&gt;0,1,0)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326</v>
      </c>
      <c r="B281">
        <f>IF(COUNTIFS('United Data'!$A$3:$A$2150,B$1,'United Data'!$C$3:$C$2150,$A281,'United Data'!$B$3:$B$2150,"&lt;&gt;P")&gt;0,1,0)</f>
        <v>0</v>
      </c>
      <c r="C281">
        <f>IF(COUNTIFS('United Data'!$A$3:$A$2150,C$1,'United Data'!$C$3:$C$2150,$A281,'United Data'!$B$3:$B$2150,"&lt;&gt;P")&gt;0,1,0)</f>
        <v>0</v>
      </c>
      <c r="D281">
        <f>IF(COUNTIFS('United Data'!$A$3:$A$2150,D$1,'United Data'!$C$3:$C$2150,$A281,'United Data'!$B$3:$B$2150,"&lt;&gt;P")&gt;0,1,0)</f>
        <v>0</v>
      </c>
      <c r="E281">
        <f>IF(COUNTIFS('United Data'!$A$3:$A$2150,E$1,'United Data'!$C$3:$C$2150,$A281,'United Data'!$B$3:$B$2150,"&lt;&gt;P")&gt;0,1,0)</f>
        <v>0</v>
      </c>
      <c r="F281">
        <f>IF(COUNTIFS('United Data'!$A$3:$A$2150,F$1,'United Data'!$C$3:$C$2150,$A281,'United Data'!$B$3:$B$2150,"&lt;&gt;P")&gt;0,1,0)</f>
        <v>1</v>
      </c>
      <c r="G281">
        <f>IF(COUNTIFS('United Data'!$A$3:$A$2150,G$1,'United Data'!$C$3:$C$2150,$A281,'United Data'!$B$3:$B$2150,"&lt;&gt;P")&gt;0,1,0)</f>
        <v>0</v>
      </c>
      <c r="H281">
        <f>IF(COUNTIFS('United Data'!$A$3:$A$2150,H$1,'United Data'!$C$3:$C$2150,$A281,'United Data'!$B$3:$B$2150,"&lt;&gt;P")&gt;0,1,0)</f>
        <v>0</v>
      </c>
      <c r="I281">
        <f>IF(COUNTIFS('United Data'!$A$3:$A$2150,I$1,'United Data'!$C$3:$C$2150,$A281,'United Data'!$B$3:$B$2150,"&lt;&gt;P")&gt;0,1,0)</f>
        <v>0</v>
      </c>
      <c r="J281">
        <f>IF(COUNTIFS('United Data'!$A$3:$A$2150,J$1,'United Data'!$C$3:$C$2150,$A281,'United Data'!$B$3:$B$2150,"&lt;&gt;P")&gt;0,1,0)</f>
        <v>0</v>
      </c>
      <c r="K281">
        <f>IF(COUNTIFS('United Data'!$A$3:$A$2150,K$1,'United Data'!$C$3:$C$2150,$A281,'United Data'!$B$3:$B$2150,"&lt;&gt;P")&gt;0,1,0)</f>
        <v>0</v>
      </c>
      <c r="L281">
        <f>IF(COUNTIFS('United Data'!$A$3:$A$2150,L$1,'United Data'!$C$3:$C$2150,$A281,'United Data'!$B$3:$B$2150,"&lt;&gt;P")&gt;0,1,0)</f>
        <v>0</v>
      </c>
      <c r="M281">
        <f>IF(COUNTIFS('United Data'!$A$3:$A$2150,M$1,'United Data'!$C$3:$C$2150,$A281,'United Data'!$B$3:$B$2150,"&lt;&gt;P")&gt;0,1,0)</f>
        <v>0</v>
      </c>
      <c r="N281">
        <f>IF(COUNTIFS('United Data'!$A$3:$A$2150,N$1,'United Data'!$C$3:$C$2150,$A281,'United Data'!$B$3:$B$2150,"&lt;&gt;P")&gt;0,1,0)</f>
        <v>0</v>
      </c>
      <c r="O281">
        <f>IF(COUNTIFS('United Data'!$A$3:$A$2150,O$1,'United Data'!$C$3:$C$2150,$A281,'United Data'!$B$3:$B$2150,"&lt;&gt;P")&gt;0,1,0)</f>
        <v>0</v>
      </c>
      <c r="P281">
        <f>IF(COUNTIFS('United Data'!$A$3:$A$2150,P$1,'United Data'!$C$3:$C$2150,$A281,'United Data'!$B$3:$B$2150,"&lt;&gt;P")&gt;0,1,0)</f>
        <v>0</v>
      </c>
      <c r="Q281">
        <f>IF(COUNTIFS('United Data'!$A$3:$A$2150,Q$1,'United Data'!$C$3:$C$2150,$A281,'United Data'!$B$3:$B$2150,"&lt;&gt;P")&gt;0,1,0)</f>
        <v>0</v>
      </c>
      <c r="R281">
        <f>IF(COUNTIFS('United Data'!$A$3:$A$2150,R$1,'United Data'!$C$3:$C$2150,$A281,'United Data'!$B$3:$B$2150,"&lt;&gt;P")&gt;0,1,0)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327</v>
      </c>
      <c r="B282">
        <f>IF(COUNTIFS('United Data'!$A$3:$A$2150,B$1,'United Data'!$C$3:$C$2150,$A282,'United Data'!$B$3:$B$2150,"&lt;&gt;P")&gt;0,1,0)</f>
        <v>0</v>
      </c>
      <c r="C282">
        <f>IF(COUNTIFS('United Data'!$A$3:$A$2150,C$1,'United Data'!$C$3:$C$2150,$A282,'United Data'!$B$3:$B$2150,"&lt;&gt;P")&gt;0,1,0)</f>
        <v>0</v>
      </c>
      <c r="D282">
        <f>IF(COUNTIFS('United Data'!$A$3:$A$2150,D$1,'United Data'!$C$3:$C$2150,$A282,'United Data'!$B$3:$B$2150,"&lt;&gt;P")&gt;0,1,0)</f>
        <v>0</v>
      </c>
      <c r="E282">
        <f>IF(COUNTIFS('United Data'!$A$3:$A$2150,E$1,'United Data'!$C$3:$C$2150,$A282,'United Data'!$B$3:$B$2150,"&lt;&gt;P")&gt;0,1,0)</f>
        <v>0</v>
      </c>
      <c r="F282">
        <f>IF(COUNTIFS('United Data'!$A$3:$A$2150,F$1,'United Data'!$C$3:$C$2150,$A282,'United Data'!$B$3:$B$2150,"&lt;&gt;P")&gt;0,1,0)</f>
        <v>1</v>
      </c>
      <c r="G282">
        <f>IF(COUNTIFS('United Data'!$A$3:$A$2150,G$1,'United Data'!$C$3:$C$2150,$A282,'United Data'!$B$3:$B$2150,"&lt;&gt;P")&gt;0,1,0)</f>
        <v>1</v>
      </c>
      <c r="H282">
        <f>IF(COUNTIFS('United Data'!$A$3:$A$2150,H$1,'United Data'!$C$3:$C$2150,$A282,'United Data'!$B$3:$B$2150,"&lt;&gt;P")&gt;0,1,0)</f>
        <v>0</v>
      </c>
      <c r="I282">
        <f>IF(COUNTIFS('United Data'!$A$3:$A$2150,I$1,'United Data'!$C$3:$C$2150,$A282,'United Data'!$B$3:$B$2150,"&lt;&gt;P")&gt;0,1,0)</f>
        <v>0</v>
      </c>
      <c r="J282">
        <f>IF(COUNTIFS('United Data'!$A$3:$A$2150,J$1,'United Data'!$C$3:$C$2150,$A282,'United Data'!$B$3:$B$2150,"&lt;&gt;P")&gt;0,1,0)</f>
        <v>0</v>
      </c>
      <c r="K282">
        <f>IF(COUNTIFS('United Data'!$A$3:$A$2150,K$1,'United Data'!$C$3:$C$2150,$A282,'United Data'!$B$3:$B$2150,"&lt;&gt;P")&gt;0,1,0)</f>
        <v>0</v>
      </c>
      <c r="L282">
        <f>IF(COUNTIFS('United Data'!$A$3:$A$2150,L$1,'United Data'!$C$3:$C$2150,$A282,'United Data'!$B$3:$B$2150,"&lt;&gt;P")&gt;0,1,0)</f>
        <v>0</v>
      </c>
      <c r="M282">
        <f>IF(COUNTIFS('United Data'!$A$3:$A$2150,M$1,'United Data'!$C$3:$C$2150,$A282,'United Data'!$B$3:$B$2150,"&lt;&gt;P")&gt;0,1,0)</f>
        <v>0</v>
      </c>
      <c r="N282">
        <f>IF(COUNTIFS('United Data'!$A$3:$A$2150,N$1,'United Data'!$C$3:$C$2150,$A282,'United Data'!$B$3:$B$2150,"&lt;&gt;P")&gt;0,1,0)</f>
        <v>0</v>
      </c>
      <c r="O282">
        <f>IF(COUNTIFS('United Data'!$A$3:$A$2150,O$1,'United Data'!$C$3:$C$2150,$A282,'United Data'!$B$3:$B$2150,"&lt;&gt;P")&gt;0,1,0)</f>
        <v>0</v>
      </c>
      <c r="P282">
        <f>IF(COUNTIFS('United Data'!$A$3:$A$2150,P$1,'United Data'!$C$3:$C$2150,$A282,'United Data'!$B$3:$B$2150,"&lt;&gt;P")&gt;0,1,0)</f>
        <v>0</v>
      </c>
      <c r="Q282">
        <f>IF(COUNTIFS('United Data'!$A$3:$A$2150,Q$1,'United Data'!$C$3:$C$2150,$A282,'United Data'!$B$3:$B$2150,"&lt;&gt;P")&gt;0,1,0)</f>
        <v>0</v>
      </c>
      <c r="R282">
        <f>IF(COUNTIFS('United Data'!$A$3:$A$2150,R$1,'United Data'!$C$3:$C$2150,$A282,'United Data'!$B$3:$B$2150,"&lt;&gt;P")&gt;0,1,0)</f>
        <v>0</v>
      </c>
      <c r="S282">
        <f t="shared" si="8"/>
        <v>2</v>
      </c>
      <c r="T282">
        <f t="shared" si="9"/>
        <v>1</v>
      </c>
    </row>
    <row r="283" spans="1:20" x14ac:dyDescent="0.2">
      <c r="A283" t="s">
        <v>328</v>
      </c>
      <c r="B283">
        <f>IF(COUNTIFS('United Data'!$A$3:$A$2150,B$1,'United Data'!$C$3:$C$2150,$A283,'United Data'!$B$3:$B$2150,"&lt;&gt;P")&gt;0,1,0)</f>
        <v>0</v>
      </c>
      <c r="C283">
        <f>IF(COUNTIFS('United Data'!$A$3:$A$2150,C$1,'United Data'!$C$3:$C$2150,$A283,'United Data'!$B$3:$B$2150,"&lt;&gt;P")&gt;0,1,0)</f>
        <v>0</v>
      </c>
      <c r="D283">
        <f>IF(COUNTIFS('United Data'!$A$3:$A$2150,D$1,'United Data'!$C$3:$C$2150,$A283,'United Data'!$B$3:$B$2150,"&lt;&gt;P")&gt;0,1,0)</f>
        <v>0</v>
      </c>
      <c r="E283">
        <f>IF(COUNTIFS('United Data'!$A$3:$A$2150,E$1,'United Data'!$C$3:$C$2150,$A283,'United Data'!$B$3:$B$2150,"&lt;&gt;P")&gt;0,1,0)</f>
        <v>0</v>
      </c>
      <c r="F283">
        <f>IF(COUNTIFS('United Data'!$A$3:$A$2150,F$1,'United Data'!$C$3:$C$2150,$A283,'United Data'!$B$3:$B$2150,"&lt;&gt;P")&gt;0,1,0)</f>
        <v>0</v>
      </c>
      <c r="G283">
        <f>IF(COUNTIFS('United Data'!$A$3:$A$2150,G$1,'United Data'!$C$3:$C$2150,$A283,'United Data'!$B$3:$B$2150,"&lt;&gt;P")&gt;0,1,0)</f>
        <v>1</v>
      </c>
      <c r="H283">
        <f>IF(COUNTIFS('United Data'!$A$3:$A$2150,H$1,'United Data'!$C$3:$C$2150,$A283,'United Data'!$B$3:$B$2150,"&lt;&gt;P")&gt;0,1,0)</f>
        <v>0</v>
      </c>
      <c r="I283">
        <f>IF(COUNTIFS('United Data'!$A$3:$A$2150,I$1,'United Data'!$C$3:$C$2150,$A283,'United Data'!$B$3:$B$2150,"&lt;&gt;P")&gt;0,1,0)</f>
        <v>0</v>
      </c>
      <c r="J283">
        <f>IF(COUNTIFS('United Data'!$A$3:$A$2150,J$1,'United Data'!$C$3:$C$2150,$A283,'United Data'!$B$3:$B$2150,"&lt;&gt;P")&gt;0,1,0)</f>
        <v>0</v>
      </c>
      <c r="K283">
        <f>IF(COUNTIFS('United Data'!$A$3:$A$2150,K$1,'United Data'!$C$3:$C$2150,$A283,'United Data'!$B$3:$B$2150,"&lt;&gt;P")&gt;0,1,0)</f>
        <v>0</v>
      </c>
      <c r="L283">
        <f>IF(COUNTIFS('United Data'!$A$3:$A$2150,L$1,'United Data'!$C$3:$C$2150,$A283,'United Data'!$B$3:$B$2150,"&lt;&gt;P")&gt;0,1,0)</f>
        <v>0</v>
      </c>
      <c r="M283">
        <f>IF(COUNTIFS('United Data'!$A$3:$A$2150,M$1,'United Data'!$C$3:$C$2150,$A283,'United Data'!$B$3:$B$2150,"&lt;&gt;P")&gt;0,1,0)</f>
        <v>0</v>
      </c>
      <c r="N283">
        <f>IF(COUNTIFS('United Data'!$A$3:$A$2150,N$1,'United Data'!$C$3:$C$2150,$A283,'United Data'!$B$3:$B$2150,"&lt;&gt;P")&gt;0,1,0)</f>
        <v>0</v>
      </c>
      <c r="O283">
        <f>IF(COUNTIFS('United Data'!$A$3:$A$2150,O$1,'United Data'!$C$3:$C$2150,$A283,'United Data'!$B$3:$B$2150,"&lt;&gt;P")&gt;0,1,0)</f>
        <v>0</v>
      </c>
      <c r="P283">
        <f>IF(COUNTIFS('United Data'!$A$3:$A$2150,P$1,'United Data'!$C$3:$C$2150,$A283,'United Data'!$B$3:$B$2150,"&lt;&gt;P")&gt;0,1,0)</f>
        <v>0</v>
      </c>
      <c r="Q283">
        <f>IF(COUNTIFS('United Data'!$A$3:$A$2150,Q$1,'United Data'!$C$3:$C$2150,$A283,'United Data'!$B$3:$B$2150,"&lt;&gt;P")&gt;0,1,0)</f>
        <v>0</v>
      </c>
      <c r="R283">
        <f>IF(COUNTIFS('United Data'!$A$3:$A$2150,R$1,'United Data'!$C$3:$C$2150,$A283,'United Data'!$B$3:$B$2150,"&lt;&gt;P")&gt;0,1,0)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329</v>
      </c>
      <c r="B284">
        <f>IF(COUNTIFS('United Data'!$A$3:$A$2150,B$1,'United Data'!$C$3:$C$2150,$A284,'United Data'!$B$3:$B$2150,"&lt;&gt;P")&gt;0,1,0)</f>
        <v>0</v>
      </c>
      <c r="C284">
        <f>IF(COUNTIFS('United Data'!$A$3:$A$2150,C$1,'United Data'!$C$3:$C$2150,$A284,'United Data'!$B$3:$B$2150,"&lt;&gt;P")&gt;0,1,0)</f>
        <v>0</v>
      </c>
      <c r="D284">
        <f>IF(COUNTIFS('United Data'!$A$3:$A$2150,D$1,'United Data'!$C$3:$C$2150,$A284,'United Data'!$B$3:$B$2150,"&lt;&gt;P")&gt;0,1,0)</f>
        <v>0</v>
      </c>
      <c r="E284">
        <f>IF(COUNTIFS('United Data'!$A$3:$A$2150,E$1,'United Data'!$C$3:$C$2150,$A284,'United Data'!$B$3:$B$2150,"&lt;&gt;P")&gt;0,1,0)</f>
        <v>0</v>
      </c>
      <c r="F284">
        <f>IF(COUNTIFS('United Data'!$A$3:$A$2150,F$1,'United Data'!$C$3:$C$2150,$A284,'United Data'!$B$3:$B$2150,"&lt;&gt;P")&gt;0,1,0)</f>
        <v>0</v>
      </c>
      <c r="G284">
        <f>IF(COUNTIFS('United Data'!$A$3:$A$2150,G$1,'United Data'!$C$3:$C$2150,$A284,'United Data'!$B$3:$B$2150,"&lt;&gt;P")&gt;0,1,0)</f>
        <v>0</v>
      </c>
      <c r="H284">
        <f>IF(COUNTIFS('United Data'!$A$3:$A$2150,H$1,'United Data'!$C$3:$C$2150,$A284,'United Data'!$B$3:$B$2150,"&lt;&gt;P")&gt;0,1,0)</f>
        <v>1</v>
      </c>
      <c r="I284">
        <f>IF(COUNTIFS('United Data'!$A$3:$A$2150,I$1,'United Data'!$C$3:$C$2150,$A284,'United Data'!$B$3:$B$2150,"&lt;&gt;P")&gt;0,1,0)</f>
        <v>0</v>
      </c>
      <c r="J284">
        <f>IF(COUNTIFS('United Data'!$A$3:$A$2150,J$1,'United Data'!$C$3:$C$2150,$A284,'United Data'!$B$3:$B$2150,"&lt;&gt;P")&gt;0,1,0)</f>
        <v>0</v>
      </c>
      <c r="K284">
        <f>IF(COUNTIFS('United Data'!$A$3:$A$2150,K$1,'United Data'!$C$3:$C$2150,$A284,'United Data'!$B$3:$B$2150,"&lt;&gt;P")&gt;0,1,0)</f>
        <v>0</v>
      </c>
      <c r="L284">
        <f>IF(COUNTIFS('United Data'!$A$3:$A$2150,L$1,'United Data'!$C$3:$C$2150,$A284,'United Data'!$B$3:$B$2150,"&lt;&gt;P")&gt;0,1,0)</f>
        <v>0</v>
      </c>
      <c r="M284">
        <f>IF(COUNTIFS('United Data'!$A$3:$A$2150,M$1,'United Data'!$C$3:$C$2150,$A284,'United Data'!$B$3:$B$2150,"&lt;&gt;P")&gt;0,1,0)</f>
        <v>0</v>
      </c>
      <c r="N284">
        <f>IF(COUNTIFS('United Data'!$A$3:$A$2150,N$1,'United Data'!$C$3:$C$2150,$A284,'United Data'!$B$3:$B$2150,"&lt;&gt;P")&gt;0,1,0)</f>
        <v>0</v>
      </c>
      <c r="O284">
        <f>IF(COUNTIFS('United Data'!$A$3:$A$2150,O$1,'United Data'!$C$3:$C$2150,$A284,'United Data'!$B$3:$B$2150,"&lt;&gt;P")&gt;0,1,0)</f>
        <v>0</v>
      </c>
      <c r="P284">
        <f>IF(COUNTIFS('United Data'!$A$3:$A$2150,P$1,'United Data'!$C$3:$C$2150,$A284,'United Data'!$B$3:$B$2150,"&lt;&gt;P")&gt;0,1,0)</f>
        <v>0</v>
      </c>
      <c r="Q284">
        <f>IF(COUNTIFS('United Data'!$A$3:$A$2150,Q$1,'United Data'!$C$3:$C$2150,$A284,'United Data'!$B$3:$B$2150,"&lt;&gt;P")&gt;0,1,0)</f>
        <v>0</v>
      </c>
      <c r="R284">
        <f>IF(COUNTIFS('United Data'!$A$3:$A$2150,R$1,'United Data'!$C$3:$C$2150,$A284,'United Data'!$B$3:$B$2150,"&lt;&gt;P")&gt;0,1,0)</f>
        <v>0</v>
      </c>
      <c r="S284">
        <f t="shared" si="8"/>
        <v>1</v>
      </c>
      <c r="T284">
        <f t="shared" si="9"/>
        <v>1</v>
      </c>
    </row>
    <row r="285" spans="1:20" x14ac:dyDescent="0.2">
      <c r="A285" t="s">
        <v>330</v>
      </c>
      <c r="B285">
        <f>IF(COUNTIFS('United Data'!$A$3:$A$2150,B$1,'United Data'!$C$3:$C$2150,$A285,'United Data'!$B$3:$B$2150,"&lt;&gt;P")&gt;0,1,0)</f>
        <v>0</v>
      </c>
      <c r="C285">
        <f>IF(COUNTIFS('United Data'!$A$3:$A$2150,C$1,'United Data'!$C$3:$C$2150,$A285,'United Data'!$B$3:$B$2150,"&lt;&gt;P")&gt;0,1,0)</f>
        <v>0</v>
      </c>
      <c r="D285">
        <f>IF(COUNTIFS('United Data'!$A$3:$A$2150,D$1,'United Data'!$C$3:$C$2150,$A285,'United Data'!$B$3:$B$2150,"&lt;&gt;P")&gt;0,1,0)</f>
        <v>0</v>
      </c>
      <c r="E285">
        <f>IF(COUNTIFS('United Data'!$A$3:$A$2150,E$1,'United Data'!$C$3:$C$2150,$A285,'United Data'!$B$3:$B$2150,"&lt;&gt;P")&gt;0,1,0)</f>
        <v>0</v>
      </c>
      <c r="F285">
        <f>IF(COUNTIFS('United Data'!$A$3:$A$2150,F$1,'United Data'!$C$3:$C$2150,$A285,'United Data'!$B$3:$B$2150,"&lt;&gt;P")&gt;0,1,0)</f>
        <v>0</v>
      </c>
      <c r="G285">
        <f>IF(COUNTIFS('United Data'!$A$3:$A$2150,G$1,'United Data'!$C$3:$C$2150,$A285,'United Data'!$B$3:$B$2150,"&lt;&gt;P")&gt;0,1,0)</f>
        <v>0</v>
      </c>
      <c r="H285">
        <f>IF(COUNTIFS('United Data'!$A$3:$A$2150,H$1,'United Data'!$C$3:$C$2150,$A285,'United Data'!$B$3:$B$2150,"&lt;&gt;P")&gt;0,1,0)</f>
        <v>1</v>
      </c>
      <c r="I285">
        <f>IF(COUNTIFS('United Data'!$A$3:$A$2150,I$1,'United Data'!$C$3:$C$2150,$A285,'United Data'!$B$3:$B$2150,"&lt;&gt;P")&gt;0,1,0)</f>
        <v>0</v>
      </c>
      <c r="J285">
        <f>IF(COUNTIFS('United Data'!$A$3:$A$2150,J$1,'United Data'!$C$3:$C$2150,$A285,'United Data'!$B$3:$B$2150,"&lt;&gt;P")&gt;0,1,0)</f>
        <v>0</v>
      </c>
      <c r="K285">
        <f>IF(COUNTIFS('United Data'!$A$3:$A$2150,K$1,'United Data'!$C$3:$C$2150,$A285,'United Data'!$B$3:$B$2150,"&lt;&gt;P")&gt;0,1,0)</f>
        <v>0</v>
      </c>
      <c r="L285">
        <f>IF(COUNTIFS('United Data'!$A$3:$A$2150,L$1,'United Data'!$C$3:$C$2150,$A285,'United Data'!$B$3:$B$2150,"&lt;&gt;P")&gt;0,1,0)</f>
        <v>0</v>
      </c>
      <c r="M285">
        <f>IF(COUNTIFS('United Data'!$A$3:$A$2150,M$1,'United Data'!$C$3:$C$2150,$A285,'United Data'!$B$3:$B$2150,"&lt;&gt;P")&gt;0,1,0)</f>
        <v>0</v>
      </c>
      <c r="N285">
        <f>IF(COUNTIFS('United Data'!$A$3:$A$2150,N$1,'United Data'!$C$3:$C$2150,$A285,'United Data'!$B$3:$B$2150,"&lt;&gt;P")&gt;0,1,0)</f>
        <v>0</v>
      </c>
      <c r="O285">
        <f>IF(COUNTIFS('United Data'!$A$3:$A$2150,O$1,'United Data'!$C$3:$C$2150,$A285,'United Data'!$B$3:$B$2150,"&lt;&gt;P")&gt;0,1,0)</f>
        <v>0</v>
      </c>
      <c r="P285">
        <f>IF(COUNTIFS('United Data'!$A$3:$A$2150,P$1,'United Data'!$C$3:$C$2150,$A285,'United Data'!$B$3:$B$2150,"&lt;&gt;P")&gt;0,1,0)</f>
        <v>0</v>
      </c>
      <c r="Q285">
        <f>IF(COUNTIFS('United Data'!$A$3:$A$2150,Q$1,'United Data'!$C$3:$C$2150,$A285,'United Data'!$B$3:$B$2150,"&lt;&gt;P")&gt;0,1,0)</f>
        <v>0</v>
      </c>
      <c r="R285">
        <f>IF(COUNTIFS('United Data'!$A$3:$A$2150,R$1,'United Data'!$C$3:$C$2150,$A285,'United Data'!$B$3:$B$2150,"&lt;&gt;P")&gt;0,1,0)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331</v>
      </c>
      <c r="B286">
        <f>IF(COUNTIFS('United Data'!$A$3:$A$2150,B$1,'United Data'!$C$3:$C$2150,$A286,'United Data'!$B$3:$B$2150,"&lt;&gt;P")&gt;0,1,0)</f>
        <v>0</v>
      </c>
      <c r="C286">
        <f>IF(COUNTIFS('United Data'!$A$3:$A$2150,C$1,'United Data'!$C$3:$C$2150,$A286,'United Data'!$B$3:$B$2150,"&lt;&gt;P")&gt;0,1,0)</f>
        <v>0</v>
      </c>
      <c r="D286">
        <f>IF(COUNTIFS('United Data'!$A$3:$A$2150,D$1,'United Data'!$C$3:$C$2150,$A286,'United Data'!$B$3:$B$2150,"&lt;&gt;P")&gt;0,1,0)</f>
        <v>0</v>
      </c>
      <c r="E286">
        <f>IF(COUNTIFS('United Data'!$A$3:$A$2150,E$1,'United Data'!$C$3:$C$2150,$A286,'United Data'!$B$3:$B$2150,"&lt;&gt;P")&gt;0,1,0)</f>
        <v>0</v>
      </c>
      <c r="F286">
        <f>IF(COUNTIFS('United Data'!$A$3:$A$2150,F$1,'United Data'!$C$3:$C$2150,$A286,'United Data'!$B$3:$B$2150,"&lt;&gt;P")&gt;0,1,0)</f>
        <v>0</v>
      </c>
      <c r="G286">
        <f>IF(COUNTIFS('United Data'!$A$3:$A$2150,G$1,'United Data'!$C$3:$C$2150,$A286,'United Data'!$B$3:$B$2150,"&lt;&gt;P")&gt;0,1,0)</f>
        <v>0</v>
      </c>
      <c r="H286">
        <f>IF(COUNTIFS('United Data'!$A$3:$A$2150,H$1,'United Data'!$C$3:$C$2150,$A286,'United Data'!$B$3:$B$2150,"&lt;&gt;P")&gt;0,1,0)</f>
        <v>1</v>
      </c>
      <c r="I286">
        <f>IF(COUNTIFS('United Data'!$A$3:$A$2150,I$1,'United Data'!$C$3:$C$2150,$A286,'United Data'!$B$3:$B$2150,"&lt;&gt;P")&gt;0,1,0)</f>
        <v>0</v>
      </c>
      <c r="J286">
        <f>IF(COUNTIFS('United Data'!$A$3:$A$2150,J$1,'United Data'!$C$3:$C$2150,$A286,'United Data'!$B$3:$B$2150,"&lt;&gt;P")&gt;0,1,0)</f>
        <v>0</v>
      </c>
      <c r="K286">
        <f>IF(COUNTIFS('United Data'!$A$3:$A$2150,K$1,'United Data'!$C$3:$C$2150,$A286,'United Data'!$B$3:$B$2150,"&lt;&gt;P")&gt;0,1,0)</f>
        <v>0</v>
      </c>
      <c r="L286">
        <f>IF(COUNTIFS('United Data'!$A$3:$A$2150,L$1,'United Data'!$C$3:$C$2150,$A286,'United Data'!$B$3:$B$2150,"&lt;&gt;P")&gt;0,1,0)</f>
        <v>0</v>
      </c>
      <c r="M286">
        <f>IF(COUNTIFS('United Data'!$A$3:$A$2150,M$1,'United Data'!$C$3:$C$2150,$A286,'United Data'!$B$3:$B$2150,"&lt;&gt;P")&gt;0,1,0)</f>
        <v>0</v>
      </c>
      <c r="N286">
        <f>IF(COUNTIFS('United Data'!$A$3:$A$2150,N$1,'United Data'!$C$3:$C$2150,$A286,'United Data'!$B$3:$B$2150,"&lt;&gt;P")&gt;0,1,0)</f>
        <v>0</v>
      </c>
      <c r="O286">
        <f>IF(COUNTIFS('United Data'!$A$3:$A$2150,O$1,'United Data'!$C$3:$C$2150,$A286,'United Data'!$B$3:$B$2150,"&lt;&gt;P")&gt;0,1,0)</f>
        <v>0</v>
      </c>
      <c r="P286">
        <f>IF(COUNTIFS('United Data'!$A$3:$A$2150,P$1,'United Data'!$C$3:$C$2150,$A286,'United Data'!$B$3:$B$2150,"&lt;&gt;P")&gt;0,1,0)</f>
        <v>0</v>
      </c>
      <c r="Q286">
        <f>IF(COUNTIFS('United Data'!$A$3:$A$2150,Q$1,'United Data'!$C$3:$C$2150,$A286,'United Data'!$B$3:$B$2150,"&lt;&gt;P")&gt;0,1,0)</f>
        <v>0</v>
      </c>
      <c r="R286">
        <f>IF(COUNTIFS('United Data'!$A$3:$A$2150,R$1,'United Data'!$C$3:$C$2150,$A286,'United Data'!$B$3:$B$2150,"&lt;&gt;P")&gt;0,1,0)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332</v>
      </c>
      <c r="B287">
        <f>IF(COUNTIFS('United Data'!$A$3:$A$2150,B$1,'United Data'!$C$3:$C$2150,$A287,'United Data'!$B$3:$B$2150,"&lt;&gt;P")&gt;0,1,0)</f>
        <v>0</v>
      </c>
      <c r="C287">
        <f>IF(COUNTIFS('United Data'!$A$3:$A$2150,C$1,'United Data'!$C$3:$C$2150,$A287,'United Data'!$B$3:$B$2150,"&lt;&gt;P")&gt;0,1,0)</f>
        <v>0</v>
      </c>
      <c r="D287">
        <f>IF(COUNTIFS('United Data'!$A$3:$A$2150,D$1,'United Data'!$C$3:$C$2150,$A287,'United Data'!$B$3:$B$2150,"&lt;&gt;P")&gt;0,1,0)</f>
        <v>0</v>
      </c>
      <c r="E287">
        <f>IF(COUNTIFS('United Data'!$A$3:$A$2150,E$1,'United Data'!$C$3:$C$2150,$A287,'United Data'!$B$3:$B$2150,"&lt;&gt;P")&gt;0,1,0)</f>
        <v>0</v>
      </c>
      <c r="F287">
        <f>IF(COUNTIFS('United Data'!$A$3:$A$2150,F$1,'United Data'!$C$3:$C$2150,$A287,'United Data'!$B$3:$B$2150,"&lt;&gt;P")&gt;0,1,0)</f>
        <v>0</v>
      </c>
      <c r="G287">
        <f>IF(COUNTIFS('United Data'!$A$3:$A$2150,G$1,'United Data'!$C$3:$C$2150,$A287,'United Data'!$B$3:$B$2150,"&lt;&gt;P")&gt;0,1,0)</f>
        <v>0</v>
      </c>
      <c r="H287">
        <f>IF(COUNTIFS('United Data'!$A$3:$A$2150,H$1,'United Data'!$C$3:$C$2150,$A287,'United Data'!$B$3:$B$2150,"&lt;&gt;P")&gt;0,1,0)</f>
        <v>1</v>
      </c>
      <c r="I287">
        <f>IF(COUNTIFS('United Data'!$A$3:$A$2150,I$1,'United Data'!$C$3:$C$2150,$A287,'United Data'!$B$3:$B$2150,"&lt;&gt;P")&gt;0,1,0)</f>
        <v>0</v>
      </c>
      <c r="J287">
        <f>IF(COUNTIFS('United Data'!$A$3:$A$2150,J$1,'United Data'!$C$3:$C$2150,$A287,'United Data'!$B$3:$B$2150,"&lt;&gt;P")&gt;0,1,0)</f>
        <v>0</v>
      </c>
      <c r="K287">
        <f>IF(COUNTIFS('United Data'!$A$3:$A$2150,K$1,'United Data'!$C$3:$C$2150,$A287,'United Data'!$B$3:$B$2150,"&lt;&gt;P")&gt;0,1,0)</f>
        <v>0</v>
      </c>
      <c r="L287">
        <f>IF(COUNTIFS('United Data'!$A$3:$A$2150,L$1,'United Data'!$C$3:$C$2150,$A287,'United Data'!$B$3:$B$2150,"&lt;&gt;P")&gt;0,1,0)</f>
        <v>0</v>
      </c>
      <c r="M287">
        <f>IF(COUNTIFS('United Data'!$A$3:$A$2150,M$1,'United Data'!$C$3:$C$2150,$A287,'United Data'!$B$3:$B$2150,"&lt;&gt;P")&gt;0,1,0)</f>
        <v>0</v>
      </c>
      <c r="N287">
        <f>IF(COUNTIFS('United Data'!$A$3:$A$2150,N$1,'United Data'!$C$3:$C$2150,$A287,'United Data'!$B$3:$B$2150,"&lt;&gt;P")&gt;0,1,0)</f>
        <v>0</v>
      </c>
      <c r="O287">
        <f>IF(COUNTIFS('United Data'!$A$3:$A$2150,O$1,'United Data'!$C$3:$C$2150,$A287,'United Data'!$B$3:$B$2150,"&lt;&gt;P")&gt;0,1,0)</f>
        <v>0</v>
      </c>
      <c r="P287">
        <f>IF(COUNTIFS('United Data'!$A$3:$A$2150,P$1,'United Data'!$C$3:$C$2150,$A287,'United Data'!$B$3:$B$2150,"&lt;&gt;P")&gt;0,1,0)</f>
        <v>0</v>
      </c>
      <c r="Q287">
        <f>IF(COUNTIFS('United Data'!$A$3:$A$2150,Q$1,'United Data'!$C$3:$C$2150,$A287,'United Data'!$B$3:$B$2150,"&lt;&gt;P")&gt;0,1,0)</f>
        <v>0</v>
      </c>
      <c r="R287">
        <f>IF(COUNTIFS('United Data'!$A$3:$A$2150,R$1,'United Data'!$C$3:$C$2150,$A287,'United Data'!$B$3:$B$2150,"&lt;&gt;P")&gt;0,1,0)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333</v>
      </c>
      <c r="B288">
        <f>IF(COUNTIFS('United Data'!$A$3:$A$2150,B$1,'United Data'!$C$3:$C$2150,$A288,'United Data'!$B$3:$B$2150,"&lt;&gt;P")&gt;0,1,0)</f>
        <v>0</v>
      </c>
      <c r="C288">
        <f>IF(COUNTIFS('United Data'!$A$3:$A$2150,C$1,'United Data'!$C$3:$C$2150,$A288,'United Data'!$B$3:$B$2150,"&lt;&gt;P")&gt;0,1,0)</f>
        <v>0</v>
      </c>
      <c r="D288">
        <f>IF(COUNTIFS('United Data'!$A$3:$A$2150,D$1,'United Data'!$C$3:$C$2150,$A288,'United Data'!$B$3:$B$2150,"&lt;&gt;P")&gt;0,1,0)</f>
        <v>0</v>
      </c>
      <c r="E288">
        <f>IF(COUNTIFS('United Data'!$A$3:$A$2150,E$1,'United Data'!$C$3:$C$2150,$A288,'United Data'!$B$3:$B$2150,"&lt;&gt;P")&gt;0,1,0)</f>
        <v>0</v>
      </c>
      <c r="F288">
        <f>IF(COUNTIFS('United Data'!$A$3:$A$2150,F$1,'United Data'!$C$3:$C$2150,$A288,'United Data'!$B$3:$B$2150,"&lt;&gt;P")&gt;0,1,0)</f>
        <v>0</v>
      </c>
      <c r="G288">
        <f>IF(COUNTIFS('United Data'!$A$3:$A$2150,G$1,'United Data'!$C$3:$C$2150,$A288,'United Data'!$B$3:$B$2150,"&lt;&gt;P")&gt;0,1,0)</f>
        <v>0</v>
      </c>
      <c r="H288">
        <f>IF(COUNTIFS('United Data'!$A$3:$A$2150,H$1,'United Data'!$C$3:$C$2150,$A288,'United Data'!$B$3:$B$2150,"&lt;&gt;P")&gt;0,1,0)</f>
        <v>0</v>
      </c>
      <c r="I288">
        <f>IF(COUNTIFS('United Data'!$A$3:$A$2150,I$1,'United Data'!$C$3:$C$2150,$A288,'United Data'!$B$3:$B$2150,"&lt;&gt;P")&gt;0,1,0)</f>
        <v>1</v>
      </c>
      <c r="J288">
        <f>IF(COUNTIFS('United Data'!$A$3:$A$2150,J$1,'United Data'!$C$3:$C$2150,$A288,'United Data'!$B$3:$B$2150,"&lt;&gt;P")&gt;0,1,0)</f>
        <v>0</v>
      </c>
      <c r="K288">
        <f>IF(COUNTIFS('United Data'!$A$3:$A$2150,K$1,'United Data'!$C$3:$C$2150,$A288,'United Data'!$B$3:$B$2150,"&lt;&gt;P")&gt;0,1,0)</f>
        <v>0</v>
      </c>
      <c r="L288">
        <f>IF(COUNTIFS('United Data'!$A$3:$A$2150,L$1,'United Data'!$C$3:$C$2150,$A288,'United Data'!$B$3:$B$2150,"&lt;&gt;P")&gt;0,1,0)</f>
        <v>0</v>
      </c>
      <c r="M288">
        <f>IF(COUNTIFS('United Data'!$A$3:$A$2150,M$1,'United Data'!$C$3:$C$2150,$A288,'United Data'!$B$3:$B$2150,"&lt;&gt;P")&gt;0,1,0)</f>
        <v>0</v>
      </c>
      <c r="N288">
        <f>IF(COUNTIFS('United Data'!$A$3:$A$2150,N$1,'United Data'!$C$3:$C$2150,$A288,'United Data'!$B$3:$B$2150,"&lt;&gt;P")&gt;0,1,0)</f>
        <v>0</v>
      </c>
      <c r="O288">
        <f>IF(COUNTIFS('United Data'!$A$3:$A$2150,O$1,'United Data'!$C$3:$C$2150,$A288,'United Data'!$B$3:$B$2150,"&lt;&gt;P")&gt;0,1,0)</f>
        <v>0</v>
      </c>
      <c r="P288">
        <f>IF(COUNTIFS('United Data'!$A$3:$A$2150,P$1,'United Data'!$C$3:$C$2150,$A288,'United Data'!$B$3:$B$2150,"&lt;&gt;P")&gt;0,1,0)</f>
        <v>0</v>
      </c>
      <c r="Q288">
        <f>IF(COUNTIFS('United Data'!$A$3:$A$2150,Q$1,'United Data'!$C$3:$C$2150,$A288,'United Data'!$B$3:$B$2150,"&lt;&gt;P")&gt;0,1,0)</f>
        <v>0</v>
      </c>
      <c r="R288">
        <f>IF(COUNTIFS('United Data'!$A$3:$A$2150,R$1,'United Data'!$C$3:$C$2150,$A288,'United Data'!$B$3:$B$2150,"&lt;&gt;P")&gt;0,1,0)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334</v>
      </c>
      <c r="B289">
        <f>IF(COUNTIFS('United Data'!$A$3:$A$2150,B$1,'United Data'!$C$3:$C$2150,$A289,'United Data'!$B$3:$B$2150,"&lt;&gt;P")&gt;0,1,0)</f>
        <v>0</v>
      </c>
      <c r="C289">
        <f>IF(COUNTIFS('United Data'!$A$3:$A$2150,C$1,'United Data'!$C$3:$C$2150,$A289,'United Data'!$B$3:$B$2150,"&lt;&gt;P")&gt;0,1,0)</f>
        <v>0</v>
      </c>
      <c r="D289">
        <f>IF(COUNTIFS('United Data'!$A$3:$A$2150,D$1,'United Data'!$C$3:$C$2150,$A289,'United Data'!$B$3:$B$2150,"&lt;&gt;P")&gt;0,1,0)</f>
        <v>0</v>
      </c>
      <c r="E289">
        <f>IF(COUNTIFS('United Data'!$A$3:$A$2150,E$1,'United Data'!$C$3:$C$2150,$A289,'United Data'!$B$3:$B$2150,"&lt;&gt;P")&gt;0,1,0)</f>
        <v>0</v>
      </c>
      <c r="F289">
        <f>IF(COUNTIFS('United Data'!$A$3:$A$2150,F$1,'United Data'!$C$3:$C$2150,$A289,'United Data'!$B$3:$B$2150,"&lt;&gt;P")&gt;0,1,0)</f>
        <v>0</v>
      </c>
      <c r="G289">
        <f>IF(COUNTIFS('United Data'!$A$3:$A$2150,G$1,'United Data'!$C$3:$C$2150,$A289,'United Data'!$B$3:$B$2150,"&lt;&gt;P")&gt;0,1,0)</f>
        <v>0</v>
      </c>
      <c r="H289">
        <f>IF(COUNTIFS('United Data'!$A$3:$A$2150,H$1,'United Data'!$C$3:$C$2150,$A289,'United Data'!$B$3:$B$2150,"&lt;&gt;P")&gt;0,1,0)</f>
        <v>0</v>
      </c>
      <c r="I289">
        <f>IF(COUNTIFS('United Data'!$A$3:$A$2150,I$1,'United Data'!$C$3:$C$2150,$A289,'United Data'!$B$3:$B$2150,"&lt;&gt;P")&gt;0,1,0)</f>
        <v>1</v>
      </c>
      <c r="J289">
        <f>IF(COUNTIFS('United Data'!$A$3:$A$2150,J$1,'United Data'!$C$3:$C$2150,$A289,'United Data'!$B$3:$B$2150,"&lt;&gt;P")&gt;0,1,0)</f>
        <v>0</v>
      </c>
      <c r="K289">
        <f>IF(COUNTIFS('United Data'!$A$3:$A$2150,K$1,'United Data'!$C$3:$C$2150,$A289,'United Data'!$B$3:$B$2150,"&lt;&gt;P")&gt;0,1,0)</f>
        <v>0</v>
      </c>
      <c r="L289">
        <f>IF(COUNTIFS('United Data'!$A$3:$A$2150,L$1,'United Data'!$C$3:$C$2150,$A289,'United Data'!$B$3:$B$2150,"&lt;&gt;P")&gt;0,1,0)</f>
        <v>0</v>
      </c>
      <c r="M289">
        <f>IF(COUNTIFS('United Data'!$A$3:$A$2150,M$1,'United Data'!$C$3:$C$2150,$A289,'United Data'!$B$3:$B$2150,"&lt;&gt;P")&gt;0,1,0)</f>
        <v>0</v>
      </c>
      <c r="N289">
        <f>IF(COUNTIFS('United Data'!$A$3:$A$2150,N$1,'United Data'!$C$3:$C$2150,$A289,'United Data'!$B$3:$B$2150,"&lt;&gt;P")&gt;0,1,0)</f>
        <v>0</v>
      </c>
      <c r="O289">
        <f>IF(COUNTIFS('United Data'!$A$3:$A$2150,O$1,'United Data'!$C$3:$C$2150,$A289,'United Data'!$B$3:$B$2150,"&lt;&gt;P")&gt;0,1,0)</f>
        <v>0</v>
      </c>
      <c r="P289">
        <f>IF(COUNTIFS('United Data'!$A$3:$A$2150,P$1,'United Data'!$C$3:$C$2150,$A289,'United Data'!$B$3:$B$2150,"&lt;&gt;P")&gt;0,1,0)</f>
        <v>0</v>
      </c>
      <c r="Q289">
        <f>IF(COUNTIFS('United Data'!$A$3:$A$2150,Q$1,'United Data'!$C$3:$C$2150,$A289,'United Data'!$B$3:$B$2150,"&lt;&gt;P")&gt;0,1,0)</f>
        <v>0</v>
      </c>
      <c r="R289">
        <f>IF(COUNTIFS('United Data'!$A$3:$A$2150,R$1,'United Data'!$C$3:$C$2150,$A289,'United Data'!$B$3:$B$2150,"&lt;&gt;P")&gt;0,1,0)</f>
        <v>0</v>
      </c>
      <c r="S289">
        <f t="shared" si="8"/>
        <v>1</v>
      </c>
      <c r="T289">
        <f t="shared" si="9"/>
        <v>1</v>
      </c>
    </row>
    <row r="290" spans="1:20" x14ac:dyDescent="0.2">
      <c r="A290" t="s">
        <v>335</v>
      </c>
      <c r="B290">
        <f>IF(COUNTIFS('United Data'!$A$3:$A$2150,B$1,'United Data'!$C$3:$C$2150,$A290,'United Data'!$B$3:$B$2150,"&lt;&gt;P")&gt;0,1,0)</f>
        <v>0</v>
      </c>
      <c r="C290">
        <f>IF(COUNTIFS('United Data'!$A$3:$A$2150,C$1,'United Data'!$C$3:$C$2150,$A290,'United Data'!$B$3:$B$2150,"&lt;&gt;P")&gt;0,1,0)</f>
        <v>0</v>
      </c>
      <c r="D290">
        <f>IF(COUNTIFS('United Data'!$A$3:$A$2150,D$1,'United Data'!$C$3:$C$2150,$A290,'United Data'!$B$3:$B$2150,"&lt;&gt;P")&gt;0,1,0)</f>
        <v>0</v>
      </c>
      <c r="E290">
        <f>IF(COUNTIFS('United Data'!$A$3:$A$2150,E$1,'United Data'!$C$3:$C$2150,$A290,'United Data'!$B$3:$B$2150,"&lt;&gt;P")&gt;0,1,0)</f>
        <v>0</v>
      </c>
      <c r="F290">
        <f>IF(COUNTIFS('United Data'!$A$3:$A$2150,F$1,'United Data'!$C$3:$C$2150,$A290,'United Data'!$B$3:$B$2150,"&lt;&gt;P")&gt;0,1,0)</f>
        <v>0</v>
      </c>
      <c r="G290">
        <f>IF(COUNTIFS('United Data'!$A$3:$A$2150,G$1,'United Data'!$C$3:$C$2150,$A290,'United Data'!$B$3:$B$2150,"&lt;&gt;P")&gt;0,1,0)</f>
        <v>0</v>
      </c>
      <c r="H290">
        <f>IF(COUNTIFS('United Data'!$A$3:$A$2150,H$1,'United Data'!$C$3:$C$2150,$A290,'United Data'!$B$3:$B$2150,"&lt;&gt;P")&gt;0,1,0)</f>
        <v>0</v>
      </c>
      <c r="I290">
        <f>IF(COUNTIFS('United Data'!$A$3:$A$2150,I$1,'United Data'!$C$3:$C$2150,$A290,'United Data'!$B$3:$B$2150,"&lt;&gt;P")&gt;0,1,0)</f>
        <v>1</v>
      </c>
      <c r="J290">
        <f>IF(COUNTIFS('United Data'!$A$3:$A$2150,J$1,'United Data'!$C$3:$C$2150,$A290,'United Data'!$B$3:$B$2150,"&lt;&gt;P")&gt;0,1,0)</f>
        <v>0</v>
      </c>
      <c r="K290">
        <f>IF(COUNTIFS('United Data'!$A$3:$A$2150,K$1,'United Data'!$C$3:$C$2150,$A290,'United Data'!$B$3:$B$2150,"&lt;&gt;P")&gt;0,1,0)</f>
        <v>0</v>
      </c>
      <c r="L290">
        <f>IF(COUNTIFS('United Data'!$A$3:$A$2150,L$1,'United Data'!$C$3:$C$2150,$A290,'United Data'!$B$3:$B$2150,"&lt;&gt;P")&gt;0,1,0)</f>
        <v>0</v>
      </c>
      <c r="M290">
        <f>IF(COUNTIFS('United Data'!$A$3:$A$2150,M$1,'United Data'!$C$3:$C$2150,$A290,'United Data'!$B$3:$B$2150,"&lt;&gt;P")&gt;0,1,0)</f>
        <v>0</v>
      </c>
      <c r="N290">
        <f>IF(COUNTIFS('United Data'!$A$3:$A$2150,N$1,'United Data'!$C$3:$C$2150,$A290,'United Data'!$B$3:$B$2150,"&lt;&gt;P")&gt;0,1,0)</f>
        <v>0</v>
      </c>
      <c r="O290">
        <f>IF(COUNTIFS('United Data'!$A$3:$A$2150,O$1,'United Data'!$C$3:$C$2150,$A290,'United Data'!$B$3:$B$2150,"&lt;&gt;P")&gt;0,1,0)</f>
        <v>0</v>
      </c>
      <c r="P290">
        <f>IF(COUNTIFS('United Data'!$A$3:$A$2150,P$1,'United Data'!$C$3:$C$2150,$A290,'United Data'!$B$3:$B$2150,"&lt;&gt;P")&gt;0,1,0)</f>
        <v>0</v>
      </c>
      <c r="Q290">
        <f>IF(COUNTIFS('United Data'!$A$3:$A$2150,Q$1,'United Data'!$C$3:$C$2150,$A290,'United Data'!$B$3:$B$2150,"&lt;&gt;P")&gt;0,1,0)</f>
        <v>0</v>
      </c>
      <c r="R290">
        <f>IF(COUNTIFS('United Data'!$A$3:$A$2150,R$1,'United Data'!$C$3:$C$2150,$A290,'United Data'!$B$3:$B$2150,"&lt;&gt;P")&gt;0,1,0)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336</v>
      </c>
      <c r="B291">
        <f>IF(COUNTIFS('United Data'!$A$3:$A$2150,B$1,'United Data'!$C$3:$C$2150,$A291,'United Data'!$B$3:$B$2150,"&lt;&gt;P")&gt;0,1,0)</f>
        <v>0</v>
      </c>
      <c r="C291">
        <f>IF(COUNTIFS('United Data'!$A$3:$A$2150,C$1,'United Data'!$C$3:$C$2150,$A291,'United Data'!$B$3:$B$2150,"&lt;&gt;P")&gt;0,1,0)</f>
        <v>0</v>
      </c>
      <c r="D291">
        <f>IF(COUNTIFS('United Data'!$A$3:$A$2150,D$1,'United Data'!$C$3:$C$2150,$A291,'United Data'!$B$3:$B$2150,"&lt;&gt;P")&gt;0,1,0)</f>
        <v>0</v>
      </c>
      <c r="E291">
        <f>IF(COUNTIFS('United Data'!$A$3:$A$2150,E$1,'United Data'!$C$3:$C$2150,$A291,'United Data'!$B$3:$B$2150,"&lt;&gt;P")&gt;0,1,0)</f>
        <v>0</v>
      </c>
      <c r="F291">
        <f>IF(COUNTIFS('United Data'!$A$3:$A$2150,F$1,'United Data'!$C$3:$C$2150,$A291,'United Data'!$B$3:$B$2150,"&lt;&gt;P")&gt;0,1,0)</f>
        <v>0</v>
      </c>
      <c r="G291">
        <f>IF(COUNTIFS('United Data'!$A$3:$A$2150,G$1,'United Data'!$C$3:$C$2150,$A291,'United Data'!$B$3:$B$2150,"&lt;&gt;P")&gt;0,1,0)</f>
        <v>0</v>
      </c>
      <c r="H291">
        <f>IF(COUNTIFS('United Data'!$A$3:$A$2150,H$1,'United Data'!$C$3:$C$2150,$A291,'United Data'!$B$3:$B$2150,"&lt;&gt;P")&gt;0,1,0)</f>
        <v>0</v>
      </c>
      <c r="I291">
        <f>IF(COUNTIFS('United Data'!$A$3:$A$2150,I$1,'United Data'!$C$3:$C$2150,$A291,'United Data'!$B$3:$B$2150,"&lt;&gt;P")&gt;0,1,0)</f>
        <v>1</v>
      </c>
      <c r="J291">
        <f>IF(COUNTIFS('United Data'!$A$3:$A$2150,J$1,'United Data'!$C$3:$C$2150,$A291,'United Data'!$B$3:$B$2150,"&lt;&gt;P")&gt;0,1,0)</f>
        <v>0</v>
      </c>
      <c r="K291">
        <f>IF(COUNTIFS('United Data'!$A$3:$A$2150,K$1,'United Data'!$C$3:$C$2150,$A291,'United Data'!$B$3:$B$2150,"&lt;&gt;P")&gt;0,1,0)</f>
        <v>0</v>
      </c>
      <c r="L291">
        <f>IF(COUNTIFS('United Data'!$A$3:$A$2150,L$1,'United Data'!$C$3:$C$2150,$A291,'United Data'!$B$3:$B$2150,"&lt;&gt;P")&gt;0,1,0)</f>
        <v>0</v>
      </c>
      <c r="M291">
        <f>IF(COUNTIFS('United Data'!$A$3:$A$2150,M$1,'United Data'!$C$3:$C$2150,$A291,'United Data'!$B$3:$B$2150,"&lt;&gt;P")&gt;0,1,0)</f>
        <v>0</v>
      </c>
      <c r="N291">
        <f>IF(COUNTIFS('United Data'!$A$3:$A$2150,N$1,'United Data'!$C$3:$C$2150,$A291,'United Data'!$B$3:$B$2150,"&lt;&gt;P")&gt;0,1,0)</f>
        <v>0</v>
      </c>
      <c r="O291">
        <f>IF(COUNTIFS('United Data'!$A$3:$A$2150,O$1,'United Data'!$C$3:$C$2150,$A291,'United Data'!$B$3:$B$2150,"&lt;&gt;P")&gt;0,1,0)</f>
        <v>0</v>
      </c>
      <c r="P291">
        <f>IF(COUNTIFS('United Data'!$A$3:$A$2150,P$1,'United Data'!$C$3:$C$2150,$A291,'United Data'!$B$3:$B$2150,"&lt;&gt;P")&gt;0,1,0)</f>
        <v>0</v>
      </c>
      <c r="Q291">
        <f>IF(COUNTIFS('United Data'!$A$3:$A$2150,Q$1,'United Data'!$C$3:$C$2150,$A291,'United Data'!$B$3:$B$2150,"&lt;&gt;P")&gt;0,1,0)</f>
        <v>0</v>
      </c>
      <c r="R291">
        <f>IF(COUNTIFS('United Data'!$A$3:$A$2150,R$1,'United Data'!$C$3:$C$2150,$A291,'United Data'!$B$3:$B$2150,"&lt;&gt;P")&gt;0,1,0)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337</v>
      </c>
      <c r="B292">
        <f>IF(COUNTIFS('United Data'!$A$3:$A$2150,B$1,'United Data'!$C$3:$C$2150,$A292,'United Data'!$B$3:$B$2150,"&lt;&gt;P")&gt;0,1,0)</f>
        <v>0</v>
      </c>
      <c r="C292">
        <f>IF(COUNTIFS('United Data'!$A$3:$A$2150,C$1,'United Data'!$C$3:$C$2150,$A292,'United Data'!$B$3:$B$2150,"&lt;&gt;P")&gt;0,1,0)</f>
        <v>0</v>
      </c>
      <c r="D292">
        <f>IF(COUNTIFS('United Data'!$A$3:$A$2150,D$1,'United Data'!$C$3:$C$2150,$A292,'United Data'!$B$3:$B$2150,"&lt;&gt;P")&gt;0,1,0)</f>
        <v>0</v>
      </c>
      <c r="E292">
        <f>IF(COUNTIFS('United Data'!$A$3:$A$2150,E$1,'United Data'!$C$3:$C$2150,$A292,'United Data'!$B$3:$B$2150,"&lt;&gt;P")&gt;0,1,0)</f>
        <v>0</v>
      </c>
      <c r="F292">
        <f>IF(COUNTIFS('United Data'!$A$3:$A$2150,F$1,'United Data'!$C$3:$C$2150,$A292,'United Data'!$B$3:$B$2150,"&lt;&gt;P")&gt;0,1,0)</f>
        <v>0</v>
      </c>
      <c r="G292">
        <f>IF(COUNTIFS('United Data'!$A$3:$A$2150,G$1,'United Data'!$C$3:$C$2150,$A292,'United Data'!$B$3:$B$2150,"&lt;&gt;P")&gt;0,1,0)</f>
        <v>0</v>
      </c>
      <c r="H292">
        <f>IF(COUNTIFS('United Data'!$A$3:$A$2150,H$1,'United Data'!$C$3:$C$2150,$A292,'United Data'!$B$3:$B$2150,"&lt;&gt;P")&gt;0,1,0)</f>
        <v>0</v>
      </c>
      <c r="I292">
        <f>IF(COUNTIFS('United Data'!$A$3:$A$2150,I$1,'United Data'!$C$3:$C$2150,$A292,'United Data'!$B$3:$B$2150,"&lt;&gt;P")&gt;0,1,0)</f>
        <v>1</v>
      </c>
      <c r="J292">
        <f>IF(COUNTIFS('United Data'!$A$3:$A$2150,J$1,'United Data'!$C$3:$C$2150,$A292,'United Data'!$B$3:$B$2150,"&lt;&gt;P")&gt;0,1,0)</f>
        <v>0</v>
      </c>
      <c r="K292">
        <f>IF(COUNTIFS('United Data'!$A$3:$A$2150,K$1,'United Data'!$C$3:$C$2150,$A292,'United Data'!$B$3:$B$2150,"&lt;&gt;P")&gt;0,1,0)</f>
        <v>0</v>
      </c>
      <c r="L292">
        <f>IF(COUNTIFS('United Data'!$A$3:$A$2150,L$1,'United Data'!$C$3:$C$2150,$A292,'United Data'!$B$3:$B$2150,"&lt;&gt;P")&gt;0,1,0)</f>
        <v>0</v>
      </c>
      <c r="M292">
        <f>IF(COUNTIFS('United Data'!$A$3:$A$2150,M$1,'United Data'!$C$3:$C$2150,$A292,'United Data'!$B$3:$B$2150,"&lt;&gt;P")&gt;0,1,0)</f>
        <v>0</v>
      </c>
      <c r="N292">
        <f>IF(COUNTIFS('United Data'!$A$3:$A$2150,N$1,'United Data'!$C$3:$C$2150,$A292,'United Data'!$B$3:$B$2150,"&lt;&gt;P")&gt;0,1,0)</f>
        <v>0</v>
      </c>
      <c r="O292">
        <f>IF(COUNTIFS('United Data'!$A$3:$A$2150,O$1,'United Data'!$C$3:$C$2150,$A292,'United Data'!$B$3:$B$2150,"&lt;&gt;P")&gt;0,1,0)</f>
        <v>0</v>
      </c>
      <c r="P292">
        <f>IF(COUNTIFS('United Data'!$A$3:$A$2150,P$1,'United Data'!$C$3:$C$2150,$A292,'United Data'!$B$3:$B$2150,"&lt;&gt;P")&gt;0,1,0)</f>
        <v>0</v>
      </c>
      <c r="Q292">
        <f>IF(COUNTIFS('United Data'!$A$3:$A$2150,Q$1,'United Data'!$C$3:$C$2150,$A292,'United Data'!$B$3:$B$2150,"&lt;&gt;P")&gt;0,1,0)</f>
        <v>0</v>
      </c>
      <c r="R292">
        <f>IF(COUNTIFS('United Data'!$A$3:$A$2150,R$1,'United Data'!$C$3:$C$2150,$A292,'United Data'!$B$3:$B$2150,"&lt;&gt;P")&gt;0,1,0)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338</v>
      </c>
      <c r="B293">
        <f>IF(COUNTIFS('United Data'!$A$3:$A$2150,B$1,'United Data'!$C$3:$C$2150,$A293,'United Data'!$B$3:$B$2150,"&lt;&gt;P")&gt;0,1,0)</f>
        <v>0</v>
      </c>
      <c r="C293">
        <f>IF(COUNTIFS('United Data'!$A$3:$A$2150,C$1,'United Data'!$C$3:$C$2150,$A293,'United Data'!$B$3:$B$2150,"&lt;&gt;P")&gt;0,1,0)</f>
        <v>0</v>
      </c>
      <c r="D293">
        <f>IF(COUNTIFS('United Data'!$A$3:$A$2150,D$1,'United Data'!$C$3:$C$2150,$A293,'United Data'!$B$3:$B$2150,"&lt;&gt;P")&gt;0,1,0)</f>
        <v>0</v>
      </c>
      <c r="E293">
        <f>IF(COUNTIFS('United Data'!$A$3:$A$2150,E$1,'United Data'!$C$3:$C$2150,$A293,'United Data'!$B$3:$B$2150,"&lt;&gt;P")&gt;0,1,0)</f>
        <v>0</v>
      </c>
      <c r="F293">
        <f>IF(COUNTIFS('United Data'!$A$3:$A$2150,F$1,'United Data'!$C$3:$C$2150,$A293,'United Data'!$B$3:$B$2150,"&lt;&gt;P")&gt;0,1,0)</f>
        <v>0</v>
      </c>
      <c r="G293">
        <f>IF(COUNTIFS('United Data'!$A$3:$A$2150,G$1,'United Data'!$C$3:$C$2150,$A293,'United Data'!$B$3:$B$2150,"&lt;&gt;P")&gt;0,1,0)</f>
        <v>0</v>
      </c>
      <c r="H293">
        <f>IF(COUNTIFS('United Data'!$A$3:$A$2150,H$1,'United Data'!$C$3:$C$2150,$A293,'United Data'!$B$3:$B$2150,"&lt;&gt;P")&gt;0,1,0)</f>
        <v>0</v>
      </c>
      <c r="I293">
        <f>IF(COUNTIFS('United Data'!$A$3:$A$2150,I$1,'United Data'!$C$3:$C$2150,$A293,'United Data'!$B$3:$B$2150,"&lt;&gt;P")&gt;0,1,0)</f>
        <v>0</v>
      </c>
      <c r="J293">
        <f>IF(COUNTIFS('United Data'!$A$3:$A$2150,J$1,'United Data'!$C$3:$C$2150,$A293,'United Data'!$B$3:$B$2150,"&lt;&gt;P")&gt;0,1,0)</f>
        <v>1</v>
      </c>
      <c r="K293">
        <f>IF(COUNTIFS('United Data'!$A$3:$A$2150,K$1,'United Data'!$C$3:$C$2150,$A293,'United Data'!$B$3:$B$2150,"&lt;&gt;P")&gt;0,1,0)</f>
        <v>0</v>
      </c>
      <c r="L293">
        <f>IF(COUNTIFS('United Data'!$A$3:$A$2150,L$1,'United Data'!$C$3:$C$2150,$A293,'United Data'!$B$3:$B$2150,"&lt;&gt;P")&gt;0,1,0)</f>
        <v>0</v>
      </c>
      <c r="M293">
        <f>IF(COUNTIFS('United Data'!$A$3:$A$2150,M$1,'United Data'!$C$3:$C$2150,$A293,'United Data'!$B$3:$B$2150,"&lt;&gt;P")&gt;0,1,0)</f>
        <v>0</v>
      </c>
      <c r="N293">
        <f>IF(COUNTIFS('United Data'!$A$3:$A$2150,N$1,'United Data'!$C$3:$C$2150,$A293,'United Data'!$B$3:$B$2150,"&lt;&gt;P")&gt;0,1,0)</f>
        <v>0</v>
      </c>
      <c r="O293">
        <f>IF(COUNTIFS('United Data'!$A$3:$A$2150,O$1,'United Data'!$C$3:$C$2150,$A293,'United Data'!$B$3:$B$2150,"&lt;&gt;P")&gt;0,1,0)</f>
        <v>0</v>
      </c>
      <c r="P293">
        <f>IF(COUNTIFS('United Data'!$A$3:$A$2150,P$1,'United Data'!$C$3:$C$2150,$A293,'United Data'!$B$3:$B$2150,"&lt;&gt;P")&gt;0,1,0)</f>
        <v>0</v>
      </c>
      <c r="Q293">
        <f>IF(COUNTIFS('United Data'!$A$3:$A$2150,Q$1,'United Data'!$C$3:$C$2150,$A293,'United Data'!$B$3:$B$2150,"&lt;&gt;P")&gt;0,1,0)</f>
        <v>0</v>
      </c>
      <c r="R293">
        <f>IF(COUNTIFS('United Data'!$A$3:$A$2150,R$1,'United Data'!$C$3:$C$2150,$A293,'United Data'!$B$3:$B$2150,"&lt;&gt;P")&gt;0,1,0)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339</v>
      </c>
      <c r="B294">
        <f>IF(COUNTIFS('United Data'!$A$3:$A$2150,B$1,'United Data'!$C$3:$C$2150,$A294,'United Data'!$B$3:$B$2150,"&lt;&gt;P")&gt;0,1,0)</f>
        <v>0</v>
      </c>
      <c r="C294">
        <f>IF(COUNTIFS('United Data'!$A$3:$A$2150,C$1,'United Data'!$C$3:$C$2150,$A294,'United Data'!$B$3:$B$2150,"&lt;&gt;P")&gt;0,1,0)</f>
        <v>0</v>
      </c>
      <c r="D294">
        <f>IF(COUNTIFS('United Data'!$A$3:$A$2150,D$1,'United Data'!$C$3:$C$2150,$A294,'United Data'!$B$3:$B$2150,"&lt;&gt;P")&gt;0,1,0)</f>
        <v>0</v>
      </c>
      <c r="E294">
        <f>IF(COUNTIFS('United Data'!$A$3:$A$2150,E$1,'United Data'!$C$3:$C$2150,$A294,'United Data'!$B$3:$B$2150,"&lt;&gt;P")&gt;0,1,0)</f>
        <v>0</v>
      </c>
      <c r="F294">
        <f>IF(COUNTIFS('United Data'!$A$3:$A$2150,F$1,'United Data'!$C$3:$C$2150,$A294,'United Data'!$B$3:$B$2150,"&lt;&gt;P")&gt;0,1,0)</f>
        <v>0</v>
      </c>
      <c r="G294">
        <f>IF(COUNTIFS('United Data'!$A$3:$A$2150,G$1,'United Data'!$C$3:$C$2150,$A294,'United Data'!$B$3:$B$2150,"&lt;&gt;P")&gt;0,1,0)</f>
        <v>0</v>
      </c>
      <c r="H294">
        <f>IF(COUNTIFS('United Data'!$A$3:$A$2150,H$1,'United Data'!$C$3:$C$2150,$A294,'United Data'!$B$3:$B$2150,"&lt;&gt;P")&gt;0,1,0)</f>
        <v>0</v>
      </c>
      <c r="I294">
        <f>IF(COUNTIFS('United Data'!$A$3:$A$2150,I$1,'United Data'!$C$3:$C$2150,$A294,'United Data'!$B$3:$B$2150,"&lt;&gt;P")&gt;0,1,0)</f>
        <v>0</v>
      </c>
      <c r="J294">
        <f>IF(COUNTIFS('United Data'!$A$3:$A$2150,J$1,'United Data'!$C$3:$C$2150,$A294,'United Data'!$B$3:$B$2150,"&lt;&gt;P")&gt;0,1,0)</f>
        <v>1</v>
      </c>
      <c r="K294">
        <f>IF(COUNTIFS('United Data'!$A$3:$A$2150,K$1,'United Data'!$C$3:$C$2150,$A294,'United Data'!$B$3:$B$2150,"&lt;&gt;P")&gt;0,1,0)</f>
        <v>0</v>
      </c>
      <c r="L294">
        <f>IF(COUNTIFS('United Data'!$A$3:$A$2150,L$1,'United Data'!$C$3:$C$2150,$A294,'United Data'!$B$3:$B$2150,"&lt;&gt;P")&gt;0,1,0)</f>
        <v>0</v>
      </c>
      <c r="M294">
        <f>IF(COUNTIFS('United Data'!$A$3:$A$2150,M$1,'United Data'!$C$3:$C$2150,$A294,'United Data'!$B$3:$B$2150,"&lt;&gt;P")&gt;0,1,0)</f>
        <v>0</v>
      </c>
      <c r="N294">
        <f>IF(COUNTIFS('United Data'!$A$3:$A$2150,N$1,'United Data'!$C$3:$C$2150,$A294,'United Data'!$B$3:$B$2150,"&lt;&gt;P")&gt;0,1,0)</f>
        <v>0</v>
      </c>
      <c r="O294">
        <f>IF(COUNTIFS('United Data'!$A$3:$A$2150,O$1,'United Data'!$C$3:$C$2150,$A294,'United Data'!$B$3:$B$2150,"&lt;&gt;P")&gt;0,1,0)</f>
        <v>0</v>
      </c>
      <c r="P294">
        <f>IF(COUNTIFS('United Data'!$A$3:$A$2150,P$1,'United Data'!$C$3:$C$2150,$A294,'United Data'!$B$3:$B$2150,"&lt;&gt;P")&gt;0,1,0)</f>
        <v>0</v>
      </c>
      <c r="Q294">
        <f>IF(COUNTIFS('United Data'!$A$3:$A$2150,Q$1,'United Data'!$C$3:$C$2150,$A294,'United Data'!$B$3:$B$2150,"&lt;&gt;P")&gt;0,1,0)</f>
        <v>0</v>
      </c>
      <c r="R294">
        <f>IF(COUNTIFS('United Data'!$A$3:$A$2150,R$1,'United Data'!$C$3:$C$2150,$A294,'United Data'!$B$3:$B$2150,"&lt;&gt;P")&gt;0,1,0)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340</v>
      </c>
      <c r="B295">
        <f>IF(COUNTIFS('United Data'!$A$3:$A$2150,B$1,'United Data'!$C$3:$C$2150,$A295,'United Data'!$B$3:$B$2150,"&lt;&gt;P")&gt;0,1,0)</f>
        <v>0</v>
      </c>
      <c r="C295">
        <f>IF(COUNTIFS('United Data'!$A$3:$A$2150,C$1,'United Data'!$C$3:$C$2150,$A295,'United Data'!$B$3:$B$2150,"&lt;&gt;P")&gt;0,1,0)</f>
        <v>0</v>
      </c>
      <c r="D295">
        <f>IF(COUNTIFS('United Data'!$A$3:$A$2150,D$1,'United Data'!$C$3:$C$2150,$A295,'United Data'!$B$3:$B$2150,"&lt;&gt;P")&gt;0,1,0)</f>
        <v>0</v>
      </c>
      <c r="E295">
        <f>IF(COUNTIFS('United Data'!$A$3:$A$2150,E$1,'United Data'!$C$3:$C$2150,$A295,'United Data'!$B$3:$B$2150,"&lt;&gt;P")&gt;0,1,0)</f>
        <v>0</v>
      </c>
      <c r="F295">
        <f>IF(COUNTIFS('United Data'!$A$3:$A$2150,F$1,'United Data'!$C$3:$C$2150,$A295,'United Data'!$B$3:$B$2150,"&lt;&gt;P")&gt;0,1,0)</f>
        <v>0</v>
      </c>
      <c r="G295">
        <f>IF(COUNTIFS('United Data'!$A$3:$A$2150,G$1,'United Data'!$C$3:$C$2150,$A295,'United Data'!$B$3:$B$2150,"&lt;&gt;P")&gt;0,1,0)</f>
        <v>0</v>
      </c>
      <c r="H295">
        <f>IF(COUNTIFS('United Data'!$A$3:$A$2150,H$1,'United Data'!$C$3:$C$2150,$A295,'United Data'!$B$3:$B$2150,"&lt;&gt;P")&gt;0,1,0)</f>
        <v>0</v>
      </c>
      <c r="I295">
        <f>IF(COUNTIFS('United Data'!$A$3:$A$2150,I$1,'United Data'!$C$3:$C$2150,$A295,'United Data'!$B$3:$B$2150,"&lt;&gt;P")&gt;0,1,0)</f>
        <v>0</v>
      </c>
      <c r="J295">
        <f>IF(COUNTIFS('United Data'!$A$3:$A$2150,J$1,'United Data'!$C$3:$C$2150,$A295,'United Data'!$B$3:$B$2150,"&lt;&gt;P")&gt;0,1,0)</f>
        <v>1</v>
      </c>
      <c r="K295">
        <f>IF(COUNTIFS('United Data'!$A$3:$A$2150,K$1,'United Data'!$C$3:$C$2150,$A295,'United Data'!$B$3:$B$2150,"&lt;&gt;P")&gt;0,1,0)</f>
        <v>0</v>
      </c>
      <c r="L295">
        <f>IF(COUNTIFS('United Data'!$A$3:$A$2150,L$1,'United Data'!$C$3:$C$2150,$A295,'United Data'!$B$3:$B$2150,"&lt;&gt;P")&gt;0,1,0)</f>
        <v>0</v>
      </c>
      <c r="M295">
        <f>IF(COUNTIFS('United Data'!$A$3:$A$2150,M$1,'United Data'!$C$3:$C$2150,$A295,'United Data'!$B$3:$B$2150,"&lt;&gt;P")&gt;0,1,0)</f>
        <v>0</v>
      </c>
      <c r="N295">
        <f>IF(COUNTIFS('United Data'!$A$3:$A$2150,N$1,'United Data'!$C$3:$C$2150,$A295,'United Data'!$B$3:$B$2150,"&lt;&gt;P")&gt;0,1,0)</f>
        <v>0</v>
      </c>
      <c r="O295">
        <f>IF(COUNTIFS('United Data'!$A$3:$A$2150,O$1,'United Data'!$C$3:$C$2150,$A295,'United Data'!$B$3:$B$2150,"&lt;&gt;P")&gt;0,1,0)</f>
        <v>0</v>
      </c>
      <c r="P295">
        <f>IF(COUNTIFS('United Data'!$A$3:$A$2150,P$1,'United Data'!$C$3:$C$2150,$A295,'United Data'!$B$3:$B$2150,"&lt;&gt;P")&gt;0,1,0)</f>
        <v>0</v>
      </c>
      <c r="Q295">
        <f>IF(COUNTIFS('United Data'!$A$3:$A$2150,Q$1,'United Data'!$C$3:$C$2150,$A295,'United Data'!$B$3:$B$2150,"&lt;&gt;P")&gt;0,1,0)</f>
        <v>0</v>
      </c>
      <c r="R295">
        <f>IF(COUNTIFS('United Data'!$A$3:$A$2150,R$1,'United Data'!$C$3:$C$2150,$A295,'United Data'!$B$3:$B$2150,"&lt;&gt;P")&gt;0,1,0)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341</v>
      </c>
      <c r="B296">
        <f>IF(COUNTIFS('United Data'!$A$3:$A$2150,B$1,'United Data'!$C$3:$C$2150,$A296,'United Data'!$B$3:$B$2150,"&lt;&gt;P")&gt;0,1,0)</f>
        <v>0</v>
      </c>
      <c r="C296">
        <f>IF(COUNTIFS('United Data'!$A$3:$A$2150,C$1,'United Data'!$C$3:$C$2150,$A296,'United Data'!$B$3:$B$2150,"&lt;&gt;P")&gt;0,1,0)</f>
        <v>0</v>
      </c>
      <c r="D296">
        <f>IF(COUNTIFS('United Data'!$A$3:$A$2150,D$1,'United Data'!$C$3:$C$2150,$A296,'United Data'!$B$3:$B$2150,"&lt;&gt;P")&gt;0,1,0)</f>
        <v>0</v>
      </c>
      <c r="E296">
        <f>IF(COUNTIFS('United Data'!$A$3:$A$2150,E$1,'United Data'!$C$3:$C$2150,$A296,'United Data'!$B$3:$B$2150,"&lt;&gt;P")&gt;0,1,0)</f>
        <v>0</v>
      </c>
      <c r="F296">
        <f>IF(COUNTIFS('United Data'!$A$3:$A$2150,F$1,'United Data'!$C$3:$C$2150,$A296,'United Data'!$B$3:$B$2150,"&lt;&gt;P")&gt;0,1,0)</f>
        <v>0</v>
      </c>
      <c r="G296">
        <f>IF(COUNTIFS('United Data'!$A$3:$A$2150,G$1,'United Data'!$C$3:$C$2150,$A296,'United Data'!$B$3:$B$2150,"&lt;&gt;P")&gt;0,1,0)</f>
        <v>0</v>
      </c>
      <c r="H296">
        <f>IF(COUNTIFS('United Data'!$A$3:$A$2150,H$1,'United Data'!$C$3:$C$2150,$A296,'United Data'!$B$3:$B$2150,"&lt;&gt;P")&gt;0,1,0)</f>
        <v>0</v>
      </c>
      <c r="I296">
        <f>IF(COUNTIFS('United Data'!$A$3:$A$2150,I$1,'United Data'!$C$3:$C$2150,$A296,'United Data'!$B$3:$B$2150,"&lt;&gt;P")&gt;0,1,0)</f>
        <v>0</v>
      </c>
      <c r="J296">
        <f>IF(COUNTIFS('United Data'!$A$3:$A$2150,J$1,'United Data'!$C$3:$C$2150,$A296,'United Data'!$B$3:$B$2150,"&lt;&gt;P")&gt;0,1,0)</f>
        <v>1</v>
      </c>
      <c r="K296">
        <f>IF(COUNTIFS('United Data'!$A$3:$A$2150,K$1,'United Data'!$C$3:$C$2150,$A296,'United Data'!$B$3:$B$2150,"&lt;&gt;P")&gt;0,1,0)</f>
        <v>0</v>
      </c>
      <c r="L296">
        <f>IF(COUNTIFS('United Data'!$A$3:$A$2150,L$1,'United Data'!$C$3:$C$2150,$A296,'United Data'!$B$3:$B$2150,"&lt;&gt;P")&gt;0,1,0)</f>
        <v>0</v>
      </c>
      <c r="M296">
        <f>IF(COUNTIFS('United Data'!$A$3:$A$2150,M$1,'United Data'!$C$3:$C$2150,$A296,'United Data'!$B$3:$B$2150,"&lt;&gt;P")&gt;0,1,0)</f>
        <v>0</v>
      </c>
      <c r="N296">
        <f>IF(COUNTIFS('United Data'!$A$3:$A$2150,N$1,'United Data'!$C$3:$C$2150,$A296,'United Data'!$B$3:$B$2150,"&lt;&gt;P")&gt;0,1,0)</f>
        <v>0</v>
      </c>
      <c r="O296">
        <f>IF(COUNTIFS('United Data'!$A$3:$A$2150,O$1,'United Data'!$C$3:$C$2150,$A296,'United Data'!$B$3:$B$2150,"&lt;&gt;P")&gt;0,1,0)</f>
        <v>0</v>
      </c>
      <c r="P296">
        <f>IF(COUNTIFS('United Data'!$A$3:$A$2150,P$1,'United Data'!$C$3:$C$2150,$A296,'United Data'!$B$3:$B$2150,"&lt;&gt;P")&gt;0,1,0)</f>
        <v>0</v>
      </c>
      <c r="Q296">
        <f>IF(COUNTIFS('United Data'!$A$3:$A$2150,Q$1,'United Data'!$C$3:$C$2150,$A296,'United Data'!$B$3:$B$2150,"&lt;&gt;P")&gt;0,1,0)</f>
        <v>0</v>
      </c>
      <c r="R296">
        <f>IF(COUNTIFS('United Data'!$A$3:$A$2150,R$1,'United Data'!$C$3:$C$2150,$A296,'United Data'!$B$3:$B$2150,"&lt;&gt;P")&gt;0,1,0)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342</v>
      </c>
      <c r="B297">
        <f>IF(COUNTIFS('United Data'!$A$3:$A$2150,B$1,'United Data'!$C$3:$C$2150,$A297,'United Data'!$B$3:$B$2150,"&lt;&gt;P")&gt;0,1,0)</f>
        <v>0</v>
      </c>
      <c r="C297">
        <f>IF(COUNTIFS('United Data'!$A$3:$A$2150,C$1,'United Data'!$C$3:$C$2150,$A297,'United Data'!$B$3:$B$2150,"&lt;&gt;P")&gt;0,1,0)</f>
        <v>0</v>
      </c>
      <c r="D297">
        <f>IF(COUNTIFS('United Data'!$A$3:$A$2150,D$1,'United Data'!$C$3:$C$2150,$A297,'United Data'!$B$3:$B$2150,"&lt;&gt;P")&gt;0,1,0)</f>
        <v>0</v>
      </c>
      <c r="E297">
        <f>IF(COUNTIFS('United Data'!$A$3:$A$2150,E$1,'United Data'!$C$3:$C$2150,$A297,'United Data'!$B$3:$B$2150,"&lt;&gt;P")&gt;0,1,0)</f>
        <v>0</v>
      </c>
      <c r="F297">
        <f>IF(COUNTIFS('United Data'!$A$3:$A$2150,F$1,'United Data'!$C$3:$C$2150,$A297,'United Data'!$B$3:$B$2150,"&lt;&gt;P")&gt;0,1,0)</f>
        <v>0</v>
      </c>
      <c r="G297">
        <f>IF(COUNTIFS('United Data'!$A$3:$A$2150,G$1,'United Data'!$C$3:$C$2150,$A297,'United Data'!$B$3:$B$2150,"&lt;&gt;P")&gt;0,1,0)</f>
        <v>0</v>
      </c>
      <c r="H297">
        <f>IF(COUNTIFS('United Data'!$A$3:$A$2150,H$1,'United Data'!$C$3:$C$2150,$A297,'United Data'!$B$3:$B$2150,"&lt;&gt;P")&gt;0,1,0)</f>
        <v>0</v>
      </c>
      <c r="I297">
        <f>IF(COUNTIFS('United Data'!$A$3:$A$2150,I$1,'United Data'!$C$3:$C$2150,$A297,'United Data'!$B$3:$B$2150,"&lt;&gt;P")&gt;0,1,0)</f>
        <v>0</v>
      </c>
      <c r="J297">
        <f>IF(COUNTIFS('United Data'!$A$3:$A$2150,J$1,'United Data'!$C$3:$C$2150,$A297,'United Data'!$B$3:$B$2150,"&lt;&gt;P")&gt;0,1,0)</f>
        <v>1</v>
      </c>
      <c r="K297">
        <f>IF(COUNTIFS('United Data'!$A$3:$A$2150,K$1,'United Data'!$C$3:$C$2150,$A297,'United Data'!$B$3:$B$2150,"&lt;&gt;P")&gt;0,1,0)</f>
        <v>0</v>
      </c>
      <c r="L297">
        <f>IF(COUNTIFS('United Data'!$A$3:$A$2150,L$1,'United Data'!$C$3:$C$2150,$A297,'United Data'!$B$3:$B$2150,"&lt;&gt;P")&gt;0,1,0)</f>
        <v>0</v>
      </c>
      <c r="M297">
        <f>IF(COUNTIFS('United Data'!$A$3:$A$2150,M$1,'United Data'!$C$3:$C$2150,$A297,'United Data'!$B$3:$B$2150,"&lt;&gt;P")&gt;0,1,0)</f>
        <v>0</v>
      </c>
      <c r="N297">
        <f>IF(COUNTIFS('United Data'!$A$3:$A$2150,N$1,'United Data'!$C$3:$C$2150,$A297,'United Data'!$B$3:$B$2150,"&lt;&gt;P")&gt;0,1,0)</f>
        <v>0</v>
      </c>
      <c r="O297">
        <f>IF(COUNTIFS('United Data'!$A$3:$A$2150,O$1,'United Data'!$C$3:$C$2150,$A297,'United Data'!$B$3:$B$2150,"&lt;&gt;P")&gt;0,1,0)</f>
        <v>0</v>
      </c>
      <c r="P297">
        <f>IF(COUNTIFS('United Data'!$A$3:$A$2150,P$1,'United Data'!$C$3:$C$2150,$A297,'United Data'!$B$3:$B$2150,"&lt;&gt;P")&gt;0,1,0)</f>
        <v>0</v>
      </c>
      <c r="Q297">
        <f>IF(COUNTIFS('United Data'!$A$3:$A$2150,Q$1,'United Data'!$C$3:$C$2150,$A297,'United Data'!$B$3:$B$2150,"&lt;&gt;P")&gt;0,1,0)</f>
        <v>0</v>
      </c>
      <c r="R297">
        <f>IF(COUNTIFS('United Data'!$A$3:$A$2150,R$1,'United Data'!$C$3:$C$2150,$A297,'United Data'!$B$3:$B$2150,"&lt;&gt;P")&gt;0,1,0)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343</v>
      </c>
      <c r="B298">
        <f>IF(COUNTIFS('United Data'!$A$3:$A$2150,B$1,'United Data'!$C$3:$C$2150,$A298,'United Data'!$B$3:$B$2150,"&lt;&gt;P")&gt;0,1,0)</f>
        <v>0</v>
      </c>
      <c r="C298">
        <f>IF(COUNTIFS('United Data'!$A$3:$A$2150,C$1,'United Data'!$C$3:$C$2150,$A298,'United Data'!$B$3:$B$2150,"&lt;&gt;P")&gt;0,1,0)</f>
        <v>0</v>
      </c>
      <c r="D298">
        <f>IF(COUNTIFS('United Data'!$A$3:$A$2150,D$1,'United Data'!$C$3:$C$2150,$A298,'United Data'!$B$3:$B$2150,"&lt;&gt;P")&gt;0,1,0)</f>
        <v>0</v>
      </c>
      <c r="E298">
        <f>IF(COUNTIFS('United Data'!$A$3:$A$2150,E$1,'United Data'!$C$3:$C$2150,$A298,'United Data'!$B$3:$B$2150,"&lt;&gt;P")&gt;0,1,0)</f>
        <v>0</v>
      </c>
      <c r="F298">
        <f>IF(COUNTIFS('United Data'!$A$3:$A$2150,F$1,'United Data'!$C$3:$C$2150,$A298,'United Data'!$B$3:$B$2150,"&lt;&gt;P")&gt;0,1,0)</f>
        <v>0</v>
      </c>
      <c r="G298">
        <f>IF(COUNTIFS('United Data'!$A$3:$A$2150,G$1,'United Data'!$C$3:$C$2150,$A298,'United Data'!$B$3:$B$2150,"&lt;&gt;P")&gt;0,1,0)</f>
        <v>0</v>
      </c>
      <c r="H298">
        <f>IF(COUNTIFS('United Data'!$A$3:$A$2150,H$1,'United Data'!$C$3:$C$2150,$A298,'United Data'!$B$3:$B$2150,"&lt;&gt;P")&gt;0,1,0)</f>
        <v>0</v>
      </c>
      <c r="I298">
        <f>IF(COUNTIFS('United Data'!$A$3:$A$2150,I$1,'United Data'!$C$3:$C$2150,$A298,'United Data'!$B$3:$B$2150,"&lt;&gt;P")&gt;0,1,0)</f>
        <v>0</v>
      </c>
      <c r="J298">
        <f>IF(COUNTIFS('United Data'!$A$3:$A$2150,J$1,'United Data'!$C$3:$C$2150,$A298,'United Data'!$B$3:$B$2150,"&lt;&gt;P")&gt;0,1,0)</f>
        <v>1</v>
      </c>
      <c r="K298">
        <f>IF(COUNTIFS('United Data'!$A$3:$A$2150,K$1,'United Data'!$C$3:$C$2150,$A298,'United Data'!$B$3:$B$2150,"&lt;&gt;P")&gt;0,1,0)</f>
        <v>0</v>
      </c>
      <c r="L298">
        <f>IF(COUNTIFS('United Data'!$A$3:$A$2150,L$1,'United Data'!$C$3:$C$2150,$A298,'United Data'!$B$3:$B$2150,"&lt;&gt;P")&gt;0,1,0)</f>
        <v>0</v>
      </c>
      <c r="M298">
        <f>IF(COUNTIFS('United Data'!$A$3:$A$2150,M$1,'United Data'!$C$3:$C$2150,$A298,'United Data'!$B$3:$B$2150,"&lt;&gt;P")&gt;0,1,0)</f>
        <v>0</v>
      </c>
      <c r="N298">
        <f>IF(COUNTIFS('United Data'!$A$3:$A$2150,N$1,'United Data'!$C$3:$C$2150,$A298,'United Data'!$B$3:$B$2150,"&lt;&gt;P")&gt;0,1,0)</f>
        <v>0</v>
      </c>
      <c r="O298">
        <f>IF(COUNTIFS('United Data'!$A$3:$A$2150,O$1,'United Data'!$C$3:$C$2150,$A298,'United Data'!$B$3:$B$2150,"&lt;&gt;P")&gt;0,1,0)</f>
        <v>0</v>
      </c>
      <c r="P298">
        <f>IF(COUNTIFS('United Data'!$A$3:$A$2150,P$1,'United Data'!$C$3:$C$2150,$A298,'United Data'!$B$3:$B$2150,"&lt;&gt;P")&gt;0,1,0)</f>
        <v>0</v>
      </c>
      <c r="Q298">
        <f>IF(COUNTIFS('United Data'!$A$3:$A$2150,Q$1,'United Data'!$C$3:$C$2150,$A298,'United Data'!$B$3:$B$2150,"&lt;&gt;P")&gt;0,1,0)</f>
        <v>0</v>
      </c>
      <c r="R298">
        <f>IF(COUNTIFS('United Data'!$A$3:$A$2150,R$1,'United Data'!$C$3:$C$2150,$A298,'United Data'!$B$3:$B$2150,"&lt;&gt;P")&gt;0,1,0)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344</v>
      </c>
      <c r="B299">
        <f>IF(COUNTIFS('United Data'!$A$3:$A$2150,B$1,'United Data'!$C$3:$C$2150,$A299,'United Data'!$B$3:$B$2150,"&lt;&gt;P")&gt;0,1,0)</f>
        <v>0</v>
      </c>
      <c r="C299">
        <f>IF(COUNTIFS('United Data'!$A$3:$A$2150,C$1,'United Data'!$C$3:$C$2150,$A299,'United Data'!$B$3:$B$2150,"&lt;&gt;P")&gt;0,1,0)</f>
        <v>0</v>
      </c>
      <c r="D299">
        <f>IF(COUNTIFS('United Data'!$A$3:$A$2150,D$1,'United Data'!$C$3:$C$2150,$A299,'United Data'!$B$3:$B$2150,"&lt;&gt;P")&gt;0,1,0)</f>
        <v>0</v>
      </c>
      <c r="E299">
        <f>IF(COUNTIFS('United Data'!$A$3:$A$2150,E$1,'United Data'!$C$3:$C$2150,$A299,'United Data'!$B$3:$B$2150,"&lt;&gt;P")&gt;0,1,0)</f>
        <v>0</v>
      </c>
      <c r="F299">
        <f>IF(COUNTIFS('United Data'!$A$3:$A$2150,F$1,'United Data'!$C$3:$C$2150,$A299,'United Data'!$B$3:$B$2150,"&lt;&gt;P")&gt;0,1,0)</f>
        <v>0</v>
      </c>
      <c r="G299">
        <f>IF(COUNTIFS('United Data'!$A$3:$A$2150,G$1,'United Data'!$C$3:$C$2150,$A299,'United Data'!$B$3:$B$2150,"&lt;&gt;P")&gt;0,1,0)</f>
        <v>0</v>
      </c>
      <c r="H299">
        <f>IF(COUNTIFS('United Data'!$A$3:$A$2150,H$1,'United Data'!$C$3:$C$2150,$A299,'United Data'!$B$3:$B$2150,"&lt;&gt;P")&gt;0,1,0)</f>
        <v>0</v>
      </c>
      <c r="I299">
        <f>IF(COUNTIFS('United Data'!$A$3:$A$2150,I$1,'United Data'!$C$3:$C$2150,$A299,'United Data'!$B$3:$B$2150,"&lt;&gt;P")&gt;0,1,0)</f>
        <v>0</v>
      </c>
      <c r="J299">
        <f>IF(COUNTIFS('United Data'!$A$3:$A$2150,J$1,'United Data'!$C$3:$C$2150,$A299,'United Data'!$B$3:$B$2150,"&lt;&gt;P")&gt;0,1,0)</f>
        <v>0</v>
      </c>
      <c r="K299">
        <f>IF(COUNTIFS('United Data'!$A$3:$A$2150,K$1,'United Data'!$C$3:$C$2150,$A299,'United Data'!$B$3:$B$2150,"&lt;&gt;P")&gt;0,1,0)</f>
        <v>1</v>
      </c>
      <c r="L299">
        <f>IF(COUNTIFS('United Data'!$A$3:$A$2150,L$1,'United Data'!$C$3:$C$2150,$A299,'United Data'!$B$3:$B$2150,"&lt;&gt;P")&gt;0,1,0)</f>
        <v>0</v>
      </c>
      <c r="M299">
        <f>IF(COUNTIFS('United Data'!$A$3:$A$2150,M$1,'United Data'!$C$3:$C$2150,$A299,'United Data'!$B$3:$B$2150,"&lt;&gt;P")&gt;0,1,0)</f>
        <v>0</v>
      </c>
      <c r="N299">
        <f>IF(COUNTIFS('United Data'!$A$3:$A$2150,N$1,'United Data'!$C$3:$C$2150,$A299,'United Data'!$B$3:$B$2150,"&lt;&gt;P")&gt;0,1,0)</f>
        <v>0</v>
      </c>
      <c r="O299">
        <f>IF(COUNTIFS('United Data'!$A$3:$A$2150,O$1,'United Data'!$C$3:$C$2150,$A299,'United Data'!$B$3:$B$2150,"&lt;&gt;P")&gt;0,1,0)</f>
        <v>0</v>
      </c>
      <c r="P299">
        <f>IF(COUNTIFS('United Data'!$A$3:$A$2150,P$1,'United Data'!$C$3:$C$2150,$A299,'United Data'!$B$3:$B$2150,"&lt;&gt;P")&gt;0,1,0)</f>
        <v>0</v>
      </c>
      <c r="Q299">
        <f>IF(COUNTIFS('United Data'!$A$3:$A$2150,Q$1,'United Data'!$C$3:$C$2150,$A299,'United Data'!$B$3:$B$2150,"&lt;&gt;P")&gt;0,1,0)</f>
        <v>0</v>
      </c>
      <c r="R299">
        <f>IF(COUNTIFS('United Data'!$A$3:$A$2150,R$1,'United Data'!$C$3:$C$2150,$A299,'United Data'!$B$3:$B$2150,"&lt;&gt;P")&gt;0,1,0)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345</v>
      </c>
      <c r="B300">
        <f>IF(COUNTIFS('United Data'!$A$3:$A$2150,B$1,'United Data'!$C$3:$C$2150,$A300,'United Data'!$B$3:$B$2150,"&lt;&gt;P")&gt;0,1,0)</f>
        <v>0</v>
      </c>
      <c r="C300">
        <f>IF(COUNTIFS('United Data'!$A$3:$A$2150,C$1,'United Data'!$C$3:$C$2150,$A300,'United Data'!$B$3:$B$2150,"&lt;&gt;P")&gt;0,1,0)</f>
        <v>0</v>
      </c>
      <c r="D300">
        <f>IF(COUNTIFS('United Data'!$A$3:$A$2150,D$1,'United Data'!$C$3:$C$2150,$A300,'United Data'!$B$3:$B$2150,"&lt;&gt;P")&gt;0,1,0)</f>
        <v>0</v>
      </c>
      <c r="E300">
        <f>IF(COUNTIFS('United Data'!$A$3:$A$2150,E$1,'United Data'!$C$3:$C$2150,$A300,'United Data'!$B$3:$B$2150,"&lt;&gt;P")&gt;0,1,0)</f>
        <v>0</v>
      </c>
      <c r="F300">
        <f>IF(COUNTIFS('United Data'!$A$3:$A$2150,F$1,'United Data'!$C$3:$C$2150,$A300,'United Data'!$B$3:$B$2150,"&lt;&gt;P")&gt;0,1,0)</f>
        <v>0</v>
      </c>
      <c r="G300">
        <f>IF(COUNTIFS('United Data'!$A$3:$A$2150,G$1,'United Data'!$C$3:$C$2150,$A300,'United Data'!$B$3:$B$2150,"&lt;&gt;P")&gt;0,1,0)</f>
        <v>0</v>
      </c>
      <c r="H300">
        <f>IF(COUNTIFS('United Data'!$A$3:$A$2150,H$1,'United Data'!$C$3:$C$2150,$A300,'United Data'!$B$3:$B$2150,"&lt;&gt;P")&gt;0,1,0)</f>
        <v>0</v>
      </c>
      <c r="I300">
        <f>IF(COUNTIFS('United Data'!$A$3:$A$2150,I$1,'United Data'!$C$3:$C$2150,$A300,'United Data'!$B$3:$B$2150,"&lt;&gt;P")&gt;0,1,0)</f>
        <v>0</v>
      </c>
      <c r="J300">
        <f>IF(COUNTIFS('United Data'!$A$3:$A$2150,J$1,'United Data'!$C$3:$C$2150,$A300,'United Data'!$B$3:$B$2150,"&lt;&gt;P")&gt;0,1,0)</f>
        <v>0</v>
      </c>
      <c r="K300">
        <f>IF(COUNTIFS('United Data'!$A$3:$A$2150,K$1,'United Data'!$C$3:$C$2150,$A300,'United Data'!$B$3:$B$2150,"&lt;&gt;P")&gt;0,1,0)</f>
        <v>1</v>
      </c>
      <c r="L300">
        <f>IF(COUNTIFS('United Data'!$A$3:$A$2150,L$1,'United Data'!$C$3:$C$2150,$A300,'United Data'!$B$3:$B$2150,"&lt;&gt;P")&gt;0,1,0)</f>
        <v>0</v>
      </c>
      <c r="M300">
        <f>IF(COUNTIFS('United Data'!$A$3:$A$2150,M$1,'United Data'!$C$3:$C$2150,$A300,'United Data'!$B$3:$B$2150,"&lt;&gt;P")&gt;0,1,0)</f>
        <v>0</v>
      </c>
      <c r="N300">
        <f>IF(COUNTIFS('United Data'!$A$3:$A$2150,N$1,'United Data'!$C$3:$C$2150,$A300,'United Data'!$B$3:$B$2150,"&lt;&gt;P")&gt;0,1,0)</f>
        <v>0</v>
      </c>
      <c r="O300">
        <f>IF(COUNTIFS('United Data'!$A$3:$A$2150,O$1,'United Data'!$C$3:$C$2150,$A300,'United Data'!$B$3:$B$2150,"&lt;&gt;P")&gt;0,1,0)</f>
        <v>0</v>
      </c>
      <c r="P300">
        <f>IF(COUNTIFS('United Data'!$A$3:$A$2150,P$1,'United Data'!$C$3:$C$2150,$A300,'United Data'!$B$3:$B$2150,"&lt;&gt;P")&gt;0,1,0)</f>
        <v>0</v>
      </c>
      <c r="Q300">
        <f>IF(COUNTIFS('United Data'!$A$3:$A$2150,Q$1,'United Data'!$C$3:$C$2150,$A300,'United Data'!$B$3:$B$2150,"&lt;&gt;P")&gt;0,1,0)</f>
        <v>0</v>
      </c>
      <c r="R300">
        <f>IF(COUNTIFS('United Data'!$A$3:$A$2150,R$1,'United Data'!$C$3:$C$2150,$A300,'United Data'!$B$3:$B$2150,"&lt;&gt;P")&gt;0,1,0)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346</v>
      </c>
      <c r="B301">
        <f>IF(COUNTIFS('United Data'!$A$3:$A$2150,B$1,'United Data'!$C$3:$C$2150,$A301,'United Data'!$B$3:$B$2150,"&lt;&gt;P")&gt;0,1,0)</f>
        <v>0</v>
      </c>
      <c r="C301">
        <f>IF(COUNTIFS('United Data'!$A$3:$A$2150,C$1,'United Data'!$C$3:$C$2150,$A301,'United Data'!$B$3:$B$2150,"&lt;&gt;P")&gt;0,1,0)</f>
        <v>0</v>
      </c>
      <c r="D301">
        <f>IF(COUNTIFS('United Data'!$A$3:$A$2150,D$1,'United Data'!$C$3:$C$2150,$A301,'United Data'!$B$3:$B$2150,"&lt;&gt;P")&gt;0,1,0)</f>
        <v>0</v>
      </c>
      <c r="E301">
        <f>IF(COUNTIFS('United Data'!$A$3:$A$2150,E$1,'United Data'!$C$3:$C$2150,$A301,'United Data'!$B$3:$B$2150,"&lt;&gt;P")&gt;0,1,0)</f>
        <v>0</v>
      </c>
      <c r="F301">
        <f>IF(COUNTIFS('United Data'!$A$3:$A$2150,F$1,'United Data'!$C$3:$C$2150,$A301,'United Data'!$B$3:$B$2150,"&lt;&gt;P")&gt;0,1,0)</f>
        <v>0</v>
      </c>
      <c r="G301">
        <f>IF(COUNTIFS('United Data'!$A$3:$A$2150,G$1,'United Data'!$C$3:$C$2150,$A301,'United Data'!$B$3:$B$2150,"&lt;&gt;P")&gt;0,1,0)</f>
        <v>0</v>
      </c>
      <c r="H301">
        <f>IF(COUNTIFS('United Data'!$A$3:$A$2150,H$1,'United Data'!$C$3:$C$2150,$A301,'United Data'!$B$3:$B$2150,"&lt;&gt;P")&gt;0,1,0)</f>
        <v>0</v>
      </c>
      <c r="I301">
        <f>IF(COUNTIFS('United Data'!$A$3:$A$2150,I$1,'United Data'!$C$3:$C$2150,$A301,'United Data'!$B$3:$B$2150,"&lt;&gt;P")&gt;0,1,0)</f>
        <v>0</v>
      </c>
      <c r="J301">
        <f>IF(COUNTIFS('United Data'!$A$3:$A$2150,J$1,'United Data'!$C$3:$C$2150,$A301,'United Data'!$B$3:$B$2150,"&lt;&gt;P")&gt;0,1,0)</f>
        <v>0</v>
      </c>
      <c r="K301">
        <f>IF(COUNTIFS('United Data'!$A$3:$A$2150,K$1,'United Data'!$C$3:$C$2150,$A301,'United Data'!$B$3:$B$2150,"&lt;&gt;P")&gt;0,1,0)</f>
        <v>1</v>
      </c>
      <c r="L301">
        <f>IF(COUNTIFS('United Data'!$A$3:$A$2150,L$1,'United Data'!$C$3:$C$2150,$A301,'United Data'!$B$3:$B$2150,"&lt;&gt;P")&gt;0,1,0)</f>
        <v>0</v>
      </c>
      <c r="M301">
        <f>IF(COUNTIFS('United Data'!$A$3:$A$2150,M$1,'United Data'!$C$3:$C$2150,$A301,'United Data'!$B$3:$B$2150,"&lt;&gt;P")&gt;0,1,0)</f>
        <v>0</v>
      </c>
      <c r="N301">
        <f>IF(COUNTIFS('United Data'!$A$3:$A$2150,N$1,'United Data'!$C$3:$C$2150,$A301,'United Data'!$B$3:$B$2150,"&lt;&gt;P")&gt;0,1,0)</f>
        <v>0</v>
      </c>
      <c r="O301">
        <f>IF(COUNTIFS('United Data'!$A$3:$A$2150,O$1,'United Data'!$C$3:$C$2150,$A301,'United Data'!$B$3:$B$2150,"&lt;&gt;P")&gt;0,1,0)</f>
        <v>0</v>
      </c>
      <c r="P301">
        <f>IF(COUNTIFS('United Data'!$A$3:$A$2150,P$1,'United Data'!$C$3:$C$2150,$A301,'United Data'!$B$3:$B$2150,"&lt;&gt;P")&gt;0,1,0)</f>
        <v>0</v>
      </c>
      <c r="Q301">
        <f>IF(COUNTIFS('United Data'!$A$3:$A$2150,Q$1,'United Data'!$C$3:$C$2150,$A301,'United Data'!$B$3:$B$2150,"&lt;&gt;P")&gt;0,1,0)</f>
        <v>0</v>
      </c>
      <c r="R301">
        <f>IF(COUNTIFS('United Data'!$A$3:$A$2150,R$1,'United Data'!$C$3:$C$2150,$A301,'United Data'!$B$3:$B$2150,"&lt;&gt;P")&gt;0,1,0)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347</v>
      </c>
      <c r="B302">
        <f>IF(COUNTIFS('United Data'!$A$3:$A$2150,B$1,'United Data'!$C$3:$C$2150,$A302,'United Data'!$B$3:$B$2150,"&lt;&gt;P")&gt;0,1,0)</f>
        <v>0</v>
      </c>
      <c r="C302">
        <f>IF(COUNTIFS('United Data'!$A$3:$A$2150,C$1,'United Data'!$C$3:$C$2150,$A302,'United Data'!$B$3:$B$2150,"&lt;&gt;P")&gt;0,1,0)</f>
        <v>0</v>
      </c>
      <c r="D302">
        <f>IF(COUNTIFS('United Data'!$A$3:$A$2150,D$1,'United Data'!$C$3:$C$2150,$A302,'United Data'!$B$3:$B$2150,"&lt;&gt;P")&gt;0,1,0)</f>
        <v>0</v>
      </c>
      <c r="E302">
        <f>IF(COUNTIFS('United Data'!$A$3:$A$2150,E$1,'United Data'!$C$3:$C$2150,$A302,'United Data'!$B$3:$B$2150,"&lt;&gt;P")&gt;0,1,0)</f>
        <v>0</v>
      </c>
      <c r="F302">
        <f>IF(COUNTIFS('United Data'!$A$3:$A$2150,F$1,'United Data'!$C$3:$C$2150,$A302,'United Data'!$B$3:$B$2150,"&lt;&gt;P")&gt;0,1,0)</f>
        <v>0</v>
      </c>
      <c r="G302">
        <f>IF(COUNTIFS('United Data'!$A$3:$A$2150,G$1,'United Data'!$C$3:$C$2150,$A302,'United Data'!$B$3:$B$2150,"&lt;&gt;P")&gt;0,1,0)</f>
        <v>0</v>
      </c>
      <c r="H302">
        <f>IF(COUNTIFS('United Data'!$A$3:$A$2150,H$1,'United Data'!$C$3:$C$2150,$A302,'United Data'!$B$3:$B$2150,"&lt;&gt;P")&gt;0,1,0)</f>
        <v>0</v>
      </c>
      <c r="I302">
        <f>IF(COUNTIFS('United Data'!$A$3:$A$2150,I$1,'United Data'!$C$3:$C$2150,$A302,'United Data'!$B$3:$B$2150,"&lt;&gt;P")&gt;0,1,0)</f>
        <v>0</v>
      </c>
      <c r="J302">
        <f>IF(COUNTIFS('United Data'!$A$3:$A$2150,J$1,'United Data'!$C$3:$C$2150,$A302,'United Data'!$B$3:$B$2150,"&lt;&gt;P")&gt;0,1,0)</f>
        <v>0</v>
      </c>
      <c r="K302">
        <f>IF(COUNTIFS('United Data'!$A$3:$A$2150,K$1,'United Data'!$C$3:$C$2150,$A302,'United Data'!$B$3:$B$2150,"&lt;&gt;P")&gt;0,1,0)</f>
        <v>1</v>
      </c>
      <c r="L302">
        <f>IF(COUNTIFS('United Data'!$A$3:$A$2150,L$1,'United Data'!$C$3:$C$2150,$A302,'United Data'!$B$3:$B$2150,"&lt;&gt;P")&gt;0,1,0)</f>
        <v>0</v>
      </c>
      <c r="M302">
        <f>IF(COUNTIFS('United Data'!$A$3:$A$2150,M$1,'United Data'!$C$3:$C$2150,$A302,'United Data'!$B$3:$B$2150,"&lt;&gt;P")&gt;0,1,0)</f>
        <v>0</v>
      </c>
      <c r="N302">
        <f>IF(COUNTIFS('United Data'!$A$3:$A$2150,N$1,'United Data'!$C$3:$C$2150,$A302,'United Data'!$B$3:$B$2150,"&lt;&gt;P")&gt;0,1,0)</f>
        <v>0</v>
      </c>
      <c r="O302">
        <f>IF(COUNTIFS('United Data'!$A$3:$A$2150,O$1,'United Data'!$C$3:$C$2150,$A302,'United Data'!$B$3:$B$2150,"&lt;&gt;P")&gt;0,1,0)</f>
        <v>0</v>
      </c>
      <c r="P302">
        <f>IF(COUNTIFS('United Data'!$A$3:$A$2150,P$1,'United Data'!$C$3:$C$2150,$A302,'United Data'!$B$3:$B$2150,"&lt;&gt;P")&gt;0,1,0)</f>
        <v>0</v>
      </c>
      <c r="Q302">
        <f>IF(COUNTIFS('United Data'!$A$3:$A$2150,Q$1,'United Data'!$C$3:$C$2150,$A302,'United Data'!$B$3:$B$2150,"&lt;&gt;P")&gt;0,1,0)</f>
        <v>0</v>
      </c>
      <c r="R302">
        <f>IF(COUNTIFS('United Data'!$A$3:$A$2150,R$1,'United Data'!$C$3:$C$2150,$A302,'United Data'!$B$3:$B$2150,"&lt;&gt;P")&gt;0,1,0)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348</v>
      </c>
      <c r="B303">
        <f>IF(COUNTIFS('United Data'!$A$3:$A$2150,B$1,'United Data'!$C$3:$C$2150,$A303,'United Data'!$B$3:$B$2150,"&lt;&gt;P")&gt;0,1,0)</f>
        <v>0</v>
      </c>
      <c r="C303">
        <f>IF(COUNTIFS('United Data'!$A$3:$A$2150,C$1,'United Data'!$C$3:$C$2150,$A303,'United Data'!$B$3:$B$2150,"&lt;&gt;P")&gt;0,1,0)</f>
        <v>0</v>
      </c>
      <c r="D303">
        <f>IF(COUNTIFS('United Data'!$A$3:$A$2150,D$1,'United Data'!$C$3:$C$2150,$A303,'United Data'!$B$3:$B$2150,"&lt;&gt;P")&gt;0,1,0)</f>
        <v>0</v>
      </c>
      <c r="E303">
        <f>IF(COUNTIFS('United Data'!$A$3:$A$2150,E$1,'United Data'!$C$3:$C$2150,$A303,'United Data'!$B$3:$B$2150,"&lt;&gt;P")&gt;0,1,0)</f>
        <v>0</v>
      </c>
      <c r="F303">
        <f>IF(COUNTIFS('United Data'!$A$3:$A$2150,F$1,'United Data'!$C$3:$C$2150,$A303,'United Data'!$B$3:$B$2150,"&lt;&gt;P")&gt;0,1,0)</f>
        <v>0</v>
      </c>
      <c r="G303">
        <f>IF(COUNTIFS('United Data'!$A$3:$A$2150,G$1,'United Data'!$C$3:$C$2150,$A303,'United Data'!$B$3:$B$2150,"&lt;&gt;P")&gt;0,1,0)</f>
        <v>0</v>
      </c>
      <c r="H303">
        <f>IF(COUNTIFS('United Data'!$A$3:$A$2150,H$1,'United Data'!$C$3:$C$2150,$A303,'United Data'!$B$3:$B$2150,"&lt;&gt;P")&gt;0,1,0)</f>
        <v>0</v>
      </c>
      <c r="I303">
        <f>IF(COUNTIFS('United Data'!$A$3:$A$2150,I$1,'United Data'!$C$3:$C$2150,$A303,'United Data'!$B$3:$B$2150,"&lt;&gt;P")&gt;0,1,0)</f>
        <v>0</v>
      </c>
      <c r="J303">
        <f>IF(COUNTIFS('United Data'!$A$3:$A$2150,J$1,'United Data'!$C$3:$C$2150,$A303,'United Data'!$B$3:$B$2150,"&lt;&gt;P")&gt;0,1,0)</f>
        <v>0</v>
      </c>
      <c r="K303">
        <f>IF(COUNTIFS('United Data'!$A$3:$A$2150,K$1,'United Data'!$C$3:$C$2150,$A303,'United Data'!$B$3:$B$2150,"&lt;&gt;P")&gt;0,1,0)</f>
        <v>1</v>
      </c>
      <c r="L303">
        <f>IF(COUNTIFS('United Data'!$A$3:$A$2150,L$1,'United Data'!$C$3:$C$2150,$A303,'United Data'!$B$3:$B$2150,"&lt;&gt;P")&gt;0,1,0)</f>
        <v>0</v>
      </c>
      <c r="M303">
        <f>IF(COUNTIFS('United Data'!$A$3:$A$2150,M$1,'United Data'!$C$3:$C$2150,$A303,'United Data'!$B$3:$B$2150,"&lt;&gt;P")&gt;0,1,0)</f>
        <v>0</v>
      </c>
      <c r="N303">
        <f>IF(COUNTIFS('United Data'!$A$3:$A$2150,N$1,'United Data'!$C$3:$C$2150,$A303,'United Data'!$B$3:$B$2150,"&lt;&gt;P")&gt;0,1,0)</f>
        <v>0</v>
      </c>
      <c r="O303">
        <f>IF(COUNTIFS('United Data'!$A$3:$A$2150,O$1,'United Data'!$C$3:$C$2150,$A303,'United Data'!$B$3:$B$2150,"&lt;&gt;P")&gt;0,1,0)</f>
        <v>0</v>
      </c>
      <c r="P303">
        <f>IF(COUNTIFS('United Data'!$A$3:$A$2150,P$1,'United Data'!$C$3:$C$2150,$A303,'United Data'!$B$3:$B$2150,"&lt;&gt;P")&gt;0,1,0)</f>
        <v>0</v>
      </c>
      <c r="Q303">
        <f>IF(COUNTIFS('United Data'!$A$3:$A$2150,Q$1,'United Data'!$C$3:$C$2150,$A303,'United Data'!$B$3:$B$2150,"&lt;&gt;P")&gt;0,1,0)</f>
        <v>0</v>
      </c>
      <c r="R303">
        <f>IF(COUNTIFS('United Data'!$A$3:$A$2150,R$1,'United Data'!$C$3:$C$2150,$A303,'United Data'!$B$3:$B$2150,"&lt;&gt;P")&gt;0,1,0)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349</v>
      </c>
      <c r="B304">
        <f>IF(COUNTIFS('United Data'!$A$3:$A$2150,B$1,'United Data'!$C$3:$C$2150,$A304,'United Data'!$B$3:$B$2150,"&lt;&gt;P")&gt;0,1,0)</f>
        <v>0</v>
      </c>
      <c r="C304">
        <f>IF(COUNTIFS('United Data'!$A$3:$A$2150,C$1,'United Data'!$C$3:$C$2150,$A304,'United Data'!$B$3:$B$2150,"&lt;&gt;P")&gt;0,1,0)</f>
        <v>0</v>
      </c>
      <c r="D304">
        <f>IF(COUNTIFS('United Data'!$A$3:$A$2150,D$1,'United Data'!$C$3:$C$2150,$A304,'United Data'!$B$3:$B$2150,"&lt;&gt;P")&gt;0,1,0)</f>
        <v>0</v>
      </c>
      <c r="E304">
        <f>IF(COUNTIFS('United Data'!$A$3:$A$2150,E$1,'United Data'!$C$3:$C$2150,$A304,'United Data'!$B$3:$B$2150,"&lt;&gt;P")&gt;0,1,0)</f>
        <v>0</v>
      </c>
      <c r="F304">
        <f>IF(COUNTIFS('United Data'!$A$3:$A$2150,F$1,'United Data'!$C$3:$C$2150,$A304,'United Data'!$B$3:$B$2150,"&lt;&gt;P")&gt;0,1,0)</f>
        <v>0</v>
      </c>
      <c r="G304">
        <f>IF(COUNTIFS('United Data'!$A$3:$A$2150,G$1,'United Data'!$C$3:$C$2150,$A304,'United Data'!$B$3:$B$2150,"&lt;&gt;P")&gt;0,1,0)</f>
        <v>0</v>
      </c>
      <c r="H304">
        <f>IF(COUNTIFS('United Data'!$A$3:$A$2150,H$1,'United Data'!$C$3:$C$2150,$A304,'United Data'!$B$3:$B$2150,"&lt;&gt;P")&gt;0,1,0)</f>
        <v>0</v>
      </c>
      <c r="I304">
        <f>IF(COUNTIFS('United Data'!$A$3:$A$2150,I$1,'United Data'!$C$3:$C$2150,$A304,'United Data'!$B$3:$B$2150,"&lt;&gt;P")&gt;0,1,0)</f>
        <v>0</v>
      </c>
      <c r="J304">
        <f>IF(COUNTIFS('United Data'!$A$3:$A$2150,J$1,'United Data'!$C$3:$C$2150,$A304,'United Data'!$B$3:$B$2150,"&lt;&gt;P")&gt;0,1,0)</f>
        <v>0</v>
      </c>
      <c r="K304">
        <f>IF(COUNTIFS('United Data'!$A$3:$A$2150,K$1,'United Data'!$C$3:$C$2150,$A304,'United Data'!$B$3:$B$2150,"&lt;&gt;P")&gt;0,1,0)</f>
        <v>0</v>
      </c>
      <c r="L304">
        <f>IF(COUNTIFS('United Data'!$A$3:$A$2150,L$1,'United Data'!$C$3:$C$2150,$A304,'United Data'!$B$3:$B$2150,"&lt;&gt;P")&gt;0,1,0)</f>
        <v>1</v>
      </c>
      <c r="M304">
        <f>IF(COUNTIFS('United Data'!$A$3:$A$2150,M$1,'United Data'!$C$3:$C$2150,$A304,'United Data'!$B$3:$B$2150,"&lt;&gt;P")&gt;0,1,0)</f>
        <v>0</v>
      </c>
      <c r="N304">
        <f>IF(COUNTIFS('United Data'!$A$3:$A$2150,N$1,'United Data'!$C$3:$C$2150,$A304,'United Data'!$B$3:$B$2150,"&lt;&gt;P")&gt;0,1,0)</f>
        <v>0</v>
      </c>
      <c r="O304">
        <f>IF(COUNTIFS('United Data'!$A$3:$A$2150,O$1,'United Data'!$C$3:$C$2150,$A304,'United Data'!$B$3:$B$2150,"&lt;&gt;P")&gt;0,1,0)</f>
        <v>0</v>
      </c>
      <c r="P304">
        <f>IF(COUNTIFS('United Data'!$A$3:$A$2150,P$1,'United Data'!$C$3:$C$2150,$A304,'United Data'!$B$3:$B$2150,"&lt;&gt;P")&gt;0,1,0)</f>
        <v>0</v>
      </c>
      <c r="Q304">
        <f>IF(COUNTIFS('United Data'!$A$3:$A$2150,Q$1,'United Data'!$C$3:$C$2150,$A304,'United Data'!$B$3:$B$2150,"&lt;&gt;P")&gt;0,1,0)</f>
        <v>0</v>
      </c>
      <c r="R304">
        <f>IF(COUNTIFS('United Data'!$A$3:$A$2150,R$1,'United Data'!$C$3:$C$2150,$A304,'United Data'!$B$3:$B$2150,"&lt;&gt;P")&gt;0,1,0)</f>
        <v>0</v>
      </c>
      <c r="S304">
        <f t="shared" si="8"/>
        <v>1</v>
      </c>
      <c r="T304">
        <f t="shared" si="9"/>
        <v>1</v>
      </c>
    </row>
    <row r="305" spans="1:20" x14ac:dyDescent="0.2">
      <c r="A305" t="s">
        <v>350</v>
      </c>
      <c r="B305">
        <f>IF(COUNTIFS('United Data'!$A$3:$A$2150,B$1,'United Data'!$C$3:$C$2150,$A305,'United Data'!$B$3:$B$2150,"&lt;&gt;P")&gt;0,1,0)</f>
        <v>0</v>
      </c>
      <c r="C305">
        <f>IF(COUNTIFS('United Data'!$A$3:$A$2150,C$1,'United Data'!$C$3:$C$2150,$A305,'United Data'!$B$3:$B$2150,"&lt;&gt;P")&gt;0,1,0)</f>
        <v>0</v>
      </c>
      <c r="D305">
        <f>IF(COUNTIFS('United Data'!$A$3:$A$2150,D$1,'United Data'!$C$3:$C$2150,$A305,'United Data'!$B$3:$B$2150,"&lt;&gt;P")&gt;0,1,0)</f>
        <v>0</v>
      </c>
      <c r="E305">
        <f>IF(COUNTIFS('United Data'!$A$3:$A$2150,E$1,'United Data'!$C$3:$C$2150,$A305,'United Data'!$B$3:$B$2150,"&lt;&gt;P")&gt;0,1,0)</f>
        <v>0</v>
      </c>
      <c r="F305">
        <f>IF(COUNTIFS('United Data'!$A$3:$A$2150,F$1,'United Data'!$C$3:$C$2150,$A305,'United Data'!$B$3:$B$2150,"&lt;&gt;P")&gt;0,1,0)</f>
        <v>0</v>
      </c>
      <c r="G305">
        <f>IF(COUNTIFS('United Data'!$A$3:$A$2150,G$1,'United Data'!$C$3:$C$2150,$A305,'United Data'!$B$3:$B$2150,"&lt;&gt;P")&gt;0,1,0)</f>
        <v>0</v>
      </c>
      <c r="H305">
        <f>IF(COUNTIFS('United Data'!$A$3:$A$2150,H$1,'United Data'!$C$3:$C$2150,$A305,'United Data'!$B$3:$B$2150,"&lt;&gt;P")&gt;0,1,0)</f>
        <v>0</v>
      </c>
      <c r="I305">
        <f>IF(COUNTIFS('United Data'!$A$3:$A$2150,I$1,'United Data'!$C$3:$C$2150,$A305,'United Data'!$B$3:$B$2150,"&lt;&gt;P")&gt;0,1,0)</f>
        <v>0</v>
      </c>
      <c r="J305">
        <f>IF(COUNTIFS('United Data'!$A$3:$A$2150,J$1,'United Data'!$C$3:$C$2150,$A305,'United Data'!$B$3:$B$2150,"&lt;&gt;P")&gt;0,1,0)</f>
        <v>0</v>
      </c>
      <c r="K305">
        <f>IF(COUNTIFS('United Data'!$A$3:$A$2150,K$1,'United Data'!$C$3:$C$2150,$A305,'United Data'!$B$3:$B$2150,"&lt;&gt;P")&gt;0,1,0)</f>
        <v>0</v>
      </c>
      <c r="L305">
        <f>IF(COUNTIFS('United Data'!$A$3:$A$2150,L$1,'United Data'!$C$3:$C$2150,$A305,'United Data'!$B$3:$B$2150,"&lt;&gt;P")&gt;0,1,0)</f>
        <v>1</v>
      </c>
      <c r="M305">
        <f>IF(COUNTIFS('United Data'!$A$3:$A$2150,M$1,'United Data'!$C$3:$C$2150,$A305,'United Data'!$B$3:$B$2150,"&lt;&gt;P")&gt;0,1,0)</f>
        <v>1</v>
      </c>
      <c r="N305">
        <f>IF(COUNTIFS('United Data'!$A$3:$A$2150,N$1,'United Data'!$C$3:$C$2150,$A305,'United Data'!$B$3:$B$2150,"&lt;&gt;P")&gt;0,1,0)</f>
        <v>0</v>
      </c>
      <c r="O305">
        <f>IF(COUNTIFS('United Data'!$A$3:$A$2150,O$1,'United Data'!$C$3:$C$2150,$A305,'United Data'!$B$3:$B$2150,"&lt;&gt;P")&gt;0,1,0)</f>
        <v>0</v>
      </c>
      <c r="P305">
        <f>IF(COUNTIFS('United Data'!$A$3:$A$2150,P$1,'United Data'!$C$3:$C$2150,$A305,'United Data'!$B$3:$B$2150,"&lt;&gt;P")&gt;0,1,0)</f>
        <v>0</v>
      </c>
      <c r="Q305">
        <f>IF(COUNTIFS('United Data'!$A$3:$A$2150,Q$1,'United Data'!$C$3:$C$2150,$A305,'United Data'!$B$3:$B$2150,"&lt;&gt;P")&gt;0,1,0)</f>
        <v>0</v>
      </c>
      <c r="R305">
        <f>IF(COUNTIFS('United Data'!$A$3:$A$2150,R$1,'United Data'!$C$3:$C$2150,$A305,'United Data'!$B$3:$B$2150,"&lt;&gt;P")&gt;0,1,0)</f>
        <v>0</v>
      </c>
      <c r="S305">
        <f t="shared" si="8"/>
        <v>2</v>
      </c>
      <c r="T305">
        <f t="shared" si="9"/>
        <v>1</v>
      </c>
    </row>
    <row r="306" spans="1:20" x14ac:dyDescent="0.2">
      <c r="A306" t="s">
        <v>351</v>
      </c>
      <c r="B306">
        <f>IF(COUNTIFS('United Data'!$A$3:$A$2150,B$1,'United Data'!$C$3:$C$2150,$A306,'United Data'!$B$3:$B$2150,"&lt;&gt;P")&gt;0,1,0)</f>
        <v>0</v>
      </c>
      <c r="C306">
        <f>IF(COUNTIFS('United Data'!$A$3:$A$2150,C$1,'United Data'!$C$3:$C$2150,$A306,'United Data'!$B$3:$B$2150,"&lt;&gt;P")&gt;0,1,0)</f>
        <v>0</v>
      </c>
      <c r="D306">
        <f>IF(COUNTIFS('United Data'!$A$3:$A$2150,D$1,'United Data'!$C$3:$C$2150,$A306,'United Data'!$B$3:$B$2150,"&lt;&gt;P")&gt;0,1,0)</f>
        <v>0</v>
      </c>
      <c r="E306">
        <f>IF(COUNTIFS('United Data'!$A$3:$A$2150,E$1,'United Data'!$C$3:$C$2150,$A306,'United Data'!$B$3:$B$2150,"&lt;&gt;P")&gt;0,1,0)</f>
        <v>0</v>
      </c>
      <c r="F306">
        <f>IF(COUNTIFS('United Data'!$A$3:$A$2150,F$1,'United Data'!$C$3:$C$2150,$A306,'United Data'!$B$3:$B$2150,"&lt;&gt;P")&gt;0,1,0)</f>
        <v>0</v>
      </c>
      <c r="G306">
        <f>IF(COUNTIFS('United Data'!$A$3:$A$2150,G$1,'United Data'!$C$3:$C$2150,$A306,'United Data'!$B$3:$B$2150,"&lt;&gt;P")&gt;0,1,0)</f>
        <v>0</v>
      </c>
      <c r="H306">
        <f>IF(COUNTIFS('United Data'!$A$3:$A$2150,H$1,'United Data'!$C$3:$C$2150,$A306,'United Data'!$B$3:$B$2150,"&lt;&gt;P")&gt;0,1,0)</f>
        <v>0</v>
      </c>
      <c r="I306">
        <f>IF(COUNTIFS('United Data'!$A$3:$A$2150,I$1,'United Data'!$C$3:$C$2150,$A306,'United Data'!$B$3:$B$2150,"&lt;&gt;P")&gt;0,1,0)</f>
        <v>0</v>
      </c>
      <c r="J306">
        <f>IF(COUNTIFS('United Data'!$A$3:$A$2150,J$1,'United Data'!$C$3:$C$2150,$A306,'United Data'!$B$3:$B$2150,"&lt;&gt;P")&gt;0,1,0)</f>
        <v>0</v>
      </c>
      <c r="K306">
        <f>IF(COUNTIFS('United Data'!$A$3:$A$2150,K$1,'United Data'!$C$3:$C$2150,$A306,'United Data'!$B$3:$B$2150,"&lt;&gt;P")&gt;0,1,0)</f>
        <v>0</v>
      </c>
      <c r="L306">
        <f>IF(COUNTIFS('United Data'!$A$3:$A$2150,L$1,'United Data'!$C$3:$C$2150,$A306,'United Data'!$B$3:$B$2150,"&lt;&gt;P")&gt;0,1,0)</f>
        <v>1</v>
      </c>
      <c r="M306">
        <f>IF(COUNTIFS('United Data'!$A$3:$A$2150,M$1,'United Data'!$C$3:$C$2150,$A306,'United Data'!$B$3:$B$2150,"&lt;&gt;P")&gt;0,1,0)</f>
        <v>0</v>
      </c>
      <c r="N306">
        <f>IF(COUNTIFS('United Data'!$A$3:$A$2150,N$1,'United Data'!$C$3:$C$2150,$A306,'United Data'!$B$3:$B$2150,"&lt;&gt;P")&gt;0,1,0)</f>
        <v>0</v>
      </c>
      <c r="O306">
        <f>IF(COUNTIFS('United Data'!$A$3:$A$2150,O$1,'United Data'!$C$3:$C$2150,$A306,'United Data'!$B$3:$B$2150,"&lt;&gt;P")&gt;0,1,0)</f>
        <v>0</v>
      </c>
      <c r="P306">
        <f>IF(COUNTIFS('United Data'!$A$3:$A$2150,P$1,'United Data'!$C$3:$C$2150,$A306,'United Data'!$B$3:$B$2150,"&lt;&gt;P")&gt;0,1,0)</f>
        <v>0</v>
      </c>
      <c r="Q306">
        <f>IF(COUNTIFS('United Data'!$A$3:$A$2150,Q$1,'United Data'!$C$3:$C$2150,$A306,'United Data'!$B$3:$B$2150,"&lt;&gt;P")&gt;0,1,0)</f>
        <v>0</v>
      </c>
      <c r="R306">
        <f>IF(COUNTIFS('United Data'!$A$3:$A$2150,R$1,'United Data'!$C$3:$C$2150,$A306,'United Data'!$B$3:$B$2150,"&lt;&gt;P")&gt;0,1,0)</f>
        <v>0</v>
      </c>
      <c r="S306">
        <f t="shared" si="8"/>
        <v>1</v>
      </c>
      <c r="T306">
        <f t="shared" si="9"/>
        <v>1</v>
      </c>
    </row>
    <row r="307" spans="1:20" x14ac:dyDescent="0.2">
      <c r="A307" t="s">
        <v>352</v>
      </c>
      <c r="B307">
        <f>IF(COUNTIFS('United Data'!$A$3:$A$2150,B$1,'United Data'!$C$3:$C$2150,$A307,'United Data'!$B$3:$B$2150,"&lt;&gt;P")&gt;0,1,0)</f>
        <v>0</v>
      </c>
      <c r="C307">
        <f>IF(COUNTIFS('United Data'!$A$3:$A$2150,C$1,'United Data'!$C$3:$C$2150,$A307,'United Data'!$B$3:$B$2150,"&lt;&gt;P")&gt;0,1,0)</f>
        <v>0</v>
      </c>
      <c r="D307">
        <f>IF(COUNTIFS('United Data'!$A$3:$A$2150,D$1,'United Data'!$C$3:$C$2150,$A307,'United Data'!$B$3:$B$2150,"&lt;&gt;P")&gt;0,1,0)</f>
        <v>0</v>
      </c>
      <c r="E307">
        <f>IF(COUNTIFS('United Data'!$A$3:$A$2150,E$1,'United Data'!$C$3:$C$2150,$A307,'United Data'!$B$3:$B$2150,"&lt;&gt;P")&gt;0,1,0)</f>
        <v>0</v>
      </c>
      <c r="F307">
        <f>IF(COUNTIFS('United Data'!$A$3:$A$2150,F$1,'United Data'!$C$3:$C$2150,$A307,'United Data'!$B$3:$B$2150,"&lt;&gt;P")&gt;0,1,0)</f>
        <v>0</v>
      </c>
      <c r="G307">
        <f>IF(COUNTIFS('United Data'!$A$3:$A$2150,G$1,'United Data'!$C$3:$C$2150,$A307,'United Data'!$B$3:$B$2150,"&lt;&gt;P")&gt;0,1,0)</f>
        <v>0</v>
      </c>
      <c r="H307">
        <f>IF(COUNTIFS('United Data'!$A$3:$A$2150,H$1,'United Data'!$C$3:$C$2150,$A307,'United Data'!$B$3:$B$2150,"&lt;&gt;P")&gt;0,1,0)</f>
        <v>0</v>
      </c>
      <c r="I307">
        <f>IF(COUNTIFS('United Data'!$A$3:$A$2150,I$1,'United Data'!$C$3:$C$2150,$A307,'United Data'!$B$3:$B$2150,"&lt;&gt;P")&gt;0,1,0)</f>
        <v>0</v>
      </c>
      <c r="J307">
        <f>IF(COUNTIFS('United Data'!$A$3:$A$2150,J$1,'United Data'!$C$3:$C$2150,$A307,'United Data'!$B$3:$B$2150,"&lt;&gt;P")&gt;0,1,0)</f>
        <v>0</v>
      </c>
      <c r="K307">
        <f>IF(COUNTIFS('United Data'!$A$3:$A$2150,K$1,'United Data'!$C$3:$C$2150,$A307,'United Data'!$B$3:$B$2150,"&lt;&gt;P")&gt;0,1,0)</f>
        <v>0</v>
      </c>
      <c r="L307">
        <f>IF(COUNTIFS('United Data'!$A$3:$A$2150,L$1,'United Data'!$C$3:$C$2150,$A307,'United Data'!$B$3:$B$2150,"&lt;&gt;P")&gt;0,1,0)</f>
        <v>1</v>
      </c>
      <c r="M307">
        <f>IF(COUNTIFS('United Data'!$A$3:$A$2150,M$1,'United Data'!$C$3:$C$2150,$A307,'United Data'!$B$3:$B$2150,"&lt;&gt;P")&gt;0,1,0)</f>
        <v>0</v>
      </c>
      <c r="N307">
        <f>IF(COUNTIFS('United Data'!$A$3:$A$2150,N$1,'United Data'!$C$3:$C$2150,$A307,'United Data'!$B$3:$B$2150,"&lt;&gt;P")&gt;0,1,0)</f>
        <v>0</v>
      </c>
      <c r="O307">
        <f>IF(COUNTIFS('United Data'!$A$3:$A$2150,O$1,'United Data'!$C$3:$C$2150,$A307,'United Data'!$B$3:$B$2150,"&lt;&gt;P")&gt;0,1,0)</f>
        <v>0</v>
      </c>
      <c r="P307">
        <f>IF(COUNTIFS('United Data'!$A$3:$A$2150,P$1,'United Data'!$C$3:$C$2150,$A307,'United Data'!$B$3:$B$2150,"&lt;&gt;P")&gt;0,1,0)</f>
        <v>0</v>
      </c>
      <c r="Q307">
        <f>IF(COUNTIFS('United Data'!$A$3:$A$2150,Q$1,'United Data'!$C$3:$C$2150,$A307,'United Data'!$B$3:$B$2150,"&lt;&gt;P")&gt;0,1,0)</f>
        <v>0</v>
      </c>
      <c r="R307">
        <f>IF(COUNTIFS('United Data'!$A$3:$A$2150,R$1,'United Data'!$C$3:$C$2150,$A307,'United Data'!$B$3:$B$2150,"&lt;&gt;P")&gt;0,1,0)</f>
        <v>0</v>
      </c>
      <c r="S307">
        <f t="shared" si="8"/>
        <v>1</v>
      </c>
      <c r="T307">
        <f t="shared" si="9"/>
        <v>1</v>
      </c>
    </row>
    <row r="308" spans="1:20" x14ac:dyDescent="0.2">
      <c r="A308" t="s">
        <v>353</v>
      </c>
      <c r="B308">
        <f>IF(COUNTIFS('United Data'!$A$3:$A$2150,B$1,'United Data'!$C$3:$C$2150,$A308,'United Data'!$B$3:$B$2150,"&lt;&gt;P")&gt;0,1,0)</f>
        <v>0</v>
      </c>
      <c r="C308">
        <f>IF(COUNTIFS('United Data'!$A$3:$A$2150,C$1,'United Data'!$C$3:$C$2150,$A308,'United Data'!$B$3:$B$2150,"&lt;&gt;P")&gt;0,1,0)</f>
        <v>0</v>
      </c>
      <c r="D308">
        <f>IF(COUNTIFS('United Data'!$A$3:$A$2150,D$1,'United Data'!$C$3:$C$2150,$A308,'United Data'!$B$3:$B$2150,"&lt;&gt;P")&gt;0,1,0)</f>
        <v>0</v>
      </c>
      <c r="E308">
        <f>IF(COUNTIFS('United Data'!$A$3:$A$2150,E$1,'United Data'!$C$3:$C$2150,$A308,'United Data'!$B$3:$B$2150,"&lt;&gt;P")&gt;0,1,0)</f>
        <v>0</v>
      </c>
      <c r="F308">
        <f>IF(COUNTIFS('United Data'!$A$3:$A$2150,F$1,'United Data'!$C$3:$C$2150,$A308,'United Data'!$B$3:$B$2150,"&lt;&gt;P")&gt;0,1,0)</f>
        <v>0</v>
      </c>
      <c r="G308">
        <f>IF(COUNTIFS('United Data'!$A$3:$A$2150,G$1,'United Data'!$C$3:$C$2150,$A308,'United Data'!$B$3:$B$2150,"&lt;&gt;P")&gt;0,1,0)</f>
        <v>0</v>
      </c>
      <c r="H308">
        <f>IF(COUNTIFS('United Data'!$A$3:$A$2150,H$1,'United Data'!$C$3:$C$2150,$A308,'United Data'!$B$3:$B$2150,"&lt;&gt;P")&gt;0,1,0)</f>
        <v>0</v>
      </c>
      <c r="I308">
        <f>IF(COUNTIFS('United Data'!$A$3:$A$2150,I$1,'United Data'!$C$3:$C$2150,$A308,'United Data'!$B$3:$B$2150,"&lt;&gt;P")&gt;0,1,0)</f>
        <v>0</v>
      </c>
      <c r="J308">
        <f>IF(COUNTIFS('United Data'!$A$3:$A$2150,J$1,'United Data'!$C$3:$C$2150,$A308,'United Data'!$B$3:$B$2150,"&lt;&gt;P")&gt;0,1,0)</f>
        <v>0</v>
      </c>
      <c r="K308">
        <f>IF(COUNTIFS('United Data'!$A$3:$A$2150,K$1,'United Data'!$C$3:$C$2150,$A308,'United Data'!$B$3:$B$2150,"&lt;&gt;P")&gt;0,1,0)</f>
        <v>0</v>
      </c>
      <c r="L308">
        <f>IF(COUNTIFS('United Data'!$A$3:$A$2150,L$1,'United Data'!$C$3:$C$2150,$A308,'United Data'!$B$3:$B$2150,"&lt;&gt;P")&gt;0,1,0)</f>
        <v>0</v>
      </c>
      <c r="M308">
        <f>IF(COUNTIFS('United Data'!$A$3:$A$2150,M$1,'United Data'!$C$3:$C$2150,$A308,'United Data'!$B$3:$B$2150,"&lt;&gt;P")&gt;0,1,0)</f>
        <v>1</v>
      </c>
      <c r="N308">
        <f>IF(COUNTIFS('United Data'!$A$3:$A$2150,N$1,'United Data'!$C$3:$C$2150,$A308,'United Data'!$B$3:$B$2150,"&lt;&gt;P")&gt;0,1,0)</f>
        <v>0</v>
      </c>
      <c r="O308">
        <f>IF(COUNTIFS('United Data'!$A$3:$A$2150,O$1,'United Data'!$C$3:$C$2150,$A308,'United Data'!$B$3:$B$2150,"&lt;&gt;P")&gt;0,1,0)</f>
        <v>0</v>
      </c>
      <c r="P308">
        <f>IF(COUNTIFS('United Data'!$A$3:$A$2150,P$1,'United Data'!$C$3:$C$2150,$A308,'United Data'!$B$3:$B$2150,"&lt;&gt;P")&gt;0,1,0)</f>
        <v>0</v>
      </c>
      <c r="Q308">
        <f>IF(COUNTIFS('United Data'!$A$3:$A$2150,Q$1,'United Data'!$C$3:$C$2150,$A308,'United Data'!$B$3:$B$2150,"&lt;&gt;P")&gt;0,1,0)</f>
        <v>0</v>
      </c>
      <c r="R308">
        <f>IF(COUNTIFS('United Data'!$A$3:$A$2150,R$1,'United Data'!$C$3:$C$2150,$A308,'United Data'!$B$3:$B$2150,"&lt;&gt;P")&gt;0,1,0)</f>
        <v>0</v>
      </c>
      <c r="S308">
        <f t="shared" si="8"/>
        <v>1</v>
      </c>
      <c r="T308">
        <f t="shared" si="9"/>
        <v>1</v>
      </c>
    </row>
    <row r="309" spans="1:20" x14ac:dyDescent="0.2">
      <c r="A309" t="s">
        <v>354</v>
      </c>
      <c r="B309">
        <f>IF(COUNTIFS('United Data'!$A$3:$A$2150,B$1,'United Data'!$C$3:$C$2150,$A309,'United Data'!$B$3:$B$2150,"&lt;&gt;P")&gt;0,1,0)</f>
        <v>0</v>
      </c>
      <c r="C309">
        <f>IF(COUNTIFS('United Data'!$A$3:$A$2150,C$1,'United Data'!$C$3:$C$2150,$A309,'United Data'!$B$3:$B$2150,"&lt;&gt;P")&gt;0,1,0)</f>
        <v>0</v>
      </c>
      <c r="D309">
        <f>IF(COUNTIFS('United Data'!$A$3:$A$2150,D$1,'United Data'!$C$3:$C$2150,$A309,'United Data'!$B$3:$B$2150,"&lt;&gt;P")&gt;0,1,0)</f>
        <v>0</v>
      </c>
      <c r="E309">
        <f>IF(COUNTIFS('United Data'!$A$3:$A$2150,E$1,'United Data'!$C$3:$C$2150,$A309,'United Data'!$B$3:$B$2150,"&lt;&gt;P")&gt;0,1,0)</f>
        <v>0</v>
      </c>
      <c r="F309">
        <f>IF(COUNTIFS('United Data'!$A$3:$A$2150,F$1,'United Data'!$C$3:$C$2150,$A309,'United Data'!$B$3:$B$2150,"&lt;&gt;P")&gt;0,1,0)</f>
        <v>0</v>
      </c>
      <c r="G309">
        <f>IF(COUNTIFS('United Data'!$A$3:$A$2150,G$1,'United Data'!$C$3:$C$2150,$A309,'United Data'!$B$3:$B$2150,"&lt;&gt;P")&gt;0,1,0)</f>
        <v>0</v>
      </c>
      <c r="H309">
        <f>IF(COUNTIFS('United Data'!$A$3:$A$2150,H$1,'United Data'!$C$3:$C$2150,$A309,'United Data'!$B$3:$B$2150,"&lt;&gt;P")&gt;0,1,0)</f>
        <v>0</v>
      </c>
      <c r="I309">
        <f>IF(COUNTIFS('United Data'!$A$3:$A$2150,I$1,'United Data'!$C$3:$C$2150,$A309,'United Data'!$B$3:$B$2150,"&lt;&gt;P")&gt;0,1,0)</f>
        <v>0</v>
      </c>
      <c r="J309">
        <f>IF(COUNTIFS('United Data'!$A$3:$A$2150,J$1,'United Data'!$C$3:$C$2150,$A309,'United Data'!$B$3:$B$2150,"&lt;&gt;P")&gt;0,1,0)</f>
        <v>0</v>
      </c>
      <c r="K309">
        <f>IF(COUNTIFS('United Data'!$A$3:$A$2150,K$1,'United Data'!$C$3:$C$2150,$A309,'United Data'!$B$3:$B$2150,"&lt;&gt;P")&gt;0,1,0)</f>
        <v>0</v>
      </c>
      <c r="L309">
        <f>IF(COUNTIFS('United Data'!$A$3:$A$2150,L$1,'United Data'!$C$3:$C$2150,$A309,'United Data'!$B$3:$B$2150,"&lt;&gt;P")&gt;0,1,0)</f>
        <v>0</v>
      </c>
      <c r="M309">
        <f>IF(COUNTIFS('United Data'!$A$3:$A$2150,M$1,'United Data'!$C$3:$C$2150,$A309,'United Data'!$B$3:$B$2150,"&lt;&gt;P")&gt;0,1,0)</f>
        <v>0</v>
      </c>
      <c r="N309">
        <f>IF(COUNTIFS('United Data'!$A$3:$A$2150,N$1,'United Data'!$C$3:$C$2150,$A309,'United Data'!$B$3:$B$2150,"&lt;&gt;P")&gt;0,1,0)</f>
        <v>1</v>
      </c>
      <c r="O309">
        <f>IF(COUNTIFS('United Data'!$A$3:$A$2150,O$1,'United Data'!$C$3:$C$2150,$A309,'United Data'!$B$3:$B$2150,"&lt;&gt;P")&gt;0,1,0)</f>
        <v>0</v>
      </c>
      <c r="P309">
        <f>IF(COUNTIFS('United Data'!$A$3:$A$2150,P$1,'United Data'!$C$3:$C$2150,$A309,'United Data'!$B$3:$B$2150,"&lt;&gt;P")&gt;0,1,0)</f>
        <v>0</v>
      </c>
      <c r="Q309">
        <f>IF(COUNTIFS('United Data'!$A$3:$A$2150,Q$1,'United Data'!$C$3:$C$2150,$A309,'United Data'!$B$3:$B$2150,"&lt;&gt;P")&gt;0,1,0)</f>
        <v>0</v>
      </c>
      <c r="R309">
        <f>IF(COUNTIFS('United Data'!$A$3:$A$2150,R$1,'United Data'!$C$3:$C$2150,$A309,'United Data'!$B$3:$B$2150,"&lt;&gt;P")&gt;0,1,0)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355</v>
      </c>
      <c r="B310">
        <f>IF(COUNTIFS('United Data'!$A$3:$A$2150,B$1,'United Data'!$C$3:$C$2150,$A310,'United Data'!$B$3:$B$2150,"&lt;&gt;P")&gt;0,1,0)</f>
        <v>0</v>
      </c>
      <c r="C310">
        <f>IF(COUNTIFS('United Data'!$A$3:$A$2150,C$1,'United Data'!$C$3:$C$2150,$A310,'United Data'!$B$3:$B$2150,"&lt;&gt;P")&gt;0,1,0)</f>
        <v>0</v>
      </c>
      <c r="D310">
        <f>IF(COUNTIFS('United Data'!$A$3:$A$2150,D$1,'United Data'!$C$3:$C$2150,$A310,'United Data'!$B$3:$B$2150,"&lt;&gt;P")&gt;0,1,0)</f>
        <v>0</v>
      </c>
      <c r="E310">
        <f>IF(COUNTIFS('United Data'!$A$3:$A$2150,E$1,'United Data'!$C$3:$C$2150,$A310,'United Data'!$B$3:$B$2150,"&lt;&gt;P")&gt;0,1,0)</f>
        <v>0</v>
      </c>
      <c r="F310">
        <f>IF(COUNTIFS('United Data'!$A$3:$A$2150,F$1,'United Data'!$C$3:$C$2150,$A310,'United Data'!$B$3:$B$2150,"&lt;&gt;P")&gt;0,1,0)</f>
        <v>0</v>
      </c>
      <c r="G310">
        <f>IF(COUNTIFS('United Data'!$A$3:$A$2150,G$1,'United Data'!$C$3:$C$2150,$A310,'United Data'!$B$3:$B$2150,"&lt;&gt;P")&gt;0,1,0)</f>
        <v>0</v>
      </c>
      <c r="H310">
        <f>IF(COUNTIFS('United Data'!$A$3:$A$2150,H$1,'United Data'!$C$3:$C$2150,$A310,'United Data'!$B$3:$B$2150,"&lt;&gt;P")&gt;0,1,0)</f>
        <v>0</v>
      </c>
      <c r="I310">
        <f>IF(COUNTIFS('United Data'!$A$3:$A$2150,I$1,'United Data'!$C$3:$C$2150,$A310,'United Data'!$B$3:$B$2150,"&lt;&gt;P")&gt;0,1,0)</f>
        <v>0</v>
      </c>
      <c r="J310">
        <f>IF(COUNTIFS('United Data'!$A$3:$A$2150,J$1,'United Data'!$C$3:$C$2150,$A310,'United Data'!$B$3:$B$2150,"&lt;&gt;P")&gt;0,1,0)</f>
        <v>0</v>
      </c>
      <c r="K310">
        <f>IF(COUNTIFS('United Data'!$A$3:$A$2150,K$1,'United Data'!$C$3:$C$2150,$A310,'United Data'!$B$3:$B$2150,"&lt;&gt;P")&gt;0,1,0)</f>
        <v>0</v>
      </c>
      <c r="L310">
        <f>IF(COUNTIFS('United Data'!$A$3:$A$2150,L$1,'United Data'!$C$3:$C$2150,$A310,'United Data'!$B$3:$B$2150,"&lt;&gt;P")&gt;0,1,0)</f>
        <v>0</v>
      </c>
      <c r="M310">
        <f>IF(COUNTIFS('United Data'!$A$3:$A$2150,M$1,'United Data'!$C$3:$C$2150,$A310,'United Data'!$B$3:$B$2150,"&lt;&gt;P")&gt;0,1,0)</f>
        <v>0</v>
      </c>
      <c r="N310">
        <f>IF(COUNTIFS('United Data'!$A$3:$A$2150,N$1,'United Data'!$C$3:$C$2150,$A310,'United Data'!$B$3:$B$2150,"&lt;&gt;P")&gt;0,1,0)</f>
        <v>1</v>
      </c>
      <c r="O310">
        <f>IF(COUNTIFS('United Data'!$A$3:$A$2150,O$1,'United Data'!$C$3:$C$2150,$A310,'United Data'!$B$3:$B$2150,"&lt;&gt;P")&gt;0,1,0)</f>
        <v>1</v>
      </c>
      <c r="P310">
        <f>IF(COUNTIFS('United Data'!$A$3:$A$2150,P$1,'United Data'!$C$3:$C$2150,$A310,'United Data'!$B$3:$B$2150,"&lt;&gt;P")&gt;0,1,0)</f>
        <v>0</v>
      </c>
      <c r="Q310">
        <f>IF(COUNTIFS('United Data'!$A$3:$A$2150,Q$1,'United Data'!$C$3:$C$2150,$A310,'United Data'!$B$3:$B$2150,"&lt;&gt;P")&gt;0,1,0)</f>
        <v>0</v>
      </c>
      <c r="R310">
        <f>IF(COUNTIFS('United Data'!$A$3:$A$2150,R$1,'United Data'!$C$3:$C$2150,$A310,'United Data'!$B$3:$B$2150,"&lt;&gt;P")&gt;0,1,0)</f>
        <v>0</v>
      </c>
      <c r="S310">
        <f t="shared" si="8"/>
        <v>2</v>
      </c>
      <c r="T310">
        <f t="shared" si="9"/>
        <v>1</v>
      </c>
    </row>
    <row r="311" spans="1:20" x14ac:dyDescent="0.2">
      <c r="A311" t="s">
        <v>356</v>
      </c>
      <c r="B311">
        <f>IF(COUNTIFS('United Data'!$A$3:$A$2150,B$1,'United Data'!$C$3:$C$2150,$A311,'United Data'!$B$3:$B$2150,"&lt;&gt;P")&gt;0,1,0)</f>
        <v>0</v>
      </c>
      <c r="C311">
        <f>IF(COUNTIFS('United Data'!$A$3:$A$2150,C$1,'United Data'!$C$3:$C$2150,$A311,'United Data'!$B$3:$B$2150,"&lt;&gt;P")&gt;0,1,0)</f>
        <v>0</v>
      </c>
      <c r="D311">
        <f>IF(COUNTIFS('United Data'!$A$3:$A$2150,D$1,'United Data'!$C$3:$C$2150,$A311,'United Data'!$B$3:$B$2150,"&lt;&gt;P")&gt;0,1,0)</f>
        <v>0</v>
      </c>
      <c r="E311">
        <f>IF(COUNTIFS('United Data'!$A$3:$A$2150,E$1,'United Data'!$C$3:$C$2150,$A311,'United Data'!$B$3:$B$2150,"&lt;&gt;P")&gt;0,1,0)</f>
        <v>0</v>
      </c>
      <c r="F311">
        <f>IF(COUNTIFS('United Data'!$A$3:$A$2150,F$1,'United Data'!$C$3:$C$2150,$A311,'United Data'!$B$3:$B$2150,"&lt;&gt;P")&gt;0,1,0)</f>
        <v>0</v>
      </c>
      <c r="G311">
        <f>IF(COUNTIFS('United Data'!$A$3:$A$2150,G$1,'United Data'!$C$3:$C$2150,$A311,'United Data'!$B$3:$B$2150,"&lt;&gt;P")&gt;0,1,0)</f>
        <v>0</v>
      </c>
      <c r="H311">
        <f>IF(COUNTIFS('United Data'!$A$3:$A$2150,H$1,'United Data'!$C$3:$C$2150,$A311,'United Data'!$B$3:$B$2150,"&lt;&gt;P")&gt;0,1,0)</f>
        <v>0</v>
      </c>
      <c r="I311">
        <f>IF(COUNTIFS('United Data'!$A$3:$A$2150,I$1,'United Data'!$C$3:$C$2150,$A311,'United Data'!$B$3:$B$2150,"&lt;&gt;P")&gt;0,1,0)</f>
        <v>0</v>
      </c>
      <c r="J311">
        <f>IF(COUNTIFS('United Data'!$A$3:$A$2150,J$1,'United Data'!$C$3:$C$2150,$A311,'United Data'!$B$3:$B$2150,"&lt;&gt;P")&gt;0,1,0)</f>
        <v>0</v>
      </c>
      <c r="K311">
        <f>IF(COUNTIFS('United Data'!$A$3:$A$2150,K$1,'United Data'!$C$3:$C$2150,$A311,'United Data'!$B$3:$B$2150,"&lt;&gt;P")&gt;0,1,0)</f>
        <v>0</v>
      </c>
      <c r="L311">
        <f>IF(COUNTIFS('United Data'!$A$3:$A$2150,L$1,'United Data'!$C$3:$C$2150,$A311,'United Data'!$B$3:$B$2150,"&lt;&gt;P")&gt;0,1,0)</f>
        <v>0</v>
      </c>
      <c r="M311">
        <f>IF(COUNTIFS('United Data'!$A$3:$A$2150,M$1,'United Data'!$C$3:$C$2150,$A311,'United Data'!$B$3:$B$2150,"&lt;&gt;P")&gt;0,1,0)</f>
        <v>0</v>
      </c>
      <c r="N311">
        <f>IF(COUNTIFS('United Data'!$A$3:$A$2150,N$1,'United Data'!$C$3:$C$2150,$A311,'United Data'!$B$3:$B$2150,"&lt;&gt;P")&gt;0,1,0)</f>
        <v>1</v>
      </c>
      <c r="O311">
        <f>IF(COUNTIFS('United Data'!$A$3:$A$2150,O$1,'United Data'!$C$3:$C$2150,$A311,'United Data'!$B$3:$B$2150,"&lt;&gt;P")&gt;0,1,0)</f>
        <v>0</v>
      </c>
      <c r="P311">
        <f>IF(COUNTIFS('United Data'!$A$3:$A$2150,P$1,'United Data'!$C$3:$C$2150,$A311,'United Data'!$B$3:$B$2150,"&lt;&gt;P")&gt;0,1,0)</f>
        <v>0</v>
      </c>
      <c r="Q311">
        <f>IF(COUNTIFS('United Data'!$A$3:$A$2150,Q$1,'United Data'!$C$3:$C$2150,$A311,'United Data'!$B$3:$B$2150,"&lt;&gt;P")&gt;0,1,0)</f>
        <v>0</v>
      </c>
      <c r="R311">
        <f>IF(COUNTIFS('United Data'!$A$3:$A$2150,R$1,'United Data'!$C$3:$C$2150,$A311,'United Data'!$B$3:$B$2150,"&lt;&gt;P")&gt;0,1,0)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357</v>
      </c>
      <c r="B312">
        <f>IF(COUNTIFS('United Data'!$A$3:$A$2150,B$1,'United Data'!$C$3:$C$2150,$A312,'United Data'!$B$3:$B$2150,"&lt;&gt;P")&gt;0,1,0)</f>
        <v>0</v>
      </c>
      <c r="C312">
        <f>IF(COUNTIFS('United Data'!$A$3:$A$2150,C$1,'United Data'!$C$3:$C$2150,$A312,'United Data'!$B$3:$B$2150,"&lt;&gt;P")&gt;0,1,0)</f>
        <v>0</v>
      </c>
      <c r="D312">
        <f>IF(COUNTIFS('United Data'!$A$3:$A$2150,D$1,'United Data'!$C$3:$C$2150,$A312,'United Data'!$B$3:$B$2150,"&lt;&gt;P")&gt;0,1,0)</f>
        <v>0</v>
      </c>
      <c r="E312">
        <f>IF(COUNTIFS('United Data'!$A$3:$A$2150,E$1,'United Data'!$C$3:$C$2150,$A312,'United Data'!$B$3:$B$2150,"&lt;&gt;P")&gt;0,1,0)</f>
        <v>0</v>
      </c>
      <c r="F312">
        <f>IF(COUNTIFS('United Data'!$A$3:$A$2150,F$1,'United Data'!$C$3:$C$2150,$A312,'United Data'!$B$3:$B$2150,"&lt;&gt;P")&gt;0,1,0)</f>
        <v>0</v>
      </c>
      <c r="G312">
        <f>IF(COUNTIFS('United Data'!$A$3:$A$2150,G$1,'United Data'!$C$3:$C$2150,$A312,'United Data'!$B$3:$B$2150,"&lt;&gt;P")&gt;0,1,0)</f>
        <v>0</v>
      </c>
      <c r="H312">
        <f>IF(COUNTIFS('United Data'!$A$3:$A$2150,H$1,'United Data'!$C$3:$C$2150,$A312,'United Data'!$B$3:$B$2150,"&lt;&gt;P")&gt;0,1,0)</f>
        <v>0</v>
      </c>
      <c r="I312">
        <f>IF(COUNTIFS('United Data'!$A$3:$A$2150,I$1,'United Data'!$C$3:$C$2150,$A312,'United Data'!$B$3:$B$2150,"&lt;&gt;P")&gt;0,1,0)</f>
        <v>0</v>
      </c>
      <c r="J312">
        <f>IF(COUNTIFS('United Data'!$A$3:$A$2150,J$1,'United Data'!$C$3:$C$2150,$A312,'United Data'!$B$3:$B$2150,"&lt;&gt;P")&gt;0,1,0)</f>
        <v>0</v>
      </c>
      <c r="K312">
        <f>IF(COUNTIFS('United Data'!$A$3:$A$2150,K$1,'United Data'!$C$3:$C$2150,$A312,'United Data'!$B$3:$B$2150,"&lt;&gt;P")&gt;0,1,0)</f>
        <v>0</v>
      </c>
      <c r="L312">
        <f>IF(COUNTIFS('United Data'!$A$3:$A$2150,L$1,'United Data'!$C$3:$C$2150,$A312,'United Data'!$B$3:$B$2150,"&lt;&gt;P")&gt;0,1,0)</f>
        <v>0</v>
      </c>
      <c r="M312">
        <f>IF(COUNTIFS('United Data'!$A$3:$A$2150,M$1,'United Data'!$C$3:$C$2150,$A312,'United Data'!$B$3:$B$2150,"&lt;&gt;P")&gt;0,1,0)</f>
        <v>0</v>
      </c>
      <c r="N312">
        <f>IF(COUNTIFS('United Data'!$A$3:$A$2150,N$1,'United Data'!$C$3:$C$2150,$A312,'United Data'!$B$3:$B$2150,"&lt;&gt;P")&gt;0,1,0)</f>
        <v>1</v>
      </c>
      <c r="O312">
        <f>IF(COUNTIFS('United Data'!$A$3:$A$2150,O$1,'United Data'!$C$3:$C$2150,$A312,'United Data'!$B$3:$B$2150,"&lt;&gt;P")&gt;0,1,0)</f>
        <v>0</v>
      </c>
      <c r="P312">
        <f>IF(COUNTIFS('United Data'!$A$3:$A$2150,P$1,'United Data'!$C$3:$C$2150,$A312,'United Data'!$B$3:$B$2150,"&lt;&gt;P")&gt;0,1,0)</f>
        <v>0</v>
      </c>
      <c r="Q312">
        <f>IF(COUNTIFS('United Data'!$A$3:$A$2150,Q$1,'United Data'!$C$3:$C$2150,$A312,'United Data'!$B$3:$B$2150,"&lt;&gt;P")&gt;0,1,0)</f>
        <v>0</v>
      </c>
      <c r="R312">
        <f>IF(COUNTIFS('United Data'!$A$3:$A$2150,R$1,'United Data'!$C$3:$C$2150,$A312,'United Data'!$B$3:$B$2150,"&lt;&gt;P")&gt;0,1,0)</f>
        <v>0</v>
      </c>
      <c r="S312">
        <f t="shared" si="8"/>
        <v>1</v>
      </c>
      <c r="T312">
        <f t="shared" si="9"/>
        <v>1</v>
      </c>
    </row>
    <row r="313" spans="1:20" x14ac:dyDescent="0.2">
      <c r="A313" t="s">
        <v>358</v>
      </c>
      <c r="B313">
        <f>IF(COUNTIFS('United Data'!$A$3:$A$2150,B$1,'United Data'!$C$3:$C$2150,$A313,'United Data'!$B$3:$B$2150,"&lt;&gt;P")&gt;0,1,0)</f>
        <v>0</v>
      </c>
      <c r="C313">
        <f>IF(COUNTIFS('United Data'!$A$3:$A$2150,C$1,'United Data'!$C$3:$C$2150,$A313,'United Data'!$B$3:$B$2150,"&lt;&gt;P")&gt;0,1,0)</f>
        <v>0</v>
      </c>
      <c r="D313">
        <f>IF(COUNTIFS('United Data'!$A$3:$A$2150,D$1,'United Data'!$C$3:$C$2150,$A313,'United Data'!$B$3:$B$2150,"&lt;&gt;P")&gt;0,1,0)</f>
        <v>0</v>
      </c>
      <c r="E313">
        <f>IF(COUNTIFS('United Data'!$A$3:$A$2150,E$1,'United Data'!$C$3:$C$2150,$A313,'United Data'!$B$3:$B$2150,"&lt;&gt;P")&gt;0,1,0)</f>
        <v>0</v>
      </c>
      <c r="F313">
        <f>IF(COUNTIFS('United Data'!$A$3:$A$2150,F$1,'United Data'!$C$3:$C$2150,$A313,'United Data'!$B$3:$B$2150,"&lt;&gt;P")&gt;0,1,0)</f>
        <v>0</v>
      </c>
      <c r="G313">
        <f>IF(COUNTIFS('United Data'!$A$3:$A$2150,G$1,'United Data'!$C$3:$C$2150,$A313,'United Data'!$B$3:$B$2150,"&lt;&gt;P")&gt;0,1,0)</f>
        <v>0</v>
      </c>
      <c r="H313">
        <f>IF(COUNTIFS('United Data'!$A$3:$A$2150,H$1,'United Data'!$C$3:$C$2150,$A313,'United Data'!$B$3:$B$2150,"&lt;&gt;P")&gt;0,1,0)</f>
        <v>0</v>
      </c>
      <c r="I313">
        <f>IF(COUNTIFS('United Data'!$A$3:$A$2150,I$1,'United Data'!$C$3:$C$2150,$A313,'United Data'!$B$3:$B$2150,"&lt;&gt;P")&gt;0,1,0)</f>
        <v>0</v>
      </c>
      <c r="J313">
        <f>IF(COUNTIFS('United Data'!$A$3:$A$2150,J$1,'United Data'!$C$3:$C$2150,$A313,'United Data'!$B$3:$B$2150,"&lt;&gt;P")&gt;0,1,0)</f>
        <v>0</v>
      </c>
      <c r="K313">
        <f>IF(COUNTIFS('United Data'!$A$3:$A$2150,K$1,'United Data'!$C$3:$C$2150,$A313,'United Data'!$B$3:$B$2150,"&lt;&gt;P")&gt;0,1,0)</f>
        <v>0</v>
      </c>
      <c r="L313">
        <f>IF(COUNTIFS('United Data'!$A$3:$A$2150,L$1,'United Data'!$C$3:$C$2150,$A313,'United Data'!$B$3:$B$2150,"&lt;&gt;P")&gt;0,1,0)</f>
        <v>0</v>
      </c>
      <c r="M313">
        <f>IF(COUNTIFS('United Data'!$A$3:$A$2150,M$1,'United Data'!$C$3:$C$2150,$A313,'United Data'!$B$3:$B$2150,"&lt;&gt;P")&gt;0,1,0)</f>
        <v>0</v>
      </c>
      <c r="N313">
        <f>IF(COUNTIFS('United Data'!$A$3:$A$2150,N$1,'United Data'!$C$3:$C$2150,$A313,'United Data'!$B$3:$B$2150,"&lt;&gt;P")&gt;0,1,0)</f>
        <v>1</v>
      </c>
      <c r="O313">
        <f>IF(COUNTIFS('United Data'!$A$3:$A$2150,O$1,'United Data'!$C$3:$C$2150,$A313,'United Data'!$B$3:$B$2150,"&lt;&gt;P")&gt;0,1,0)</f>
        <v>0</v>
      </c>
      <c r="P313">
        <f>IF(COUNTIFS('United Data'!$A$3:$A$2150,P$1,'United Data'!$C$3:$C$2150,$A313,'United Data'!$B$3:$B$2150,"&lt;&gt;P")&gt;0,1,0)</f>
        <v>0</v>
      </c>
      <c r="Q313">
        <f>IF(COUNTIFS('United Data'!$A$3:$A$2150,Q$1,'United Data'!$C$3:$C$2150,$A313,'United Data'!$B$3:$B$2150,"&lt;&gt;P")&gt;0,1,0)</f>
        <v>0</v>
      </c>
      <c r="R313">
        <f>IF(COUNTIFS('United Data'!$A$3:$A$2150,R$1,'United Data'!$C$3:$C$2150,$A313,'United Data'!$B$3:$B$2150,"&lt;&gt;P")&gt;0,1,0)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359</v>
      </c>
      <c r="B314">
        <f>IF(COUNTIFS('United Data'!$A$3:$A$2150,B$1,'United Data'!$C$3:$C$2150,$A314,'United Data'!$B$3:$B$2150,"&lt;&gt;P")&gt;0,1,0)</f>
        <v>0</v>
      </c>
      <c r="C314">
        <f>IF(COUNTIFS('United Data'!$A$3:$A$2150,C$1,'United Data'!$C$3:$C$2150,$A314,'United Data'!$B$3:$B$2150,"&lt;&gt;P")&gt;0,1,0)</f>
        <v>0</v>
      </c>
      <c r="D314">
        <f>IF(COUNTIFS('United Data'!$A$3:$A$2150,D$1,'United Data'!$C$3:$C$2150,$A314,'United Data'!$B$3:$B$2150,"&lt;&gt;P")&gt;0,1,0)</f>
        <v>0</v>
      </c>
      <c r="E314">
        <f>IF(COUNTIFS('United Data'!$A$3:$A$2150,E$1,'United Data'!$C$3:$C$2150,$A314,'United Data'!$B$3:$B$2150,"&lt;&gt;P")&gt;0,1,0)</f>
        <v>0</v>
      </c>
      <c r="F314">
        <f>IF(COUNTIFS('United Data'!$A$3:$A$2150,F$1,'United Data'!$C$3:$C$2150,$A314,'United Data'!$B$3:$B$2150,"&lt;&gt;P")&gt;0,1,0)</f>
        <v>0</v>
      </c>
      <c r="G314">
        <f>IF(COUNTIFS('United Data'!$A$3:$A$2150,G$1,'United Data'!$C$3:$C$2150,$A314,'United Data'!$B$3:$B$2150,"&lt;&gt;P")&gt;0,1,0)</f>
        <v>0</v>
      </c>
      <c r="H314">
        <f>IF(COUNTIFS('United Data'!$A$3:$A$2150,H$1,'United Data'!$C$3:$C$2150,$A314,'United Data'!$B$3:$B$2150,"&lt;&gt;P")&gt;0,1,0)</f>
        <v>1</v>
      </c>
      <c r="I314">
        <f>IF(COUNTIFS('United Data'!$A$3:$A$2150,I$1,'United Data'!$C$3:$C$2150,$A314,'United Data'!$B$3:$B$2150,"&lt;&gt;P")&gt;0,1,0)</f>
        <v>0</v>
      </c>
      <c r="J314">
        <f>IF(COUNTIFS('United Data'!$A$3:$A$2150,J$1,'United Data'!$C$3:$C$2150,$A314,'United Data'!$B$3:$B$2150,"&lt;&gt;P")&gt;0,1,0)</f>
        <v>0</v>
      </c>
      <c r="K314">
        <f>IF(COUNTIFS('United Data'!$A$3:$A$2150,K$1,'United Data'!$C$3:$C$2150,$A314,'United Data'!$B$3:$B$2150,"&lt;&gt;P")&gt;0,1,0)</f>
        <v>0</v>
      </c>
      <c r="L314">
        <f>IF(COUNTIFS('United Data'!$A$3:$A$2150,L$1,'United Data'!$C$3:$C$2150,$A314,'United Data'!$B$3:$B$2150,"&lt;&gt;P")&gt;0,1,0)</f>
        <v>0</v>
      </c>
      <c r="M314">
        <f>IF(COUNTIFS('United Data'!$A$3:$A$2150,M$1,'United Data'!$C$3:$C$2150,$A314,'United Data'!$B$3:$B$2150,"&lt;&gt;P")&gt;0,1,0)</f>
        <v>0</v>
      </c>
      <c r="N314">
        <f>IF(COUNTIFS('United Data'!$A$3:$A$2150,N$1,'United Data'!$C$3:$C$2150,$A314,'United Data'!$B$3:$B$2150,"&lt;&gt;P")&gt;0,1,0)</f>
        <v>0</v>
      </c>
      <c r="O314">
        <f>IF(COUNTIFS('United Data'!$A$3:$A$2150,O$1,'United Data'!$C$3:$C$2150,$A314,'United Data'!$B$3:$B$2150,"&lt;&gt;P")&gt;0,1,0)</f>
        <v>1</v>
      </c>
      <c r="P314">
        <f>IF(COUNTIFS('United Data'!$A$3:$A$2150,P$1,'United Data'!$C$3:$C$2150,$A314,'United Data'!$B$3:$B$2150,"&lt;&gt;P")&gt;0,1,0)</f>
        <v>0</v>
      </c>
      <c r="Q314">
        <f>IF(COUNTIFS('United Data'!$A$3:$A$2150,Q$1,'United Data'!$C$3:$C$2150,$A314,'United Data'!$B$3:$B$2150,"&lt;&gt;P")&gt;0,1,0)</f>
        <v>0</v>
      </c>
      <c r="R314">
        <f>IF(COUNTIFS('United Data'!$A$3:$A$2150,R$1,'United Data'!$C$3:$C$2150,$A314,'United Data'!$B$3:$B$2150,"&lt;&gt;P")&gt;0,1,0)</f>
        <v>0</v>
      </c>
      <c r="S314">
        <f t="shared" si="8"/>
        <v>2</v>
      </c>
      <c r="T314">
        <f t="shared" si="9"/>
        <v>2</v>
      </c>
    </row>
    <row r="315" spans="1:20" x14ac:dyDescent="0.2">
      <c r="A315" t="s">
        <v>360</v>
      </c>
      <c r="B315">
        <f>IF(COUNTIFS('United Data'!$A$3:$A$2150,B$1,'United Data'!$C$3:$C$2150,$A315,'United Data'!$B$3:$B$2150,"&lt;&gt;P")&gt;0,1,0)</f>
        <v>0</v>
      </c>
      <c r="C315">
        <f>IF(COUNTIFS('United Data'!$A$3:$A$2150,C$1,'United Data'!$C$3:$C$2150,$A315,'United Data'!$B$3:$B$2150,"&lt;&gt;P")&gt;0,1,0)</f>
        <v>0</v>
      </c>
      <c r="D315">
        <f>IF(COUNTIFS('United Data'!$A$3:$A$2150,D$1,'United Data'!$C$3:$C$2150,$A315,'United Data'!$B$3:$B$2150,"&lt;&gt;P")&gt;0,1,0)</f>
        <v>0</v>
      </c>
      <c r="E315">
        <f>IF(COUNTIFS('United Data'!$A$3:$A$2150,E$1,'United Data'!$C$3:$C$2150,$A315,'United Data'!$B$3:$B$2150,"&lt;&gt;P")&gt;0,1,0)</f>
        <v>0</v>
      </c>
      <c r="F315">
        <f>IF(COUNTIFS('United Data'!$A$3:$A$2150,F$1,'United Data'!$C$3:$C$2150,$A315,'United Data'!$B$3:$B$2150,"&lt;&gt;P")&gt;0,1,0)</f>
        <v>0</v>
      </c>
      <c r="G315">
        <f>IF(COUNTIFS('United Data'!$A$3:$A$2150,G$1,'United Data'!$C$3:$C$2150,$A315,'United Data'!$B$3:$B$2150,"&lt;&gt;P")&gt;0,1,0)</f>
        <v>0</v>
      </c>
      <c r="H315">
        <f>IF(COUNTIFS('United Data'!$A$3:$A$2150,H$1,'United Data'!$C$3:$C$2150,$A315,'United Data'!$B$3:$B$2150,"&lt;&gt;P")&gt;0,1,0)</f>
        <v>0</v>
      </c>
      <c r="I315">
        <f>IF(COUNTIFS('United Data'!$A$3:$A$2150,I$1,'United Data'!$C$3:$C$2150,$A315,'United Data'!$B$3:$B$2150,"&lt;&gt;P")&gt;0,1,0)</f>
        <v>0</v>
      </c>
      <c r="J315">
        <f>IF(COUNTIFS('United Data'!$A$3:$A$2150,J$1,'United Data'!$C$3:$C$2150,$A315,'United Data'!$B$3:$B$2150,"&lt;&gt;P")&gt;0,1,0)</f>
        <v>0</v>
      </c>
      <c r="K315">
        <f>IF(COUNTIFS('United Data'!$A$3:$A$2150,K$1,'United Data'!$C$3:$C$2150,$A315,'United Data'!$B$3:$B$2150,"&lt;&gt;P")&gt;0,1,0)</f>
        <v>0</v>
      </c>
      <c r="L315">
        <f>IF(COUNTIFS('United Data'!$A$3:$A$2150,L$1,'United Data'!$C$3:$C$2150,$A315,'United Data'!$B$3:$B$2150,"&lt;&gt;P")&gt;0,1,0)</f>
        <v>0</v>
      </c>
      <c r="M315">
        <f>IF(COUNTIFS('United Data'!$A$3:$A$2150,M$1,'United Data'!$C$3:$C$2150,$A315,'United Data'!$B$3:$B$2150,"&lt;&gt;P")&gt;0,1,0)</f>
        <v>0</v>
      </c>
      <c r="N315">
        <f>IF(COUNTIFS('United Data'!$A$3:$A$2150,N$1,'United Data'!$C$3:$C$2150,$A315,'United Data'!$B$3:$B$2150,"&lt;&gt;P")&gt;0,1,0)</f>
        <v>0</v>
      </c>
      <c r="O315">
        <f>IF(COUNTIFS('United Data'!$A$3:$A$2150,O$1,'United Data'!$C$3:$C$2150,$A315,'United Data'!$B$3:$B$2150,"&lt;&gt;P")&gt;0,1,0)</f>
        <v>1</v>
      </c>
      <c r="P315">
        <f>IF(COUNTIFS('United Data'!$A$3:$A$2150,P$1,'United Data'!$C$3:$C$2150,$A315,'United Data'!$B$3:$B$2150,"&lt;&gt;P")&gt;0,1,0)</f>
        <v>0</v>
      </c>
      <c r="Q315">
        <f>IF(COUNTIFS('United Data'!$A$3:$A$2150,Q$1,'United Data'!$C$3:$C$2150,$A315,'United Data'!$B$3:$B$2150,"&lt;&gt;P")&gt;0,1,0)</f>
        <v>0</v>
      </c>
      <c r="R315">
        <f>IF(COUNTIFS('United Data'!$A$3:$A$2150,R$1,'United Data'!$C$3:$C$2150,$A315,'United Data'!$B$3:$B$2150,"&lt;&gt;P")&gt;0,1,0)</f>
        <v>0</v>
      </c>
      <c r="S315">
        <f t="shared" si="8"/>
        <v>1</v>
      </c>
      <c r="T315">
        <f t="shared" si="9"/>
        <v>1</v>
      </c>
    </row>
    <row r="316" spans="1:20" x14ac:dyDescent="0.2">
      <c r="A316" t="s">
        <v>361</v>
      </c>
      <c r="B316">
        <f>IF(COUNTIFS('United Data'!$A$3:$A$2150,B$1,'United Data'!$C$3:$C$2150,$A316,'United Data'!$B$3:$B$2150,"&lt;&gt;P")&gt;0,1,0)</f>
        <v>0</v>
      </c>
      <c r="C316">
        <f>IF(COUNTIFS('United Data'!$A$3:$A$2150,C$1,'United Data'!$C$3:$C$2150,$A316,'United Data'!$B$3:$B$2150,"&lt;&gt;P")&gt;0,1,0)</f>
        <v>0</v>
      </c>
      <c r="D316">
        <f>IF(COUNTIFS('United Data'!$A$3:$A$2150,D$1,'United Data'!$C$3:$C$2150,$A316,'United Data'!$B$3:$B$2150,"&lt;&gt;P")&gt;0,1,0)</f>
        <v>0</v>
      </c>
      <c r="E316">
        <f>IF(COUNTIFS('United Data'!$A$3:$A$2150,E$1,'United Data'!$C$3:$C$2150,$A316,'United Data'!$B$3:$B$2150,"&lt;&gt;P")&gt;0,1,0)</f>
        <v>0</v>
      </c>
      <c r="F316">
        <f>IF(COUNTIFS('United Data'!$A$3:$A$2150,F$1,'United Data'!$C$3:$C$2150,$A316,'United Data'!$B$3:$B$2150,"&lt;&gt;P")&gt;0,1,0)</f>
        <v>0</v>
      </c>
      <c r="G316">
        <f>IF(COUNTIFS('United Data'!$A$3:$A$2150,G$1,'United Data'!$C$3:$C$2150,$A316,'United Data'!$B$3:$B$2150,"&lt;&gt;P")&gt;0,1,0)</f>
        <v>0</v>
      </c>
      <c r="H316">
        <f>IF(COUNTIFS('United Data'!$A$3:$A$2150,H$1,'United Data'!$C$3:$C$2150,$A316,'United Data'!$B$3:$B$2150,"&lt;&gt;P")&gt;0,1,0)</f>
        <v>0</v>
      </c>
      <c r="I316">
        <f>IF(COUNTIFS('United Data'!$A$3:$A$2150,I$1,'United Data'!$C$3:$C$2150,$A316,'United Data'!$B$3:$B$2150,"&lt;&gt;P")&gt;0,1,0)</f>
        <v>0</v>
      </c>
      <c r="J316">
        <f>IF(COUNTIFS('United Data'!$A$3:$A$2150,J$1,'United Data'!$C$3:$C$2150,$A316,'United Data'!$B$3:$B$2150,"&lt;&gt;P")&gt;0,1,0)</f>
        <v>0</v>
      </c>
      <c r="K316">
        <f>IF(COUNTIFS('United Data'!$A$3:$A$2150,K$1,'United Data'!$C$3:$C$2150,$A316,'United Data'!$B$3:$B$2150,"&lt;&gt;P")&gt;0,1,0)</f>
        <v>0</v>
      </c>
      <c r="L316">
        <f>IF(COUNTIFS('United Data'!$A$3:$A$2150,L$1,'United Data'!$C$3:$C$2150,$A316,'United Data'!$B$3:$B$2150,"&lt;&gt;P")&gt;0,1,0)</f>
        <v>0</v>
      </c>
      <c r="M316">
        <f>IF(COUNTIFS('United Data'!$A$3:$A$2150,M$1,'United Data'!$C$3:$C$2150,$A316,'United Data'!$B$3:$B$2150,"&lt;&gt;P")&gt;0,1,0)</f>
        <v>0</v>
      </c>
      <c r="N316">
        <f>IF(COUNTIFS('United Data'!$A$3:$A$2150,N$1,'United Data'!$C$3:$C$2150,$A316,'United Data'!$B$3:$B$2150,"&lt;&gt;P")&gt;0,1,0)</f>
        <v>0</v>
      </c>
      <c r="O316">
        <f>IF(COUNTIFS('United Data'!$A$3:$A$2150,O$1,'United Data'!$C$3:$C$2150,$A316,'United Data'!$B$3:$B$2150,"&lt;&gt;P")&gt;0,1,0)</f>
        <v>1</v>
      </c>
      <c r="P316">
        <f>IF(COUNTIFS('United Data'!$A$3:$A$2150,P$1,'United Data'!$C$3:$C$2150,$A316,'United Data'!$B$3:$B$2150,"&lt;&gt;P")&gt;0,1,0)</f>
        <v>0</v>
      </c>
      <c r="Q316">
        <f>IF(COUNTIFS('United Data'!$A$3:$A$2150,Q$1,'United Data'!$C$3:$C$2150,$A316,'United Data'!$B$3:$B$2150,"&lt;&gt;P")&gt;0,1,0)</f>
        <v>0</v>
      </c>
      <c r="R316">
        <f>IF(COUNTIFS('United Data'!$A$3:$A$2150,R$1,'United Data'!$C$3:$C$2150,$A316,'United Data'!$B$3:$B$2150,"&lt;&gt;P")&gt;0,1,0)</f>
        <v>0</v>
      </c>
      <c r="S316">
        <f t="shared" si="8"/>
        <v>1</v>
      </c>
      <c r="T316">
        <f t="shared" si="9"/>
        <v>1</v>
      </c>
    </row>
    <row r="317" spans="1:20" x14ac:dyDescent="0.2">
      <c r="A317" t="s">
        <v>362</v>
      </c>
      <c r="B317">
        <f>IF(COUNTIFS('United Data'!$A$3:$A$2150,B$1,'United Data'!$C$3:$C$2150,$A317,'United Data'!$B$3:$B$2150,"&lt;&gt;P")&gt;0,1,0)</f>
        <v>0</v>
      </c>
      <c r="C317">
        <f>IF(COUNTIFS('United Data'!$A$3:$A$2150,C$1,'United Data'!$C$3:$C$2150,$A317,'United Data'!$B$3:$B$2150,"&lt;&gt;P")&gt;0,1,0)</f>
        <v>0</v>
      </c>
      <c r="D317">
        <f>IF(COUNTIFS('United Data'!$A$3:$A$2150,D$1,'United Data'!$C$3:$C$2150,$A317,'United Data'!$B$3:$B$2150,"&lt;&gt;P")&gt;0,1,0)</f>
        <v>0</v>
      </c>
      <c r="E317">
        <f>IF(COUNTIFS('United Data'!$A$3:$A$2150,E$1,'United Data'!$C$3:$C$2150,$A317,'United Data'!$B$3:$B$2150,"&lt;&gt;P")&gt;0,1,0)</f>
        <v>0</v>
      </c>
      <c r="F317">
        <f>IF(COUNTIFS('United Data'!$A$3:$A$2150,F$1,'United Data'!$C$3:$C$2150,$A317,'United Data'!$B$3:$B$2150,"&lt;&gt;P")&gt;0,1,0)</f>
        <v>0</v>
      </c>
      <c r="G317">
        <f>IF(COUNTIFS('United Data'!$A$3:$A$2150,G$1,'United Data'!$C$3:$C$2150,$A317,'United Data'!$B$3:$B$2150,"&lt;&gt;P")&gt;0,1,0)</f>
        <v>0</v>
      </c>
      <c r="H317">
        <f>IF(COUNTIFS('United Data'!$A$3:$A$2150,H$1,'United Data'!$C$3:$C$2150,$A317,'United Data'!$B$3:$B$2150,"&lt;&gt;P")&gt;0,1,0)</f>
        <v>0</v>
      </c>
      <c r="I317">
        <f>IF(COUNTIFS('United Data'!$A$3:$A$2150,I$1,'United Data'!$C$3:$C$2150,$A317,'United Data'!$B$3:$B$2150,"&lt;&gt;P")&gt;0,1,0)</f>
        <v>0</v>
      </c>
      <c r="J317">
        <f>IF(COUNTIFS('United Data'!$A$3:$A$2150,J$1,'United Data'!$C$3:$C$2150,$A317,'United Data'!$B$3:$B$2150,"&lt;&gt;P")&gt;0,1,0)</f>
        <v>0</v>
      </c>
      <c r="K317">
        <f>IF(COUNTIFS('United Data'!$A$3:$A$2150,K$1,'United Data'!$C$3:$C$2150,$A317,'United Data'!$B$3:$B$2150,"&lt;&gt;P")&gt;0,1,0)</f>
        <v>0</v>
      </c>
      <c r="L317">
        <f>IF(COUNTIFS('United Data'!$A$3:$A$2150,L$1,'United Data'!$C$3:$C$2150,$A317,'United Data'!$B$3:$B$2150,"&lt;&gt;P")&gt;0,1,0)</f>
        <v>0</v>
      </c>
      <c r="M317">
        <f>IF(COUNTIFS('United Data'!$A$3:$A$2150,M$1,'United Data'!$C$3:$C$2150,$A317,'United Data'!$B$3:$B$2150,"&lt;&gt;P")&gt;0,1,0)</f>
        <v>0</v>
      </c>
      <c r="N317">
        <f>IF(COUNTIFS('United Data'!$A$3:$A$2150,N$1,'United Data'!$C$3:$C$2150,$A317,'United Data'!$B$3:$B$2150,"&lt;&gt;P")&gt;0,1,0)</f>
        <v>0</v>
      </c>
      <c r="O317">
        <f>IF(COUNTIFS('United Data'!$A$3:$A$2150,O$1,'United Data'!$C$3:$C$2150,$A317,'United Data'!$B$3:$B$2150,"&lt;&gt;P")&gt;0,1,0)</f>
        <v>1</v>
      </c>
      <c r="P317">
        <f>IF(COUNTIFS('United Data'!$A$3:$A$2150,P$1,'United Data'!$C$3:$C$2150,$A317,'United Data'!$B$3:$B$2150,"&lt;&gt;P")&gt;0,1,0)</f>
        <v>1</v>
      </c>
      <c r="Q317">
        <f>IF(COUNTIFS('United Data'!$A$3:$A$2150,Q$1,'United Data'!$C$3:$C$2150,$A317,'United Data'!$B$3:$B$2150,"&lt;&gt;P")&gt;0,1,0)</f>
        <v>0</v>
      </c>
      <c r="R317">
        <f>IF(COUNTIFS('United Data'!$A$3:$A$2150,R$1,'United Data'!$C$3:$C$2150,$A317,'United Data'!$B$3:$B$2150,"&lt;&gt;P")&gt;0,1,0)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363</v>
      </c>
      <c r="B318">
        <f>IF(COUNTIFS('United Data'!$A$3:$A$2150,B$1,'United Data'!$C$3:$C$2150,$A318,'United Data'!$B$3:$B$2150,"&lt;&gt;P")&gt;0,1,0)</f>
        <v>0</v>
      </c>
      <c r="C318">
        <f>IF(COUNTIFS('United Data'!$A$3:$A$2150,C$1,'United Data'!$C$3:$C$2150,$A318,'United Data'!$B$3:$B$2150,"&lt;&gt;P")&gt;0,1,0)</f>
        <v>0</v>
      </c>
      <c r="D318">
        <f>IF(COUNTIFS('United Data'!$A$3:$A$2150,D$1,'United Data'!$C$3:$C$2150,$A318,'United Data'!$B$3:$B$2150,"&lt;&gt;P")&gt;0,1,0)</f>
        <v>0</v>
      </c>
      <c r="E318">
        <f>IF(COUNTIFS('United Data'!$A$3:$A$2150,E$1,'United Data'!$C$3:$C$2150,$A318,'United Data'!$B$3:$B$2150,"&lt;&gt;P")&gt;0,1,0)</f>
        <v>0</v>
      </c>
      <c r="F318">
        <f>IF(COUNTIFS('United Data'!$A$3:$A$2150,F$1,'United Data'!$C$3:$C$2150,$A318,'United Data'!$B$3:$B$2150,"&lt;&gt;P")&gt;0,1,0)</f>
        <v>0</v>
      </c>
      <c r="G318">
        <f>IF(COUNTIFS('United Data'!$A$3:$A$2150,G$1,'United Data'!$C$3:$C$2150,$A318,'United Data'!$B$3:$B$2150,"&lt;&gt;P")&gt;0,1,0)</f>
        <v>0</v>
      </c>
      <c r="H318">
        <f>IF(COUNTIFS('United Data'!$A$3:$A$2150,H$1,'United Data'!$C$3:$C$2150,$A318,'United Data'!$B$3:$B$2150,"&lt;&gt;P")&gt;0,1,0)</f>
        <v>0</v>
      </c>
      <c r="I318">
        <f>IF(COUNTIFS('United Data'!$A$3:$A$2150,I$1,'United Data'!$C$3:$C$2150,$A318,'United Data'!$B$3:$B$2150,"&lt;&gt;P")&gt;0,1,0)</f>
        <v>0</v>
      </c>
      <c r="J318">
        <f>IF(COUNTIFS('United Data'!$A$3:$A$2150,J$1,'United Data'!$C$3:$C$2150,$A318,'United Data'!$B$3:$B$2150,"&lt;&gt;P")&gt;0,1,0)</f>
        <v>0</v>
      </c>
      <c r="K318">
        <f>IF(COUNTIFS('United Data'!$A$3:$A$2150,K$1,'United Data'!$C$3:$C$2150,$A318,'United Data'!$B$3:$B$2150,"&lt;&gt;P")&gt;0,1,0)</f>
        <v>0</v>
      </c>
      <c r="L318">
        <f>IF(COUNTIFS('United Data'!$A$3:$A$2150,L$1,'United Data'!$C$3:$C$2150,$A318,'United Data'!$B$3:$B$2150,"&lt;&gt;P")&gt;0,1,0)</f>
        <v>0</v>
      </c>
      <c r="M318">
        <f>IF(COUNTIFS('United Data'!$A$3:$A$2150,M$1,'United Data'!$C$3:$C$2150,$A318,'United Data'!$B$3:$B$2150,"&lt;&gt;P")&gt;0,1,0)</f>
        <v>0</v>
      </c>
      <c r="N318">
        <f>IF(COUNTIFS('United Data'!$A$3:$A$2150,N$1,'United Data'!$C$3:$C$2150,$A318,'United Data'!$B$3:$B$2150,"&lt;&gt;P")&gt;0,1,0)</f>
        <v>0</v>
      </c>
      <c r="O318">
        <f>IF(COUNTIFS('United Data'!$A$3:$A$2150,O$1,'United Data'!$C$3:$C$2150,$A318,'United Data'!$B$3:$B$2150,"&lt;&gt;P")&gt;0,1,0)</f>
        <v>1</v>
      </c>
      <c r="P318">
        <f>IF(COUNTIFS('United Data'!$A$3:$A$2150,P$1,'United Data'!$C$3:$C$2150,$A318,'United Data'!$B$3:$B$2150,"&lt;&gt;P")&gt;0,1,0)</f>
        <v>0</v>
      </c>
      <c r="Q318">
        <f>IF(COUNTIFS('United Data'!$A$3:$A$2150,Q$1,'United Data'!$C$3:$C$2150,$A318,'United Data'!$B$3:$B$2150,"&lt;&gt;P")&gt;0,1,0)</f>
        <v>0</v>
      </c>
      <c r="R318">
        <f>IF(COUNTIFS('United Data'!$A$3:$A$2150,R$1,'United Data'!$C$3:$C$2150,$A318,'United Data'!$B$3:$B$2150,"&lt;&gt;P")&gt;0,1,0)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364</v>
      </c>
      <c r="B319">
        <f>IF(COUNTIFS('United Data'!$A$3:$A$2150,B$1,'United Data'!$C$3:$C$2150,$A319,'United Data'!$B$3:$B$2150,"&lt;&gt;P")&gt;0,1,0)</f>
        <v>0</v>
      </c>
      <c r="C319">
        <f>IF(COUNTIFS('United Data'!$A$3:$A$2150,C$1,'United Data'!$C$3:$C$2150,$A319,'United Data'!$B$3:$B$2150,"&lt;&gt;P")&gt;0,1,0)</f>
        <v>0</v>
      </c>
      <c r="D319">
        <f>IF(COUNTIFS('United Data'!$A$3:$A$2150,D$1,'United Data'!$C$3:$C$2150,$A319,'United Data'!$B$3:$B$2150,"&lt;&gt;P")&gt;0,1,0)</f>
        <v>0</v>
      </c>
      <c r="E319">
        <f>IF(COUNTIFS('United Data'!$A$3:$A$2150,E$1,'United Data'!$C$3:$C$2150,$A319,'United Data'!$B$3:$B$2150,"&lt;&gt;P")&gt;0,1,0)</f>
        <v>0</v>
      </c>
      <c r="F319">
        <f>IF(COUNTIFS('United Data'!$A$3:$A$2150,F$1,'United Data'!$C$3:$C$2150,$A319,'United Data'!$B$3:$B$2150,"&lt;&gt;P")&gt;0,1,0)</f>
        <v>0</v>
      </c>
      <c r="G319">
        <f>IF(COUNTIFS('United Data'!$A$3:$A$2150,G$1,'United Data'!$C$3:$C$2150,$A319,'United Data'!$B$3:$B$2150,"&lt;&gt;P")&gt;0,1,0)</f>
        <v>0</v>
      </c>
      <c r="H319">
        <f>IF(COUNTIFS('United Data'!$A$3:$A$2150,H$1,'United Data'!$C$3:$C$2150,$A319,'United Data'!$B$3:$B$2150,"&lt;&gt;P")&gt;0,1,0)</f>
        <v>0</v>
      </c>
      <c r="I319">
        <f>IF(COUNTIFS('United Data'!$A$3:$A$2150,I$1,'United Data'!$C$3:$C$2150,$A319,'United Data'!$B$3:$B$2150,"&lt;&gt;P")&gt;0,1,0)</f>
        <v>0</v>
      </c>
      <c r="J319">
        <f>IF(COUNTIFS('United Data'!$A$3:$A$2150,J$1,'United Data'!$C$3:$C$2150,$A319,'United Data'!$B$3:$B$2150,"&lt;&gt;P")&gt;0,1,0)</f>
        <v>0</v>
      </c>
      <c r="K319">
        <f>IF(COUNTIFS('United Data'!$A$3:$A$2150,K$1,'United Data'!$C$3:$C$2150,$A319,'United Data'!$B$3:$B$2150,"&lt;&gt;P")&gt;0,1,0)</f>
        <v>0</v>
      </c>
      <c r="L319">
        <f>IF(COUNTIFS('United Data'!$A$3:$A$2150,L$1,'United Data'!$C$3:$C$2150,$A319,'United Data'!$B$3:$B$2150,"&lt;&gt;P")&gt;0,1,0)</f>
        <v>0</v>
      </c>
      <c r="M319">
        <f>IF(COUNTIFS('United Data'!$A$3:$A$2150,M$1,'United Data'!$C$3:$C$2150,$A319,'United Data'!$B$3:$B$2150,"&lt;&gt;P")&gt;0,1,0)</f>
        <v>0</v>
      </c>
      <c r="N319">
        <f>IF(COUNTIFS('United Data'!$A$3:$A$2150,N$1,'United Data'!$C$3:$C$2150,$A319,'United Data'!$B$3:$B$2150,"&lt;&gt;P")&gt;0,1,0)</f>
        <v>0</v>
      </c>
      <c r="O319">
        <f>IF(COUNTIFS('United Data'!$A$3:$A$2150,O$1,'United Data'!$C$3:$C$2150,$A319,'United Data'!$B$3:$B$2150,"&lt;&gt;P")&gt;0,1,0)</f>
        <v>0</v>
      </c>
      <c r="P319">
        <f>IF(COUNTIFS('United Data'!$A$3:$A$2150,P$1,'United Data'!$C$3:$C$2150,$A319,'United Data'!$B$3:$B$2150,"&lt;&gt;P")&gt;0,1,0)</f>
        <v>1</v>
      </c>
      <c r="Q319">
        <f>IF(COUNTIFS('United Data'!$A$3:$A$2150,Q$1,'United Data'!$C$3:$C$2150,$A319,'United Data'!$B$3:$B$2150,"&lt;&gt;P")&gt;0,1,0)</f>
        <v>1</v>
      </c>
      <c r="R319">
        <f>IF(COUNTIFS('United Data'!$A$3:$A$2150,R$1,'United Data'!$C$3:$C$2150,$A319,'United Data'!$B$3:$B$2150,"&lt;&gt;P")&gt;0,1,0)</f>
        <v>0</v>
      </c>
      <c r="S319">
        <f t="shared" si="8"/>
        <v>2</v>
      </c>
      <c r="T319">
        <f t="shared" si="9"/>
        <v>1</v>
      </c>
    </row>
    <row r="320" spans="1:20" x14ac:dyDescent="0.2">
      <c r="A320" t="s">
        <v>365</v>
      </c>
      <c r="B320">
        <f>IF(COUNTIFS('United Data'!$A$3:$A$2150,B$1,'United Data'!$C$3:$C$2150,$A320,'United Data'!$B$3:$B$2150,"&lt;&gt;P")&gt;0,1,0)</f>
        <v>0</v>
      </c>
      <c r="C320">
        <f>IF(COUNTIFS('United Data'!$A$3:$A$2150,C$1,'United Data'!$C$3:$C$2150,$A320,'United Data'!$B$3:$B$2150,"&lt;&gt;P")&gt;0,1,0)</f>
        <v>0</v>
      </c>
      <c r="D320">
        <f>IF(COUNTIFS('United Data'!$A$3:$A$2150,D$1,'United Data'!$C$3:$C$2150,$A320,'United Data'!$B$3:$B$2150,"&lt;&gt;P")&gt;0,1,0)</f>
        <v>0</v>
      </c>
      <c r="E320">
        <f>IF(COUNTIFS('United Data'!$A$3:$A$2150,E$1,'United Data'!$C$3:$C$2150,$A320,'United Data'!$B$3:$B$2150,"&lt;&gt;P")&gt;0,1,0)</f>
        <v>0</v>
      </c>
      <c r="F320">
        <f>IF(COUNTIFS('United Data'!$A$3:$A$2150,F$1,'United Data'!$C$3:$C$2150,$A320,'United Data'!$B$3:$B$2150,"&lt;&gt;P")&gt;0,1,0)</f>
        <v>0</v>
      </c>
      <c r="G320">
        <f>IF(COUNTIFS('United Data'!$A$3:$A$2150,G$1,'United Data'!$C$3:$C$2150,$A320,'United Data'!$B$3:$B$2150,"&lt;&gt;P")&gt;0,1,0)</f>
        <v>0</v>
      </c>
      <c r="H320">
        <f>IF(COUNTIFS('United Data'!$A$3:$A$2150,H$1,'United Data'!$C$3:$C$2150,$A320,'United Data'!$B$3:$B$2150,"&lt;&gt;P")&gt;0,1,0)</f>
        <v>0</v>
      </c>
      <c r="I320">
        <f>IF(COUNTIFS('United Data'!$A$3:$A$2150,I$1,'United Data'!$C$3:$C$2150,$A320,'United Data'!$B$3:$B$2150,"&lt;&gt;P")&gt;0,1,0)</f>
        <v>0</v>
      </c>
      <c r="J320">
        <f>IF(COUNTIFS('United Data'!$A$3:$A$2150,J$1,'United Data'!$C$3:$C$2150,$A320,'United Data'!$B$3:$B$2150,"&lt;&gt;P")&gt;0,1,0)</f>
        <v>0</v>
      </c>
      <c r="K320">
        <f>IF(COUNTIFS('United Data'!$A$3:$A$2150,K$1,'United Data'!$C$3:$C$2150,$A320,'United Data'!$B$3:$B$2150,"&lt;&gt;P")&gt;0,1,0)</f>
        <v>0</v>
      </c>
      <c r="L320">
        <f>IF(COUNTIFS('United Data'!$A$3:$A$2150,L$1,'United Data'!$C$3:$C$2150,$A320,'United Data'!$B$3:$B$2150,"&lt;&gt;P")&gt;0,1,0)</f>
        <v>0</v>
      </c>
      <c r="M320">
        <f>IF(COUNTIFS('United Data'!$A$3:$A$2150,M$1,'United Data'!$C$3:$C$2150,$A320,'United Data'!$B$3:$B$2150,"&lt;&gt;P")&gt;0,1,0)</f>
        <v>0</v>
      </c>
      <c r="N320">
        <f>IF(COUNTIFS('United Data'!$A$3:$A$2150,N$1,'United Data'!$C$3:$C$2150,$A320,'United Data'!$B$3:$B$2150,"&lt;&gt;P")&gt;0,1,0)</f>
        <v>0</v>
      </c>
      <c r="O320">
        <f>IF(COUNTIFS('United Data'!$A$3:$A$2150,O$1,'United Data'!$C$3:$C$2150,$A320,'United Data'!$B$3:$B$2150,"&lt;&gt;P")&gt;0,1,0)</f>
        <v>0</v>
      </c>
      <c r="P320">
        <f>IF(COUNTIFS('United Data'!$A$3:$A$2150,P$1,'United Data'!$C$3:$C$2150,$A320,'United Data'!$B$3:$B$2150,"&lt;&gt;P")&gt;0,1,0)</f>
        <v>1</v>
      </c>
      <c r="Q320">
        <f>IF(COUNTIFS('United Data'!$A$3:$A$2150,Q$1,'United Data'!$C$3:$C$2150,$A320,'United Data'!$B$3:$B$2150,"&lt;&gt;P")&gt;0,1,0)</f>
        <v>0</v>
      </c>
      <c r="R320">
        <f>IF(COUNTIFS('United Data'!$A$3:$A$2150,R$1,'United Data'!$C$3:$C$2150,$A320,'United Data'!$B$3:$B$2150,"&lt;&gt;P")&gt;0,1,0)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366</v>
      </c>
      <c r="B321">
        <f>IF(COUNTIFS('United Data'!$A$3:$A$2150,B$1,'United Data'!$C$3:$C$2150,$A321,'United Data'!$B$3:$B$2150,"&lt;&gt;P")&gt;0,1,0)</f>
        <v>0</v>
      </c>
      <c r="C321">
        <f>IF(COUNTIFS('United Data'!$A$3:$A$2150,C$1,'United Data'!$C$3:$C$2150,$A321,'United Data'!$B$3:$B$2150,"&lt;&gt;P")&gt;0,1,0)</f>
        <v>0</v>
      </c>
      <c r="D321">
        <f>IF(COUNTIFS('United Data'!$A$3:$A$2150,D$1,'United Data'!$C$3:$C$2150,$A321,'United Data'!$B$3:$B$2150,"&lt;&gt;P")&gt;0,1,0)</f>
        <v>0</v>
      </c>
      <c r="E321">
        <f>IF(COUNTIFS('United Data'!$A$3:$A$2150,E$1,'United Data'!$C$3:$C$2150,$A321,'United Data'!$B$3:$B$2150,"&lt;&gt;P")&gt;0,1,0)</f>
        <v>0</v>
      </c>
      <c r="F321">
        <f>IF(COUNTIFS('United Data'!$A$3:$A$2150,F$1,'United Data'!$C$3:$C$2150,$A321,'United Data'!$B$3:$B$2150,"&lt;&gt;P")&gt;0,1,0)</f>
        <v>0</v>
      </c>
      <c r="G321">
        <f>IF(COUNTIFS('United Data'!$A$3:$A$2150,G$1,'United Data'!$C$3:$C$2150,$A321,'United Data'!$B$3:$B$2150,"&lt;&gt;P")&gt;0,1,0)</f>
        <v>0</v>
      </c>
      <c r="H321">
        <f>IF(COUNTIFS('United Data'!$A$3:$A$2150,H$1,'United Data'!$C$3:$C$2150,$A321,'United Data'!$B$3:$B$2150,"&lt;&gt;P")&gt;0,1,0)</f>
        <v>0</v>
      </c>
      <c r="I321">
        <f>IF(COUNTIFS('United Data'!$A$3:$A$2150,I$1,'United Data'!$C$3:$C$2150,$A321,'United Data'!$B$3:$B$2150,"&lt;&gt;P")&gt;0,1,0)</f>
        <v>0</v>
      </c>
      <c r="J321">
        <f>IF(COUNTIFS('United Data'!$A$3:$A$2150,J$1,'United Data'!$C$3:$C$2150,$A321,'United Data'!$B$3:$B$2150,"&lt;&gt;P")&gt;0,1,0)</f>
        <v>0</v>
      </c>
      <c r="K321">
        <f>IF(COUNTIFS('United Data'!$A$3:$A$2150,K$1,'United Data'!$C$3:$C$2150,$A321,'United Data'!$B$3:$B$2150,"&lt;&gt;P")&gt;0,1,0)</f>
        <v>0</v>
      </c>
      <c r="L321">
        <f>IF(COUNTIFS('United Data'!$A$3:$A$2150,L$1,'United Data'!$C$3:$C$2150,$A321,'United Data'!$B$3:$B$2150,"&lt;&gt;P")&gt;0,1,0)</f>
        <v>0</v>
      </c>
      <c r="M321">
        <f>IF(COUNTIFS('United Data'!$A$3:$A$2150,M$1,'United Data'!$C$3:$C$2150,$A321,'United Data'!$B$3:$B$2150,"&lt;&gt;P")&gt;0,1,0)</f>
        <v>0</v>
      </c>
      <c r="N321">
        <f>IF(COUNTIFS('United Data'!$A$3:$A$2150,N$1,'United Data'!$C$3:$C$2150,$A321,'United Data'!$B$3:$B$2150,"&lt;&gt;P")&gt;0,1,0)</f>
        <v>0</v>
      </c>
      <c r="O321">
        <f>IF(COUNTIFS('United Data'!$A$3:$A$2150,O$1,'United Data'!$C$3:$C$2150,$A321,'United Data'!$B$3:$B$2150,"&lt;&gt;P")&gt;0,1,0)</f>
        <v>0</v>
      </c>
      <c r="P321">
        <f>IF(COUNTIFS('United Data'!$A$3:$A$2150,P$1,'United Data'!$C$3:$C$2150,$A321,'United Data'!$B$3:$B$2150,"&lt;&gt;P")&gt;0,1,0)</f>
        <v>1</v>
      </c>
      <c r="Q321">
        <f>IF(COUNTIFS('United Data'!$A$3:$A$2150,Q$1,'United Data'!$C$3:$C$2150,$A321,'United Data'!$B$3:$B$2150,"&lt;&gt;P")&gt;0,1,0)</f>
        <v>0</v>
      </c>
      <c r="R321">
        <f>IF(COUNTIFS('United Data'!$A$3:$A$2150,R$1,'United Data'!$C$3:$C$2150,$A321,'United Data'!$B$3:$B$2150,"&lt;&gt;P")&gt;0,1,0)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367</v>
      </c>
      <c r="B322">
        <f>IF(COUNTIFS('United Data'!$A$3:$A$2150,B$1,'United Data'!$C$3:$C$2150,$A322,'United Data'!$B$3:$B$2150,"&lt;&gt;P")&gt;0,1,0)</f>
        <v>0</v>
      </c>
      <c r="C322">
        <f>IF(COUNTIFS('United Data'!$A$3:$A$2150,C$1,'United Data'!$C$3:$C$2150,$A322,'United Data'!$B$3:$B$2150,"&lt;&gt;P")&gt;0,1,0)</f>
        <v>0</v>
      </c>
      <c r="D322">
        <f>IF(COUNTIFS('United Data'!$A$3:$A$2150,D$1,'United Data'!$C$3:$C$2150,$A322,'United Data'!$B$3:$B$2150,"&lt;&gt;P")&gt;0,1,0)</f>
        <v>0</v>
      </c>
      <c r="E322">
        <f>IF(COUNTIFS('United Data'!$A$3:$A$2150,E$1,'United Data'!$C$3:$C$2150,$A322,'United Data'!$B$3:$B$2150,"&lt;&gt;P")&gt;0,1,0)</f>
        <v>0</v>
      </c>
      <c r="F322">
        <f>IF(COUNTIFS('United Data'!$A$3:$A$2150,F$1,'United Data'!$C$3:$C$2150,$A322,'United Data'!$B$3:$B$2150,"&lt;&gt;P")&gt;0,1,0)</f>
        <v>0</v>
      </c>
      <c r="G322">
        <f>IF(COUNTIFS('United Data'!$A$3:$A$2150,G$1,'United Data'!$C$3:$C$2150,$A322,'United Data'!$B$3:$B$2150,"&lt;&gt;P")&gt;0,1,0)</f>
        <v>0</v>
      </c>
      <c r="H322">
        <f>IF(COUNTIFS('United Data'!$A$3:$A$2150,H$1,'United Data'!$C$3:$C$2150,$A322,'United Data'!$B$3:$B$2150,"&lt;&gt;P")&gt;0,1,0)</f>
        <v>0</v>
      </c>
      <c r="I322">
        <f>IF(COUNTIFS('United Data'!$A$3:$A$2150,I$1,'United Data'!$C$3:$C$2150,$A322,'United Data'!$B$3:$B$2150,"&lt;&gt;P")&gt;0,1,0)</f>
        <v>0</v>
      </c>
      <c r="J322">
        <f>IF(COUNTIFS('United Data'!$A$3:$A$2150,J$1,'United Data'!$C$3:$C$2150,$A322,'United Data'!$B$3:$B$2150,"&lt;&gt;P")&gt;0,1,0)</f>
        <v>0</v>
      </c>
      <c r="K322">
        <f>IF(COUNTIFS('United Data'!$A$3:$A$2150,K$1,'United Data'!$C$3:$C$2150,$A322,'United Data'!$B$3:$B$2150,"&lt;&gt;P")&gt;0,1,0)</f>
        <v>0</v>
      </c>
      <c r="L322">
        <f>IF(COUNTIFS('United Data'!$A$3:$A$2150,L$1,'United Data'!$C$3:$C$2150,$A322,'United Data'!$B$3:$B$2150,"&lt;&gt;P")&gt;0,1,0)</f>
        <v>0</v>
      </c>
      <c r="M322">
        <f>IF(COUNTIFS('United Data'!$A$3:$A$2150,M$1,'United Data'!$C$3:$C$2150,$A322,'United Data'!$B$3:$B$2150,"&lt;&gt;P")&gt;0,1,0)</f>
        <v>0</v>
      </c>
      <c r="N322">
        <f>IF(COUNTIFS('United Data'!$A$3:$A$2150,N$1,'United Data'!$C$3:$C$2150,$A322,'United Data'!$B$3:$B$2150,"&lt;&gt;P")&gt;0,1,0)</f>
        <v>0</v>
      </c>
      <c r="O322">
        <f>IF(COUNTIFS('United Data'!$A$3:$A$2150,O$1,'United Data'!$C$3:$C$2150,$A322,'United Data'!$B$3:$B$2150,"&lt;&gt;P")&gt;0,1,0)</f>
        <v>0</v>
      </c>
      <c r="P322">
        <f>IF(COUNTIFS('United Data'!$A$3:$A$2150,P$1,'United Data'!$C$3:$C$2150,$A322,'United Data'!$B$3:$B$2150,"&lt;&gt;P")&gt;0,1,0)</f>
        <v>1</v>
      </c>
      <c r="Q322">
        <f>IF(COUNTIFS('United Data'!$A$3:$A$2150,Q$1,'United Data'!$C$3:$C$2150,$A322,'United Data'!$B$3:$B$2150,"&lt;&gt;P")&gt;0,1,0)</f>
        <v>0</v>
      </c>
      <c r="R322">
        <f>IF(COUNTIFS('United Data'!$A$3:$A$2150,R$1,'United Data'!$C$3:$C$2150,$A322,'United Data'!$B$3:$B$2150,"&lt;&gt;P")&gt;0,1,0)</f>
        <v>0</v>
      </c>
      <c r="S322">
        <f t="shared" ref="S322:S385" si="10">SUM(B322:R322)</f>
        <v>1</v>
      </c>
      <c r="T322">
        <f t="shared" ref="T322:T385" si="11">B322+SUMPRODUCT(--(C322:R322&gt;B322:Q322))</f>
        <v>1</v>
      </c>
    </row>
    <row r="323" spans="1:20" x14ac:dyDescent="0.2">
      <c r="A323" t="s">
        <v>368</v>
      </c>
      <c r="B323">
        <f>IF(COUNTIFS('United Data'!$A$3:$A$2150,B$1,'United Data'!$C$3:$C$2150,$A323,'United Data'!$B$3:$B$2150,"&lt;&gt;P")&gt;0,1,0)</f>
        <v>0</v>
      </c>
      <c r="C323">
        <f>IF(COUNTIFS('United Data'!$A$3:$A$2150,C$1,'United Data'!$C$3:$C$2150,$A323,'United Data'!$B$3:$B$2150,"&lt;&gt;P")&gt;0,1,0)</f>
        <v>0</v>
      </c>
      <c r="D323">
        <f>IF(COUNTIFS('United Data'!$A$3:$A$2150,D$1,'United Data'!$C$3:$C$2150,$A323,'United Data'!$B$3:$B$2150,"&lt;&gt;P")&gt;0,1,0)</f>
        <v>0</v>
      </c>
      <c r="E323">
        <f>IF(COUNTIFS('United Data'!$A$3:$A$2150,E$1,'United Data'!$C$3:$C$2150,$A323,'United Data'!$B$3:$B$2150,"&lt;&gt;P")&gt;0,1,0)</f>
        <v>0</v>
      </c>
      <c r="F323">
        <f>IF(COUNTIFS('United Data'!$A$3:$A$2150,F$1,'United Data'!$C$3:$C$2150,$A323,'United Data'!$B$3:$B$2150,"&lt;&gt;P")&gt;0,1,0)</f>
        <v>0</v>
      </c>
      <c r="G323">
        <f>IF(COUNTIFS('United Data'!$A$3:$A$2150,G$1,'United Data'!$C$3:$C$2150,$A323,'United Data'!$B$3:$B$2150,"&lt;&gt;P")&gt;0,1,0)</f>
        <v>0</v>
      </c>
      <c r="H323">
        <f>IF(COUNTIFS('United Data'!$A$3:$A$2150,H$1,'United Data'!$C$3:$C$2150,$A323,'United Data'!$B$3:$B$2150,"&lt;&gt;P")&gt;0,1,0)</f>
        <v>0</v>
      </c>
      <c r="I323">
        <f>IF(COUNTIFS('United Data'!$A$3:$A$2150,I$1,'United Data'!$C$3:$C$2150,$A323,'United Data'!$B$3:$B$2150,"&lt;&gt;P")&gt;0,1,0)</f>
        <v>0</v>
      </c>
      <c r="J323">
        <f>IF(COUNTIFS('United Data'!$A$3:$A$2150,J$1,'United Data'!$C$3:$C$2150,$A323,'United Data'!$B$3:$B$2150,"&lt;&gt;P")&gt;0,1,0)</f>
        <v>0</v>
      </c>
      <c r="K323">
        <f>IF(COUNTIFS('United Data'!$A$3:$A$2150,K$1,'United Data'!$C$3:$C$2150,$A323,'United Data'!$B$3:$B$2150,"&lt;&gt;P")&gt;0,1,0)</f>
        <v>0</v>
      </c>
      <c r="L323">
        <f>IF(COUNTIFS('United Data'!$A$3:$A$2150,L$1,'United Data'!$C$3:$C$2150,$A323,'United Data'!$B$3:$B$2150,"&lt;&gt;P")&gt;0,1,0)</f>
        <v>0</v>
      </c>
      <c r="M323">
        <f>IF(COUNTIFS('United Data'!$A$3:$A$2150,M$1,'United Data'!$C$3:$C$2150,$A323,'United Data'!$B$3:$B$2150,"&lt;&gt;P")&gt;0,1,0)</f>
        <v>0</v>
      </c>
      <c r="N323">
        <f>IF(COUNTIFS('United Data'!$A$3:$A$2150,N$1,'United Data'!$C$3:$C$2150,$A323,'United Data'!$B$3:$B$2150,"&lt;&gt;P")&gt;0,1,0)</f>
        <v>0</v>
      </c>
      <c r="O323">
        <f>IF(COUNTIFS('United Data'!$A$3:$A$2150,O$1,'United Data'!$C$3:$C$2150,$A323,'United Data'!$B$3:$B$2150,"&lt;&gt;P")&gt;0,1,0)</f>
        <v>0</v>
      </c>
      <c r="P323">
        <f>IF(COUNTIFS('United Data'!$A$3:$A$2150,P$1,'United Data'!$C$3:$C$2150,$A323,'United Data'!$B$3:$B$2150,"&lt;&gt;P")&gt;0,1,0)</f>
        <v>0</v>
      </c>
      <c r="Q323">
        <f>IF(COUNTIFS('United Data'!$A$3:$A$2150,Q$1,'United Data'!$C$3:$C$2150,$A323,'United Data'!$B$3:$B$2150,"&lt;&gt;P")&gt;0,1,0)</f>
        <v>1</v>
      </c>
      <c r="R323">
        <f>IF(COUNTIFS('United Data'!$A$3:$A$2150,R$1,'United Data'!$C$3:$C$2150,$A323,'United Data'!$B$3:$B$2150,"&lt;&gt;P")&gt;0,1,0)</f>
        <v>0</v>
      </c>
      <c r="S323">
        <f t="shared" si="10"/>
        <v>1</v>
      </c>
      <c r="T323">
        <f t="shared" si="11"/>
        <v>1</v>
      </c>
    </row>
    <row r="324" spans="1:20" x14ac:dyDescent="0.2">
      <c r="A324" t="s">
        <v>369</v>
      </c>
      <c r="B324">
        <f>IF(COUNTIFS('United Data'!$A$3:$A$2150,B$1,'United Data'!$C$3:$C$2150,$A324,'United Data'!$B$3:$B$2150,"&lt;&gt;P")&gt;0,1,0)</f>
        <v>0</v>
      </c>
      <c r="C324">
        <f>IF(COUNTIFS('United Data'!$A$3:$A$2150,C$1,'United Data'!$C$3:$C$2150,$A324,'United Data'!$B$3:$B$2150,"&lt;&gt;P")&gt;0,1,0)</f>
        <v>0</v>
      </c>
      <c r="D324">
        <f>IF(COUNTIFS('United Data'!$A$3:$A$2150,D$1,'United Data'!$C$3:$C$2150,$A324,'United Data'!$B$3:$B$2150,"&lt;&gt;P")&gt;0,1,0)</f>
        <v>0</v>
      </c>
      <c r="E324">
        <f>IF(COUNTIFS('United Data'!$A$3:$A$2150,E$1,'United Data'!$C$3:$C$2150,$A324,'United Data'!$B$3:$B$2150,"&lt;&gt;P")&gt;0,1,0)</f>
        <v>0</v>
      </c>
      <c r="F324">
        <f>IF(COUNTIFS('United Data'!$A$3:$A$2150,F$1,'United Data'!$C$3:$C$2150,$A324,'United Data'!$B$3:$B$2150,"&lt;&gt;P")&gt;0,1,0)</f>
        <v>0</v>
      </c>
      <c r="G324">
        <f>IF(COUNTIFS('United Data'!$A$3:$A$2150,G$1,'United Data'!$C$3:$C$2150,$A324,'United Data'!$B$3:$B$2150,"&lt;&gt;P")&gt;0,1,0)</f>
        <v>0</v>
      </c>
      <c r="H324">
        <f>IF(COUNTIFS('United Data'!$A$3:$A$2150,H$1,'United Data'!$C$3:$C$2150,$A324,'United Data'!$B$3:$B$2150,"&lt;&gt;P")&gt;0,1,0)</f>
        <v>0</v>
      </c>
      <c r="I324">
        <f>IF(COUNTIFS('United Data'!$A$3:$A$2150,I$1,'United Data'!$C$3:$C$2150,$A324,'United Data'!$B$3:$B$2150,"&lt;&gt;P")&gt;0,1,0)</f>
        <v>0</v>
      </c>
      <c r="J324">
        <f>IF(COUNTIFS('United Data'!$A$3:$A$2150,J$1,'United Data'!$C$3:$C$2150,$A324,'United Data'!$B$3:$B$2150,"&lt;&gt;P")&gt;0,1,0)</f>
        <v>0</v>
      </c>
      <c r="K324">
        <f>IF(COUNTIFS('United Data'!$A$3:$A$2150,K$1,'United Data'!$C$3:$C$2150,$A324,'United Data'!$B$3:$B$2150,"&lt;&gt;P")&gt;0,1,0)</f>
        <v>0</v>
      </c>
      <c r="L324">
        <f>IF(COUNTIFS('United Data'!$A$3:$A$2150,L$1,'United Data'!$C$3:$C$2150,$A324,'United Data'!$B$3:$B$2150,"&lt;&gt;P")&gt;0,1,0)</f>
        <v>0</v>
      </c>
      <c r="M324">
        <f>IF(COUNTIFS('United Data'!$A$3:$A$2150,M$1,'United Data'!$C$3:$C$2150,$A324,'United Data'!$B$3:$B$2150,"&lt;&gt;P")&gt;0,1,0)</f>
        <v>0</v>
      </c>
      <c r="N324">
        <f>IF(COUNTIFS('United Data'!$A$3:$A$2150,N$1,'United Data'!$C$3:$C$2150,$A324,'United Data'!$B$3:$B$2150,"&lt;&gt;P")&gt;0,1,0)</f>
        <v>0</v>
      </c>
      <c r="O324">
        <f>IF(COUNTIFS('United Data'!$A$3:$A$2150,O$1,'United Data'!$C$3:$C$2150,$A324,'United Data'!$B$3:$B$2150,"&lt;&gt;P")&gt;0,1,0)</f>
        <v>0</v>
      </c>
      <c r="P324">
        <f>IF(COUNTIFS('United Data'!$A$3:$A$2150,P$1,'United Data'!$C$3:$C$2150,$A324,'United Data'!$B$3:$B$2150,"&lt;&gt;P")&gt;0,1,0)</f>
        <v>1</v>
      </c>
      <c r="Q324">
        <f>IF(COUNTIFS('United Data'!$A$3:$A$2150,Q$1,'United Data'!$C$3:$C$2150,$A324,'United Data'!$B$3:$B$2150,"&lt;&gt;P")&gt;0,1,0)</f>
        <v>1</v>
      </c>
      <c r="R324">
        <f>IF(COUNTIFS('United Data'!$A$3:$A$2150,R$1,'United Data'!$C$3:$C$2150,$A324,'United Data'!$B$3:$B$2150,"&lt;&gt;P")&gt;0,1,0)</f>
        <v>0</v>
      </c>
      <c r="S324">
        <f t="shared" si="10"/>
        <v>2</v>
      </c>
      <c r="T324">
        <f t="shared" si="11"/>
        <v>1</v>
      </c>
    </row>
    <row r="325" spans="1:20" x14ac:dyDescent="0.2">
      <c r="A325" t="s">
        <v>370</v>
      </c>
      <c r="B325">
        <f>IF(COUNTIFS('United Data'!$A$3:$A$2150,B$1,'United Data'!$C$3:$C$2150,$A325,'United Data'!$B$3:$B$2150,"&lt;&gt;P")&gt;0,1,0)</f>
        <v>0</v>
      </c>
      <c r="C325">
        <f>IF(COUNTIFS('United Data'!$A$3:$A$2150,C$1,'United Data'!$C$3:$C$2150,$A325,'United Data'!$B$3:$B$2150,"&lt;&gt;P")&gt;0,1,0)</f>
        <v>0</v>
      </c>
      <c r="D325">
        <f>IF(COUNTIFS('United Data'!$A$3:$A$2150,D$1,'United Data'!$C$3:$C$2150,$A325,'United Data'!$B$3:$B$2150,"&lt;&gt;P")&gt;0,1,0)</f>
        <v>0</v>
      </c>
      <c r="E325">
        <f>IF(COUNTIFS('United Data'!$A$3:$A$2150,E$1,'United Data'!$C$3:$C$2150,$A325,'United Data'!$B$3:$B$2150,"&lt;&gt;P")&gt;0,1,0)</f>
        <v>0</v>
      </c>
      <c r="F325">
        <f>IF(COUNTIFS('United Data'!$A$3:$A$2150,F$1,'United Data'!$C$3:$C$2150,$A325,'United Data'!$B$3:$B$2150,"&lt;&gt;P")&gt;0,1,0)</f>
        <v>0</v>
      </c>
      <c r="G325">
        <f>IF(COUNTIFS('United Data'!$A$3:$A$2150,G$1,'United Data'!$C$3:$C$2150,$A325,'United Data'!$B$3:$B$2150,"&lt;&gt;P")&gt;0,1,0)</f>
        <v>0</v>
      </c>
      <c r="H325">
        <f>IF(COUNTIFS('United Data'!$A$3:$A$2150,H$1,'United Data'!$C$3:$C$2150,$A325,'United Data'!$B$3:$B$2150,"&lt;&gt;P")&gt;0,1,0)</f>
        <v>0</v>
      </c>
      <c r="I325">
        <f>IF(COUNTIFS('United Data'!$A$3:$A$2150,I$1,'United Data'!$C$3:$C$2150,$A325,'United Data'!$B$3:$B$2150,"&lt;&gt;P")&gt;0,1,0)</f>
        <v>0</v>
      </c>
      <c r="J325">
        <f>IF(COUNTIFS('United Data'!$A$3:$A$2150,J$1,'United Data'!$C$3:$C$2150,$A325,'United Data'!$B$3:$B$2150,"&lt;&gt;P")&gt;0,1,0)</f>
        <v>0</v>
      </c>
      <c r="K325">
        <f>IF(COUNTIFS('United Data'!$A$3:$A$2150,K$1,'United Data'!$C$3:$C$2150,$A325,'United Data'!$B$3:$B$2150,"&lt;&gt;P")&gt;0,1,0)</f>
        <v>0</v>
      </c>
      <c r="L325">
        <f>IF(COUNTIFS('United Data'!$A$3:$A$2150,L$1,'United Data'!$C$3:$C$2150,$A325,'United Data'!$B$3:$B$2150,"&lt;&gt;P")&gt;0,1,0)</f>
        <v>0</v>
      </c>
      <c r="M325">
        <f>IF(COUNTIFS('United Data'!$A$3:$A$2150,M$1,'United Data'!$C$3:$C$2150,$A325,'United Data'!$B$3:$B$2150,"&lt;&gt;P")&gt;0,1,0)</f>
        <v>0</v>
      </c>
      <c r="N325">
        <f>IF(COUNTIFS('United Data'!$A$3:$A$2150,N$1,'United Data'!$C$3:$C$2150,$A325,'United Data'!$B$3:$B$2150,"&lt;&gt;P")&gt;0,1,0)</f>
        <v>0</v>
      </c>
      <c r="O325">
        <f>IF(COUNTIFS('United Data'!$A$3:$A$2150,O$1,'United Data'!$C$3:$C$2150,$A325,'United Data'!$B$3:$B$2150,"&lt;&gt;P")&gt;0,1,0)</f>
        <v>0</v>
      </c>
      <c r="P325">
        <f>IF(COUNTIFS('United Data'!$A$3:$A$2150,P$1,'United Data'!$C$3:$C$2150,$A325,'United Data'!$B$3:$B$2150,"&lt;&gt;P")&gt;0,1,0)</f>
        <v>0</v>
      </c>
      <c r="Q325">
        <f>IF(COUNTIFS('United Data'!$A$3:$A$2150,Q$1,'United Data'!$C$3:$C$2150,$A325,'United Data'!$B$3:$B$2150,"&lt;&gt;P")&gt;0,1,0)</f>
        <v>1</v>
      </c>
      <c r="R325">
        <f>IF(COUNTIFS('United Data'!$A$3:$A$2150,R$1,'United Data'!$C$3:$C$2150,$A325,'United Data'!$B$3:$B$2150,"&lt;&gt;P")&gt;0,1,0)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371</v>
      </c>
      <c r="B326">
        <f>IF(COUNTIFS('United Data'!$A$3:$A$2150,B$1,'United Data'!$C$3:$C$2150,$A326,'United Data'!$B$3:$B$2150,"&lt;&gt;P")&gt;0,1,0)</f>
        <v>0</v>
      </c>
      <c r="C326">
        <f>IF(COUNTIFS('United Data'!$A$3:$A$2150,C$1,'United Data'!$C$3:$C$2150,$A326,'United Data'!$B$3:$B$2150,"&lt;&gt;P")&gt;0,1,0)</f>
        <v>0</v>
      </c>
      <c r="D326">
        <f>IF(COUNTIFS('United Data'!$A$3:$A$2150,D$1,'United Data'!$C$3:$C$2150,$A326,'United Data'!$B$3:$B$2150,"&lt;&gt;P")&gt;0,1,0)</f>
        <v>0</v>
      </c>
      <c r="E326">
        <f>IF(COUNTIFS('United Data'!$A$3:$A$2150,E$1,'United Data'!$C$3:$C$2150,$A326,'United Data'!$B$3:$B$2150,"&lt;&gt;P")&gt;0,1,0)</f>
        <v>0</v>
      </c>
      <c r="F326">
        <f>IF(COUNTIFS('United Data'!$A$3:$A$2150,F$1,'United Data'!$C$3:$C$2150,$A326,'United Data'!$B$3:$B$2150,"&lt;&gt;P")&gt;0,1,0)</f>
        <v>0</v>
      </c>
      <c r="G326">
        <f>IF(COUNTIFS('United Data'!$A$3:$A$2150,G$1,'United Data'!$C$3:$C$2150,$A326,'United Data'!$B$3:$B$2150,"&lt;&gt;P")&gt;0,1,0)</f>
        <v>0</v>
      </c>
      <c r="H326">
        <f>IF(COUNTIFS('United Data'!$A$3:$A$2150,H$1,'United Data'!$C$3:$C$2150,$A326,'United Data'!$B$3:$B$2150,"&lt;&gt;P")&gt;0,1,0)</f>
        <v>0</v>
      </c>
      <c r="I326">
        <f>IF(COUNTIFS('United Data'!$A$3:$A$2150,I$1,'United Data'!$C$3:$C$2150,$A326,'United Data'!$B$3:$B$2150,"&lt;&gt;P")&gt;0,1,0)</f>
        <v>0</v>
      </c>
      <c r="J326">
        <f>IF(COUNTIFS('United Data'!$A$3:$A$2150,J$1,'United Data'!$C$3:$C$2150,$A326,'United Data'!$B$3:$B$2150,"&lt;&gt;P")&gt;0,1,0)</f>
        <v>0</v>
      </c>
      <c r="K326">
        <f>IF(COUNTIFS('United Data'!$A$3:$A$2150,K$1,'United Data'!$C$3:$C$2150,$A326,'United Data'!$B$3:$B$2150,"&lt;&gt;P")&gt;0,1,0)</f>
        <v>0</v>
      </c>
      <c r="L326">
        <f>IF(COUNTIFS('United Data'!$A$3:$A$2150,L$1,'United Data'!$C$3:$C$2150,$A326,'United Data'!$B$3:$B$2150,"&lt;&gt;P")&gt;0,1,0)</f>
        <v>0</v>
      </c>
      <c r="M326">
        <f>IF(COUNTIFS('United Data'!$A$3:$A$2150,M$1,'United Data'!$C$3:$C$2150,$A326,'United Data'!$B$3:$B$2150,"&lt;&gt;P")&gt;0,1,0)</f>
        <v>0</v>
      </c>
      <c r="N326">
        <f>IF(COUNTIFS('United Data'!$A$3:$A$2150,N$1,'United Data'!$C$3:$C$2150,$A326,'United Data'!$B$3:$B$2150,"&lt;&gt;P")&gt;0,1,0)</f>
        <v>0</v>
      </c>
      <c r="O326">
        <f>IF(COUNTIFS('United Data'!$A$3:$A$2150,O$1,'United Data'!$C$3:$C$2150,$A326,'United Data'!$B$3:$B$2150,"&lt;&gt;P")&gt;0,1,0)</f>
        <v>0</v>
      </c>
      <c r="P326">
        <f>IF(COUNTIFS('United Data'!$A$3:$A$2150,P$1,'United Data'!$C$3:$C$2150,$A326,'United Data'!$B$3:$B$2150,"&lt;&gt;P")&gt;0,1,0)</f>
        <v>0</v>
      </c>
      <c r="Q326">
        <f>IF(COUNTIFS('United Data'!$A$3:$A$2150,Q$1,'United Data'!$C$3:$C$2150,$A326,'United Data'!$B$3:$B$2150,"&lt;&gt;P")&gt;0,1,0)</f>
        <v>1</v>
      </c>
      <c r="R326">
        <f>IF(COUNTIFS('United Data'!$A$3:$A$2150,R$1,'United Data'!$C$3:$C$2150,$A326,'United Data'!$B$3:$B$2150,"&lt;&gt;P")&gt;0,1,0)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372</v>
      </c>
      <c r="B327">
        <f>IF(COUNTIFS('United Data'!$A$3:$A$2150,B$1,'United Data'!$C$3:$C$2150,$A327,'United Data'!$B$3:$B$2150,"&lt;&gt;P")&gt;0,1,0)</f>
        <v>0</v>
      </c>
      <c r="C327">
        <f>IF(COUNTIFS('United Data'!$A$3:$A$2150,C$1,'United Data'!$C$3:$C$2150,$A327,'United Data'!$B$3:$B$2150,"&lt;&gt;P")&gt;0,1,0)</f>
        <v>0</v>
      </c>
      <c r="D327">
        <f>IF(COUNTIFS('United Data'!$A$3:$A$2150,D$1,'United Data'!$C$3:$C$2150,$A327,'United Data'!$B$3:$B$2150,"&lt;&gt;P")&gt;0,1,0)</f>
        <v>0</v>
      </c>
      <c r="E327">
        <f>IF(COUNTIFS('United Data'!$A$3:$A$2150,E$1,'United Data'!$C$3:$C$2150,$A327,'United Data'!$B$3:$B$2150,"&lt;&gt;P")&gt;0,1,0)</f>
        <v>0</v>
      </c>
      <c r="F327">
        <f>IF(COUNTIFS('United Data'!$A$3:$A$2150,F$1,'United Data'!$C$3:$C$2150,$A327,'United Data'!$B$3:$B$2150,"&lt;&gt;P")&gt;0,1,0)</f>
        <v>0</v>
      </c>
      <c r="G327">
        <f>IF(COUNTIFS('United Data'!$A$3:$A$2150,G$1,'United Data'!$C$3:$C$2150,$A327,'United Data'!$B$3:$B$2150,"&lt;&gt;P")&gt;0,1,0)</f>
        <v>0</v>
      </c>
      <c r="H327">
        <f>IF(COUNTIFS('United Data'!$A$3:$A$2150,H$1,'United Data'!$C$3:$C$2150,$A327,'United Data'!$B$3:$B$2150,"&lt;&gt;P")&gt;0,1,0)</f>
        <v>0</v>
      </c>
      <c r="I327">
        <f>IF(COUNTIFS('United Data'!$A$3:$A$2150,I$1,'United Data'!$C$3:$C$2150,$A327,'United Data'!$B$3:$B$2150,"&lt;&gt;P")&gt;0,1,0)</f>
        <v>0</v>
      </c>
      <c r="J327">
        <f>IF(COUNTIFS('United Data'!$A$3:$A$2150,J$1,'United Data'!$C$3:$C$2150,$A327,'United Data'!$B$3:$B$2150,"&lt;&gt;P")&gt;0,1,0)</f>
        <v>0</v>
      </c>
      <c r="K327">
        <f>IF(COUNTIFS('United Data'!$A$3:$A$2150,K$1,'United Data'!$C$3:$C$2150,$A327,'United Data'!$B$3:$B$2150,"&lt;&gt;P")&gt;0,1,0)</f>
        <v>0</v>
      </c>
      <c r="L327">
        <f>IF(COUNTIFS('United Data'!$A$3:$A$2150,L$1,'United Data'!$C$3:$C$2150,$A327,'United Data'!$B$3:$B$2150,"&lt;&gt;P")&gt;0,1,0)</f>
        <v>0</v>
      </c>
      <c r="M327">
        <f>IF(COUNTIFS('United Data'!$A$3:$A$2150,M$1,'United Data'!$C$3:$C$2150,$A327,'United Data'!$B$3:$B$2150,"&lt;&gt;P")&gt;0,1,0)</f>
        <v>0</v>
      </c>
      <c r="N327">
        <f>IF(COUNTIFS('United Data'!$A$3:$A$2150,N$1,'United Data'!$C$3:$C$2150,$A327,'United Data'!$B$3:$B$2150,"&lt;&gt;P")&gt;0,1,0)</f>
        <v>0</v>
      </c>
      <c r="O327">
        <f>IF(COUNTIFS('United Data'!$A$3:$A$2150,O$1,'United Data'!$C$3:$C$2150,$A327,'United Data'!$B$3:$B$2150,"&lt;&gt;P")&gt;0,1,0)</f>
        <v>0</v>
      </c>
      <c r="P327">
        <f>IF(COUNTIFS('United Data'!$A$3:$A$2150,P$1,'United Data'!$C$3:$C$2150,$A327,'United Data'!$B$3:$B$2150,"&lt;&gt;P")&gt;0,1,0)</f>
        <v>0</v>
      </c>
      <c r="Q327">
        <f>IF(COUNTIFS('United Data'!$A$3:$A$2150,Q$1,'United Data'!$C$3:$C$2150,$A327,'United Data'!$B$3:$B$2150,"&lt;&gt;P")&gt;0,1,0)</f>
        <v>1</v>
      </c>
      <c r="R327">
        <f>IF(COUNTIFS('United Data'!$A$3:$A$2150,R$1,'United Data'!$C$3:$C$2150,$A327,'United Data'!$B$3:$B$2150,"&lt;&gt;P")&gt;0,1,0)</f>
        <v>0</v>
      </c>
      <c r="S327">
        <f t="shared" si="10"/>
        <v>1</v>
      </c>
      <c r="T327">
        <f t="shared" si="11"/>
        <v>1</v>
      </c>
    </row>
    <row r="328" spans="1:20" x14ac:dyDescent="0.2">
      <c r="A328" t="s">
        <v>373</v>
      </c>
      <c r="B328">
        <f>IF(COUNTIFS('United Data'!$A$3:$A$2150,B$1,'United Data'!$C$3:$C$2150,$A328,'United Data'!$B$3:$B$2150,"&lt;&gt;P")&gt;0,1,0)</f>
        <v>1</v>
      </c>
      <c r="C328">
        <f>IF(COUNTIFS('United Data'!$A$3:$A$2150,C$1,'United Data'!$C$3:$C$2150,$A328,'United Data'!$B$3:$B$2150,"&lt;&gt;P")&gt;0,1,0)</f>
        <v>1</v>
      </c>
      <c r="D328">
        <f>IF(COUNTIFS('United Data'!$A$3:$A$2150,D$1,'United Data'!$C$3:$C$2150,$A328,'United Data'!$B$3:$B$2150,"&lt;&gt;P")&gt;0,1,0)</f>
        <v>1</v>
      </c>
      <c r="E328">
        <f>IF(COUNTIFS('United Data'!$A$3:$A$2150,E$1,'United Data'!$C$3:$C$2150,$A328,'United Data'!$B$3:$B$2150,"&lt;&gt;P")&gt;0,1,0)</f>
        <v>1</v>
      </c>
      <c r="F328">
        <f>IF(COUNTIFS('United Data'!$A$3:$A$2150,F$1,'United Data'!$C$3:$C$2150,$A328,'United Data'!$B$3:$B$2150,"&lt;&gt;P")&gt;0,1,0)</f>
        <v>1</v>
      </c>
      <c r="G328">
        <f>IF(COUNTIFS('United Data'!$A$3:$A$2150,G$1,'United Data'!$C$3:$C$2150,$A328,'United Data'!$B$3:$B$2150,"&lt;&gt;P")&gt;0,1,0)</f>
        <v>1</v>
      </c>
      <c r="H328">
        <f>IF(COUNTIFS('United Data'!$A$3:$A$2150,H$1,'United Data'!$C$3:$C$2150,$A328,'United Data'!$B$3:$B$2150,"&lt;&gt;P")&gt;0,1,0)</f>
        <v>1</v>
      </c>
      <c r="I328">
        <f>IF(COUNTIFS('United Data'!$A$3:$A$2150,I$1,'United Data'!$C$3:$C$2150,$A328,'United Data'!$B$3:$B$2150,"&lt;&gt;P")&gt;0,1,0)</f>
        <v>1</v>
      </c>
      <c r="J328">
        <f>IF(COUNTIFS('United Data'!$A$3:$A$2150,J$1,'United Data'!$C$3:$C$2150,$A328,'United Data'!$B$3:$B$2150,"&lt;&gt;P")&gt;0,1,0)</f>
        <v>1</v>
      </c>
      <c r="K328">
        <f>IF(COUNTIFS('United Data'!$A$3:$A$2150,K$1,'United Data'!$C$3:$C$2150,$A328,'United Data'!$B$3:$B$2150,"&lt;&gt;P")&gt;0,1,0)</f>
        <v>1</v>
      </c>
      <c r="L328">
        <f>IF(COUNTIFS('United Data'!$A$3:$A$2150,L$1,'United Data'!$C$3:$C$2150,$A328,'United Data'!$B$3:$B$2150,"&lt;&gt;P")&gt;0,1,0)</f>
        <v>1</v>
      </c>
      <c r="M328">
        <f>IF(COUNTIFS('United Data'!$A$3:$A$2150,M$1,'United Data'!$C$3:$C$2150,$A328,'United Data'!$B$3:$B$2150,"&lt;&gt;P")&gt;0,1,0)</f>
        <v>1</v>
      </c>
      <c r="N328">
        <f>IF(COUNTIFS('United Data'!$A$3:$A$2150,N$1,'United Data'!$C$3:$C$2150,$A328,'United Data'!$B$3:$B$2150,"&lt;&gt;P")&gt;0,1,0)</f>
        <v>1</v>
      </c>
      <c r="O328">
        <f>IF(COUNTIFS('United Data'!$A$3:$A$2150,O$1,'United Data'!$C$3:$C$2150,$A328,'United Data'!$B$3:$B$2150,"&lt;&gt;P")&gt;0,1,0)</f>
        <v>1</v>
      </c>
      <c r="P328">
        <f>IF(COUNTIFS('United Data'!$A$3:$A$2150,P$1,'United Data'!$C$3:$C$2150,$A328,'United Data'!$B$3:$B$2150,"&lt;&gt;P")&gt;0,1,0)</f>
        <v>1</v>
      </c>
      <c r="Q328">
        <f>IF(COUNTIFS('United Data'!$A$3:$A$2150,Q$1,'United Data'!$C$3:$C$2150,$A328,'United Data'!$B$3:$B$2150,"&lt;&gt;P")&gt;0,1,0)</f>
        <v>1</v>
      </c>
      <c r="R328">
        <f>IF(COUNTIFS('United Data'!$A$3:$A$2150,R$1,'United Data'!$C$3:$C$2150,$A328,'United Data'!$B$3:$B$2150,"&lt;&gt;P")&gt;0,1,0)</f>
        <v>0</v>
      </c>
      <c r="S328">
        <f t="shared" si="10"/>
        <v>16</v>
      </c>
      <c r="T328">
        <f t="shared" si="11"/>
        <v>1</v>
      </c>
    </row>
    <row r="329" spans="1:20" x14ac:dyDescent="0.2">
      <c r="A329" t="s">
        <v>374</v>
      </c>
      <c r="B329">
        <f>IF(COUNTIFS('United Data'!$A$3:$A$2150,B$1,'United Data'!$C$3:$C$2150,$A329,'United Data'!$B$3:$B$2150,"&lt;&gt;P")&gt;0,1,0)</f>
        <v>0</v>
      </c>
      <c r="C329">
        <f>IF(COUNTIFS('United Data'!$A$3:$A$2150,C$1,'United Data'!$C$3:$C$2150,$A329,'United Data'!$B$3:$B$2150,"&lt;&gt;P")&gt;0,1,0)</f>
        <v>0</v>
      </c>
      <c r="D329">
        <f>IF(COUNTIFS('United Data'!$A$3:$A$2150,D$1,'United Data'!$C$3:$C$2150,$A329,'United Data'!$B$3:$B$2150,"&lt;&gt;P")&gt;0,1,0)</f>
        <v>1</v>
      </c>
      <c r="E329">
        <f>IF(COUNTIFS('United Data'!$A$3:$A$2150,E$1,'United Data'!$C$3:$C$2150,$A329,'United Data'!$B$3:$B$2150,"&lt;&gt;P")&gt;0,1,0)</f>
        <v>0</v>
      </c>
      <c r="F329">
        <f>IF(COUNTIFS('United Data'!$A$3:$A$2150,F$1,'United Data'!$C$3:$C$2150,$A329,'United Data'!$B$3:$B$2150,"&lt;&gt;P")&gt;0,1,0)</f>
        <v>0</v>
      </c>
      <c r="G329">
        <f>IF(COUNTIFS('United Data'!$A$3:$A$2150,G$1,'United Data'!$C$3:$C$2150,$A329,'United Data'!$B$3:$B$2150,"&lt;&gt;P")&gt;0,1,0)</f>
        <v>0</v>
      </c>
      <c r="H329">
        <f>IF(COUNTIFS('United Data'!$A$3:$A$2150,H$1,'United Data'!$C$3:$C$2150,$A329,'United Data'!$B$3:$B$2150,"&lt;&gt;P")&gt;0,1,0)</f>
        <v>0</v>
      </c>
      <c r="I329">
        <f>IF(COUNTIFS('United Data'!$A$3:$A$2150,I$1,'United Data'!$C$3:$C$2150,$A329,'United Data'!$B$3:$B$2150,"&lt;&gt;P")&gt;0,1,0)</f>
        <v>0</v>
      </c>
      <c r="J329">
        <f>IF(COUNTIFS('United Data'!$A$3:$A$2150,J$1,'United Data'!$C$3:$C$2150,$A329,'United Data'!$B$3:$B$2150,"&lt;&gt;P")&gt;0,1,0)</f>
        <v>0</v>
      </c>
      <c r="K329">
        <f>IF(COUNTIFS('United Data'!$A$3:$A$2150,K$1,'United Data'!$C$3:$C$2150,$A329,'United Data'!$B$3:$B$2150,"&lt;&gt;P")&gt;0,1,0)</f>
        <v>0</v>
      </c>
      <c r="L329">
        <f>IF(COUNTIFS('United Data'!$A$3:$A$2150,L$1,'United Data'!$C$3:$C$2150,$A329,'United Data'!$B$3:$B$2150,"&lt;&gt;P")&gt;0,1,0)</f>
        <v>0</v>
      </c>
      <c r="M329">
        <f>IF(COUNTIFS('United Data'!$A$3:$A$2150,M$1,'United Data'!$C$3:$C$2150,$A329,'United Data'!$B$3:$B$2150,"&lt;&gt;P")&gt;0,1,0)</f>
        <v>0</v>
      </c>
      <c r="N329">
        <f>IF(COUNTIFS('United Data'!$A$3:$A$2150,N$1,'United Data'!$C$3:$C$2150,$A329,'United Data'!$B$3:$B$2150,"&lt;&gt;P")&gt;0,1,0)</f>
        <v>0</v>
      </c>
      <c r="O329">
        <f>IF(COUNTIFS('United Data'!$A$3:$A$2150,O$1,'United Data'!$C$3:$C$2150,$A329,'United Data'!$B$3:$B$2150,"&lt;&gt;P")&gt;0,1,0)</f>
        <v>0</v>
      </c>
      <c r="P329">
        <f>IF(COUNTIFS('United Data'!$A$3:$A$2150,P$1,'United Data'!$C$3:$C$2150,$A329,'United Data'!$B$3:$B$2150,"&lt;&gt;P")&gt;0,1,0)</f>
        <v>0</v>
      </c>
      <c r="Q329">
        <f>IF(COUNTIFS('United Data'!$A$3:$A$2150,Q$1,'United Data'!$C$3:$C$2150,$A329,'United Data'!$B$3:$B$2150,"&lt;&gt;P")&gt;0,1,0)</f>
        <v>0</v>
      </c>
      <c r="R329">
        <f>IF(COUNTIFS('United Data'!$A$3:$A$2150,R$1,'United Data'!$C$3:$C$2150,$A329,'United Data'!$B$3:$B$2150,"&lt;&gt;P")&gt;0,1,0)</f>
        <v>0</v>
      </c>
      <c r="S329">
        <f t="shared" si="10"/>
        <v>1</v>
      </c>
      <c r="T329">
        <f t="shared" si="11"/>
        <v>1</v>
      </c>
    </row>
    <row r="330" spans="1:20" x14ac:dyDescent="0.2">
      <c r="A330" t="s">
        <v>375</v>
      </c>
      <c r="B330">
        <f>IF(COUNTIFS('United Data'!$A$3:$A$2150,B$1,'United Data'!$C$3:$C$2150,$A330,'United Data'!$B$3:$B$2150,"&lt;&gt;P")&gt;0,1,0)</f>
        <v>0</v>
      </c>
      <c r="C330">
        <f>IF(COUNTIFS('United Data'!$A$3:$A$2150,C$1,'United Data'!$C$3:$C$2150,$A330,'United Data'!$B$3:$B$2150,"&lt;&gt;P")&gt;0,1,0)</f>
        <v>0</v>
      </c>
      <c r="D330">
        <f>IF(COUNTIFS('United Data'!$A$3:$A$2150,D$1,'United Data'!$C$3:$C$2150,$A330,'United Data'!$B$3:$B$2150,"&lt;&gt;P")&gt;0,1,0)</f>
        <v>1</v>
      </c>
      <c r="E330">
        <f>IF(COUNTIFS('United Data'!$A$3:$A$2150,E$1,'United Data'!$C$3:$C$2150,$A330,'United Data'!$B$3:$B$2150,"&lt;&gt;P")&gt;0,1,0)</f>
        <v>1</v>
      </c>
      <c r="F330">
        <f>IF(COUNTIFS('United Data'!$A$3:$A$2150,F$1,'United Data'!$C$3:$C$2150,$A330,'United Data'!$B$3:$B$2150,"&lt;&gt;P")&gt;0,1,0)</f>
        <v>1</v>
      </c>
      <c r="G330">
        <f>IF(COUNTIFS('United Data'!$A$3:$A$2150,G$1,'United Data'!$C$3:$C$2150,$A330,'United Data'!$B$3:$B$2150,"&lt;&gt;P")&gt;0,1,0)</f>
        <v>1</v>
      </c>
      <c r="H330">
        <f>IF(COUNTIFS('United Data'!$A$3:$A$2150,H$1,'United Data'!$C$3:$C$2150,$A330,'United Data'!$B$3:$B$2150,"&lt;&gt;P")&gt;0,1,0)</f>
        <v>1</v>
      </c>
      <c r="I330">
        <f>IF(COUNTIFS('United Data'!$A$3:$A$2150,I$1,'United Data'!$C$3:$C$2150,$A330,'United Data'!$B$3:$B$2150,"&lt;&gt;P")&gt;0,1,0)</f>
        <v>1</v>
      </c>
      <c r="J330">
        <f>IF(COUNTIFS('United Data'!$A$3:$A$2150,J$1,'United Data'!$C$3:$C$2150,$A330,'United Data'!$B$3:$B$2150,"&lt;&gt;P")&gt;0,1,0)</f>
        <v>1</v>
      </c>
      <c r="K330">
        <f>IF(COUNTIFS('United Data'!$A$3:$A$2150,K$1,'United Data'!$C$3:$C$2150,$A330,'United Data'!$B$3:$B$2150,"&lt;&gt;P")&gt;0,1,0)</f>
        <v>0</v>
      </c>
      <c r="L330">
        <f>IF(COUNTIFS('United Data'!$A$3:$A$2150,L$1,'United Data'!$C$3:$C$2150,$A330,'United Data'!$B$3:$B$2150,"&lt;&gt;P")&gt;0,1,0)</f>
        <v>1</v>
      </c>
      <c r="M330">
        <f>IF(COUNTIFS('United Data'!$A$3:$A$2150,M$1,'United Data'!$C$3:$C$2150,$A330,'United Data'!$B$3:$B$2150,"&lt;&gt;P")&gt;0,1,0)</f>
        <v>1</v>
      </c>
      <c r="N330">
        <f>IF(COUNTIFS('United Data'!$A$3:$A$2150,N$1,'United Data'!$C$3:$C$2150,$A330,'United Data'!$B$3:$B$2150,"&lt;&gt;P")&gt;0,1,0)</f>
        <v>0</v>
      </c>
      <c r="O330">
        <f>IF(COUNTIFS('United Data'!$A$3:$A$2150,O$1,'United Data'!$C$3:$C$2150,$A330,'United Data'!$B$3:$B$2150,"&lt;&gt;P")&gt;0,1,0)</f>
        <v>0</v>
      </c>
      <c r="P330">
        <f>IF(COUNTIFS('United Data'!$A$3:$A$2150,P$1,'United Data'!$C$3:$C$2150,$A330,'United Data'!$B$3:$B$2150,"&lt;&gt;P")&gt;0,1,0)</f>
        <v>0</v>
      </c>
      <c r="Q330">
        <f>IF(COUNTIFS('United Data'!$A$3:$A$2150,Q$1,'United Data'!$C$3:$C$2150,$A330,'United Data'!$B$3:$B$2150,"&lt;&gt;P")&gt;0,1,0)</f>
        <v>0</v>
      </c>
      <c r="R330">
        <f>IF(COUNTIFS('United Data'!$A$3:$A$2150,R$1,'United Data'!$C$3:$C$2150,$A330,'United Data'!$B$3:$B$2150,"&lt;&gt;P")&gt;0,1,0)</f>
        <v>0</v>
      </c>
      <c r="S330">
        <f t="shared" si="10"/>
        <v>9</v>
      </c>
      <c r="T330">
        <f t="shared" si="11"/>
        <v>2</v>
      </c>
    </row>
    <row r="331" spans="1:20" x14ac:dyDescent="0.2">
      <c r="A331" t="s">
        <v>376</v>
      </c>
      <c r="B331">
        <f>IF(COUNTIFS('United Data'!$A$3:$A$2150,B$1,'United Data'!$C$3:$C$2150,$A331,'United Data'!$B$3:$B$2150,"&lt;&gt;P")&gt;0,1,0)</f>
        <v>0</v>
      </c>
      <c r="C331">
        <f>IF(COUNTIFS('United Data'!$A$3:$A$2150,C$1,'United Data'!$C$3:$C$2150,$A331,'United Data'!$B$3:$B$2150,"&lt;&gt;P")&gt;0,1,0)</f>
        <v>0</v>
      </c>
      <c r="D331">
        <f>IF(COUNTIFS('United Data'!$A$3:$A$2150,D$1,'United Data'!$C$3:$C$2150,$A331,'United Data'!$B$3:$B$2150,"&lt;&gt;P")&gt;0,1,0)</f>
        <v>1</v>
      </c>
      <c r="E331">
        <f>IF(COUNTIFS('United Data'!$A$3:$A$2150,E$1,'United Data'!$C$3:$C$2150,$A331,'United Data'!$B$3:$B$2150,"&lt;&gt;P")&gt;0,1,0)</f>
        <v>1</v>
      </c>
      <c r="F331">
        <f>IF(COUNTIFS('United Data'!$A$3:$A$2150,F$1,'United Data'!$C$3:$C$2150,$A331,'United Data'!$B$3:$B$2150,"&lt;&gt;P")&gt;0,1,0)</f>
        <v>1</v>
      </c>
      <c r="G331">
        <f>IF(COUNTIFS('United Data'!$A$3:$A$2150,G$1,'United Data'!$C$3:$C$2150,$A331,'United Data'!$B$3:$B$2150,"&lt;&gt;P")&gt;0,1,0)</f>
        <v>1</v>
      </c>
      <c r="H331">
        <f>IF(COUNTIFS('United Data'!$A$3:$A$2150,H$1,'United Data'!$C$3:$C$2150,$A331,'United Data'!$B$3:$B$2150,"&lt;&gt;P")&gt;0,1,0)</f>
        <v>1</v>
      </c>
      <c r="I331">
        <f>IF(COUNTIFS('United Data'!$A$3:$A$2150,I$1,'United Data'!$C$3:$C$2150,$A331,'United Data'!$B$3:$B$2150,"&lt;&gt;P")&gt;0,1,0)</f>
        <v>0</v>
      </c>
      <c r="J331">
        <f>IF(COUNTIFS('United Data'!$A$3:$A$2150,J$1,'United Data'!$C$3:$C$2150,$A331,'United Data'!$B$3:$B$2150,"&lt;&gt;P")&gt;0,1,0)</f>
        <v>1</v>
      </c>
      <c r="K331">
        <f>IF(COUNTIFS('United Data'!$A$3:$A$2150,K$1,'United Data'!$C$3:$C$2150,$A331,'United Data'!$B$3:$B$2150,"&lt;&gt;P")&gt;0,1,0)</f>
        <v>1</v>
      </c>
      <c r="L331">
        <f>IF(COUNTIFS('United Data'!$A$3:$A$2150,L$1,'United Data'!$C$3:$C$2150,$A331,'United Data'!$B$3:$B$2150,"&lt;&gt;P")&gt;0,1,0)</f>
        <v>1</v>
      </c>
      <c r="M331">
        <f>IF(COUNTIFS('United Data'!$A$3:$A$2150,M$1,'United Data'!$C$3:$C$2150,$A331,'United Data'!$B$3:$B$2150,"&lt;&gt;P")&gt;0,1,0)</f>
        <v>0</v>
      </c>
      <c r="N331">
        <f>IF(COUNTIFS('United Data'!$A$3:$A$2150,N$1,'United Data'!$C$3:$C$2150,$A331,'United Data'!$B$3:$B$2150,"&lt;&gt;P")&gt;0,1,0)</f>
        <v>0</v>
      </c>
      <c r="O331">
        <f>IF(COUNTIFS('United Data'!$A$3:$A$2150,O$1,'United Data'!$C$3:$C$2150,$A331,'United Data'!$B$3:$B$2150,"&lt;&gt;P")&gt;0,1,0)</f>
        <v>0</v>
      </c>
      <c r="P331">
        <f>IF(COUNTIFS('United Data'!$A$3:$A$2150,P$1,'United Data'!$C$3:$C$2150,$A331,'United Data'!$B$3:$B$2150,"&lt;&gt;P")&gt;0,1,0)</f>
        <v>0</v>
      </c>
      <c r="Q331">
        <f>IF(COUNTIFS('United Data'!$A$3:$A$2150,Q$1,'United Data'!$C$3:$C$2150,$A331,'United Data'!$B$3:$B$2150,"&lt;&gt;P")&gt;0,1,0)</f>
        <v>0</v>
      </c>
      <c r="R331">
        <f>IF(COUNTIFS('United Data'!$A$3:$A$2150,R$1,'United Data'!$C$3:$C$2150,$A331,'United Data'!$B$3:$B$2150,"&lt;&gt;P")&gt;0,1,0)</f>
        <v>0</v>
      </c>
      <c r="S331">
        <f t="shared" si="10"/>
        <v>8</v>
      </c>
      <c r="T331">
        <f t="shared" si="11"/>
        <v>2</v>
      </c>
    </row>
    <row r="332" spans="1:20" x14ac:dyDescent="0.2">
      <c r="A332" t="s">
        <v>377</v>
      </c>
      <c r="B332">
        <f>IF(COUNTIFS('United Data'!$A$3:$A$2150,B$1,'United Data'!$C$3:$C$2150,$A332,'United Data'!$B$3:$B$2150,"&lt;&gt;P")&gt;0,1,0)</f>
        <v>0</v>
      </c>
      <c r="C332">
        <f>IF(COUNTIFS('United Data'!$A$3:$A$2150,C$1,'United Data'!$C$3:$C$2150,$A332,'United Data'!$B$3:$B$2150,"&lt;&gt;P")&gt;0,1,0)</f>
        <v>0</v>
      </c>
      <c r="D332">
        <f>IF(COUNTIFS('United Data'!$A$3:$A$2150,D$1,'United Data'!$C$3:$C$2150,$A332,'United Data'!$B$3:$B$2150,"&lt;&gt;P")&gt;0,1,0)</f>
        <v>1</v>
      </c>
      <c r="E332">
        <f>IF(COUNTIFS('United Data'!$A$3:$A$2150,E$1,'United Data'!$C$3:$C$2150,$A332,'United Data'!$B$3:$B$2150,"&lt;&gt;P")&gt;0,1,0)</f>
        <v>0</v>
      </c>
      <c r="F332">
        <f>IF(COUNTIFS('United Data'!$A$3:$A$2150,F$1,'United Data'!$C$3:$C$2150,$A332,'United Data'!$B$3:$B$2150,"&lt;&gt;P")&gt;0,1,0)</f>
        <v>0</v>
      </c>
      <c r="G332">
        <f>IF(COUNTIFS('United Data'!$A$3:$A$2150,G$1,'United Data'!$C$3:$C$2150,$A332,'United Data'!$B$3:$B$2150,"&lt;&gt;P")&gt;0,1,0)</f>
        <v>0</v>
      </c>
      <c r="H332">
        <f>IF(COUNTIFS('United Data'!$A$3:$A$2150,H$1,'United Data'!$C$3:$C$2150,$A332,'United Data'!$B$3:$B$2150,"&lt;&gt;P")&gt;0,1,0)</f>
        <v>0</v>
      </c>
      <c r="I332">
        <f>IF(COUNTIFS('United Data'!$A$3:$A$2150,I$1,'United Data'!$C$3:$C$2150,$A332,'United Data'!$B$3:$B$2150,"&lt;&gt;P")&gt;0,1,0)</f>
        <v>0</v>
      </c>
      <c r="J332">
        <f>IF(COUNTIFS('United Data'!$A$3:$A$2150,J$1,'United Data'!$C$3:$C$2150,$A332,'United Data'!$B$3:$B$2150,"&lt;&gt;P")&gt;0,1,0)</f>
        <v>0</v>
      </c>
      <c r="K332">
        <f>IF(COUNTIFS('United Data'!$A$3:$A$2150,K$1,'United Data'!$C$3:$C$2150,$A332,'United Data'!$B$3:$B$2150,"&lt;&gt;P")&gt;0,1,0)</f>
        <v>0</v>
      </c>
      <c r="L332">
        <f>IF(COUNTIFS('United Data'!$A$3:$A$2150,L$1,'United Data'!$C$3:$C$2150,$A332,'United Data'!$B$3:$B$2150,"&lt;&gt;P")&gt;0,1,0)</f>
        <v>0</v>
      </c>
      <c r="M332">
        <f>IF(COUNTIFS('United Data'!$A$3:$A$2150,M$1,'United Data'!$C$3:$C$2150,$A332,'United Data'!$B$3:$B$2150,"&lt;&gt;P")&gt;0,1,0)</f>
        <v>0</v>
      </c>
      <c r="N332">
        <f>IF(COUNTIFS('United Data'!$A$3:$A$2150,N$1,'United Data'!$C$3:$C$2150,$A332,'United Data'!$B$3:$B$2150,"&lt;&gt;P")&gt;0,1,0)</f>
        <v>0</v>
      </c>
      <c r="O332">
        <f>IF(COUNTIFS('United Data'!$A$3:$A$2150,O$1,'United Data'!$C$3:$C$2150,$A332,'United Data'!$B$3:$B$2150,"&lt;&gt;P")&gt;0,1,0)</f>
        <v>0</v>
      </c>
      <c r="P332">
        <f>IF(COUNTIFS('United Data'!$A$3:$A$2150,P$1,'United Data'!$C$3:$C$2150,$A332,'United Data'!$B$3:$B$2150,"&lt;&gt;P")&gt;0,1,0)</f>
        <v>0</v>
      </c>
      <c r="Q332">
        <f>IF(COUNTIFS('United Data'!$A$3:$A$2150,Q$1,'United Data'!$C$3:$C$2150,$A332,'United Data'!$B$3:$B$2150,"&lt;&gt;P")&gt;0,1,0)</f>
        <v>0</v>
      </c>
      <c r="R332">
        <f>IF(COUNTIFS('United Data'!$A$3:$A$2150,R$1,'United Data'!$C$3:$C$2150,$A332,'United Data'!$B$3:$B$2150,"&lt;&gt;P")&gt;0,1,0)</f>
        <v>0</v>
      </c>
      <c r="S332">
        <f t="shared" si="10"/>
        <v>1</v>
      </c>
      <c r="T332">
        <f t="shared" si="11"/>
        <v>1</v>
      </c>
    </row>
    <row r="333" spans="1:20" x14ac:dyDescent="0.2">
      <c r="A333" t="s">
        <v>378</v>
      </c>
      <c r="B333">
        <f>IF(COUNTIFS('United Data'!$A$3:$A$2150,B$1,'United Data'!$C$3:$C$2150,$A333,'United Data'!$B$3:$B$2150,"&lt;&gt;P")&gt;0,1,0)</f>
        <v>0</v>
      </c>
      <c r="C333">
        <f>IF(COUNTIFS('United Data'!$A$3:$A$2150,C$1,'United Data'!$C$3:$C$2150,$A333,'United Data'!$B$3:$B$2150,"&lt;&gt;P")&gt;0,1,0)</f>
        <v>0</v>
      </c>
      <c r="D333">
        <f>IF(COUNTIFS('United Data'!$A$3:$A$2150,D$1,'United Data'!$C$3:$C$2150,$A333,'United Data'!$B$3:$B$2150,"&lt;&gt;P")&gt;0,1,0)</f>
        <v>1</v>
      </c>
      <c r="E333">
        <f>IF(COUNTIFS('United Data'!$A$3:$A$2150,E$1,'United Data'!$C$3:$C$2150,$A333,'United Data'!$B$3:$B$2150,"&lt;&gt;P")&gt;0,1,0)</f>
        <v>0</v>
      </c>
      <c r="F333">
        <f>IF(COUNTIFS('United Data'!$A$3:$A$2150,F$1,'United Data'!$C$3:$C$2150,$A333,'United Data'!$B$3:$B$2150,"&lt;&gt;P")&gt;0,1,0)</f>
        <v>0</v>
      </c>
      <c r="G333">
        <f>IF(COUNTIFS('United Data'!$A$3:$A$2150,G$1,'United Data'!$C$3:$C$2150,$A333,'United Data'!$B$3:$B$2150,"&lt;&gt;P")&gt;0,1,0)</f>
        <v>0</v>
      </c>
      <c r="H333">
        <f>IF(COUNTIFS('United Data'!$A$3:$A$2150,H$1,'United Data'!$C$3:$C$2150,$A333,'United Data'!$B$3:$B$2150,"&lt;&gt;P")&gt;0,1,0)</f>
        <v>0</v>
      </c>
      <c r="I333">
        <f>IF(COUNTIFS('United Data'!$A$3:$A$2150,I$1,'United Data'!$C$3:$C$2150,$A333,'United Data'!$B$3:$B$2150,"&lt;&gt;P")&gt;0,1,0)</f>
        <v>0</v>
      </c>
      <c r="J333">
        <f>IF(COUNTIFS('United Data'!$A$3:$A$2150,J$1,'United Data'!$C$3:$C$2150,$A333,'United Data'!$B$3:$B$2150,"&lt;&gt;P")&gt;0,1,0)</f>
        <v>0</v>
      </c>
      <c r="K333">
        <f>IF(COUNTIFS('United Data'!$A$3:$A$2150,K$1,'United Data'!$C$3:$C$2150,$A333,'United Data'!$B$3:$B$2150,"&lt;&gt;P")&gt;0,1,0)</f>
        <v>0</v>
      </c>
      <c r="L333">
        <f>IF(COUNTIFS('United Data'!$A$3:$A$2150,L$1,'United Data'!$C$3:$C$2150,$A333,'United Data'!$B$3:$B$2150,"&lt;&gt;P")&gt;0,1,0)</f>
        <v>0</v>
      </c>
      <c r="M333">
        <f>IF(COUNTIFS('United Data'!$A$3:$A$2150,M$1,'United Data'!$C$3:$C$2150,$A333,'United Data'!$B$3:$B$2150,"&lt;&gt;P")&gt;0,1,0)</f>
        <v>0</v>
      </c>
      <c r="N333">
        <f>IF(COUNTIFS('United Data'!$A$3:$A$2150,N$1,'United Data'!$C$3:$C$2150,$A333,'United Data'!$B$3:$B$2150,"&lt;&gt;P")&gt;0,1,0)</f>
        <v>0</v>
      </c>
      <c r="O333">
        <f>IF(COUNTIFS('United Data'!$A$3:$A$2150,O$1,'United Data'!$C$3:$C$2150,$A333,'United Data'!$B$3:$B$2150,"&lt;&gt;P")&gt;0,1,0)</f>
        <v>0</v>
      </c>
      <c r="P333">
        <f>IF(COUNTIFS('United Data'!$A$3:$A$2150,P$1,'United Data'!$C$3:$C$2150,$A333,'United Data'!$B$3:$B$2150,"&lt;&gt;P")&gt;0,1,0)</f>
        <v>0</v>
      </c>
      <c r="Q333">
        <f>IF(COUNTIFS('United Data'!$A$3:$A$2150,Q$1,'United Data'!$C$3:$C$2150,$A333,'United Data'!$B$3:$B$2150,"&lt;&gt;P")&gt;0,1,0)</f>
        <v>0</v>
      </c>
      <c r="R333">
        <f>IF(COUNTIFS('United Data'!$A$3:$A$2150,R$1,'United Data'!$C$3:$C$2150,$A333,'United Data'!$B$3:$B$2150,"&lt;&gt;P")&gt;0,1,0)</f>
        <v>0</v>
      </c>
      <c r="S333">
        <f t="shared" si="10"/>
        <v>1</v>
      </c>
      <c r="T333">
        <f t="shared" si="11"/>
        <v>1</v>
      </c>
    </row>
    <row r="334" spans="1:20" x14ac:dyDescent="0.2">
      <c r="A334" t="s">
        <v>379</v>
      </c>
      <c r="B334">
        <f>IF(COUNTIFS('United Data'!$A$3:$A$2150,B$1,'United Data'!$C$3:$C$2150,$A334,'United Data'!$B$3:$B$2150,"&lt;&gt;P")&gt;0,1,0)</f>
        <v>0</v>
      </c>
      <c r="C334">
        <f>IF(COUNTIFS('United Data'!$A$3:$A$2150,C$1,'United Data'!$C$3:$C$2150,$A334,'United Data'!$B$3:$B$2150,"&lt;&gt;P")&gt;0,1,0)</f>
        <v>0</v>
      </c>
      <c r="D334">
        <f>IF(COUNTIFS('United Data'!$A$3:$A$2150,D$1,'United Data'!$C$3:$C$2150,$A334,'United Data'!$B$3:$B$2150,"&lt;&gt;P")&gt;0,1,0)</f>
        <v>1</v>
      </c>
      <c r="E334">
        <f>IF(COUNTIFS('United Data'!$A$3:$A$2150,E$1,'United Data'!$C$3:$C$2150,$A334,'United Data'!$B$3:$B$2150,"&lt;&gt;P")&gt;0,1,0)</f>
        <v>0</v>
      </c>
      <c r="F334">
        <f>IF(COUNTIFS('United Data'!$A$3:$A$2150,F$1,'United Data'!$C$3:$C$2150,$A334,'United Data'!$B$3:$B$2150,"&lt;&gt;P")&gt;0,1,0)</f>
        <v>0</v>
      </c>
      <c r="G334">
        <f>IF(COUNTIFS('United Data'!$A$3:$A$2150,G$1,'United Data'!$C$3:$C$2150,$A334,'United Data'!$B$3:$B$2150,"&lt;&gt;P")&gt;0,1,0)</f>
        <v>0</v>
      </c>
      <c r="H334">
        <f>IF(COUNTIFS('United Data'!$A$3:$A$2150,H$1,'United Data'!$C$3:$C$2150,$A334,'United Data'!$B$3:$B$2150,"&lt;&gt;P")&gt;0,1,0)</f>
        <v>0</v>
      </c>
      <c r="I334">
        <f>IF(COUNTIFS('United Data'!$A$3:$A$2150,I$1,'United Data'!$C$3:$C$2150,$A334,'United Data'!$B$3:$B$2150,"&lt;&gt;P")&gt;0,1,0)</f>
        <v>0</v>
      </c>
      <c r="J334">
        <f>IF(COUNTIFS('United Data'!$A$3:$A$2150,J$1,'United Data'!$C$3:$C$2150,$A334,'United Data'!$B$3:$B$2150,"&lt;&gt;P")&gt;0,1,0)</f>
        <v>0</v>
      </c>
      <c r="K334">
        <f>IF(COUNTIFS('United Data'!$A$3:$A$2150,K$1,'United Data'!$C$3:$C$2150,$A334,'United Data'!$B$3:$B$2150,"&lt;&gt;P")&gt;0,1,0)</f>
        <v>0</v>
      </c>
      <c r="L334">
        <f>IF(COUNTIFS('United Data'!$A$3:$A$2150,L$1,'United Data'!$C$3:$C$2150,$A334,'United Data'!$B$3:$B$2150,"&lt;&gt;P")&gt;0,1,0)</f>
        <v>0</v>
      </c>
      <c r="M334">
        <f>IF(COUNTIFS('United Data'!$A$3:$A$2150,M$1,'United Data'!$C$3:$C$2150,$A334,'United Data'!$B$3:$B$2150,"&lt;&gt;P")&gt;0,1,0)</f>
        <v>0</v>
      </c>
      <c r="N334">
        <f>IF(COUNTIFS('United Data'!$A$3:$A$2150,N$1,'United Data'!$C$3:$C$2150,$A334,'United Data'!$B$3:$B$2150,"&lt;&gt;P")&gt;0,1,0)</f>
        <v>0</v>
      </c>
      <c r="O334">
        <f>IF(COUNTIFS('United Data'!$A$3:$A$2150,O$1,'United Data'!$C$3:$C$2150,$A334,'United Data'!$B$3:$B$2150,"&lt;&gt;P")&gt;0,1,0)</f>
        <v>0</v>
      </c>
      <c r="P334">
        <f>IF(COUNTIFS('United Data'!$A$3:$A$2150,P$1,'United Data'!$C$3:$C$2150,$A334,'United Data'!$B$3:$B$2150,"&lt;&gt;P")&gt;0,1,0)</f>
        <v>0</v>
      </c>
      <c r="Q334">
        <f>IF(COUNTIFS('United Data'!$A$3:$A$2150,Q$1,'United Data'!$C$3:$C$2150,$A334,'United Data'!$B$3:$B$2150,"&lt;&gt;P")&gt;0,1,0)</f>
        <v>0</v>
      </c>
      <c r="R334">
        <f>IF(COUNTIFS('United Data'!$A$3:$A$2150,R$1,'United Data'!$C$3:$C$2150,$A334,'United Data'!$B$3:$B$2150,"&lt;&gt;P")&gt;0,1,0)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380</v>
      </c>
      <c r="B335">
        <f>IF(COUNTIFS('United Data'!$A$3:$A$2150,B$1,'United Data'!$C$3:$C$2150,$A335,'United Data'!$B$3:$B$2150,"&lt;&gt;P")&gt;0,1,0)</f>
        <v>0</v>
      </c>
      <c r="C335">
        <f>IF(COUNTIFS('United Data'!$A$3:$A$2150,C$1,'United Data'!$C$3:$C$2150,$A335,'United Data'!$B$3:$B$2150,"&lt;&gt;P")&gt;0,1,0)</f>
        <v>0</v>
      </c>
      <c r="D335">
        <f>IF(COUNTIFS('United Data'!$A$3:$A$2150,D$1,'United Data'!$C$3:$C$2150,$A335,'United Data'!$B$3:$B$2150,"&lt;&gt;P")&gt;0,1,0)</f>
        <v>1</v>
      </c>
      <c r="E335">
        <f>IF(COUNTIFS('United Data'!$A$3:$A$2150,E$1,'United Data'!$C$3:$C$2150,$A335,'United Data'!$B$3:$B$2150,"&lt;&gt;P")&gt;0,1,0)</f>
        <v>0</v>
      </c>
      <c r="F335">
        <f>IF(COUNTIFS('United Data'!$A$3:$A$2150,F$1,'United Data'!$C$3:$C$2150,$A335,'United Data'!$B$3:$B$2150,"&lt;&gt;P")&gt;0,1,0)</f>
        <v>0</v>
      </c>
      <c r="G335">
        <f>IF(COUNTIFS('United Data'!$A$3:$A$2150,G$1,'United Data'!$C$3:$C$2150,$A335,'United Data'!$B$3:$B$2150,"&lt;&gt;P")&gt;0,1,0)</f>
        <v>0</v>
      </c>
      <c r="H335">
        <f>IF(COUNTIFS('United Data'!$A$3:$A$2150,H$1,'United Data'!$C$3:$C$2150,$A335,'United Data'!$B$3:$B$2150,"&lt;&gt;P")&gt;0,1,0)</f>
        <v>0</v>
      </c>
      <c r="I335">
        <f>IF(COUNTIFS('United Data'!$A$3:$A$2150,I$1,'United Data'!$C$3:$C$2150,$A335,'United Data'!$B$3:$B$2150,"&lt;&gt;P")&gt;0,1,0)</f>
        <v>0</v>
      </c>
      <c r="J335">
        <f>IF(COUNTIFS('United Data'!$A$3:$A$2150,J$1,'United Data'!$C$3:$C$2150,$A335,'United Data'!$B$3:$B$2150,"&lt;&gt;P")&gt;0,1,0)</f>
        <v>0</v>
      </c>
      <c r="K335">
        <f>IF(COUNTIFS('United Data'!$A$3:$A$2150,K$1,'United Data'!$C$3:$C$2150,$A335,'United Data'!$B$3:$B$2150,"&lt;&gt;P")&gt;0,1,0)</f>
        <v>0</v>
      </c>
      <c r="L335">
        <f>IF(COUNTIFS('United Data'!$A$3:$A$2150,L$1,'United Data'!$C$3:$C$2150,$A335,'United Data'!$B$3:$B$2150,"&lt;&gt;P")&gt;0,1,0)</f>
        <v>0</v>
      </c>
      <c r="M335">
        <f>IF(COUNTIFS('United Data'!$A$3:$A$2150,M$1,'United Data'!$C$3:$C$2150,$A335,'United Data'!$B$3:$B$2150,"&lt;&gt;P")&gt;0,1,0)</f>
        <v>0</v>
      </c>
      <c r="N335">
        <f>IF(COUNTIFS('United Data'!$A$3:$A$2150,N$1,'United Data'!$C$3:$C$2150,$A335,'United Data'!$B$3:$B$2150,"&lt;&gt;P")&gt;0,1,0)</f>
        <v>0</v>
      </c>
      <c r="O335">
        <f>IF(COUNTIFS('United Data'!$A$3:$A$2150,O$1,'United Data'!$C$3:$C$2150,$A335,'United Data'!$B$3:$B$2150,"&lt;&gt;P")&gt;0,1,0)</f>
        <v>0</v>
      </c>
      <c r="P335">
        <f>IF(COUNTIFS('United Data'!$A$3:$A$2150,P$1,'United Data'!$C$3:$C$2150,$A335,'United Data'!$B$3:$B$2150,"&lt;&gt;P")&gt;0,1,0)</f>
        <v>0</v>
      </c>
      <c r="Q335">
        <f>IF(COUNTIFS('United Data'!$A$3:$A$2150,Q$1,'United Data'!$C$3:$C$2150,$A335,'United Data'!$B$3:$B$2150,"&lt;&gt;P")&gt;0,1,0)</f>
        <v>0</v>
      </c>
      <c r="R335">
        <f>IF(COUNTIFS('United Data'!$A$3:$A$2150,R$1,'United Data'!$C$3:$C$2150,$A335,'United Data'!$B$3:$B$2150,"&lt;&gt;P")&gt;0,1,0)</f>
        <v>0</v>
      </c>
      <c r="S335">
        <f t="shared" si="10"/>
        <v>1</v>
      </c>
      <c r="T335">
        <f t="shared" si="11"/>
        <v>1</v>
      </c>
    </row>
    <row r="336" spans="1:20" x14ac:dyDescent="0.2">
      <c r="A336" t="s">
        <v>381</v>
      </c>
      <c r="B336">
        <f>IF(COUNTIFS('United Data'!$A$3:$A$2150,B$1,'United Data'!$C$3:$C$2150,$A336,'United Data'!$B$3:$B$2150,"&lt;&gt;P")&gt;0,1,0)</f>
        <v>0</v>
      </c>
      <c r="C336">
        <f>IF(COUNTIFS('United Data'!$A$3:$A$2150,C$1,'United Data'!$C$3:$C$2150,$A336,'United Data'!$B$3:$B$2150,"&lt;&gt;P")&gt;0,1,0)</f>
        <v>0</v>
      </c>
      <c r="D336">
        <f>IF(COUNTIFS('United Data'!$A$3:$A$2150,D$1,'United Data'!$C$3:$C$2150,$A336,'United Data'!$B$3:$B$2150,"&lt;&gt;P")&gt;0,1,0)</f>
        <v>0</v>
      </c>
      <c r="E336">
        <f>IF(COUNTIFS('United Data'!$A$3:$A$2150,E$1,'United Data'!$C$3:$C$2150,$A336,'United Data'!$B$3:$B$2150,"&lt;&gt;P")&gt;0,1,0)</f>
        <v>1</v>
      </c>
      <c r="F336">
        <f>IF(COUNTIFS('United Data'!$A$3:$A$2150,F$1,'United Data'!$C$3:$C$2150,$A336,'United Data'!$B$3:$B$2150,"&lt;&gt;P")&gt;0,1,0)</f>
        <v>0</v>
      </c>
      <c r="G336">
        <f>IF(COUNTIFS('United Data'!$A$3:$A$2150,G$1,'United Data'!$C$3:$C$2150,$A336,'United Data'!$B$3:$B$2150,"&lt;&gt;P")&gt;0,1,0)</f>
        <v>0</v>
      </c>
      <c r="H336">
        <f>IF(COUNTIFS('United Data'!$A$3:$A$2150,H$1,'United Data'!$C$3:$C$2150,$A336,'United Data'!$B$3:$B$2150,"&lt;&gt;P")&gt;0,1,0)</f>
        <v>0</v>
      </c>
      <c r="I336">
        <f>IF(COUNTIFS('United Data'!$A$3:$A$2150,I$1,'United Data'!$C$3:$C$2150,$A336,'United Data'!$B$3:$B$2150,"&lt;&gt;P")&gt;0,1,0)</f>
        <v>0</v>
      </c>
      <c r="J336">
        <f>IF(COUNTIFS('United Data'!$A$3:$A$2150,J$1,'United Data'!$C$3:$C$2150,$A336,'United Data'!$B$3:$B$2150,"&lt;&gt;P")&gt;0,1,0)</f>
        <v>0</v>
      </c>
      <c r="K336">
        <f>IF(COUNTIFS('United Data'!$A$3:$A$2150,K$1,'United Data'!$C$3:$C$2150,$A336,'United Data'!$B$3:$B$2150,"&lt;&gt;P")&gt;0,1,0)</f>
        <v>0</v>
      </c>
      <c r="L336">
        <f>IF(COUNTIFS('United Data'!$A$3:$A$2150,L$1,'United Data'!$C$3:$C$2150,$A336,'United Data'!$B$3:$B$2150,"&lt;&gt;P")&gt;0,1,0)</f>
        <v>0</v>
      </c>
      <c r="M336">
        <f>IF(COUNTIFS('United Data'!$A$3:$A$2150,M$1,'United Data'!$C$3:$C$2150,$A336,'United Data'!$B$3:$B$2150,"&lt;&gt;P")&gt;0,1,0)</f>
        <v>0</v>
      </c>
      <c r="N336">
        <f>IF(COUNTIFS('United Data'!$A$3:$A$2150,N$1,'United Data'!$C$3:$C$2150,$A336,'United Data'!$B$3:$B$2150,"&lt;&gt;P")&gt;0,1,0)</f>
        <v>0</v>
      </c>
      <c r="O336">
        <f>IF(COUNTIFS('United Data'!$A$3:$A$2150,O$1,'United Data'!$C$3:$C$2150,$A336,'United Data'!$B$3:$B$2150,"&lt;&gt;P")&gt;0,1,0)</f>
        <v>0</v>
      </c>
      <c r="P336">
        <f>IF(COUNTIFS('United Data'!$A$3:$A$2150,P$1,'United Data'!$C$3:$C$2150,$A336,'United Data'!$B$3:$B$2150,"&lt;&gt;P")&gt;0,1,0)</f>
        <v>0</v>
      </c>
      <c r="Q336">
        <f>IF(COUNTIFS('United Data'!$A$3:$A$2150,Q$1,'United Data'!$C$3:$C$2150,$A336,'United Data'!$B$3:$B$2150,"&lt;&gt;P")&gt;0,1,0)</f>
        <v>0</v>
      </c>
      <c r="R336">
        <f>IF(COUNTIFS('United Data'!$A$3:$A$2150,R$1,'United Data'!$C$3:$C$2150,$A336,'United Data'!$B$3:$B$2150,"&lt;&gt;P")&gt;0,1,0)</f>
        <v>0</v>
      </c>
      <c r="S336">
        <f t="shared" si="10"/>
        <v>1</v>
      </c>
      <c r="T336">
        <f t="shared" si="11"/>
        <v>1</v>
      </c>
    </row>
    <row r="337" spans="1:20" x14ac:dyDescent="0.2">
      <c r="A337" t="s">
        <v>382</v>
      </c>
      <c r="B337">
        <f>IF(COUNTIFS('United Data'!$A$3:$A$2150,B$1,'United Data'!$C$3:$C$2150,$A337,'United Data'!$B$3:$B$2150,"&lt;&gt;P")&gt;0,1,0)</f>
        <v>0</v>
      </c>
      <c r="C337">
        <f>IF(COUNTIFS('United Data'!$A$3:$A$2150,C$1,'United Data'!$C$3:$C$2150,$A337,'United Data'!$B$3:$B$2150,"&lt;&gt;P")&gt;0,1,0)</f>
        <v>0</v>
      </c>
      <c r="D337">
        <f>IF(COUNTIFS('United Data'!$A$3:$A$2150,D$1,'United Data'!$C$3:$C$2150,$A337,'United Data'!$B$3:$B$2150,"&lt;&gt;P")&gt;0,1,0)</f>
        <v>0</v>
      </c>
      <c r="E337">
        <f>IF(COUNTIFS('United Data'!$A$3:$A$2150,E$1,'United Data'!$C$3:$C$2150,$A337,'United Data'!$B$3:$B$2150,"&lt;&gt;P")&gt;0,1,0)</f>
        <v>1</v>
      </c>
      <c r="F337">
        <f>IF(COUNTIFS('United Data'!$A$3:$A$2150,F$1,'United Data'!$C$3:$C$2150,$A337,'United Data'!$B$3:$B$2150,"&lt;&gt;P")&gt;0,1,0)</f>
        <v>0</v>
      </c>
      <c r="G337">
        <f>IF(COUNTIFS('United Data'!$A$3:$A$2150,G$1,'United Data'!$C$3:$C$2150,$A337,'United Data'!$B$3:$B$2150,"&lt;&gt;P")&gt;0,1,0)</f>
        <v>0</v>
      </c>
      <c r="H337">
        <f>IF(COUNTIFS('United Data'!$A$3:$A$2150,H$1,'United Data'!$C$3:$C$2150,$A337,'United Data'!$B$3:$B$2150,"&lt;&gt;P")&gt;0,1,0)</f>
        <v>0</v>
      </c>
      <c r="I337">
        <f>IF(COUNTIFS('United Data'!$A$3:$A$2150,I$1,'United Data'!$C$3:$C$2150,$A337,'United Data'!$B$3:$B$2150,"&lt;&gt;P")&gt;0,1,0)</f>
        <v>0</v>
      </c>
      <c r="J337">
        <f>IF(COUNTIFS('United Data'!$A$3:$A$2150,J$1,'United Data'!$C$3:$C$2150,$A337,'United Data'!$B$3:$B$2150,"&lt;&gt;P")&gt;0,1,0)</f>
        <v>0</v>
      </c>
      <c r="K337">
        <f>IF(COUNTIFS('United Data'!$A$3:$A$2150,K$1,'United Data'!$C$3:$C$2150,$A337,'United Data'!$B$3:$B$2150,"&lt;&gt;P")&gt;0,1,0)</f>
        <v>0</v>
      </c>
      <c r="L337">
        <f>IF(COUNTIFS('United Data'!$A$3:$A$2150,L$1,'United Data'!$C$3:$C$2150,$A337,'United Data'!$B$3:$B$2150,"&lt;&gt;P")&gt;0,1,0)</f>
        <v>0</v>
      </c>
      <c r="M337">
        <f>IF(COUNTIFS('United Data'!$A$3:$A$2150,M$1,'United Data'!$C$3:$C$2150,$A337,'United Data'!$B$3:$B$2150,"&lt;&gt;P")&gt;0,1,0)</f>
        <v>0</v>
      </c>
      <c r="N337">
        <f>IF(COUNTIFS('United Data'!$A$3:$A$2150,N$1,'United Data'!$C$3:$C$2150,$A337,'United Data'!$B$3:$B$2150,"&lt;&gt;P")&gt;0,1,0)</f>
        <v>0</v>
      </c>
      <c r="O337">
        <f>IF(COUNTIFS('United Data'!$A$3:$A$2150,O$1,'United Data'!$C$3:$C$2150,$A337,'United Data'!$B$3:$B$2150,"&lt;&gt;P")&gt;0,1,0)</f>
        <v>0</v>
      </c>
      <c r="P337">
        <f>IF(COUNTIFS('United Data'!$A$3:$A$2150,P$1,'United Data'!$C$3:$C$2150,$A337,'United Data'!$B$3:$B$2150,"&lt;&gt;P")&gt;0,1,0)</f>
        <v>0</v>
      </c>
      <c r="Q337">
        <f>IF(COUNTIFS('United Data'!$A$3:$A$2150,Q$1,'United Data'!$C$3:$C$2150,$A337,'United Data'!$B$3:$B$2150,"&lt;&gt;P")&gt;0,1,0)</f>
        <v>0</v>
      </c>
      <c r="R337">
        <f>IF(COUNTIFS('United Data'!$A$3:$A$2150,R$1,'United Data'!$C$3:$C$2150,$A337,'United Data'!$B$3:$B$2150,"&lt;&gt;P")&gt;0,1,0)</f>
        <v>0</v>
      </c>
      <c r="S337">
        <f t="shared" si="10"/>
        <v>1</v>
      </c>
      <c r="T337">
        <f t="shared" si="11"/>
        <v>1</v>
      </c>
    </row>
    <row r="338" spans="1:20" x14ac:dyDescent="0.2">
      <c r="A338" t="s">
        <v>383</v>
      </c>
      <c r="B338">
        <f>IF(COUNTIFS('United Data'!$A$3:$A$2150,B$1,'United Data'!$C$3:$C$2150,$A338,'United Data'!$B$3:$B$2150,"&lt;&gt;P")&gt;0,1,0)</f>
        <v>0</v>
      </c>
      <c r="C338">
        <f>IF(COUNTIFS('United Data'!$A$3:$A$2150,C$1,'United Data'!$C$3:$C$2150,$A338,'United Data'!$B$3:$B$2150,"&lt;&gt;P")&gt;0,1,0)</f>
        <v>0</v>
      </c>
      <c r="D338">
        <f>IF(COUNTIFS('United Data'!$A$3:$A$2150,D$1,'United Data'!$C$3:$C$2150,$A338,'United Data'!$B$3:$B$2150,"&lt;&gt;P")&gt;0,1,0)</f>
        <v>0</v>
      </c>
      <c r="E338">
        <f>IF(COUNTIFS('United Data'!$A$3:$A$2150,E$1,'United Data'!$C$3:$C$2150,$A338,'United Data'!$B$3:$B$2150,"&lt;&gt;P")&gt;0,1,0)</f>
        <v>1</v>
      </c>
      <c r="F338">
        <f>IF(COUNTIFS('United Data'!$A$3:$A$2150,F$1,'United Data'!$C$3:$C$2150,$A338,'United Data'!$B$3:$B$2150,"&lt;&gt;P")&gt;0,1,0)</f>
        <v>0</v>
      </c>
      <c r="G338">
        <f>IF(COUNTIFS('United Data'!$A$3:$A$2150,G$1,'United Data'!$C$3:$C$2150,$A338,'United Data'!$B$3:$B$2150,"&lt;&gt;P")&gt;0,1,0)</f>
        <v>0</v>
      </c>
      <c r="H338">
        <f>IF(COUNTIFS('United Data'!$A$3:$A$2150,H$1,'United Data'!$C$3:$C$2150,$A338,'United Data'!$B$3:$B$2150,"&lt;&gt;P")&gt;0,1,0)</f>
        <v>0</v>
      </c>
      <c r="I338">
        <f>IF(COUNTIFS('United Data'!$A$3:$A$2150,I$1,'United Data'!$C$3:$C$2150,$A338,'United Data'!$B$3:$B$2150,"&lt;&gt;P")&gt;0,1,0)</f>
        <v>0</v>
      </c>
      <c r="J338">
        <f>IF(COUNTIFS('United Data'!$A$3:$A$2150,J$1,'United Data'!$C$3:$C$2150,$A338,'United Data'!$B$3:$B$2150,"&lt;&gt;P")&gt;0,1,0)</f>
        <v>0</v>
      </c>
      <c r="K338">
        <f>IF(COUNTIFS('United Data'!$A$3:$A$2150,K$1,'United Data'!$C$3:$C$2150,$A338,'United Data'!$B$3:$B$2150,"&lt;&gt;P")&gt;0,1,0)</f>
        <v>0</v>
      </c>
      <c r="L338">
        <f>IF(COUNTIFS('United Data'!$A$3:$A$2150,L$1,'United Data'!$C$3:$C$2150,$A338,'United Data'!$B$3:$B$2150,"&lt;&gt;P")&gt;0,1,0)</f>
        <v>0</v>
      </c>
      <c r="M338">
        <f>IF(COUNTIFS('United Data'!$A$3:$A$2150,M$1,'United Data'!$C$3:$C$2150,$A338,'United Data'!$B$3:$B$2150,"&lt;&gt;P")&gt;0,1,0)</f>
        <v>0</v>
      </c>
      <c r="N338">
        <f>IF(COUNTIFS('United Data'!$A$3:$A$2150,N$1,'United Data'!$C$3:$C$2150,$A338,'United Data'!$B$3:$B$2150,"&lt;&gt;P")&gt;0,1,0)</f>
        <v>0</v>
      </c>
      <c r="O338">
        <f>IF(COUNTIFS('United Data'!$A$3:$A$2150,O$1,'United Data'!$C$3:$C$2150,$A338,'United Data'!$B$3:$B$2150,"&lt;&gt;P")&gt;0,1,0)</f>
        <v>0</v>
      </c>
      <c r="P338">
        <f>IF(COUNTIFS('United Data'!$A$3:$A$2150,P$1,'United Data'!$C$3:$C$2150,$A338,'United Data'!$B$3:$B$2150,"&lt;&gt;P")&gt;0,1,0)</f>
        <v>0</v>
      </c>
      <c r="Q338">
        <f>IF(COUNTIFS('United Data'!$A$3:$A$2150,Q$1,'United Data'!$C$3:$C$2150,$A338,'United Data'!$B$3:$B$2150,"&lt;&gt;P")&gt;0,1,0)</f>
        <v>0</v>
      </c>
      <c r="R338">
        <f>IF(COUNTIFS('United Data'!$A$3:$A$2150,R$1,'United Data'!$C$3:$C$2150,$A338,'United Data'!$B$3:$B$2150,"&lt;&gt;P")&gt;0,1,0)</f>
        <v>0</v>
      </c>
      <c r="S338">
        <f t="shared" si="10"/>
        <v>1</v>
      </c>
      <c r="T338">
        <f t="shared" si="11"/>
        <v>1</v>
      </c>
    </row>
    <row r="339" spans="1:20" x14ac:dyDescent="0.2">
      <c r="A339" t="s">
        <v>384</v>
      </c>
      <c r="B339">
        <f>IF(COUNTIFS('United Data'!$A$3:$A$2150,B$1,'United Data'!$C$3:$C$2150,$A339,'United Data'!$B$3:$B$2150,"&lt;&gt;P")&gt;0,1,0)</f>
        <v>0</v>
      </c>
      <c r="C339">
        <f>IF(COUNTIFS('United Data'!$A$3:$A$2150,C$1,'United Data'!$C$3:$C$2150,$A339,'United Data'!$B$3:$B$2150,"&lt;&gt;P")&gt;0,1,0)</f>
        <v>0</v>
      </c>
      <c r="D339">
        <f>IF(COUNTIFS('United Data'!$A$3:$A$2150,D$1,'United Data'!$C$3:$C$2150,$A339,'United Data'!$B$3:$B$2150,"&lt;&gt;P")&gt;0,1,0)</f>
        <v>0</v>
      </c>
      <c r="E339">
        <f>IF(COUNTIFS('United Data'!$A$3:$A$2150,E$1,'United Data'!$C$3:$C$2150,$A339,'United Data'!$B$3:$B$2150,"&lt;&gt;P")&gt;0,1,0)</f>
        <v>1</v>
      </c>
      <c r="F339">
        <f>IF(COUNTIFS('United Data'!$A$3:$A$2150,F$1,'United Data'!$C$3:$C$2150,$A339,'United Data'!$B$3:$B$2150,"&lt;&gt;P")&gt;0,1,0)</f>
        <v>0</v>
      </c>
      <c r="G339">
        <f>IF(COUNTIFS('United Data'!$A$3:$A$2150,G$1,'United Data'!$C$3:$C$2150,$A339,'United Data'!$B$3:$B$2150,"&lt;&gt;P")&gt;0,1,0)</f>
        <v>0</v>
      </c>
      <c r="H339">
        <f>IF(COUNTIFS('United Data'!$A$3:$A$2150,H$1,'United Data'!$C$3:$C$2150,$A339,'United Data'!$B$3:$B$2150,"&lt;&gt;P")&gt;0,1,0)</f>
        <v>0</v>
      </c>
      <c r="I339">
        <f>IF(COUNTIFS('United Data'!$A$3:$A$2150,I$1,'United Data'!$C$3:$C$2150,$A339,'United Data'!$B$3:$B$2150,"&lt;&gt;P")&gt;0,1,0)</f>
        <v>0</v>
      </c>
      <c r="J339">
        <f>IF(COUNTIFS('United Data'!$A$3:$A$2150,J$1,'United Data'!$C$3:$C$2150,$A339,'United Data'!$B$3:$B$2150,"&lt;&gt;P")&gt;0,1,0)</f>
        <v>0</v>
      </c>
      <c r="K339">
        <f>IF(COUNTIFS('United Data'!$A$3:$A$2150,K$1,'United Data'!$C$3:$C$2150,$A339,'United Data'!$B$3:$B$2150,"&lt;&gt;P")&gt;0,1,0)</f>
        <v>0</v>
      </c>
      <c r="L339">
        <f>IF(COUNTIFS('United Data'!$A$3:$A$2150,L$1,'United Data'!$C$3:$C$2150,$A339,'United Data'!$B$3:$B$2150,"&lt;&gt;P")&gt;0,1,0)</f>
        <v>0</v>
      </c>
      <c r="M339">
        <f>IF(COUNTIFS('United Data'!$A$3:$A$2150,M$1,'United Data'!$C$3:$C$2150,$A339,'United Data'!$B$3:$B$2150,"&lt;&gt;P")&gt;0,1,0)</f>
        <v>0</v>
      </c>
      <c r="N339">
        <f>IF(COUNTIFS('United Data'!$A$3:$A$2150,N$1,'United Data'!$C$3:$C$2150,$A339,'United Data'!$B$3:$B$2150,"&lt;&gt;P")&gt;0,1,0)</f>
        <v>0</v>
      </c>
      <c r="O339">
        <f>IF(COUNTIFS('United Data'!$A$3:$A$2150,O$1,'United Data'!$C$3:$C$2150,$A339,'United Data'!$B$3:$B$2150,"&lt;&gt;P")&gt;0,1,0)</f>
        <v>0</v>
      </c>
      <c r="P339">
        <f>IF(COUNTIFS('United Data'!$A$3:$A$2150,P$1,'United Data'!$C$3:$C$2150,$A339,'United Data'!$B$3:$B$2150,"&lt;&gt;P")&gt;0,1,0)</f>
        <v>0</v>
      </c>
      <c r="Q339">
        <f>IF(COUNTIFS('United Data'!$A$3:$A$2150,Q$1,'United Data'!$C$3:$C$2150,$A339,'United Data'!$B$3:$B$2150,"&lt;&gt;P")&gt;0,1,0)</f>
        <v>0</v>
      </c>
      <c r="R339">
        <f>IF(COUNTIFS('United Data'!$A$3:$A$2150,R$1,'United Data'!$C$3:$C$2150,$A339,'United Data'!$B$3:$B$2150,"&lt;&gt;P")&gt;0,1,0)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385</v>
      </c>
      <c r="B340">
        <f>IF(COUNTIFS('United Data'!$A$3:$A$2150,B$1,'United Data'!$C$3:$C$2150,$A340,'United Data'!$B$3:$B$2150,"&lt;&gt;P")&gt;0,1,0)</f>
        <v>0</v>
      </c>
      <c r="C340">
        <f>IF(COUNTIFS('United Data'!$A$3:$A$2150,C$1,'United Data'!$C$3:$C$2150,$A340,'United Data'!$B$3:$B$2150,"&lt;&gt;P")&gt;0,1,0)</f>
        <v>0</v>
      </c>
      <c r="D340">
        <f>IF(COUNTIFS('United Data'!$A$3:$A$2150,D$1,'United Data'!$C$3:$C$2150,$A340,'United Data'!$B$3:$B$2150,"&lt;&gt;P")&gt;0,1,0)</f>
        <v>0</v>
      </c>
      <c r="E340">
        <f>IF(COUNTIFS('United Data'!$A$3:$A$2150,E$1,'United Data'!$C$3:$C$2150,$A340,'United Data'!$B$3:$B$2150,"&lt;&gt;P")&gt;0,1,0)</f>
        <v>1</v>
      </c>
      <c r="F340">
        <f>IF(COUNTIFS('United Data'!$A$3:$A$2150,F$1,'United Data'!$C$3:$C$2150,$A340,'United Data'!$B$3:$B$2150,"&lt;&gt;P")&gt;0,1,0)</f>
        <v>0</v>
      </c>
      <c r="G340">
        <f>IF(COUNTIFS('United Data'!$A$3:$A$2150,G$1,'United Data'!$C$3:$C$2150,$A340,'United Data'!$B$3:$B$2150,"&lt;&gt;P")&gt;0,1,0)</f>
        <v>0</v>
      </c>
      <c r="H340">
        <f>IF(COUNTIFS('United Data'!$A$3:$A$2150,H$1,'United Data'!$C$3:$C$2150,$A340,'United Data'!$B$3:$B$2150,"&lt;&gt;P")&gt;0,1,0)</f>
        <v>0</v>
      </c>
      <c r="I340">
        <f>IF(COUNTIFS('United Data'!$A$3:$A$2150,I$1,'United Data'!$C$3:$C$2150,$A340,'United Data'!$B$3:$B$2150,"&lt;&gt;P")&gt;0,1,0)</f>
        <v>0</v>
      </c>
      <c r="J340">
        <f>IF(COUNTIFS('United Data'!$A$3:$A$2150,J$1,'United Data'!$C$3:$C$2150,$A340,'United Data'!$B$3:$B$2150,"&lt;&gt;P")&gt;0,1,0)</f>
        <v>0</v>
      </c>
      <c r="K340">
        <f>IF(COUNTIFS('United Data'!$A$3:$A$2150,K$1,'United Data'!$C$3:$C$2150,$A340,'United Data'!$B$3:$B$2150,"&lt;&gt;P")&gt;0,1,0)</f>
        <v>0</v>
      </c>
      <c r="L340">
        <f>IF(COUNTIFS('United Data'!$A$3:$A$2150,L$1,'United Data'!$C$3:$C$2150,$A340,'United Data'!$B$3:$B$2150,"&lt;&gt;P")&gt;0,1,0)</f>
        <v>0</v>
      </c>
      <c r="M340">
        <f>IF(COUNTIFS('United Data'!$A$3:$A$2150,M$1,'United Data'!$C$3:$C$2150,$A340,'United Data'!$B$3:$B$2150,"&lt;&gt;P")&gt;0,1,0)</f>
        <v>0</v>
      </c>
      <c r="N340">
        <f>IF(COUNTIFS('United Data'!$A$3:$A$2150,N$1,'United Data'!$C$3:$C$2150,$A340,'United Data'!$B$3:$B$2150,"&lt;&gt;P")&gt;0,1,0)</f>
        <v>0</v>
      </c>
      <c r="O340">
        <f>IF(COUNTIFS('United Data'!$A$3:$A$2150,O$1,'United Data'!$C$3:$C$2150,$A340,'United Data'!$B$3:$B$2150,"&lt;&gt;P")&gt;0,1,0)</f>
        <v>0</v>
      </c>
      <c r="P340">
        <f>IF(COUNTIFS('United Data'!$A$3:$A$2150,P$1,'United Data'!$C$3:$C$2150,$A340,'United Data'!$B$3:$B$2150,"&lt;&gt;P")&gt;0,1,0)</f>
        <v>0</v>
      </c>
      <c r="Q340">
        <f>IF(COUNTIFS('United Data'!$A$3:$A$2150,Q$1,'United Data'!$C$3:$C$2150,$A340,'United Data'!$B$3:$B$2150,"&lt;&gt;P")&gt;0,1,0)</f>
        <v>0</v>
      </c>
      <c r="R340">
        <f>IF(COUNTIFS('United Data'!$A$3:$A$2150,R$1,'United Data'!$C$3:$C$2150,$A340,'United Data'!$B$3:$B$2150,"&lt;&gt;P")&gt;0,1,0)</f>
        <v>0</v>
      </c>
      <c r="S340">
        <f t="shared" si="10"/>
        <v>1</v>
      </c>
      <c r="T340">
        <f t="shared" si="11"/>
        <v>1</v>
      </c>
    </row>
    <row r="341" spans="1:20" x14ac:dyDescent="0.2">
      <c r="A341" t="s">
        <v>386</v>
      </c>
      <c r="B341">
        <f>IF(COUNTIFS('United Data'!$A$3:$A$2150,B$1,'United Data'!$C$3:$C$2150,$A341,'United Data'!$B$3:$B$2150,"&lt;&gt;P")&gt;0,1,0)</f>
        <v>0</v>
      </c>
      <c r="C341">
        <f>IF(COUNTIFS('United Data'!$A$3:$A$2150,C$1,'United Data'!$C$3:$C$2150,$A341,'United Data'!$B$3:$B$2150,"&lt;&gt;P")&gt;0,1,0)</f>
        <v>0</v>
      </c>
      <c r="D341">
        <f>IF(COUNTIFS('United Data'!$A$3:$A$2150,D$1,'United Data'!$C$3:$C$2150,$A341,'United Data'!$B$3:$B$2150,"&lt;&gt;P")&gt;0,1,0)</f>
        <v>0</v>
      </c>
      <c r="E341">
        <f>IF(COUNTIFS('United Data'!$A$3:$A$2150,E$1,'United Data'!$C$3:$C$2150,$A341,'United Data'!$B$3:$B$2150,"&lt;&gt;P")&gt;0,1,0)</f>
        <v>1</v>
      </c>
      <c r="F341">
        <f>IF(COUNTIFS('United Data'!$A$3:$A$2150,F$1,'United Data'!$C$3:$C$2150,$A341,'United Data'!$B$3:$B$2150,"&lt;&gt;P")&gt;0,1,0)</f>
        <v>0</v>
      </c>
      <c r="G341">
        <f>IF(COUNTIFS('United Data'!$A$3:$A$2150,G$1,'United Data'!$C$3:$C$2150,$A341,'United Data'!$B$3:$B$2150,"&lt;&gt;P")&gt;0,1,0)</f>
        <v>1</v>
      </c>
      <c r="H341">
        <f>IF(COUNTIFS('United Data'!$A$3:$A$2150,H$1,'United Data'!$C$3:$C$2150,$A341,'United Data'!$B$3:$B$2150,"&lt;&gt;P")&gt;0,1,0)</f>
        <v>0</v>
      </c>
      <c r="I341">
        <f>IF(COUNTIFS('United Data'!$A$3:$A$2150,I$1,'United Data'!$C$3:$C$2150,$A341,'United Data'!$B$3:$B$2150,"&lt;&gt;P")&gt;0,1,0)</f>
        <v>0</v>
      </c>
      <c r="J341">
        <f>IF(COUNTIFS('United Data'!$A$3:$A$2150,J$1,'United Data'!$C$3:$C$2150,$A341,'United Data'!$B$3:$B$2150,"&lt;&gt;P")&gt;0,1,0)</f>
        <v>0</v>
      </c>
      <c r="K341">
        <f>IF(COUNTIFS('United Data'!$A$3:$A$2150,K$1,'United Data'!$C$3:$C$2150,$A341,'United Data'!$B$3:$B$2150,"&lt;&gt;P")&gt;0,1,0)</f>
        <v>0</v>
      </c>
      <c r="L341">
        <f>IF(COUNTIFS('United Data'!$A$3:$A$2150,L$1,'United Data'!$C$3:$C$2150,$A341,'United Data'!$B$3:$B$2150,"&lt;&gt;P")&gt;0,1,0)</f>
        <v>0</v>
      </c>
      <c r="M341">
        <f>IF(COUNTIFS('United Data'!$A$3:$A$2150,M$1,'United Data'!$C$3:$C$2150,$A341,'United Data'!$B$3:$B$2150,"&lt;&gt;P")&gt;0,1,0)</f>
        <v>0</v>
      </c>
      <c r="N341">
        <f>IF(COUNTIFS('United Data'!$A$3:$A$2150,N$1,'United Data'!$C$3:$C$2150,$A341,'United Data'!$B$3:$B$2150,"&lt;&gt;P")&gt;0,1,0)</f>
        <v>0</v>
      </c>
      <c r="O341">
        <f>IF(COUNTIFS('United Data'!$A$3:$A$2150,O$1,'United Data'!$C$3:$C$2150,$A341,'United Data'!$B$3:$B$2150,"&lt;&gt;P")&gt;0,1,0)</f>
        <v>0</v>
      </c>
      <c r="P341">
        <f>IF(COUNTIFS('United Data'!$A$3:$A$2150,P$1,'United Data'!$C$3:$C$2150,$A341,'United Data'!$B$3:$B$2150,"&lt;&gt;P")&gt;0,1,0)</f>
        <v>0</v>
      </c>
      <c r="Q341">
        <f>IF(COUNTIFS('United Data'!$A$3:$A$2150,Q$1,'United Data'!$C$3:$C$2150,$A341,'United Data'!$B$3:$B$2150,"&lt;&gt;P")&gt;0,1,0)</f>
        <v>0</v>
      </c>
      <c r="R341">
        <f>IF(COUNTIFS('United Data'!$A$3:$A$2150,R$1,'United Data'!$C$3:$C$2150,$A341,'United Data'!$B$3:$B$2150,"&lt;&gt;P")&gt;0,1,0)</f>
        <v>0</v>
      </c>
      <c r="S341">
        <f t="shared" si="10"/>
        <v>2</v>
      </c>
      <c r="T341">
        <f t="shared" si="11"/>
        <v>2</v>
      </c>
    </row>
    <row r="342" spans="1:20" x14ac:dyDescent="0.2">
      <c r="A342" t="s">
        <v>387</v>
      </c>
      <c r="B342">
        <f>IF(COUNTIFS('United Data'!$A$3:$A$2150,B$1,'United Data'!$C$3:$C$2150,$A342,'United Data'!$B$3:$B$2150,"&lt;&gt;P")&gt;0,1,0)</f>
        <v>0</v>
      </c>
      <c r="C342">
        <f>IF(COUNTIFS('United Data'!$A$3:$A$2150,C$1,'United Data'!$C$3:$C$2150,$A342,'United Data'!$B$3:$B$2150,"&lt;&gt;P")&gt;0,1,0)</f>
        <v>0</v>
      </c>
      <c r="D342">
        <f>IF(COUNTIFS('United Data'!$A$3:$A$2150,D$1,'United Data'!$C$3:$C$2150,$A342,'United Data'!$B$3:$B$2150,"&lt;&gt;P")&gt;0,1,0)</f>
        <v>0</v>
      </c>
      <c r="E342">
        <f>IF(COUNTIFS('United Data'!$A$3:$A$2150,E$1,'United Data'!$C$3:$C$2150,$A342,'United Data'!$B$3:$B$2150,"&lt;&gt;P")&gt;0,1,0)</f>
        <v>1</v>
      </c>
      <c r="F342">
        <f>IF(COUNTIFS('United Data'!$A$3:$A$2150,F$1,'United Data'!$C$3:$C$2150,$A342,'United Data'!$B$3:$B$2150,"&lt;&gt;P")&gt;0,1,0)</f>
        <v>0</v>
      </c>
      <c r="G342">
        <f>IF(COUNTIFS('United Data'!$A$3:$A$2150,G$1,'United Data'!$C$3:$C$2150,$A342,'United Data'!$B$3:$B$2150,"&lt;&gt;P")&gt;0,1,0)</f>
        <v>0</v>
      </c>
      <c r="H342">
        <f>IF(COUNTIFS('United Data'!$A$3:$A$2150,H$1,'United Data'!$C$3:$C$2150,$A342,'United Data'!$B$3:$B$2150,"&lt;&gt;P")&gt;0,1,0)</f>
        <v>0</v>
      </c>
      <c r="I342">
        <f>IF(COUNTIFS('United Data'!$A$3:$A$2150,I$1,'United Data'!$C$3:$C$2150,$A342,'United Data'!$B$3:$B$2150,"&lt;&gt;P")&gt;0,1,0)</f>
        <v>0</v>
      </c>
      <c r="J342">
        <f>IF(COUNTIFS('United Data'!$A$3:$A$2150,J$1,'United Data'!$C$3:$C$2150,$A342,'United Data'!$B$3:$B$2150,"&lt;&gt;P")&gt;0,1,0)</f>
        <v>0</v>
      </c>
      <c r="K342">
        <f>IF(COUNTIFS('United Data'!$A$3:$A$2150,K$1,'United Data'!$C$3:$C$2150,$A342,'United Data'!$B$3:$B$2150,"&lt;&gt;P")&gt;0,1,0)</f>
        <v>0</v>
      </c>
      <c r="L342">
        <f>IF(COUNTIFS('United Data'!$A$3:$A$2150,L$1,'United Data'!$C$3:$C$2150,$A342,'United Data'!$B$3:$B$2150,"&lt;&gt;P")&gt;0,1,0)</f>
        <v>0</v>
      </c>
      <c r="M342">
        <f>IF(COUNTIFS('United Data'!$A$3:$A$2150,M$1,'United Data'!$C$3:$C$2150,$A342,'United Data'!$B$3:$B$2150,"&lt;&gt;P")&gt;0,1,0)</f>
        <v>0</v>
      </c>
      <c r="N342">
        <f>IF(COUNTIFS('United Data'!$A$3:$A$2150,N$1,'United Data'!$C$3:$C$2150,$A342,'United Data'!$B$3:$B$2150,"&lt;&gt;P")&gt;0,1,0)</f>
        <v>0</v>
      </c>
      <c r="O342">
        <f>IF(COUNTIFS('United Data'!$A$3:$A$2150,O$1,'United Data'!$C$3:$C$2150,$A342,'United Data'!$B$3:$B$2150,"&lt;&gt;P")&gt;0,1,0)</f>
        <v>0</v>
      </c>
      <c r="P342">
        <f>IF(COUNTIFS('United Data'!$A$3:$A$2150,P$1,'United Data'!$C$3:$C$2150,$A342,'United Data'!$B$3:$B$2150,"&lt;&gt;P")&gt;0,1,0)</f>
        <v>0</v>
      </c>
      <c r="Q342">
        <f>IF(COUNTIFS('United Data'!$A$3:$A$2150,Q$1,'United Data'!$C$3:$C$2150,$A342,'United Data'!$B$3:$B$2150,"&lt;&gt;P")&gt;0,1,0)</f>
        <v>0</v>
      </c>
      <c r="R342">
        <f>IF(COUNTIFS('United Data'!$A$3:$A$2150,R$1,'United Data'!$C$3:$C$2150,$A342,'United Data'!$B$3:$B$2150,"&lt;&gt;P")&gt;0,1,0)</f>
        <v>0</v>
      </c>
      <c r="S342">
        <f t="shared" si="10"/>
        <v>1</v>
      </c>
      <c r="T342">
        <f t="shared" si="11"/>
        <v>1</v>
      </c>
    </row>
    <row r="343" spans="1:20" x14ac:dyDescent="0.2">
      <c r="A343" t="s">
        <v>388</v>
      </c>
      <c r="B343">
        <f>IF(COUNTIFS('United Data'!$A$3:$A$2150,B$1,'United Data'!$C$3:$C$2150,$A343,'United Data'!$B$3:$B$2150,"&lt;&gt;P")&gt;0,1,0)</f>
        <v>0</v>
      </c>
      <c r="C343">
        <f>IF(COUNTIFS('United Data'!$A$3:$A$2150,C$1,'United Data'!$C$3:$C$2150,$A343,'United Data'!$B$3:$B$2150,"&lt;&gt;P")&gt;0,1,0)</f>
        <v>0</v>
      </c>
      <c r="D343">
        <f>IF(COUNTIFS('United Data'!$A$3:$A$2150,D$1,'United Data'!$C$3:$C$2150,$A343,'United Data'!$B$3:$B$2150,"&lt;&gt;P")&gt;0,1,0)</f>
        <v>0</v>
      </c>
      <c r="E343">
        <f>IF(COUNTIFS('United Data'!$A$3:$A$2150,E$1,'United Data'!$C$3:$C$2150,$A343,'United Data'!$B$3:$B$2150,"&lt;&gt;P")&gt;0,1,0)</f>
        <v>1</v>
      </c>
      <c r="F343">
        <f>IF(COUNTIFS('United Data'!$A$3:$A$2150,F$1,'United Data'!$C$3:$C$2150,$A343,'United Data'!$B$3:$B$2150,"&lt;&gt;P")&gt;0,1,0)</f>
        <v>1</v>
      </c>
      <c r="G343">
        <f>IF(COUNTIFS('United Data'!$A$3:$A$2150,G$1,'United Data'!$C$3:$C$2150,$A343,'United Data'!$B$3:$B$2150,"&lt;&gt;P")&gt;0,1,0)</f>
        <v>1</v>
      </c>
      <c r="H343">
        <f>IF(COUNTIFS('United Data'!$A$3:$A$2150,H$1,'United Data'!$C$3:$C$2150,$A343,'United Data'!$B$3:$B$2150,"&lt;&gt;P")&gt;0,1,0)</f>
        <v>1</v>
      </c>
      <c r="I343">
        <f>IF(COUNTIFS('United Data'!$A$3:$A$2150,I$1,'United Data'!$C$3:$C$2150,$A343,'United Data'!$B$3:$B$2150,"&lt;&gt;P")&gt;0,1,0)</f>
        <v>1</v>
      </c>
      <c r="J343">
        <f>IF(COUNTIFS('United Data'!$A$3:$A$2150,J$1,'United Data'!$C$3:$C$2150,$A343,'United Data'!$B$3:$B$2150,"&lt;&gt;P")&gt;0,1,0)</f>
        <v>1</v>
      </c>
      <c r="K343">
        <f>IF(COUNTIFS('United Data'!$A$3:$A$2150,K$1,'United Data'!$C$3:$C$2150,$A343,'United Data'!$B$3:$B$2150,"&lt;&gt;P")&gt;0,1,0)</f>
        <v>1</v>
      </c>
      <c r="L343">
        <f>IF(COUNTIFS('United Data'!$A$3:$A$2150,L$1,'United Data'!$C$3:$C$2150,$A343,'United Data'!$B$3:$B$2150,"&lt;&gt;P")&gt;0,1,0)</f>
        <v>1</v>
      </c>
      <c r="M343">
        <f>IF(COUNTIFS('United Data'!$A$3:$A$2150,M$1,'United Data'!$C$3:$C$2150,$A343,'United Data'!$B$3:$B$2150,"&lt;&gt;P")&gt;0,1,0)</f>
        <v>1</v>
      </c>
      <c r="N343">
        <f>IF(COUNTIFS('United Data'!$A$3:$A$2150,N$1,'United Data'!$C$3:$C$2150,$A343,'United Data'!$B$3:$B$2150,"&lt;&gt;P")&gt;0,1,0)</f>
        <v>1</v>
      </c>
      <c r="O343">
        <f>IF(COUNTIFS('United Data'!$A$3:$A$2150,O$1,'United Data'!$C$3:$C$2150,$A343,'United Data'!$B$3:$B$2150,"&lt;&gt;P")&gt;0,1,0)</f>
        <v>1</v>
      </c>
      <c r="P343">
        <f>IF(COUNTIFS('United Data'!$A$3:$A$2150,P$1,'United Data'!$C$3:$C$2150,$A343,'United Data'!$B$3:$B$2150,"&lt;&gt;P")&gt;0,1,0)</f>
        <v>1</v>
      </c>
      <c r="Q343">
        <f>IF(COUNTIFS('United Data'!$A$3:$A$2150,Q$1,'United Data'!$C$3:$C$2150,$A343,'United Data'!$B$3:$B$2150,"&lt;&gt;P")&gt;0,1,0)</f>
        <v>0</v>
      </c>
      <c r="R343">
        <f>IF(COUNTIFS('United Data'!$A$3:$A$2150,R$1,'United Data'!$C$3:$C$2150,$A343,'United Data'!$B$3:$B$2150,"&lt;&gt;P")&gt;0,1,0)</f>
        <v>0</v>
      </c>
      <c r="S343">
        <f t="shared" si="10"/>
        <v>12</v>
      </c>
      <c r="T343">
        <f t="shared" si="11"/>
        <v>1</v>
      </c>
    </row>
    <row r="344" spans="1:20" x14ac:dyDescent="0.2">
      <c r="A344" t="s">
        <v>389</v>
      </c>
      <c r="B344">
        <f>IF(COUNTIFS('United Data'!$A$3:$A$2150,B$1,'United Data'!$C$3:$C$2150,$A344,'United Data'!$B$3:$B$2150,"&lt;&gt;P")&gt;0,1,0)</f>
        <v>0</v>
      </c>
      <c r="C344">
        <f>IF(COUNTIFS('United Data'!$A$3:$A$2150,C$1,'United Data'!$C$3:$C$2150,$A344,'United Data'!$B$3:$B$2150,"&lt;&gt;P")&gt;0,1,0)</f>
        <v>0</v>
      </c>
      <c r="D344">
        <f>IF(COUNTIFS('United Data'!$A$3:$A$2150,D$1,'United Data'!$C$3:$C$2150,$A344,'United Data'!$B$3:$B$2150,"&lt;&gt;P")&gt;0,1,0)</f>
        <v>0</v>
      </c>
      <c r="E344">
        <f>IF(COUNTIFS('United Data'!$A$3:$A$2150,E$1,'United Data'!$C$3:$C$2150,$A344,'United Data'!$B$3:$B$2150,"&lt;&gt;P")&gt;0,1,0)</f>
        <v>0</v>
      </c>
      <c r="F344">
        <f>IF(COUNTIFS('United Data'!$A$3:$A$2150,F$1,'United Data'!$C$3:$C$2150,$A344,'United Data'!$B$3:$B$2150,"&lt;&gt;P")&gt;0,1,0)</f>
        <v>1</v>
      </c>
      <c r="G344">
        <f>IF(COUNTIFS('United Data'!$A$3:$A$2150,G$1,'United Data'!$C$3:$C$2150,$A344,'United Data'!$B$3:$B$2150,"&lt;&gt;P")&gt;0,1,0)</f>
        <v>1</v>
      </c>
      <c r="H344">
        <f>IF(COUNTIFS('United Data'!$A$3:$A$2150,H$1,'United Data'!$C$3:$C$2150,$A344,'United Data'!$B$3:$B$2150,"&lt;&gt;P")&gt;0,1,0)</f>
        <v>0</v>
      </c>
      <c r="I344">
        <f>IF(COUNTIFS('United Data'!$A$3:$A$2150,I$1,'United Data'!$C$3:$C$2150,$A344,'United Data'!$B$3:$B$2150,"&lt;&gt;P")&gt;0,1,0)</f>
        <v>0</v>
      </c>
      <c r="J344">
        <f>IF(COUNTIFS('United Data'!$A$3:$A$2150,J$1,'United Data'!$C$3:$C$2150,$A344,'United Data'!$B$3:$B$2150,"&lt;&gt;P")&gt;0,1,0)</f>
        <v>0</v>
      </c>
      <c r="K344">
        <f>IF(COUNTIFS('United Data'!$A$3:$A$2150,K$1,'United Data'!$C$3:$C$2150,$A344,'United Data'!$B$3:$B$2150,"&lt;&gt;P")&gt;0,1,0)</f>
        <v>0</v>
      </c>
      <c r="L344">
        <f>IF(COUNTIFS('United Data'!$A$3:$A$2150,L$1,'United Data'!$C$3:$C$2150,$A344,'United Data'!$B$3:$B$2150,"&lt;&gt;P")&gt;0,1,0)</f>
        <v>0</v>
      </c>
      <c r="M344">
        <f>IF(COUNTIFS('United Data'!$A$3:$A$2150,M$1,'United Data'!$C$3:$C$2150,$A344,'United Data'!$B$3:$B$2150,"&lt;&gt;P")&gt;0,1,0)</f>
        <v>0</v>
      </c>
      <c r="N344">
        <f>IF(COUNTIFS('United Data'!$A$3:$A$2150,N$1,'United Data'!$C$3:$C$2150,$A344,'United Data'!$B$3:$B$2150,"&lt;&gt;P")&gt;0,1,0)</f>
        <v>0</v>
      </c>
      <c r="O344">
        <f>IF(COUNTIFS('United Data'!$A$3:$A$2150,O$1,'United Data'!$C$3:$C$2150,$A344,'United Data'!$B$3:$B$2150,"&lt;&gt;P")&gt;0,1,0)</f>
        <v>0</v>
      </c>
      <c r="P344">
        <f>IF(COUNTIFS('United Data'!$A$3:$A$2150,P$1,'United Data'!$C$3:$C$2150,$A344,'United Data'!$B$3:$B$2150,"&lt;&gt;P")&gt;0,1,0)</f>
        <v>0</v>
      </c>
      <c r="Q344">
        <f>IF(COUNTIFS('United Data'!$A$3:$A$2150,Q$1,'United Data'!$C$3:$C$2150,$A344,'United Data'!$B$3:$B$2150,"&lt;&gt;P")&gt;0,1,0)</f>
        <v>0</v>
      </c>
      <c r="R344">
        <f>IF(COUNTIFS('United Data'!$A$3:$A$2150,R$1,'United Data'!$C$3:$C$2150,$A344,'United Data'!$B$3:$B$2150,"&lt;&gt;P")&gt;0,1,0)</f>
        <v>0</v>
      </c>
      <c r="S344">
        <f t="shared" si="10"/>
        <v>2</v>
      </c>
      <c r="T344">
        <f t="shared" si="11"/>
        <v>1</v>
      </c>
    </row>
    <row r="345" spans="1:20" x14ac:dyDescent="0.2">
      <c r="A345" t="s">
        <v>390</v>
      </c>
      <c r="B345">
        <f>IF(COUNTIFS('United Data'!$A$3:$A$2150,B$1,'United Data'!$C$3:$C$2150,$A345,'United Data'!$B$3:$B$2150,"&lt;&gt;P")&gt;0,1,0)</f>
        <v>0</v>
      </c>
      <c r="C345">
        <f>IF(COUNTIFS('United Data'!$A$3:$A$2150,C$1,'United Data'!$C$3:$C$2150,$A345,'United Data'!$B$3:$B$2150,"&lt;&gt;P")&gt;0,1,0)</f>
        <v>0</v>
      </c>
      <c r="D345">
        <f>IF(COUNTIFS('United Data'!$A$3:$A$2150,D$1,'United Data'!$C$3:$C$2150,$A345,'United Data'!$B$3:$B$2150,"&lt;&gt;P")&gt;0,1,0)</f>
        <v>0</v>
      </c>
      <c r="E345">
        <f>IF(COUNTIFS('United Data'!$A$3:$A$2150,E$1,'United Data'!$C$3:$C$2150,$A345,'United Data'!$B$3:$B$2150,"&lt;&gt;P")&gt;0,1,0)</f>
        <v>0</v>
      </c>
      <c r="F345">
        <f>IF(COUNTIFS('United Data'!$A$3:$A$2150,F$1,'United Data'!$C$3:$C$2150,$A345,'United Data'!$B$3:$B$2150,"&lt;&gt;P")&gt;0,1,0)</f>
        <v>1</v>
      </c>
      <c r="G345">
        <f>IF(COUNTIFS('United Data'!$A$3:$A$2150,G$1,'United Data'!$C$3:$C$2150,$A345,'United Data'!$B$3:$B$2150,"&lt;&gt;P")&gt;0,1,0)</f>
        <v>0</v>
      </c>
      <c r="H345">
        <f>IF(COUNTIFS('United Data'!$A$3:$A$2150,H$1,'United Data'!$C$3:$C$2150,$A345,'United Data'!$B$3:$B$2150,"&lt;&gt;P")&gt;0,1,0)</f>
        <v>0</v>
      </c>
      <c r="I345">
        <f>IF(COUNTIFS('United Data'!$A$3:$A$2150,I$1,'United Data'!$C$3:$C$2150,$A345,'United Data'!$B$3:$B$2150,"&lt;&gt;P")&gt;0,1,0)</f>
        <v>0</v>
      </c>
      <c r="J345">
        <f>IF(COUNTIFS('United Data'!$A$3:$A$2150,J$1,'United Data'!$C$3:$C$2150,$A345,'United Data'!$B$3:$B$2150,"&lt;&gt;P")&gt;0,1,0)</f>
        <v>0</v>
      </c>
      <c r="K345">
        <f>IF(COUNTIFS('United Data'!$A$3:$A$2150,K$1,'United Data'!$C$3:$C$2150,$A345,'United Data'!$B$3:$B$2150,"&lt;&gt;P")&gt;0,1,0)</f>
        <v>0</v>
      </c>
      <c r="L345">
        <f>IF(COUNTIFS('United Data'!$A$3:$A$2150,L$1,'United Data'!$C$3:$C$2150,$A345,'United Data'!$B$3:$B$2150,"&lt;&gt;P")&gt;0,1,0)</f>
        <v>0</v>
      </c>
      <c r="M345">
        <f>IF(COUNTIFS('United Data'!$A$3:$A$2150,M$1,'United Data'!$C$3:$C$2150,$A345,'United Data'!$B$3:$B$2150,"&lt;&gt;P")&gt;0,1,0)</f>
        <v>0</v>
      </c>
      <c r="N345">
        <f>IF(COUNTIFS('United Data'!$A$3:$A$2150,N$1,'United Data'!$C$3:$C$2150,$A345,'United Data'!$B$3:$B$2150,"&lt;&gt;P")&gt;0,1,0)</f>
        <v>0</v>
      </c>
      <c r="O345">
        <f>IF(COUNTIFS('United Data'!$A$3:$A$2150,O$1,'United Data'!$C$3:$C$2150,$A345,'United Data'!$B$3:$B$2150,"&lt;&gt;P")&gt;0,1,0)</f>
        <v>0</v>
      </c>
      <c r="P345">
        <f>IF(COUNTIFS('United Data'!$A$3:$A$2150,P$1,'United Data'!$C$3:$C$2150,$A345,'United Data'!$B$3:$B$2150,"&lt;&gt;P")&gt;0,1,0)</f>
        <v>0</v>
      </c>
      <c r="Q345">
        <f>IF(COUNTIFS('United Data'!$A$3:$A$2150,Q$1,'United Data'!$C$3:$C$2150,$A345,'United Data'!$B$3:$B$2150,"&lt;&gt;P")&gt;0,1,0)</f>
        <v>0</v>
      </c>
      <c r="R345">
        <f>IF(COUNTIFS('United Data'!$A$3:$A$2150,R$1,'United Data'!$C$3:$C$2150,$A345,'United Data'!$B$3:$B$2150,"&lt;&gt;P")&gt;0,1,0)</f>
        <v>0</v>
      </c>
      <c r="S345">
        <f t="shared" si="10"/>
        <v>1</v>
      </c>
      <c r="T345">
        <f t="shared" si="11"/>
        <v>1</v>
      </c>
    </row>
    <row r="346" spans="1:20" x14ac:dyDescent="0.2">
      <c r="A346" t="s">
        <v>391</v>
      </c>
      <c r="B346">
        <f>IF(COUNTIFS('United Data'!$A$3:$A$2150,B$1,'United Data'!$C$3:$C$2150,$A346,'United Data'!$B$3:$B$2150,"&lt;&gt;P")&gt;0,1,0)</f>
        <v>0</v>
      </c>
      <c r="C346">
        <f>IF(COUNTIFS('United Data'!$A$3:$A$2150,C$1,'United Data'!$C$3:$C$2150,$A346,'United Data'!$B$3:$B$2150,"&lt;&gt;P")&gt;0,1,0)</f>
        <v>0</v>
      </c>
      <c r="D346">
        <f>IF(COUNTIFS('United Data'!$A$3:$A$2150,D$1,'United Data'!$C$3:$C$2150,$A346,'United Data'!$B$3:$B$2150,"&lt;&gt;P")&gt;0,1,0)</f>
        <v>0</v>
      </c>
      <c r="E346">
        <f>IF(COUNTIFS('United Data'!$A$3:$A$2150,E$1,'United Data'!$C$3:$C$2150,$A346,'United Data'!$B$3:$B$2150,"&lt;&gt;P")&gt;0,1,0)</f>
        <v>0</v>
      </c>
      <c r="F346">
        <f>IF(COUNTIFS('United Data'!$A$3:$A$2150,F$1,'United Data'!$C$3:$C$2150,$A346,'United Data'!$B$3:$B$2150,"&lt;&gt;P")&gt;0,1,0)</f>
        <v>1</v>
      </c>
      <c r="G346">
        <f>IF(COUNTIFS('United Data'!$A$3:$A$2150,G$1,'United Data'!$C$3:$C$2150,$A346,'United Data'!$B$3:$B$2150,"&lt;&gt;P")&gt;0,1,0)</f>
        <v>0</v>
      </c>
      <c r="H346">
        <f>IF(COUNTIFS('United Data'!$A$3:$A$2150,H$1,'United Data'!$C$3:$C$2150,$A346,'United Data'!$B$3:$B$2150,"&lt;&gt;P")&gt;0,1,0)</f>
        <v>1</v>
      </c>
      <c r="I346">
        <f>IF(COUNTIFS('United Data'!$A$3:$A$2150,I$1,'United Data'!$C$3:$C$2150,$A346,'United Data'!$B$3:$B$2150,"&lt;&gt;P")&gt;0,1,0)</f>
        <v>1</v>
      </c>
      <c r="J346">
        <f>IF(COUNTIFS('United Data'!$A$3:$A$2150,J$1,'United Data'!$C$3:$C$2150,$A346,'United Data'!$B$3:$B$2150,"&lt;&gt;P")&gt;0,1,0)</f>
        <v>1</v>
      </c>
      <c r="K346">
        <f>IF(COUNTIFS('United Data'!$A$3:$A$2150,K$1,'United Data'!$C$3:$C$2150,$A346,'United Data'!$B$3:$B$2150,"&lt;&gt;P")&gt;0,1,0)</f>
        <v>0</v>
      </c>
      <c r="L346">
        <f>IF(COUNTIFS('United Data'!$A$3:$A$2150,L$1,'United Data'!$C$3:$C$2150,$A346,'United Data'!$B$3:$B$2150,"&lt;&gt;P")&gt;0,1,0)</f>
        <v>0</v>
      </c>
      <c r="M346">
        <f>IF(COUNTIFS('United Data'!$A$3:$A$2150,M$1,'United Data'!$C$3:$C$2150,$A346,'United Data'!$B$3:$B$2150,"&lt;&gt;P")&gt;0,1,0)</f>
        <v>0</v>
      </c>
      <c r="N346">
        <f>IF(COUNTIFS('United Data'!$A$3:$A$2150,N$1,'United Data'!$C$3:$C$2150,$A346,'United Data'!$B$3:$B$2150,"&lt;&gt;P")&gt;0,1,0)</f>
        <v>0</v>
      </c>
      <c r="O346">
        <f>IF(COUNTIFS('United Data'!$A$3:$A$2150,O$1,'United Data'!$C$3:$C$2150,$A346,'United Data'!$B$3:$B$2150,"&lt;&gt;P")&gt;0,1,0)</f>
        <v>0</v>
      </c>
      <c r="P346">
        <f>IF(COUNTIFS('United Data'!$A$3:$A$2150,P$1,'United Data'!$C$3:$C$2150,$A346,'United Data'!$B$3:$B$2150,"&lt;&gt;P")&gt;0,1,0)</f>
        <v>0</v>
      </c>
      <c r="Q346">
        <f>IF(COUNTIFS('United Data'!$A$3:$A$2150,Q$1,'United Data'!$C$3:$C$2150,$A346,'United Data'!$B$3:$B$2150,"&lt;&gt;P")&gt;0,1,0)</f>
        <v>0</v>
      </c>
      <c r="R346">
        <f>IF(COUNTIFS('United Data'!$A$3:$A$2150,R$1,'United Data'!$C$3:$C$2150,$A346,'United Data'!$B$3:$B$2150,"&lt;&gt;P")&gt;0,1,0)</f>
        <v>0</v>
      </c>
      <c r="S346">
        <f t="shared" si="10"/>
        <v>4</v>
      </c>
      <c r="T346">
        <f t="shared" si="11"/>
        <v>2</v>
      </c>
    </row>
    <row r="347" spans="1:20" x14ac:dyDescent="0.2">
      <c r="A347" t="s">
        <v>392</v>
      </c>
      <c r="B347">
        <f>IF(COUNTIFS('United Data'!$A$3:$A$2150,B$1,'United Data'!$C$3:$C$2150,$A347,'United Data'!$B$3:$B$2150,"&lt;&gt;P")&gt;0,1,0)</f>
        <v>0</v>
      </c>
      <c r="C347">
        <f>IF(COUNTIFS('United Data'!$A$3:$A$2150,C$1,'United Data'!$C$3:$C$2150,$A347,'United Data'!$B$3:$B$2150,"&lt;&gt;P")&gt;0,1,0)</f>
        <v>0</v>
      </c>
      <c r="D347">
        <f>IF(COUNTIFS('United Data'!$A$3:$A$2150,D$1,'United Data'!$C$3:$C$2150,$A347,'United Data'!$B$3:$B$2150,"&lt;&gt;P")&gt;0,1,0)</f>
        <v>0</v>
      </c>
      <c r="E347">
        <f>IF(COUNTIFS('United Data'!$A$3:$A$2150,E$1,'United Data'!$C$3:$C$2150,$A347,'United Data'!$B$3:$B$2150,"&lt;&gt;P")&gt;0,1,0)</f>
        <v>0</v>
      </c>
      <c r="F347">
        <f>IF(COUNTIFS('United Data'!$A$3:$A$2150,F$1,'United Data'!$C$3:$C$2150,$A347,'United Data'!$B$3:$B$2150,"&lt;&gt;P")&gt;0,1,0)</f>
        <v>1</v>
      </c>
      <c r="G347">
        <f>IF(COUNTIFS('United Data'!$A$3:$A$2150,G$1,'United Data'!$C$3:$C$2150,$A347,'United Data'!$B$3:$B$2150,"&lt;&gt;P")&gt;0,1,0)</f>
        <v>0</v>
      </c>
      <c r="H347">
        <f>IF(COUNTIFS('United Data'!$A$3:$A$2150,H$1,'United Data'!$C$3:$C$2150,$A347,'United Data'!$B$3:$B$2150,"&lt;&gt;P")&gt;0,1,0)</f>
        <v>0</v>
      </c>
      <c r="I347">
        <f>IF(COUNTIFS('United Data'!$A$3:$A$2150,I$1,'United Data'!$C$3:$C$2150,$A347,'United Data'!$B$3:$B$2150,"&lt;&gt;P")&gt;0,1,0)</f>
        <v>0</v>
      </c>
      <c r="J347">
        <f>IF(COUNTIFS('United Data'!$A$3:$A$2150,J$1,'United Data'!$C$3:$C$2150,$A347,'United Data'!$B$3:$B$2150,"&lt;&gt;P")&gt;0,1,0)</f>
        <v>0</v>
      </c>
      <c r="K347">
        <f>IF(COUNTIFS('United Data'!$A$3:$A$2150,K$1,'United Data'!$C$3:$C$2150,$A347,'United Data'!$B$3:$B$2150,"&lt;&gt;P")&gt;0,1,0)</f>
        <v>0</v>
      </c>
      <c r="L347">
        <f>IF(COUNTIFS('United Data'!$A$3:$A$2150,L$1,'United Data'!$C$3:$C$2150,$A347,'United Data'!$B$3:$B$2150,"&lt;&gt;P")&gt;0,1,0)</f>
        <v>0</v>
      </c>
      <c r="M347">
        <f>IF(COUNTIFS('United Data'!$A$3:$A$2150,M$1,'United Data'!$C$3:$C$2150,$A347,'United Data'!$B$3:$B$2150,"&lt;&gt;P")&gt;0,1,0)</f>
        <v>0</v>
      </c>
      <c r="N347">
        <f>IF(COUNTIFS('United Data'!$A$3:$A$2150,N$1,'United Data'!$C$3:$C$2150,$A347,'United Data'!$B$3:$B$2150,"&lt;&gt;P")&gt;0,1,0)</f>
        <v>0</v>
      </c>
      <c r="O347">
        <f>IF(COUNTIFS('United Data'!$A$3:$A$2150,O$1,'United Data'!$C$3:$C$2150,$A347,'United Data'!$B$3:$B$2150,"&lt;&gt;P")&gt;0,1,0)</f>
        <v>0</v>
      </c>
      <c r="P347">
        <f>IF(COUNTIFS('United Data'!$A$3:$A$2150,P$1,'United Data'!$C$3:$C$2150,$A347,'United Data'!$B$3:$B$2150,"&lt;&gt;P")&gt;0,1,0)</f>
        <v>0</v>
      </c>
      <c r="Q347">
        <f>IF(COUNTIFS('United Data'!$A$3:$A$2150,Q$1,'United Data'!$C$3:$C$2150,$A347,'United Data'!$B$3:$B$2150,"&lt;&gt;P")&gt;0,1,0)</f>
        <v>0</v>
      </c>
      <c r="R347">
        <f>IF(COUNTIFS('United Data'!$A$3:$A$2150,R$1,'United Data'!$C$3:$C$2150,$A347,'United Data'!$B$3:$B$2150,"&lt;&gt;P")&gt;0,1,0)</f>
        <v>0</v>
      </c>
      <c r="S347">
        <f t="shared" si="10"/>
        <v>1</v>
      </c>
      <c r="T347">
        <f t="shared" si="11"/>
        <v>1</v>
      </c>
    </row>
    <row r="348" spans="1:20" x14ac:dyDescent="0.2">
      <c r="A348" t="s">
        <v>393</v>
      </c>
      <c r="B348">
        <f>IF(COUNTIFS('United Data'!$A$3:$A$2150,B$1,'United Data'!$C$3:$C$2150,$A348,'United Data'!$B$3:$B$2150,"&lt;&gt;P")&gt;0,1,0)</f>
        <v>0</v>
      </c>
      <c r="C348">
        <f>IF(COUNTIFS('United Data'!$A$3:$A$2150,C$1,'United Data'!$C$3:$C$2150,$A348,'United Data'!$B$3:$B$2150,"&lt;&gt;P")&gt;0,1,0)</f>
        <v>0</v>
      </c>
      <c r="D348">
        <f>IF(COUNTIFS('United Data'!$A$3:$A$2150,D$1,'United Data'!$C$3:$C$2150,$A348,'United Data'!$B$3:$B$2150,"&lt;&gt;P")&gt;0,1,0)</f>
        <v>0</v>
      </c>
      <c r="E348">
        <f>IF(COUNTIFS('United Data'!$A$3:$A$2150,E$1,'United Data'!$C$3:$C$2150,$A348,'United Data'!$B$3:$B$2150,"&lt;&gt;P")&gt;0,1,0)</f>
        <v>0</v>
      </c>
      <c r="F348">
        <f>IF(COUNTIFS('United Data'!$A$3:$A$2150,F$1,'United Data'!$C$3:$C$2150,$A348,'United Data'!$B$3:$B$2150,"&lt;&gt;P")&gt;0,1,0)</f>
        <v>1</v>
      </c>
      <c r="G348">
        <f>IF(COUNTIFS('United Data'!$A$3:$A$2150,G$1,'United Data'!$C$3:$C$2150,$A348,'United Data'!$B$3:$B$2150,"&lt;&gt;P")&gt;0,1,0)</f>
        <v>0</v>
      </c>
      <c r="H348">
        <f>IF(COUNTIFS('United Data'!$A$3:$A$2150,H$1,'United Data'!$C$3:$C$2150,$A348,'United Data'!$B$3:$B$2150,"&lt;&gt;P")&gt;0,1,0)</f>
        <v>0</v>
      </c>
      <c r="I348">
        <f>IF(COUNTIFS('United Data'!$A$3:$A$2150,I$1,'United Data'!$C$3:$C$2150,$A348,'United Data'!$B$3:$B$2150,"&lt;&gt;P")&gt;0,1,0)</f>
        <v>0</v>
      </c>
      <c r="J348">
        <f>IF(COUNTIFS('United Data'!$A$3:$A$2150,J$1,'United Data'!$C$3:$C$2150,$A348,'United Data'!$B$3:$B$2150,"&lt;&gt;P")&gt;0,1,0)</f>
        <v>0</v>
      </c>
      <c r="K348">
        <f>IF(COUNTIFS('United Data'!$A$3:$A$2150,K$1,'United Data'!$C$3:$C$2150,$A348,'United Data'!$B$3:$B$2150,"&lt;&gt;P")&gt;0,1,0)</f>
        <v>0</v>
      </c>
      <c r="L348">
        <f>IF(COUNTIFS('United Data'!$A$3:$A$2150,L$1,'United Data'!$C$3:$C$2150,$A348,'United Data'!$B$3:$B$2150,"&lt;&gt;P")&gt;0,1,0)</f>
        <v>0</v>
      </c>
      <c r="M348">
        <f>IF(COUNTIFS('United Data'!$A$3:$A$2150,M$1,'United Data'!$C$3:$C$2150,$A348,'United Data'!$B$3:$B$2150,"&lt;&gt;P")&gt;0,1,0)</f>
        <v>0</v>
      </c>
      <c r="N348">
        <f>IF(COUNTIFS('United Data'!$A$3:$A$2150,N$1,'United Data'!$C$3:$C$2150,$A348,'United Data'!$B$3:$B$2150,"&lt;&gt;P")&gt;0,1,0)</f>
        <v>0</v>
      </c>
      <c r="O348">
        <f>IF(COUNTIFS('United Data'!$A$3:$A$2150,O$1,'United Data'!$C$3:$C$2150,$A348,'United Data'!$B$3:$B$2150,"&lt;&gt;P")&gt;0,1,0)</f>
        <v>0</v>
      </c>
      <c r="P348">
        <f>IF(COUNTIFS('United Data'!$A$3:$A$2150,P$1,'United Data'!$C$3:$C$2150,$A348,'United Data'!$B$3:$B$2150,"&lt;&gt;P")&gt;0,1,0)</f>
        <v>0</v>
      </c>
      <c r="Q348">
        <f>IF(COUNTIFS('United Data'!$A$3:$A$2150,Q$1,'United Data'!$C$3:$C$2150,$A348,'United Data'!$B$3:$B$2150,"&lt;&gt;P")&gt;0,1,0)</f>
        <v>0</v>
      </c>
      <c r="R348">
        <f>IF(COUNTIFS('United Data'!$A$3:$A$2150,R$1,'United Data'!$C$3:$C$2150,$A348,'United Data'!$B$3:$B$2150,"&lt;&gt;P")&gt;0,1,0)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394</v>
      </c>
      <c r="B349">
        <f>IF(COUNTIFS('United Data'!$A$3:$A$2150,B$1,'United Data'!$C$3:$C$2150,$A349,'United Data'!$B$3:$B$2150,"&lt;&gt;P")&gt;0,1,0)</f>
        <v>0</v>
      </c>
      <c r="C349">
        <f>IF(COUNTIFS('United Data'!$A$3:$A$2150,C$1,'United Data'!$C$3:$C$2150,$A349,'United Data'!$B$3:$B$2150,"&lt;&gt;P")&gt;0,1,0)</f>
        <v>0</v>
      </c>
      <c r="D349">
        <f>IF(COUNTIFS('United Data'!$A$3:$A$2150,D$1,'United Data'!$C$3:$C$2150,$A349,'United Data'!$B$3:$B$2150,"&lt;&gt;P")&gt;0,1,0)</f>
        <v>0</v>
      </c>
      <c r="E349">
        <f>IF(COUNTIFS('United Data'!$A$3:$A$2150,E$1,'United Data'!$C$3:$C$2150,$A349,'United Data'!$B$3:$B$2150,"&lt;&gt;P")&gt;0,1,0)</f>
        <v>1</v>
      </c>
      <c r="F349">
        <f>IF(COUNTIFS('United Data'!$A$3:$A$2150,F$1,'United Data'!$C$3:$C$2150,$A349,'United Data'!$B$3:$B$2150,"&lt;&gt;P")&gt;0,1,0)</f>
        <v>1</v>
      </c>
      <c r="G349">
        <f>IF(COUNTIFS('United Data'!$A$3:$A$2150,G$1,'United Data'!$C$3:$C$2150,$A349,'United Data'!$B$3:$B$2150,"&lt;&gt;P")&gt;0,1,0)</f>
        <v>1</v>
      </c>
      <c r="H349">
        <f>IF(COUNTIFS('United Data'!$A$3:$A$2150,H$1,'United Data'!$C$3:$C$2150,$A349,'United Data'!$B$3:$B$2150,"&lt;&gt;P")&gt;0,1,0)</f>
        <v>0</v>
      </c>
      <c r="I349">
        <f>IF(COUNTIFS('United Data'!$A$3:$A$2150,I$1,'United Data'!$C$3:$C$2150,$A349,'United Data'!$B$3:$B$2150,"&lt;&gt;P")&gt;0,1,0)</f>
        <v>0</v>
      </c>
      <c r="J349">
        <f>IF(COUNTIFS('United Data'!$A$3:$A$2150,J$1,'United Data'!$C$3:$C$2150,$A349,'United Data'!$B$3:$B$2150,"&lt;&gt;P")&gt;0,1,0)</f>
        <v>0</v>
      </c>
      <c r="K349">
        <f>IF(COUNTIFS('United Data'!$A$3:$A$2150,K$1,'United Data'!$C$3:$C$2150,$A349,'United Data'!$B$3:$B$2150,"&lt;&gt;P")&gt;0,1,0)</f>
        <v>0</v>
      </c>
      <c r="L349">
        <f>IF(COUNTIFS('United Data'!$A$3:$A$2150,L$1,'United Data'!$C$3:$C$2150,$A349,'United Data'!$B$3:$B$2150,"&lt;&gt;P")&gt;0,1,0)</f>
        <v>0</v>
      </c>
      <c r="M349">
        <f>IF(COUNTIFS('United Data'!$A$3:$A$2150,M$1,'United Data'!$C$3:$C$2150,$A349,'United Data'!$B$3:$B$2150,"&lt;&gt;P")&gt;0,1,0)</f>
        <v>0</v>
      </c>
      <c r="N349">
        <f>IF(COUNTIFS('United Data'!$A$3:$A$2150,N$1,'United Data'!$C$3:$C$2150,$A349,'United Data'!$B$3:$B$2150,"&lt;&gt;P")&gt;0,1,0)</f>
        <v>0</v>
      </c>
      <c r="O349">
        <f>IF(COUNTIFS('United Data'!$A$3:$A$2150,O$1,'United Data'!$C$3:$C$2150,$A349,'United Data'!$B$3:$B$2150,"&lt;&gt;P")&gt;0,1,0)</f>
        <v>0</v>
      </c>
      <c r="P349">
        <f>IF(COUNTIFS('United Data'!$A$3:$A$2150,P$1,'United Data'!$C$3:$C$2150,$A349,'United Data'!$B$3:$B$2150,"&lt;&gt;P")&gt;0,1,0)</f>
        <v>0</v>
      </c>
      <c r="Q349">
        <f>IF(COUNTIFS('United Data'!$A$3:$A$2150,Q$1,'United Data'!$C$3:$C$2150,$A349,'United Data'!$B$3:$B$2150,"&lt;&gt;P")&gt;0,1,0)</f>
        <v>0</v>
      </c>
      <c r="R349">
        <f>IF(COUNTIFS('United Data'!$A$3:$A$2150,R$1,'United Data'!$C$3:$C$2150,$A349,'United Data'!$B$3:$B$2150,"&lt;&gt;P")&gt;0,1,0)</f>
        <v>0</v>
      </c>
      <c r="S349">
        <f t="shared" si="10"/>
        <v>3</v>
      </c>
      <c r="T349">
        <f t="shared" si="11"/>
        <v>1</v>
      </c>
    </row>
    <row r="350" spans="1:20" x14ac:dyDescent="0.2">
      <c r="A350" t="s">
        <v>395</v>
      </c>
      <c r="B350">
        <f>IF(COUNTIFS('United Data'!$A$3:$A$2150,B$1,'United Data'!$C$3:$C$2150,$A350,'United Data'!$B$3:$B$2150,"&lt;&gt;P")&gt;0,1,0)</f>
        <v>0</v>
      </c>
      <c r="C350">
        <f>IF(COUNTIFS('United Data'!$A$3:$A$2150,C$1,'United Data'!$C$3:$C$2150,$A350,'United Data'!$B$3:$B$2150,"&lt;&gt;P")&gt;0,1,0)</f>
        <v>0</v>
      </c>
      <c r="D350">
        <f>IF(COUNTIFS('United Data'!$A$3:$A$2150,D$1,'United Data'!$C$3:$C$2150,$A350,'United Data'!$B$3:$B$2150,"&lt;&gt;P")&gt;0,1,0)</f>
        <v>0</v>
      </c>
      <c r="E350">
        <f>IF(COUNTIFS('United Data'!$A$3:$A$2150,E$1,'United Data'!$C$3:$C$2150,$A350,'United Data'!$B$3:$B$2150,"&lt;&gt;P")&gt;0,1,0)</f>
        <v>0</v>
      </c>
      <c r="F350">
        <f>IF(COUNTIFS('United Data'!$A$3:$A$2150,F$1,'United Data'!$C$3:$C$2150,$A350,'United Data'!$B$3:$B$2150,"&lt;&gt;P")&gt;0,1,0)</f>
        <v>0</v>
      </c>
      <c r="G350">
        <f>IF(COUNTIFS('United Data'!$A$3:$A$2150,G$1,'United Data'!$C$3:$C$2150,$A350,'United Data'!$B$3:$B$2150,"&lt;&gt;P")&gt;0,1,0)</f>
        <v>1</v>
      </c>
      <c r="H350">
        <f>IF(COUNTIFS('United Data'!$A$3:$A$2150,H$1,'United Data'!$C$3:$C$2150,$A350,'United Data'!$B$3:$B$2150,"&lt;&gt;P")&gt;0,1,0)</f>
        <v>0</v>
      </c>
      <c r="I350">
        <f>IF(COUNTIFS('United Data'!$A$3:$A$2150,I$1,'United Data'!$C$3:$C$2150,$A350,'United Data'!$B$3:$B$2150,"&lt;&gt;P")&gt;0,1,0)</f>
        <v>0</v>
      </c>
      <c r="J350">
        <f>IF(COUNTIFS('United Data'!$A$3:$A$2150,J$1,'United Data'!$C$3:$C$2150,$A350,'United Data'!$B$3:$B$2150,"&lt;&gt;P")&gt;0,1,0)</f>
        <v>0</v>
      </c>
      <c r="K350">
        <f>IF(COUNTIFS('United Data'!$A$3:$A$2150,K$1,'United Data'!$C$3:$C$2150,$A350,'United Data'!$B$3:$B$2150,"&lt;&gt;P")&gt;0,1,0)</f>
        <v>0</v>
      </c>
      <c r="L350">
        <f>IF(COUNTIFS('United Data'!$A$3:$A$2150,L$1,'United Data'!$C$3:$C$2150,$A350,'United Data'!$B$3:$B$2150,"&lt;&gt;P")&gt;0,1,0)</f>
        <v>0</v>
      </c>
      <c r="M350">
        <f>IF(COUNTIFS('United Data'!$A$3:$A$2150,M$1,'United Data'!$C$3:$C$2150,$A350,'United Data'!$B$3:$B$2150,"&lt;&gt;P")&gt;0,1,0)</f>
        <v>0</v>
      </c>
      <c r="N350">
        <f>IF(COUNTIFS('United Data'!$A$3:$A$2150,N$1,'United Data'!$C$3:$C$2150,$A350,'United Data'!$B$3:$B$2150,"&lt;&gt;P")&gt;0,1,0)</f>
        <v>0</v>
      </c>
      <c r="O350">
        <f>IF(COUNTIFS('United Data'!$A$3:$A$2150,O$1,'United Data'!$C$3:$C$2150,$A350,'United Data'!$B$3:$B$2150,"&lt;&gt;P")&gt;0,1,0)</f>
        <v>0</v>
      </c>
      <c r="P350">
        <f>IF(COUNTIFS('United Data'!$A$3:$A$2150,P$1,'United Data'!$C$3:$C$2150,$A350,'United Data'!$B$3:$B$2150,"&lt;&gt;P")&gt;0,1,0)</f>
        <v>0</v>
      </c>
      <c r="Q350">
        <f>IF(COUNTIFS('United Data'!$A$3:$A$2150,Q$1,'United Data'!$C$3:$C$2150,$A350,'United Data'!$B$3:$B$2150,"&lt;&gt;P")&gt;0,1,0)</f>
        <v>0</v>
      </c>
      <c r="R350">
        <f>IF(COUNTIFS('United Data'!$A$3:$A$2150,R$1,'United Data'!$C$3:$C$2150,$A350,'United Data'!$B$3:$B$2150,"&lt;&gt;P")&gt;0,1,0)</f>
        <v>0</v>
      </c>
      <c r="S350">
        <f t="shared" si="10"/>
        <v>1</v>
      </c>
      <c r="T350">
        <f t="shared" si="11"/>
        <v>1</v>
      </c>
    </row>
    <row r="351" spans="1:20" x14ac:dyDescent="0.2">
      <c r="A351" t="s">
        <v>396</v>
      </c>
      <c r="B351">
        <f>IF(COUNTIFS('United Data'!$A$3:$A$2150,B$1,'United Data'!$C$3:$C$2150,$A351,'United Data'!$B$3:$B$2150,"&lt;&gt;P")&gt;0,1,0)</f>
        <v>0</v>
      </c>
      <c r="C351">
        <f>IF(COUNTIFS('United Data'!$A$3:$A$2150,C$1,'United Data'!$C$3:$C$2150,$A351,'United Data'!$B$3:$B$2150,"&lt;&gt;P")&gt;0,1,0)</f>
        <v>0</v>
      </c>
      <c r="D351">
        <f>IF(COUNTIFS('United Data'!$A$3:$A$2150,D$1,'United Data'!$C$3:$C$2150,$A351,'United Data'!$B$3:$B$2150,"&lt;&gt;P")&gt;0,1,0)</f>
        <v>0</v>
      </c>
      <c r="E351">
        <f>IF(COUNTIFS('United Data'!$A$3:$A$2150,E$1,'United Data'!$C$3:$C$2150,$A351,'United Data'!$B$3:$B$2150,"&lt;&gt;P")&gt;0,1,0)</f>
        <v>0</v>
      </c>
      <c r="F351">
        <f>IF(COUNTIFS('United Data'!$A$3:$A$2150,F$1,'United Data'!$C$3:$C$2150,$A351,'United Data'!$B$3:$B$2150,"&lt;&gt;P")&gt;0,1,0)</f>
        <v>0</v>
      </c>
      <c r="G351">
        <f>IF(COUNTIFS('United Data'!$A$3:$A$2150,G$1,'United Data'!$C$3:$C$2150,$A351,'United Data'!$B$3:$B$2150,"&lt;&gt;P")&gt;0,1,0)</f>
        <v>1</v>
      </c>
      <c r="H351">
        <f>IF(COUNTIFS('United Data'!$A$3:$A$2150,H$1,'United Data'!$C$3:$C$2150,$A351,'United Data'!$B$3:$B$2150,"&lt;&gt;P")&gt;0,1,0)</f>
        <v>0</v>
      </c>
      <c r="I351">
        <f>IF(COUNTIFS('United Data'!$A$3:$A$2150,I$1,'United Data'!$C$3:$C$2150,$A351,'United Data'!$B$3:$B$2150,"&lt;&gt;P")&gt;0,1,0)</f>
        <v>0</v>
      </c>
      <c r="J351">
        <f>IF(COUNTIFS('United Data'!$A$3:$A$2150,J$1,'United Data'!$C$3:$C$2150,$A351,'United Data'!$B$3:$B$2150,"&lt;&gt;P")&gt;0,1,0)</f>
        <v>0</v>
      </c>
      <c r="K351">
        <f>IF(COUNTIFS('United Data'!$A$3:$A$2150,K$1,'United Data'!$C$3:$C$2150,$A351,'United Data'!$B$3:$B$2150,"&lt;&gt;P")&gt;0,1,0)</f>
        <v>0</v>
      </c>
      <c r="L351">
        <f>IF(COUNTIFS('United Data'!$A$3:$A$2150,L$1,'United Data'!$C$3:$C$2150,$A351,'United Data'!$B$3:$B$2150,"&lt;&gt;P")&gt;0,1,0)</f>
        <v>0</v>
      </c>
      <c r="M351">
        <f>IF(COUNTIFS('United Data'!$A$3:$A$2150,M$1,'United Data'!$C$3:$C$2150,$A351,'United Data'!$B$3:$B$2150,"&lt;&gt;P")&gt;0,1,0)</f>
        <v>0</v>
      </c>
      <c r="N351">
        <f>IF(COUNTIFS('United Data'!$A$3:$A$2150,N$1,'United Data'!$C$3:$C$2150,$A351,'United Data'!$B$3:$B$2150,"&lt;&gt;P")&gt;0,1,0)</f>
        <v>0</v>
      </c>
      <c r="O351">
        <f>IF(COUNTIFS('United Data'!$A$3:$A$2150,O$1,'United Data'!$C$3:$C$2150,$A351,'United Data'!$B$3:$B$2150,"&lt;&gt;P")&gt;0,1,0)</f>
        <v>0</v>
      </c>
      <c r="P351">
        <f>IF(COUNTIFS('United Data'!$A$3:$A$2150,P$1,'United Data'!$C$3:$C$2150,$A351,'United Data'!$B$3:$B$2150,"&lt;&gt;P")&gt;0,1,0)</f>
        <v>0</v>
      </c>
      <c r="Q351">
        <f>IF(COUNTIFS('United Data'!$A$3:$A$2150,Q$1,'United Data'!$C$3:$C$2150,$A351,'United Data'!$B$3:$B$2150,"&lt;&gt;P")&gt;0,1,0)</f>
        <v>0</v>
      </c>
      <c r="R351">
        <f>IF(COUNTIFS('United Data'!$A$3:$A$2150,R$1,'United Data'!$C$3:$C$2150,$A351,'United Data'!$B$3:$B$2150,"&lt;&gt;P")&gt;0,1,0)</f>
        <v>0</v>
      </c>
      <c r="S351">
        <f t="shared" si="10"/>
        <v>1</v>
      </c>
      <c r="T351">
        <f t="shared" si="11"/>
        <v>1</v>
      </c>
    </row>
    <row r="352" spans="1:20" x14ac:dyDescent="0.2">
      <c r="A352" t="s">
        <v>397</v>
      </c>
      <c r="B352">
        <f>IF(COUNTIFS('United Data'!$A$3:$A$2150,B$1,'United Data'!$C$3:$C$2150,$A352,'United Data'!$B$3:$B$2150,"&lt;&gt;P")&gt;0,1,0)</f>
        <v>0</v>
      </c>
      <c r="C352">
        <f>IF(COUNTIFS('United Data'!$A$3:$A$2150,C$1,'United Data'!$C$3:$C$2150,$A352,'United Data'!$B$3:$B$2150,"&lt;&gt;P")&gt;0,1,0)</f>
        <v>0</v>
      </c>
      <c r="D352">
        <f>IF(COUNTIFS('United Data'!$A$3:$A$2150,D$1,'United Data'!$C$3:$C$2150,$A352,'United Data'!$B$3:$B$2150,"&lt;&gt;P")&gt;0,1,0)</f>
        <v>0</v>
      </c>
      <c r="E352">
        <f>IF(COUNTIFS('United Data'!$A$3:$A$2150,E$1,'United Data'!$C$3:$C$2150,$A352,'United Data'!$B$3:$B$2150,"&lt;&gt;P")&gt;0,1,0)</f>
        <v>0</v>
      </c>
      <c r="F352">
        <f>IF(COUNTIFS('United Data'!$A$3:$A$2150,F$1,'United Data'!$C$3:$C$2150,$A352,'United Data'!$B$3:$B$2150,"&lt;&gt;P")&gt;0,1,0)</f>
        <v>0</v>
      </c>
      <c r="G352">
        <f>IF(COUNTIFS('United Data'!$A$3:$A$2150,G$1,'United Data'!$C$3:$C$2150,$A352,'United Data'!$B$3:$B$2150,"&lt;&gt;P")&gt;0,1,0)</f>
        <v>1</v>
      </c>
      <c r="H352">
        <f>IF(COUNTIFS('United Data'!$A$3:$A$2150,H$1,'United Data'!$C$3:$C$2150,$A352,'United Data'!$B$3:$B$2150,"&lt;&gt;P")&gt;0,1,0)</f>
        <v>0</v>
      </c>
      <c r="I352">
        <f>IF(COUNTIFS('United Data'!$A$3:$A$2150,I$1,'United Data'!$C$3:$C$2150,$A352,'United Data'!$B$3:$B$2150,"&lt;&gt;P")&gt;0,1,0)</f>
        <v>0</v>
      </c>
      <c r="J352">
        <f>IF(COUNTIFS('United Data'!$A$3:$A$2150,J$1,'United Data'!$C$3:$C$2150,$A352,'United Data'!$B$3:$B$2150,"&lt;&gt;P")&gt;0,1,0)</f>
        <v>0</v>
      </c>
      <c r="K352">
        <f>IF(COUNTIFS('United Data'!$A$3:$A$2150,K$1,'United Data'!$C$3:$C$2150,$A352,'United Data'!$B$3:$B$2150,"&lt;&gt;P")&gt;0,1,0)</f>
        <v>0</v>
      </c>
      <c r="L352">
        <f>IF(COUNTIFS('United Data'!$A$3:$A$2150,L$1,'United Data'!$C$3:$C$2150,$A352,'United Data'!$B$3:$B$2150,"&lt;&gt;P")&gt;0,1,0)</f>
        <v>0</v>
      </c>
      <c r="M352">
        <f>IF(COUNTIFS('United Data'!$A$3:$A$2150,M$1,'United Data'!$C$3:$C$2150,$A352,'United Data'!$B$3:$B$2150,"&lt;&gt;P")&gt;0,1,0)</f>
        <v>0</v>
      </c>
      <c r="N352">
        <f>IF(COUNTIFS('United Data'!$A$3:$A$2150,N$1,'United Data'!$C$3:$C$2150,$A352,'United Data'!$B$3:$B$2150,"&lt;&gt;P")&gt;0,1,0)</f>
        <v>0</v>
      </c>
      <c r="O352">
        <f>IF(COUNTIFS('United Data'!$A$3:$A$2150,O$1,'United Data'!$C$3:$C$2150,$A352,'United Data'!$B$3:$B$2150,"&lt;&gt;P")&gt;0,1,0)</f>
        <v>0</v>
      </c>
      <c r="P352">
        <f>IF(COUNTIFS('United Data'!$A$3:$A$2150,P$1,'United Data'!$C$3:$C$2150,$A352,'United Data'!$B$3:$B$2150,"&lt;&gt;P")&gt;0,1,0)</f>
        <v>0</v>
      </c>
      <c r="Q352">
        <f>IF(COUNTIFS('United Data'!$A$3:$A$2150,Q$1,'United Data'!$C$3:$C$2150,$A352,'United Data'!$B$3:$B$2150,"&lt;&gt;P")&gt;0,1,0)</f>
        <v>0</v>
      </c>
      <c r="R352">
        <f>IF(COUNTIFS('United Data'!$A$3:$A$2150,R$1,'United Data'!$C$3:$C$2150,$A352,'United Data'!$B$3:$B$2150,"&lt;&gt;P")&gt;0,1,0)</f>
        <v>0</v>
      </c>
      <c r="S352">
        <f t="shared" si="10"/>
        <v>1</v>
      </c>
      <c r="T352">
        <f t="shared" si="11"/>
        <v>1</v>
      </c>
    </row>
    <row r="353" spans="1:20" x14ac:dyDescent="0.2">
      <c r="A353" t="s">
        <v>398</v>
      </c>
      <c r="B353">
        <f>IF(COUNTIFS('United Data'!$A$3:$A$2150,B$1,'United Data'!$C$3:$C$2150,$A353,'United Data'!$B$3:$B$2150,"&lt;&gt;P")&gt;0,1,0)</f>
        <v>0</v>
      </c>
      <c r="C353">
        <f>IF(COUNTIFS('United Data'!$A$3:$A$2150,C$1,'United Data'!$C$3:$C$2150,$A353,'United Data'!$B$3:$B$2150,"&lt;&gt;P")&gt;0,1,0)</f>
        <v>0</v>
      </c>
      <c r="D353">
        <f>IF(COUNTIFS('United Data'!$A$3:$A$2150,D$1,'United Data'!$C$3:$C$2150,$A353,'United Data'!$B$3:$B$2150,"&lt;&gt;P")&gt;0,1,0)</f>
        <v>0</v>
      </c>
      <c r="E353">
        <f>IF(COUNTIFS('United Data'!$A$3:$A$2150,E$1,'United Data'!$C$3:$C$2150,$A353,'United Data'!$B$3:$B$2150,"&lt;&gt;P")&gt;0,1,0)</f>
        <v>0</v>
      </c>
      <c r="F353">
        <f>IF(COUNTIFS('United Data'!$A$3:$A$2150,F$1,'United Data'!$C$3:$C$2150,$A353,'United Data'!$B$3:$B$2150,"&lt;&gt;P")&gt;0,1,0)</f>
        <v>0</v>
      </c>
      <c r="G353">
        <f>IF(COUNTIFS('United Data'!$A$3:$A$2150,G$1,'United Data'!$C$3:$C$2150,$A353,'United Data'!$B$3:$B$2150,"&lt;&gt;P")&gt;0,1,0)</f>
        <v>1</v>
      </c>
      <c r="H353">
        <f>IF(COUNTIFS('United Data'!$A$3:$A$2150,H$1,'United Data'!$C$3:$C$2150,$A353,'United Data'!$B$3:$B$2150,"&lt;&gt;P")&gt;0,1,0)</f>
        <v>0</v>
      </c>
      <c r="I353">
        <f>IF(COUNTIFS('United Data'!$A$3:$A$2150,I$1,'United Data'!$C$3:$C$2150,$A353,'United Data'!$B$3:$B$2150,"&lt;&gt;P")&gt;0,1,0)</f>
        <v>1</v>
      </c>
      <c r="J353">
        <f>IF(COUNTIFS('United Data'!$A$3:$A$2150,J$1,'United Data'!$C$3:$C$2150,$A353,'United Data'!$B$3:$B$2150,"&lt;&gt;P")&gt;0,1,0)</f>
        <v>0</v>
      </c>
      <c r="K353">
        <f>IF(COUNTIFS('United Data'!$A$3:$A$2150,K$1,'United Data'!$C$3:$C$2150,$A353,'United Data'!$B$3:$B$2150,"&lt;&gt;P")&gt;0,1,0)</f>
        <v>0</v>
      </c>
      <c r="L353">
        <f>IF(COUNTIFS('United Data'!$A$3:$A$2150,L$1,'United Data'!$C$3:$C$2150,$A353,'United Data'!$B$3:$B$2150,"&lt;&gt;P")&gt;0,1,0)</f>
        <v>0</v>
      </c>
      <c r="M353">
        <f>IF(COUNTIFS('United Data'!$A$3:$A$2150,M$1,'United Data'!$C$3:$C$2150,$A353,'United Data'!$B$3:$B$2150,"&lt;&gt;P")&gt;0,1,0)</f>
        <v>0</v>
      </c>
      <c r="N353">
        <f>IF(COUNTIFS('United Data'!$A$3:$A$2150,N$1,'United Data'!$C$3:$C$2150,$A353,'United Data'!$B$3:$B$2150,"&lt;&gt;P")&gt;0,1,0)</f>
        <v>0</v>
      </c>
      <c r="O353">
        <f>IF(COUNTIFS('United Data'!$A$3:$A$2150,O$1,'United Data'!$C$3:$C$2150,$A353,'United Data'!$B$3:$B$2150,"&lt;&gt;P")&gt;0,1,0)</f>
        <v>0</v>
      </c>
      <c r="P353">
        <f>IF(COUNTIFS('United Data'!$A$3:$A$2150,P$1,'United Data'!$C$3:$C$2150,$A353,'United Data'!$B$3:$B$2150,"&lt;&gt;P")&gt;0,1,0)</f>
        <v>0</v>
      </c>
      <c r="Q353">
        <f>IF(COUNTIFS('United Data'!$A$3:$A$2150,Q$1,'United Data'!$C$3:$C$2150,$A353,'United Data'!$B$3:$B$2150,"&lt;&gt;P")&gt;0,1,0)</f>
        <v>0</v>
      </c>
      <c r="R353">
        <f>IF(COUNTIFS('United Data'!$A$3:$A$2150,R$1,'United Data'!$C$3:$C$2150,$A353,'United Data'!$B$3:$B$2150,"&lt;&gt;P")&gt;0,1,0)</f>
        <v>0</v>
      </c>
      <c r="S353">
        <f t="shared" si="10"/>
        <v>2</v>
      </c>
      <c r="T353">
        <f t="shared" si="11"/>
        <v>2</v>
      </c>
    </row>
    <row r="354" spans="1:20" x14ac:dyDescent="0.2">
      <c r="A354" t="s">
        <v>399</v>
      </c>
      <c r="B354">
        <f>IF(COUNTIFS('United Data'!$A$3:$A$2150,B$1,'United Data'!$C$3:$C$2150,$A354,'United Data'!$B$3:$B$2150,"&lt;&gt;P")&gt;0,1,0)</f>
        <v>0</v>
      </c>
      <c r="C354">
        <f>IF(COUNTIFS('United Data'!$A$3:$A$2150,C$1,'United Data'!$C$3:$C$2150,$A354,'United Data'!$B$3:$B$2150,"&lt;&gt;P")&gt;0,1,0)</f>
        <v>0</v>
      </c>
      <c r="D354">
        <f>IF(COUNTIFS('United Data'!$A$3:$A$2150,D$1,'United Data'!$C$3:$C$2150,$A354,'United Data'!$B$3:$B$2150,"&lt;&gt;P")&gt;0,1,0)</f>
        <v>0</v>
      </c>
      <c r="E354">
        <f>IF(COUNTIFS('United Data'!$A$3:$A$2150,E$1,'United Data'!$C$3:$C$2150,$A354,'United Data'!$B$3:$B$2150,"&lt;&gt;P")&gt;0,1,0)</f>
        <v>0</v>
      </c>
      <c r="F354">
        <f>IF(COUNTIFS('United Data'!$A$3:$A$2150,F$1,'United Data'!$C$3:$C$2150,$A354,'United Data'!$B$3:$B$2150,"&lt;&gt;P")&gt;0,1,0)</f>
        <v>0</v>
      </c>
      <c r="G354">
        <f>IF(COUNTIFS('United Data'!$A$3:$A$2150,G$1,'United Data'!$C$3:$C$2150,$A354,'United Data'!$B$3:$B$2150,"&lt;&gt;P")&gt;0,1,0)</f>
        <v>0</v>
      </c>
      <c r="H354">
        <f>IF(COUNTIFS('United Data'!$A$3:$A$2150,H$1,'United Data'!$C$3:$C$2150,$A354,'United Data'!$B$3:$B$2150,"&lt;&gt;P")&gt;0,1,0)</f>
        <v>1</v>
      </c>
      <c r="I354">
        <f>IF(COUNTIFS('United Data'!$A$3:$A$2150,I$1,'United Data'!$C$3:$C$2150,$A354,'United Data'!$B$3:$B$2150,"&lt;&gt;P")&gt;0,1,0)</f>
        <v>1</v>
      </c>
      <c r="J354">
        <f>IF(COUNTIFS('United Data'!$A$3:$A$2150,J$1,'United Data'!$C$3:$C$2150,$A354,'United Data'!$B$3:$B$2150,"&lt;&gt;P")&gt;0,1,0)</f>
        <v>0</v>
      </c>
      <c r="K354">
        <f>IF(COUNTIFS('United Data'!$A$3:$A$2150,K$1,'United Data'!$C$3:$C$2150,$A354,'United Data'!$B$3:$B$2150,"&lt;&gt;P")&gt;0,1,0)</f>
        <v>0</v>
      </c>
      <c r="L354">
        <f>IF(COUNTIFS('United Data'!$A$3:$A$2150,L$1,'United Data'!$C$3:$C$2150,$A354,'United Data'!$B$3:$B$2150,"&lt;&gt;P")&gt;0,1,0)</f>
        <v>0</v>
      </c>
      <c r="M354">
        <f>IF(COUNTIFS('United Data'!$A$3:$A$2150,M$1,'United Data'!$C$3:$C$2150,$A354,'United Data'!$B$3:$B$2150,"&lt;&gt;P")&gt;0,1,0)</f>
        <v>0</v>
      </c>
      <c r="N354">
        <f>IF(COUNTIFS('United Data'!$A$3:$A$2150,N$1,'United Data'!$C$3:$C$2150,$A354,'United Data'!$B$3:$B$2150,"&lt;&gt;P")&gt;0,1,0)</f>
        <v>0</v>
      </c>
      <c r="O354">
        <f>IF(COUNTIFS('United Data'!$A$3:$A$2150,O$1,'United Data'!$C$3:$C$2150,$A354,'United Data'!$B$3:$B$2150,"&lt;&gt;P")&gt;0,1,0)</f>
        <v>0</v>
      </c>
      <c r="P354">
        <f>IF(COUNTIFS('United Data'!$A$3:$A$2150,P$1,'United Data'!$C$3:$C$2150,$A354,'United Data'!$B$3:$B$2150,"&lt;&gt;P")&gt;0,1,0)</f>
        <v>0</v>
      </c>
      <c r="Q354">
        <f>IF(COUNTIFS('United Data'!$A$3:$A$2150,Q$1,'United Data'!$C$3:$C$2150,$A354,'United Data'!$B$3:$B$2150,"&lt;&gt;P")&gt;0,1,0)</f>
        <v>0</v>
      </c>
      <c r="R354">
        <f>IF(COUNTIFS('United Data'!$A$3:$A$2150,R$1,'United Data'!$C$3:$C$2150,$A354,'United Data'!$B$3:$B$2150,"&lt;&gt;P")&gt;0,1,0)</f>
        <v>0</v>
      </c>
      <c r="S354">
        <f t="shared" si="10"/>
        <v>2</v>
      </c>
      <c r="T354">
        <f t="shared" si="11"/>
        <v>1</v>
      </c>
    </row>
    <row r="355" spans="1:20" x14ac:dyDescent="0.2">
      <c r="A355" t="s">
        <v>400</v>
      </c>
      <c r="B355">
        <f>IF(COUNTIFS('United Data'!$A$3:$A$2150,B$1,'United Data'!$C$3:$C$2150,$A355,'United Data'!$B$3:$B$2150,"&lt;&gt;P")&gt;0,1,0)</f>
        <v>0</v>
      </c>
      <c r="C355">
        <f>IF(COUNTIFS('United Data'!$A$3:$A$2150,C$1,'United Data'!$C$3:$C$2150,$A355,'United Data'!$B$3:$B$2150,"&lt;&gt;P")&gt;0,1,0)</f>
        <v>0</v>
      </c>
      <c r="D355">
        <f>IF(COUNTIFS('United Data'!$A$3:$A$2150,D$1,'United Data'!$C$3:$C$2150,$A355,'United Data'!$B$3:$B$2150,"&lt;&gt;P")&gt;0,1,0)</f>
        <v>0</v>
      </c>
      <c r="E355">
        <f>IF(COUNTIFS('United Data'!$A$3:$A$2150,E$1,'United Data'!$C$3:$C$2150,$A355,'United Data'!$B$3:$B$2150,"&lt;&gt;P")&gt;0,1,0)</f>
        <v>0</v>
      </c>
      <c r="F355">
        <f>IF(COUNTIFS('United Data'!$A$3:$A$2150,F$1,'United Data'!$C$3:$C$2150,$A355,'United Data'!$B$3:$B$2150,"&lt;&gt;P")&gt;0,1,0)</f>
        <v>0</v>
      </c>
      <c r="G355">
        <f>IF(COUNTIFS('United Data'!$A$3:$A$2150,G$1,'United Data'!$C$3:$C$2150,$A355,'United Data'!$B$3:$B$2150,"&lt;&gt;P")&gt;0,1,0)</f>
        <v>0</v>
      </c>
      <c r="H355">
        <f>IF(COUNTIFS('United Data'!$A$3:$A$2150,H$1,'United Data'!$C$3:$C$2150,$A355,'United Data'!$B$3:$B$2150,"&lt;&gt;P")&gt;0,1,0)</f>
        <v>1</v>
      </c>
      <c r="I355">
        <f>IF(COUNTIFS('United Data'!$A$3:$A$2150,I$1,'United Data'!$C$3:$C$2150,$A355,'United Data'!$B$3:$B$2150,"&lt;&gt;P")&gt;0,1,0)</f>
        <v>0</v>
      </c>
      <c r="J355">
        <f>IF(COUNTIFS('United Data'!$A$3:$A$2150,J$1,'United Data'!$C$3:$C$2150,$A355,'United Data'!$B$3:$B$2150,"&lt;&gt;P")&gt;0,1,0)</f>
        <v>0</v>
      </c>
      <c r="K355">
        <f>IF(COUNTIFS('United Data'!$A$3:$A$2150,K$1,'United Data'!$C$3:$C$2150,$A355,'United Data'!$B$3:$B$2150,"&lt;&gt;P")&gt;0,1,0)</f>
        <v>0</v>
      </c>
      <c r="L355">
        <f>IF(COUNTIFS('United Data'!$A$3:$A$2150,L$1,'United Data'!$C$3:$C$2150,$A355,'United Data'!$B$3:$B$2150,"&lt;&gt;P")&gt;0,1,0)</f>
        <v>0</v>
      </c>
      <c r="M355">
        <f>IF(COUNTIFS('United Data'!$A$3:$A$2150,M$1,'United Data'!$C$3:$C$2150,$A355,'United Data'!$B$3:$B$2150,"&lt;&gt;P")&gt;0,1,0)</f>
        <v>0</v>
      </c>
      <c r="N355">
        <f>IF(COUNTIFS('United Data'!$A$3:$A$2150,N$1,'United Data'!$C$3:$C$2150,$A355,'United Data'!$B$3:$B$2150,"&lt;&gt;P")&gt;0,1,0)</f>
        <v>0</v>
      </c>
      <c r="O355">
        <f>IF(COUNTIFS('United Data'!$A$3:$A$2150,O$1,'United Data'!$C$3:$C$2150,$A355,'United Data'!$B$3:$B$2150,"&lt;&gt;P")&gt;0,1,0)</f>
        <v>0</v>
      </c>
      <c r="P355">
        <f>IF(COUNTIFS('United Data'!$A$3:$A$2150,P$1,'United Data'!$C$3:$C$2150,$A355,'United Data'!$B$3:$B$2150,"&lt;&gt;P")&gt;0,1,0)</f>
        <v>0</v>
      </c>
      <c r="Q355">
        <f>IF(COUNTIFS('United Data'!$A$3:$A$2150,Q$1,'United Data'!$C$3:$C$2150,$A355,'United Data'!$B$3:$B$2150,"&lt;&gt;P")&gt;0,1,0)</f>
        <v>0</v>
      </c>
      <c r="R355">
        <f>IF(COUNTIFS('United Data'!$A$3:$A$2150,R$1,'United Data'!$C$3:$C$2150,$A355,'United Data'!$B$3:$B$2150,"&lt;&gt;P")&gt;0,1,0)</f>
        <v>0</v>
      </c>
      <c r="S355">
        <f t="shared" si="10"/>
        <v>1</v>
      </c>
      <c r="T355">
        <f t="shared" si="11"/>
        <v>1</v>
      </c>
    </row>
    <row r="356" spans="1:20" x14ac:dyDescent="0.2">
      <c r="A356" t="s">
        <v>401</v>
      </c>
      <c r="B356">
        <f>IF(COUNTIFS('United Data'!$A$3:$A$2150,B$1,'United Data'!$C$3:$C$2150,$A356,'United Data'!$B$3:$B$2150,"&lt;&gt;P")&gt;0,1,0)</f>
        <v>0</v>
      </c>
      <c r="C356">
        <f>IF(COUNTIFS('United Data'!$A$3:$A$2150,C$1,'United Data'!$C$3:$C$2150,$A356,'United Data'!$B$3:$B$2150,"&lt;&gt;P")&gt;0,1,0)</f>
        <v>0</v>
      </c>
      <c r="D356">
        <f>IF(COUNTIFS('United Data'!$A$3:$A$2150,D$1,'United Data'!$C$3:$C$2150,$A356,'United Data'!$B$3:$B$2150,"&lt;&gt;P")&gt;0,1,0)</f>
        <v>0</v>
      </c>
      <c r="E356">
        <f>IF(COUNTIFS('United Data'!$A$3:$A$2150,E$1,'United Data'!$C$3:$C$2150,$A356,'United Data'!$B$3:$B$2150,"&lt;&gt;P")&gt;0,1,0)</f>
        <v>0</v>
      </c>
      <c r="F356">
        <f>IF(COUNTIFS('United Data'!$A$3:$A$2150,F$1,'United Data'!$C$3:$C$2150,$A356,'United Data'!$B$3:$B$2150,"&lt;&gt;P")&gt;0,1,0)</f>
        <v>0</v>
      </c>
      <c r="G356">
        <f>IF(COUNTIFS('United Data'!$A$3:$A$2150,G$1,'United Data'!$C$3:$C$2150,$A356,'United Data'!$B$3:$B$2150,"&lt;&gt;P")&gt;0,1,0)</f>
        <v>0</v>
      </c>
      <c r="H356">
        <f>IF(COUNTIFS('United Data'!$A$3:$A$2150,H$1,'United Data'!$C$3:$C$2150,$A356,'United Data'!$B$3:$B$2150,"&lt;&gt;P")&gt;0,1,0)</f>
        <v>1</v>
      </c>
      <c r="I356">
        <f>IF(COUNTIFS('United Data'!$A$3:$A$2150,I$1,'United Data'!$C$3:$C$2150,$A356,'United Data'!$B$3:$B$2150,"&lt;&gt;P")&gt;0,1,0)</f>
        <v>0</v>
      </c>
      <c r="J356">
        <f>IF(COUNTIFS('United Data'!$A$3:$A$2150,J$1,'United Data'!$C$3:$C$2150,$A356,'United Data'!$B$3:$B$2150,"&lt;&gt;P")&gt;0,1,0)</f>
        <v>0</v>
      </c>
      <c r="K356">
        <f>IF(COUNTIFS('United Data'!$A$3:$A$2150,K$1,'United Data'!$C$3:$C$2150,$A356,'United Data'!$B$3:$B$2150,"&lt;&gt;P")&gt;0,1,0)</f>
        <v>0</v>
      </c>
      <c r="L356">
        <f>IF(COUNTIFS('United Data'!$A$3:$A$2150,L$1,'United Data'!$C$3:$C$2150,$A356,'United Data'!$B$3:$B$2150,"&lt;&gt;P")&gt;0,1,0)</f>
        <v>0</v>
      </c>
      <c r="M356">
        <f>IF(COUNTIFS('United Data'!$A$3:$A$2150,M$1,'United Data'!$C$3:$C$2150,$A356,'United Data'!$B$3:$B$2150,"&lt;&gt;P")&gt;0,1,0)</f>
        <v>0</v>
      </c>
      <c r="N356">
        <f>IF(COUNTIFS('United Data'!$A$3:$A$2150,N$1,'United Data'!$C$3:$C$2150,$A356,'United Data'!$B$3:$B$2150,"&lt;&gt;P")&gt;0,1,0)</f>
        <v>0</v>
      </c>
      <c r="O356">
        <f>IF(COUNTIFS('United Data'!$A$3:$A$2150,O$1,'United Data'!$C$3:$C$2150,$A356,'United Data'!$B$3:$B$2150,"&lt;&gt;P")&gt;0,1,0)</f>
        <v>0</v>
      </c>
      <c r="P356">
        <f>IF(COUNTIFS('United Data'!$A$3:$A$2150,P$1,'United Data'!$C$3:$C$2150,$A356,'United Data'!$B$3:$B$2150,"&lt;&gt;P")&gt;0,1,0)</f>
        <v>0</v>
      </c>
      <c r="Q356">
        <f>IF(COUNTIFS('United Data'!$A$3:$A$2150,Q$1,'United Data'!$C$3:$C$2150,$A356,'United Data'!$B$3:$B$2150,"&lt;&gt;P")&gt;0,1,0)</f>
        <v>0</v>
      </c>
      <c r="R356">
        <f>IF(COUNTIFS('United Data'!$A$3:$A$2150,R$1,'United Data'!$C$3:$C$2150,$A356,'United Data'!$B$3:$B$2150,"&lt;&gt;P")&gt;0,1,0)</f>
        <v>0</v>
      </c>
      <c r="S356">
        <f t="shared" si="10"/>
        <v>1</v>
      </c>
      <c r="T356">
        <f t="shared" si="11"/>
        <v>1</v>
      </c>
    </row>
    <row r="357" spans="1:20" x14ac:dyDescent="0.2">
      <c r="A357" t="s">
        <v>402</v>
      </c>
      <c r="B357">
        <f>IF(COUNTIFS('United Data'!$A$3:$A$2150,B$1,'United Data'!$C$3:$C$2150,$A357,'United Data'!$B$3:$B$2150,"&lt;&gt;P")&gt;0,1,0)</f>
        <v>0</v>
      </c>
      <c r="C357">
        <f>IF(COUNTIFS('United Data'!$A$3:$A$2150,C$1,'United Data'!$C$3:$C$2150,$A357,'United Data'!$B$3:$B$2150,"&lt;&gt;P")&gt;0,1,0)</f>
        <v>0</v>
      </c>
      <c r="D357">
        <f>IF(COUNTIFS('United Data'!$A$3:$A$2150,D$1,'United Data'!$C$3:$C$2150,$A357,'United Data'!$B$3:$B$2150,"&lt;&gt;P")&gt;0,1,0)</f>
        <v>0</v>
      </c>
      <c r="E357">
        <f>IF(COUNTIFS('United Data'!$A$3:$A$2150,E$1,'United Data'!$C$3:$C$2150,$A357,'United Data'!$B$3:$B$2150,"&lt;&gt;P")&gt;0,1,0)</f>
        <v>0</v>
      </c>
      <c r="F357">
        <f>IF(COUNTIFS('United Data'!$A$3:$A$2150,F$1,'United Data'!$C$3:$C$2150,$A357,'United Data'!$B$3:$B$2150,"&lt;&gt;P")&gt;0,1,0)</f>
        <v>0</v>
      </c>
      <c r="G357">
        <f>IF(COUNTIFS('United Data'!$A$3:$A$2150,G$1,'United Data'!$C$3:$C$2150,$A357,'United Data'!$B$3:$B$2150,"&lt;&gt;P")&gt;0,1,0)</f>
        <v>0</v>
      </c>
      <c r="H357">
        <f>IF(COUNTIFS('United Data'!$A$3:$A$2150,H$1,'United Data'!$C$3:$C$2150,$A357,'United Data'!$B$3:$B$2150,"&lt;&gt;P")&gt;0,1,0)</f>
        <v>1</v>
      </c>
      <c r="I357">
        <f>IF(COUNTIFS('United Data'!$A$3:$A$2150,I$1,'United Data'!$C$3:$C$2150,$A357,'United Data'!$B$3:$B$2150,"&lt;&gt;P")&gt;0,1,0)</f>
        <v>1</v>
      </c>
      <c r="J357">
        <f>IF(COUNTIFS('United Data'!$A$3:$A$2150,J$1,'United Data'!$C$3:$C$2150,$A357,'United Data'!$B$3:$B$2150,"&lt;&gt;P")&gt;0,1,0)</f>
        <v>0</v>
      </c>
      <c r="K357">
        <f>IF(COUNTIFS('United Data'!$A$3:$A$2150,K$1,'United Data'!$C$3:$C$2150,$A357,'United Data'!$B$3:$B$2150,"&lt;&gt;P")&gt;0,1,0)</f>
        <v>0</v>
      </c>
      <c r="L357">
        <f>IF(COUNTIFS('United Data'!$A$3:$A$2150,L$1,'United Data'!$C$3:$C$2150,$A357,'United Data'!$B$3:$B$2150,"&lt;&gt;P")&gt;0,1,0)</f>
        <v>0</v>
      </c>
      <c r="M357">
        <f>IF(COUNTIFS('United Data'!$A$3:$A$2150,M$1,'United Data'!$C$3:$C$2150,$A357,'United Data'!$B$3:$B$2150,"&lt;&gt;P")&gt;0,1,0)</f>
        <v>0</v>
      </c>
      <c r="N357">
        <f>IF(COUNTIFS('United Data'!$A$3:$A$2150,N$1,'United Data'!$C$3:$C$2150,$A357,'United Data'!$B$3:$B$2150,"&lt;&gt;P")&gt;0,1,0)</f>
        <v>0</v>
      </c>
      <c r="O357">
        <f>IF(COUNTIFS('United Data'!$A$3:$A$2150,O$1,'United Data'!$C$3:$C$2150,$A357,'United Data'!$B$3:$B$2150,"&lt;&gt;P")&gt;0,1,0)</f>
        <v>0</v>
      </c>
      <c r="P357">
        <f>IF(COUNTIFS('United Data'!$A$3:$A$2150,P$1,'United Data'!$C$3:$C$2150,$A357,'United Data'!$B$3:$B$2150,"&lt;&gt;P")&gt;0,1,0)</f>
        <v>0</v>
      </c>
      <c r="Q357">
        <f>IF(COUNTIFS('United Data'!$A$3:$A$2150,Q$1,'United Data'!$C$3:$C$2150,$A357,'United Data'!$B$3:$B$2150,"&lt;&gt;P")&gt;0,1,0)</f>
        <v>0</v>
      </c>
      <c r="R357">
        <f>IF(COUNTIFS('United Data'!$A$3:$A$2150,R$1,'United Data'!$C$3:$C$2150,$A357,'United Data'!$B$3:$B$2150,"&lt;&gt;P")&gt;0,1,0)</f>
        <v>0</v>
      </c>
      <c r="S357">
        <f t="shared" si="10"/>
        <v>2</v>
      </c>
      <c r="T357">
        <f t="shared" si="11"/>
        <v>1</v>
      </c>
    </row>
    <row r="358" spans="1:20" x14ac:dyDescent="0.2">
      <c r="A358" t="s">
        <v>403</v>
      </c>
      <c r="B358">
        <f>IF(COUNTIFS('United Data'!$A$3:$A$2150,B$1,'United Data'!$C$3:$C$2150,$A358,'United Data'!$B$3:$B$2150,"&lt;&gt;P")&gt;0,1,0)</f>
        <v>0</v>
      </c>
      <c r="C358">
        <f>IF(COUNTIFS('United Data'!$A$3:$A$2150,C$1,'United Data'!$C$3:$C$2150,$A358,'United Data'!$B$3:$B$2150,"&lt;&gt;P")&gt;0,1,0)</f>
        <v>0</v>
      </c>
      <c r="D358">
        <f>IF(COUNTIFS('United Data'!$A$3:$A$2150,D$1,'United Data'!$C$3:$C$2150,$A358,'United Data'!$B$3:$B$2150,"&lt;&gt;P")&gt;0,1,0)</f>
        <v>0</v>
      </c>
      <c r="E358">
        <f>IF(COUNTIFS('United Data'!$A$3:$A$2150,E$1,'United Data'!$C$3:$C$2150,$A358,'United Data'!$B$3:$B$2150,"&lt;&gt;P")&gt;0,1,0)</f>
        <v>0</v>
      </c>
      <c r="F358">
        <f>IF(COUNTIFS('United Data'!$A$3:$A$2150,F$1,'United Data'!$C$3:$C$2150,$A358,'United Data'!$B$3:$B$2150,"&lt;&gt;P")&gt;0,1,0)</f>
        <v>0</v>
      </c>
      <c r="G358">
        <f>IF(COUNTIFS('United Data'!$A$3:$A$2150,G$1,'United Data'!$C$3:$C$2150,$A358,'United Data'!$B$3:$B$2150,"&lt;&gt;P")&gt;0,1,0)</f>
        <v>0</v>
      </c>
      <c r="H358">
        <f>IF(COUNTIFS('United Data'!$A$3:$A$2150,H$1,'United Data'!$C$3:$C$2150,$A358,'United Data'!$B$3:$B$2150,"&lt;&gt;P")&gt;0,1,0)</f>
        <v>1</v>
      </c>
      <c r="I358">
        <f>IF(COUNTIFS('United Data'!$A$3:$A$2150,I$1,'United Data'!$C$3:$C$2150,$A358,'United Data'!$B$3:$B$2150,"&lt;&gt;P")&gt;0,1,0)</f>
        <v>0</v>
      </c>
      <c r="J358">
        <f>IF(COUNTIFS('United Data'!$A$3:$A$2150,J$1,'United Data'!$C$3:$C$2150,$A358,'United Data'!$B$3:$B$2150,"&lt;&gt;P")&gt;0,1,0)</f>
        <v>1</v>
      </c>
      <c r="K358">
        <f>IF(COUNTIFS('United Data'!$A$3:$A$2150,K$1,'United Data'!$C$3:$C$2150,$A358,'United Data'!$B$3:$B$2150,"&lt;&gt;P")&gt;0,1,0)</f>
        <v>0</v>
      </c>
      <c r="L358">
        <f>IF(COUNTIFS('United Data'!$A$3:$A$2150,L$1,'United Data'!$C$3:$C$2150,$A358,'United Data'!$B$3:$B$2150,"&lt;&gt;P")&gt;0,1,0)</f>
        <v>0</v>
      </c>
      <c r="M358">
        <f>IF(COUNTIFS('United Data'!$A$3:$A$2150,M$1,'United Data'!$C$3:$C$2150,$A358,'United Data'!$B$3:$B$2150,"&lt;&gt;P")&gt;0,1,0)</f>
        <v>0</v>
      </c>
      <c r="N358">
        <f>IF(COUNTIFS('United Data'!$A$3:$A$2150,N$1,'United Data'!$C$3:$C$2150,$A358,'United Data'!$B$3:$B$2150,"&lt;&gt;P")&gt;0,1,0)</f>
        <v>0</v>
      </c>
      <c r="O358">
        <f>IF(COUNTIFS('United Data'!$A$3:$A$2150,O$1,'United Data'!$C$3:$C$2150,$A358,'United Data'!$B$3:$B$2150,"&lt;&gt;P")&gt;0,1,0)</f>
        <v>0</v>
      </c>
      <c r="P358">
        <f>IF(COUNTIFS('United Data'!$A$3:$A$2150,P$1,'United Data'!$C$3:$C$2150,$A358,'United Data'!$B$3:$B$2150,"&lt;&gt;P")&gt;0,1,0)</f>
        <v>0</v>
      </c>
      <c r="Q358">
        <f>IF(COUNTIFS('United Data'!$A$3:$A$2150,Q$1,'United Data'!$C$3:$C$2150,$A358,'United Data'!$B$3:$B$2150,"&lt;&gt;P")&gt;0,1,0)</f>
        <v>0</v>
      </c>
      <c r="R358">
        <f>IF(COUNTIFS('United Data'!$A$3:$A$2150,R$1,'United Data'!$C$3:$C$2150,$A358,'United Data'!$B$3:$B$2150,"&lt;&gt;P")&gt;0,1,0)</f>
        <v>0</v>
      </c>
      <c r="S358">
        <f t="shared" si="10"/>
        <v>2</v>
      </c>
      <c r="T358">
        <f t="shared" si="11"/>
        <v>2</v>
      </c>
    </row>
    <row r="359" spans="1:20" x14ac:dyDescent="0.2">
      <c r="A359" t="s">
        <v>404</v>
      </c>
      <c r="B359">
        <f>IF(COUNTIFS('United Data'!$A$3:$A$2150,B$1,'United Data'!$C$3:$C$2150,$A359,'United Data'!$B$3:$B$2150,"&lt;&gt;P")&gt;0,1,0)</f>
        <v>0</v>
      </c>
      <c r="C359">
        <f>IF(COUNTIFS('United Data'!$A$3:$A$2150,C$1,'United Data'!$C$3:$C$2150,$A359,'United Data'!$B$3:$B$2150,"&lt;&gt;P")&gt;0,1,0)</f>
        <v>0</v>
      </c>
      <c r="D359">
        <f>IF(COUNTIFS('United Data'!$A$3:$A$2150,D$1,'United Data'!$C$3:$C$2150,$A359,'United Data'!$B$3:$B$2150,"&lt;&gt;P")&gt;0,1,0)</f>
        <v>0</v>
      </c>
      <c r="E359">
        <f>IF(COUNTIFS('United Data'!$A$3:$A$2150,E$1,'United Data'!$C$3:$C$2150,$A359,'United Data'!$B$3:$B$2150,"&lt;&gt;P")&gt;0,1,0)</f>
        <v>0</v>
      </c>
      <c r="F359">
        <f>IF(COUNTIFS('United Data'!$A$3:$A$2150,F$1,'United Data'!$C$3:$C$2150,$A359,'United Data'!$B$3:$B$2150,"&lt;&gt;P")&gt;0,1,0)</f>
        <v>0</v>
      </c>
      <c r="G359">
        <f>IF(COUNTIFS('United Data'!$A$3:$A$2150,G$1,'United Data'!$C$3:$C$2150,$A359,'United Data'!$B$3:$B$2150,"&lt;&gt;P")&gt;0,1,0)</f>
        <v>0</v>
      </c>
      <c r="H359">
        <f>IF(COUNTIFS('United Data'!$A$3:$A$2150,H$1,'United Data'!$C$3:$C$2150,$A359,'United Data'!$B$3:$B$2150,"&lt;&gt;P")&gt;0,1,0)</f>
        <v>1</v>
      </c>
      <c r="I359">
        <f>IF(COUNTIFS('United Data'!$A$3:$A$2150,I$1,'United Data'!$C$3:$C$2150,$A359,'United Data'!$B$3:$B$2150,"&lt;&gt;P")&gt;0,1,0)</f>
        <v>1</v>
      </c>
      <c r="J359">
        <f>IF(COUNTIFS('United Data'!$A$3:$A$2150,J$1,'United Data'!$C$3:$C$2150,$A359,'United Data'!$B$3:$B$2150,"&lt;&gt;P")&gt;0,1,0)</f>
        <v>1</v>
      </c>
      <c r="K359">
        <f>IF(COUNTIFS('United Data'!$A$3:$A$2150,K$1,'United Data'!$C$3:$C$2150,$A359,'United Data'!$B$3:$B$2150,"&lt;&gt;P")&gt;0,1,0)</f>
        <v>0</v>
      </c>
      <c r="L359">
        <f>IF(COUNTIFS('United Data'!$A$3:$A$2150,L$1,'United Data'!$C$3:$C$2150,$A359,'United Data'!$B$3:$B$2150,"&lt;&gt;P")&gt;0,1,0)</f>
        <v>0</v>
      </c>
      <c r="M359">
        <f>IF(COUNTIFS('United Data'!$A$3:$A$2150,M$1,'United Data'!$C$3:$C$2150,$A359,'United Data'!$B$3:$B$2150,"&lt;&gt;P")&gt;0,1,0)</f>
        <v>0</v>
      </c>
      <c r="N359">
        <f>IF(COUNTIFS('United Data'!$A$3:$A$2150,N$1,'United Data'!$C$3:$C$2150,$A359,'United Data'!$B$3:$B$2150,"&lt;&gt;P")&gt;0,1,0)</f>
        <v>0</v>
      </c>
      <c r="O359">
        <f>IF(COUNTIFS('United Data'!$A$3:$A$2150,O$1,'United Data'!$C$3:$C$2150,$A359,'United Data'!$B$3:$B$2150,"&lt;&gt;P")&gt;0,1,0)</f>
        <v>0</v>
      </c>
      <c r="P359">
        <f>IF(COUNTIFS('United Data'!$A$3:$A$2150,P$1,'United Data'!$C$3:$C$2150,$A359,'United Data'!$B$3:$B$2150,"&lt;&gt;P")&gt;0,1,0)</f>
        <v>0</v>
      </c>
      <c r="Q359">
        <f>IF(COUNTIFS('United Data'!$A$3:$A$2150,Q$1,'United Data'!$C$3:$C$2150,$A359,'United Data'!$B$3:$B$2150,"&lt;&gt;P")&gt;0,1,0)</f>
        <v>0</v>
      </c>
      <c r="R359">
        <f>IF(COUNTIFS('United Data'!$A$3:$A$2150,R$1,'United Data'!$C$3:$C$2150,$A359,'United Data'!$B$3:$B$2150,"&lt;&gt;P")&gt;0,1,0)</f>
        <v>0</v>
      </c>
      <c r="S359">
        <f t="shared" si="10"/>
        <v>3</v>
      </c>
      <c r="T359">
        <f t="shared" si="11"/>
        <v>1</v>
      </c>
    </row>
    <row r="360" spans="1:20" x14ac:dyDescent="0.2">
      <c r="A360" t="s">
        <v>405</v>
      </c>
      <c r="B360">
        <f>IF(COUNTIFS('United Data'!$A$3:$A$2150,B$1,'United Data'!$C$3:$C$2150,$A360,'United Data'!$B$3:$B$2150,"&lt;&gt;P")&gt;0,1,0)</f>
        <v>0</v>
      </c>
      <c r="C360">
        <f>IF(COUNTIFS('United Data'!$A$3:$A$2150,C$1,'United Data'!$C$3:$C$2150,$A360,'United Data'!$B$3:$B$2150,"&lt;&gt;P")&gt;0,1,0)</f>
        <v>0</v>
      </c>
      <c r="D360">
        <f>IF(COUNTIFS('United Data'!$A$3:$A$2150,D$1,'United Data'!$C$3:$C$2150,$A360,'United Data'!$B$3:$B$2150,"&lt;&gt;P")&gt;0,1,0)</f>
        <v>0</v>
      </c>
      <c r="E360">
        <f>IF(COUNTIFS('United Data'!$A$3:$A$2150,E$1,'United Data'!$C$3:$C$2150,$A360,'United Data'!$B$3:$B$2150,"&lt;&gt;P")&gt;0,1,0)</f>
        <v>0</v>
      </c>
      <c r="F360">
        <f>IF(COUNTIFS('United Data'!$A$3:$A$2150,F$1,'United Data'!$C$3:$C$2150,$A360,'United Data'!$B$3:$B$2150,"&lt;&gt;P")&gt;0,1,0)</f>
        <v>0</v>
      </c>
      <c r="G360">
        <f>IF(COUNTIFS('United Data'!$A$3:$A$2150,G$1,'United Data'!$C$3:$C$2150,$A360,'United Data'!$B$3:$B$2150,"&lt;&gt;P")&gt;0,1,0)</f>
        <v>0</v>
      </c>
      <c r="H360">
        <f>IF(COUNTIFS('United Data'!$A$3:$A$2150,H$1,'United Data'!$C$3:$C$2150,$A360,'United Data'!$B$3:$B$2150,"&lt;&gt;P")&gt;0,1,0)</f>
        <v>1</v>
      </c>
      <c r="I360">
        <f>IF(COUNTIFS('United Data'!$A$3:$A$2150,I$1,'United Data'!$C$3:$C$2150,$A360,'United Data'!$B$3:$B$2150,"&lt;&gt;P")&gt;0,1,0)</f>
        <v>0</v>
      </c>
      <c r="J360">
        <f>IF(COUNTIFS('United Data'!$A$3:$A$2150,J$1,'United Data'!$C$3:$C$2150,$A360,'United Data'!$B$3:$B$2150,"&lt;&gt;P")&gt;0,1,0)</f>
        <v>0</v>
      </c>
      <c r="K360">
        <f>IF(COUNTIFS('United Data'!$A$3:$A$2150,K$1,'United Data'!$C$3:$C$2150,$A360,'United Data'!$B$3:$B$2150,"&lt;&gt;P")&gt;0,1,0)</f>
        <v>0</v>
      </c>
      <c r="L360">
        <f>IF(COUNTIFS('United Data'!$A$3:$A$2150,L$1,'United Data'!$C$3:$C$2150,$A360,'United Data'!$B$3:$B$2150,"&lt;&gt;P")&gt;0,1,0)</f>
        <v>0</v>
      </c>
      <c r="M360">
        <f>IF(COUNTIFS('United Data'!$A$3:$A$2150,M$1,'United Data'!$C$3:$C$2150,$A360,'United Data'!$B$3:$B$2150,"&lt;&gt;P")&gt;0,1,0)</f>
        <v>0</v>
      </c>
      <c r="N360">
        <f>IF(COUNTIFS('United Data'!$A$3:$A$2150,N$1,'United Data'!$C$3:$C$2150,$A360,'United Data'!$B$3:$B$2150,"&lt;&gt;P")&gt;0,1,0)</f>
        <v>0</v>
      </c>
      <c r="O360">
        <f>IF(COUNTIFS('United Data'!$A$3:$A$2150,O$1,'United Data'!$C$3:$C$2150,$A360,'United Data'!$B$3:$B$2150,"&lt;&gt;P")&gt;0,1,0)</f>
        <v>0</v>
      </c>
      <c r="P360">
        <f>IF(COUNTIFS('United Data'!$A$3:$A$2150,P$1,'United Data'!$C$3:$C$2150,$A360,'United Data'!$B$3:$B$2150,"&lt;&gt;P")&gt;0,1,0)</f>
        <v>0</v>
      </c>
      <c r="Q360">
        <f>IF(COUNTIFS('United Data'!$A$3:$A$2150,Q$1,'United Data'!$C$3:$C$2150,$A360,'United Data'!$B$3:$B$2150,"&lt;&gt;P")&gt;0,1,0)</f>
        <v>0</v>
      </c>
      <c r="R360">
        <f>IF(COUNTIFS('United Data'!$A$3:$A$2150,R$1,'United Data'!$C$3:$C$2150,$A360,'United Data'!$B$3:$B$2150,"&lt;&gt;P")&gt;0,1,0)</f>
        <v>0</v>
      </c>
      <c r="S360">
        <f t="shared" si="10"/>
        <v>1</v>
      </c>
      <c r="T360">
        <f t="shared" si="11"/>
        <v>1</v>
      </c>
    </row>
    <row r="361" spans="1:20" x14ac:dyDescent="0.2">
      <c r="A361" t="s">
        <v>406</v>
      </c>
      <c r="B361">
        <f>IF(COUNTIFS('United Data'!$A$3:$A$2150,B$1,'United Data'!$C$3:$C$2150,$A361,'United Data'!$B$3:$B$2150,"&lt;&gt;P")&gt;0,1,0)</f>
        <v>0</v>
      </c>
      <c r="C361">
        <f>IF(COUNTIFS('United Data'!$A$3:$A$2150,C$1,'United Data'!$C$3:$C$2150,$A361,'United Data'!$B$3:$B$2150,"&lt;&gt;P")&gt;0,1,0)</f>
        <v>0</v>
      </c>
      <c r="D361">
        <f>IF(COUNTIFS('United Data'!$A$3:$A$2150,D$1,'United Data'!$C$3:$C$2150,$A361,'United Data'!$B$3:$B$2150,"&lt;&gt;P")&gt;0,1,0)</f>
        <v>0</v>
      </c>
      <c r="E361">
        <f>IF(COUNTIFS('United Data'!$A$3:$A$2150,E$1,'United Data'!$C$3:$C$2150,$A361,'United Data'!$B$3:$B$2150,"&lt;&gt;P")&gt;0,1,0)</f>
        <v>0</v>
      </c>
      <c r="F361">
        <f>IF(COUNTIFS('United Data'!$A$3:$A$2150,F$1,'United Data'!$C$3:$C$2150,$A361,'United Data'!$B$3:$B$2150,"&lt;&gt;P")&gt;0,1,0)</f>
        <v>0</v>
      </c>
      <c r="G361">
        <f>IF(COUNTIFS('United Data'!$A$3:$A$2150,G$1,'United Data'!$C$3:$C$2150,$A361,'United Data'!$B$3:$B$2150,"&lt;&gt;P")&gt;0,1,0)</f>
        <v>0</v>
      </c>
      <c r="H361">
        <f>IF(COUNTIFS('United Data'!$A$3:$A$2150,H$1,'United Data'!$C$3:$C$2150,$A361,'United Data'!$B$3:$B$2150,"&lt;&gt;P")&gt;0,1,0)</f>
        <v>1</v>
      </c>
      <c r="I361">
        <f>IF(COUNTIFS('United Data'!$A$3:$A$2150,I$1,'United Data'!$C$3:$C$2150,$A361,'United Data'!$B$3:$B$2150,"&lt;&gt;P")&gt;0,1,0)</f>
        <v>0</v>
      </c>
      <c r="J361">
        <f>IF(COUNTIFS('United Data'!$A$3:$A$2150,J$1,'United Data'!$C$3:$C$2150,$A361,'United Data'!$B$3:$B$2150,"&lt;&gt;P")&gt;0,1,0)</f>
        <v>0</v>
      </c>
      <c r="K361">
        <f>IF(COUNTIFS('United Data'!$A$3:$A$2150,K$1,'United Data'!$C$3:$C$2150,$A361,'United Data'!$B$3:$B$2150,"&lt;&gt;P")&gt;0,1,0)</f>
        <v>0</v>
      </c>
      <c r="L361">
        <f>IF(COUNTIFS('United Data'!$A$3:$A$2150,L$1,'United Data'!$C$3:$C$2150,$A361,'United Data'!$B$3:$B$2150,"&lt;&gt;P")&gt;0,1,0)</f>
        <v>0</v>
      </c>
      <c r="M361">
        <f>IF(COUNTIFS('United Data'!$A$3:$A$2150,M$1,'United Data'!$C$3:$C$2150,$A361,'United Data'!$B$3:$B$2150,"&lt;&gt;P")&gt;0,1,0)</f>
        <v>0</v>
      </c>
      <c r="N361">
        <f>IF(COUNTIFS('United Data'!$A$3:$A$2150,N$1,'United Data'!$C$3:$C$2150,$A361,'United Data'!$B$3:$B$2150,"&lt;&gt;P")&gt;0,1,0)</f>
        <v>0</v>
      </c>
      <c r="O361">
        <f>IF(COUNTIFS('United Data'!$A$3:$A$2150,O$1,'United Data'!$C$3:$C$2150,$A361,'United Data'!$B$3:$B$2150,"&lt;&gt;P")&gt;0,1,0)</f>
        <v>0</v>
      </c>
      <c r="P361">
        <f>IF(COUNTIFS('United Data'!$A$3:$A$2150,P$1,'United Data'!$C$3:$C$2150,$A361,'United Data'!$B$3:$B$2150,"&lt;&gt;P")&gt;0,1,0)</f>
        <v>0</v>
      </c>
      <c r="Q361">
        <f>IF(COUNTIFS('United Data'!$A$3:$A$2150,Q$1,'United Data'!$C$3:$C$2150,$A361,'United Data'!$B$3:$B$2150,"&lt;&gt;P")&gt;0,1,0)</f>
        <v>0</v>
      </c>
      <c r="R361">
        <f>IF(COUNTIFS('United Data'!$A$3:$A$2150,R$1,'United Data'!$C$3:$C$2150,$A361,'United Data'!$B$3:$B$2150,"&lt;&gt;P")&gt;0,1,0)</f>
        <v>0</v>
      </c>
      <c r="S361">
        <f t="shared" si="10"/>
        <v>1</v>
      </c>
      <c r="T361">
        <f t="shared" si="11"/>
        <v>1</v>
      </c>
    </row>
    <row r="362" spans="1:20" x14ac:dyDescent="0.2">
      <c r="A362" t="s">
        <v>407</v>
      </c>
      <c r="B362">
        <f>IF(COUNTIFS('United Data'!$A$3:$A$2150,B$1,'United Data'!$C$3:$C$2150,$A362,'United Data'!$B$3:$B$2150,"&lt;&gt;P")&gt;0,1,0)</f>
        <v>0</v>
      </c>
      <c r="C362">
        <f>IF(COUNTIFS('United Data'!$A$3:$A$2150,C$1,'United Data'!$C$3:$C$2150,$A362,'United Data'!$B$3:$B$2150,"&lt;&gt;P")&gt;0,1,0)</f>
        <v>0</v>
      </c>
      <c r="D362">
        <f>IF(COUNTIFS('United Data'!$A$3:$A$2150,D$1,'United Data'!$C$3:$C$2150,$A362,'United Data'!$B$3:$B$2150,"&lt;&gt;P")&gt;0,1,0)</f>
        <v>0</v>
      </c>
      <c r="E362">
        <f>IF(COUNTIFS('United Data'!$A$3:$A$2150,E$1,'United Data'!$C$3:$C$2150,$A362,'United Data'!$B$3:$B$2150,"&lt;&gt;P")&gt;0,1,0)</f>
        <v>0</v>
      </c>
      <c r="F362">
        <f>IF(COUNTIFS('United Data'!$A$3:$A$2150,F$1,'United Data'!$C$3:$C$2150,$A362,'United Data'!$B$3:$B$2150,"&lt;&gt;P")&gt;0,1,0)</f>
        <v>0</v>
      </c>
      <c r="G362">
        <f>IF(COUNTIFS('United Data'!$A$3:$A$2150,G$1,'United Data'!$C$3:$C$2150,$A362,'United Data'!$B$3:$B$2150,"&lt;&gt;P")&gt;0,1,0)</f>
        <v>0</v>
      </c>
      <c r="H362">
        <f>IF(COUNTIFS('United Data'!$A$3:$A$2150,H$1,'United Data'!$C$3:$C$2150,$A362,'United Data'!$B$3:$B$2150,"&lt;&gt;P")&gt;0,1,0)</f>
        <v>1</v>
      </c>
      <c r="I362">
        <f>IF(COUNTIFS('United Data'!$A$3:$A$2150,I$1,'United Data'!$C$3:$C$2150,$A362,'United Data'!$B$3:$B$2150,"&lt;&gt;P")&gt;0,1,0)</f>
        <v>0</v>
      </c>
      <c r="J362">
        <f>IF(COUNTIFS('United Data'!$A$3:$A$2150,J$1,'United Data'!$C$3:$C$2150,$A362,'United Data'!$B$3:$B$2150,"&lt;&gt;P")&gt;0,1,0)</f>
        <v>0</v>
      </c>
      <c r="K362">
        <f>IF(COUNTIFS('United Data'!$A$3:$A$2150,K$1,'United Data'!$C$3:$C$2150,$A362,'United Data'!$B$3:$B$2150,"&lt;&gt;P")&gt;0,1,0)</f>
        <v>0</v>
      </c>
      <c r="L362">
        <f>IF(COUNTIFS('United Data'!$A$3:$A$2150,L$1,'United Data'!$C$3:$C$2150,$A362,'United Data'!$B$3:$B$2150,"&lt;&gt;P")&gt;0,1,0)</f>
        <v>0</v>
      </c>
      <c r="M362">
        <f>IF(COUNTIFS('United Data'!$A$3:$A$2150,M$1,'United Data'!$C$3:$C$2150,$A362,'United Data'!$B$3:$B$2150,"&lt;&gt;P")&gt;0,1,0)</f>
        <v>0</v>
      </c>
      <c r="N362">
        <f>IF(COUNTIFS('United Data'!$A$3:$A$2150,N$1,'United Data'!$C$3:$C$2150,$A362,'United Data'!$B$3:$B$2150,"&lt;&gt;P")&gt;0,1,0)</f>
        <v>0</v>
      </c>
      <c r="O362">
        <f>IF(COUNTIFS('United Data'!$A$3:$A$2150,O$1,'United Data'!$C$3:$C$2150,$A362,'United Data'!$B$3:$B$2150,"&lt;&gt;P")&gt;0,1,0)</f>
        <v>0</v>
      </c>
      <c r="P362">
        <f>IF(COUNTIFS('United Data'!$A$3:$A$2150,P$1,'United Data'!$C$3:$C$2150,$A362,'United Data'!$B$3:$B$2150,"&lt;&gt;P")&gt;0,1,0)</f>
        <v>0</v>
      </c>
      <c r="Q362">
        <f>IF(COUNTIFS('United Data'!$A$3:$A$2150,Q$1,'United Data'!$C$3:$C$2150,$A362,'United Data'!$B$3:$B$2150,"&lt;&gt;P")&gt;0,1,0)</f>
        <v>0</v>
      </c>
      <c r="R362">
        <f>IF(COUNTIFS('United Data'!$A$3:$A$2150,R$1,'United Data'!$C$3:$C$2150,$A362,'United Data'!$B$3:$B$2150,"&lt;&gt;P")&gt;0,1,0)</f>
        <v>0</v>
      </c>
      <c r="S362">
        <f t="shared" si="10"/>
        <v>1</v>
      </c>
      <c r="T362">
        <f t="shared" si="11"/>
        <v>1</v>
      </c>
    </row>
    <row r="363" spans="1:20" x14ac:dyDescent="0.2">
      <c r="A363" t="s">
        <v>408</v>
      </c>
      <c r="B363">
        <f>IF(COUNTIFS('United Data'!$A$3:$A$2150,B$1,'United Data'!$C$3:$C$2150,$A363,'United Data'!$B$3:$B$2150,"&lt;&gt;P")&gt;0,1,0)</f>
        <v>0</v>
      </c>
      <c r="C363">
        <f>IF(COUNTIFS('United Data'!$A$3:$A$2150,C$1,'United Data'!$C$3:$C$2150,$A363,'United Data'!$B$3:$B$2150,"&lt;&gt;P")&gt;0,1,0)</f>
        <v>0</v>
      </c>
      <c r="D363">
        <f>IF(COUNTIFS('United Data'!$A$3:$A$2150,D$1,'United Data'!$C$3:$C$2150,$A363,'United Data'!$B$3:$B$2150,"&lt;&gt;P")&gt;0,1,0)</f>
        <v>0</v>
      </c>
      <c r="E363">
        <f>IF(COUNTIFS('United Data'!$A$3:$A$2150,E$1,'United Data'!$C$3:$C$2150,$A363,'United Data'!$B$3:$B$2150,"&lt;&gt;P")&gt;0,1,0)</f>
        <v>0</v>
      </c>
      <c r="F363">
        <f>IF(COUNTIFS('United Data'!$A$3:$A$2150,F$1,'United Data'!$C$3:$C$2150,$A363,'United Data'!$B$3:$B$2150,"&lt;&gt;P")&gt;0,1,0)</f>
        <v>0</v>
      </c>
      <c r="G363">
        <f>IF(COUNTIFS('United Data'!$A$3:$A$2150,G$1,'United Data'!$C$3:$C$2150,$A363,'United Data'!$B$3:$B$2150,"&lt;&gt;P")&gt;0,1,0)</f>
        <v>0</v>
      </c>
      <c r="H363">
        <f>IF(COUNTIFS('United Data'!$A$3:$A$2150,H$1,'United Data'!$C$3:$C$2150,$A363,'United Data'!$B$3:$B$2150,"&lt;&gt;P")&gt;0,1,0)</f>
        <v>1</v>
      </c>
      <c r="I363">
        <f>IF(COUNTIFS('United Data'!$A$3:$A$2150,I$1,'United Data'!$C$3:$C$2150,$A363,'United Data'!$B$3:$B$2150,"&lt;&gt;P")&gt;0,1,0)</f>
        <v>0</v>
      </c>
      <c r="J363">
        <f>IF(COUNTIFS('United Data'!$A$3:$A$2150,J$1,'United Data'!$C$3:$C$2150,$A363,'United Data'!$B$3:$B$2150,"&lt;&gt;P")&gt;0,1,0)</f>
        <v>0</v>
      </c>
      <c r="K363">
        <f>IF(COUNTIFS('United Data'!$A$3:$A$2150,K$1,'United Data'!$C$3:$C$2150,$A363,'United Data'!$B$3:$B$2150,"&lt;&gt;P")&gt;0,1,0)</f>
        <v>0</v>
      </c>
      <c r="L363">
        <f>IF(COUNTIFS('United Data'!$A$3:$A$2150,L$1,'United Data'!$C$3:$C$2150,$A363,'United Data'!$B$3:$B$2150,"&lt;&gt;P")&gt;0,1,0)</f>
        <v>0</v>
      </c>
      <c r="M363">
        <f>IF(COUNTIFS('United Data'!$A$3:$A$2150,M$1,'United Data'!$C$3:$C$2150,$A363,'United Data'!$B$3:$B$2150,"&lt;&gt;P")&gt;0,1,0)</f>
        <v>0</v>
      </c>
      <c r="N363">
        <f>IF(COUNTIFS('United Data'!$A$3:$A$2150,N$1,'United Data'!$C$3:$C$2150,$A363,'United Data'!$B$3:$B$2150,"&lt;&gt;P")&gt;0,1,0)</f>
        <v>0</v>
      </c>
      <c r="O363">
        <f>IF(COUNTIFS('United Data'!$A$3:$A$2150,O$1,'United Data'!$C$3:$C$2150,$A363,'United Data'!$B$3:$B$2150,"&lt;&gt;P")&gt;0,1,0)</f>
        <v>0</v>
      </c>
      <c r="P363">
        <f>IF(COUNTIFS('United Data'!$A$3:$A$2150,P$1,'United Data'!$C$3:$C$2150,$A363,'United Data'!$B$3:$B$2150,"&lt;&gt;P")&gt;0,1,0)</f>
        <v>0</v>
      </c>
      <c r="Q363">
        <f>IF(COUNTIFS('United Data'!$A$3:$A$2150,Q$1,'United Data'!$C$3:$C$2150,$A363,'United Data'!$B$3:$B$2150,"&lt;&gt;P")&gt;0,1,0)</f>
        <v>0</v>
      </c>
      <c r="R363">
        <f>IF(COUNTIFS('United Data'!$A$3:$A$2150,R$1,'United Data'!$C$3:$C$2150,$A363,'United Data'!$B$3:$B$2150,"&lt;&gt;P")&gt;0,1,0)</f>
        <v>0</v>
      </c>
      <c r="S363">
        <f t="shared" si="10"/>
        <v>1</v>
      </c>
      <c r="T363">
        <f t="shared" si="11"/>
        <v>1</v>
      </c>
    </row>
    <row r="364" spans="1:20" x14ac:dyDescent="0.2">
      <c r="A364" t="s">
        <v>409</v>
      </c>
      <c r="B364">
        <f>IF(COUNTIFS('United Data'!$A$3:$A$2150,B$1,'United Data'!$C$3:$C$2150,$A364,'United Data'!$B$3:$B$2150,"&lt;&gt;P")&gt;0,1,0)</f>
        <v>0</v>
      </c>
      <c r="C364">
        <f>IF(COUNTIFS('United Data'!$A$3:$A$2150,C$1,'United Data'!$C$3:$C$2150,$A364,'United Data'!$B$3:$B$2150,"&lt;&gt;P")&gt;0,1,0)</f>
        <v>0</v>
      </c>
      <c r="D364">
        <f>IF(COUNTIFS('United Data'!$A$3:$A$2150,D$1,'United Data'!$C$3:$C$2150,$A364,'United Data'!$B$3:$B$2150,"&lt;&gt;P")&gt;0,1,0)</f>
        <v>0</v>
      </c>
      <c r="E364">
        <f>IF(COUNTIFS('United Data'!$A$3:$A$2150,E$1,'United Data'!$C$3:$C$2150,$A364,'United Data'!$B$3:$B$2150,"&lt;&gt;P")&gt;0,1,0)</f>
        <v>0</v>
      </c>
      <c r="F364">
        <f>IF(COUNTIFS('United Data'!$A$3:$A$2150,F$1,'United Data'!$C$3:$C$2150,$A364,'United Data'!$B$3:$B$2150,"&lt;&gt;P")&gt;0,1,0)</f>
        <v>0</v>
      </c>
      <c r="G364">
        <f>IF(COUNTIFS('United Data'!$A$3:$A$2150,G$1,'United Data'!$C$3:$C$2150,$A364,'United Data'!$B$3:$B$2150,"&lt;&gt;P")&gt;0,1,0)</f>
        <v>0</v>
      </c>
      <c r="H364">
        <f>IF(COUNTIFS('United Data'!$A$3:$A$2150,H$1,'United Data'!$C$3:$C$2150,$A364,'United Data'!$B$3:$B$2150,"&lt;&gt;P")&gt;0,1,0)</f>
        <v>1</v>
      </c>
      <c r="I364">
        <f>IF(COUNTIFS('United Data'!$A$3:$A$2150,I$1,'United Data'!$C$3:$C$2150,$A364,'United Data'!$B$3:$B$2150,"&lt;&gt;P")&gt;0,1,0)</f>
        <v>0</v>
      </c>
      <c r="J364">
        <f>IF(COUNTIFS('United Data'!$A$3:$A$2150,J$1,'United Data'!$C$3:$C$2150,$A364,'United Data'!$B$3:$B$2150,"&lt;&gt;P")&gt;0,1,0)</f>
        <v>0</v>
      </c>
      <c r="K364">
        <f>IF(COUNTIFS('United Data'!$A$3:$A$2150,K$1,'United Data'!$C$3:$C$2150,$A364,'United Data'!$B$3:$B$2150,"&lt;&gt;P")&gt;0,1,0)</f>
        <v>0</v>
      </c>
      <c r="L364">
        <f>IF(COUNTIFS('United Data'!$A$3:$A$2150,L$1,'United Data'!$C$3:$C$2150,$A364,'United Data'!$B$3:$B$2150,"&lt;&gt;P")&gt;0,1,0)</f>
        <v>0</v>
      </c>
      <c r="M364">
        <f>IF(COUNTIFS('United Data'!$A$3:$A$2150,M$1,'United Data'!$C$3:$C$2150,$A364,'United Data'!$B$3:$B$2150,"&lt;&gt;P")&gt;0,1,0)</f>
        <v>0</v>
      </c>
      <c r="N364">
        <f>IF(COUNTIFS('United Data'!$A$3:$A$2150,N$1,'United Data'!$C$3:$C$2150,$A364,'United Data'!$B$3:$B$2150,"&lt;&gt;P")&gt;0,1,0)</f>
        <v>0</v>
      </c>
      <c r="O364">
        <f>IF(COUNTIFS('United Data'!$A$3:$A$2150,O$1,'United Data'!$C$3:$C$2150,$A364,'United Data'!$B$3:$B$2150,"&lt;&gt;P")&gt;0,1,0)</f>
        <v>0</v>
      </c>
      <c r="P364">
        <f>IF(COUNTIFS('United Data'!$A$3:$A$2150,P$1,'United Data'!$C$3:$C$2150,$A364,'United Data'!$B$3:$B$2150,"&lt;&gt;P")&gt;0,1,0)</f>
        <v>0</v>
      </c>
      <c r="Q364">
        <f>IF(COUNTIFS('United Data'!$A$3:$A$2150,Q$1,'United Data'!$C$3:$C$2150,$A364,'United Data'!$B$3:$B$2150,"&lt;&gt;P")&gt;0,1,0)</f>
        <v>0</v>
      </c>
      <c r="R364">
        <f>IF(COUNTIFS('United Data'!$A$3:$A$2150,R$1,'United Data'!$C$3:$C$2150,$A364,'United Data'!$B$3:$B$2150,"&lt;&gt;P")&gt;0,1,0)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410</v>
      </c>
      <c r="B365">
        <f>IF(COUNTIFS('United Data'!$A$3:$A$2150,B$1,'United Data'!$C$3:$C$2150,$A365,'United Data'!$B$3:$B$2150,"&lt;&gt;P")&gt;0,1,0)</f>
        <v>0</v>
      </c>
      <c r="C365">
        <f>IF(COUNTIFS('United Data'!$A$3:$A$2150,C$1,'United Data'!$C$3:$C$2150,$A365,'United Data'!$B$3:$B$2150,"&lt;&gt;P")&gt;0,1,0)</f>
        <v>0</v>
      </c>
      <c r="D365">
        <f>IF(COUNTIFS('United Data'!$A$3:$A$2150,D$1,'United Data'!$C$3:$C$2150,$A365,'United Data'!$B$3:$B$2150,"&lt;&gt;P")&gt;0,1,0)</f>
        <v>0</v>
      </c>
      <c r="E365">
        <f>IF(COUNTIFS('United Data'!$A$3:$A$2150,E$1,'United Data'!$C$3:$C$2150,$A365,'United Data'!$B$3:$B$2150,"&lt;&gt;P")&gt;0,1,0)</f>
        <v>0</v>
      </c>
      <c r="F365">
        <f>IF(COUNTIFS('United Data'!$A$3:$A$2150,F$1,'United Data'!$C$3:$C$2150,$A365,'United Data'!$B$3:$B$2150,"&lt;&gt;P")&gt;0,1,0)</f>
        <v>0</v>
      </c>
      <c r="G365">
        <f>IF(COUNTIFS('United Data'!$A$3:$A$2150,G$1,'United Data'!$C$3:$C$2150,$A365,'United Data'!$B$3:$B$2150,"&lt;&gt;P")&gt;0,1,0)</f>
        <v>0</v>
      </c>
      <c r="H365">
        <f>IF(COUNTIFS('United Data'!$A$3:$A$2150,H$1,'United Data'!$C$3:$C$2150,$A365,'United Data'!$B$3:$B$2150,"&lt;&gt;P")&gt;0,1,0)</f>
        <v>1</v>
      </c>
      <c r="I365">
        <f>IF(COUNTIFS('United Data'!$A$3:$A$2150,I$1,'United Data'!$C$3:$C$2150,$A365,'United Data'!$B$3:$B$2150,"&lt;&gt;P")&gt;0,1,0)</f>
        <v>0</v>
      </c>
      <c r="J365">
        <f>IF(COUNTIFS('United Data'!$A$3:$A$2150,J$1,'United Data'!$C$3:$C$2150,$A365,'United Data'!$B$3:$B$2150,"&lt;&gt;P")&gt;0,1,0)</f>
        <v>0</v>
      </c>
      <c r="K365">
        <f>IF(COUNTIFS('United Data'!$A$3:$A$2150,K$1,'United Data'!$C$3:$C$2150,$A365,'United Data'!$B$3:$B$2150,"&lt;&gt;P")&gt;0,1,0)</f>
        <v>0</v>
      </c>
      <c r="L365">
        <f>IF(COUNTIFS('United Data'!$A$3:$A$2150,L$1,'United Data'!$C$3:$C$2150,$A365,'United Data'!$B$3:$B$2150,"&lt;&gt;P")&gt;0,1,0)</f>
        <v>0</v>
      </c>
      <c r="M365">
        <f>IF(COUNTIFS('United Data'!$A$3:$A$2150,M$1,'United Data'!$C$3:$C$2150,$A365,'United Data'!$B$3:$B$2150,"&lt;&gt;P")&gt;0,1,0)</f>
        <v>0</v>
      </c>
      <c r="N365">
        <f>IF(COUNTIFS('United Data'!$A$3:$A$2150,N$1,'United Data'!$C$3:$C$2150,$A365,'United Data'!$B$3:$B$2150,"&lt;&gt;P")&gt;0,1,0)</f>
        <v>0</v>
      </c>
      <c r="O365">
        <f>IF(COUNTIFS('United Data'!$A$3:$A$2150,O$1,'United Data'!$C$3:$C$2150,$A365,'United Data'!$B$3:$B$2150,"&lt;&gt;P")&gt;0,1,0)</f>
        <v>0</v>
      </c>
      <c r="P365">
        <f>IF(COUNTIFS('United Data'!$A$3:$A$2150,P$1,'United Data'!$C$3:$C$2150,$A365,'United Data'!$B$3:$B$2150,"&lt;&gt;P")&gt;0,1,0)</f>
        <v>0</v>
      </c>
      <c r="Q365">
        <f>IF(COUNTIFS('United Data'!$A$3:$A$2150,Q$1,'United Data'!$C$3:$C$2150,$A365,'United Data'!$B$3:$B$2150,"&lt;&gt;P")&gt;0,1,0)</f>
        <v>0</v>
      </c>
      <c r="R365">
        <f>IF(COUNTIFS('United Data'!$A$3:$A$2150,R$1,'United Data'!$C$3:$C$2150,$A365,'United Data'!$B$3:$B$2150,"&lt;&gt;P")&gt;0,1,0)</f>
        <v>0</v>
      </c>
      <c r="S365">
        <f t="shared" si="10"/>
        <v>1</v>
      </c>
      <c r="T365">
        <f t="shared" si="11"/>
        <v>1</v>
      </c>
    </row>
    <row r="366" spans="1:20" x14ac:dyDescent="0.2">
      <c r="A366" t="s">
        <v>411</v>
      </c>
      <c r="B366">
        <f>IF(COUNTIFS('United Data'!$A$3:$A$2150,B$1,'United Data'!$C$3:$C$2150,$A366,'United Data'!$B$3:$B$2150,"&lt;&gt;P")&gt;0,1,0)</f>
        <v>0</v>
      </c>
      <c r="C366">
        <f>IF(COUNTIFS('United Data'!$A$3:$A$2150,C$1,'United Data'!$C$3:$C$2150,$A366,'United Data'!$B$3:$B$2150,"&lt;&gt;P")&gt;0,1,0)</f>
        <v>0</v>
      </c>
      <c r="D366">
        <f>IF(COUNTIFS('United Data'!$A$3:$A$2150,D$1,'United Data'!$C$3:$C$2150,$A366,'United Data'!$B$3:$B$2150,"&lt;&gt;P")&gt;0,1,0)</f>
        <v>0</v>
      </c>
      <c r="E366">
        <f>IF(COUNTIFS('United Data'!$A$3:$A$2150,E$1,'United Data'!$C$3:$C$2150,$A366,'United Data'!$B$3:$B$2150,"&lt;&gt;P")&gt;0,1,0)</f>
        <v>0</v>
      </c>
      <c r="F366">
        <f>IF(COUNTIFS('United Data'!$A$3:$A$2150,F$1,'United Data'!$C$3:$C$2150,$A366,'United Data'!$B$3:$B$2150,"&lt;&gt;P")&gt;0,1,0)</f>
        <v>0</v>
      </c>
      <c r="G366">
        <f>IF(COUNTIFS('United Data'!$A$3:$A$2150,G$1,'United Data'!$C$3:$C$2150,$A366,'United Data'!$B$3:$B$2150,"&lt;&gt;P")&gt;0,1,0)</f>
        <v>0</v>
      </c>
      <c r="H366">
        <f>IF(COUNTIFS('United Data'!$A$3:$A$2150,H$1,'United Data'!$C$3:$C$2150,$A366,'United Data'!$B$3:$B$2150,"&lt;&gt;P")&gt;0,1,0)</f>
        <v>1</v>
      </c>
      <c r="I366">
        <f>IF(COUNTIFS('United Data'!$A$3:$A$2150,I$1,'United Data'!$C$3:$C$2150,$A366,'United Data'!$B$3:$B$2150,"&lt;&gt;P")&gt;0,1,0)</f>
        <v>0</v>
      </c>
      <c r="J366">
        <f>IF(COUNTIFS('United Data'!$A$3:$A$2150,J$1,'United Data'!$C$3:$C$2150,$A366,'United Data'!$B$3:$B$2150,"&lt;&gt;P")&gt;0,1,0)</f>
        <v>0</v>
      </c>
      <c r="K366">
        <f>IF(COUNTIFS('United Data'!$A$3:$A$2150,K$1,'United Data'!$C$3:$C$2150,$A366,'United Data'!$B$3:$B$2150,"&lt;&gt;P")&gt;0,1,0)</f>
        <v>0</v>
      </c>
      <c r="L366">
        <f>IF(COUNTIFS('United Data'!$A$3:$A$2150,L$1,'United Data'!$C$3:$C$2150,$A366,'United Data'!$B$3:$B$2150,"&lt;&gt;P")&gt;0,1,0)</f>
        <v>0</v>
      </c>
      <c r="M366">
        <f>IF(COUNTIFS('United Data'!$A$3:$A$2150,M$1,'United Data'!$C$3:$C$2150,$A366,'United Data'!$B$3:$B$2150,"&lt;&gt;P")&gt;0,1,0)</f>
        <v>0</v>
      </c>
      <c r="N366">
        <f>IF(COUNTIFS('United Data'!$A$3:$A$2150,N$1,'United Data'!$C$3:$C$2150,$A366,'United Data'!$B$3:$B$2150,"&lt;&gt;P")&gt;0,1,0)</f>
        <v>0</v>
      </c>
      <c r="O366">
        <f>IF(COUNTIFS('United Data'!$A$3:$A$2150,O$1,'United Data'!$C$3:$C$2150,$A366,'United Data'!$B$3:$B$2150,"&lt;&gt;P")&gt;0,1,0)</f>
        <v>0</v>
      </c>
      <c r="P366">
        <f>IF(COUNTIFS('United Data'!$A$3:$A$2150,P$1,'United Data'!$C$3:$C$2150,$A366,'United Data'!$B$3:$B$2150,"&lt;&gt;P")&gt;0,1,0)</f>
        <v>0</v>
      </c>
      <c r="Q366">
        <f>IF(COUNTIFS('United Data'!$A$3:$A$2150,Q$1,'United Data'!$C$3:$C$2150,$A366,'United Data'!$B$3:$B$2150,"&lt;&gt;P")&gt;0,1,0)</f>
        <v>0</v>
      </c>
      <c r="R366">
        <f>IF(COUNTIFS('United Data'!$A$3:$A$2150,R$1,'United Data'!$C$3:$C$2150,$A366,'United Data'!$B$3:$B$2150,"&lt;&gt;P")&gt;0,1,0)</f>
        <v>0</v>
      </c>
      <c r="S366">
        <f t="shared" si="10"/>
        <v>1</v>
      </c>
      <c r="T366">
        <f t="shared" si="11"/>
        <v>1</v>
      </c>
    </row>
    <row r="367" spans="1:20" x14ac:dyDescent="0.2">
      <c r="A367" t="s">
        <v>412</v>
      </c>
      <c r="B367">
        <f>IF(COUNTIFS('United Data'!$A$3:$A$2150,B$1,'United Data'!$C$3:$C$2150,$A367,'United Data'!$B$3:$B$2150,"&lt;&gt;P")&gt;0,1,0)</f>
        <v>0</v>
      </c>
      <c r="C367">
        <f>IF(COUNTIFS('United Data'!$A$3:$A$2150,C$1,'United Data'!$C$3:$C$2150,$A367,'United Data'!$B$3:$B$2150,"&lt;&gt;P")&gt;0,1,0)</f>
        <v>0</v>
      </c>
      <c r="D367">
        <f>IF(COUNTIFS('United Data'!$A$3:$A$2150,D$1,'United Data'!$C$3:$C$2150,$A367,'United Data'!$B$3:$B$2150,"&lt;&gt;P")&gt;0,1,0)</f>
        <v>0</v>
      </c>
      <c r="E367">
        <f>IF(COUNTIFS('United Data'!$A$3:$A$2150,E$1,'United Data'!$C$3:$C$2150,$A367,'United Data'!$B$3:$B$2150,"&lt;&gt;P")&gt;0,1,0)</f>
        <v>0</v>
      </c>
      <c r="F367">
        <f>IF(COUNTIFS('United Data'!$A$3:$A$2150,F$1,'United Data'!$C$3:$C$2150,$A367,'United Data'!$B$3:$B$2150,"&lt;&gt;P")&gt;0,1,0)</f>
        <v>0</v>
      </c>
      <c r="G367">
        <f>IF(COUNTIFS('United Data'!$A$3:$A$2150,G$1,'United Data'!$C$3:$C$2150,$A367,'United Data'!$B$3:$B$2150,"&lt;&gt;P")&gt;0,1,0)</f>
        <v>0</v>
      </c>
      <c r="H367">
        <f>IF(COUNTIFS('United Data'!$A$3:$A$2150,H$1,'United Data'!$C$3:$C$2150,$A367,'United Data'!$B$3:$B$2150,"&lt;&gt;P")&gt;0,1,0)</f>
        <v>1</v>
      </c>
      <c r="I367">
        <f>IF(COUNTIFS('United Data'!$A$3:$A$2150,I$1,'United Data'!$C$3:$C$2150,$A367,'United Data'!$B$3:$B$2150,"&lt;&gt;P")&gt;0,1,0)</f>
        <v>0</v>
      </c>
      <c r="J367">
        <f>IF(COUNTIFS('United Data'!$A$3:$A$2150,J$1,'United Data'!$C$3:$C$2150,$A367,'United Data'!$B$3:$B$2150,"&lt;&gt;P")&gt;0,1,0)</f>
        <v>0</v>
      </c>
      <c r="K367">
        <f>IF(COUNTIFS('United Data'!$A$3:$A$2150,K$1,'United Data'!$C$3:$C$2150,$A367,'United Data'!$B$3:$B$2150,"&lt;&gt;P")&gt;0,1,0)</f>
        <v>0</v>
      </c>
      <c r="L367">
        <f>IF(COUNTIFS('United Data'!$A$3:$A$2150,L$1,'United Data'!$C$3:$C$2150,$A367,'United Data'!$B$3:$B$2150,"&lt;&gt;P")&gt;0,1,0)</f>
        <v>0</v>
      </c>
      <c r="M367">
        <f>IF(COUNTIFS('United Data'!$A$3:$A$2150,M$1,'United Data'!$C$3:$C$2150,$A367,'United Data'!$B$3:$B$2150,"&lt;&gt;P")&gt;0,1,0)</f>
        <v>0</v>
      </c>
      <c r="N367">
        <f>IF(COUNTIFS('United Data'!$A$3:$A$2150,N$1,'United Data'!$C$3:$C$2150,$A367,'United Data'!$B$3:$B$2150,"&lt;&gt;P")&gt;0,1,0)</f>
        <v>0</v>
      </c>
      <c r="O367">
        <f>IF(COUNTIFS('United Data'!$A$3:$A$2150,O$1,'United Data'!$C$3:$C$2150,$A367,'United Data'!$B$3:$B$2150,"&lt;&gt;P")&gt;0,1,0)</f>
        <v>0</v>
      </c>
      <c r="P367">
        <f>IF(COUNTIFS('United Data'!$A$3:$A$2150,P$1,'United Data'!$C$3:$C$2150,$A367,'United Data'!$B$3:$B$2150,"&lt;&gt;P")&gt;0,1,0)</f>
        <v>0</v>
      </c>
      <c r="Q367">
        <f>IF(COUNTIFS('United Data'!$A$3:$A$2150,Q$1,'United Data'!$C$3:$C$2150,$A367,'United Data'!$B$3:$B$2150,"&lt;&gt;P")&gt;0,1,0)</f>
        <v>0</v>
      </c>
      <c r="R367">
        <f>IF(COUNTIFS('United Data'!$A$3:$A$2150,R$1,'United Data'!$C$3:$C$2150,$A367,'United Data'!$B$3:$B$2150,"&lt;&gt;P")&gt;0,1,0)</f>
        <v>0</v>
      </c>
      <c r="S367">
        <f t="shared" si="10"/>
        <v>1</v>
      </c>
      <c r="T367">
        <f t="shared" si="11"/>
        <v>1</v>
      </c>
    </row>
    <row r="368" spans="1:20" x14ac:dyDescent="0.2">
      <c r="A368" t="s">
        <v>413</v>
      </c>
      <c r="B368">
        <f>IF(COUNTIFS('United Data'!$A$3:$A$2150,B$1,'United Data'!$C$3:$C$2150,$A368,'United Data'!$B$3:$B$2150,"&lt;&gt;P")&gt;0,1,0)</f>
        <v>0</v>
      </c>
      <c r="C368">
        <f>IF(COUNTIFS('United Data'!$A$3:$A$2150,C$1,'United Data'!$C$3:$C$2150,$A368,'United Data'!$B$3:$B$2150,"&lt;&gt;P")&gt;0,1,0)</f>
        <v>0</v>
      </c>
      <c r="D368">
        <f>IF(COUNTIFS('United Data'!$A$3:$A$2150,D$1,'United Data'!$C$3:$C$2150,$A368,'United Data'!$B$3:$B$2150,"&lt;&gt;P")&gt;0,1,0)</f>
        <v>0</v>
      </c>
      <c r="E368">
        <f>IF(COUNTIFS('United Data'!$A$3:$A$2150,E$1,'United Data'!$C$3:$C$2150,$A368,'United Data'!$B$3:$B$2150,"&lt;&gt;P")&gt;0,1,0)</f>
        <v>0</v>
      </c>
      <c r="F368">
        <f>IF(COUNTIFS('United Data'!$A$3:$A$2150,F$1,'United Data'!$C$3:$C$2150,$A368,'United Data'!$B$3:$B$2150,"&lt;&gt;P")&gt;0,1,0)</f>
        <v>0</v>
      </c>
      <c r="G368">
        <f>IF(COUNTIFS('United Data'!$A$3:$A$2150,G$1,'United Data'!$C$3:$C$2150,$A368,'United Data'!$B$3:$B$2150,"&lt;&gt;P")&gt;0,1,0)</f>
        <v>0</v>
      </c>
      <c r="H368">
        <f>IF(COUNTIFS('United Data'!$A$3:$A$2150,H$1,'United Data'!$C$3:$C$2150,$A368,'United Data'!$B$3:$B$2150,"&lt;&gt;P")&gt;0,1,0)</f>
        <v>1</v>
      </c>
      <c r="I368">
        <f>IF(COUNTIFS('United Data'!$A$3:$A$2150,I$1,'United Data'!$C$3:$C$2150,$A368,'United Data'!$B$3:$B$2150,"&lt;&gt;P")&gt;0,1,0)</f>
        <v>0</v>
      </c>
      <c r="J368">
        <f>IF(COUNTIFS('United Data'!$A$3:$A$2150,J$1,'United Data'!$C$3:$C$2150,$A368,'United Data'!$B$3:$B$2150,"&lt;&gt;P")&gt;0,1,0)</f>
        <v>0</v>
      </c>
      <c r="K368">
        <f>IF(COUNTIFS('United Data'!$A$3:$A$2150,K$1,'United Data'!$C$3:$C$2150,$A368,'United Data'!$B$3:$B$2150,"&lt;&gt;P")&gt;0,1,0)</f>
        <v>0</v>
      </c>
      <c r="L368">
        <f>IF(COUNTIFS('United Data'!$A$3:$A$2150,L$1,'United Data'!$C$3:$C$2150,$A368,'United Data'!$B$3:$B$2150,"&lt;&gt;P")&gt;0,1,0)</f>
        <v>0</v>
      </c>
      <c r="M368">
        <f>IF(COUNTIFS('United Data'!$A$3:$A$2150,M$1,'United Data'!$C$3:$C$2150,$A368,'United Data'!$B$3:$B$2150,"&lt;&gt;P")&gt;0,1,0)</f>
        <v>0</v>
      </c>
      <c r="N368">
        <f>IF(COUNTIFS('United Data'!$A$3:$A$2150,N$1,'United Data'!$C$3:$C$2150,$A368,'United Data'!$B$3:$B$2150,"&lt;&gt;P")&gt;0,1,0)</f>
        <v>0</v>
      </c>
      <c r="O368">
        <f>IF(COUNTIFS('United Data'!$A$3:$A$2150,O$1,'United Data'!$C$3:$C$2150,$A368,'United Data'!$B$3:$B$2150,"&lt;&gt;P")&gt;0,1,0)</f>
        <v>0</v>
      </c>
      <c r="P368">
        <f>IF(COUNTIFS('United Data'!$A$3:$A$2150,P$1,'United Data'!$C$3:$C$2150,$A368,'United Data'!$B$3:$B$2150,"&lt;&gt;P")&gt;0,1,0)</f>
        <v>0</v>
      </c>
      <c r="Q368">
        <f>IF(COUNTIFS('United Data'!$A$3:$A$2150,Q$1,'United Data'!$C$3:$C$2150,$A368,'United Data'!$B$3:$B$2150,"&lt;&gt;P")&gt;0,1,0)</f>
        <v>0</v>
      </c>
      <c r="R368">
        <f>IF(COUNTIFS('United Data'!$A$3:$A$2150,R$1,'United Data'!$C$3:$C$2150,$A368,'United Data'!$B$3:$B$2150,"&lt;&gt;P")&gt;0,1,0)</f>
        <v>0</v>
      </c>
      <c r="S368">
        <f t="shared" si="10"/>
        <v>1</v>
      </c>
      <c r="T368">
        <f t="shared" si="11"/>
        <v>1</v>
      </c>
    </row>
    <row r="369" spans="1:20" x14ac:dyDescent="0.2">
      <c r="A369" t="s">
        <v>414</v>
      </c>
      <c r="B369">
        <f>IF(COUNTIFS('United Data'!$A$3:$A$2150,B$1,'United Data'!$C$3:$C$2150,$A369,'United Data'!$B$3:$B$2150,"&lt;&gt;P")&gt;0,1,0)</f>
        <v>0</v>
      </c>
      <c r="C369">
        <f>IF(COUNTIFS('United Data'!$A$3:$A$2150,C$1,'United Data'!$C$3:$C$2150,$A369,'United Data'!$B$3:$B$2150,"&lt;&gt;P")&gt;0,1,0)</f>
        <v>0</v>
      </c>
      <c r="D369">
        <f>IF(COUNTIFS('United Data'!$A$3:$A$2150,D$1,'United Data'!$C$3:$C$2150,$A369,'United Data'!$B$3:$B$2150,"&lt;&gt;P")&gt;0,1,0)</f>
        <v>0</v>
      </c>
      <c r="E369">
        <f>IF(COUNTIFS('United Data'!$A$3:$A$2150,E$1,'United Data'!$C$3:$C$2150,$A369,'United Data'!$B$3:$B$2150,"&lt;&gt;P")&gt;0,1,0)</f>
        <v>0</v>
      </c>
      <c r="F369">
        <f>IF(COUNTIFS('United Data'!$A$3:$A$2150,F$1,'United Data'!$C$3:$C$2150,$A369,'United Data'!$B$3:$B$2150,"&lt;&gt;P")&gt;0,1,0)</f>
        <v>0</v>
      </c>
      <c r="G369">
        <f>IF(COUNTIFS('United Data'!$A$3:$A$2150,G$1,'United Data'!$C$3:$C$2150,$A369,'United Data'!$B$3:$B$2150,"&lt;&gt;P")&gt;0,1,0)</f>
        <v>0</v>
      </c>
      <c r="H369">
        <f>IF(COUNTIFS('United Data'!$A$3:$A$2150,H$1,'United Data'!$C$3:$C$2150,$A369,'United Data'!$B$3:$B$2150,"&lt;&gt;P")&gt;0,1,0)</f>
        <v>0</v>
      </c>
      <c r="I369">
        <f>IF(COUNTIFS('United Data'!$A$3:$A$2150,I$1,'United Data'!$C$3:$C$2150,$A369,'United Data'!$B$3:$B$2150,"&lt;&gt;P")&gt;0,1,0)</f>
        <v>1</v>
      </c>
      <c r="J369">
        <f>IF(COUNTIFS('United Data'!$A$3:$A$2150,J$1,'United Data'!$C$3:$C$2150,$A369,'United Data'!$B$3:$B$2150,"&lt;&gt;P")&gt;0,1,0)</f>
        <v>0</v>
      </c>
      <c r="K369">
        <f>IF(COUNTIFS('United Data'!$A$3:$A$2150,K$1,'United Data'!$C$3:$C$2150,$A369,'United Data'!$B$3:$B$2150,"&lt;&gt;P")&gt;0,1,0)</f>
        <v>0</v>
      </c>
      <c r="L369">
        <f>IF(COUNTIFS('United Data'!$A$3:$A$2150,L$1,'United Data'!$C$3:$C$2150,$A369,'United Data'!$B$3:$B$2150,"&lt;&gt;P")&gt;0,1,0)</f>
        <v>0</v>
      </c>
      <c r="M369">
        <f>IF(COUNTIFS('United Data'!$A$3:$A$2150,M$1,'United Data'!$C$3:$C$2150,$A369,'United Data'!$B$3:$B$2150,"&lt;&gt;P")&gt;0,1,0)</f>
        <v>0</v>
      </c>
      <c r="N369">
        <f>IF(COUNTIFS('United Data'!$A$3:$A$2150,N$1,'United Data'!$C$3:$C$2150,$A369,'United Data'!$B$3:$B$2150,"&lt;&gt;P")&gt;0,1,0)</f>
        <v>0</v>
      </c>
      <c r="O369">
        <f>IF(COUNTIFS('United Data'!$A$3:$A$2150,O$1,'United Data'!$C$3:$C$2150,$A369,'United Data'!$B$3:$B$2150,"&lt;&gt;P")&gt;0,1,0)</f>
        <v>0</v>
      </c>
      <c r="P369">
        <f>IF(COUNTIFS('United Data'!$A$3:$A$2150,P$1,'United Data'!$C$3:$C$2150,$A369,'United Data'!$B$3:$B$2150,"&lt;&gt;P")&gt;0,1,0)</f>
        <v>0</v>
      </c>
      <c r="Q369">
        <f>IF(COUNTIFS('United Data'!$A$3:$A$2150,Q$1,'United Data'!$C$3:$C$2150,$A369,'United Data'!$B$3:$B$2150,"&lt;&gt;P")&gt;0,1,0)</f>
        <v>0</v>
      </c>
      <c r="R369">
        <f>IF(COUNTIFS('United Data'!$A$3:$A$2150,R$1,'United Data'!$C$3:$C$2150,$A369,'United Data'!$B$3:$B$2150,"&lt;&gt;P")&gt;0,1,0)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415</v>
      </c>
      <c r="B370">
        <f>IF(COUNTIFS('United Data'!$A$3:$A$2150,B$1,'United Data'!$C$3:$C$2150,$A370,'United Data'!$B$3:$B$2150,"&lt;&gt;P")&gt;0,1,0)</f>
        <v>0</v>
      </c>
      <c r="C370">
        <f>IF(COUNTIFS('United Data'!$A$3:$A$2150,C$1,'United Data'!$C$3:$C$2150,$A370,'United Data'!$B$3:$B$2150,"&lt;&gt;P")&gt;0,1,0)</f>
        <v>0</v>
      </c>
      <c r="D370">
        <f>IF(COUNTIFS('United Data'!$A$3:$A$2150,D$1,'United Data'!$C$3:$C$2150,$A370,'United Data'!$B$3:$B$2150,"&lt;&gt;P")&gt;0,1,0)</f>
        <v>0</v>
      </c>
      <c r="E370">
        <f>IF(COUNTIFS('United Data'!$A$3:$A$2150,E$1,'United Data'!$C$3:$C$2150,$A370,'United Data'!$B$3:$B$2150,"&lt;&gt;P")&gt;0,1,0)</f>
        <v>0</v>
      </c>
      <c r="F370">
        <f>IF(COUNTIFS('United Data'!$A$3:$A$2150,F$1,'United Data'!$C$3:$C$2150,$A370,'United Data'!$B$3:$B$2150,"&lt;&gt;P")&gt;0,1,0)</f>
        <v>0</v>
      </c>
      <c r="G370">
        <f>IF(COUNTIFS('United Data'!$A$3:$A$2150,G$1,'United Data'!$C$3:$C$2150,$A370,'United Data'!$B$3:$B$2150,"&lt;&gt;P")&gt;0,1,0)</f>
        <v>0</v>
      </c>
      <c r="H370">
        <f>IF(COUNTIFS('United Data'!$A$3:$A$2150,H$1,'United Data'!$C$3:$C$2150,$A370,'United Data'!$B$3:$B$2150,"&lt;&gt;P")&gt;0,1,0)</f>
        <v>0</v>
      </c>
      <c r="I370">
        <f>IF(COUNTIFS('United Data'!$A$3:$A$2150,I$1,'United Data'!$C$3:$C$2150,$A370,'United Data'!$B$3:$B$2150,"&lt;&gt;P")&gt;0,1,0)</f>
        <v>1</v>
      </c>
      <c r="J370">
        <f>IF(COUNTIFS('United Data'!$A$3:$A$2150,J$1,'United Data'!$C$3:$C$2150,$A370,'United Data'!$B$3:$B$2150,"&lt;&gt;P")&gt;0,1,0)</f>
        <v>0</v>
      </c>
      <c r="K370">
        <f>IF(COUNTIFS('United Data'!$A$3:$A$2150,K$1,'United Data'!$C$3:$C$2150,$A370,'United Data'!$B$3:$B$2150,"&lt;&gt;P")&gt;0,1,0)</f>
        <v>0</v>
      </c>
      <c r="L370">
        <f>IF(COUNTIFS('United Data'!$A$3:$A$2150,L$1,'United Data'!$C$3:$C$2150,$A370,'United Data'!$B$3:$B$2150,"&lt;&gt;P")&gt;0,1,0)</f>
        <v>0</v>
      </c>
      <c r="M370">
        <f>IF(COUNTIFS('United Data'!$A$3:$A$2150,M$1,'United Data'!$C$3:$C$2150,$A370,'United Data'!$B$3:$B$2150,"&lt;&gt;P")&gt;0,1,0)</f>
        <v>0</v>
      </c>
      <c r="N370">
        <f>IF(COUNTIFS('United Data'!$A$3:$A$2150,N$1,'United Data'!$C$3:$C$2150,$A370,'United Data'!$B$3:$B$2150,"&lt;&gt;P")&gt;0,1,0)</f>
        <v>0</v>
      </c>
      <c r="O370">
        <f>IF(COUNTIFS('United Data'!$A$3:$A$2150,O$1,'United Data'!$C$3:$C$2150,$A370,'United Data'!$B$3:$B$2150,"&lt;&gt;P")&gt;0,1,0)</f>
        <v>0</v>
      </c>
      <c r="P370">
        <f>IF(COUNTIFS('United Data'!$A$3:$A$2150,P$1,'United Data'!$C$3:$C$2150,$A370,'United Data'!$B$3:$B$2150,"&lt;&gt;P")&gt;0,1,0)</f>
        <v>0</v>
      </c>
      <c r="Q370">
        <f>IF(COUNTIFS('United Data'!$A$3:$A$2150,Q$1,'United Data'!$C$3:$C$2150,$A370,'United Data'!$B$3:$B$2150,"&lt;&gt;P")&gt;0,1,0)</f>
        <v>0</v>
      </c>
      <c r="R370">
        <f>IF(COUNTIFS('United Data'!$A$3:$A$2150,R$1,'United Data'!$C$3:$C$2150,$A370,'United Data'!$B$3:$B$2150,"&lt;&gt;P")&gt;0,1,0)</f>
        <v>0</v>
      </c>
      <c r="S370">
        <f t="shared" si="10"/>
        <v>1</v>
      </c>
      <c r="T370">
        <f t="shared" si="11"/>
        <v>1</v>
      </c>
    </row>
    <row r="371" spans="1:20" x14ac:dyDescent="0.2">
      <c r="A371" t="s">
        <v>416</v>
      </c>
      <c r="B371">
        <f>IF(COUNTIFS('United Data'!$A$3:$A$2150,B$1,'United Data'!$C$3:$C$2150,$A371,'United Data'!$B$3:$B$2150,"&lt;&gt;P")&gt;0,1,0)</f>
        <v>0</v>
      </c>
      <c r="C371">
        <f>IF(COUNTIFS('United Data'!$A$3:$A$2150,C$1,'United Data'!$C$3:$C$2150,$A371,'United Data'!$B$3:$B$2150,"&lt;&gt;P")&gt;0,1,0)</f>
        <v>0</v>
      </c>
      <c r="D371">
        <f>IF(COUNTIFS('United Data'!$A$3:$A$2150,D$1,'United Data'!$C$3:$C$2150,$A371,'United Data'!$B$3:$B$2150,"&lt;&gt;P")&gt;0,1,0)</f>
        <v>0</v>
      </c>
      <c r="E371">
        <f>IF(COUNTIFS('United Data'!$A$3:$A$2150,E$1,'United Data'!$C$3:$C$2150,$A371,'United Data'!$B$3:$B$2150,"&lt;&gt;P")&gt;0,1,0)</f>
        <v>0</v>
      </c>
      <c r="F371">
        <f>IF(COUNTIFS('United Data'!$A$3:$A$2150,F$1,'United Data'!$C$3:$C$2150,$A371,'United Data'!$B$3:$B$2150,"&lt;&gt;P")&gt;0,1,0)</f>
        <v>0</v>
      </c>
      <c r="G371">
        <f>IF(COUNTIFS('United Data'!$A$3:$A$2150,G$1,'United Data'!$C$3:$C$2150,$A371,'United Data'!$B$3:$B$2150,"&lt;&gt;P")&gt;0,1,0)</f>
        <v>0</v>
      </c>
      <c r="H371">
        <f>IF(COUNTIFS('United Data'!$A$3:$A$2150,H$1,'United Data'!$C$3:$C$2150,$A371,'United Data'!$B$3:$B$2150,"&lt;&gt;P")&gt;0,1,0)</f>
        <v>0</v>
      </c>
      <c r="I371">
        <f>IF(COUNTIFS('United Data'!$A$3:$A$2150,I$1,'United Data'!$C$3:$C$2150,$A371,'United Data'!$B$3:$B$2150,"&lt;&gt;P")&gt;0,1,0)</f>
        <v>1</v>
      </c>
      <c r="J371">
        <f>IF(COUNTIFS('United Data'!$A$3:$A$2150,J$1,'United Data'!$C$3:$C$2150,$A371,'United Data'!$B$3:$B$2150,"&lt;&gt;P")&gt;0,1,0)</f>
        <v>0</v>
      </c>
      <c r="K371">
        <f>IF(COUNTIFS('United Data'!$A$3:$A$2150,K$1,'United Data'!$C$3:$C$2150,$A371,'United Data'!$B$3:$B$2150,"&lt;&gt;P")&gt;0,1,0)</f>
        <v>0</v>
      </c>
      <c r="L371">
        <f>IF(COUNTIFS('United Data'!$A$3:$A$2150,L$1,'United Data'!$C$3:$C$2150,$A371,'United Data'!$B$3:$B$2150,"&lt;&gt;P")&gt;0,1,0)</f>
        <v>0</v>
      </c>
      <c r="M371">
        <f>IF(COUNTIFS('United Data'!$A$3:$A$2150,M$1,'United Data'!$C$3:$C$2150,$A371,'United Data'!$B$3:$B$2150,"&lt;&gt;P")&gt;0,1,0)</f>
        <v>0</v>
      </c>
      <c r="N371">
        <f>IF(COUNTIFS('United Data'!$A$3:$A$2150,N$1,'United Data'!$C$3:$C$2150,$A371,'United Data'!$B$3:$B$2150,"&lt;&gt;P")&gt;0,1,0)</f>
        <v>0</v>
      </c>
      <c r="O371">
        <f>IF(COUNTIFS('United Data'!$A$3:$A$2150,O$1,'United Data'!$C$3:$C$2150,$A371,'United Data'!$B$3:$B$2150,"&lt;&gt;P")&gt;0,1,0)</f>
        <v>0</v>
      </c>
      <c r="P371">
        <f>IF(COUNTIFS('United Data'!$A$3:$A$2150,P$1,'United Data'!$C$3:$C$2150,$A371,'United Data'!$B$3:$B$2150,"&lt;&gt;P")&gt;0,1,0)</f>
        <v>0</v>
      </c>
      <c r="Q371">
        <f>IF(COUNTIFS('United Data'!$A$3:$A$2150,Q$1,'United Data'!$C$3:$C$2150,$A371,'United Data'!$B$3:$B$2150,"&lt;&gt;P")&gt;0,1,0)</f>
        <v>0</v>
      </c>
      <c r="R371">
        <f>IF(COUNTIFS('United Data'!$A$3:$A$2150,R$1,'United Data'!$C$3:$C$2150,$A371,'United Data'!$B$3:$B$2150,"&lt;&gt;P")&gt;0,1,0)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417</v>
      </c>
      <c r="B372">
        <f>IF(COUNTIFS('United Data'!$A$3:$A$2150,B$1,'United Data'!$C$3:$C$2150,$A372,'United Data'!$B$3:$B$2150,"&lt;&gt;P")&gt;0,1,0)</f>
        <v>0</v>
      </c>
      <c r="C372">
        <f>IF(COUNTIFS('United Data'!$A$3:$A$2150,C$1,'United Data'!$C$3:$C$2150,$A372,'United Data'!$B$3:$B$2150,"&lt;&gt;P")&gt;0,1,0)</f>
        <v>0</v>
      </c>
      <c r="D372">
        <f>IF(COUNTIFS('United Data'!$A$3:$A$2150,D$1,'United Data'!$C$3:$C$2150,$A372,'United Data'!$B$3:$B$2150,"&lt;&gt;P")&gt;0,1,0)</f>
        <v>0</v>
      </c>
      <c r="E372">
        <f>IF(COUNTIFS('United Data'!$A$3:$A$2150,E$1,'United Data'!$C$3:$C$2150,$A372,'United Data'!$B$3:$B$2150,"&lt;&gt;P")&gt;0,1,0)</f>
        <v>0</v>
      </c>
      <c r="F372">
        <f>IF(COUNTIFS('United Data'!$A$3:$A$2150,F$1,'United Data'!$C$3:$C$2150,$A372,'United Data'!$B$3:$B$2150,"&lt;&gt;P")&gt;0,1,0)</f>
        <v>0</v>
      </c>
      <c r="G372">
        <f>IF(COUNTIFS('United Data'!$A$3:$A$2150,G$1,'United Data'!$C$3:$C$2150,$A372,'United Data'!$B$3:$B$2150,"&lt;&gt;P")&gt;0,1,0)</f>
        <v>0</v>
      </c>
      <c r="H372">
        <f>IF(COUNTIFS('United Data'!$A$3:$A$2150,H$1,'United Data'!$C$3:$C$2150,$A372,'United Data'!$B$3:$B$2150,"&lt;&gt;P")&gt;0,1,0)</f>
        <v>0</v>
      </c>
      <c r="I372">
        <f>IF(COUNTIFS('United Data'!$A$3:$A$2150,I$1,'United Data'!$C$3:$C$2150,$A372,'United Data'!$B$3:$B$2150,"&lt;&gt;P")&gt;0,1,0)</f>
        <v>1</v>
      </c>
      <c r="J372">
        <f>IF(COUNTIFS('United Data'!$A$3:$A$2150,J$1,'United Data'!$C$3:$C$2150,$A372,'United Data'!$B$3:$B$2150,"&lt;&gt;P")&gt;0,1,0)</f>
        <v>0</v>
      </c>
      <c r="K372">
        <f>IF(COUNTIFS('United Data'!$A$3:$A$2150,K$1,'United Data'!$C$3:$C$2150,$A372,'United Data'!$B$3:$B$2150,"&lt;&gt;P")&gt;0,1,0)</f>
        <v>0</v>
      </c>
      <c r="L372">
        <f>IF(COUNTIFS('United Data'!$A$3:$A$2150,L$1,'United Data'!$C$3:$C$2150,$A372,'United Data'!$B$3:$B$2150,"&lt;&gt;P")&gt;0,1,0)</f>
        <v>0</v>
      </c>
      <c r="M372">
        <f>IF(COUNTIFS('United Data'!$A$3:$A$2150,M$1,'United Data'!$C$3:$C$2150,$A372,'United Data'!$B$3:$B$2150,"&lt;&gt;P")&gt;0,1,0)</f>
        <v>0</v>
      </c>
      <c r="N372">
        <f>IF(COUNTIFS('United Data'!$A$3:$A$2150,N$1,'United Data'!$C$3:$C$2150,$A372,'United Data'!$B$3:$B$2150,"&lt;&gt;P")&gt;0,1,0)</f>
        <v>0</v>
      </c>
      <c r="O372">
        <f>IF(COUNTIFS('United Data'!$A$3:$A$2150,O$1,'United Data'!$C$3:$C$2150,$A372,'United Data'!$B$3:$B$2150,"&lt;&gt;P")&gt;0,1,0)</f>
        <v>0</v>
      </c>
      <c r="P372">
        <f>IF(COUNTIFS('United Data'!$A$3:$A$2150,P$1,'United Data'!$C$3:$C$2150,$A372,'United Data'!$B$3:$B$2150,"&lt;&gt;P")&gt;0,1,0)</f>
        <v>0</v>
      </c>
      <c r="Q372">
        <f>IF(COUNTIFS('United Data'!$A$3:$A$2150,Q$1,'United Data'!$C$3:$C$2150,$A372,'United Data'!$B$3:$B$2150,"&lt;&gt;P")&gt;0,1,0)</f>
        <v>0</v>
      </c>
      <c r="R372">
        <f>IF(COUNTIFS('United Data'!$A$3:$A$2150,R$1,'United Data'!$C$3:$C$2150,$A372,'United Data'!$B$3:$B$2150,"&lt;&gt;P")&gt;0,1,0)</f>
        <v>0</v>
      </c>
      <c r="S372">
        <f t="shared" si="10"/>
        <v>1</v>
      </c>
      <c r="T372">
        <f t="shared" si="11"/>
        <v>1</v>
      </c>
    </row>
    <row r="373" spans="1:20" x14ac:dyDescent="0.2">
      <c r="A373" t="s">
        <v>418</v>
      </c>
      <c r="B373">
        <f>IF(COUNTIFS('United Data'!$A$3:$A$2150,B$1,'United Data'!$C$3:$C$2150,$A373,'United Data'!$B$3:$B$2150,"&lt;&gt;P")&gt;0,1,0)</f>
        <v>0</v>
      </c>
      <c r="C373">
        <f>IF(COUNTIFS('United Data'!$A$3:$A$2150,C$1,'United Data'!$C$3:$C$2150,$A373,'United Data'!$B$3:$B$2150,"&lt;&gt;P")&gt;0,1,0)</f>
        <v>0</v>
      </c>
      <c r="D373">
        <f>IF(COUNTIFS('United Data'!$A$3:$A$2150,D$1,'United Data'!$C$3:$C$2150,$A373,'United Data'!$B$3:$B$2150,"&lt;&gt;P")&gt;0,1,0)</f>
        <v>0</v>
      </c>
      <c r="E373">
        <f>IF(COUNTIFS('United Data'!$A$3:$A$2150,E$1,'United Data'!$C$3:$C$2150,$A373,'United Data'!$B$3:$B$2150,"&lt;&gt;P")&gt;0,1,0)</f>
        <v>0</v>
      </c>
      <c r="F373">
        <f>IF(COUNTIFS('United Data'!$A$3:$A$2150,F$1,'United Data'!$C$3:$C$2150,$A373,'United Data'!$B$3:$B$2150,"&lt;&gt;P")&gt;0,1,0)</f>
        <v>0</v>
      </c>
      <c r="G373">
        <f>IF(COUNTIFS('United Data'!$A$3:$A$2150,G$1,'United Data'!$C$3:$C$2150,$A373,'United Data'!$B$3:$B$2150,"&lt;&gt;P")&gt;0,1,0)</f>
        <v>0</v>
      </c>
      <c r="H373">
        <f>IF(COUNTIFS('United Data'!$A$3:$A$2150,H$1,'United Data'!$C$3:$C$2150,$A373,'United Data'!$B$3:$B$2150,"&lt;&gt;P")&gt;0,1,0)</f>
        <v>0</v>
      </c>
      <c r="I373">
        <f>IF(COUNTIFS('United Data'!$A$3:$A$2150,I$1,'United Data'!$C$3:$C$2150,$A373,'United Data'!$B$3:$B$2150,"&lt;&gt;P")&gt;0,1,0)</f>
        <v>1</v>
      </c>
      <c r="J373">
        <f>IF(COUNTIFS('United Data'!$A$3:$A$2150,J$1,'United Data'!$C$3:$C$2150,$A373,'United Data'!$B$3:$B$2150,"&lt;&gt;P")&gt;0,1,0)</f>
        <v>0</v>
      </c>
      <c r="K373">
        <f>IF(COUNTIFS('United Data'!$A$3:$A$2150,K$1,'United Data'!$C$3:$C$2150,$A373,'United Data'!$B$3:$B$2150,"&lt;&gt;P")&gt;0,1,0)</f>
        <v>0</v>
      </c>
      <c r="L373">
        <f>IF(COUNTIFS('United Data'!$A$3:$A$2150,L$1,'United Data'!$C$3:$C$2150,$A373,'United Data'!$B$3:$B$2150,"&lt;&gt;P")&gt;0,1,0)</f>
        <v>0</v>
      </c>
      <c r="M373">
        <f>IF(COUNTIFS('United Data'!$A$3:$A$2150,M$1,'United Data'!$C$3:$C$2150,$A373,'United Data'!$B$3:$B$2150,"&lt;&gt;P")&gt;0,1,0)</f>
        <v>0</v>
      </c>
      <c r="N373">
        <f>IF(COUNTIFS('United Data'!$A$3:$A$2150,N$1,'United Data'!$C$3:$C$2150,$A373,'United Data'!$B$3:$B$2150,"&lt;&gt;P")&gt;0,1,0)</f>
        <v>0</v>
      </c>
      <c r="O373">
        <f>IF(COUNTIFS('United Data'!$A$3:$A$2150,O$1,'United Data'!$C$3:$C$2150,$A373,'United Data'!$B$3:$B$2150,"&lt;&gt;P")&gt;0,1,0)</f>
        <v>0</v>
      </c>
      <c r="P373">
        <f>IF(COUNTIFS('United Data'!$A$3:$A$2150,P$1,'United Data'!$C$3:$C$2150,$A373,'United Data'!$B$3:$B$2150,"&lt;&gt;P")&gt;0,1,0)</f>
        <v>0</v>
      </c>
      <c r="Q373">
        <f>IF(COUNTIFS('United Data'!$A$3:$A$2150,Q$1,'United Data'!$C$3:$C$2150,$A373,'United Data'!$B$3:$B$2150,"&lt;&gt;P")&gt;0,1,0)</f>
        <v>0</v>
      </c>
      <c r="R373">
        <f>IF(COUNTIFS('United Data'!$A$3:$A$2150,R$1,'United Data'!$C$3:$C$2150,$A373,'United Data'!$B$3:$B$2150,"&lt;&gt;P")&gt;0,1,0)</f>
        <v>0</v>
      </c>
      <c r="S373">
        <f t="shared" si="10"/>
        <v>1</v>
      </c>
      <c r="T373">
        <f t="shared" si="11"/>
        <v>1</v>
      </c>
    </row>
    <row r="374" spans="1:20" x14ac:dyDescent="0.2">
      <c r="A374" t="s">
        <v>419</v>
      </c>
      <c r="B374">
        <f>IF(COUNTIFS('United Data'!$A$3:$A$2150,B$1,'United Data'!$C$3:$C$2150,$A374,'United Data'!$B$3:$B$2150,"&lt;&gt;P")&gt;0,1,0)</f>
        <v>0</v>
      </c>
      <c r="C374">
        <f>IF(COUNTIFS('United Data'!$A$3:$A$2150,C$1,'United Data'!$C$3:$C$2150,$A374,'United Data'!$B$3:$B$2150,"&lt;&gt;P")&gt;0,1,0)</f>
        <v>0</v>
      </c>
      <c r="D374">
        <f>IF(COUNTIFS('United Data'!$A$3:$A$2150,D$1,'United Data'!$C$3:$C$2150,$A374,'United Data'!$B$3:$B$2150,"&lt;&gt;P")&gt;0,1,0)</f>
        <v>0</v>
      </c>
      <c r="E374">
        <f>IF(COUNTIFS('United Data'!$A$3:$A$2150,E$1,'United Data'!$C$3:$C$2150,$A374,'United Data'!$B$3:$B$2150,"&lt;&gt;P")&gt;0,1,0)</f>
        <v>0</v>
      </c>
      <c r="F374">
        <f>IF(COUNTIFS('United Data'!$A$3:$A$2150,F$1,'United Data'!$C$3:$C$2150,$A374,'United Data'!$B$3:$B$2150,"&lt;&gt;P")&gt;0,1,0)</f>
        <v>0</v>
      </c>
      <c r="G374">
        <f>IF(COUNTIFS('United Data'!$A$3:$A$2150,G$1,'United Data'!$C$3:$C$2150,$A374,'United Data'!$B$3:$B$2150,"&lt;&gt;P")&gt;0,1,0)</f>
        <v>0</v>
      </c>
      <c r="H374">
        <f>IF(COUNTIFS('United Data'!$A$3:$A$2150,H$1,'United Data'!$C$3:$C$2150,$A374,'United Data'!$B$3:$B$2150,"&lt;&gt;P")&gt;0,1,0)</f>
        <v>0</v>
      </c>
      <c r="I374">
        <f>IF(COUNTIFS('United Data'!$A$3:$A$2150,I$1,'United Data'!$C$3:$C$2150,$A374,'United Data'!$B$3:$B$2150,"&lt;&gt;P")&gt;0,1,0)</f>
        <v>1</v>
      </c>
      <c r="J374">
        <f>IF(COUNTIFS('United Data'!$A$3:$A$2150,J$1,'United Data'!$C$3:$C$2150,$A374,'United Data'!$B$3:$B$2150,"&lt;&gt;P")&gt;0,1,0)</f>
        <v>0</v>
      </c>
      <c r="K374">
        <f>IF(COUNTIFS('United Data'!$A$3:$A$2150,K$1,'United Data'!$C$3:$C$2150,$A374,'United Data'!$B$3:$B$2150,"&lt;&gt;P")&gt;0,1,0)</f>
        <v>0</v>
      </c>
      <c r="L374">
        <f>IF(COUNTIFS('United Data'!$A$3:$A$2150,L$1,'United Data'!$C$3:$C$2150,$A374,'United Data'!$B$3:$B$2150,"&lt;&gt;P")&gt;0,1,0)</f>
        <v>0</v>
      </c>
      <c r="M374">
        <f>IF(COUNTIFS('United Data'!$A$3:$A$2150,M$1,'United Data'!$C$3:$C$2150,$A374,'United Data'!$B$3:$B$2150,"&lt;&gt;P")&gt;0,1,0)</f>
        <v>0</v>
      </c>
      <c r="N374">
        <f>IF(COUNTIFS('United Data'!$A$3:$A$2150,N$1,'United Data'!$C$3:$C$2150,$A374,'United Data'!$B$3:$B$2150,"&lt;&gt;P")&gt;0,1,0)</f>
        <v>0</v>
      </c>
      <c r="O374">
        <f>IF(COUNTIFS('United Data'!$A$3:$A$2150,O$1,'United Data'!$C$3:$C$2150,$A374,'United Data'!$B$3:$B$2150,"&lt;&gt;P")&gt;0,1,0)</f>
        <v>0</v>
      </c>
      <c r="P374">
        <f>IF(COUNTIFS('United Data'!$A$3:$A$2150,P$1,'United Data'!$C$3:$C$2150,$A374,'United Data'!$B$3:$B$2150,"&lt;&gt;P")&gt;0,1,0)</f>
        <v>0</v>
      </c>
      <c r="Q374">
        <f>IF(COUNTIFS('United Data'!$A$3:$A$2150,Q$1,'United Data'!$C$3:$C$2150,$A374,'United Data'!$B$3:$B$2150,"&lt;&gt;P")&gt;0,1,0)</f>
        <v>0</v>
      </c>
      <c r="R374">
        <f>IF(COUNTIFS('United Data'!$A$3:$A$2150,R$1,'United Data'!$C$3:$C$2150,$A374,'United Data'!$B$3:$B$2150,"&lt;&gt;P")&gt;0,1,0)</f>
        <v>0</v>
      </c>
      <c r="S374">
        <f t="shared" si="10"/>
        <v>1</v>
      </c>
      <c r="T374">
        <f t="shared" si="11"/>
        <v>1</v>
      </c>
    </row>
    <row r="375" spans="1:20" x14ac:dyDescent="0.2">
      <c r="A375" t="s">
        <v>420</v>
      </c>
      <c r="B375">
        <f>IF(COUNTIFS('United Data'!$A$3:$A$2150,B$1,'United Data'!$C$3:$C$2150,$A375,'United Data'!$B$3:$B$2150,"&lt;&gt;P")&gt;0,1,0)</f>
        <v>0</v>
      </c>
      <c r="C375">
        <f>IF(COUNTIFS('United Data'!$A$3:$A$2150,C$1,'United Data'!$C$3:$C$2150,$A375,'United Data'!$B$3:$B$2150,"&lt;&gt;P")&gt;0,1,0)</f>
        <v>0</v>
      </c>
      <c r="D375">
        <f>IF(COUNTIFS('United Data'!$A$3:$A$2150,D$1,'United Data'!$C$3:$C$2150,$A375,'United Data'!$B$3:$B$2150,"&lt;&gt;P")&gt;0,1,0)</f>
        <v>0</v>
      </c>
      <c r="E375">
        <f>IF(COUNTIFS('United Data'!$A$3:$A$2150,E$1,'United Data'!$C$3:$C$2150,$A375,'United Data'!$B$3:$B$2150,"&lt;&gt;P")&gt;0,1,0)</f>
        <v>0</v>
      </c>
      <c r="F375">
        <f>IF(COUNTIFS('United Data'!$A$3:$A$2150,F$1,'United Data'!$C$3:$C$2150,$A375,'United Data'!$B$3:$B$2150,"&lt;&gt;P")&gt;0,1,0)</f>
        <v>0</v>
      </c>
      <c r="G375">
        <f>IF(COUNTIFS('United Data'!$A$3:$A$2150,G$1,'United Data'!$C$3:$C$2150,$A375,'United Data'!$B$3:$B$2150,"&lt;&gt;P")&gt;0,1,0)</f>
        <v>0</v>
      </c>
      <c r="H375">
        <f>IF(COUNTIFS('United Data'!$A$3:$A$2150,H$1,'United Data'!$C$3:$C$2150,$A375,'United Data'!$B$3:$B$2150,"&lt;&gt;P")&gt;0,1,0)</f>
        <v>0</v>
      </c>
      <c r="I375">
        <f>IF(COUNTIFS('United Data'!$A$3:$A$2150,I$1,'United Data'!$C$3:$C$2150,$A375,'United Data'!$B$3:$B$2150,"&lt;&gt;P")&gt;0,1,0)</f>
        <v>0</v>
      </c>
      <c r="J375">
        <f>IF(COUNTIFS('United Data'!$A$3:$A$2150,J$1,'United Data'!$C$3:$C$2150,$A375,'United Data'!$B$3:$B$2150,"&lt;&gt;P")&gt;0,1,0)</f>
        <v>1</v>
      </c>
      <c r="K375">
        <f>IF(COUNTIFS('United Data'!$A$3:$A$2150,K$1,'United Data'!$C$3:$C$2150,$A375,'United Data'!$B$3:$B$2150,"&lt;&gt;P")&gt;0,1,0)</f>
        <v>0</v>
      </c>
      <c r="L375">
        <f>IF(COUNTIFS('United Data'!$A$3:$A$2150,L$1,'United Data'!$C$3:$C$2150,$A375,'United Data'!$B$3:$B$2150,"&lt;&gt;P")&gt;0,1,0)</f>
        <v>0</v>
      </c>
      <c r="M375">
        <f>IF(COUNTIFS('United Data'!$A$3:$A$2150,M$1,'United Data'!$C$3:$C$2150,$A375,'United Data'!$B$3:$B$2150,"&lt;&gt;P")&gt;0,1,0)</f>
        <v>0</v>
      </c>
      <c r="N375">
        <f>IF(COUNTIFS('United Data'!$A$3:$A$2150,N$1,'United Data'!$C$3:$C$2150,$A375,'United Data'!$B$3:$B$2150,"&lt;&gt;P")&gt;0,1,0)</f>
        <v>0</v>
      </c>
      <c r="O375">
        <f>IF(COUNTIFS('United Data'!$A$3:$A$2150,O$1,'United Data'!$C$3:$C$2150,$A375,'United Data'!$B$3:$B$2150,"&lt;&gt;P")&gt;0,1,0)</f>
        <v>0</v>
      </c>
      <c r="P375">
        <f>IF(COUNTIFS('United Data'!$A$3:$A$2150,P$1,'United Data'!$C$3:$C$2150,$A375,'United Data'!$B$3:$B$2150,"&lt;&gt;P")&gt;0,1,0)</f>
        <v>0</v>
      </c>
      <c r="Q375">
        <f>IF(COUNTIFS('United Data'!$A$3:$A$2150,Q$1,'United Data'!$C$3:$C$2150,$A375,'United Data'!$B$3:$B$2150,"&lt;&gt;P")&gt;0,1,0)</f>
        <v>0</v>
      </c>
      <c r="R375">
        <f>IF(COUNTIFS('United Data'!$A$3:$A$2150,R$1,'United Data'!$C$3:$C$2150,$A375,'United Data'!$B$3:$B$2150,"&lt;&gt;P")&gt;0,1,0)</f>
        <v>0</v>
      </c>
      <c r="S375">
        <f t="shared" si="10"/>
        <v>1</v>
      </c>
      <c r="T375">
        <f t="shared" si="11"/>
        <v>1</v>
      </c>
    </row>
    <row r="376" spans="1:20" x14ac:dyDescent="0.2">
      <c r="A376" t="s">
        <v>421</v>
      </c>
      <c r="B376">
        <f>IF(COUNTIFS('United Data'!$A$3:$A$2150,B$1,'United Data'!$C$3:$C$2150,$A376,'United Data'!$B$3:$B$2150,"&lt;&gt;P")&gt;0,1,0)</f>
        <v>0</v>
      </c>
      <c r="C376">
        <f>IF(COUNTIFS('United Data'!$A$3:$A$2150,C$1,'United Data'!$C$3:$C$2150,$A376,'United Data'!$B$3:$B$2150,"&lt;&gt;P")&gt;0,1,0)</f>
        <v>0</v>
      </c>
      <c r="D376">
        <f>IF(COUNTIFS('United Data'!$A$3:$A$2150,D$1,'United Data'!$C$3:$C$2150,$A376,'United Data'!$B$3:$B$2150,"&lt;&gt;P")&gt;0,1,0)</f>
        <v>0</v>
      </c>
      <c r="E376">
        <f>IF(COUNTIFS('United Data'!$A$3:$A$2150,E$1,'United Data'!$C$3:$C$2150,$A376,'United Data'!$B$3:$B$2150,"&lt;&gt;P")&gt;0,1,0)</f>
        <v>0</v>
      </c>
      <c r="F376">
        <f>IF(COUNTIFS('United Data'!$A$3:$A$2150,F$1,'United Data'!$C$3:$C$2150,$A376,'United Data'!$B$3:$B$2150,"&lt;&gt;P")&gt;0,1,0)</f>
        <v>0</v>
      </c>
      <c r="G376">
        <f>IF(COUNTIFS('United Data'!$A$3:$A$2150,G$1,'United Data'!$C$3:$C$2150,$A376,'United Data'!$B$3:$B$2150,"&lt;&gt;P")&gt;0,1,0)</f>
        <v>0</v>
      </c>
      <c r="H376">
        <f>IF(COUNTIFS('United Data'!$A$3:$A$2150,H$1,'United Data'!$C$3:$C$2150,$A376,'United Data'!$B$3:$B$2150,"&lt;&gt;P")&gt;0,1,0)</f>
        <v>0</v>
      </c>
      <c r="I376">
        <f>IF(COUNTIFS('United Data'!$A$3:$A$2150,I$1,'United Data'!$C$3:$C$2150,$A376,'United Data'!$B$3:$B$2150,"&lt;&gt;P")&gt;0,1,0)</f>
        <v>0</v>
      </c>
      <c r="J376">
        <f>IF(COUNTIFS('United Data'!$A$3:$A$2150,J$1,'United Data'!$C$3:$C$2150,$A376,'United Data'!$B$3:$B$2150,"&lt;&gt;P")&gt;0,1,0)</f>
        <v>1</v>
      </c>
      <c r="K376">
        <f>IF(COUNTIFS('United Data'!$A$3:$A$2150,K$1,'United Data'!$C$3:$C$2150,$A376,'United Data'!$B$3:$B$2150,"&lt;&gt;P")&gt;0,1,0)</f>
        <v>1</v>
      </c>
      <c r="L376">
        <f>IF(COUNTIFS('United Data'!$A$3:$A$2150,L$1,'United Data'!$C$3:$C$2150,$A376,'United Data'!$B$3:$B$2150,"&lt;&gt;P")&gt;0,1,0)</f>
        <v>0</v>
      </c>
      <c r="M376">
        <f>IF(COUNTIFS('United Data'!$A$3:$A$2150,M$1,'United Data'!$C$3:$C$2150,$A376,'United Data'!$B$3:$B$2150,"&lt;&gt;P")&gt;0,1,0)</f>
        <v>0</v>
      </c>
      <c r="N376">
        <f>IF(COUNTIFS('United Data'!$A$3:$A$2150,N$1,'United Data'!$C$3:$C$2150,$A376,'United Data'!$B$3:$B$2150,"&lt;&gt;P")&gt;0,1,0)</f>
        <v>0</v>
      </c>
      <c r="O376">
        <f>IF(COUNTIFS('United Data'!$A$3:$A$2150,O$1,'United Data'!$C$3:$C$2150,$A376,'United Data'!$B$3:$B$2150,"&lt;&gt;P")&gt;0,1,0)</f>
        <v>0</v>
      </c>
      <c r="P376">
        <f>IF(COUNTIFS('United Data'!$A$3:$A$2150,P$1,'United Data'!$C$3:$C$2150,$A376,'United Data'!$B$3:$B$2150,"&lt;&gt;P")&gt;0,1,0)</f>
        <v>0</v>
      </c>
      <c r="Q376">
        <f>IF(COUNTIFS('United Data'!$A$3:$A$2150,Q$1,'United Data'!$C$3:$C$2150,$A376,'United Data'!$B$3:$B$2150,"&lt;&gt;P")&gt;0,1,0)</f>
        <v>0</v>
      </c>
      <c r="R376">
        <f>IF(COUNTIFS('United Data'!$A$3:$A$2150,R$1,'United Data'!$C$3:$C$2150,$A376,'United Data'!$B$3:$B$2150,"&lt;&gt;P")&gt;0,1,0)</f>
        <v>0</v>
      </c>
      <c r="S376">
        <f t="shared" si="10"/>
        <v>2</v>
      </c>
      <c r="T376">
        <f t="shared" si="11"/>
        <v>1</v>
      </c>
    </row>
    <row r="377" spans="1:20" x14ac:dyDescent="0.2">
      <c r="A377" t="s">
        <v>422</v>
      </c>
      <c r="B377">
        <f>IF(COUNTIFS('United Data'!$A$3:$A$2150,B$1,'United Data'!$C$3:$C$2150,$A377,'United Data'!$B$3:$B$2150,"&lt;&gt;P")&gt;0,1,0)</f>
        <v>0</v>
      </c>
      <c r="C377">
        <f>IF(COUNTIFS('United Data'!$A$3:$A$2150,C$1,'United Data'!$C$3:$C$2150,$A377,'United Data'!$B$3:$B$2150,"&lt;&gt;P")&gt;0,1,0)</f>
        <v>0</v>
      </c>
      <c r="D377">
        <f>IF(COUNTIFS('United Data'!$A$3:$A$2150,D$1,'United Data'!$C$3:$C$2150,$A377,'United Data'!$B$3:$B$2150,"&lt;&gt;P")&gt;0,1,0)</f>
        <v>0</v>
      </c>
      <c r="E377">
        <f>IF(COUNTIFS('United Data'!$A$3:$A$2150,E$1,'United Data'!$C$3:$C$2150,$A377,'United Data'!$B$3:$B$2150,"&lt;&gt;P")&gt;0,1,0)</f>
        <v>0</v>
      </c>
      <c r="F377">
        <f>IF(COUNTIFS('United Data'!$A$3:$A$2150,F$1,'United Data'!$C$3:$C$2150,$A377,'United Data'!$B$3:$B$2150,"&lt;&gt;P")&gt;0,1,0)</f>
        <v>0</v>
      </c>
      <c r="G377">
        <f>IF(COUNTIFS('United Data'!$A$3:$A$2150,G$1,'United Data'!$C$3:$C$2150,$A377,'United Data'!$B$3:$B$2150,"&lt;&gt;P")&gt;0,1,0)</f>
        <v>0</v>
      </c>
      <c r="H377">
        <f>IF(COUNTIFS('United Data'!$A$3:$A$2150,H$1,'United Data'!$C$3:$C$2150,$A377,'United Data'!$B$3:$B$2150,"&lt;&gt;P")&gt;0,1,0)</f>
        <v>0</v>
      </c>
      <c r="I377">
        <f>IF(COUNTIFS('United Data'!$A$3:$A$2150,I$1,'United Data'!$C$3:$C$2150,$A377,'United Data'!$B$3:$B$2150,"&lt;&gt;P")&gt;0,1,0)</f>
        <v>0</v>
      </c>
      <c r="J377">
        <f>IF(COUNTIFS('United Data'!$A$3:$A$2150,J$1,'United Data'!$C$3:$C$2150,$A377,'United Data'!$B$3:$B$2150,"&lt;&gt;P")&gt;0,1,0)</f>
        <v>1</v>
      </c>
      <c r="K377">
        <f>IF(COUNTIFS('United Data'!$A$3:$A$2150,K$1,'United Data'!$C$3:$C$2150,$A377,'United Data'!$B$3:$B$2150,"&lt;&gt;P")&gt;0,1,0)</f>
        <v>0</v>
      </c>
      <c r="L377">
        <f>IF(COUNTIFS('United Data'!$A$3:$A$2150,L$1,'United Data'!$C$3:$C$2150,$A377,'United Data'!$B$3:$B$2150,"&lt;&gt;P")&gt;0,1,0)</f>
        <v>0</v>
      </c>
      <c r="M377">
        <f>IF(COUNTIFS('United Data'!$A$3:$A$2150,M$1,'United Data'!$C$3:$C$2150,$A377,'United Data'!$B$3:$B$2150,"&lt;&gt;P")&gt;0,1,0)</f>
        <v>0</v>
      </c>
      <c r="N377">
        <f>IF(COUNTIFS('United Data'!$A$3:$A$2150,N$1,'United Data'!$C$3:$C$2150,$A377,'United Data'!$B$3:$B$2150,"&lt;&gt;P")&gt;0,1,0)</f>
        <v>0</v>
      </c>
      <c r="O377">
        <f>IF(COUNTIFS('United Data'!$A$3:$A$2150,O$1,'United Data'!$C$3:$C$2150,$A377,'United Data'!$B$3:$B$2150,"&lt;&gt;P")&gt;0,1,0)</f>
        <v>0</v>
      </c>
      <c r="P377">
        <f>IF(COUNTIFS('United Data'!$A$3:$A$2150,P$1,'United Data'!$C$3:$C$2150,$A377,'United Data'!$B$3:$B$2150,"&lt;&gt;P")&gt;0,1,0)</f>
        <v>0</v>
      </c>
      <c r="Q377">
        <f>IF(COUNTIFS('United Data'!$A$3:$A$2150,Q$1,'United Data'!$C$3:$C$2150,$A377,'United Data'!$B$3:$B$2150,"&lt;&gt;P")&gt;0,1,0)</f>
        <v>0</v>
      </c>
      <c r="R377">
        <f>IF(COUNTIFS('United Data'!$A$3:$A$2150,R$1,'United Data'!$C$3:$C$2150,$A377,'United Data'!$B$3:$B$2150,"&lt;&gt;P")&gt;0,1,0)</f>
        <v>0</v>
      </c>
      <c r="S377">
        <f t="shared" si="10"/>
        <v>1</v>
      </c>
      <c r="T377">
        <f t="shared" si="11"/>
        <v>1</v>
      </c>
    </row>
    <row r="378" spans="1:20" x14ac:dyDescent="0.2">
      <c r="A378" t="s">
        <v>423</v>
      </c>
      <c r="B378">
        <f>IF(COUNTIFS('United Data'!$A$3:$A$2150,B$1,'United Data'!$C$3:$C$2150,$A378,'United Data'!$B$3:$B$2150,"&lt;&gt;P")&gt;0,1,0)</f>
        <v>0</v>
      </c>
      <c r="C378">
        <f>IF(COUNTIFS('United Data'!$A$3:$A$2150,C$1,'United Data'!$C$3:$C$2150,$A378,'United Data'!$B$3:$B$2150,"&lt;&gt;P")&gt;0,1,0)</f>
        <v>0</v>
      </c>
      <c r="D378">
        <f>IF(COUNTIFS('United Data'!$A$3:$A$2150,D$1,'United Data'!$C$3:$C$2150,$A378,'United Data'!$B$3:$B$2150,"&lt;&gt;P")&gt;0,1,0)</f>
        <v>0</v>
      </c>
      <c r="E378">
        <f>IF(COUNTIFS('United Data'!$A$3:$A$2150,E$1,'United Data'!$C$3:$C$2150,$A378,'United Data'!$B$3:$B$2150,"&lt;&gt;P")&gt;0,1,0)</f>
        <v>0</v>
      </c>
      <c r="F378">
        <f>IF(COUNTIFS('United Data'!$A$3:$A$2150,F$1,'United Data'!$C$3:$C$2150,$A378,'United Data'!$B$3:$B$2150,"&lt;&gt;P")&gt;0,1,0)</f>
        <v>0</v>
      </c>
      <c r="G378">
        <f>IF(COUNTIFS('United Data'!$A$3:$A$2150,G$1,'United Data'!$C$3:$C$2150,$A378,'United Data'!$B$3:$B$2150,"&lt;&gt;P")&gt;0,1,0)</f>
        <v>0</v>
      </c>
      <c r="H378">
        <f>IF(COUNTIFS('United Data'!$A$3:$A$2150,H$1,'United Data'!$C$3:$C$2150,$A378,'United Data'!$B$3:$B$2150,"&lt;&gt;P")&gt;0,1,0)</f>
        <v>0</v>
      </c>
      <c r="I378">
        <f>IF(COUNTIFS('United Data'!$A$3:$A$2150,I$1,'United Data'!$C$3:$C$2150,$A378,'United Data'!$B$3:$B$2150,"&lt;&gt;P")&gt;0,1,0)</f>
        <v>0</v>
      </c>
      <c r="J378">
        <f>IF(COUNTIFS('United Data'!$A$3:$A$2150,J$1,'United Data'!$C$3:$C$2150,$A378,'United Data'!$B$3:$B$2150,"&lt;&gt;P")&gt;0,1,0)</f>
        <v>1</v>
      </c>
      <c r="K378">
        <f>IF(COUNTIFS('United Data'!$A$3:$A$2150,K$1,'United Data'!$C$3:$C$2150,$A378,'United Data'!$B$3:$B$2150,"&lt;&gt;P")&gt;0,1,0)</f>
        <v>1</v>
      </c>
      <c r="L378">
        <f>IF(COUNTIFS('United Data'!$A$3:$A$2150,L$1,'United Data'!$C$3:$C$2150,$A378,'United Data'!$B$3:$B$2150,"&lt;&gt;P")&gt;0,1,0)</f>
        <v>0</v>
      </c>
      <c r="M378">
        <f>IF(COUNTIFS('United Data'!$A$3:$A$2150,M$1,'United Data'!$C$3:$C$2150,$A378,'United Data'!$B$3:$B$2150,"&lt;&gt;P")&gt;0,1,0)</f>
        <v>0</v>
      </c>
      <c r="N378">
        <f>IF(COUNTIFS('United Data'!$A$3:$A$2150,N$1,'United Data'!$C$3:$C$2150,$A378,'United Data'!$B$3:$B$2150,"&lt;&gt;P")&gt;0,1,0)</f>
        <v>0</v>
      </c>
      <c r="O378">
        <f>IF(COUNTIFS('United Data'!$A$3:$A$2150,O$1,'United Data'!$C$3:$C$2150,$A378,'United Data'!$B$3:$B$2150,"&lt;&gt;P")&gt;0,1,0)</f>
        <v>0</v>
      </c>
      <c r="P378">
        <f>IF(COUNTIFS('United Data'!$A$3:$A$2150,P$1,'United Data'!$C$3:$C$2150,$A378,'United Data'!$B$3:$B$2150,"&lt;&gt;P")&gt;0,1,0)</f>
        <v>0</v>
      </c>
      <c r="Q378">
        <f>IF(COUNTIFS('United Data'!$A$3:$A$2150,Q$1,'United Data'!$C$3:$C$2150,$A378,'United Data'!$B$3:$B$2150,"&lt;&gt;P")&gt;0,1,0)</f>
        <v>0</v>
      </c>
      <c r="R378">
        <f>IF(COUNTIFS('United Data'!$A$3:$A$2150,R$1,'United Data'!$C$3:$C$2150,$A378,'United Data'!$B$3:$B$2150,"&lt;&gt;P")&gt;0,1,0)</f>
        <v>0</v>
      </c>
      <c r="S378">
        <f t="shared" si="10"/>
        <v>2</v>
      </c>
      <c r="T378">
        <f t="shared" si="11"/>
        <v>1</v>
      </c>
    </row>
    <row r="379" spans="1:20" x14ac:dyDescent="0.2">
      <c r="A379" t="s">
        <v>424</v>
      </c>
      <c r="B379">
        <f>IF(COUNTIFS('United Data'!$A$3:$A$2150,B$1,'United Data'!$C$3:$C$2150,$A379,'United Data'!$B$3:$B$2150,"&lt;&gt;P")&gt;0,1,0)</f>
        <v>0</v>
      </c>
      <c r="C379">
        <f>IF(COUNTIFS('United Data'!$A$3:$A$2150,C$1,'United Data'!$C$3:$C$2150,$A379,'United Data'!$B$3:$B$2150,"&lt;&gt;P")&gt;0,1,0)</f>
        <v>0</v>
      </c>
      <c r="D379">
        <f>IF(COUNTIFS('United Data'!$A$3:$A$2150,D$1,'United Data'!$C$3:$C$2150,$A379,'United Data'!$B$3:$B$2150,"&lt;&gt;P")&gt;0,1,0)</f>
        <v>0</v>
      </c>
      <c r="E379">
        <f>IF(COUNTIFS('United Data'!$A$3:$A$2150,E$1,'United Data'!$C$3:$C$2150,$A379,'United Data'!$B$3:$B$2150,"&lt;&gt;P")&gt;0,1,0)</f>
        <v>0</v>
      </c>
      <c r="F379">
        <f>IF(COUNTIFS('United Data'!$A$3:$A$2150,F$1,'United Data'!$C$3:$C$2150,$A379,'United Data'!$B$3:$B$2150,"&lt;&gt;P")&gt;0,1,0)</f>
        <v>0</v>
      </c>
      <c r="G379">
        <f>IF(COUNTIFS('United Data'!$A$3:$A$2150,G$1,'United Data'!$C$3:$C$2150,$A379,'United Data'!$B$3:$B$2150,"&lt;&gt;P")&gt;0,1,0)</f>
        <v>0</v>
      </c>
      <c r="H379">
        <f>IF(COUNTIFS('United Data'!$A$3:$A$2150,H$1,'United Data'!$C$3:$C$2150,$A379,'United Data'!$B$3:$B$2150,"&lt;&gt;P")&gt;0,1,0)</f>
        <v>0</v>
      </c>
      <c r="I379">
        <f>IF(COUNTIFS('United Data'!$A$3:$A$2150,I$1,'United Data'!$C$3:$C$2150,$A379,'United Data'!$B$3:$B$2150,"&lt;&gt;P")&gt;0,1,0)</f>
        <v>0</v>
      </c>
      <c r="J379">
        <f>IF(COUNTIFS('United Data'!$A$3:$A$2150,J$1,'United Data'!$C$3:$C$2150,$A379,'United Data'!$B$3:$B$2150,"&lt;&gt;P")&gt;0,1,0)</f>
        <v>1</v>
      </c>
      <c r="K379">
        <f>IF(COUNTIFS('United Data'!$A$3:$A$2150,K$1,'United Data'!$C$3:$C$2150,$A379,'United Data'!$B$3:$B$2150,"&lt;&gt;P")&gt;0,1,0)</f>
        <v>0</v>
      </c>
      <c r="L379">
        <f>IF(COUNTIFS('United Data'!$A$3:$A$2150,L$1,'United Data'!$C$3:$C$2150,$A379,'United Data'!$B$3:$B$2150,"&lt;&gt;P")&gt;0,1,0)</f>
        <v>0</v>
      </c>
      <c r="M379">
        <f>IF(COUNTIFS('United Data'!$A$3:$A$2150,M$1,'United Data'!$C$3:$C$2150,$A379,'United Data'!$B$3:$B$2150,"&lt;&gt;P")&gt;0,1,0)</f>
        <v>0</v>
      </c>
      <c r="N379">
        <f>IF(COUNTIFS('United Data'!$A$3:$A$2150,N$1,'United Data'!$C$3:$C$2150,$A379,'United Data'!$B$3:$B$2150,"&lt;&gt;P")&gt;0,1,0)</f>
        <v>0</v>
      </c>
      <c r="O379">
        <f>IF(COUNTIFS('United Data'!$A$3:$A$2150,O$1,'United Data'!$C$3:$C$2150,$A379,'United Data'!$B$3:$B$2150,"&lt;&gt;P")&gt;0,1,0)</f>
        <v>0</v>
      </c>
      <c r="P379">
        <f>IF(COUNTIFS('United Data'!$A$3:$A$2150,P$1,'United Data'!$C$3:$C$2150,$A379,'United Data'!$B$3:$B$2150,"&lt;&gt;P")&gt;0,1,0)</f>
        <v>0</v>
      </c>
      <c r="Q379">
        <f>IF(COUNTIFS('United Data'!$A$3:$A$2150,Q$1,'United Data'!$C$3:$C$2150,$A379,'United Data'!$B$3:$B$2150,"&lt;&gt;P")&gt;0,1,0)</f>
        <v>0</v>
      </c>
      <c r="R379">
        <f>IF(COUNTIFS('United Data'!$A$3:$A$2150,R$1,'United Data'!$C$3:$C$2150,$A379,'United Data'!$B$3:$B$2150,"&lt;&gt;P")&gt;0,1,0)</f>
        <v>0</v>
      </c>
      <c r="S379">
        <f t="shared" si="10"/>
        <v>1</v>
      </c>
      <c r="T379">
        <f t="shared" si="11"/>
        <v>1</v>
      </c>
    </row>
    <row r="380" spans="1:20" x14ac:dyDescent="0.2">
      <c r="A380" t="s">
        <v>425</v>
      </c>
      <c r="B380">
        <f>IF(COUNTIFS('United Data'!$A$3:$A$2150,B$1,'United Data'!$C$3:$C$2150,$A380,'United Data'!$B$3:$B$2150,"&lt;&gt;P")&gt;0,1,0)</f>
        <v>0</v>
      </c>
      <c r="C380">
        <f>IF(COUNTIFS('United Data'!$A$3:$A$2150,C$1,'United Data'!$C$3:$C$2150,$A380,'United Data'!$B$3:$B$2150,"&lt;&gt;P")&gt;0,1,0)</f>
        <v>0</v>
      </c>
      <c r="D380">
        <f>IF(COUNTIFS('United Data'!$A$3:$A$2150,D$1,'United Data'!$C$3:$C$2150,$A380,'United Data'!$B$3:$B$2150,"&lt;&gt;P")&gt;0,1,0)</f>
        <v>0</v>
      </c>
      <c r="E380">
        <f>IF(COUNTIFS('United Data'!$A$3:$A$2150,E$1,'United Data'!$C$3:$C$2150,$A380,'United Data'!$B$3:$B$2150,"&lt;&gt;P")&gt;0,1,0)</f>
        <v>0</v>
      </c>
      <c r="F380">
        <f>IF(COUNTIFS('United Data'!$A$3:$A$2150,F$1,'United Data'!$C$3:$C$2150,$A380,'United Data'!$B$3:$B$2150,"&lt;&gt;P")&gt;0,1,0)</f>
        <v>0</v>
      </c>
      <c r="G380">
        <f>IF(COUNTIFS('United Data'!$A$3:$A$2150,G$1,'United Data'!$C$3:$C$2150,$A380,'United Data'!$B$3:$B$2150,"&lt;&gt;P")&gt;0,1,0)</f>
        <v>0</v>
      </c>
      <c r="H380">
        <f>IF(COUNTIFS('United Data'!$A$3:$A$2150,H$1,'United Data'!$C$3:$C$2150,$A380,'United Data'!$B$3:$B$2150,"&lt;&gt;P")&gt;0,1,0)</f>
        <v>0</v>
      </c>
      <c r="I380">
        <f>IF(COUNTIFS('United Data'!$A$3:$A$2150,I$1,'United Data'!$C$3:$C$2150,$A380,'United Data'!$B$3:$B$2150,"&lt;&gt;P")&gt;0,1,0)</f>
        <v>0</v>
      </c>
      <c r="J380">
        <f>IF(COUNTIFS('United Data'!$A$3:$A$2150,J$1,'United Data'!$C$3:$C$2150,$A380,'United Data'!$B$3:$B$2150,"&lt;&gt;P")&gt;0,1,0)</f>
        <v>0</v>
      </c>
      <c r="K380">
        <f>IF(COUNTIFS('United Data'!$A$3:$A$2150,K$1,'United Data'!$C$3:$C$2150,$A380,'United Data'!$B$3:$B$2150,"&lt;&gt;P")&gt;0,1,0)</f>
        <v>1</v>
      </c>
      <c r="L380">
        <f>IF(COUNTIFS('United Data'!$A$3:$A$2150,L$1,'United Data'!$C$3:$C$2150,$A380,'United Data'!$B$3:$B$2150,"&lt;&gt;P")&gt;0,1,0)</f>
        <v>0</v>
      </c>
      <c r="M380">
        <f>IF(COUNTIFS('United Data'!$A$3:$A$2150,M$1,'United Data'!$C$3:$C$2150,$A380,'United Data'!$B$3:$B$2150,"&lt;&gt;P")&gt;0,1,0)</f>
        <v>0</v>
      </c>
      <c r="N380">
        <f>IF(COUNTIFS('United Data'!$A$3:$A$2150,N$1,'United Data'!$C$3:$C$2150,$A380,'United Data'!$B$3:$B$2150,"&lt;&gt;P")&gt;0,1,0)</f>
        <v>0</v>
      </c>
      <c r="O380">
        <f>IF(COUNTIFS('United Data'!$A$3:$A$2150,O$1,'United Data'!$C$3:$C$2150,$A380,'United Data'!$B$3:$B$2150,"&lt;&gt;P")&gt;0,1,0)</f>
        <v>0</v>
      </c>
      <c r="P380">
        <f>IF(COUNTIFS('United Data'!$A$3:$A$2150,P$1,'United Data'!$C$3:$C$2150,$A380,'United Data'!$B$3:$B$2150,"&lt;&gt;P")&gt;0,1,0)</f>
        <v>0</v>
      </c>
      <c r="Q380">
        <f>IF(COUNTIFS('United Data'!$A$3:$A$2150,Q$1,'United Data'!$C$3:$C$2150,$A380,'United Data'!$B$3:$B$2150,"&lt;&gt;P")&gt;0,1,0)</f>
        <v>0</v>
      </c>
      <c r="R380">
        <f>IF(COUNTIFS('United Data'!$A$3:$A$2150,R$1,'United Data'!$C$3:$C$2150,$A380,'United Data'!$B$3:$B$2150,"&lt;&gt;P")&gt;0,1,0)</f>
        <v>0</v>
      </c>
      <c r="S380">
        <f t="shared" si="10"/>
        <v>1</v>
      </c>
      <c r="T380">
        <f t="shared" si="11"/>
        <v>1</v>
      </c>
    </row>
    <row r="381" spans="1:20" x14ac:dyDescent="0.2">
      <c r="A381" t="s">
        <v>426</v>
      </c>
      <c r="B381">
        <f>IF(COUNTIFS('United Data'!$A$3:$A$2150,B$1,'United Data'!$C$3:$C$2150,$A381,'United Data'!$B$3:$B$2150,"&lt;&gt;P")&gt;0,1,0)</f>
        <v>0</v>
      </c>
      <c r="C381">
        <f>IF(COUNTIFS('United Data'!$A$3:$A$2150,C$1,'United Data'!$C$3:$C$2150,$A381,'United Data'!$B$3:$B$2150,"&lt;&gt;P")&gt;0,1,0)</f>
        <v>0</v>
      </c>
      <c r="D381">
        <f>IF(COUNTIFS('United Data'!$A$3:$A$2150,D$1,'United Data'!$C$3:$C$2150,$A381,'United Data'!$B$3:$B$2150,"&lt;&gt;P")&gt;0,1,0)</f>
        <v>0</v>
      </c>
      <c r="E381">
        <f>IF(COUNTIFS('United Data'!$A$3:$A$2150,E$1,'United Data'!$C$3:$C$2150,$A381,'United Data'!$B$3:$B$2150,"&lt;&gt;P")&gt;0,1,0)</f>
        <v>0</v>
      </c>
      <c r="F381">
        <f>IF(COUNTIFS('United Data'!$A$3:$A$2150,F$1,'United Data'!$C$3:$C$2150,$A381,'United Data'!$B$3:$B$2150,"&lt;&gt;P")&gt;0,1,0)</f>
        <v>0</v>
      </c>
      <c r="G381">
        <f>IF(COUNTIFS('United Data'!$A$3:$A$2150,G$1,'United Data'!$C$3:$C$2150,$A381,'United Data'!$B$3:$B$2150,"&lt;&gt;P")&gt;0,1,0)</f>
        <v>0</v>
      </c>
      <c r="H381">
        <f>IF(COUNTIFS('United Data'!$A$3:$A$2150,H$1,'United Data'!$C$3:$C$2150,$A381,'United Data'!$B$3:$B$2150,"&lt;&gt;P")&gt;0,1,0)</f>
        <v>0</v>
      </c>
      <c r="I381">
        <f>IF(COUNTIFS('United Data'!$A$3:$A$2150,I$1,'United Data'!$C$3:$C$2150,$A381,'United Data'!$B$3:$B$2150,"&lt;&gt;P")&gt;0,1,0)</f>
        <v>0</v>
      </c>
      <c r="J381">
        <f>IF(COUNTIFS('United Data'!$A$3:$A$2150,J$1,'United Data'!$C$3:$C$2150,$A381,'United Data'!$B$3:$B$2150,"&lt;&gt;P")&gt;0,1,0)</f>
        <v>0</v>
      </c>
      <c r="K381">
        <f>IF(COUNTIFS('United Data'!$A$3:$A$2150,K$1,'United Data'!$C$3:$C$2150,$A381,'United Data'!$B$3:$B$2150,"&lt;&gt;P")&gt;0,1,0)</f>
        <v>1</v>
      </c>
      <c r="L381">
        <f>IF(COUNTIFS('United Data'!$A$3:$A$2150,L$1,'United Data'!$C$3:$C$2150,$A381,'United Data'!$B$3:$B$2150,"&lt;&gt;P")&gt;0,1,0)</f>
        <v>0</v>
      </c>
      <c r="M381">
        <f>IF(COUNTIFS('United Data'!$A$3:$A$2150,M$1,'United Data'!$C$3:$C$2150,$A381,'United Data'!$B$3:$B$2150,"&lt;&gt;P")&gt;0,1,0)</f>
        <v>0</v>
      </c>
      <c r="N381">
        <f>IF(COUNTIFS('United Data'!$A$3:$A$2150,N$1,'United Data'!$C$3:$C$2150,$A381,'United Data'!$B$3:$B$2150,"&lt;&gt;P")&gt;0,1,0)</f>
        <v>0</v>
      </c>
      <c r="O381">
        <f>IF(COUNTIFS('United Data'!$A$3:$A$2150,O$1,'United Data'!$C$3:$C$2150,$A381,'United Data'!$B$3:$B$2150,"&lt;&gt;P")&gt;0,1,0)</f>
        <v>0</v>
      </c>
      <c r="P381">
        <f>IF(COUNTIFS('United Data'!$A$3:$A$2150,P$1,'United Data'!$C$3:$C$2150,$A381,'United Data'!$B$3:$B$2150,"&lt;&gt;P")&gt;0,1,0)</f>
        <v>0</v>
      </c>
      <c r="Q381">
        <f>IF(COUNTIFS('United Data'!$A$3:$A$2150,Q$1,'United Data'!$C$3:$C$2150,$A381,'United Data'!$B$3:$B$2150,"&lt;&gt;P")&gt;0,1,0)</f>
        <v>0</v>
      </c>
      <c r="R381">
        <f>IF(COUNTIFS('United Data'!$A$3:$A$2150,R$1,'United Data'!$C$3:$C$2150,$A381,'United Data'!$B$3:$B$2150,"&lt;&gt;P")&gt;0,1,0)</f>
        <v>0</v>
      </c>
      <c r="S381">
        <f t="shared" si="10"/>
        <v>1</v>
      </c>
      <c r="T381">
        <f t="shared" si="11"/>
        <v>1</v>
      </c>
    </row>
    <row r="382" spans="1:20" x14ac:dyDescent="0.2">
      <c r="A382" t="s">
        <v>427</v>
      </c>
      <c r="B382">
        <f>IF(COUNTIFS('United Data'!$A$3:$A$2150,B$1,'United Data'!$C$3:$C$2150,$A382,'United Data'!$B$3:$B$2150,"&lt;&gt;P")&gt;0,1,0)</f>
        <v>0</v>
      </c>
      <c r="C382">
        <f>IF(COUNTIFS('United Data'!$A$3:$A$2150,C$1,'United Data'!$C$3:$C$2150,$A382,'United Data'!$B$3:$B$2150,"&lt;&gt;P")&gt;0,1,0)</f>
        <v>0</v>
      </c>
      <c r="D382">
        <f>IF(COUNTIFS('United Data'!$A$3:$A$2150,D$1,'United Data'!$C$3:$C$2150,$A382,'United Data'!$B$3:$B$2150,"&lt;&gt;P")&gt;0,1,0)</f>
        <v>0</v>
      </c>
      <c r="E382">
        <f>IF(COUNTIFS('United Data'!$A$3:$A$2150,E$1,'United Data'!$C$3:$C$2150,$A382,'United Data'!$B$3:$B$2150,"&lt;&gt;P")&gt;0,1,0)</f>
        <v>0</v>
      </c>
      <c r="F382">
        <f>IF(COUNTIFS('United Data'!$A$3:$A$2150,F$1,'United Data'!$C$3:$C$2150,$A382,'United Data'!$B$3:$B$2150,"&lt;&gt;P")&gt;0,1,0)</f>
        <v>0</v>
      </c>
      <c r="G382">
        <f>IF(COUNTIFS('United Data'!$A$3:$A$2150,G$1,'United Data'!$C$3:$C$2150,$A382,'United Data'!$B$3:$B$2150,"&lt;&gt;P")&gt;0,1,0)</f>
        <v>0</v>
      </c>
      <c r="H382">
        <f>IF(COUNTIFS('United Data'!$A$3:$A$2150,H$1,'United Data'!$C$3:$C$2150,$A382,'United Data'!$B$3:$B$2150,"&lt;&gt;P")&gt;0,1,0)</f>
        <v>0</v>
      </c>
      <c r="I382">
        <f>IF(COUNTIFS('United Data'!$A$3:$A$2150,I$1,'United Data'!$C$3:$C$2150,$A382,'United Data'!$B$3:$B$2150,"&lt;&gt;P")&gt;0,1,0)</f>
        <v>0</v>
      </c>
      <c r="J382">
        <f>IF(COUNTIFS('United Data'!$A$3:$A$2150,J$1,'United Data'!$C$3:$C$2150,$A382,'United Data'!$B$3:$B$2150,"&lt;&gt;P")&gt;0,1,0)</f>
        <v>0</v>
      </c>
      <c r="K382">
        <f>IF(COUNTIFS('United Data'!$A$3:$A$2150,K$1,'United Data'!$C$3:$C$2150,$A382,'United Data'!$B$3:$B$2150,"&lt;&gt;P")&gt;0,1,0)</f>
        <v>1</v>
      </c>
      <c r="L382">
        <f>IF(COUNTIFS('United Data'!$A$3:$A$2150,L$1,'United Data'!$C$3:$C$2150,$A382,'United Data'!$B$3:$B$2150,"&lt;&gt;P")&gt;0,1,0)</f>
        <v>0</v>
      </c>
      <c r="M382">
        <f>IF(COUNTIFS('United Data'!$A$3:$A$2150,M$1,'United Data'!$C$3:$C$2150,$A382,'United Data'!$B$3:$B$2150,"&lt;&gt;P")&gt;0,1,0)</f>
        <v>0</v>
      </c>
      <c r="N382">
        <f>IF(COUNTIFS('United Data'!$A$3:$A$2150,N$1,'United Data'!$C$3:$C$2150,$A382,'United Data'!$B$3:$B$2150,"&lt;&gt;P")&gt;0,1,0)</f>
        <v>0</v>
      </c>
      <c r="O382">
        <f>IF(COUNTIFS('United Data'!$A$3:$A$2150,O$1,'United Data'!$C$3:$C$2150,$A382,'United Data'!$B$3:$B$2150,"&lt;&gt;P")&gt;0,1,0)</f>
        <v>0</v>
      </c>
      <c r="P382">
        <f>IF(COUNTIFS('United Data'!$A$3:$A$2150,P$1,'United Data'!$C$3:$C$2150,$A382,'United Data'!$B$3:$B$2150,"&lt;&gt;P")&gt;0,1,0)</f>
        <v>0</v>
      </c>
      <c r="Q382">
        <f>IF(COUNTIFS('United Data'!$A$3:$A$2150,Q$1,'United Data'!$C$3:$C$2150,$A382,'United Data'!$B$3:$B$2150,"&lt;&gt;P")&gt;0,1,0)</f>
        <v>0</v>
      </c>
      <c r="R382">
        <f>IF(COUNTIFS('United Data'!$A$3:$A$2150,R$1,'United Data'!$C$3:$C$2150,$A382,'United Data'!$B$3:$B$2150,"&lt;&gt;P")&gt;0,1,0)</f>
        <v>0</v>
      </c>
      <c r="S382">
        <f t="shared" si="10"/>
        <v>1</v>
      </c>
      <c r="T382">
        <f t="shared" si="11"/>
        <v>1</v>
      </c>
    </row>
    <row r="383" spans="1:20" x14ac:dyDescent="0.2">
      <c r="A383" t="s">
        <v>428</v>
      </c>
      <c r="B383">
        <f>IF(COUNTIFS('United Data'!$A$3:$A$2150,B$1,'United Data'!$C$3:$C$2150,$A383,'United Data'!$B$3:$B$2150,"&lt;&gt;P")&gt;0,1,0)</f>
        <v>0</v>
      </c>
      <c r="C383">
        <f>IF(COUNTIFS('United Data'!$A$3:$A$2150,C$1,'United Data'!$C$3:$C$2150,$A383,'United Data'!$B$3:$B$2150,"&lt;&gt;P")&gt;0,1,0)</f>
        <v>0</v>
      </c>
      <c r="D383">
        <f>IF(COUNTIFS('United Data'!$A$3:$A$2150,D$1,'United Data'!$C$3:$C$2150,$A383,'United Data'!$B$3:$B$2150,"&lt;&gt;P")&gt;0,1,0)</f>
        <v>0</v>
      </c>
      <c r="E383">
        <f>IF(COUNTIFS('United Data'!$A$3:$A$2150,E$1,'United Data'!$C$3:$C$2150,$A383,'United Data'!$B$3:$B$2150,"&lt;&gt;P")&gt;0,1,0)</f>
        <v>0</v>
      </c>
      <c r="F383">
        <f>IF(COUNTIFS('United Data'!$A$3:$A$2150,F$1,'United Data'!$C$3:$C$2150,$A383,'United Data'!$B$3:$B$2150,"&lt;&gt;P")&gt;0,1,0)</f>
        <v>0</v>
      </c>
      <c r="G383">
        <f>IF(COUNTIFS('United Data'!$A$3:$A$2150,G$1,'United Data'!$C$3:$C$2150,$A383,'United Data'!$B$3:$B$2150,"&lt;&gt;P")&gt;0,1,0)</f>
        <v>0</v>
      </c>
      <c r="H383">
        <f>IF(COUNTIFS('United Data'!$A$3:$A$2150,H$1,'United Data'!$C$3:$C$2150,$A383,'United Data'!$B$3:$B$2150,"&lt;&gt;P")&gt;0,1,0)</f>
        <v>0</v>
      </c>
      <c r="I383">
        <f>IF(COUNTIFS('United Data'!$A$3:$A$2150,I$1,'United Data'!$C$3:$C$2150,$A383,'United Data'!$B$3:$B$2150,"&lt;&gt;P")&gt;0,1,0)</f>
        <v>0</v>
      </c>
      <c r="J383">
        <f>IF(COUNTIFS('United Data'!$A$3:$A$2150,J$1,'United Data'!$C$3:$C$2150,$A383,'United Data'!$B$3:$B$2150,"&lt;&gt;P")&gt;0,1,0)</f>
        <v>0</v>
      </c>
      <c r="K383">
        <f>IF(COUNTIFS('United Data'!$A$3:$A$2150,K$1,'United Data'!$C$3:$C$2150,$A383,'United Data'!$B$3:$B$2150,"&lt;&gt;P")&gt;0,1,0)</f>
        <v>1</v>
      </c>
      <c r="L383">
        <f>IF(COUNTIFS('United Data'!$A$3:$A$2150,L$1,'United Data'!$C$3:$C$2150,$A383,'United Data'!$B$3:$B$2150,"&lt;&gt;P")&gt;0,1,0)</f>
        <v>0</v>
      </c>
      <c r="M383">
        <f>IF(COUNTIFS('United Data'!$A$3:$A$2150,M$1,'United Data'!$C$3:$C$2150,$A383,'United Data'!$B$3:$B$2150,"&lt;&gt;P")&gt;0,1,0)</f>
        <v>0</v>
      </c>
      <c r="N383">
        <f>IF(COUNTIFS('United Data'!$A$3:$A$2150,N$1,'United Data'!$C$3:$C$2150,$A383,'United Data'!$B$3:$B$2150,"&lt;&gt;P")&gt;0,1,0)</f>
        <v>0</v>
      </c>
      <c r="O383">
        <f>IF(COUNTIFS('United Data'!$A$3:$A$2150,O$1,'United Data'!$C$3:$C$2150,$A383,'United Data'!$B$3:$B$2150,"&lt;&gt;P")&gt;0,1,0)</f>
        <v>0</v>
      </c>
      <c r="P383">
        <f>IF(COUNTIFS('United Data'!$A$3:$A$2150,P$1,'United Data'!$C$3:$C$2150,$A383,'United Data'!$B$3:$B$2150,"&lt;&gt;P")&gt;0,1,0)</f>
        <v>0</v>
      </c>
      <c r="Q383">
        <f>IF(COUNTIFS('United Data'!$A$3:$A$2150,Q$1,'United Data'!$C$3:$C$2150,$A383,'United Data'!$B$3:$B$2150,"&lt;&gt;P")&gt;0,1,0)</f>
        <v>0</v>
      </c>
      <c r="R383">
        <f>IF(COUNTIFS('United Data'!$A$3:$A$2150,R$1,'United Data'!$C$3:$C$2150,$A383,'United Data'!$B$3:$B$2150,"&lt;&gt;P")&gt;0,1,0)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429</v>
      </c>
      <c r="B384">
        <f>IF(COUNTIFS('United Data'!$A$3:$A$2150,B$1,'United Data'!$C$3:$C$2150,$A384,'United Data'!$B$3:$B$2150,"&lt;&gt;P")&gt;0,1,0)</f>
        <v>0</v>
      </c>
      <c r="C384">
        <f>IF(COUNTIFS('United Data'!$A$3:$A$2150,C$1,'United Data'!$C$3:$C$2150,$A384,'United Data'!$B$3:$B$2150,"&lt;&gt;P")&gt;0,1,0)</f>
        <v>0</v>
      </c>
      <c r="D384">
        <f>IF(COUNTIFS('United Data'!$A$3:$A$2150,D$1,'United Data'!$C$3:$C$2150,$A384,'United Data'!$B$3:$B$2150,"&lt;&gt;P")&gt;0,1,0)</f>
        <v>0</v>
      </c>
      <c r="E384">
        <f>IF(COUNTIFS('United Data'!$A$3:$A$2150,E$1,'United Data'!$C$3:$C$2150,$A384,'United Data'!$B$3:$B$2150,"&lt;&gt;P")&gt;0,1,0)</f>
        <v>0</v>
      </c>
      <c r="F384">
        <f>IF(COUNTIFS('United Data'!$A$3:$A$2150,F$1,'United Data'!$C$3:$C$2150,$A384,'United Data'!$B$3:$B$2150,"&lt;&gt;P")&gt;0,1,0)</f>
        <v>0</v>
      </c>
      <c r="G384">
        <f>IF(COUNTIFS('United Data'!$A$3:$A$2150,G$1,'United Data'!$C$3:$C$2150,$A384,'United Data'!$B$3:$B$2150,"&lt;&gt;P")&gt;0,1,0)</f>
        <v>0</v>
      </c>
      <c r="H384">
        <f>IF(COUNTIFS('United Data'!$A$3:$A$2150,H$1,'United Data'!$C$3:$C$2150,$A384,'United Data'!$B$3:$B$2150,"&lt;&gt;P")&gt;0,1,0)</f>
        <v>0</v>
      </c>
      <c r="I384">
        <f>IF(COUNTIFS('United Data'!$A$3:$A$2150,I$1,'United Data'!$C$3:$C$2150,$A384,'United Data'!$B$3:$B$2150,"&lt;&gt;P")&gt;0,1,0)</f>
        <v>0</v>
      </c>
      <c r="J384">
        <f>IF(COUNTIFS('United Data'!$A$3:$A$2150,J$1,'United Data'!$C$3:$C$2150,$A384,'United Data'!$B$3:$B$2150,"&lt;&gt;P")&gt;0,1,0)</f>
        <v>0</v>
      </c>
      <c r="K384">
        <f>IF(COUNTIFS('United Data'!$A$3:$A$2150,K$1,'United Data'!$C$3:$C$2150,$A384,'United Data'!$B$3:$B$2150,"&lt;&gt;P")&gt;0,1,0)</f>
        <v>1</v>
      </c>
      <c r="L384">
        <f>IF(COUNTIFS('United Data'!$A$3:$A$2150,L$1,'United Data'!$C$3:$C$2150,$A384,'United Data'!$B$3:$B$2150,"&lt;&gt;P")&gt;0,1,0)</f>
        <v>0</v>
      </c>
      <c r="M384">
        <f>IF(COUNTIFS('United Data'!$A$3:$A$2150,M$1,'United Data'!$C$3:$C$2150,$A384,'United Data'!$B$3:$B$2150,"&lt;&gt;P")&gt;0,1,0)</f>
        <v>0</v>
      </c>
      <c r="N384">
        <f>IF(COUNTIFS('United Data'!$A$3:$A$2150,N$1,'United Data'!$C$3:$C$2150,$A384,'United Data'!$B$3:$B$2150,"&lt;&gt;P")&gt;0,1,0)</f>
        <v>0</v>
      </c>
      <c r="O384">
        <f>IF(COUNTIFS('United Data'!$A$3:$A$2150,O$1,'United Data'!$C$3:$C$2150,$A384,'United Data'!$B$3:$B$2150,"&lt;&gt;P")&gt;0,1,0)</f>
        <v>0</v>
      </c>
      <c r="P384">
        <f>IF(COUNTIFS('United Data'!$A$3:$A$2150,P$1,'United Data'!$C$3:$C$2150,$A384,'United Data'!$B$3:$B$2150,"&lt;&gt;P")&gt;0,1,0)</f>
        <v>0</v>
      </c>
      <c r="Q384">
        <f>IF(COUNTIFS('United Data'!$A$3:$A$2150,Q$1,'United Data'!$C$3:$C$2150,$A384,'United Data'!$B$3:$B$2150,"&lt;&gt;P")&gt;0,1,0)</f>
        <v>0</v>
      </c>
      <c r="R384">
        <f>IF(COUNTIFS('United Data'!$A$3:$A$2150,R$1,'United Data'!$C$3:$C$2150,$A384,'United Data'!$B$3:$B$2150,"&lt;&gt;P")&gt;0,1,0)</f>
        <v>0</v>
      </c>
      <c r="S384">
        <f t="shared" si="10"/>
        <v>1</v>
      </c>
      <c r="T384">
        <f t="shared" si="11"/>
        <v>1</v>
      </c>
    </row>
    <row r="385" spans="1:20" x14ac:dyDescent="0.2">
      <c r="A385" t="s">
        <v>430</v>
      </c>
      <c r="B385">
        <f>IF(COUNTIFS('United Data'!$A$3:$A$2150,B$1,'United Data'!$C$3:$C$2150,$A385,'United Data'!$B$3:$B$2150,"&lt;&gt;P")&gt;0,1,0)</f>
        <v>0</v>
      </c>
      <c r="C385">
        <f>IF(COUNTIFS('United Data'!$A$3:$A$2150,C$1,'United Data'!$C$3:$C$2150,$A385,'United Data'!$B$3:$B$2150,"&lt;&gt;P")&gt;0,1,0)</f>
        <v>0</v>
      </c>
      <c r="D385">
        <f>IF(COUNTIFS('United Data'!$A$3:$A$2150,D$1,'United Data'!$C$3:$C$2150,$A385,'United Data'!$B$3:$B$2150,"&lt;&gt;P")&gt;0,1,0)</f>
        <v>0</v>
      </c>
      <c r="E385">
        <f>IF(COUNTIFS('United Data'!$A$3:$A$2150,E$1,'United Data'!$C$3:$C$2150,$A385,'United Data'!$B$3:$B$2150,"&lt;&gt;P")&gt;0,1,0)</f>
        <v>0</v>
      </c>
      <c r="F385">
        <f>IF(COUNTIFS('United Data'!$A$3:$A$2150,F$1,'United Data'!$C$3:$C$2150,$A385,'United Data'!$B$3:$B$2150,"&lt;&gt;P")&gt;0,1,0)</f>
        <v>0</v>
      </c>
      <c r="G385">
        <f>IF(COUNTIFS('United Data'!$A$3:$A$2150,G$1,'United Data'!$C$3:$C$2150,$A385,'United Data'!$B$3:$B$2150,"&lt;&gt;P")&gt;0,1,0)</f>
        <v>0</v>
      </c>
      <c r="H385">
        <f>IF(COUNTIFS('United Data'!$A$3:$A$2150,H$1,'United Data'!$C$3:$C$2150,$A385,'United Data'!$B$3:$B$2150,"&lt;&gt;P")&gt;0,1,0)</f>
        <v>0</v>
      </c>
      <c r="I385">
        <f>IF(COUNTIFS('United Data'!$A$3:$A$2150,I$1,'United Data'!$C$3:$C$2150,$A385,'United Data'!$B$3:$B$2150,"&lt;&gt;P")&gt;0,1,0)</f>
        <v>0</v>
      </c>
      <c r="J385">
        <f>IF(COUNTIFS('United Data'!$A$3:$A$2150,J$1,'United Data'!$C$3:$C$2150,$A385,'United Data'!$B$3:$B$2150,"&lt;&gt;P")&gt;0,1,0)</f>
        <v>0</v>
      </c>
      <c r="K385">
        <f>IF(COUNTIFS('United Data'!$A$3:$A$2150,K$1,'United Data'!$C$3:$C$2150,$A385,'United Data'!$B$3:$B$2150,"&lt;&gt;P")&gt;0,1,0)</f>
        <v>1</v>
      </c>
      <c r="L385">
        <f>IF(COUNTIFS('United Data'!$A$3:$A$2150,L$1,'United Data'!$C$3:$C$2150,$A385,'United Data'!$B$3:$B$2150,"&lt;&gt;P")&gt;0,1,0)</f>
        <v>0</v>
      </c>
      <c r="M385">
        <f>IF(COUNTIFS('United Data'!$A$3:$A$2150,M$1,'United Data'!$C$3:$C$2150,$A385,'United Data'!$B$3:$B$2150,"&lt;&gt;P")&gt;0,1,0)</f>
        <v>0</v>
      </c>
      <c r="N385">
        <f>IF(COUNTIFS('United Data'!$A$3:$A$2150,N$1,'United Data'!$C$3:$C$2150,$A385,'United Data'!$B$3:$B$2150,"&lt;&gt;P")&gt;0,1,0)</f>
        <v>0</v>
      </c>
      <c r="O385">
        <f>IF(COUNTIFS('United Data'!$A$3:$A$2150,O$1,'United Data'!$C$3:$C$2150,$A385,'United Data'!$B$3:$B$2150,"&lt;&gt;P")&gt;0,1,0)</f>
        <v>0</v>
      </c>
      <c r="P385">
        <f>IF(COUNTIFS('United Data'!$A$3:$A$2150,P$1,'United Data'!$C$3:$C$2150,$A385,'United Data'!$B$3:$B$2150,"&lt;&gt;P")&gt;0,1,0)</f>
        <v>0</v>
      </c>
      <c r="Q385">
        <f>IF(COUNTIFS('United Data'!$A$3:$A$2150,Q$1,'United Data'!$C$3:$C$2150,$A385,'United Data'!$B$3:$B$2150,"&lt;&gt;P")&gt;0,1,0)</f>
        <v>0</v>
      </c>
      <c r="R385">
        <f>IF(COUNTIFS('United Data'!$A$3:$A$2150,R$1,'United Data'!$C$3:$C$2150,$A385,'United Data'!$B$3:$B$2150,"&lt;&gt;P")&gt;0,1,0)</f>
        <v>0</v>
      </c>
      <c r="S385">
        <f t="shared" si="10"/>
        <v>1</v>
      </c>
      <c r="T385">
        <f t="shared" si="11"/>
        <v>1</v>
      </c>
    </row>
    <row r="386" spans="1:20" x14ac:dyDescent="0.2">
      <c r="A386" t="s">
        <v>431</v>
      </c>
      <c r="B386">
        <f>IF(COUNTIFS('United Data'!$A$3:$A$2150,B$1,'United Data'!$C$3:$C$2150,$A386,'United Data'!$B$3:$B$2150,"&lt;&gt;P")&gt;0,1,0)</f>
        <v>0</v>
      </c>
      <c r="C386">
        <f>IF(COUNTIFS('United Data'!$A$3:$A$2150,C$1,'United Data'!$C$3:$C$2150,$A386,'United Data'!$B$3:$B$2150,"&lt;&gt;P")&gt;0,1,0)</f>
        <v>0</v>
      </c>
      <c r="D386">
        <f>IF(COUNTIFS('United Data'!$A$3:$A$2150,D$1,'United Data'!$C$3:$C$2150,$A386,'United Data'!$B$3:$B$2150,"&lt;&gt;P")&gt;0,1,0)</f>
        <v>0</v>
      </c>
      <c r="E386">
        <f>IF(COUNTIFS('United Data'!$A$3:$A$2150,E$1,'United Data'!$C$3:$C$2150,$A386,'United Data'!$B$3:$B$2150,"&lt;&gt;P")&gt;0,1,0)</f>
        <v>0</v>
      </c>
      <c r="F386">
        <f>IF(COUNTIFS('United Data'!$A$3:$A$2150,F$1,'United Data'!$C$3:$C$2150,$A386,'United Data'!$B$3:$B$2150,"&lt;&gt;P")&gt;0,1,0)</f>
        <v>0</v>
      </c>
      <c r="G386">
        <f>IF(COUNTIFS('United Data'!$A$3:$A$2150,G$1,'United Data'!$C$3:$C$2150,$A386,'United Data'!$B$3:$B$2150,"&lt;&gt;P")&gt;0,1,0)</f>
        <v>0</v>
      </c>
      <c r="H386">
        <f>IF(COUNTIFS('United Data'!$A$3:$A$2150,H$1,'United Data'!$C$3:$C$2150,$A386,'United Data'!$B$3:$B$2150,"&lt;&gt;P")&gt;0,1,0)</f>
        <v>0</v>
      </c>
      <c r="I386">
        <f>IF(COUNTIFS('United Data'!$A$3:$A$2150,I$1,'United Data'!$C$3:$C$2150,$A386,'United Data'!$B$3:$B$2150,"&lt;&gt;P")&gt;0,1,0)</f>
        <v>0</v>
      </c>
      <c r="J386">
        <f>IF(COUNTIFS('United Data'!$A$3:$A$2150,J$1,'United Data'!$C$3:$C$2150,$A386,'United Data'!$B$3:$B$2150,"&lt;&gt;P")&gt;0,1,0)</f>
        <v>0</v>
      </c>
      <c r="K386">
        <f>IF(COUNTIFS('United Data'!$A$3:$A$2150,K$1,'United Data'!$C$3:$C$2150,$A386,'United Data'!$B$3:$B$2150,"&lt;&gt;P")&gt;0,1,0)</f>
        <v>0</v>
      </c>
      <c r="L386">
        <f>IF(COUNTIFS('United Data'!$A$3:$A$2150,L$1,'United Data'!$C$3:$C$2150,$A386,'United Data'!$B$3:$B$2150,"&lt;&gt;P")&gt;0,1,0)</f>
        <v>1</v>
      </c>
      <c r="M386">
        <f>IF(COUNTIFS('United Data'!$A$3:$A$2150,M$1,'United Data'!$C$3:$C$2150,$A386,'United Data'!$B$3:$B$2150,"&lt;&gt;P")&gt;0,1,0)</f>
        <v>1</v>
      </c>
      <c r="N386">
        <f>IF(COUNTIFS('United Data'!$A$3:$A$2150,N$1,'United Data'!$C$3:$C$2150,$A386,'United Data'!$B$3:$B$2150,"&lt;&gt;P")&gt;0,1,0)</f>
        <v>0</v>
      </c>
      <c r="O386">
        <f>IF(COUNTIFS('United Data'!$A$3:$A$2150,O$1,'United Data'!$C$3:$C$2150,$A386,'United Data'!$B$3:$B$2150,"&lt;&gt;P")&gt;0,1,0)</f>
        <v>0</v>
      </c>
      <c r="P386">
        <f>IF(COUNTIFS('United Data'!$A$3:$A$2150,P$1,'United Data'!$C$3:$C$2150,$A386,'United Data'!$B$3:$B$2150,"&lt;&gt;P")&gt;0,1,0)</f>
        <v>0</v>
      </c>
      <c r="Q386">
        <f>IF(COUNTIFS('United Data'!$A$3:$A$2150,Q$1,'United Data'!$C$3:$C$2150,$A386,'United Data'!$B$3:$B$2150,"&lt;&gt;P")&gt;0,1,0)</f>
        <v>0</v>
      </c>
      <c r="R386">
        <f>IF(COUNTIFS('United Data'!$A$3:$A$2150,R$1,'United Data'!$C$3:$C$2150,$A386,'United Data'!$B$3:$B$2150,"&lt;&gt;P")&gt;0,1,0)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1</v>
      </c>
    </row>
    <row r="387" spans="1:20" x14ac:dyDescent="0.2">
      <c r="A387" t="s">
        <v>432</v>
      </c>
      <c r="B387">
        <f>IF(COUNTIFS('United Data'!$A$3:$A$2150,B$1,'United Data'!$C$3:$C$2150,$A387,'United Data'!$B$3:$B$2150,"&lt;&gt;P")&gt;0,1,0)</f>
        <v>0</v>
      </c>
      <c r="C387">
        <f>IF(COUNTIFS('United Data'!$A$3:$A$2150,C$1,'United Data'!$C$3:$C$2150,$A387,'United Data'!$B$3:$B$2150,"&lt;&gt;P")&gt;0,1,0)</f>
        <v>0</v>
      </c>
      <c r="D387">
        <f>IF(COUNTIFS('United Data'!$A$3:$A$2150,D$1,'United Data'!$C$3:$C$2150,$A387,'United Data'!$B$3:$B$2150,"&lt;&gt;P")&gt;0,1,0)</f>
        <v>0</v>
      </c>
      <c r="E387">
        <f>IF(COUNTIFS('United Data'!$A$3:$A$2150,E$1,'United Data'!$C$3:$C$2150,$A387,'United Data'!$B$3:$B$2150,"&lt;&gt;P")&gt;0,1,0)</f>
        <v>0</v>
      </c>
      <c r="F387">
        <f>IF(COUNTIFS('United Data'!$A$3:$A$2150,F$1,'United Data'!$C$3:$C$2150,$A387,'United Data'!$B$3:$B$2150,"&lt;&gt;P")&gt;0,1,0)</f>
        <v>0</v>
      </c>
      <c r="G387">
        <f>IF(COUNTIFS('United Data'!$A$3:$A$2150,G$1,'United Data'!$C$3:$C$2150,$A387,'United Data'!$B$3:$B$2150,"&lt;&gt;P")&gt;0,1,0)</f>
        <v>0</v>
      </c>
      <c r="H387">
        <f>IF(COUNTIFS('United Data'!$A$3:$A$2150,H$1,'United Data'!$C$3:$C$2150,$A387,'United Data'!$B$3:$B$2150,"&lt;&gt;P")&gt;0,1,0)</f>
        <v>0</v>
      </c>
      <c r="I387">
        <f>IF(COUNTIFS('United Data'!$A$3:$A$2150,I$1,'United Data'!$C$3:$C$2150,$A387,'United Data'!$B$3:$B$2150,"&lt;&gt;P")&gt;0,1,0)</f>
        <v>0</v>
      </c>
      <c r="J387">
        <f>IF(COUNTIFS('United Data'!$A$3:$A$2150,J$1,'United Data'!$C$3:$C$2150,$A387,'United Data'!$B$3:$B$2150,"&lt;&gt;P")&gt;0,1,0)</f>
        <v>0</v>
      </c>
      <c r="K387">
        <f>IF(COUNTIFS('United Data'!$A$3:$A$2150,K$1,'United Data'!$C$3:$C$2150,$A387,'United Data'!$B$3:$B$2150,"&lt;&gt;P")&gt;0,1,0)</f>
        <v>0</v>
      </c>
      <c r="L387">
        <f>IF(COUNTIFS('United Data'!$A$3:$A$2150,L$1,'United Data'!$C$3:$C$2150,$A387,'United Data'!$B$3:$B$2150,"&lt;&gt;P")&gt;0,1,0)</f>
        <v>1</v>
      </c>
      <c r="M387">
        <f>IF(COUNTIFS('United Data'!$A$3:$A$2150,M$1,'United Data'!$C$3:$C$2150,$A387,'United Data'!$B$3:$B$2150,"&lt;&gt;P")&gt;0,1,0)</f>
        <v>0</v>
      </c>
      <c r="N387">
        <f>IF(COUNTIFS('United Data'!$A$3:$A$2150,N$1,'United Data'!$C$3:$C$2150,$A387,'United Data'!$B$3:$B$2150,"&lt;&gt;P")&gt;0,1,0)</f>
        <v>0</v>
      </c>
      <c r="O387">
        <f>IF(COUNTIFS('United Data'!$A$3:$A$2150,O$1,'United Data'!$C$3:$C$2150,$A387,'United Data'!$B$3:$B$2150,"&lt;&gt;P")&gt;0,1,0)</f>
        <v>0</v>
      </c>
      <c r="P387">
        <f>IF(COUNTIFS('United Data'!$A$3:$A$2150,P$1,'United Data'!$C$3:$C$2150,$A387,'United Data'!$B$3:$B$2150,"&lt;&gt;P")&gt;0,1,0)</f>
        <v>0</v>
      </c>
      <c r="Q387">
        <f>IF(COUNTIFS('United Data'!$A$3:$A$2150,Q$1,'United Data'!$C$3:$C$2150,$A387,'United Data'!$B$3:$B$2150,"&lt;&gt;P")&gt;0,1,0)</f>
        <v>0</v>
      </c>
      <c r="R387">
        <f>IF(COUNTIFS('United Data'!$A$3:$A$2150,R$1,'United Data'!$C$3:$C$2150,$A387,'United Data'!$B$3:$B$2150,"&lt;&gt;P")&gt;0,1,0)</f>
        <v>0</v>
      </c>
      <c r="S387">
        <f t="shared" si="12"/>
        <v>1</v>
      </c>
      <c r="T387">
        <f t="shared" si="13"/>
        <v>1</v>
      </c>
    </row>
    <row r="388" spans="1:20" x14ac:dyDescent="0.2">
      <c r="A388" t="s">
        <v>433</v>
      </c>
      <c r="B388">
        <f>IF(COUNTIFS('United Data'!$A$3:$A$2150,B$1,'United Data'!$C$3:$C$2150,$A388,'United Data'!$B$3:$B$2150,"&lt;&gt;P")&gt;0,1,0)</f>
        <v>0</v>
      </c>
      <c r="C388">
        <f>IF(COUNTIFS('United Data'!$A$3:$A$2150,C$1,'United Data'!$C$3:$C$2150,$A388,'United Data'!$B$3:$B$2150,"&lt;&gt;P")&gt;0,1,0)</f>
        <v>0</v>
      </c>
      <c r="D388">
        <f>IF(COUNTIFS('United Data'!$A$3:$A$2150,D$1,'United Data'!$C$3:$C$2150,$A388,'United Data'!$B$3:$B$2150,"&lt;&gt;P")&gt;0,1,0)</f>
        <v>0</v>
      </c>
      <c r="E388">
        <f>IF(COUNTIFS('United Data'!$A$3:$A$2150,E$1,'United Data'!$C$3:$C$2150,$A388,'United Data'!$B$3:$B$2150,"&lt;&gt;P")&gt;0,1,0)</f>
        <v>0</v>
      </c>
      <c r="F388">
        <f>IF(COUNTIFS('United Data'!$A$3:$A$2150,F$1,'United Data'!$C$3:$C$2150,$A388,'United Data'!$B$3:$B$2150,"&lt;&gt;P")&gt;0,1,0)</f>
        <v>0</v>
      </c>
      <c r="G388">
        <f>IF(COUNTIFS('United Data'!$A$3:$A$2150,G$1,'United Data'!$C$3:$C$2150,$A388,'United Data'!$B$3:$B$2150,"&lt;&gt;P")&gt;0,1,0)</f>
        <v>0</v>
      </c>
      <c r="H388">
        <f>IF(COUNTIFS('United Data'!$A$3:$A$2150,H$1,'United Data'!$C$3:$C$2150,$A388,'United Data'!$B$3:$B$2150,"&lt;&gt;P")&gt;0,1,0)</f>
        <v>0</v>
      </c>
      <c r="I388">
        <f>IF(COUNTIFS('United Data'!$A$3:$A$2150,I$1,'United Data'!$C$3:$C$2150,$A388,'United Data'!$B$3:$B$2150,"&lt;&gt;P")&gt;0,1,0)</f>
        <v>0</v>
      </c>
      <c r="J388">
        <f>IF(COUNTIFS('United Data'!$A$3:$A$2150,J$1,'United Data'!$C$3:$C$2150,$A388,'United Data'!$B$3:$B$2150,"&lt;&gt;P")&gt;0,1,0)</f>
        <v>0</v>
      </c>
      <c r="K388">
        <f>IF(COUNTIFS('United Data'!$A$3:$A$2150,K$1,'United Data'!$C$3:$C$2150,$A388,'United Data'!$B$3:$B$2150,"&lt;&gt;P")&gt;0,1,0)</f>
        <v>0</v>
      </c>
      <c r="L388">
        <f>IF(COUNTIFS('United Data'!$A$3:$A$2150,L$1,'United Data'!$C$3:$C$2150,$A388,'United Data'!$B$3:$B$2150,"&lt;&gt;P")&gt;0,1,0)</f>
        <v>1</v>
      </c>
      <c r="M388">
        <f>IF(COUNTIFS('United Data'!$A$3:$A$2150,M$1,'United Data'!$C$3:$C$2150,$A388,'United Data'!$B$3:$B$2150,"&lt;&gt;P")&gt;0,1,0)</f>
        <v>1</v>
      </c>
      <c r="N388">
        <f>IF(COUNTIFS('United Data'!$A$3:$A$2150,N$1,'United Data'!$C$3:$C$2150,$A388,'United Data'!$B$3:$B$2150,"&lt;&gt;P")&gt;0,1,0)</f>
        <v>1</v>
      </c>
      <c r="O388">
        <f>IF(COUNTIFS('United Data'!$A$3:$A$2150,O$1,'United Data'!$C$3:$C$2150,$A388,'United Data'!$B$3:$B$2150,"&lt;&gt;P")&gt;0,1,0)</f>
        <v>1</v>
      </c>
      <c r="P388">
        <f>IF(COUNTIFS('United Data'!$A$3:$A$2150,P$1,'United Data'!$C$3:$C$2150,$A388,'United Data'!$B$3:$B$2150,"&lt;&gt;P")&gt;0,1,0)</f>
        <v>1</v>
      </c>
      <c r="Q388">
        <f>IF(COUNTIFS('United Data'!$A$3:$A$2150,Q$1,'United Data'!$C$3:$C$2150,$A388,'United Data'!$B$3:$B$2150,"&lt;&gt;P")&gt;0,1,0)</f>
        <v>0</v>
      </c>
      <c r="R388">
        <f>IF(COUNTIFS('United Data'!$A$3:$A$2150,R$1,'United Data'!$C$3:$C$2150,$A388,'United Data'!$B$3:$B$2150,"&lt;&gt;P")&gt;0,1,0)</f>
        <v>0</v>
      </c>
      <c r="S388">
        <f t="shared" si="12"/>
        <v>5</v>
      </c>
      <c r="T388">
        <f t="shared" si="13"/>
        <v>1</v>
      </c>
    </row>
    <row r="389" spans="1:20" x14ac:dyDescent="0.2">
      <c r="A389" t="s">
        <v>434</v>
      </c>
      <c r="B389">
        <f>IF(COUNTIFS('United Data'!$A$3:$A$2150,B$1,'United Data'!$C$3:$C$2150,$A389,'United Data'!$B$3:$B$2150,"&lt;&gt;P")&gt;0,1,0)</f>
        <v>0</v>
      </c>
      <c r="C389">
        <f>IF(COUNTIFS('United Data'!$A$3:$A$2150,C$1,'United Data'!$C$3:$C$2150,$A389,'United Data'!$B$3:$B$2150,"&lt;&gt;P")&gt;0,1,0)</f>
        <v>0</v>
      </c>
      <c r="D389">
        <f>IF(COUNTIFS('United Data'!$A$3:$A$2150,D$1,'United Data'!$C$3:$C$2150,$A389,'United Data'!$B$3:$B$2150,"&lt;&gt;P")&gt;0,1,0)</f>
        <v>0</v>
      </c>
      <c r="E389">
        <f>IF(COUNTIFS('United Data'!$A$3:$A$2150,E$1,'United Data'!$C$3:$C$2150,$A389,'United Data'!$B$3:$B$2150,"&lt;&gt;P")&gt;0,1,0)</f>
        <v>0</v>
      </c>
      <c r="F389">
        <f>IF(COUNTIFS('United Data'!$A$3:$A$2150,F$1,'United Data'!$C$3:$C$2150,$A389,'United Data'!$B$3:$B$2150,"&lt;&gt;P")&gt;0,1,0)</f>
        <v>0</v>
      </c>
      <c r="G389">
        <f>IF(COUNTIFS('United Data'!$A$3:$A$2150,G$1,'United Data'!$C$3:$C$2150,$A389,'United Data'!$B$3:$B$2150,"&lt;&gt;P")&gt;0,1,0)</f>
        <v>0</v>
      </c>
      <c r="H389">
        <f>IF(COUNTIFS('United Data'!$A$3:$A$2150,H$1,'United Data'!$C$3:$C$2150,$A389,'United Data'!$B$3:$B$2150,"&lt;&gt;P")&gt;0,1,0)</f>
        <v>0</v>
      </c>
      <c r="I389">
        <f>IF(COUNTIFS('United Data'!$A$3:$A$2150,I$1,'United Data'!$C$3:$C$2150,$A389,'United Data'!$B$3:$B$2150,"&lt;&gt;P")&gt;0,1,0)</f>
        <v>0</v>
      </c>
      <c r="J389">
        <f>IF(COUNTIFS('United Data'!$A$3:$A$2150,J$1,'United Data'!$C$3:$C$2150,$A389,'United Data'!$B$3:$B$2150,"&lt;&gt;P")&gt;0,1,0)</f>
        <v>0</v>
      </c>
      <c r="K389">
        <f>IF(COUNTIFS('United Data'!$A$3:$A$2150,K$1,'United Data'!$C$3:$C$2150,$A389,'United Data'!$B$3:$B$2150,"&lt;&gt;P")&gt;0,1,0)</f>
        <v>0</v>
      </c>
      <c r="L389">
        <f>IF(COUNTIFS('United Data'!$A$3:$A$2150,L$1,'United Data'!$C$3:$C$2150,$A389,'United Data'!$B$3:$B$2150,"&lt;&gt;P")&gt;0,1,0)</f>
        <v>1</v>
      </c>
      <c r="M389">
        <f>IF(COUNTIFS('United Data'!$A$3:$A$2150,M$1,'United Data'!$C$3:$C$2150,$A389,'United Data'!$B$3:$B$2150,"&lt;&gt;P")&gt;0,1,0)</f>
        <v>0</v>
      </c>
      <c r="N389">
        <f>IF(COUNTIFS('United Data'!$A$3:$A$2150,N$1,'United Data'!$C$3:$C$2150,$A389,'United Data'!$B$3:$B$2150,"&lt;&gt;P")&gt;0,1,0)</f>
        <v>0</v>
      </c>
      <c r="O389">
        <f>IF(COUNTIFS('United Data'!$A$3:$A$2150,O$1,'United Data'!$C$3:$C$2150,$A389,'United Data'!$B$3:$B$2150,"&lt;&gt;P")&gt;0,1,0)</f>
        <v>0</v>
      </c>
      <c r="P389">
        <f>IF(COUNTIFS('United Data'!$A$3:$A$2150,P$1,'United Data'!$C$3:$C$2150,$A389,'United Data'!$B$3:$B$2150,"&lt;&gt;P")&gt;0,1,0)</f>
        <v>0</v>
      </c>
      <c r="Q389">
        <f>IF(COUNTIFS('United Data'!$A$3:$A$2150,Q$1,'United Data'!$C$3:$C$2150,$A389,'United Data'!$B$3:$B$2150,"&lt;&gt;P")&gt;0,1,0)</f>
        <v>0</v>
      </c>
      <c r="R389">
        <f>IF(COUNTIFS('United Data'!$A$3:$A$2150,R$1,'United Data'!$C$3:$C$2150,$A389,'United Data'!$B$3:$B$2150,"&lt;&gt;P")&gt;0,1,0)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435</v>
      </c>
      <c r="B390">
        <f>IF(COUNTIFS('United Data'!$A$3:$A$2150,B$1,'United Data'!$C$3:$C$2150,$A390,'United Data'!$B$3:$B$2150,"&lt;&gt;P")&gt;0,1,0)</f>
        <v>0</v>
      </c>
      <c r="C390">
        <f>IF(COUNTIFS('United Data'!$A$3:$A$2150,C$1,'United Data'!$C$3:$C$2150,$A390,'United Data'!$B$3:$B$2150,"&lt;&gt;P")&gt;0,1,0)</f>
        <v>0</v>
      </c>
      <c r="D390">
        <f>IF(COUNTIFS('United Data'!$A$3:$A$2150,D$1,'United Data'!$C$3:$C$2150,$A390,'United Data'!$B$3:$B$2150,"&lt;&gt;P")&gt;0,1,0)</f>
        <v>0</v>
      </c>
      <c r="E390">
        <f>IF(COUNTIFS('United Data'!$A$3:$A$2150,E$1,'United Data'!$C$3:$C$2150,$A390,'United Data'!$B$3:$B$2150,"&lt;&gt;P")&gt;0,1,0)</f>
        <v>0</v>
      </c>
      <c r="F390">
        <f>IF(COUNTIFS('United Data'!$A$3:$A$2150,F$1,'United Data'!$C$3:$C$2150,$A390,'United Data'!$B$3:$B$2150,"&lt;&gt;P")&gt;0,1,0)</f>
        <v>0</v>
      </c>
      <c r="G390">
        <f>IF(COUNTIFS('United Data'!$A$3:$A$2150,G$1,'United Data'!$C$3:$C$2150,$A390,'United Data'!$B$3:$B$2150,"&lt;&gt;P")&gt;0,1,0)</f>
        <v>0</v>
      </c>
      <c r="H390">
        <f>IF(COUNTIFS('United Data'!$A$3:$A$2150,H$1,'United Data'!$C$3:$C$2150,$A390,'United Data'!$B$3:$B$2150,"&lt;&gt;P")&gt;0,1,0)</f>
        <v>0</v>
      </c>
      <c r="I390">
        <f>IF(COUNTIFS('United Data'!$A$3:$A$2150,I$1,'United Data'!$C$3:$C$2150,$A390,'United Data'!$B$3:$B$2150,"&lt;&gt;P")&gt;0,1,0)</f>
        <v>0</v>
      </c>
      <c r="J390">
        <f>IF(COUNTIFS('United Data'!$A$3:$A$2150,J$1,'United Data'!$C$3:$C$2150,$A390,'United Data'!$B$3:$B$2150,"&lt;&gt;P")&gt;0,1,0)</f>
        <v>0</v>
      </c>
      <c r="K390">
        <f>IF(COUNTIFS('United Data'!$A$3:$A$2150,K$1,'United Data'!$C$3:$C$2150,$A390,'United Data'!$B$3:$B$2150,"&lt;&gt;P")&gt;0,1,0)</f>
        <v>0</v>
      </c>
      <c r="L390">
        <f>IF(COUNTIFS('United Data'!$A$3:$A$2150,L$1,'United Data'!$C$3:$C$2150,$A390,'United Data'!$B$3:$B$2150,"&lt;&gt;P")&gt;0,1,0)</f>
        <v>1</v>
      </c>
      <c r="M390">
        <f>IF(COUNTIFS('United Data'!$A$3:$A$2150,M$1,'United Data'!$C$3:$C$2150,$A390,'United Data'!$B$3:$B$2150,"&lt;&gt;P")&gt;0,1,0)</f>
        <v>1</v>
      </c>
      <c r="N390">
        <f>IF(COUNTIFS('United Data'!$A$3:$A$2150,N$1,'United Data'!$C$3:$C$2150,$A390,'United Data'!$B$3:$B$2150,"&lt;&gt;P")&gt;0,1,0)</f>
        <v>1</v>
      </c>
      <c r="O390">
        <f>IF(COUNTIFS('United Data'!$A$3:$A$2150,O$1,'United Data'!$C$3:$C$2150,$A390,'United Data'!$B$3:$B$2150,"&lt;&gt;P")&gt;0,1,0)</f>
        <v>1</v>
      </c>
      <c r="P390">
        <f>IF(COUNTIFS('United Data'!$A$3:$A$2150,P$1,'United Data'!$C$3:$C$2150,$A390,'United Data'!$B$3:$B$2150,"&lt;&gt;P")&gt;0,1,0)</f>
        <v>0</v>
      </c>
      <c r="Q390">
        <f>IF(COUNTIFS('United Data'!$A$3:$A$2150,Q$1,'United Data'!$C$3:$C$2150,$A390,'United Data'!$B$3:$B$2150,"&lt;&gt;P")&gt;0,1,0)</f>
        <v>0</v>
      </c>
      <c r="R390">
        <f>IF(COUNTIFS('United Data'!$A$3:$A$2150,R$1,'United Data'!$C$3:$C$2150,$A390,'United Data'!$B$3:$B$2150,"&lt;&gt;P")&gt;0,1,0)</f>
        <v>0</v>
      </c>
      <c r="S390">
        <f t="shared" si="12"/>
        <v>4</v>
      </c>
      <c r="T390">
        <f t="shared" si="13"/>
        <v>1</v>
      </c>
    </row>
    <row r="391" spans="1:20" x14ac:dyDescent="0.2">
      <c r="A391" t="s">
        <v>436</v>
      </c>
      <c r="B391">
        <f>IF(COUNTIFS('United Data'!$A$3:$A$2150,B$1,'United Data'!$C$3:$C$2150,$A391,'United Data'!$B$3:$B$2150,"&lt;&gt;P")&gt;0,1,0)</f>
        <v>0</v>
      </c>
      <c r="C391">
        <f>IF(COUNTIFS('United Data'!$A$3:$A$2150,C$1,'United Data'!$C$3:$C$2150,$A391,'United Data'!$B$3:$B$2150,"&lt;&gt;P")&gt;0,1,0)</f>
        <v>0</v>
      </c>
      <c r="D391">
        <f>IF(COUNTIFS('United Data'!$A$3:$A$2150,D$1,'United Data'!$C$3:$C$2150,$A391,'United Data'!$B$3:$B$2150,"&lt;&gt;P")&gt;0,1,0)</f>
        <v>0</v>
      </c>
      <c r="E391">
        <f>IF(COUNTIFS('United Data'!$A$3:$A$2150,E$1,'United Data'!$C$3:$C$2150,$A391,'United Data'!$B$3:$B$2150,"&lt;&gt;P")&gt;0,1,0)</f>
        <v>0</v>
      </c>
      <c r="F391">
        <f>IF(COUNTIFS('United Data'!$A$3:$A$2150,F$1,'United Data'!$C$3:$C$2150,$A391,'United Data'!$B$3:$B$2150,"&lt;&gt;P")&gt;0,1,0)</f>
        <v>0</v>
      </c>
      <c r="G391">
        <f>IF(COUNTIFS('United Data'!$A$3:$A$2150,G$1,'United Data'!$C$3:$C$2150,$A391,'United Data'!$B$3:$B$2150,"&lt;&gt;P")&gt;0,1,0)</f>
        <v>0</v>
      </c>
      <c r="H391">
        <f>IF(COUNTIFS('United Data'!$A$3:$A$2150,H$1,'United Data'!$C$3:$C$2150,$A391,'United Data'!$B$3:$B$2150,"&lt;&gt;P")&gt;0,1,0)</f>
        <v>0</v>
      </c>
      <c r="I391">
        <f>IF(COUNTIFS('United Data'!$A$3:$A$2150,I$1,'United Data'!$C$3:$C$2150,$A391,'United Data'!$B$3:$B$2150,"&lt;&gt;P")&gt;0,1,0)</f>
        <v>0</v>
      </c>
      <c r="J391">
        <f>IF(COUNTIFS('United Data'!$A$3:$A$2150,J$1,'United Data'!$C$3:$C$2150,$A391,'United Data'!$B$3:$B$2150,"&lt;&gt;P")&gt;0,1,0)</f>
        <v>0</v>
      </c>
      <c r="K391">
        <f>IF(COUNTIFS('United Data'!$A$3:$A$2150,K$1,'United Data'!$C$3:$C$2150,$A391,'United Data'!$B$3:$B$2150,"&lt;&gt;P")&gt;0,1,0)</f>
        <v>0</v>
      </c>
      <c r="L391">
        <f>IF(COUNTIFS('United Data'!$A$3:$A$2150,L$1,'United Data'!$C$3:$C$2150,$A391,'United Data'!$B$3:$B$2150,"&lt;&gt;P")&gt;0,1,0)</f>
        <v>1</v>
      </c>
      <c r="M391">
        <f>IF(COUNTIFS('United Data'!$A$3:$A$2150,M$1,'United Data'!$C$3:$C$2150,$A391,'United Data'!$B$3:$B$2150,"&lt;&gt;P")&gt;0,1,0)</f>
        <v>0</v>
      </c>
      <c r="N391">
        <f>IF(COUNTIFS('United Data'!$A$3:$A$2150,N$1,'United Data'!$C$3:$C$2150,$A391,'United Data'!$B$3:$B$2150,"&lt;&gt;P")&gt;0,1,0)</f>
        <v>0</v>
      </c>
      <c r="O391">
        <f>IF(COUNTIFS('United Data'!$A$3:$A$2150,O$1,'United Data'!$C$3:$C$2150,$A391,'United Data'!$B$3:$B$2150,"&lt;&gt;P")&gt;0,1,0)</f>
        <v>0</v>
      </c>
      <c r="P391">
        <f>IF(COUNTIFS('United Data'!$A$3:$A$2150,P$1,'United Data'!$C$3:$C$2150,$A391,'United Data'!$B$3:$B$2150,"&lt;&gt;P")&gt;0,1,0)</f>
        <v>0</v>
      </c>
      <c r="Q391">
        <f>IF(COUNTIFS('United Data'!$A$3:$A$2150,Q$1,'United Data'!$C$3:$C$2150,$A391,'United Data'!$B$3:$B$2150,"&lt;&gt;P")&gt;0,1,0)</f>
        <v>0</v>
      </c>
      <c r="R391">
        <f>IF(COUNTIFS('United Data'!$A$3:$A$2150,R$1,'United Data'!$C$3:$C$2150,$A391,'United Data'!$B$3:$B$2150,"&lt;&gt;P")&gt;0,1,0)</f>
        <v>0</v>
      </c>
      <c r="S391">
        <f t="shared" si="12"/>
        <v>1</v>
      </c>
      <c r="T391">
        <f t="shared" si="13"/>
        <v>1</v>
      </c>
    </row>
    <row r="392" spans="1:20" x14ac:dyDescent="0.2">
      <c r="A392" t="s">
        <v>437</v>
      </c>
      <c r="B392">
        <f>IF(COUNTIFS('United Data'!$A$3:$A$2150,B$1,'United Data'!$C$3:$C$2150,$A392,'United Data'!$B$3:$B$2150,"&lt;&gt;P")&gt;0,1,0)</f>
        <v>0</v>
      </c>
      <c r="C392">
        <f>IF(COUNTIFS('United Data'!$A$3:$A$2150,C$1,'United Data'!$C$3:$C$2150,$A392,'United Data'!$B$3:$B$2150,"&lt;&gt;P")&gt;0,1,0)</f>
        <v>0</v>
      </c>
      <c r="D392">
        <f>IF(COUNTIFS('United Data'!$A$3:$A$2150,D$1,'United Data'!$C$3:$C$2150,$A392,'United Data'!$B$3:$B$2150,"&lt;&gt;P")&gt;0,1,0)</f>
        <v>0</v>
      </c>
      <c r="E392">
        <f>IF(COUNTIFS('United Data'!$A$3:$A$2150,E$1,'United Data'!$C$3:$C$2150,$A392,'United Data'!$B$3:$B$2150,"&lt;&gt;P")&gt;0,1,0)</f>
        <v>0</v>
      </c>
      <c r="F392">
        <f>IF(COUNTIFS('United Data'!$A$3:$A$2150,F$1,'United Data'!$C$3:$C$2150,$A392,'United Data'!$B$3:$B$2150,"&lt;&gt;P")&gt;0,1,0)</f>
        <v>0</v>
      </c>
      <c r="G392">
        <f>IF(COUNTIFS('United Data'!$A$3:$A$2150,G$1,'United Data'!$C$3:$C$2150,$A392,'United Data'!$B$3:$B$2150,"&lt;&gt;P")&gt;0,1,0)</f>
        <v>0</v>
      </c>
      <c r="H392">
        <f>IF(COUNTIFS('United Data'!$A$3:$A$2150,H$1,'United Data'!$C$3:$C$2150,$A392,'United Data'!$B$3:$B$2150,"&lt;&gt;P")&gt;0,1,0)</f>
        <v>0</v>
      </c>
      <c r="I392">
        <f>IF(COUNTIFS('United Data'!$A$3:$A$2150,I$1,'United Data'!$C$3:$C$2150,$A392,'United Data'!$B$3:$B$2150,"&lt;&gt;P")&gt;0,1,0)</f>
        <v>0</v>
      </c>
      <c r="J392">
        <f>IF(COUNTIFS('United Data'!$A$3:$A$2150,J$1,'United Data'!$C$3:$C$2150,$A392,'United Data'!$B$3:$B$2150,"&lt;&gt;P")&gt;0,1,0)</f>
        <v>0</v>
      </c>
      <c r="K392">
        <f>IF(COUNTIFS('United Data'!$A$3:$A$2150,K$1,'United Data'!$C$3:$C$2150,$A392,'United Data'!$B$3:$B$2150,"&lt;&gt;P")&gt;0,1,0)</f>
        <v>0</v>
      </c>
      <c r="L392">
        <f>IF(COUNTIFS('United Data'!$A$3:$A$2150,L$1,'United Data'!$C$3:$C$2150,$A392,'United Data'!$B$3:$B$2150,"&lt;&gt;P")&gt;0,1,0)</f>
        <v>1</v>
      </c>
      <c r="M392">
        <f>IF(COUNTIFS('United Data'!$A$3:$A$2150,M$1,'United Data'!$C$3:$C$2150,$A392,'United Data'!$B$3:$B$2150,"&lt;&gt;P")&gt;0,1,0)</f>
        <v>1</v>
      </c>
      <c r="N392">
        <f>IF(COUNTIFS('United Data'!$A$3:$A$2150,N$1,'United Data'!$C$3:$C$2150,$A392,'United Data'!$B$3:$B$2150,"&lt;&gt;P")&gt;0,1,0)</f>
        <v>1</v>
      </c>
      <c r="O392">
        <f>IF(COUNTIFS('United Data'!$A$3:$A$2150,O$1,'United Data'!$C$3:$C$2150,$A392,'United Data'!$B$3:$B$2150,"&lt;&gt;P")&gt;0,1,0)</f>
        <v>1</v>
      </c>
      <c r="P392">
        <f>IF(COUNTIFS('United Data'!$A$3:$A$2150,P$1,'United Data'!$C$3:$C$2150,$A392,'United Data'!$B$3:$B$2150,"&lt;&gt;P")&gt;0,1,0)</f>
        <v>0</v>
      </c>
      <c r="Q392">
        <f>IF(COUNTIFS('United Data'!$A$3:$A$2150,Q$1,'United Data'!$C$3:$C$2150,$A392,'United Data'!$B$3:$B$2150,"&lt;&gt;P")&gt;0,1,0)</f>
        <v>0</v>
      </c>
      <c r="R392">
        <f>IF(COUNTIFS('United Data'!$A$3:$A$2150,R$1,'United Data'!$C$3:$C$2150,$A392,'United Data'!$B$3:$B$2150,"&lt;&gt;P")&gt;0,1,0)</f>
        <v>0</v>
      </c>
      <c r="S392">
        <f t="shared" si="12"/>
        <v>4</v>
      </c>
      <c r="T392">
        <f t="shared" si="13"/>
        <v>1</v>
      </c>
    </row>
    <row r="393" spans="1:20" x14ac:dyDescent="0.2">
      <c r="A393" t="s">
        <v>438</v>
      </c>
      <c r="B393">
        <f>IF(COUNTIFS('United Data'!$A$3:$A$2150,B$1,'United Data'!$C$3:$C$2150,$A393,'United Data'!$B$3:$B$2150,"&lt;&gt;P")&gt;0,1,0)</f>
        <v>0</v>
      </c>
      <c r="C393">
        <f>IF(COUNTIFS('United Data'!$A$3:$A$2150,C$1,'United Data'!$C$3:$C$2150,$A393,'United Data'!$B$3:$B$2150,"&lt;&gt;P")&gt;0,1,0)</f>
        <v>0</v>
      </c>
      <c r="D393">
        <f>IF(COUNTIFS('United Data'!$A$3:$A$2150,D$1,'United Data'!$C$3:$C$2150,$A393,'United Data'!$B$3:$B$2150,"&lt;&gt;P")&gt;0,1,0)</f>
        <v>0</v>
      </c>
      <c r="E393">
        <f>IF(COUNTIFS('United Data'!$A$3:$A$2150,E$1,'United Data'!$C$3:$C$2150,$A393,'United Data'!$B$3:$B$2150,"&lt;&gt;P")&gt;0,1,0)</f>
        <v>0</v>
      </c>
      <c r="F393">
        <f>IF(COUNTIFS('United Data'!$A$3:$A$2150,F$1,'United Data'!$C$3:$C$2150,$A393,'United Data'!$B$3:$B$2150,"&lt;&gt;P")&gt;0,1,0)</f>
        <v>0</v>
      </c>
      <c r="G393">
        <f>IF(COUNTIFS('United Data'!$A$3:$A$2150,G$1,'United Data'!$C$3:$C$2150,$A393,'United Data'!$B$3:$B$2150,"&lt;&gt;P")&gt;0,1,0)</f>
        <v>0</v>
      </c>
      <c r="H393">
        <f>IF(COUNTIFS('United Data'!$A$3:$A$2150,H$1,'United Data'!$C$3:$C$2150,$A393,'United Data'!$B$3:$B$2150,"&lt;&gt;P")&gt;0,1,0)</f>
        <v>0</v>
      </c>
      <c r="I393">
        <f>IF(COUNTIFS('United Data'!$A$3:$A$2150,I$1,'United Data'!$C$3:$C$2150,$A393,'United Data'!$B$3:$B$2150,"&lt;&gt;P")&gt;0,1,0)</f>
        <v>0</v>
      </c>
      <c r="J393">
        <f>IF(COUNTIFS('United Data'!$A$3:$A$2150,J$1,'United Data'!$C$3:$C$2150,$A393,'United Data'!$B$3:$B$2150,"&lt;&gt;P")&gt;0,1,0)</f>
        <v>0</v>
      </c>
      <c r="K393">
        <f>IF(COUNTIFS('United Data'!$A$3:$A$2150,K$1,'United Data'!$C$3:$C$2150,$A393,'United Data'!$B$3:$B$2150,"&lt;&gt;P")&gt;0,1,0)</f>
        <v>0</v>
      </c>
      <c r="L393">
        <f>IF(COUNTIFS('United Data'!$A$3:$A$2150,L$1,'United Data'!$C$3:$C$2150,$A393,'United Data'!$B$3:$B$2150,"&lt;&gt;P")&gt;0,1,0)</f>
        <v>0</v>
      </c>
      <c r="M393">
        <f>IF(COUNTIFS('United Data'!$A$3:$A$2150,M$1,'United Data'!$C$3:$C$2150,$A393,'United Data'!$B$3:$B$2150,"&lt;&gt;P")&gt;0,1,0)</f>
        <v>1</v>
      </c>
      <c r="N393">
        <f>IF(COUNTIFS('United Data'!$A$3:$A$2150,N$1,'United Data'!$C$3:$C$2150,$A393,'United Data'!$B$3:$B$2150,"&lt;&gt;P")&gt;0,1,0)</f>
        <v>0</v>
      </c>
      <c r="O393">
        <f>IF(COUNTIFS('United Data'!$A$3:$A$2150,O$1,'United Data'!$C$3:$C$2150,$A393,'United Data'!$B$3:$B$2150,"&lt;&gt;P")&gt;0,1,0)</f>
        <v>0</v>
      </c>
      <c r="P393">
        <f>IF(COUNTIFS('United Data'!$A$3:$A$2150,P$1,'United Data'!$C$3:$C$2150,$A393,'United Data'!$B$3:$B$2150,"&lt;&gt;P")&gt;0,1,0)</f>
        <v>0</v>
      </c>
      <c r="Q393">
        <f>IF(COUNTIFS('United Data'!$A$3:$A$2150,Q$1,'United Data'!$C$3:$C$2150,$A393,'United Data'!$B$3:$B$2150,"&lt;&gt;P")&gt;0,1,0)</f>
        <v>0</v>
      </c>
      <c r="R393">
        <f>IF(COUNTIFS('United Data'!$A$3:$A$2150,R$1,'United Data'!$C$3:$C$2150,$A393,'United Data'!$B$3:$B$2150,"&lt;&gt;P")&gt;0,1,0)</f>
        <v>0</v>
      </c>
      <c r="S393">
        <f t="shared" si="12"/>
        <v>1</v>
      </c>
      <c r="T393">
        <f t="shared" si="13"/>
        <v>1</v>
      </c>
    </row>
    <row r="394" spans="1:20" x14ac:dyDescent="0.2">
      <c r="A394" t="s">
        <v>439</v>
      </c>
      <c r="B394">
        <f>IF(COUNTIFS('United Data'!$A$3:$A$2150,B$1,'United Data'!$C$3:$C$2150,$A394,'United Data'!$B$3:$B$2150,"&lt;&gt;P")&gt;0,1,0)</f>
        <v>0</v>
      </c>
      <c r="C394">
        <f>IF(COUNTIFS('United Data'!$A$3:$A$2150,C$1,'United Data'!$C$3:$C$2150,$A394,'United Data'!$B$3:$B$2150,"&lt;&gt;P")&gt;0,1,0)</f>
        <v>0</v>
      </c>
      <c r="D394">
        <f>IF(COUNTIFS('United Data'!$A$3:$A$2150,D$1,'United Data'!$C$3:$C$2150,$A394,'United Data'!$B$3:$B$2150,"&lt;&gt;P")&gt;0,1,0)</f>
        <v>0</v>
      </c>
      <c r="E394">
        <f>IF(COUNTIFS('United Data'!$A$3:$A$2150,E$1,'United Data'!$C$3:$C$2150,$A394,'United Data'!$B$3:$B$2150,"&lt;&gt;P")&gt;0,1,0)</f>
        <v>0</v>
      </c>
      <c r="F394">
        <f>IF(COUNTIFS('United Data'!$A$3:$A$2150,F$1,'United Data'!$C$3:$C$2150,$A394,'United Data'!$B$3:$B$2150,"&lt;&gt;P")&gt;0,1,0)</f>
        <v>0</v>
      </c>
      <c r="G394">
        <f>IF(COUNTIFS('United Data'!$A$3:$A$2150,G$1,'United Data'!$C$3:$C$2150,$A394,'United Data'!$B$3:$B$2150,"&lt;&gt;P")&gt;0,1,0)</f>
        <v>0</v>
      </c>
      <c r="H394">
        <f>IF(COUNTIFS('United Data'!$A$3:$A$2150,H$1,'United Data'!$C$3:$C$2150,$A394,'United Data'!$B$3:$B$2150,"&lt;&gt;P")&gt;0,1,0)</f>
        <v>0</v>
      </c>
      <c r="I394">
        <f>IF(COUNTIFS('United Data'!$A$3:$A$2150,I$1,'United Data'!$C$3:$C$2150,$A394,'United Data'!$B$3:$B$2150,"&lt;&gt;P")&gt;0,1,0)</f>
        <v>0</v>
      </c>
      <c r="J394">
        <f>IF(COUNTIFS('United Data'!$A$3:$A$2150,J$1,'United Data'!$C$3:$C$2150,$A394,'United Data'!$B$3:$B$2150,"&lt;&gt;P")&gt;0,1,0)</f>
        <v>0</v>
      </c>
      <c r="K394">
        <f>IF(COUNTIFS('United Data'!$A$3:$A$2150,K$1,'United Data'!$C$3:$C$2150,$A394,'United Data'!$B$3:$B$2150,"&lt;&gt;P")&gt;0,1,0)</f>
        <v>0</v>
      </c>
      <c r="L394">
        <f>IF(COUNTIFS('United Data'!$A$3:$A$2150,L$1,'United Data'!$C$3:$C$2150,$A394,'United Data'!$B$3:$B$2150,"&lt;&gt;P")&gt;0,1,0)</f>
        <v>0</v>
      </c>
      <c r="M394">
        <f>IF(COUNTIFS('United Data'!$A$3:$A$2150,M$1,'United Data'!$C$3:$C$2150,$A394,'United Data'!$B$3:$B$2150,"&lt;&gt;P")&gt;0,1,0)</f>
        <v>1</v>
      </c>
      <c r="N394">
        <f>IF(COUNTIFS('United Data'!$A$3:$A$2150,N$1,'United Data'!$C$3:$C$2150,$A394,'United Data'!$B$3:$B$2150,"&lt;&gt;P")&gt;0,1,0)</f>
        <v>0</v>
      </c>
      <c r="O394">
        <f>IF(COUNTIFS('United Data'!$A$3:$A$2150,O$1,'United Data'!$C$3:$C$2150,$A394,'United Data'!$B$3:$B$2150,"&lt;&gt;P")&gt;0,1,0)</f>
        <v>0</v>
      </c>
      <c r="P394">
        <f>IF(COUNTIFS('United Data'!$A$3:$A$2150,P$1,'United Data'!$C$3:$C$2150,$A394,'United Data'!$B$3:$B$2150,"&lt;&gt;P")&gt;0,1,0)</f>
        <v>1</v>
      </c>
      <c r="Q394">
        <f>IF(COUNTIFS('United Data'!$A$3:$A$2150,Q$1,'United Data'!$C$3:$C$2150,$A394,'United Data'!$B$3:$B$2150,"&lt;&gt;P")&gt;0,1,0)</f>
        <v>0</v>
      </c>
      <c r="R394">
        <f>IF(COUNTIFS('United Data'!$A$3:$A$2150,R$1,'United Data'!$C$3:$C$2150,$A394,'United Data'!$B$3:$B$2150,"&lt;&gt;P")&gt;0,1,0)</f>
        <v>0</v>
      </c>
      <c r="S394">
        <f t="shared" si="12"/>
        <v>2</v>
      </c>
      <c r="T394">
        <f t="shared" si="13"/>
        <v>2</v>
      </c>
    </row>
    <row r="395" spans="1:20" x14ac:dyDescent="0.2">
      <c r="A395" t="s">
        <v>440</v>
      </c>
      <c r="B395">
        <f>IF(COUNTIFS('United Data'!$A$3:$A$2150,B$1,'United Data'!$C$3:$C$2150,$A395,'United Data'!$B$3:$B$2150,"&lt;&gt;P")&gt;0,1,0)</f>
        <v>0</v>
      </c>
      <c r="C395">
        <f>IF(COUNTIFS('United Data'!$A$3:$A$2150,C$1,'United Data'!$C$3:$C$2150,$A395,'United Data'!$B$3:$B$2150,"&lt;&gt;P")&gt;0,1,0)</f>
        <v>0</v>
      </c>
      <c r="D395">
        <f>IF(COUNTIFS('United Data'!$A$3:$A$2150,D$1,'United Data'!$C$3:$C$2150,$A395,'United Data'!$B$3:$B$2150,"&lt;&gt;P")&gt;0,1,0)</f>
        <v>0</v>
      </c>
      <c r="E395">
        <f>IF(COUNTIFS('United Data'!$A$3:$A$2150,E$1,'United Data'!$C$3:$C$2150,$A395,'United Data'!$B$3:$B$2150,"&lt;&gt;P")&gt;0,1,0)</f>
        <v>0</v>
      </c>
      <c r="F395">
        <f>IF(COUNTIFS('United Data'!$A$3:$A$2150,F$1,'United Data'!$C$3:$C$2150,$A395,'United Data'!$B$3:$B$2150,"&lt;&gt;P")&gt;0,1,0)</f>
        <v>0</v>
      </c>
      <c r="G395">
        <f>IF(COUNTIFS('United Data'!$A$3:$A$2150,G$1,'United Data'!$C$3:$C$2150,$A395,'United Data'!$B$3:$B$2150,"&lt;&gt;P")&gt;0,1,0)</f>
        <v>0</v>
      </c>
      <c r="H395">
        <f>IF(COUNTIFS('United Data'!$A$3:$A$2150,H$1,'United Data'!$C$3:$C$2150,$A395,'United Data'!$B$3:$B$2150,"&lt;&gt;P")&gt;0,1,0)</f>
        <v>0</v>
      </c>
      <c r="I395">
        <f>IF(COUNTIFS('United Data'!$A$3:$A$2150,I$1,'United Data'!$C$3:$C$2150,$A395,'United Data'!$B$3:$B$2150,"&lt;&gt;P")&gt;0,1,0)</f>
        <v>0</v>
      </c>
      <c r="J395">
        <f>IF(COUNTIFS('United Data'!$A$3:$A$2150,J$1,'United Data'!$C$3:$C$2150,$A395,'United Data'!$B$3:$B$2150,"&lt;&gt;P")&gt;0,1,0)</f>
        <v>0</v>
      </c>
      <c r="K395">
        <f>IF(COUNTIFS('United Data'!$A$3:$A$2150,K$1,'United Data'!$C$3:$C$2150,$A395,'United Data'!$B$3:$B$2150,"&lt;&gt;P")&gt;0,1,0)</f>
        <v>0</v>
      </c>
      <c r="L395">
        <f>IF(COUNTIFS('United Data'!$A$3:$A$2150,L$1,'United Data'!$C$3:$C$2150,$A395,'United Data'!$B$3:$B$2150,"&lt;&gt;P")&gt;0,1,0)</f>
        <v>0</v>
      </c>
      <c r="M395">
        <f>IF(COUNTIFS('United Data'!$A$3:$A$2150,M$1,'United Data'!$C$3:$C$2150,$A395,'United Data'!$B$3:$B$2150,"&lt;&gt;P")&gt;0,1,0)</f>
        <v>1</v>
      </c>
      <c r="N395">
        <f>IF(COUNTIFS('United Data'!$A$3:$A$2150,N$1,'United Data'!$C$3:$C$2150,$A395,'United Data'!$B$3:$B$2150,"&lt;&gt;P")&gt;0,1,0)</f>
        <v>0</v>
      </c>
      <c r="O395">
        <f>IF(COUNTIFS('United Data'!$A$3:$A$2150,O$1,'United Data'!$C$3:$C$2150,$A395,'United Data'!$B$3:$B$2150,"&lt;&gt;P")&gt;0,1,0)</f>
        <v>0</v>
      </c>
      <c r="P395">
        <f>IF(COUNTIFS('United Data'!$A$3:$A$2150,P$1,'United Data'!$C$3:$C$2150,$A395,'United Data'!$B$3:$B$2150,"&lt;&gt;P")&gt;0,1,0)</f>
        <v>0</v>
      </c>
      <c r="Q395">
        <f>IF(COUNTIFS('United Data'!$A$3:$A$2150,Q$1,'United Data'!$C$3:$C$2150,$A395,'United Data'!$B$3:$B$2150,"&lt;&gt;P")&gt;0,1,0)</f>
        <v>0</v>
      </c>
      <c r="R395">
        <f>IF(COUNTIFS('United Data'!$A$3:$A$2150,R$1,'United Data'!$C$3:$C$2150,$A395,'United Data'!$B$3:$B$2150,"&lt;&gt;P")&gt;0,1,0)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441</v>
      </c>
      <c r="B396">
        <f>IF(COUNTIFS('United Data'!$A$3:$A$2150,B$1,'United Data'!$C$3:$C$2150,$A396,'United Data'!$B$3:$B$2150,"&lt;&gt;P")&gt;0,1,0)</f>
        <v>0</v>
      </c>
      <c r="C396">
        <f>IF(COUNTIFS('United Data'!$A$3:$A$2150,C$1,'United Data'!$C$3:$C$2150,$A396,'United Data'!$B$3:$B$2150,"&lt;&gt;P")&gt;0,1,0)</f>
        <v>0</v>
      </c>
      <c r="D396">
        <f>IF(COUNTIFS('United Data'!$A$3:$A$2150,D$1,'United Data'!$C$3:$C$2150,$A396,'United Data'!$B$3:$B$2150,"&lt;&gt;P")&gt;0,1,0)</f>
        <v>0</v>
      </c>
      <c r="E396">
        <f>IF(COUNTIFS('United Data'!$A$3:$A$2150,E$1,'United Data'!$C$3:$C$2150,$A396,'United Data'!$B$3:$B$2150,"&lt;&gt;P")&gt;0,1,0)</f>
        <v>0</v>
      </c>
      <c r="F396">
        <f>IF(COUNTIFS('United Data'!$A$3:$A$2150,F$1,'United Data'!$C$3:$C$2150,$A396,'United Data'!$B$3:$B$2150,"&lt;&gt;P")&gt;0,1,0)</f>
        <v>0</v>
      </c>
      <c r="G396">
        <f>IF(COUNTIFS('United Data'!$A$3:$A$2150,G$1,'United Data'!$C$3:$C$2150,$A396,'United Data'!$B$3:$B$2150,"&lt;&gt;P")&gt;0,1,0)</f>
        <v>0</v>
      </c>
      <c r="H396">
        <f>IF(COUNTIFS('United Data'!$A$3:$A$2150,H$1,'United Data'!$C$3:$C$2150,$A396,'United Data'!$B$3:$B$2150,"&lt;&gt;P")&gt;0,1,0)</f>
        <v>0</v>
      </c>
      <c r="I396">
        <f>IF(COUNTIFS('United Data'!$A$3:$A$2150,I$1,'United Data'!$C$3:$C$2150,$A396,'United Data'!$B$3:$B$2150,"&lt;&gt;P")&gt;0,1,0)</f>
        <v>0</v>
      </c>
      <c r="J396">
        <f>IF(COUNTIFS('United Data'!$A$3:$A$2150,J$1,'United Data'!$C$3:$C$2150,$A396,'United Data'!$B$3:$B$2150,"&lt;&gt;P")&gt;0,1,0)</f>
        <v>0</v>
      </c>
      <c r="K396">
        <f>IF(COUNTIFS('United Data'!$A$3:$A$2150,K$1,'United Data'!$C$3:$C$2150,$A396,'United Data'!$B$3:$B$2150,"&lt;&gt;P")&gt;0,1,0)</f>
        <v>0</v>
      </c>
      <c r="L396">
        <f>IF(COUNTIFS('United Data'!$A$3:$A$2150,L$1,'United Data'!$C$3:$C$2150,$A396,'United Data'!$B$3:$B$2150,"&lt;&gt;P")&gt;0,1,0)</f>
        <v>0</v>
      </c>
      <c r="M396">
        <f>IF(COUNTIFS('United Data'!$A$3:$A$2150,M$1,'United Data'!$C$3:$C$2150,$A396,'United Data'!$B$3:$B$2150,"&lt;&gt;P")&gt;0,1,0)</f>
        <v>1</v>
      </c>
      <c r="N396">
        <f>IF(COUNTIFS('United Data'!$A$3:$A$2150,N$1,'United Data'!$C$3:$C$2150,$A396,'United Data'!$B$3:$B$2150,"&lt;&gt;P")&gt;0,1,0)</f>
        <v>0</v>
      </c>
      <c r="O396">
        <f>IF(COUNTIFS('United Data'!$A$3:$A$2150,O$1,'United Data'!$C$3:$C$2150,$A396,'United Data'!$B$3:$B$2150,"&lt;&gt;P")&gt;0,1,0)</f>
        <v>0</v>
      </c>
      <c r="P396">
        <f>IF(COUNTIFS('United Data'!$A$3:$A$2150,P$1,'United Data'!$C$3:$C$2150,$A396,'United Data'!$B$3:$B$2150,"&lt;&gt;P")&gt;0,1,0)</f>
        <v>0</v>
      </c>
      <c r="Q396">
        <f>IF(COUNTIFS('United Data'!$A$3:$A$2150,Q$1,'United Data'!$C$3:$C$2150,$A396,'United Data'!$B$3:$B$2150,"&lt;&gt;P")&gt;0,1,0)</f>
        <v>0</v>
      </c>
      <c r="R396">
        <f>IF(COUNTIFS('United Data'!$A$3:$A$2150,R$1,'United Data'!$C$3:$C$2150,$A396,'United Data'!$B$3:$B$2150,"&lt;&gt;P")&gt;0,1,0)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442</v>
      </c>
      <c r="B397">
        <f>IF(COUNTIFS('United Data'!$A$3:$A$2150,B$1,'United Data'!$C$3:$C$2150,$A397,'United Data'!$B$3:$B$2150,"&lt;&gt;P")&gt;0,1,0)</f>
        <v>0</v>
      </c>
      <c r="C397">
        <f>IF(COUNTIFS('United Data'!$A$3:$A$2150,C$1,'United Data'!$C$3:$C$2150,$A397,'United Data'!$B$3:$B$2150,"&lt;&gt;P")&gt;0,1,0)</f>
        <v>0</v>
      </c>
      <c r="D397">
        <f>IF(COUNTIFS('United Data'!$A$3:$A$2150,D$1,'United Data'!$C$3:$C$2150,$A397,'United Data'!$B$3:$B$2150,"&lt;&gt;P")&gt;0,1,0)</f>
        <v>0</v>
      </c>
      <c r="E397">
        <f>IF(COUNTIFS('United Data'!$A$3:$A$2150,E$1,'United Data'!$C$3:$C$2150,$A397,'United Data'!$B$3:$B$2150,"&lt;&gt;P")&gt;0,1,0)</f>
        <v>0</v>
      </c>
      <c r="F397">
        <f>IF(COUNTIFS('United Data'!$A$3:$A$2150,F$1,'United Data'!$C$3:$C$2150,$A397,'United Data'!$B$3:$B$2150,"&lt;&gt;P")&gt;0,1,0)</f>
        <v>0</v>
      </c>
      <c r="G397">
        <f>IF(COUNTIFS('United Data'!$A$3:$A$2150,G$1,'United Data'!$C$3:$C$2150,$A397,'United Data'!$B$3:$B$2150,"&lt;&gt;P")&gt;0,1,0)</f>
        <v>0</v>
      </c>
      <c r="H397">
        <f>IF(COUNTIFS('United Data'!$A$3:$A$2150,H$1,'United Data'!$C$3:$C$2150,$A397,'United Data'!$B$3:$B$2150,"&lt;&gt;P")&gt;0,1,0)</f>
        <v>0</v>
      </c>
      <c r="I397">
        <f>IF(COUNTIFS('United Data'!$A$3:$A$2150,I$1,'United Data'!$C$3:$C$2150,$A397,'United Data'!$B$3:$B$2150,"&lt;&gt;P")&gt;0,1,0)</f>
        <v>0</v>
      </c>
      <c r="J397">
        <f>IF(COUNTIFS('United Data'!$A$3:$A$2150,J$1,'United Data'!$C$3:$C$2150,$A397,'United Data'!$B$3:$B$2150,"&lt;&gt;P")&gt;0,1,0)</f>
        <v>0</v>
      </c>
      <c r="K397">
        <f>IF(COUNTIFS('United Data'!$A$3:$A$2150,K$1,'United Data'!$C$3:$C$2150,$A397,'United Data'!$B$3:$B$2150,"&lt;&gt;P")&gt;0,1,0)</f>
        <v>0</v>
      </c>
      <c r="L397">
        <f>IF(COUNTIFS('United Data'!$A$3:$A$2150,L$1,'United Data'!$C$3:$C$2150,$A397,'United Data'!$B$3:$B$2150,"&lt;&gt;P")&gt;0,1,0)</f>
        <v>0</v>
      </c>
      <c r="M397">
        <f>IF(COUNTIFS('United Data'!$A$3:$A$2150,M$1,'United Data'!$C$3:$C$2150,$A397,'United Data'!$B$3:$B$2150,"&lt;&gt;P")&gt;0,1,0)</f>
        <v>1</v>
      </c>
      <c r="N397">
        <f>IF(COUNTIFS('United Data'!$A$3:$A$2150,N$1,'United Data'!$C$3:$C$2150,$A397,'United Data'!$B$3:$B$2150,"&lt;&gt;P")&gt;0,1,0)</f>
        <v>1</v>
      </c>
      <c r="O397">
        <f>IF(COUNTIFS('United Data'!$A$3:$A$2150,O$1,'United Data'!$C$3:$C$2150,$A397,'United Data'!$B$3:$B$2150,"&lt;&gt;P")&gt;0,1,0)</f>
        <v>0</v>
      </c>
      <c r="P397">
        <f>IF(COUNTIFS('United Data'!$A$3:$A$2150,P$1,'United Data'!$C$3:$C$2150,$A397,'United Data'!$B$3:$B$2150,"&lt;&gt;P")&gt;0,1,0)</f>
        <v>0</v>
      </c>
      <c r="Q397">
        <f>IF(COUNTIFS('United Data'!$A$3:$A$2150,Q$1,'United Data'!$C$3:$C$2150,$A397,'United Data'!$B$3:$B$2150,"&lt;&gt;P")&gt;0,1,0)</f>
        <v>0</v>
      </c>
      <c r="R397">
        <f>IF(COUNTIFS('United Data'!$A$3:$A$2150,R$1,'United Data'!$C$3:$C$2150,$A397,'United Data'!$B$3:$B$2150,"&lt;&gt;P")&gt;0,1,0)</f>
        <v>0</v>
      </c>
      <c r="S397">
        <f t="shared" si="12"/>
        <v>2</v>
      </c>
      <c r="T397">
        <f t="shared" si="13"/>
        <v>1</v>
      </c>
    </row>
    <row r="398" spans="1:20" x14ac:dyDescent="0.2">
      <c r="A398" t="s">
        <v>443</v>
      </c>
      <c r="B398">
        <f>IF(COUNTIFS('United Data'!$A$3:$A$2150,B$1,'United Data'!$C$3:$C$2150,$A398,'United Data'!$B$3:$B$2150,"&lt;&gt;P")&gt;0,1,0)</f>
        <v>0</v>
      </c>
      <c r="C398">
        <f>IF(COUNTIFS('United Data'!$A$3:$A$2150,C$1,'United Data'!$C$3:$C$2150,$A398,'United Data'!$B$3:$B$2150,"&lt;&gt;P")&gt;0,1,0)</f>
        <v>0</v>
      </c>
      <c r="D398">
        <f>IF(COUNTIFS('United Data'!$A$3:$A$2150,D$1,'United Data'!$C$3:$C$2150,$A398,'United Data'!$B$3:$B$2150,"&lt;&gt;P")&gt;0,1,0)</f>
        <v>0</v>
      </c>
      <c r="E398">
        <f>IF(COUNTIFS('United Data'!$A$3:$A$2150,E$1,'United Data'!$C$3:$C$2150,$A398,'United Data'!$B$3:$B$2150,"&lt;&gt;P")&gt;0,1,0)</f>
        <v>0</v>
      </c>
      <c r="F398">
        <f>IF(COUNTIFS('United Data'!$A$3:$A$2150,F$1,'United Data'!$C$3:$C$2150,$A398,'United Data'!$B$3:$B$2150,"&lt;&gt;P")&gt;0,1,0)</f>
        <v>0</v>
      </c>
      <c r="G398">
        <f>IF(COUNTIFS('United Data'!$A$3:$A$2150,G$1,'United Data'!$C$3:$C$2150,$A398,'United Data'!$B$3:$B$2150,"&lt;&gt;P")&gt;0,1,0)</f>
        <v>0</v>
      </c>
      <c r="H398">
        <f>IF(COUNTIFS('United Data'!$A$3:$A$2150,H$1,'United Data'!$C$3:$C$2150,$A398,'United Data'!$B$3:$B$2150,"&lt;&gt;P")&gt;0,1,0)</f>
        <v>0</v>
      </c>
      <c r="I398">
        <f>IF(COUNTIFS('United Data'!$A$3:$A$2150,I$1,'United Data'!$C$3:$C$2150,$A398,'United Data'!$B$3:$B$2150,"&lt;&gt;P")&gt;0,1,0)</f>
        <v>0</v>
      </c>
      <c r="J398">
        <f>IF(COUNTIFS('United Data'!$A$3:$A$2150,J$1,'United Data'!$C$3:$C$2150,$A398,'United Data'!$B$3:$B$2150,"&lt;&gt;P")&gt;0,1,0)</f>
        <v>0</v>
      </c>
      <c r="K398">
        <f>IF(COUNTIFS('United Data'!$A$3:$A$2150,K$1,'United Data'!$C$3:$C$2150,$A398,'United Data'!$B$3:$B$2150,"&lt;&gt;P")&gt;0,1,0)</f>
        <v>0</v>
      </c>
      <c r="L398">
        <f>IF(COUNTIFS('United Data'!$A$3:$A$2150,L$1,'United Data'!$C$3:$C$2150,$A398,'United Data'!$B$3:$B$2150,"&lt;&gt;P")&gt;0,1,0)</f>
        <v>0</v>
      </c>
      <c r="M398">
        <f>IF(COUNTIFS('United Data'!$A$3:$A$2150,M$1,'United Data'!$C$3:$C$2150,$A398,'United Data'!$B$3:$B$2150,"&lt;&gt;P")&gt;0,1,0)</f>
        <v>1</v>
      </c>
      <c r="N398">
        <f>IF(COUNTIFS('United Data'!$A$3:$A$2150,N$1,'United Data'!$C$3:$C$2150,$A398,'United Data'!$B$3:$B$2150,"&lt;&gt;P")&gt;0,1,0)</f>
        <v>0</v>
      </c>
      <c r="O398">
        <f>IF(COUNTIFS('United Data'!$A$3:$A$2150,O$1,'United Data'!$C$3:$C$2150,$A398,'United Data'!$B$3:$B$2150,"&lt;&gt;P")&gt;0,1,0)</f>
        <v>0</v>
      </c>
      <c r="P398">
        <f>IF(COUNTIFS('United Data'!$A$3:$A$2150,P$1,'United Data'!$C$3:$C$2150,$A398,'United Data'!$B$3:$B$2150,"&lt;&gt;P")&gt;0,1,0)</f>
        <v>0</v>
      </c>
      <c r="Q398">
        <f>IF(COUNTIFS('United Data'!$A$3:$A$2150,Q$1,'United Data'!$C$3:$C$2150,$A398,'United Data'!$B$3:$B$2150,"&lt;&gt;P")&gt;0,1,0)</f>
        <v>0</v>
      </c>
      <c r="R398">
        <f>IF(COUNTIFS('United Data'!$A$3:$A$2150,R$1,'United Data'!$C$3:$C$2150,$A398,'United Data'!$B$3:$B$2150,"&lt;&gt;P")&gt;0,1,0)</f>
        <v>0</v>
      </c>
      <c r="S398">
        <f t="shared" si="12"/>
        <v>1</v>
      </c>
      <c r="T398">
        <f t="shared" si="13"/>
        <v>1</v>
      </c>
    </row>
    <row r="399" spans="1:20" x14ac:dyDescent="0.2">
      <c r="A399" t="s">
        <v>444</v>
      </c>
      <c r="B399">
        <f>IF(COUNTIFS('United Data'!$A$3:$A$2150,B$1,'United Data'!$C$3:$C$2150,$A399,'United Data'!$B$3:$B$2150,"&lt;&gt;P")&gt;0,1,0)</f>
        <v>0</v>
      </c>
      <c r="C399">
        <f>IF(COUNTIFS('United Data'!$A$3:$A$2150,C$1,'United Data'!$C$3:$C$2150,$A399,'United Data'!$B$3:$B$2150,"&lt;&gt;P")&gt;0,1,0)</f>
        <v>0</v>
      </c>
      <c r="D399">
        <f>IF(COUNTIFS('United Data'!$A$3:$A$2150,D$1,'United Data'!$C$3:$C$2150,$A399,'United Data'!$B$3:$B$2150,"&lt;&gt;P")&gt;0,1,0)</f>
        <v>0</v>
      </c>
      <c r="E399">
        <f>IF(COUNTIFS('United Data'!$A$3:$A$2150,E$1,'United Data'!$C$3:$C$2150,$A399,'United Data'!$B$3:$B$2150,"&lt;&gt;P")&gt;0,1,0)</f>
        <v>0</v>
      </c>
      <c r="F399">
        <f>IF(COUNTIFS('United Data'!$A$3:$A$2150,F$1,'United Data'!$C$3:$C$2150,$A399,'United Data'!$B$3:$B$2150,"&lt;&gt;P")&gt;0,1,0)</f>
        <v>0</v>
      </c>
      <c r="G399">
        <f>IF(COUNTIFS('United Data'!$A$3:$A$2150,G$1,'United Data'!$C$3:$C$2150,$A399,'United Data'!$B$3:$B$2150,"&lt;&gt;P")&gt;0,1,0)</f>
        <v>0</v>
      </c>
      <c r="H399">
        <f>IF(COUNTIFS('United Data'!$A$3:$A$2150,H$1,'United Data'!$C$3:$C$2150,$A399,'United Data'!$B$3:$B$2150,"&lt;&gt;P")&gt;0,1,0)</f>
        <v>0</v>
      </c>
      <c r="I399">
        <f>IF(COUNTIFS('United Data'!$A$3:$A$2150,I$1,'United Data'!$C$3:$C$2150,$A399,'United Data'!$B$3:$B$2150,"&lt;&gt;P")&gt;0,1,0)</f>
        <v>0</v>
      </c>
      <c r="J399">
        <f>IF(COUNTIFS('United Data'!$A$3:$A$2150,J$1,'United Data'!$C$3:$C$2150,$A399,'United Data'!$B$3:$B$2150,"&lt;&gt;P")&gt;0,1,0)</f>
        <v>0</v>
      </c>
      <c r="K399">
        <f>IF(COUNTIFS('United Data'!$A$3:$A$2150,K$1,'United Data'!$C$3:$C$2150,$A399,'United Data'!$B$3:$B$2150,"&lt;&gt;P")&gt;0,1,0)</f>
        <v>0</v>
      </c>
      <c r="L399">
        <f>IF(COUNTIFS('United Data'!$A$3:$A$2150,L$1,'United Data'!$C$3:$C$2150,$A399,'United Data'!$B$3:$B$2150,"&lt;&gt;P")&gt;0,1,0)</f>
        <v>0</v>
      </c>
      <c r="M399">
        <f>IF(COUNTIFS('United Data'!$A$3:$A$2150,M$1,'United Data'!$C$3:$C$2150,$A399,'United Data'!$B$3:$B$2150,"&lt;&gt;P")&gt;0,1,0)</f>
        <v>0</v>
      </c>
      <c r="N399">
        <f>IF(COUNTIFS('United Data'!$A$3:$A$2150,N$1,'United Data'!$C$3:$C$2150,$A399,'United Data'!$B$3:$B$2150,"&lt;&gt;P")&gt;0,1,0)</f>
        <v>1</v>
      </c>
      <c r="O399">
        <f>IF(COUNTIFS('United Data'!$A$3:$A$2150,O$1,'United Data'!$C$3:$C$2150,$A399,'United Data'!$B$3:$B$2150,"&lt;&gt;P")&gt;0,1,0)</f>
        <v>0</v>
      </c>
      <c r="P399">
        <f>IF(COUNTIFS('United Data'!$A$3:$A$2150,P$1,'United Data'!$C$3:$C$2150,$A399,'United Data'!$B$3:$B$2150,"&lt;&gt;P")&gt;0,1,0)</f>
        <v>0</v>
      </c>
      <c r="Q399">
        <f>IF(COUNTIFS('United Data'!$A$3:$A$2150,Q$1,'United Data'!$C$3:$C$2150,$A399,'United Data'!$B$3:$B$2150,"&lt;&gt;P")&gt;0,1,0)</f>
        <v>0</v>
      </c>
      <c r="R399">
        <f>IF(COUNTIFS('United Data'!$A$3:$A$2150,R$1,'United Data'!$C$3:$C$2150,$A399,'United Data'!$B$3:$B$2150,"&lt;&gt;P")&gt;0,1,0)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445</v>
      </c>
      <c r="B400">
        <f>IF(COUNTIFS('United Data'!$A$3:$A$2150,B$1,'United Data'!$C$3:$C$2150,$A400,'United Data'!$B$3:$B$2150,"&lt;&gt;P")&gt;0,1,0)</f>
        <v>0</v>
      </c>
      <c r="C400">
        <f>IF(COUNTIFS('United Data'!$A$3:$A$2150,C$1,'United Data'!$C$3:$C$2150,$A400,'United Data'!$B$3:$B$2150,"&lt;&gt;P")&gt;0,1,0)</f>
        <v>0</v>
      </c>
      <c r="D400">
        <f>IF(COUNTIFS('United Data'!$A$3:$A$2150,D$1,'United Data'!$C$3:$C$2150,$A400,'United Data'!$B$3:$B$2150,"&lt;&gt;P")&gt;0,1,0)</f>
        <v>0</v>
      </c>
      <c r="E400">
        <f>IF(COUNTIFS('United Data'!$A$3:$A$2150,E$1,'United Data'!$C$3:$C$2150,$A400,'United Data'!$B$3:$B$2150,"&lt;&gt;P")&gt;0,1,0)</f>
        <v>0</v>
      </c>
      <c r="F400">
        <f>IF(COUNTIFS('United Data'!$A$3:$A$2150,F$1,'United Data'!$C$3:$C$2150,$A400,'United Data'!$B$3:$B$2150,"&lt;&gt;P")&gt;0,1,0)</f>
        <v>0</v>
      </c>
      <c r="G400">
        <f>IF(COUNTIFS('United Data'!$A$3:$A$2150,G$1,'United Data'!$C$3:$C$2150,$A400,'United Data'!$B$3:$B$2150,"&lt;&gt;P")&gt;0,1,0)</f>
        <v>0</v>
      </c>
      <c r="H400">
        <f>IF(COUNTIFS('United Data'!$A$3:$A$2150,H$1,'United Data'!$C$3:$C$2150,$A400,'United Data'!$B$3:$B$2150,"&lt;&gt;P")&gt;0,1,0)</f>
        <v>0</v>
      </c>
      <c r="I400">
        <f>IF(COUNTIFS('United Data'!$A$3:$A$2150,I$1,'United Data'!$C$3:$C$2150,$A400,'United Data'!$B$3:$B$2150,"&lt;&gt;P")&gt;0,1,0)</f>
        <v>0</v>
      </c>
      <c r="J400">
        <f>IF(COUNTIFS('United Data'!$A$3:$A$2150,J$1,'United Data'!$C$3:$C$2150,$A400,'United Data'!$B$3:$B$2150,"&lt;&gt;P")&gt;0,1,0)</f>
        <v>0</v>
      </c>
      <c r="K400">
        <f>IF(COUNTIFS('United Data'!$A$3:$A$2150,K$1,'United Data'!$C$3:$C$2150,$A400,'United Data'!$B$3:$B$2150,"&lt;&gt;P")&gt;0,1,0)</f>
        <v>0</v>
      </c>
      <c r="L400">
        <f>IF(COUNTIFS('United Data'!$A$3:$A$2150,L$1,'United Data'!$C$3:$C$2150,$A400,'United Data'!$B$3:$B$2150,"&lt;&gt;P")&gt;0,1,0)</f>
        <v>0</v>
      </c>
      <c r="M400">
        <f>IF(COUNTIFS('United Data'!$A$3:$A$2150,M$1,'United Data'!$C$3:$C$2150,$A400,'United Data'!$B$3:$B$2150,"&lt;&gt;P")&gt;0,1,0)</f>
        <v>0</v>
      </c>
      <c r="N400">
        <f>IF(COUNTIFS('United Data'!$A$3:$A$2150,N$1,'United Data'!$C$3:$C$2150,$A400,'United Data'!$B$3:$B$2150,"&lt;&gt;P")&gt;0,1,0)</f>
        <v>1</v>
      </c>
      <c r="O400">
        <f>IF(COUNTIFS('United Data'!$A$3:$A$2150,O$1,'United Data'!$C$3:$C$2150,$A400,'United Data'!$B$3:$B$2150,"&lt;&gt;P")&gt;0,1,0)</f>
        <v>0</v>
      </c>
      <c r="P400">
        <f>IF(COUNTIFS('United Data'!$A$3:$A$2150,P$1,'United Data'!$C$3:$C$2150,$A400,'United Data'!$B$3:$B$2150,"&lt;&gt;P")&gt;0,1,0)</f>
        <v>0</v>
      </c>
      <c r="Q400">
        <f>IF(COUNTIFS('United Data'!$A$3:$A$2150,Q$1,'United Data'!$C$3:$C$2150,$A400,'United Data'!$B$3:$B$2150,"&lt;&gt;P")&gt;0,1,0)</f>
        <v>0</v>
      </c>
      <c r="R400">
        <f>IF(COUNTIFS('United Data'!$A$3:$A$2150,R$1,'United Data'!$C$3:$C$2150,$A400,'United Data'!$B$3:$B$2150,"&lt;&gt;P")&gt;0,1,0)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446</v>
      </c>
      <c r="B401">
        <f>IF(COUNTIFS('United Data'!$A$3:$A$2150,B$1,'United Data'!$C$3:$C$2150,$A401,'United Data'!$B$3:$B$2150,"&lt;&gt;P")&gt;0,1,0)</f>
        <v>0</v>
      </c>
      <c r="C401">
        <f>IF(COUNTIFS('United Data'!$A$3:$A$2150,C$1,'United Data'!$C$3:$C$2150,$A401,'United Data'!$B$3:$B$2150,"&lt;&gt;P")&gt;0,1,0)</f>
        <v>0</v>
      </c>
      <c r="D401">
        <f>IF(COUNTIFS('United Data'!$A$3:$A$2150,D$1,'United Data'!$C$3:$C$2150,$A401,'United Data'!$B$3:$B$2150,"&lt;&gt;P")&gt;0,1,0)</f>
        <v>0</v>
      </c>
      <c r="E401">
        <f>IF(COUNTIFS('United Data'!$A$3:$A$2150,E$1,'United Data'!$C$3:$C$2150,$A401,'United Data'!$B$3:$B$2150,"&lt;&gt;P")&gt;0,1,0)</f>
        <v>0</v>
      </c>
      <c r="F401">
        <f>IF(COUNTIFS('United Data'!$A$3:$A$2150,F$1,'United Data'!$C$3:$C$2150,$A401,'United Data'!$B$3:$B$2150,"&lt;&gt;P")&gt;0,1,0)</f>
        <v>0</v>
      </c>
      <c r="G401">
        <f>IF(COUNTIFS('United Data'!$A$3:$A$2150,G$1,'United Data'!$C$3:$C$2150,$A401,'United Data'!$B$3:$B$2150,"&lt;&gt;P")&gt;0,1,0)</f>
        <v>0</v>
      </c>
      <c r="H401">
        <f>IF(COUNTIFS('United Data'!$A$3:$A$2150,H$1,'United Data'!$C$3:$C$2150,$A401,'United Data'!$B$3:$B$2150,"&lt;&gt;P")&gt;0,1,0)</f>
        <v>0</v>
      </c>
      <c r="I401">
        <f>IF(COUNTIFS('United Data'!$A$3:$A$2150,I$1,'United Data'!$C$3:$C$2150,$A401,'United Data'!$B$3:$B$2150,"&lt;&gt;P")&gt;0,1,0)</f>
        <v>0</v>
      </c>
      <c r="J401">
        <f>IF(COUNTIFS('United Data'!$A$3:$A$2150,J$1,'United Data'!$C$3:$C$2150,$A401,'United Data'!$B$3:$B$2150,"&lt;&gt;P")&gt;0,1,0)</f>
        <v>0</v>
      </c>
      <c r="K401">
        <f>IF(COUNTIFS('United Data'!$A$3:$A$2150,K$1,'United Data'!$C$3:$C$2150,$A401,'United Data'!$B$3:$B$2150,"&lt;&gt;P")&gt;0,1,0)</f>
        <v>0</v>
      </c>
      <c r="L401">
        <f>IF(COUNTIFS('United Data'!$A$3:$A$2150,L$1,'United Data'!$C$3:$C$2150,$A401,'United Data'!$B$3:$B$2150,"&lt;&gt;P")&gt;0,1,0)</f>
        <v>0</v>
      </c>
      <c r="M401">
        <f>IF(COUNTIFS('United Data'!$A$3:$A$2150,M$1,'United Data'!$C$3:$C$2150,$A401,'United Data'!$B$3:$B$2150,"&lt;&gt;P")&gt;0,1,0)</f>
        <v>0</v>
      </c>
      <c r="N401">
        <f>IF(COUNTIFS('United Data'!$A$3:$A$2150,N$1,'United Data'!$C$3:$C$2150,$A401,'United Data'!$B$3:$B$2150,"&lt;&gt;P")&gt;0,1,0)</f>
        <v>1</v>
      </c>
      <c r="O401">
        <f>IF(COUNTIFS('United Data'!$A$3:$A$2150,O$1,'United Data'!$C$3:$C$2150,$A401,'United Data'!$B$3:$B$2150,"&lt;&gt;P")&gt;0,1,0)</f>
        <v>0</v>
      </c>
      <c r="P401">
        <f>IF(COUNTIFS('United Data'!$A$3:$A$2150,P$1,'United Data'!$C$3:$C$2150,$A401,'United Data'!$B$3:$B$2150,"&lt;&gt;P")&gt;0,1,0)</f>
        <v>0</v>
      </c>
      <c r="Q401">
        <f>IF(COUNTIFS('United Data'!$A$3:$A$2150,Q$1,'United Data'!$C$3:$C$2150,$A401,'United Data'!$B$3:$B$2150,"&lt;&gt;P")&gt;0,1,0)</f>
        <v>0</v>
      </c>
      <c r="R401">
        <f>IF(COUNTIFS('United Data'!$A$3:$A$2150,R$1,'United Data'!$C$3:$C$2150,$A401,'United Data'!$B$3:$B$2150,"&lt;&gt;P")&gt;0,1,0)</f>
        <v>0</v>
      </c>
      <c r="S401">
        <f t="shared" si="12"/>
        <v>1</v>
      </c>
      <c r="T401">
        <f t="shared" si="13"/>
        <v>1</v>
      </c>
    </row>
    <row r="402" spans="1:20" x14ac:dyDescent="0.2">
      <c r="A402" t="s">
        <v>447</v>
      </c>
      <c r="B402">
        <f>IF(COUNTIFS('United Data'!$A$3:$A$2150,B$1,'United Data'!$C$3:$C$2150,$A402,'United Data'!$B$3:$B$2150,"&lt;&gt;P")&gt;0,1,0)</f>
        <v>0</v>
      </c>
      <c r="C402">
        <f>IF(COUNTIFS('United Data'!$A$3:$A$2150,C$1,'United Data'!$C$3:$C$2150,$A402,'United Data'!$B$3:$B$2150,"&lt;&gt;P")&gt;0,1,0)</f>
        <v>0</v>
      </c>
      <c r="D402">
        <f>IF(COUNTIFS('United Data'!$A$3:$A$2150,D$1,'United Data'!$C$3:$C$2150,$A402,'United Data'!$B$3:$B$2150,"&lt;&gt;P")&gt;0,1,0)</f>
        <v>0</v>
      </c>
      <c r="E402">
        <f>IF(COUNTIFS('United Data'!$A$3:$A$2150,E$1,'United Data'!$C$3:$C$2150,$A402,'United Data'!$B$3:$B$2150,"&lt;&gt;P")&gt;0,1,0)</f>
        <v>0</v>
      </c>
      <c r="F402">
        <f>IF(COUNTIFS('United Data'!$A$3:$A$2150,F$1,'United Data'!$C$3:$C$2150,$A402,'United Data'!$B$3:$B$2150,"&lt;&gt;P")&gt;0,1,0)</f>
        <v>0</v>
      </c>
      <c r="G402">
        <f>IF(COUNTIFS('United Data'!$A$3:$A$2150,G$1,'United Data'!$C$3:$C$2150,$A402,'United Data'!$B$3:$B$2150,"&lt;&gt;P")&gt;0,1,0)</f>
        <v>0</v>
      </c>
      <c r="H402">
        <f>IF(COUNTIFS('United Data'!$A$3:$A$2150,H$1,'United Data'!$C$3:$C$2150,$A402,'United Data'!$B$3:$B$2150,"&lt;&gt;P")&gt;0,1,0)</f>
        <v>0</v>
      </c>
      <c r="I402">
        <f>IF(COUNTIFS('United Data'!$A$3:$A$2150,I$1,'United Data'!$C$3:$C$2150,$A402,'United Data'!$B$3:$B$2150,"&lt;&gt;P")&gt;0,1,0)</f>
        <v>0</v>
      </c>
      <c r="J402">
        <f>IF(COUNTIFS('United Data'!$A$3:$A$2150,J$1,'United Data'!$C$3:$C$2150,$A402,'United Data'!$B$3:$B$2150,"&lt;&gt;P")&gt;0,1,0)</f>
        <v>0</v>
      </c>
      <c r="K402">
        <f>IF(COUNTIFS('United Data'!$A$3:$A$2150,K$1,'United Data'!$C$3:$C$2150,$A402,'United Data'!$B$3:$B$2150,"&lt;&gt;P")&gt;0,1,0)</f>
        <v>0</v>
      </c>
      <c r="L402">
        <f>IF(COUNTIFS('United Data'!$A$3:$A$2150,L$1,'United Data'!$C$3:$C$2150,$A402,'United Data'!$B$3:$B$2150,"&lt;&gt;P")&gt;0,1,0)</f>
        <v>0</v>
      </c>
      <c r="M402">
        <f>IF(COUNTIFS('United Data'!$A$3:$A$2150,M$1,'United Data'!$C$3:$C$2150,$A402,'United Data'!$B$3:$B$2150,"&lt;&gt;P")&gt;0,1,0)</f>
        <v>0</v>
      </c>
      <c r="N402">
        <f>IF(COUNTIFS('United Data'!$A$3:$A$2150,N$1,'United Data'!$C$3:$C$2150,$A402,'United Data'!$B$3:$B$2150,"&lt;&gt;P")&gt;0,1,0)</f>
        <v>1</v>
      </c>
      <c r="O402">
        <f>IF(COUNTIFS('United Data'!$A$3:$A$2150,O$1,'United Data'!$C$3:$C$2150,$A402,'United Data'!$B$3:$B$2150,"&lt;&gt;P")&gt;0,1,0)</f>
        <v>1</v>
      </c>
      <c r="P402">
        <f>IF(COUNTIFS('United Data'!$A$3:$A$2150,P$1,'United Data'!$C$3:$C$2150,$A402,'United Data'!$B$3:$B$2150,"&lt;&gt;P")&gt;0,1,0)</f>
        <v>0</v>
      </c>
      <c r="Q402">
        <f>IF(COUNTIFS('United Data'!$A$3:$A$2150,Q$1,'United Data'!$C$3:$C$2150,$A402,'United Data'!$B$3:$B$2150,"&lt;&gt;P")&gt;0,1,0)</f>
        <v>0</v>
      </c>
      <c r="R402">
        <f>IF(COUNTIFS('United Data'!$A$3:$A$2150,R$1,'United Data'!$C$3:$C$2150,$A402,'United Data'!$B$3:$B$2150,"&lt;&gt;P")&gt;0,1,0)</f>
        <v>0</v>
      </c>
      <c r="S402">
        <f t="shared" si="12"/>
        <v>2</v>
      </c>
      <c r="T402">
        <f t="shared" si="13"/>
        <v>1</v>
      </c>
    </row>
    <row r="403" spans="1:20" x14ac:dyDescent="0.2">
      <c r="A403" t="s">
        <v>448</v>
      </c>
      <c r="B403">
        <f>IF(COUNTIFS('United Data'!$A$3:$A$2150,B$1,'United Data'!$C$3:$C$2150,$A403,'United Data'!$B$3:$B$2150,"&lt;&gt;P")&gt;0,1,0)</f>
        <v>0</v>
      </c>
      <c r="C403">
        <f>IF(COUNTIFS('United Data'!$A$3:$A$2150,C$1,'United Data'!$C$3:$C$2150,$A403,'United Data'!$B$3:$B$2150,"&lt;&gt;P")&gt;0,1,0)</f>
        <v>0</v>
      </c>
      <c r="D403">
        <f>IF(COUNTIFS('United Data'!$A$3:$A$2150,D$1,'United Data'!$C$3:$C$2150,$A403,'United Data'!$B$3:$B$2150,"&lt;&gt;P")&gt;0,1,0)</f>
        <v>0</v>
      </c>
      <c r="E403">
        <f>IF(COUNTIFS('United Data'!$A$3:$A$2150,E$1,'United Data'!$C$3:$C$2150,$A403,'United Data'!$B$3:$B$2150,"&lt;&gt;P")&gt;0,1,0)</f>
        <v>0</v>
      </c>
      <c r="F403">
        <f>IF(COUNTIFS('United Data'!$A$3:$A$2150,F$1,'United Data'!$C$3:$C$2150,$A403,'United Data'!$B$3:$B$2150,"&lt;&gt;P")&gt;0,1,0)</f>
        <v>0</v>
      </c>
      <c r="G403">
        <f>IF(COUNTIFS('United Data'!$A$3:$A$2150,G$1,'United Data'!$C$3:$C$2150,$A403,'United Data'!$B$3:$B$2150,"&lt;&gt;P")&gt;0,1,0)</f>
        <v>0</v>
      </c>
      <c r="H403">
        <f>IF(COUNTIFS('United Data'!$A$3:$A$2150,H$1,'United Data'!$C$3:$C$2150,$A403,'United Data'!$B$3:$B$2150,"&lt;&gt;P")&gt;0,1,0)</f>
        <v>0</v>
      </c>
      <c r="I403">
        <f>IF(COUNTIFS('United Data'!$A$3:$A$2150,I$1,'United Data'!$C$3:$C$2150,$A403,'United Data'!$B$3:$B$2150,"&lt;&gt;P")&gt;0,1,0)</f>
        <v>0</v>
      </c>
      <c r="J403">
        <f>IF(COUNTIFS('United Data'!$A$3:$A$2150,J$1,'United Data'!$C$3:$C$2150,$A403,'United Data'!$B$3:$B$2150,"&lt;&gt;P")&gt;0,1,0)</f>
        <v>0</v>
      </c>
      <c r="K403">
        <f>IF(COUNTIFS('United Data'!$A$3:$A$2150,K$1,'United Data'!$C$3:$C$2150,$A403,'United Data'!$B$3:$B$2150,"&lt;&gt;P")&gt;0,1,0)</f>
        <v>0</v>
      </c>
      <c r="L403">
        <f>IF(COUNTIFS('United Data'!$A$3:$A$2150,L$1,'United Data'!$C$3:$C$2150,$A403,'United Data'!$B$3:$B$2150,"&lt;&gt;P")&gt;0,1,0)</f>
        <v>0</v>
      </c>
      <c r="M403">
        <f>IF(COUNTIFS('United Data'!$A$3:$A$2150,M$1,'United Data'!$C$3:$C$2150,$A403,'United Data'!$B$3:$B$2150,"&lt;&gt;P")&gt;0,1,0)</f>
        <v>0</v>
      </c>
      <c r="N403">
        <f>IF(COUNTIFS('United Data'!$A$3:$A$2150,N$1,'United Data'!$C$3:$C$2150,$A403,'United Data'!$B$3:$B$2150,"&lt;&gt;P")&gt;0,1,0)</f>
        <v>1</v>
      </c>
      <c r="O403">
        <f>IF(COUNTIFS('United Data'!$A$3:$A$2150,O$1,'United Data'!$C$3:$C$2150,$A403,'United Data'!$B$3:$B$2150,"&lt;&gt;P")&gt;0,1,0)</f>
        <v>1</v>
      </c>
      <c r="P403">
        <f>IF(COUNTIFS('United Data'!$A$3:$A$2150,P$1,'United Data'!$C$3:$C$2150,$A403,'United Data'!$B$3:$B$2150,"&lt;&gt;P")&gt;0,1,0)</f>
        <v>1</v>
      </c>
      <c r="Q403">
        <f>IF(COUNTIFS('United Data'!$A$3:$A$2150,Q$1,'United Data'!$C$3:$C$2150,$A403,'United Data'!$B$3:$B$2150,"&lt;&gt;P")&gt;0,1,0)</f>
        <v>0</v>
      </c>
      <c r="R403">
        <f>IF(COUNTIFS('United Data'!$A$3:$A$2150,R$1,'United Data'!$C$3:$C$2150,$A403,'United Data'!$B$3:$B$2150,"&lt;&gt;P")&gt;0,1,0)</f>
        <v>0</v>
      </c>
      <c r="S403">
        <f t="shared" si="12"/>
        <v>3</v>
      </c>
      <c r="T403">
        <f t="shared" si="13"/>
        <v>1</v>
      </c>
    </row>
    <row r="404" spans="1:20" x14ac:dyDescent="0.2">
      <c r="A404" t="s">
        <v>449</v>
      </c>
      <c r="B404">
        <f>IF(COUNTIFS('United Data'!$A$3:$A$2150,B$1,'United Data'!$C$3:$C$2150,$A404,'United Data'!$B$3:$B$2150,"&lt;&gt;P")&gt;0,1,0)</f>
        <v>0</v>
      </c>
      <c r="C404">
        <f>IF(COUNTIFS('United Data'!$A$3:$A$2150,C$1,'United Data'!$C$3:$C$2150,$A404,'United Data'!$B$3:$B$2150,"&lt;&gt;P")&gt;0,1,0)</f>
        <v>0</v>
      </c>
      <c r="D404">
        <f>IF(COUNTIFS('United Data'!$A$3:$A$2150,D$1,'United Data'!$C$3:$C$2150,$A404,'United Data'!$B$3:$B$2150,"&lt;&gt;P")&gt;0,1,0)</f>
        <v>0</v>
      </c>
      <c r="E404">
        <f>IF(COUNTIFS('United Data'!$A$3:$A$2150,E$1,'United Data'!$C$3:$C$2150,$A404,'United Data'!$B$3:$B$2150,"&lt;&gt;P")&gt;0,1,0)</f>
        <v>0</v>
      </c>
      <c r="F404">
        <f>IF(COUNTIFS('United Data'!$A$3:$A$2150,F$1,'United Data'!$C$3:$C$2150,$A404,'United Data'!$B$3:$B$2150,"&lt;&gt;P")&gt;0,1,0)</f>
        <v>0</v>
      </c>
      <c r="G404">
        <f>IF(COUNTIFS('United Data'!$A$3:$A$2150,G$1,'United Data'!$C$3:$C$2150,$A404,'United Data'!$B$3:$B$2150,"&lt;&gt;P")&gt;0,1,0)</f>
        <v>0</v>
      </c>
      <c r="H404">
        <f>IF(COUNTIFS('United Data'!$A$3:$A$2150,H$1,'United Data'!$C$3:$C$2150,$A404,'United Data'!$B$3:$B$2150,"&lt;&gt;P")&gt;0,1,0)</f>
        <v>0</v>
      </c>
      <c r="I404">
        <f>IF(COUNTIFS('United Data'!$A$3:$A$2150,I$1,'United Data'!$C$3:$C$2150,$A404,'United Data'!$B$3:$B$2150,"&lt;&gt;P")&gt;0,1,0)</f>
        <v>0</v>
      </c>
      <c r="J404">
        <f>IF(COUNTIFS('United Data'!$A$3:$A$2150,J$1,'United Data'!$C$3:$C$2150,$A404,'United Data'!$B$3:$B$2150,"&lt;&gt;P")&gt;0,1,0)</f>
        <v>0</v>
      </c>
      <c r="K404">
        <f>IF(COUNTIFS('United Data'!$A$3:$A$2150,K$1,'United Data'!$C$3:$C$2150,$A404,'United Data'!$B$3:$B$2150,"&lt;&gt;P")&gt;0,1,0)</f>
        <v>0</v>
      </c>
      <c r="L404">
        <f>IF(COUNTIFS('United Data'!$A$3:$A$2150,L$1,'United Data'!$C$3:$C$2150,$A404,'United Data'!$B$3:$B$2150,"&lt;&gt;P")&gt;0,1,0)</f>
        <v>0</v>
      </c>
      <c r="M404">
        <f>IF(COUNTIFS('United Data'!$A$3:$A$2150,M$1,'United Data'!$C$3:$C$2150,$A404,'United Data'!$B$3:$B$2150,"&lt;&gt;P")&gt;0,1,0)</f>
        <v>0</v>
      </c>
      <c r="N404">
        <f>IF(COUNTIFS('United Data'!$A$3:$A$2150,N$1,'United Data'!$C$3:$C$2150,$A404,'United Data'!$B$3:$B$2150,"&lt;&gt;P")&gt;0,1,0)</f>
        <v>1</v>
      </c>
      <c r="O404">
        <f>IF(COUNTIFS('United Data'!$A$3:$A$2150,O$1,'United Data'!$C$3:$C$2150,$A404,'United Data'!$B$3:$B$2150,"&lt;&gt;P")&gt;0,1,0)</f>
        <v>0</v>
      </c>
      <c r="P404">
        <f>IF(COUNTIFS('United Data'!$A$3:$A$2150,P$1,'United Data'!$C$3:$C$2150,$A404,'United Data'!$B$3:$B$2150,"&lt;&gt;P")&gt;0,1,0)</f>
        <v>0</v>
      </c>
      <c r="Q404">
        <f>IF(COUNTIFS('United Data'!$A$3:$A$2150,Q$1,'United Data'!$C$3:$C$2150,$A404,'United Data'!$B$3:$B$2150,"&lt;&gt;P")&gt;0,1,0)</f>
        <v>0</v>
      </c>
      <c r="R404">
        <f>IF(COUNTIFS('United Data'!$A$3:$A$2150,R$1,'United Data'!$C$3:$C$2150,$A404,'United Data'!$B$3:$B$2150,"&lt;&gt;P")&gt;0,1,0)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450</v>
      </c>
      <c r="B405">
        <f>IF(COUNTIFS('United Data'!$A$3:$A$2150,B$1,'United Data'!$C$3:$C$2150,$A405,'United Data'!$B$3:$B$2150,"&lt;&gt;P")&gt;0,1,0)</f>
        <v>0</v>
      </c>
      <c r="C405">
        <f>IF(COUNTIFS('United Data'!$A$3:$A$2150,C$1,'United Data'!$C$3:$C$2150,$A405,'United Data'!$B$3:$B$2150,"&lt;&gt;P")&gt;0,1,0)</f>
        <v>0</v>
      </c>
      <c r="D405">
        <f>IF(COUNTIFS('United Data'!$A$3:$A$2150,D$1,'United Data'!$C$3:$C$2150,$A405,'United Data'!$B$3:$B$2150,"&lt;&gt;P")&gt;0,1,0)</f>
        <v>0</v>
      </c>
      <c r="E405">
        <f>IF(COUNTIFS('United Data'!$A$3:$A$2150,E$1,'United Data'!$C$3:$C$2150,$A405,'United Data'!$B$3:$B$2150,"&lt;&gt;P")&gt;0,1,0)</f>
        <v>0</v>
      </c>
      <c r="F405">
        <f>IF(COUNTIFS('United Data'!$A$3:$A$2150,F$1,'United Data'!$C$3:$C$2150,$A405,'United Data'!$B$3:$B$2150,"&lt;&gt;P")&gt;0,1,0)</f>
        <v>0</v>
      </c>
      <c r="G405">
        <f>IF(COUNTIFS('United Data'!$A$3:$A$2150,G$1,'United Data'!$C$3:$C$2150,$A405,'United Data'!$B$3:$B$2150,"&lt;&gt;P")&gt;0,1,0)</f>
        <v>0</v>
      </c>
      <c r="H405">
        <f>IF(COUNTIFS('United Data'!$A$3:$A$2150,H$1,'United Data'!$C$3:$C$2150,$A405,'United Data'!$B$3:$B$2150,"&lt;&gt;P")&gt;0,1,0)</f>
        <v>0</v>
      </c>
      <c r="I405">
        <f>IF(COUNTIFS('United Data'!$A$3:$A$2150,I$1,'United Data'!$C$3:$C$2150,$A405,'United Data'!$B$3:$B$2150,"&lt;&gt;P")&gt;0,1,0)</f>
        <v>0</v>
      </c>
      <c r="J405">
        <f>IF(COUNTIFS('United Data'!$A$3:$A$2150,J$1,'United Data'!$C$3:$C$2150,$A405,'United Data'!$B$3:$B$2150,"&lt;&gt;P")&gt;0,1,0)</f>
        <v>0</v>
      </c>
      <c r="K405">
        <f>IF(COUNTIFS('United Data'!$A$3:$A$2150,K$1,'United Data'!$C$3:$C$2150,$A405,'United Data'!$B$3:$B$2150,"&lt;&gt;P")&gt;0,1,0)</f>
        <v>0</v>
      </c>
      <c r="L405">
        <f>IF(COUNTIFS('United Data'!$A$3:$A$2150,L$1,'United Data'!$C$3:$C$2150,$A405,'United Data'!$B$3:$B$2150,"&lt;&gt;P")&gt;0,1,0)</f>
        <v>0</v>
      </c>
      <c r="M405">
        <f>IF(COUNTIFS('United Data'!$A$3:$A$2150,M$1,'United Data'!$C$3:$C$2150,$A405,'United Data'!$B$3:$B$2150,"&lt;&gt;P")&gt;0,1,0)</f>
        <v>0</v>
      </c>
      <c r="N405">
        <f>IF(COUNTIFS('United Data'!$A$3:$A$2150,N$1,'United Data'!$C$3:$C$2150,$A405,'United Data'!$B$3:$B$2150,"&lt;&gt;P")&gt;0,1,0)</f>
        <v>0</v>
      </c>
      <c r="O405">
        <f>IF(COUNTIFS('United Data'!$A$3:$A$2150,O$1,'United Data'!$C$3:$C$2150,$A405,'United Data'!$B$3:$B$2150,"&lt;&gt;P")&gt;0,1,0)</f>
        <v>1</v>
      </c>
      <c r="P405">
        <f>IF(COUNTIFS('United Data'!$A$3:$A$2150,P$1,'United Data'!$C$3:$C$2150,$A405,'United Data'!$B$3:$B$2150,"&lt;&gt;P")&gt;0,1,0)</f>
        <v>1</v>
      </c>
      <c r="Q405">
        <f>IF(COUNTIFS('United Data'!$A$3:$A$2150,Q$1,'United Data'!$C$3:$C$2150,$A405,'United Data'!$B$3:$B$2150,"&lt;&gt;P")&gt;0,1,0)</f>
        <v>0</v>
      </c>
      <c r="R405">
        <f>IF(COUNTIFS('United Data'!$A$3:$A$2150,R$1,'United Data'!$C$3:$C$2150,$A405,'United Data'!$B$3:$B$2150,"&lt;&gt;P")&gt;0,1,0)</f>
        <v>0</v>
      </c>
      <c r="S405">
        <f t="shared" si="12"/>
        <v>2</v>
      </c>
      <c r="T405">
        <f t="shared" si="13"/>
        <v>1</v>
      </c>
    </row>
    <row r="406" spans="1:20" x14ac:dyDescent="0.2">
      <c r="A406" t="s">
        <v>451</v>
      </c>
      <c r="B406">
        <f>IF(COUNTIFS('United Data'!$A$3:$A$2150,B$1,'United Data'!$C$3:$C$2150,$A406,'United Data'!$B$3:$B$2150,"&lt;&gt;P")&gt;0,1,0)</f>
        <v>0</v>
      </c>
      <c r="C406">
        <f>IF(COUNTIFS('United Data'!$A$3:$A$2150,C$1,'United Data'!$C$3:$C$2150,$A406,'United Data'!$B$3:$B$2150,"&lt;&gt;P")&gt;0,1,0)</f>
        <v>0</v>
      </c>
      <c r="D406">
        <f>IF(COUNTIFS('United Data'!$A$3:$A$2150,D$1,'United Data'!$C$3:$C$2150,$A406,'United Data'!$B$3:$B$2150,"&lt;&gt;P")&gt;0,1,0)</f>
        <v>0</v>
      </c>
      <c r="E406">
        <f>IF(COUNTIFS('United Data'!$A$3:$A$2150,E$1,'United Data'!$C$3:$C$2150,$A406,'United Data'!$B$3:$B$2150,"&lt;&gt;P")&gt;0,1,0)</f>
        <v>0</v>
      </c>
      <c r="F406">
        <f>IF(COUNTIFS('United Data'!$A$3:$A$2150,F$1,'United Data'!$C$3:$C$2150,$A406,'United Data'!$B$3:$B$2150,"&lt;&gt;P")&gt;0,1,0)</f>
        <v>0</v>
      </c>
      <c r="G406">
        <f>IF(COUNTIFS('United Data'!$A$3:$A$2150,G$1,'United Data'!$C$3:$C$2150,$A406,'United Data'!$B$3:$B$2150,"&lt;&gt;P")&gt;0,1,0)</f>
        <v>0</v>
      </c>
      <c r="H406">
        <f>IF(COUNTIFS('United Data'!$A$3:$A$2150,H$1,'United Data'!$C$3:$C$2150,$A406,'United Data'!$B$3:$B$2150,"&lt;&gt;P")&gt;0,1,0)</f>
        <v>0</v>
      </c>
      <c r="I406">
        <f>IF(COUNTIFS('United Data'!$A$3:$A$2150,I$1,'United Data'!$C$3:$C$2150,$A406,'United Data'!$B$3:$B$2150,"&lt;&gt;P")&gt;0,1,0)</f>
        <v>0</v>
      </c>
      <c r="J406">
        <f>IF(COUNTIFS('United Data'!$A$3:$A$2150,J$1,'United Data'!$C$3:$C$2150,$A406,'United Data'!$B$3:$B$2150,"&lt;&gt;P")&gt;0,1,0)</f>
        <v>0</v>
      </c>
      <c r="K406">
        <f>IF(COUNTIFS('United Data'!$A$3:$A$2150,K$1,'United Data'!$C$3:$C$2150,$A406,'United Data'!$B$3:$B$2150,"&lt;&gt;P")&gt;0,1,0)</f>
        <v>0</v>
      </c>
      <c r="L406">
        <f>IF(COUNTIFS('United Data'!$A$3:$A$2150,L$1,'United Data'!$C$3:$C$2150,$A406,'United Data'!$B$3:$B$2150,"&lt;&gt;P")&gt;0,1,0)</f>
        <v>0</v>
      </c>
      <c r="M406">
        <f>IF(COUNTIFS('United Data'!$A$3:$A$2150,M$1,'United Data'!$C$3:$C$2150,$A406,'United Data'!$B$3:$B$2150,"&lt;&gt;P")&gt;0,1,0)</f>
        <v>0</v>
      </c>
      <c r="N406">
        <f>IF(COUNTIFS('United Data'!$A$3:$A$2150,N$1,'United Data'!$C$3:$C$2150,$A406,'United Data'!$B$3:$B$2150,"&lt;&gt;P")&gt;0,1,0)</f>
        <v>0</v>
      </c>
      <c r="O406">
        <f>IF(COUNTIFS('United Data'!$A$3:$A$2150,O$1,'United Data'!$C$3:$C$2150,$A406,'United Data'!$B$3:$B$2150,"&lt;&gt;P")&gt;0,1,0)</f>
        <v>1</v>
      </c>
      <c r="P406">
        <f>IF(COUNTIFS('United Data'!$A$3:$A$2150,P$1,'United Data'!$C$3:$C$2150,$A406,'United Data'!$B$3:$B$2150,"&lt;&gt;P")&gt;0,1,0)</f>
        <v>1</v>
      </c>
      <c r="Q406">
        <f>IF(COUNTIFS('United Data'!$A$3:$A$2150,Q$1,'United Data'!$C$3:$C$2150,$A406,'United Data'!$B$3:$B$2150,"&lt;&gt;P")&gt;0,1,0)</f>
        <v>0</v>
      </c>
      <c r="R406">
        <f>IF(COUNTIFS('United Data'!$A$3:$A$2150,R$1,'United Data'!$C$3:$C$2150,$A406,'United Data'!$B$3:$B$2150,"&lt;&gt;P")&gt;0,1,0)</f>
        <v>0</v>
      </c>
      <c r="S406">
        <f t="shared" si="12"/>
        <v>2</v>
      </c>
      <c r="T406">
        <f t="shared" si="13"/>
        <v>1</v>
      </c>
    </row>
    <row r="407" spans="1:20" x14ac:dyDescent="0.2">
      <c r="A407" t="s">
        <v>452</v>
      </c>
      <c r="B407">
        <f>IF(COUNTIFS('United Data'!$A$3:$A$2150,B$1,'United Data'!$C$3:$C$2150,$A407,'United Data'!$B$3:$B$2150,"&lt;&gt;P")&gt;0,1,0)</f>
        <v>0</v>
      </c>
      <c r="C407">
        <f>IF(COUNTIFS('United Data'!$A$3:$A$2150,C$1,'United Data'!$C$3:$C$2150,$A407,'United Data'!$B$3:$B$2150,"&lt;&gt;P")&gt;0,1,0)</f>
        <v>0</v>
      </c>
      <c r="D407">
        <f>IF(COUNTIFS('United Data'!$A$3:$A$2150,D$1,'United Data'!$C$3:$C$2150,$A407,'United Data'!$B$3:$B$2150,"&lt;&gt;P")&gt;0,1,0)</f>
        <v>0</v>
      </c>
      <c r="E407">
        <f>IF(COUNTIFS('United Data'!$A$3:$A$2150,E$1,'United Data'!$C$3:$C$2150,$A407,'United Data'!$B$3:$B$2150,"&lt;&gt;P")&gt;0,1,0)</f>
        <v>0</v>
      </c>
      <c r="F407">
        <f>IF(COUNTIFS('United Data'!$A$3:$A$2150,F$1,'United Data'!$C$3:$C$2150,$A407,'United Data'!$B$3:$B$2150,"&lt;&gt;P")&gt;0,1,0)</f>
        <v>0</v>
      </c>
      <c r="G407">
        <f>IF(COUNTIFS('United Data'!$A$3:$A$2150,G$1,'United Data'!$C$3:$C$2150,$A407,'United Data'!$B$3:$B$2150,"&lt;&gt;P")&gt;0,1,0)</f>
        <v>0</v>
      </c>
      <c r="H407">
        <f>IF(COUNTIFS('United Data'!$A$3:$A$2150,H$1,'United Data'!$C$3:$C$2150,$A407,'United Data'!$B$3:$B$2150,"&lt;&gt;P")&gt;0,1,0)</f>
        <v>0</v>
      </c>
      <c r="I407">
        <f>IF(COUNTIFS('United Data'!$A$3:$A$2150,I$1,'United Data'!$C$3:$C$2150,$A407,'United Data'!$B$3:$B$2150,"&lt;&gt;P")&gt;0,1,0)</f>
        <v>0</v>
      </c>
      <c r="J407">
        <f>IF(COUNTIFS('United Data'!$A$3:$A$2150,J$1,'United Data'!$C$3:$C$2150,$A407,'United Data'!$B$3:$B$2150,"&lt;&gt;P")&gt;0,1,0)</f>
        <v>0</v>
      </c>
      <c r="K407">
        <f>IF(COUNTIFS('United Data'!$A$3:$A$2150,K$1,'United Data'!$C$3:$C$2150,$A407,'United Data'!$B$3:$B$2150,"&lt;&gt;P")&gt;0,1,0)</f>
        <v>0</v>
      </c>
      <c r="L407">
        <f>IF(COUNTIFS('United Data'!$A$3:$A$2150,L$1,'United Data'!$C$3:$C$2150,$A407,'United Data'!$B$3:$B$2150,"&lt;&gt;P")&gt;0,1,0)</f>
        <v>0</v>
      </c>
      <c r="M407">
        <f>IF(COUNTIFS('United Data'!$A$3:$A$2150,M$1,'United Data'!$C$3:$C$2150,$A407,'United Data'!$B$3:$B$2150,"&lt;&gt;P")&gt;0,1,0)</f>
        <v>0</v>
      </c>
      <c r="N407">
        <f>IF(COUNTIFS('United Data'!$A$3:$A$2150,N$1,'United Data'!$C$3:$C$2150,$A407,'United Data'!$B$3:$B$2150,"&lt;&gt;P")&gt;0,1,0)</f>
        <v>0</v>
      </c>
      <c r="O407">
        <f>IF(COUNTIFS('United Data'!$A$3:$A$2150,O$1,'United Data'!$C$3:$C$2150,$A407,'United Data'!$B$3:$B$2150,"&lt;&gt;P")&gt;0,1,0)</f>
        <v>1</v>
      </c>
      <c r="P407">
        <f>IF(COUNTIFS('United Data'!$A$3:$A$2150,P$1,'United Data'!$C$3:$C$2150,$A407,'United Data'!$B$3:$B$2150,"&lt;&gt;P")&gt;0,1,0)</f>
        <v>0</v>
      </c>
      <c r="Q407">
        <f>IF(COUNTIFS('United Data'!$A$3:$A$2150,Q$1,'United Data'!$C$3:$C$2150,$A407,'United Data'!$B$3:$B$2150,"&lt;&gt;P")&gt;0,1,0)</f>
        <v>0</v>
      </c>
      <c r="R407">
        <f>IF(COUNTIFS('United Data'!$A$3:$A$2150,R$1,'United Data'!$C$3:$C$2150,$A407,'United Data'!$B$3:$B$2150,"&lt;&gt;P")&gt;0,1,0)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453</v>
      </c>
      <c r="B408">
        <f>IF(COUNTIFS('United Data'!$A$3:$A$2150,B$1,'United Data'!$C$3:$C$2150,$A408,'United Data'!$B$3:$B$2150,"&lt;&gt;P")&gt;0,1,0)</f>
        <v>0</v>
      </c>
      <c r="C408">
        <f>IF(COUNTIFS('United Data'!$A$3:$A$2150,C$1,'United Data'!$C$3:$C$2150,$A408,'United Data'!$B$3:$B$2150,"&lt;&gt;P")&gt;0,1,0)</f>
        <v>0</v>
      </c>
      <c r="D408">
        <f>IF(COUNTIFS('United Data'!$A$3:$A$2150,D$1,'United Data'!$C$3:$C$2150,$A408,'United Data'!$B$3:$B$2150,"&lt;&gt;P")&gt;0,1,0)</f>
        <v>0</v>
      </c>
      <c r="E408">
        <f>IF(COUNTIFS('United Data'!$A$3:$A$2150,E$1,'United Data'!$C$3:$C$2150,$A408,'United Data'!$B$3:$B$2150,"&lt;&gt;P")&gt;0,1,0)</f>
        <v>0</v>
      </c>
      <c r="F408">
        <f>IF(COUNTIFS('United Data'!$A$3:$A$2150,F$1,'United Data'!$C$3:$C$2150,$A408,'United Data'!$B$3:$B$2150,"&lt;&gt;P")&gt;0,1,0)</f>
        <v>0</v>
      </c>
      <c r="G408">
        <f>IF(COUNTIFS('United Data'!$A$3:$A$2150,G$1,'United Data'!$C$3:$C$2150,$A408,'United Data'!$B$3:$B$2150,"&lt;&gt;P")&gt;0,1,0)</f>
        <v>0</v>
      </c>
      <c r="H408">
        <f>IF(COUNTIFS('United Data'!$A$3:$A$2150,H$1,'United Data'!$C$3:$C$2150,$A408,'United Data'!$B$3:$B$2150,"&lt;&gt;P")&gt;0,1,0)</f>
        <v>0</v>
      </c>
      <c r="I408">
        <f>IF(COUNTIFS('United Data'!$A$3:$A$2150,I$1,'United Data'!$C$3:$C$2150,$A408,'United Data'!$B$3:$B$2150,"&lt;&gt;P")&gt;0,1,0)</f>
        <v>0</v>
      </c>
      <c r="J408">
        <f>IF(COUNTIFS('United Data'!$A$3:$A$2150,J$1,'United Data'!$C$3:$C$2150,$A408,'United Data'!$B$3:$B$2150,"&lt;&gt;P")&gt;0,1,0)</f>
        <v>0</v>
      </c>
      <c r="K408">
        <f>IF(COUNTIFS('United Data'!$A$3:$A$2150,K$1,'United Data'!$C$3:$C$2150,$A408,'United Data'!$B$3:$B$2150,"&lt;&gt;P")&gt;0,1,0)</f>
        <v>0</v>
      </c>
      <c r="L408">
        <f>IF(COUNTIFS('United Data'!$A$3:$A$2150,L$1,'United Data'!$C$3:$C$2150,$A408,'United Data'!$B$3:$B$2150,"&lt;&gt;P")&gt;0,1,0)</f>
        <v>0</v>
      </c>
      <c r="M408">
        <f>IF(COUNTIFS('United Data'!$A$3:$A$2150,M$1,'United Data'!$C$3:$C$2150,$A408,'United Data'!$B$3:$B$2150,"&lt;&gt;P")&gt;0,1,0)</f>
        <v>0</v>
      </c>
      <c r="N408">
        <f>IF(COUNTIFS('United Data'!$A$3:$A$2150,N$1,'United Data'!$C$3:$C$2150,$A408,'United Data'!$B$3:$B$2150,"&lt;&gt;P")&gt;0,1,0)</f>
        <v>0</v>
      </c>
      <c r="O408">
        <f>IF(COUNTIFS('United Data'!$A$3:$A$2150,O$1,'United Data'!$C$3:$C$2150,$A408,'United Data'!$B$3:$B$2150,"&lt;&gt;P")&gt;0,1,0)</f>
        <v>1</v>
      </c>
      <c r="P408">
        <f>IF(COUNTIFS('United Data'!$A$3:$A$2150,P$1,'United Data'!$C$3:$C$2150,$A408,'United Data'!$B$3:$B$2150,"&lt;&gt;P")&gt;0,1,0)</f>
        <v>0</v>
      </c>
      <c r="Q408">
        <f>IF(COUNTIFS('United Data'!$A$3:$A$2150,Q$1,'United Data'!$C$3:$C$2150,$A408,'United Data'!$B$3:$B$2150,"&lt;&gt;P")&gt;0,1,0)</f>
        <v>0</v>
      </c>
      <c r="R408">
        <f>IF(COUNTIFS('United Data'!$A$3:$A$2150,R$1,'United Data'!$C$3:$C$2150,$A408,'United Data'!$B$3:$B$2150,"&lt;&gt;P")&gt;0,1,0)</f>
        <v>0</v>
      </c>
      <c r="S408">
        <f t="shared" si="12"/>
        <v>1</v>
      </c>
      <c r="T408">
        <f t="shared" si="13"/>
        <v>1</v>
      </c>
    </row>
    <row r="409" spans="1:20" x14ac:dyDescent="0.2">
      <c r="A409" t="s">
        <v>454</v>
      </c>
      <c r="B409">
        <f>IF(COUNTIFS('United Data'!$A$3:$A$2150,B$1,'United Data'!$C$3:$C$2150,$A409,'United Data'!$B$3:$B$2150,"&lt;&gt;P")&gt;0,1,0)</f>
        <v>0</v>
      </c>
      <c r="C409">
        <f>IF(COUNTIFS('United Data'!$A$3:$A$2150,C$1,'United Data'!$C$3:$C$2150,$A409,'United Data'!$B$3:$B$2150,"&lt;&gt;P")&gt;0,1,0)</f>
        <v>0</v>
      </c>
      <c r="D409">
        <f>IF(COUNTIFS('United Data'!$A$3:$A$2150,D$1,'United Data'!$C$3:$C$2150,$A409,'United Data'!$B$3:$B$2150,"&lt;&gt;P")&gt;0,1,0)</f>
        <v>0</v>
      </c>
      <c r="E409">
        <f>IF(COUNTIFS('United Data'!$A$3:$A$2150,E$1,'United Data'!$C$3:$C$2150,$A409,'United Data'!$B$3:$B$2150,"&lt;&gt;P")&gt;0,1,0)</f>
        <v>0</v>
      </c>
      <c r="F409">
        <f>IF(COUNTIFS('United Data'!$A$3:$A$2150,F$1,'United Data'!$C$3:$C$2150,$A409,'United Data'!$B$3:$B$2150,"&lt;&gt;P")&gt;0,1,0)</f>
        <v>0</v>
      </c>
      <c r="G409">
        <f>IF(COUNTIFS('United Data'!$A$3:$A$2150,G$1,'United Data'!$C$3:$C$2150,$A409,'United Data'!$B$3:$B$2150,"&lt;&gt;P")&gt;0,1,0)</f>
        <v>0</v>
      </c>
      <c r="H409">
        <f>IF(COUNTIFS('United Data'!$A$3:$A$2150,H$1,'United Data'!$C$3:$C$2150,$A409,'United Data'!$B$3:$B$2150,"&lt;&gt;P")&gt;0,1,0)</f>
        <v>0</v>
      </c>
      <c r="I409">
        <f>IF(COUNTIFS('United Data'!$A$3:$A$2150,I$1,'United Data'!$C$3:$C$2150,$A409,'United Data'!$B$3:$B$2150,"&lt;&gt;P")&gt;0,1,0)</f>
        <v>0</v>
      </c>
      <c r="J409">
        <f>IF(COUNTIFS('United Data'!$A$3:$A$2150,J$1,'United Data'!$C$3:$C$2150,$A409,'United Data'!$B$3:$B$2150,"&lt;&gt;P")&gt;0,1,0)</f>
        <v>0</v>
      </c>
      <c r="K409">
        <f>IF(COUNTIFS('United Data'!$A$3:$A$2150,K$1,'United Data'!$C$3:$C$2150,$A409,'United Data'!$B$3:$B$2150,"&lt;&gt;P")&gt;0,1,0)</f>
        <v>0</v>
      </c>
      <c r="L409">
        <f>IF(COUNTIFS('United Data'!$A$3:$A$2150,L$1,'United Data'!$C$3:$C$2150,$A409,'United Data'!$B$3:$B$2150,"&lt;&gt;P")&gt;0,1,0)</f>
        <v>0</v>
      </c>
      <c r="M409">
        <f>IF(COUNTIFS('United Data'!$A$3:$A$2150,M$1,'United Data'!$C$3:$C$2150,$A409,'United Data'!$B$3:$B$2150,"&lt;&gt;P")&gt;0,1,0)</f>
        <v>0</v>
      </c>
      <c r="N409">
        <f>IF(COUNTIFS('United Data'!$A$3:$A$2150,N$1,'United Data'!$C$3:$C$2150,$A409,'United Data'!$B$3:$B$2150,"&lt;&gt;P")&gt;0,1,0)</f>
        <v>0</v>
      </c>
      <c r="O409">
        <f>IF(COUNTIFS('United Data'!$A$3:$A$2150,O$1,'United Data'!$C$3:$C$2150,$A409,'United Data'!$B$3:$B$2150,"&lt;&gt;P")&gt;0,1,0)</f>
        <v>0</v>
      </c>
      <c r="P409">
        <f>IF(COUNTIFS('United Data'!$A$3:$A$2150,P$1,'United Data'!$C$3:$C$2150,$A409,'United Data'!$B$3:$B$2150,"&lt;&gt;P")&gt;0,1,0)</f>
        <v>1</v>
      </c>
      <c r="Q409">
        <f>IF(COUNTIFS('United Data'!$A$3:$A$2150,Q$1,'United Data'!$C$3:$C$2150,$A409,'United Data'!$B$3:$B$2150,"&lt;&gt;P")&gt;0,1,0)</f>
        <v>0</v>
      </c>
      <c r="R409">
        <f>IF(COUNTIFS('United Data'!$A$3:$A$2150,R$1,'United Data'!$C$3:$C$2150,$A409,'United Data'!$B$3:$B$2150,"&lt;&gt;P")&gt;0,1,0)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455</v>
      </c>
      <c r="B410">
        <f>IF(COUNTIFS('United Data'!$A$3:$A$2150,B$1,'United Data'!$C$3:$C$2150,$A410,'United Data'!$B$3:$B$2150,"&lt;&gt;P")&gt;0,1,0)</f>
        <v>0</v>
      </c>
      <c r="C410">
        <f>IF(COUNTIFS('United Data'!$A$3:$A$2150,C$1,'United Data'!$C$3:$C$2150,$A410,'United Data'!$B$3:$B$2150,"&lt;&gt;P")&gt;0,1,0)</f>
        <v>0</v>
      </c>
      <c r="D410">
        <f>IF(COUNTIFS('United Data'!$A$3:$A$2150,D$1,'United Data'!$C$3:$C$2150,$A410,'United Data'!$B$3:$B$2150,"&lt;&gt;P")&gt;0,1,0)</f>
        <v>0</v>
      </c>
      <c r="E410">
        <f>IF(COUNTIFS('United Data'!$A$3:$A$2150,E$1,'United Data'!$C$3:$C$2150,$A410,'United Data'!$B$3:$B$2150,"&lt;&gt;P")&gt;0,1,0)</f>
        <v>0</v>
      </c>
      <c r="F410">
        <f>IF(COUNTIFS('United Data'!$A$3:$A$2150,F$1,'United Data'!$C$3:$C$2150,$A410,'United Data'!$B$3:$B$2150,"&lt;&gt;P")&gt;0,1,0)</f>
        <v>0</v>
      </c>
      <c r="G410">
        <f>IF(COUNTIFS('United Data'!$A$3:$A$2150,G$1,'United Data'!$C$3:$C$2150,$A410,'United Data'!$B$3:$B$2150,"&lt;&gt;P")&gt;0,1,0)</f>
        <v>0</v>
      </c>
      <c r="H410">
        <f>IF(COUNTIFS('United Data'!$A$3:$A$2150,H$1,'United Data'!$C$3:$C$2150,$A410,'United Data'!$B$3:$B$2150,"&lt;&gt;P")&gt;0,1,0)</f>
        <v>0</v>
      </c>
      <c r="I410">
        <f>IF(COUNTIFS('United Data'!$A$3:$A$2150,I$1,'United Data'!$C$3:$C$2150,$A410,'United Data'!$B$3:$B$2150,"&lt;&gt;P")&gt;0,1,0)</f>
        <v>0</v>
      </c>
      <c r="J410">
        <f>IF(COUNTIFS('United Data'!$A$3:$A$2150,J$1,'United Data'!$C$3:$C$2150,$A410,'United Data'!$B$3:$B$2150,"&lt;&gt;P")&gt;0,1,0)</f>
        <v>0</v>
      </c>
      <c r="K410">
        <f>IF(COUNTIFS('United Data'!$A$3:$A$2150,K$1,'United Data'!$C$3:$C$2150,$A410,'United Data'!$B$3:$B$2150,"&lt;&gt;P")&gt;0,1,0)</f>
        <v>0</v>
      </c>
      <c r="L410">
        <f>IF(COUNTIFS('United Data'!$A$3:$A$2150,L$1,'United Data'!$C$3:$C$2150,$A410,'United Data'!$B$3:$B$2150,"&lt;&gt;P")&gt;0,1,0)</f>
        <v>0</v>
      </c>
      <c r="M410">
        <f>IF(COUNTIFS('United Data'!$A$3:$A$2150,M$1,'United Data'!$C$3:$C$2150,$A410,'United Data'!$B$3:$B$2150,"&lt;&gt;P")&gt;0,1,0)</f>
        <v>0</v>
      </c>
      <c r="N410">
        <f>IF(COUNTIFS('United Data'!$A$3:$A$2150,N$1,'United Data'!$C$3:$C$2150,$A410,'United Data'!$B$3:$B$2150,"&lt;&gt;P")&gt;0,1,0)</f>
        <v>0</v>
      </c>
      <c r="O410">
        <f>IF(COUNTIFS('United Data'!$A$3:$A$2150,O$1,'United Data'!$C$3:$C$2150,$A410,'United Data'!$B$3:$B$2150,"&lt;&gt;P")&gt;0,1,0)</f>
        <v>0</v>
      </c>
      <c r="P410">
        <f>IF(COUNTIFS('United Data'!$A$3:$A$2150,P$1,'United Data'!$C$3:$C$2150,$A410,'United Data'!$B$3:$B$2150,"&lt;&gt;P")&gt;0,1,0)</f>
        <v>1</v>
      </c>
      <c r="Q410">
        <f>IF(COUNTIFS('United Data'!$A$3:$A$2150,Q$1,'United Data'!$C$3:$C$2150,$A410,'United Data'!$B$3:$B$2150,"&lt;&gt;P")&gt;0,1,0)</f>
        <v>0</v>
      </c>
      <c r="R410">
        <f>IF(COUNTIFS('United Data'!$A$3:$A$2150,R$1,'United Data'!$C$3:$C$2150,$A410,'United Data'!$B$3:$B$2150,"&lt;&gt;P")&gt;0,1,0)</f>
        <v>0</v>
      </c>
      <c r="S410">
        <f t="shared" si="12"/>
        <v>1</v>
      </c>
      <c r="T410">
        <f t="shared" si="13"/>
        <v>1</v>
      </c>
    </row>
    <row r="411" spans="1:20" x14ac:dyDescent="0.2">
      <c r="A411" t="s">
        <v>456</v>
      </c>
      <c r="B411">
        <f>IF(COUNTIFS('United Data'!$A$3:$A$2150,B$1,'United Data'!$C$3:$C$2150,$A411,'United Data'!$B$3:$B$2150,"&lt;&gt;P")&gt;0,1,0)</f>
        <v>0</v>
      </c>
      <c r="C411">
        <f>IF(COUNTIFS('United Data'!$A$3:$A$2150,C$1,'United Data'!$C$3:$C$2150,$A411,'United Data'!$B$3:$B$2150,"&lt;&gt;P")&gt;0,1,0)</f>
        <v>0</v>
      </c>
      <c r="D411">
        <f>IF(COUNTIFS('United Data'!$A$3:$A$2150,D$1,'United Data'!$C$3:$C$2150,$A411,'United Data'!$B$3:$B$2150,"&lt;&gt;P")&gt;0,1,0)</f>
        <v>0</v>
      </c>
      <c r="E411">
        <f>IF(COUNTIFS('United Data'!$A$3:$A$2150,E$1,'United Data'!$C$3:$C$2150,$A411,'United Data'!$B$3:$B$2150,"&lt;&gt;P")&gt;0,1,0)</f>
        <v>0</v>
      </c>
      <c r="F411">
        <f>IF(COUNTIFS('United Data'!$A$3:$A$2150,F$1,'United Data'!$C$3:$C$2150,$A411,'United Data'!$B$3:$B$2150,"&lt;&gt;P")&gt;0,1,0)</f>
        <v>0</v>
      </c>
      <c r="G411">
        <f>IF(COUNTIFS('United Data'!$A$3:$A$2150,G$1,'United Data'!$C$3:$C$2150,$A411,'United Data'!$B$3:$B$2150,"&lt;&gt;P")&gt;0,1,0)</f>
        <v>0</v>
      </c>
      <c r="H411">
        <f>IF(COUNTIFS('United Data'!$A$3:$A$2150,H$1,'United Data'!$C$3:$C$2150,$A411,'United Data'!$B$3:$B$2150,"&lt;&gt;P")&gt;0,1,0)</f>
        <v>0</v>
      </c>
      <c r="I411">
        <f>IF(COUNTIFS('United Data'!$A$3:$A$2150,I$1,'United Data'!$C$3:$C$2150,$A411,'United Data'!$B$3:$B$2150,"&lt;&gt;P")&gt;0,1,0)</f>
        <v>0</v>
      </c>
      <c r="J411">
        <f>IF(COUNTIFS('United Data'!$A$3:$A$2150,J$1,'United Data'!$C$3:$C$2150,$A411,'United Data'!$B$3:$B$2150,"&lt;&gt;P")&gt;0,1,0)</f>
        <v>0</v>
      </c>
      <c r="K411">
        <f>IF(COUNTIFS('United Data'!$A$3:$A$2150,K$1,'United Data'!$C$3:$C$2150,$A411,'United Data'!$B$3:$B$2150,"&lt;&gt;P")&gt;0,1,0)</f>
        <v>0</v>
      </c>
      <c r="L411">
        <f>IF(COUNTIFS('United Data'!$A$3:$A$2150,L$1,'United Data'!$C$3:$C$2150,$A411,'United Data'!$B$3:$B$2150,"&lt;&gt;P")&gt;0,1,0)</f>
        <v>0</v>
      </c>
      <c r="M411">
        <f>IF(COUNTIFS('United Data'!$A$3:$A$2150,M$1,'United Data'!$C$3:$C$2150,$A411,'United Data'!$B$3:$B$2150,"&lt;&gt;P")&gt;0,1,0)</f>
        <v>0</v>
      </c>
      <c r="N411">
        <f>IF(COUNTIFS('United Data'!$A$3:$A$2150,N$1,'United Data'!$C$3:$C$2150,$A411,'United Data'!$B$3:$B$2150,"&lt;&gt;P")&gt;0,1,0)</f>
        <v>0</v>
      </c>
      <c r="O411">
        <f>IF(COUNTIFS('United Data'!$A$3:$A$2150,O$1,'United Data'!$C$3:$C$2150,$A411,'United Data'!$B$3:$B$2150,"&lt;&gt;P")&gt;0,1,0)</f>
        <v>0</v>
      </c>
      <c r="P411">
        <f>IF(COUNTIFS('United Data'!$A$3:$A$2150,P$1,'United Data'!$C$3:$C$2150,$A411,'United Data'!$B$3:$B$2150,"&lt;&gt;P")&gt;0,1,0)</f>
        <v>1</v>
      </c>
      <c r="Q411">
        <f>IF(COUNTIFS('United Data'!$A$3:$A$2150,Q$1,'United Data'!$C$3:$C$2150,$A411,'United Data'!$B$3:$B$2150,"&lt;&gt;P")&gt;0,1,0)</f>
        <v>1</v>
      </c>
      <c r="R411">
        <f>IF(COUNTIFS('United Data'!$A$3:$A$2150,R$1,'United Data'!$C$3:$C$2150,$A411,'United Data'!$B$3:$B$2150,"&lt;&gt;P")&gt;0,1,0)</f>
        <v>0</v>
      </c>
      <c r="S411">
        <f t="shared" si="12"/>
        <v>2</v>
      </c>
      <c r="T411">
        <f t="shared" si="13"/>
        <v>1</v>
      </c>
    </row>
    <row r="412" spans="1:20" x14ac:dyDescent="0.2">
      <c r="A412" t="s">
        <v>457</v>
      </c>
      <c r="B412">
        <f>IF(COUNTIFS('United Data'!$A$3:$A$2150,B$1,'United Data'!$C$3:$C$2150,$A412,'United Data'!$B$3:$B$2150,"&lt;&gt;P")&gt;0,1,0)</f>
        <v>0</v>
      </c>
      <c r="C412">
        <f>IF(COUNTIFS('United Data'!$A$3:$A$2150,C$1,'United Data'!$C$3:$C$2150,$A412,'United Data'!$B$3:$B$2150,"&lt;&gt;P")&gt;0,1,0)</f>
        <v>0</v>
      </c>
      <c r="D412">
        <f>IF(COUNTIFS('United Data'!$A$3:$A$2150,D$1,'United Data'!$C$3:$C$2150,$A412,'United Data'!$B$3:$B$2150,"&lt;&gt;P")&gt;0,1,0)</f>
        <v>0</v>
      </c>
      <c r="E412">
        <f>IF(COUNTIFS('United Data'!$A$3:$A$2150,E$1,'United Data'!$C$3:$C$2150,$A412,'United Data'!$B$3:$B$2150,"&lt;&gt;P")&gt;0,1,0)</f>
        <v>0</v>
      </c>
      <c r="F412">
        <f>IF(COUNTIFS('United Data'!$A$3:$A$2150,F$1,'United Data'!$C$3:$C$2150,$A412,'United Data'!$B$3:$B$2150,"&lt;&gt;P")&gt;0,1,0)</f>
        <v>0</v>
      </c>
      <c r="G412">
        <f>IF(COUNTIFS('United Data'!$A$3:$A$2150,G$1,'United Data'!$C$3:$C$2150,$A412,'United Data'!$B$3:$B$2150,"&lt;&gt;P")&gt;0,1,0)</f>
        <v>0</v>
      </c>
      <c r="H412">
        <f>IF(COUNTIFS('United Data'!$A$3:$A$2150,H$1,'United Data'!$C$3:$C$2150,$A412,'United Data'!$B$3:$B$2150,"&lt;&gt;P")&gt;0,1,0)</f>
        <v>0</v>
      </c>
      <c r="I412">
        <f>IF(COUNTIFS('United Data'!$A$3:$A$2150,I$1,'United Data'!$C$3:$C$2150,$A412,'United Data'!$B$3:$B$2150,"&lt;&gt;P")&gt;0,1,0)</f>
        <v>0</v>
      </c>
      <c r="J412">
        <f>IF(COUNTIFS('United Data'!$A$3:$A$2150,J$1,'United Data'!$C$3:$C$2150,$A412,'United Data'!$B$3:$B$2150,"&lt;&gt;P")&gt;0,1,0)</f>
        <v>0</v>
      </c>
      <c r="K412">
        <f>IF(COUNTIFS('United Data'!$A$3:$A$2150,K$1,'United Data'!$C$3:$C$2150,$A412,'United Data'!$B$3:$B$2150,"&lt;&gt;P")&gt;0,1,0)</f>
        <v>0</v>
      </c>
      <c r="L412">
        <f>IF(COUNTIFS('United Data'!$A$3:$A$2150,L$1,'United Data'!$C$3:$C$2150,$A412,'United Data'!$B$3:$B$2150,"&lt;&gt;P")&gt;0,1,0)</f>
        <v>0</v>
      </c>
      <c r="M412">
        <f>IF(COUNTIFS('United Data'!$A$3:$A$2150,M$1,'United Data'!$C$3:$C$2150,$A412,'United Data'!$B$3:$B$2150,"&lt;&gt;P")&gt;0,1,0)</f>
        <v>0</v>
      </c>
      <c r="N412">
        <f>IF(COUNTIFS('United Data'!$A$3:$A$2150,N$1,'United Data'!$C$3:$C$2150,$A412,'United Data'!$B$3:$B$2150,"&lt;&gt;P")&gt;0,1,0)</f>
        <v>0</v>
      </c>
      <c r="O412">
        <f>IF(COUNTIFS('United Data'!$A$3:$A$2150,O$1,'United Data'!$C$3:$C$2150,$A412,'United Data'!$B$3:$B$2150,"&lt;&gt;P")&gt;0,1,0)</f>
        <v>0</v>
      </c>
      <c r="P412">
        <f>IF(COUNTIFS('United Data'!$A$3:$A$2150,P$1,'United Data'!$C$3:$C$2150,$A412,'United Data'!$B$3:$B$2150,"&lt;&gt;P")&gt;0,1,0)</f>
        <v>1</v>
      </c>
      <c r="Q412">
        <f>IF(COUNTIFS('United Data'!$A$3:$A$2150,Q$1,'United Data'!$C$3:$C$2150,$A412,'United Data'!$B$3:$B$2150,"&lt;&gt;P")&gt;0,1,0)</f>
        <v>0</v>
      </c>
      <c r="R412">
        <f>IF(COUNTIFS('United Data'!$A$3:$A$2150,R$1,'United Data'!$C$3:$C$2150,$A412,'United Data'!$B$3:$B$2150,"&lt;&gt;P")&gt;0,1,0)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458</v>
      </c>
      <c r="B413">
        <f>IF(COUNTIFS('United Data'!$A$3:$A$2150,B$1,'United Data'!$C$3:$C$2150,$A413,'United Data'!$B$3:$B$2150,"&lt;&gt;P")&gt;0,1,0)</f>
        <v>0</v>
      </c>
      <c r="C413">
        <f>IF(COUNTIFS('United Data'!$A$3:$A$2150,C$1,'United Data'!$C$3:$C$2150,$A413,'United Data'!$B$3:$B$2150,"&lt;&gt;P")&gt;0,1,0)</f>
        <v>0</v>
      </c>
      <c r="D413">
        <f>IF(COUNTIFS('United Data'!$A$3:$A$2150,D$1,'United Data'!$C$3:$C$2150,$A413,'United Data'!$B$3:$B$2150,"&lt;&gt;P")&gt;0,1,0)</f>
        <v>0</v>
      </c>
      <c r="E413">
        <f>IF(COUNTIFS('United Data'!$A$3:$A$2150,E$1,'United Data'!$C$3:$C$2150,$A413,'United Data'!$B$3:$B$2150,"&lt;&gt;P")&gt;0,1,0)</f>
        <v>0</v>
      </c>
      <c r="F413">
        <f>IF(COUNTIFS('United Data'!$A$3:$A$2150,F$1,'United Data'!$C$3:$C$2150,$A413,'United Data'!$B$3:$B$2150,"&lt;&gt;P")&gt;0,1,0)</f>
        <v>0</v>
      </c>
      <c r="G413">
        <f>IF(COUNTIFS('United Data'!$A$3:$A$2150,G$1,'United Data'!$C$3:$C$2150,$A413,'United Data'!$B$3:$B$2150,"&lt;&gt;P")&gt;0,1,0)</f>
        <v>0</v>
      </c>
      <c r="H413">
        <f>IF(COUNTIFS('United Data'!$A$3:$A$2150,H$1,'United Data'!$C$3:$C$2150,$A413,'United Data'!$B$3:$B$2150,"&lt;&gt;P")&gt;0,1,0)</f>
        <v>0</v>
      </c>
      <c r="I413">
        <f>IF(COUNTIFS('United Data'!$A$3:$A$2150,I$1,'United Data'!$C$3:$C$2150,$A413,'United Data'!$B$3:$B$2150,"&lt;&gt;P")&gt;0,1,0)</f>
        <v>0</v>
      </c>
      <c r="J413">
        <f>IF(COUNTIFS('United Data'!$A$3:$A$2150,J$1,'United Data'!$C$3:$C$2150,$A413,'United Data'!$B$3:$B$2150,"&lt;&gt;P")&gt;0,1,0)</f>
        <v>0</v>
      </c>
      <c r="K413">
        <f>IF(COUNTIFS('United Data'!$A$3:$A$2150,K$1,'United Data'!$C$3:$C$2150,$A413,'United Data'!$B$3:$B$2150,"&lt;&gt;P")&gt;0,1,0)</f>
        <v>0</v>
      </c>
      <c r="L413">
        <f>IF(COUNTIFS('United Data'!$A$3:$A$2150,L$1,'United Data'!$C$3:$C$2150,$A413,'United Data'!$B$3:$B$2150,"&lt;&gt;P")&gt;0,1,0)</f>
        <v>0</v>
      </c>
      <c r="M413">
        <f>IF(COUNTIFS('United Data'!$A$3:$A$2150,M$1,'United Data'!$C$3:$C$2150,$A413,'United Data'!$B$3:$B$2150,"&lt;&gt;P")&gt;0,1,0)</f>
        <v>0</v>
      </c>
      <c r="N413">
        <f>IF(COUNTIFS('United Data'!$A$3:$A$2150,N$1,'United Data'!$C$3:$C$2150,$A413,'United Data'!$B$3:$B$2150,"&lt;&gt;P")&gt;0,1,0)</f>
        <v>0</v>
      </c>
      <c r="O413">
        <f>IF(COUNTIFS('United Data'!$A$3:$A$2150,O$1,'United Data'!$C$3:$C$2150,$A413,'United Data'!$B$3:$B$2150,"&lt;&gt;P")&gt;0,1,0)</f>
        <v>0</v>
      </c>
      <c r="P413">
        <f>IF(COUNTIFS('United Data'!$A$3:$A$2150,P$1,'United Data'!$C$3:$C$2150,$A413,'United Data'!$B$3:$B$2150,"&lt;&gt;P")&gt;0,1,0)</f>
        <v>1</v>
      </c>
      <c r="Q413">
        <f>IF(COUNTIFS('United Data'!$A$3:$A$2150,Q$1,'United Data'!$C$3:$C$2150,$A413,'United Data'!$B$3:$B$2150,"&lt;&gt;P")&gt;0,1,0)</f>
        <v>0</v>
      </c>
      <c r="R413">
        <f>IF(COUNTIFS('United Data'!$A$3:$A$2150,R$1,'United Data'!$C$3:$C$2150,$A413,'United Data'!$B$3:$B$2150,"&lt;&gt;P")&gt;0,1,0)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459</v>
      </c>
      <c r="B414">
        <f>IF(COUNTIFS('United Data'!$A$3:$A$2150,B$1,'United Data'!$C$3:$C$2150,$A414,'United Data'!$B$3:$B$2150,"&lt;&gt;P")&gt;0,1,0)</f>
        <v>0</v>
      </c>
      <c r="C414">
        <f>IF(COUNTIFS('United Data'!$A$3:$A$2150,C$1,'United Data'!$C$3:$C$2150,$A414,'United Data'!$B$3:$B$2150,"&lt;&gt;P")&gt;0,1,0)</f>
        <v>0</v>
      </c>
      <c r="D414">
        <f>IF(COUNTIFS('United Data'!$A$3:$A$2150,D$1,'United Data'!$C$3:$C$2150,$A414,'United Data'!$B$3:$B$2150,"&lt;&gt;P")&gt;0,1,0)</f>
        <v>0</v>
      </c>
      <c r="E414">
        <f>IF(COUNTIFS('United Data'!$A$3:$A$2150,E$1,'United Data'!$C$3:$C$2150,$A414,'United Data'!$B$3:$B$2150,"&lt;&gt;P")&gt;0,1,0)</f>
        <v>0</v>
      </c>
      <c r="F414">
        <f>IF(COUNTIFS('United Data'!$A$3:$A$2150,F$1,'United Data'!$C$3:$C$2150,$A414,'United Data'!$B$3:$B$2150,"&lt;&gt;P")&gt;0,1,0)</f>
        <v>0</v>
      </c>
      <c r="G414">
        <f>IF(COUNTIFS('United Data'!$A$3:$A$2150,G$1,'United Data'!$C$3:$C$2150,$A414,'United Data'!$B$3:$B$2150,"&lt;&gt;P")&gt;0,1,0)</f>
        <v>0</v>
      </c>
      <c r="H414">
        <f>IF(COUNTIFS('United Data'!$A$3:$A$2150,H$1,'United Data'!$C$3:$C$2150,$A414,'United Data'!$B$3:$B$2150,"&lt;&gt;P")&gt;0,1,0)</f>
        <v>0</v>
      </c>
      <c r="I414">
        <f>IF(COUNTIFS('United Data'!$A$3:$A$2150,I$1,'United Data'!$C$3:$C$2150,$A414,'United Data'!$B$3:$B$2150,"&lt;&gt;P")&gt;0,1,0)</f>
        <v>0</v>
      </c>
      <c r="J414">
        <f>IF(COUNTIFS('United Data'!$A$3:$A$2150,J$1,'United Data'!$C$3:$C$2150,$A414,'United Data'!$B$3:$B$2150,"&lt;&gt;P")&gt;0,1,0)</f>
        <v>0</v>
      </c>
      <c r="K414">
        <f>IF(COUNTIFS('United Data'!$A$3:$A$2150,K$1,'United Data'!$C$3:$C$2150,$A414,'United Data'!$B$3:$B$2150,"&lt;&gt;P")&gt;0,1,0)</f>
        <v>0</v>
      </c>
      <c r="L414">
        <f>IF(COUNTIFS('United Data'!$A$3:$A$2150,L$1,'United Data'!$C$3:$C$2150,$A414,'United Data'!$B$3:$B$2150,"&lt;&gt;P")&gt;0,1,0)</f>
        <v>0</v>
      </c>
      <c r="M414">
        <f>IF(COUNTIFS('United Data'!$A$3:$A$2150,M$1,'United Data'!$C$3:$C$2150,$A414,'United Data'!$B$3:$B$2150,"&lt;&gt;P")&gt;0,1,0)</f>
        <v>0</v>
      </c>
      <c r="N414">
        <f>IF(COUNTIFS('United Data'!$A$3:$A$2150,N$1,'United Data'!$C$3:$C$2150,$A414,'United Data'!$B$3:$B$2150,"&lt;&gt;P")&gt;0,1,0)</f>
        <v>0</v>
      </c>
      <c r="O414">
        <f>IF(COUNTIFS('United Data'!$A$3:$A$2150,O$1,'United Data'!$C$3:$C$2150,$A414,'United Data'!$B$3:$B$2150,"&lt;&gt;P")&gt;0,1,0)</f>
        <v>0</v>
      </c>
      <c r="P414">
        <f>IF(COUNTIFS('United Data'!$A$3:$A$2150,P$1,'United Data'!$C$3:$C$2150,$A414,'United Data'!$B$3:$B$2150,"&lt;&gt;P")&gt;0,1,0)</f>
        <v>1</v>
      </c>
      <c r="Q414">
        <f>IF(COUNTIFS('United Data'!$A$3:$A$2150,Q$1,'United Data'!$C$3:$C$2150,$A414,'United Data'!$B$3:$B$2150,"&lt;&gt;P")&gt;0,1,0)</f>
        <v>0</v>
      </c>
      <c r="R414">
        <f>IF(COUNTIFS('United Data'!$A$3:$A$2150,R$1,'United Data'!$C$3:$C$2150,$A414,'United Data'!$B$3:$B$2150,"&lt;&gt;P")&gt;0,1,0)</f>
        <v>0</v>
      </c>
      <c r="S414">
        <f t="shared" si="12"/>
        <v>1</v>
      </c>
      <c r="T414">
        <f t="shared" si="13"/>
        <v>1</v>
      </c>
    </row>
    <row r="415" spans="1:20" x14ac:dyDescent="0.2">
      <c r="A415" t="s">
        <v>460</v>
      </c>
      <c r="B415">
        <f>IF(COUNTIFS('United Data'!$A$3:$A$2150,B$1,'United Data'!$C$3:$C$2150,$A415,'United Data'!$B$3:$B$2150,"&lt;&gt;P")&gt;0,1,0)</f>
        <v>0</v>
      </c>
      <c r="C415">
        <f>IF(COUNTIFS('United Data'!$A$3:$A$2150,C$1,'United Data'!$C$3:$C$2150,$A415,'United Data'!$B$3:$B$2150,"&lt;&gt;P")&gt;0,1,0)</f>
        <v>0</v>
      </c>
      <c r="D415">
        <f>IF(COUNTIFS('United Data'!$A$3:$A$2150,D$1,'United Data'!$C$3:$C$2150,$A415,'United Data'!$B$3:$B$2150,"&lt;&gt;P")&gt;0,1,0)</f>
        <v>0</v>
      </c>
      <c r="E415">
        <f>IF(COUNTIFS('United Data'!$A$3:$A$2150,E$1,'United Data'!$C$3:$C$2150,$A415,'United Data'!$B$3:$B$2150,"&lt;&gt;P")&gt;0,1,0)</f>
        <v>0</v>
      </c>
      <c r="F415">
        <f>IF(COUNTIFS('United Data'!$A$3:$A$2150,F$1,'United Data'!$C$3:$C$2150,$A415,'United Data'!$B$3:$B$2150,"&lt;&gt;P")&gt;0,1,0)</f>
        <v>0</v>
      </c>
      <c r="G415">
        <f>IF(COUNTIFS('United Data'!$A$3:$A$2150,G$1,'United Data'!$C$3:$C$2150,$A415,'United Data'!$B$3:$B$2150,"&lt;&gt;P")&gt;0,1,0)</f>
        <v>0</v>
      </c>
      <c r="H415">
        <f>IF(COUNTIFS('United Data'!$A$3:$A$2150,H$1,'United Data'!$C$3:$C$2150,$A415,'United Data'!$B$3:$B$2150,"&lt;&gt;P")&gt;0,1,0)</f>
        <v>0</v>
      </c>
      <c r="I415">
        <f>IF(COUNTIFS('United Data'!$A$3:$A$2150,I$1,'United Data'!$C$3:$C$2150,$A415,'United Data'!$B$3:$B$2150,"&lt;&gt;P")&gt;0,1,0)</f>
        <v>0</v>
      </c>
      <c r="J415">
        <f>IF(COUNTIFS('United Data'!$A$3:$A$2150,J$1,'United Data'!$C$3:$C$2150,$A415,'United Data'!$B$3:$B$2150,"&lt;&gt;P")&gt;0,1,0)</f>
        <v>0</v>
      </c>
      <c r="K415">
        <f>IF(COUNTIFS('United Data'!$A$3:$A$2150,K$1,'United Data'!$C$3:$C$2150,$A415,'United Data'!$B$3:$B$2150,"&lt;&gt;P")&gt;0,1,0)</f>
        <v>0</v>
      </c>
      <c r="L415">
        <f>IF(COUNTIFS('United Data'!$A$3:$A$2150,L$1,'United Data'!$C$3:$C$2150,$A415,'United Data'!$B$3:$B$2150,"&lt;&gt;P")&gt;0,1,0)</f>
        <v>0</v>
      </c>
      <c r="M415">
        <f>IF(COUNTIFS('United Data'!$A$3:$A$2150,M$1,'United Data'!$C$3:$C$2150,$A415,'United Data'!$B$3:$B$2150,"&lt;&gt;P")&gt;0,1,0)</f>
        <v>0</v>
      </c>
      <c r="N415">
        <f>IF(COUNTIFS('United Data'!$A$3:$A$2150,N$1,'United Data'!$C$3:$C$2150,$A415,'United Data'!$B$3:$B$2150,"&lt;&gt;P")&gt;0,1,0)</f>
        <v>0</v>
      </c>
      <c r="O415">
        <f>IF(COUNTIFS('United Data'!$A$3:$A$2150,O$1,'United Data'!$C$3:$C$2150,$A415,'United Data'!$B$3:$B$2150,"&lt;&gt;P")&gt;0,1,0)</f>
        <v>0</v>
      </c>
      <c r="P415">
        <f>IF(COUNTIFS('United Data'!$A$3:$A$2150,P$1,'United Data'!$C$3:$C$2150,$A415,'United Data'!$B$3:$B$2150,"&lt;&gt;P")&gt;0,1,0)</f>
        <v>1</v>
      </c>
      <c r="Q415">
        <f>IF(COUNTIFS('United Data'!$A$3:$A$2150,Q$1,'United Data'!$C$3:$C$2150,$A415,'United Data'!$B$3:$B$2150,"&lt;&gt;P")&gt;0,1,0)</f>
        <v>0</v>
      </c>
      <c r="R415">
        <f>IF(COUNTIFS('United Data'!$A$3:$A$2150,R$1,'United Data'!$C$3:$C$2150,$A415,'United Data'!$B$3:$B$2150,"&lt;&gt;P")&gt;0,1,0)</f>
        <v>0</v>
      </c>
      <c r="S415">
        <f t="shared" si="12"/>
        <v>1</v>
      </c>
      <c r="T415">
        <f t="shared" si="13"/>
        <v>1</v>
      </c>
    </row>
    <row r="416" spans="1:20" x14ac:dyDescent="0.2">
      <c r="A416" t="s">
        <v>461</v>
      </c>
      <c r="B416">
        <f>IF(COUNTIFS('United Data'!$A$3:$A$2150,B$1,'United Data'!$C$3:$C$2150,$A416,'United Data'!$B$3:$B$2150,"&lt;&gt;P")&gt;0,1,0)</f>
        <v>0</v>
      </c>
      <c r="C416">
        <f>IF(COUNTIFS('United Data'!$A$3:$A$2150,C$1,'United Data'!$C$3:$C$2150,$A416,'United Data'!$B$3:$B$2150,"&lt;&gt;P")&gt;0,1,0)</f>
        <v>0</v>
      </c>
      <c r="D416">
        <f>IF(COUNTIFS('United Data'!$A$3:$A$2150,D$1,'United Data'!$C$3:$C$2150,$A416,'United Data'!$B$3:$B$2150,"&lt;&gt;P")&gt;0,1,0)</f>
        <v>0</v>
      </c>
      <c r="E416">
        <f>IF(COUNTIFS('United Data'!$A$3:$A$2150,E$1,'United Data'!$C$3:$C$2150,$A416,'United Data'!$B$3:$B$2150,"&lt;&gt;P")&gt;0,1,0)</f>
        <v>0</v>
      </c>
      <c r="F416">
        <f>IF(COUNTIFS('United Data'!$A$3:$A$2150,F$1,'United Data'!$C$3:$C$2150,$A416,'United Data'!$B$3:$B$2150,"&lt;&gt;P")&gt;0,1,0)</f>
        <v>0</v>
      </c>
      <c r="G416">
        <f>IF(COUNTIFS('United Data'!$A$3:$A$2150,G$1,'United Data'!$C$3:$C$2150,$A416,'United Data'!$B$3:$B$2150,"&lt;&gt;P")&gt;0,1,0)</f>
        <v>0</v>
      </c>
      <c r="H416">
        <f>IF(COUNTIFS('United Data'!$A$3:$A$2150,H$1,'United Data'!$C$3:$C$2150,$A416,'United Data'!$B$3:$B$2150,"&lt;&gt;P")&gt;0,1,0)</f>
        <v>0</v>
      </c>
      <c r="I416">
        <f>IF(COUNTIFS('United Data'!$A$3:$A$2150,I$1,'United Data'!$C$3:$C$2150,$A416,'United Data'!$B$3:$B$2150,"&lt;&gt;P")&gt;0,1,0)</f>
        <v>0</v>
      </c>
      <c r="J416">
        <f>IF(COUNTIFS('United Data'!$A$3:$A$2150,J$1,'United Data'!$C$3:$C$2150,$A416,'United Data'!$B$3:$B$2150,"&lt;&gt;P")&gt;0,1,0)</f>
        <v>0</v>
      </c>
      <c r="K416">
        <f>IF(COUNTIFS('United Data'!$A$3:$A$2150,K$1,'United Data'!$C$3:$C$2150,$A416,'United Data'!$B$3:$B$2150,"&lt;&gt;P")&gt;0,1,0)</f>
        <v>0</v>
      </c>
      <c r="L416">
        <f>IF(COUNTIFS('United Data'!$A$3:$A$2150,L$1,'United Data'!$C$3:$C$2150,$A416,'United Data'!$B$3:$B$2150,"&lt;&gt;P")&gt;0,1,0)</f>
        <v>0</v>
      </c>
      <c r="M416">
        <f>IF(COUNTIFS('United Data'!$A$3:$A$2150,M$1,'United Data'!$C$3:$C$2150,$A416,'United Data'!$B$3:$B$2150,"&lt;&gt;P")&gt;0,1,0)</f>
        <v>0</v>
      </c>
      <c r="N416">
        <f>IF(COUNTIFS('United Data'!$A$3:$A$2150,N$1,'United Data'!$C$3:$C$2150,$A416,'United Data'!$B$3:$B$2150,"&lt;&gt;P")&gt;0,1,0)</f>
        <v>0</v>
      </c>
      <c r="O416">
        <f>IF(COUNTIFS('United Data'!$A$3:$A$2150,O$1,'United Data'!$C$3:$C$2150,$A416,'United Data'!$B$3:$B$2150,"&lt;&gt;P")&gt;0,1,0)</f>
        <v>0</v>
      </c>
      <c r="P416">
        <f>IF(COUNTIFS('United Data'!$A$3:$A$2150,P$1,'United Data'!$C$3:$C$2150,$A416,'United Data'!$B$3:$B$2150,"&lt;&gt;P")&gt;0,1,0)</f>
        <v>0</v>
      </c>
      <c r="Q416">
        <f>IF(COUNTIFS('United Data'!$A$3:$A$2150,Q$1,'United Data'!$C$3:$C$2150,$A416,'United Data'!$B$3:$B$2150,"&lt;&gt;P")&gt;0,1,0)</f>
        <v>1</v>
      </c>
      <c r="R416">
        <f>IF(COUNTIFS('United Data'!$A$3:$A$2150,R$1,'United Data'!$C$3:$C$2150,$A416,'United Data'!$B$3:$B$2150,"&lt;&gt;P")&gt;0,1,0)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462</v>
      </c>
      <c r="B417">
        <f>IF(COUNTIFS('United Data'!$A$3:$A$2150,B$1,'United Data'!$C$3:$C$2150,$A417,'United Data'!$B$3:$B$2150,"&lt;&gt;P")&gt;0,1,0)</f>
        <v>0</v>
      </c>
      <c r="C417">
        <f>IF(COUNTIFS('United Data'!$A$3:$A$2150,C$1,'United Data'!$C$3:$C$2150,$A417,'United Data'!$B$3:$B$2150,"&lt;&gt;P")&gt;0,1,0)</f>
        <v>0</v>
      </c>
      <c r="D417">
        <f>IF(COUNTIFS('United Data'!$A$3:$A$2150,D$1,'United Data'!$C$3:$C$2150,$A417,'United Data'!$B$3:$B$2150,"&lt;&gt;P")&gt;0,1,0)</f>
        <v>0</v>
      </c>
      <c r="E417">
        <f>IF(COUNTIFS('United Data'!$A$3:$A$2150,E$1,'United Data'!$C$3:$C$2150,$A417,'United Data'!$B$3:$B$2150,"&lt;&gt;P")&gt;0,1,0)</f>
        <v>0</v>
      </c>
      <c r="F417">
        <f>IF(COUNTIFS('United Data'!$A$3:$A$2150,F$1,'United Data'!$C$3:$C$2150,$A417,'United Data'!$B$3:$B$2150,"&lt;&gt;P")&gt;0,1,0)</f>
        <v>0</v>
      </c>
      <c r="G417">
        <f>IF(COUNTIFS('United Data'!$A$3:$A$2150,G$1,'United Data'!$C$3:$C$2150,$A417,'United Data'!$B$3:$B$2150,"&lt;&gt;P")&gt;0,1,0)</f>
        <v>0</v>
      </c>
      <c r="H417">
        <f>IF(COUNTIFS('United Data'!$A$3:$A$2150,H$1,'United Data'!$C$3:$C$2150,$A417,'United Data'!$B$3:$B$2150,"&lt;&gt;P")&gt;0,1,0)</f>
        <v>0</v>
      </c>
      <c r="I417">
        <f>IF(COUNTIFS('United Data'!$A$3:$A$2150,I$1,'United Data'!$C$3:$C$2150,$A417,'United Data'!$B$3:$B$2150,"&lt;&gt;P")&gt;0,1,0)</f>
        <v>0</v>
      </c>
      <c r="J417">
        <f>IF(COUNTIFS('United Data'!$A$3:$A$2150,J$1,'United Data'!$C$3:$C$2150,$A417,'United Data'!$B$3:$B$2150,"&lt;&gt;P")&gt;0,1,0)</f>
        <v>0</v>
      </c>
      <c r="K417">
        <f>IF(COUNTIFS('United Data'!$A$3:$A$2150,K$1,'United Data'!$C$3:$C$2150,$A417,'United Data'!$B$3:$B$2150,"&lt;&gt;P")&gt;0,1,0)</f>
        <v>0</v>
      </c>
      <c r="L417">
        <f>IF(COUNTIFS('United Data'!$A$3:$A$2150,L$1,'United Data'!$C$3:$C$2150,$A417,'United Data'!$B$3:$B$2150,"&lt;&gt;P")&gt;0,1,0)</f>
        <v>0</v>
      </c>
      <c r="M417">
        <f>IF(COUNTIFS('United Data'!$A$3:$A$2150,M$1,'United Data'!$C$3:$C$2150,$A417,'United Data'!$B$3:$B$2150,"&lt;&gt;P")&gt;0,1,0)</f>
        <v>0</v>
      </c>
      <c r="N417">
        <f>IF(COUNTIFS('United Data'!$A$3:$A$2150,N$1,'United Data'!$C$3:$C$2150,$A417,'United Data'!$B$3:$B$2150,"&lt;&gt;P")&gt;0,1,0)</f>
        <v>0</v>
      </c>
      <c r="O417">
        <f>IF(COUNTIFS('United Data'!$A$3:$A$2150,O$1,'United Data'!$C$3:$C$2150,$A417,'United Data'!$B$3:$B$2150,"&lt;&gt;P")&gt;0,1,0)</f>
        <v>0</v>
      </c>
      <c r="P417">
        <f>IF(COUNTIFS('United Data'!$A$3:$A$2150,P$1,'United Data'!$C$3:$C$2150,$A417,'United Data'!$B$3:$B$2150,"&lt;&gt;P")&gt;0,1,0)</f>
        <v>0</v>
      </c>
      <c r="Q417">
        <f>IF(COUNTIFS('United Data'!$A$3:$A$2150,Q$1,'United Data'!$C$3:$C$2150,$A417,'United Data'!$B$3:$B$2150,"&lt;&gt;P")&gt;0,1,0)</f>
        <v>1</v>
      </c>
      <c r="R417">
        <f>IF(COUNTIFS('United Data'!$A$3:$A$2150,R$1,'United Data'!$C$3:$C$2150,$A417,'United Data'!$B$3:$B$2150,"&lt;&gt;P")&gt;0,1,0)</f>
        <v>0</v>
      </c>
      <c r="S417">
        <f t="shared" si="12"/>
        <v>1</v>
      </c>
      <c r="T417">
        <f t="shared" si="13"/>
        <v>1</v>
      </c>
    </row>
    <row r="418" spans="1:20" x14ac:dyDescent="0.2">
      <c r="A418" t="s">
        <v>463</v>
      </c>
      <c r="B418">
        <f>IF(COUNTIFS('United Data'!$A$3:$A$2150,B$1,'United Data'!$C$3:$C$2150,$A418,'United Data'!$B$3:$B$2150,"&lt;&gt;P")&gt;0,1,0)</f>
        <v>0</v>
      </c>
      <c r="C418">
        <f>IF(COUNTIFS('United Data'!$A$3:$A$2150,C$1,'United Data'!$C$3:$C$2150,$A418,'United Data'!$B$3:$B$2150,"&lt;&gt;P")&gt;0,1,0)</f>
        <v>0</v>
      </c>
      <c r="D418">
        <f>IF(COUNTIFS('United Data'!$A$3:$A$2150,D$1,'United Data'!$C$3:$C$2150,$A418,'United Data'!$B$3:$B$2150,"&lt;&gt;P")&gt;0,1,0)</f>
        <v>0</v>
      </c>
      <c r="E418">
        <f>IF(COUNTIFS('United Data'!$A$3:$A$2150,E$1,'United Data'!$C$3:$C$2150,$A418,'United Data'!$B$3:$B$2150,"&lt;&gt;P")&gt;0,1,0)</f>
        <v>0</v>
      </c>
      <c r="F418">
        <f>IF(COUNTIFS('United Data'!$A$3:$A$2150,F$1,'United Data'!$C$3:$C$2150,$A418,'United Data'!$B$3:$B$2150,"&lt;&gt;P")&gt;0,1,0)</f>
        <v>0</v>
      </c>
      <c r="G418">
        <f>IF(COUNTIFS('United Data'!$A$3:$A$2150,G$1,'United Data'!$C$3:$C$2150,$A418,'United Data'!$B$3:$B$2150,"&lt;&gt;P")&gt;0,1,0)</f>
        <v>0</v>
      </c>
      <c r="H418">
        <f>IF(COUNTIFS('United Data'!$A$3:$A$2150,H$1,'United Data'!$C$3:$C$2150,$A418,'United Data'!$B$3:$B$2150,"&lt;&gt;P")&gt;0,1,0)</f>
        <v>0</v>
      </c>
      <c r="I418">
        <f>IF(COUNTIFS('United Data'!$A$3:$A$2150,I$1,'United Data'!$C$3:$C$2150,$A418,'United Data'!$B$3:$B$2150,"&lt;&gt;P")&gt;0,1,0)</f>
        <v>0</v>
      </c>
      <c r="J418">
        <f>IF(COUNTIFS('United Data'!$A$3:$A$2150,J$1,'United Data'!$C$3:$C$2150,$A418,'United Data'!$B$3:$B$2150,"&lt;&gt;P")&gt;0,1,0)</f>
        <v>0</v>
      </c>
      <c r="K418">
        <f>IF(COUNTIFS('United Data'!$A$3:$A$2150,K$1,'United Data'!$C$3:$C$2150,$A418,'United Data'!$B$3:$B$2150,"&lt;&gt;P")&gt;0,1,0)</f>
        <v>0</v>
      </c>
      <c r="L418">
        <f>IF(COUNTIFS('United Data'!$A$3:$A$2150,L$1,'United Data'!$C$3:$C$2150,$A418,'United Data'!$B$3:$B$2150,"&lt;&gt;P")&gt;0,1,0)</f>
        <v>0</v>
      </c>
      <c r="M418">
        <f>IF(COUNTIFS('United Data'!$A$3:$A$2150,M$1,'United Data'!$C$3:$C$2150,$A418,'United Data'!$B$3:$B$2150,"&lt;&gt;P")&gt;0,1,0)</f>
        <v>0</v>
      </c>
      <c r="N418">
        <f>IF(COUNTIFS('United Data'!$A$3:$A$2150,N$1,'United Data'!$C$3:$C$2150,$A418,'United Data'!$B$3:$B$2150,"&lt;&gt;P")&gt;0,1,0)</f>
        <v>0</v>
      </c>
      <c r="O418">
        <f>IF(COUNTIFS('United Data'!$A$3:$A$2150,O$1,'United Data'!$C$3:$C$2150,$A418,'United Data'!$B$3:$B$2150,"&lt;&gt;P")&gt;0,1,0)</f>
        <v>0</v>
      </c>
      <c r="P418">
        <f>IF(COUNTIFS('United Data'!$A$3:$A$2150,P$1,'United Data'!$C$3:$C$2150,$A418,'United Data'!$B$3:$B$2150,"&lt;&gt;P")&gt;0,1,0)</f>
        <v>0</v>
      </c>
      <c r="Q418">
        <f>IF(COUNTIFS('United Data'!$A$3:$A$2150,Q$1,'United Data'!$C$3:$C$2150,$A418,'United Data'!$B$3:$B$2150,"&lt;&gt;P")&gt;0,1,0)</f>
        <v>1</v>
      </c>
      <c r="R418">
        <f>IF(COUNTIFS('United Data'!$A$3:$A$2150,R$1,'United Data'!$C$3:$C$2150,$A418,'United Data'!$B$3:$B$2150,"&lt;&gt;P")&gt;0,1,0)</f>
        <v>0</v>
      </c>
      <c r="S418">
        <f t="shared" si="12"/>
        <v>1</v>
      </c>
      <c r="T418">
        <f t="shared" si="13"/>
        <v>1</v>
      </c>
    </row>
    <row r="419" spans="1:20" x14ac:dyDescent="0.2">
      <c r="A419" t="s">
        <v>464</v>
      </c>
      <c r="B419">
        <f>IF(COUNTIFS('United Data'!$A$3:$A$2150,B$1,'United Data'!$C$3:$C$2150,$A419,'United Data'!$B$3:$B$2150,"&lt;&gt;P")&gt;0,1,0)</f>
        <v>0</v>
      </c>
      <c r="C419">
        <f>IF(COUNTIFS('United Data'!$A$3:$A$2150,C$1,'United Data'!$C$3:$C$2150,$A419,'United Data'!$B$3:$B$2150,"&lt;&gt;P")&gt;0,1,0)</f>
        <v>0</v>
      </c>
      <c r="D419">
        <f>IF(COUNTIFS('United Data'!$A$3:$A$2150,D$1,'United Data'!$C$3:$C$2150,$A419,'United Data'!$B$3:$B$2150,"&lt;&gt;P")&gt;0,1,0)</f>
        <v>0</v>
      </c>
      <c r="E419">
        <f>IF(COUNTIFS('United Data'!$A$3:$A$2150,E$1,'United Data'!$C$3:$C$2150,$A419,'United Data'!$B$3:$B$2150,"&lt;&gt;P")&gt;0,1,0)</f>
        <v>0</v>
      </c>
      <c r="F419">
        <f>IF(COUNTIFS('United Data'!$A$3:$A$2150,F$1,'United Data'!$C$3:$C$2150,$A419,'United Data'!$B$3:$B$2150,"&lt;&gt;P")&gt;0,1,0)</f>
        <v>0</v>
      </c>
      <c r="G419">
        <f>IF(COUNTIFS('United Data'!$A$3:$A$2150,G$1,'United Data'!$C$3:$C$2150,$A419,'United Data'!$B$3:$B$2150,"&lt;&gt;P")&gt;0,1,0)</f>
        <v>0</v>
      </c>
      <c r="H419">
        <f>IF(COUNTIFS('United Data'!$A$3:$A$2150,H$1,'United Data'!$C$3:$C$2150,$A419,'United Data'!$B$3:$B$2150,"&lt;&gt;P")&gt;0,1,0)</f>
        <v>0</v>
      </c>
      <c r="I419">
        <f>IF(COUNTIFS('United Data'!$A$3:$A$2150,I$1,'United Data'!$C$3:$C$2150,$A419,'United Data'!$B$3:$B$2150,"&lt;&gt;P")&gt;0,1,0)</f>
        <v>0</v>
      </c>
      <c r="J419">
        <f>IF(COUNTIFS('United Data'!$A$3:$A$2150,J$1,'United Data'!$C$3:$C$2150,$A419,'United Data'!$B$3:$B$2150,"&lt;&gt;P")&gt;0,1,0)</f>
        <v>0</v>
      </c>
      <c r="K419">
        <f>IF(COUNTIFS('United Data'!$A$3:$A$2150,K$1,'United Data'!$C$3:$C$2150,$A419,'United Data'!$B$3:$B$2150,"&lt;&gt;P")&gt;0,1,0)</f>
        <v>0</v>
      </c>
      <c r="L419">
        <f>IF(COUNTIFS('United Data'!$A$3:$A$2150,L$1,'United Data'!$C$3:$C$2150,$A419,'United Data'!$B$3:$B$2150,"&lt;&gt;P")&gt;0,1,0)</f>
        <v>0</v>
      </c>
      <c r="M419">
        <f>IF(COUNTIFS('United Data'!$A$3:$A$2150,M$1,'United Data'!$C$3:$C$2150,$A419,'United Data'!$B$3:$B$2150,"&lt;&gt;P")&gt;0,1,0)</f>
        <v>0</v>
      </c>
      <c r="N419">
        <f>IF(COUNTIFS('United Data'!$A$3:$A$2150,N$1,'United Data'!$C$3:$C$2150,$A419,'United Data'!$B$3:$B$2150,"&lt;&gt;P")&gt;0,1,0)</f>
        <v>0</v>
      </c>
      <c r="O419">
        <f>IF(COUNTIFS('United Data'!$A$3:$A$2150,O$1,'United Data'!$C$3:$C$2150,$A419,'United Data'!$B$3:$B$2150,"&lt;&gt;P")&gt;0,1,0)</f>
        <v>0</v>
      </c>
      <c r="P419">
        <f>IF(COUNTIFS('United Data'!$A$3:$A$2150,P$1,'United Data'!$C$3:$C$2150,$A419,'United Data'!$B$3:$B$2150,"&lt;&gt;P")&gt;0,1,0)</f>
        <v>0</v>
      </c>
      <c r="Q419">
        <f>IF(COUNTIFS('United Data'!$A$3:$A$2150,Q$1,'United Data'!$C$3:$C$2150,$A419,'United Data'!$B$3:$B$2150,"&lt;&gt;P")&gt;0,1,0)</f>
        <v>1</v>
      </c>
      <c r="R419">
        <f>IF(COUNTIFS('United Data'!$A$3:$A$2150,R$1,'United Data'!$C$3:$C$2150,$A419,'United Data'!$B$3:$B$2150,"&lt;&gt;P")&gt;0,1,0)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465</v>
      </c>
      <c r="B420">
        <f>IF(COUNTIFS('United Data'!$A$3:$A$2150,B$1,'United Data'!$C$3:$C$2150,$A420,'United Data'!$B$3:$B$2150,"&lt;&gt;P")&gt;0,1,0)</f>
        <v>0</v>
      </c>
      <c r="C420">
        <f>IF(COUNTIFS('United Data'!$A$3:$A$2150,C$1,'United Data'!$C$3:$C$2150,$A420,'United Data'!$B$3:$B$2150,"&lt;&gt;P")&gt;0,1,0)</f>
        <v>0</v>
      </c>
      <c r="D420">
        <f>IF(COUNTIFS('United Data'!$A$3:$A$2150,D$1,'United Data'!$C$3:$C$2150,$A420,'United Data'!$B$3:$B$2150,"&lt;&gt;P")&gt;0,1,0)</f>
        <v>0</v>
      </c>
      <c r="E420">
        <f>IF(COUNTIFS('United Data'!$A$3:$A$2150,E$1,'United Data'!$C$3:$C$2150,$A420,'United Data'!$B$3:$B$2150,"&lt;&gt;P")&gt;0,1,0)</f>
        <v>0</v>
      </c>
      <c r="F420">
        <f>IF(COUNTIFS('United Data'!$A$3:$A$2150,F$1,'United Data'!$C$3:$C$2150,$A420,'United Data'!$B$3:$B$2150,"&lt;&gt;P")&gt;0,1,0)</f>
        <v>0</v>
      </c>
      <c r="G420">
        <f>IF(COUNTIFS('United Data'!$A$3:$A$2150,G$1,'United Data'!$C$3:$C$2150,$A420,'United Data'!$B$3:$B$2150,"&lt;&gt;P")&gt;0,1,0)</f>
        <v>0</v>
      </c>
      <c r="H420">
        <f>IF(COUNTIFS('United Data'!$A$3:$A$2150,H$1,'United Data'!$C$3:$C$2150,$A420,'United Data'!$B$3:$B$2150,"&lt;&gt;P")&gt;0,1,0)</f>
        <v>0</v>
      </c>
      <c r="I420">
        <f>IF(COUNTIFS('United Data'!$A$3:$A$2150,I$1,'United Data'!$C$3:$C$2150,$A420,'United Data'!$B$3:$B$2150,"&lt;&gt;P")&gt;0,1,0)</f>
        <v>0</v>
      </c>
      <c r="J420">
        <f>IF(COUNTIFS('United Data'!$A$3:$A$2150,J$1,'United Data'!$C$3:$C$2150,$A420,'United Data'!$B$3:$B$2150,"&lt;&gt;P")&gt;0,1,0)</f>
        <v>0</v>
      </c>
      <c r="K420">
        <f>IF(COUNTIFS('United Data'!$A$3:$A$2150,K$1,'United Data'!$C$3:$C$2150,$A420,'United Data'!$B$3:$B$2150,"&lt;&gt;P")&gt;0,1,0)</f>
        <v>0</v>
      </c>
      <c r="L420">
        <f>IF(COUNTIFS('United Data'!$A$3:$A$2150,L$1,'United Data'!$C$3:$C$2150,$A420,'United Data'!$B$3:$B$2150,"&lt;&gt;P")&gt;0,1,0)</f>
        <v>0</v>
      </c>
      <c r="M420">
        <f>IF(COUNTIFS('United Data'!$A$3:$A$2150,M$1,'United Data'!$C$3:$C$2150,$A420,'United Data'!$B$3:$B$2150,"&lt;&gt;P")&gt;0,1,0)</f>
        <v>0</v>
      </c>
      <c r="N420">
        <f>IF(COUNTIFS('United Data'!$A$3:$A$2150,N$1,'United Data'!$C$3:$C$2150,$A420,'United Data'!$B$3:$B$2150,"&lt;&gt;P")&gt;0,1,0)</f>
        <v>0</v>
      </c>
      <c r="O420">
        <f>IF(COUNTIFS('United Data'!$A$3:$A$2150,O$1,'United Data'!$C$3:$C$2150,$A420,'United Data'!$B$3:$B$2150,"&lt;&gt;P")&gt;0,1,0)</f>
        <v>0</v>
      </c>
      <c r="P420">
        <f>IF(COUNTIFS('United Data'!$A$3:$A$2150,P$1,'United Data'!$C$3:$C$2150,$A420,'United Data'!$B$3:$B$2150,"&lt;&gt;P")&gt;0,1,0)</f>
        <v>0</v>
      </c>
      <c r="Q420">
        <f>IF(COUNTIFS('United Data'!$A$3:$A$2150,Q$1,'United Data'!$C$3:$C$2150,$A420,'United Data'!$B$3:$B$2150,"&lt;&gt;P")&gt;0,1,0)</f>
        <v>1</v>
      </c>
      <c r="R420">
        <f>IF(COUNTIFS('United Data'!$A$3:$A$2150,R$1,'United Data'!$C$3:$C$2150,$A420,'United Data'!$B$3:$B$2150,"&lt;&gt;P")&gt;0,1,0)</f>
        <v>0</v>
      </c>
      <c r="S420">
        <f t="shared" si="12"/>
        <v>1</v>
      </c>
      <c r="T420">
        <f t="shared" si="13"/>
        <v>1</v>
      </c>
    </row>
    <row r="421" spans="1:20" x14ac:dyDescent="0.2">
      <c r="A421" t="s">
        <v>466</v>
      </c>
      <c r="B421">
        <f>IF(COUNTIFS('United Data'!$A$3:$A$2150,B$1,'United Data'!$C$3:$C$2150,$A421,'United Data'!$B$3:$B$2150,"&lt;&gt;P")&gt;0,1,0)</f>
        <v>0</v>
      </c>
      <c r="C421">
        <f>IF(COUNTIFS('United Data'!$A$3:$A$2150,C$1,'United Data'!$C$3:$C$2150,$A421,'United Data'!$B$3:$B$2150,"&lt;&gt;P")&gt;0,1,0)</f>
        <v>0</v>
      </c>
      <c r="D421">
        <f>IF(COUNTIFS('United Data'!$A$3:$A$2150,D$1,'United Data'!$C$3:$C$2150,$A421,'United Data'!$B$3:$B$2150,"&lt;&gt;P")&gt;0,1,0)</f>
        <v>0</v>
      </c>
      <c r="E421">
        <f>IF(COUNTIFS('United Data'!$A$3:$A$2150,E$1,'United Data'!$C$3:$C$2150,$A421,'United Data'!$B$3:$B$2150,"&lt;&gt;P")&gt;0,1,0)</f>
        <v>0</v>
      </c>
      <c r="F421">
        <f>IF(COUNTIFS('United Data'!$A$3:$A$2150,F$1,'United Data'!$C$3:$C$2150,$A421,'United Data'!$B$3:$B$2150,"&lt;&gt;P")&gt;0,1,0)</f>
        <v>0</v>
      </c>
      <c r="G421">
        <f>IF(COUNTIFS('United Data'!$A$3:$A$2150,G$1,'United Data'!$C$3:$C$2150,$A421,'United Data'!$B$3:$B$2150,"&lt;&gt;P")&gt;0,1,0)</f>
        <v>0</v>
      </c>
      <c r="H421">
        <f>IF(COUNTIFS('United Data'!$A$3:$A$2150,H$1,'United Data'!$C$3:$C$2150,$A421,'United Data'!$B$3:$B$2150,"&lt;&gt;P")&gt;0,1,0)</f>
        <v>0</v>
      </c>
      <c r="I421">
        <f>IF(COUNTIFS('United Data'!$A$3:$A$2150,I$1,'United Data'!$C$3:$C$2150,$A421,'United Data'!$B$3:$B$2150,"&lt;&gt;P")&gt;0,1,0)</f>
        <v>0</v>
      </c>
      <c r="J421">
        <f>IF(COUNTIFS('United Data'!$A$3:$A$2150,J$1,'United Data'!$C$3:$C$2150,$A421,'United Data'!$B$3:$B$2150,"&lt;&gt;P")&gt;0,1,0)</f>
        <v>0</v>
      </c>
      <c r="K421">
        <f>IF(COUNTIFS('United Data'!$A$3:$A$2150,K$1,'United Data'!$C$3:$C$2150,$A421,'United Data'!$B$3:$B$2150,"&lt;&gt;P")&gt;0,1,0)</f>
        <v>0</v>
      </c>
      <c r="L421">
        <f>IF(COUNTIFS('United Data'!$A$3:$A$2150,L$1,'United Data'!$C$3:$C$2150,$A421,'United Data'!$B$3:$B$2150,"&lt;&gt;P")&gt;0,1,0)</f>
        <v>0</v>
      </c>
      <c r="M421">
        <f>IF(COUNTIFS('United Data'!$A$3:$A$2150,M$1,'United Data'!$C$3:$C$2150,$A421,'United Data'!$B$3:$B$2150,"&lt;&gt;P")&gt;0,1,0)</f>
        <v>0</v>
      </c>
      <c r="N421">
        <f>IF(COUNTIFS('United Data'!$A$3:$A$2150,N$1,'United Data'!$C$3:$C$2150,$A421,'United Data'!$B$3:$B$2150,"&lt;&gt;P")&gt;0,1,0)</f>
        <v>0</v>
      </c>
      <c r="O421">
        <f>IF(COUNTIFS('United Data'!$A$3:$A$2150,O$1,'United Data'!$C$3:$C$2150,$A421,'United Data'!$B$3:$B$2150,"&lt;&gt;P")&gt;0,1,0)</f>
        <v>0</v>
      </c>
      <c r="P421">
        <f>IF(COUNTIFS('United Data'!$A$3:$A$2150,P$1,'United Data'!$C$3:$C$2150,$A421,'United Data'!$B$3:$B$2150,"&lt;&gt;P")&gt;0,1,0)</f>
        <v>0</v>
      </c>
      <c r="Q421">
        <f>IF(COUNTIFS('United Data'!$A$3:$A$2150,Q$1,'United Data'!$C$3:$C$2150,$A421,'United Data'!$B$3:$B$2150,"&lt;&gt;P")&gt;0,1,0)</f>
        <v>1</v>
      </c>
      <c r="R421">
        <f>IF(COUNTIFS('United Data'!$A$3:$A$2150,R$1,'United Data'!$C$3:$C$2150,$A421,'United Data'!$B$3:$B$2150,"&lt;&gt;P")&gt;0,1,0)</f>
        <v>0</v>
      </c>
      <c r="S421">
        <f t="shared" si="12"/>
        <v>1</v>
      </c>
      <c r="T421">
        <f t="shared" si="13"/>
        <v>1</v>
      </c>
    </row>
    <row r="422" spans="1:20" x14ac:dyDescent="0.2">
      <c r="A422" t="s">
        <v>467</v>
      </c>
      <c r="B422">
        <f>IF(COUNTIFS('United Data'!$A$3:$A$2150,B$1,'United Data'!$C$3:$C$2150,$A422,'United Data'!$B$3:$B$2150,"&lt;&gt;P")&gt;0,1,0)</f>
        <v>0</v>
      </c>
      <c r="C422">
        <f>IF(COUNTIFS('United Data'!$A$3:$A$2150,C$1,'United Data'!$C$3:$C$2150,$A422,'United Data'!$B$3:$B$2150,"&lt;&gt;P")&gt;0,1,0)</f>
        <v>0</v>
      </c>
      <c r="D422">
        <f>IF(COUNTIFS('United Data'!$A$3:$A$2150,D$1,'United Data'!$C$3:$C$2150,$A422,'United Data'!$B$3:$B$2150,"&lt;&gt;P")&gt;0,1,0)</f>
        <v>0</v>
      </c>
      <c r="E422">
        <f>IF(COUNTIFS('United Data'!$A$3:$A$2150,E$1,'United Data'!$C$3:$C$2150,$A422,'United Data'!$B$3:$B$2150,"&lt;&gt;P")&gt;0,1,0)</f>
        <v>0</v>
      </c>
      <c r="F422">
        <f>IF(COUNTIFS('United Data'!$A$3:$A$2150,F$1,'United Data'!$C$3:$C$2150,$A422,'United Data'!$B$3:$B$2150,"&lt;&gt;P")&gt;0,1,0)</f>
        <v>0</v>
      </c>
      <c r="G422">
        <f>IF(COUNTIFS('United Data'!$A$3:$A$2150,G$1,'United Data'!$C$3:$C$2150,$A422,'United Data'!$B$3:$B$2150,"&lt;&gt;P")&gt;0,1,0)</f>
        <v>0</v>
      </c>
      <c r="H422">
        <f>IF(COUNTIFS('United Data'!$A$3:$A$2150,H$1,'United Data'!$C$3:$C$2150,$A422,'United Data'!$B$3:$B$2150,"&lt;&gt;P")&gt;0,1,0)</f>
        <v>0</v>
      </c>
      <c r="I422">
        <f>IF(COUNTIFS('United Data'!$A$3:$A$2150,I$1,'United Data'!$C$3:$C$2150,$A422,'United Data'!$B$3:$B$2150,"&lt;&gt;P")&gt;0,1,0)</f>
        <v>0</v>
      </c>
      <c r="J422">
        <f>IF(COUNTIFS('United Data'!$A$3:$A$2150,J$1,'United Data'!$C$3:$C$2150,$A422,'United Data'!$B$3:$B$2150,"&lt;&gt;P")&gt;0,1,0)</f>
        <v>0</v>
      </c>
      <c r="K422">
        <f>IF(COUNTIFS('United Data'!$A$3:$A$2150,K$1,'United Data'!$C$3:$C$2150,$A422,'United Data'!$B$3:$B$2150,"&lt;&gt;P")&gt;0,1,0)</f>
        <v>0</v>
      </c>
      <c r="L422">
        <f>IF(COUNTIFS('United Data'!$A$3:$A$2150,L$1,'United Data'!$C$3:$C$2150,$A422,'United Data'!$B$3:$B$2150,"&lt;&gt;P")&gt;0,1,0)</f>
        <v>0</v>
      </c>
      <c r="M422">
        <f>IF(COUNTIFS('United Data'!$A$3:$A$2150,M$1,'United Data'!$C$3:$C$2150,$A422,'United Data'!$B$3:$B$2150,"&lt;&gt;P")&gt;0,1,0)</f>
        <v>0</v>
      </c>
      <c r="N422">
        <f>IF(COUNTIFS('United Data'!$A$3:$A$2150,N$1,'United Data'!$C$3:$C$2150,$A422,'United Data'!$B$3:$B$2150,"&lt;&gt;P")&gt;0,1,0)</f>
        <v>0</v>
      </c>
      <c r="O422">
        <f>IF(COUNTIFS('United Data'!$A$3:$A$2150,O$1,'United Data'!$C$3:$C$2150,$A422,'United Data'!$B$3:$B$2150,"&lt;&gt;P")&gt;0,1,0)</f>
        <v>0</v>
      </c>
      <c r="P422">
        <f>IF(COUNTIFS('United Data'!$A$3:$A$2150,P$1,'United Data'!$C$3:$C$2150,$A422,'United Data'!$B$3:$B$2150,"&lt;&gt;P")&gt;0,1,0)</f>
        <v>0</v>
      </c>
      <c r="Q422">
        <f>IF(COUNTIFS('United Data'!$A$3:$A$2150,Q$1,'United Data'!$C$3:$C$2150,$A422,'United Data'!$B$3:$B$2150,"&lt;&gt;P")&gt;0,1,0)</f>
        <v>1</v>
      </c>
      <c r="R422">
        <f>IF(COUNTIFS('United Data'!$A$3:$A$2150,R$1,'United Data'!$C$3:$C$2150,$A422,'United Data'!$B$3:$B$2150,"&lt;&gt;P")&gt;0,1,0)</f>
        <v>0</v>
      </c>
      <c r="S422">
        <f t="shared" si="12"/>
        <v>1</v>
      </c>
      <c r="T422">
        <f t="shared" si="13"/>
        <v>1</v>
      </c>
    </row>
    <row r="423" spans="1:20" x14ac:dyDescent="0.2">
      <c r="A423" t="s">
        <v>468</v>
      </c>
      <c r="B423">
        <f>IF(COUNTIFS('United Data'!$A$3:$A$2150,B$1,'United Data'!$C$3:$C$2150,$A423,'United Data'!$B$3:$B$2150,"&lt;&gt;P")&gt;0,1,0)</f>
        <v>1</v>
      </c>
      <c r="C423">
        <f>IF(COUNTIFS('United Data'!$A$3:$A$2150,C$1,'United Data'!$C$3:$C$2150,$A423,'United Data'!$B$3:$B$2150,"&lt;&gt;P")&gt;0,1,0)</f>
        <v>1</v>
      </c>
      <c r="D423">
        <f>IF(COUNTIFS('United Data'!$A$3:$A$2150,D$1,'United Data'!$C$3:$C$2150,$A423,'United Data'!$B$3:$B$2150,"&lt;&gt;P")&gt;0,1,0)</f>
        <v>1</v>
      </c>
      <c r="E423">
        <f>IF(COUNTIFS('United Data'!$A$3:$A$2150,E$1,'United Data'!$C$3:$C$2150,$A423,'United Data'!$B$3:$B$2150,"&lt;&gt;P")&gt;0,1,0)</f>
        <v>1</v>
      </c>
      <c r="F423">
        <f>IF(COUNTIFS('United Data'!$A$3:$A$2150,F$1,'United Data'!$C$3:$C$2150,$A423,'United Data'!$B$3:$B$2150,"&lt;&gt;P")&gt;0,1,0)</f>
        <v>1</v>
      </c>
      <c r="G423">
        <f>IF(COUNTIFS('United Data'!$A$3:$A$2150,G$1,'United Data'!$C$3:$C$2150,$A423,'United Data'!$B$3:$B$2150,"&lt;&gt;P")&gt;0,1,0)</f>
        <v>0</v>
      </c>
      <c r="H423">
        <f>IF(COUNTIFS('United Data'!$A$3:$A$2150,H$1,'United Data'!$C$3:$C$2150,$A423,'United Data'!$B$3:$B$2150,"&lt;&gt;P")&gt;0,1,0)</f>
        <v>0</v>
      </c>
      <c r="I423">
        <f>IF(COUNTIFS('United Data'!$A$3:$A$2150,I$1,'United Data'!$C$3:$C$2150,$A423,'United Data'!$B$3:$B$2150,"&lt;&gt;P")&gt;0,1,0)</f>
        <v>0</v>
      </c>
      <c r="J423">
        <f>IF(COUNTIFS('United Data'!$A$3:$A$2150,J$1,'United Data'!$C$3:$C$2150,$A423,'United Data'!$B$3:$B$2150,"&lt;&gt;P")&gt;0,1,0)</f>
        <v>0</v>
      </c>
      <c r="K423">
        <f>IF(COUNTIFS('United Data'!$A$3:$A$2150,K$1,'United Data'!$C$3:$C$2150,$A423,'United Data'!$B$3:$B$2150,"&lt;&gt;P")&gt;0,1,0)</f>
        <v>0</v>
      </c>
      <c r="L423">
        <f>IF(COUNTIFS('United Data'!$A$3:$A$2150,L$1,'United Data'!$C$3:$C$2150,$A423,'United Data'!$B$3:$B$2150,"&lt;&gt;P")&gt;0,1,0)</f>
        <v>0</v>
      </c>
      <c r="M423">
        <f>IF(COUNTIFS('United Data'!$A$3:$A$2150,M$1,'United Data'!$C$3:$C$2150,$A423,'United Data'!$B$3:$B$2150,"&lt;&gt;P")&gt;0,1,0)</f>
        <v>0</v>
      </c>
      <c r="N423">
        <f>IF(COUNTIFS('United Data'!$A$3:$A$2150,N$1,'United Data'!$C$3:$C$2150,$A423,'United Data'!$B$3:$B$2150,"&lt;&gt;P")&gt;0,1,0)</f>
        <v>0</v>
      </c>
      <c r="O423">
        <f>IF(COUNTIFS('United Data'!$A$3:$A$2150,O$1,'United Data'!$C$3:$C$2150,$A423,'United Data'!$B$3:$B$2150,"&lt;&gt;P")&gt;0,1,0)</f>
        <v>0</v>
      </c>
      <c r="P423">
        <f>IF(COUNTIFS('United Data'!$A$3:$A$2150,P$1,'United Data'!$C$3:$C$2150,$A423,'United Data'!$B$3:$B$2150,"&lt;&gt;P")&gt;0,1,0)</f>
        <v>0</v>
      </c>
      <c r="Q423">
        <f>IF(COUNTIFS('United Data'!$A$3:$A$2150,Q$1,'United Data'!$C$3:$C$2150,$A423,'United Data'!$B$3:$B$2150,"&lt;&gt;P")&gt;0,1,0)</f>
        <v>0</v>
      </c>
      <c r="R423">
        <f>IF(COUNTIFS('United Data'!$A$3:$A$2150,R$1,'United Data'!$C$3:$C$2150,$A423,'United Data'!$B$3:$B$2150,"&lt;&gt;P")&gt;0,1,0)</f>
        <v>0</v>
      </c>
      <c r="S423">
        <f t="shared" si="12"/>
        <v>5</v>
      </c>
      <c r="T423">
        <f t="shared" si="13"/>
        <v>1</v>
      </c>
    </row>
    <row r="424" spans="1:20" x14ac:dyDescent="0.2">
      <c r="A424" t="s">
        <v>469</v>
      </c>
      <c r="B424">
        <f>IF(COUNTIFS('United Data'!$A$3:$A$2150,B$1,'United Data'!$C$3:$C$2150,$A424,'United Data'!$B$3:$B$2150,"&lt;&gt;P")&gt;0,1,0)</f>
        <v>1</v>
      </c>
      <c r="C424">
        <f>IF(COUNTIFS('United Data'!$A$3:$A$2150,C$1,'United Data'!$C$3:$C$2150,$A424,'United Data'!$B$3:$B$2150,"&lt;&gt;P")&gt;0,1,0)</f>
        <v>1</v>
      </c>
      <c r="D424">
        <f>IF(COUNTIFS('United Data'!$A$3:$A$2150,D$1,'United Data'!$C$3:$C$2150,$A424,'United Data'!$B$3:$B$2150,"&lt;&gt;P")&gt;0,1,0)</f>
        <v>1</v>
      </c>
      <c r="E424">
        <f>IF(COUNTIFS('United Data'!$A$3:$A$2150,E$1,'United Data'!$C$3:$C$2150,$A424,'United Data'!$B$3:$B$2150,"&lt;&gt;P")&gt;0,1,0)</f>
        <v>0</v>
      </c>
      <c r="F424">
        <f>IF(COUNTIFS('United Data'!$A$3:$A$2150,F$1,'United Data'!$C$3:$C$2150,$A424,'United Data'!$B$3:$B$2150,"&lt;&gt;P")&gt;0,1,0)</f>
        <v>0</v>
      </c>
      <c r="G424">
        <f>IF(COUNTIFS('United Data'!$A$3:$A$2150,G$1,'United Data'!$C$3:$C$2150,$A424,'United Data'!$B$3:$B$2150,"&lt;&gt;P")&gt;0,1,0)</f>
        <v>0</v>
      </c>
      <c r="H424">
        <f>IF(COUNTIFS('United Data'!$A$3:$A$2150,H$1,'United Data'!$C$3:$C$2150,$A424,'United Data'!$B$3:$B$2150,"&lt;&gt;P")&gt;0,1,0)</f>
        <v>0</v>
      </c>
      <c r="I424">
        <f>IF(COUNTIFS('United Data'!$A$3:$A$2150,I$1,'United Data'!$C$3:$C$2150,$A424,'United Data'!$B$3:$B$2150,"&lt;&gt;P")&gt;0,1,0)</f>
        <v>0</v>
      </c>
      <c r="J424">
        <f>IF(COUNTIFS('United Data'!$A$3:$A$2150,J$1,'United Data'!$C$3:$C$2150,$A424,'United Data'!$B$3:$B$2150,"&lt;&gt;P")&gt;0,1,0)</f>
        <v>0</v>
      </c>
      <c r="K424">
        <f>IF(COUNTIFS('United Data'!$A$3:$A$2150,K$1,'United Data'!$C$3:$C$2150,$A424,'United Data'!$B$3:$B$2150,"&lt;&gt;P")&gt;0,1,0)</f>
        <v>0</v>
      </c>
      <c r="L424">
        <f>IF(COUNTIFS('United Data'!$A$3:$A$2150,L$1,'United Data'!$C$3:$C$2150,$A424,'United Data'!$B$3:$B$2150,"&lt;&gt;P")&gt;0,1,0)</f>
        <v>0</v>
      </c>
      <c r="M424">
        <f>IF(COUNTIFS('United Data'!$A$3:$A$2150,M$1,'United Data'!$C$3:$C$2150,$A424,'United Data'!$B$3:$B$2150,"&lt;&gt;P")&gt;0,1,0)</f>
        <v>0</v>
      </c>
      <c r="N424">
        <f>IF(COUNTIFS('United Data'!$A$3:$A$2150,N$1,'United Data'!$C$3:$C$2150,$A424,'United Data'!$B$3:$B$2150,"&lt;&gt;P")&gt;0,1,0)</f>
        <v>0</v>
      </c>
      <c r="O424">
        <f>IF(COUNTIFS('United Data'!$A$3:$A$2150,O$1,'United Data'!$C$3:$C$2150,$A424,'United Data'!$B$3:$B$2150,"&lt;&gt;P")&gt;0,1,0)</f>
        <v>0</v>
      </c>
      <c r="P424">
        <f>IF(COUNTIFS('United Data'!$A$3:$A$2150,P$1,'United Data'!$C$3:$C$2150,$A424,'United Data'!$B$3:$B$2150,"&lt;&gt;P")&gt;0,1,0)</f>
        <v>0</v>
      </c>
      <c r="Q424">
        <f>IF(COUNTIFS('United Data'!$A$3:$A$2150,Q$1,'United Data'!$C$3:$C$2150,$A424,'United Data'!$B$3:$B$2150,"&lt;&gt;P")&gt;0,1,0)</f>
        <v>0</v>
      </c>
      <c r="R424">
        <f>IF(COUNTIFS('United Data'!$A$3:$A$2150,R$1,'United Data'!$C$3:$C$2150,$A424,'United Data'!$B$3:$B$2150,"&lt;&gt;P")&gt;0,1,0)</f>
        <v>0</v>
      </c>
      <c r="S424">
        <f t="shared" si="12"/>
        <v>3</v>
      </c>
      <c r="T424">
        <f t="shared" si="13"/>
        <v>1</v>
      </c>
    </row>
    <row r="425" spans="1:20" x14ac:dyDescent="0.2">
      <c r="A425" t="s">
        <v>470</v>
      </c>
      <c r="B425">
        <f>IF(COUNTIFS('United Data'!$A$3:$A$2150,B$1,'United Data'!$C$3:$C$2150,$A425,'United Data'!$B$3:$B$2150,"&lt;&gt;P")&gt;0,1,0)</f>
        <v>1</v>
      </c>
      <c r="C425">
        <f>IF(COUNTIFS('United Data'!$A$3:$A$2150,C$1,'United Data'!$C$3:$C$2150,$A425,'United Data'!$B$3:$B$2150,"&lt;&gt;P")&gt;0,1,0)</f>
        <v>1</v>
      </c>
      <c r="D425">
        <f>IF(COUNTIFS('United Data'!$A$3:$A$2150,D$1,'United Data'!$C$3:$C$2150,$A425,'United Data'!$B$3:$B$2150,"&lt;&gt;P")&gt;0,1,0)</f>
        <v>1</v>
      </c>
      <c r="E425">
        <f>IF(COUNTIFS('United Data'!$A$3:$A$2150,E$1,'United Data'!$C$3:$C$2150,$A425,'United Data'!$B$3:$B$2150,"&lt;&gt;P")&gt;0,1,0)</f>
        <v>1</v>
      </c>
      <c r="F425">
        <f>IF(COUNTIFS('United Data'!$A$3:$A$2150,F$1,'United Data'!$C$3:$C$2150,$A425,'United Data'!$B$3:$B$2150,"&lt;&gt;P")&gt;0,1,0)</f>
        <v>1</v>
      </c>
      <c r="G425">
        <f>IF(COUNTIFS('United Data'!$A$3:$A$2150,G$1,'United Data'!$C$3:$C$2150,$A425,'United Data'!$B$3:$B$2150,"&lt;&gt;P")&gt;0,1,0)</f>
        <v>0</v>
      </c>
      <c r="H425">
        <f>IF(COUNTIFS('United Data'!$A$3:$A$2150,H$1,'United Data'!$C$3:$C$2150,$A425,'United Data'!$B$3:$B$2150,"&lt;&gt;P")&gt;0,1,0)</f>
        <v>0</v>
      </c>
      <c r="I425">
        <f>IF(COUNTIFS('United Data'!$A$3:$A$2150,I$1,'United Data'!$C$3:$C$2150,$A425,'United Data'!$B$3:$B$2150,"&lt;&gt;P")&gt;0,1,0)</f>
        <v>0</v>
      </c>
      <c r="J425">
        <f>IF(COUNTIFS('United Data'!$A$3:$A$2150,J$1,'United Data'!$C$3:$C$2150,$A425,'United Data'!$B$3:$B$2150,"&lt;&gt;P")&gt;0,1,0)</f>
        <v>0</v>
      </c>
      <c r="K425">
        <f>IF(COUNTIFS('United Data'!$A$3:$A$2150,K$1,'United Data'!$C$3:$C$2150,$A425,'United Data'!$B$3:$B$2150,"&lt;&gt;P")&gt;0,1,0)</f>
        <v>0</v>
      </c>
      <c r="L425">
        <f>IF(COUNTIFS('United Data'!$A$3:$A$2150,L$1,'United Data'!$C$3:$C$2150,$A425,'United Data'!$B$3:$B$2150,"&lt;&gt;P")&gt;0,1,0)</f>
        <v>0</v>
      </c>
      <c r="M425">
        <f>IF(COUNTIFS('United Data'!$A$3:$A$2150,M$1,'United Data'!$C$3:$C$2150,$A425,'United Data'!$B$3:$B$2150,"&lt;&gt;P")&gt;0,1,0)</f>
        <v>0</v>
      </c>
      <c r="N425">
        <f>IF(COUNTIFS('United Data'!$A$3:$A$2150,N$1,'United Data'!$C$3:$C$2150,$A425,'United Data'!$B$3:$B$2150,"&lt;&gt;P")&gt;0,1,0)</f>
        <v>0</v>
      </c>
      <c r="O425">
        <f>IF(COUNTIFS('United Data'!$A$3:$A$2150,O$1,'United Data'!$C$3:$C$2150,$A425,'United Data'!$B$3:$B$2150,"&lt;&gt;P")&gt;0,1,0)</f>
        <v>0</v>
      </c>
      <c r="P425">
        <f>IF(COUNTIFS('United Data'!$A$3:$A$2150,P$1,'United Data'!$C$3:$C$2150,$A425,'United Data'!$B$3:$B$2150,"&lt;&gt;P")&gt;0,1,0)</f>
        <v>0</v>
      </c>
      <c r="Q425">
        <f>IF(COUNTIFS('United Data'!$A$3:$A$2150,Q$1,'United Data'!$C$3:$C$2150,$A425,'United Data'!$B$3:$B$2150,"&lt;&gt;P")&gt;0,1,0)</f>
        <v>0</v>
      </c>
      <c r="R425">
        <f>IF(COUNTIFS('United Data'!$A$3:$A$2150,R$1,'United Data'!$C$3:$C$2150,$A425,'United Data'!$B$3:$B$2150,"&lt;&gt;P")&gt;0,1,0)</f>
        <v>0</v>
      </c>
      <c r="S425">
        <f t="shared" si="12"/>
        <v>5</v>
      </c>
      <c r="T425">
        <f t="shared" si="13"/>
        <v>1</v>
      </c>
    </row>
    <row r="426" spans="1:20" x14ac:dyDescent="0.2">
      <c r="A426" t="s">
        <v>471</v>
      </c>
      <c r="B426">
        <f>IF(COUNTIFS('United Data'!$A$3:$A$2150,B$1,'United Data'!$C$3:$C$2150,$A426,'United Data'!$B$3:$B$2150,"&lt;&gt;P")&gt;0,1,0)</f>
        <v>1</v>
      </c>
      <c r="C426">
        <f>IF(COUNTIFS('United Data'!$A$3:$A$2150,C$1,'United Data'!$C$3:$C$2150,$A426,'United Data'!$B$3:$B$2150,"&lt;&gt;P")&gt;0,1,0)</f>
        <v>0</v>
      </c>
      <c r="D426">
        <f>IF(COUNTIFS('United Data'!$A$3:$A$2150,D$1,'United Data'!$C$3:$C$2150,$A426,'United Data'!$B$3:$B$2150,"&lt;&gt;P")&gt;0,1,0)</f>
        <v>0</v>
      </c>
      <c r="E426">
        <f>IF(COUNTIFS('United Data'!$A$3:$A$2150,E$1,'United Data'!$C$3:$C$2150,$A426,'United Data'!$B$3:$B$2150,"&lt;&gt;P")&gt;0,1,0)</f>
        <v>0</v>
      </c>
      <c r="F426">
        <f>IF(COUNTIFS('United Data'!$A$3:$A$2150,F$1,'United Data'!$C$3:$C$2150,$A426,'United Data'!$B$3:$B$2150,"&lt;&gt;P")&gt;0,1,0)</f>
        <v>0</v>
      </c>
      <c r="G426">
        <f>IF(COUNTIFS('United Data'!$A$3:$A$2150,G$1,'United Data'!$C$3:$C$2150,$A426,'United Data'!$B$3:$B$2150,"&lt;&gt;P")&gt;0,1,0)</f>
        <v>0</v>
      </c>
      <c r="H426">
        <f>IF(COUNTIFS('United Data'!$A$3:$A$2150,H$1,'United Data'!$C$3:$C$2150,$A426,'United Data'!$B$3:$B$2150,"&lt;&gt;P")&gt;0,1,0)</f>
        <v>0</v>
      </c>
      <c r="I426">
        <f>IF(COUNTIFS('United Data'!$A$3:$A$2150,I$1,'United Data'!$C$3:$C$2150,$A426,'United Data'!$B$3:$B$2150,"&lt;&gt;P")&gt;0,1,0)</f>
        <v>0</v>
      </c>
      <c r="J426">
        <f>IF(COUNTIFS('United Data'!$A$3:$A$2150,J$1,'United Data'!$C$3:$C$2150,$A426,'United Data'!$B$3:$B$2150,"&lt;&gt;P")&gt;0,1,0)</f>
        <v>0</v>
      </c>
      <c r="K426">
        <f>IF(COUNTIFS('United Data'!$A$3:$A$2150,K$1,'United Data'!$C$3:$C$2150,$A426,'United Data'!$B$3:$B$2150,"&lt;&gt;P")&gt;0,1,0)</f>
        <v>0</v>
      </c>
      <c r="L426">
        <f>IF(COUNTIFS('United Data'!$A$3:$A$2150,L$1,'United Data'!$C$3:$C$2150,$A426,'United Data'!$B$3:$B$2150,"&lt;&gt;P")&gt;0,1,0)</f>
        <v>0</v>
      </c>
      <c r="M426">
        <f>IF(COUNTIFS('United Data'!$A$3:$A$2150,M$1,'United Data'!$C$3:$C$2150,$A426,'United Data'!$B$3:$B$2150,"&lt;&gt;P")&gt;0,1,0)</f>
        <v>0</v>
      </c>
      <c r="N426">
        <f>IF(COUNTIFS('United Data'!$A$3:$A$2150,N$1,'United Data'!$C$3:$C$2150,$A426,'United Data'!$B$3:$B$2150,"&lt;&gt;P")&gt;0,1,0)</f>
        <v>0</v>
      </c>
      <c r="O426">
        <f>IF(COUNTIFS('United Data'!$A$3:$A$2150,O$1,'United Data'!$C$3:$C$2150,$A426,'United Data'!$B$3:$B$2150,"&lt;&gt;P")&gt;0,1,0)</f>
        <v>0</v>
      </c>
      <c r="P426">
        <f>IF(COUNTIFS('United Data'!$A$3:$A$2150,P$1,'United Data'!$C$3:$C$2150,$A426,'United Data'!$B$3:$B$2150,"&lt;&gt;P")&gt;0,1,0)</f>
        <v>0</v>
      </c>
      <c r="Q426">
        <f>IF(COUNTIFS('United Data'!$A$3:$A$2150,Q$1,'United Data'!$C$3:$C$2150,$A426,'United Data'!$B$3:$B$2150,"&lt;&gt;P")&gt;0,1,0)</f>
        <v>0</v>
      </c>
      <c r="R426">
        <f>IF(COUNTIFS('United Data'!$A$3:$A$2150,R$1,'United Data'!$C$3:$C$2150,$A426,'United Data'!$B$3:$B$2150,"&lt;&gt;P")&gt;0,1,0)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472</v>
      </c>
      <c r="B427">
        <f>IF(COUNTIFS('United Data'!$A$3:$A$2150,B$1,'United Data'!$C$3:$C$2150,$A427,'United Data'!$B$3:$B$2150,"&lt;&gt;P")&gt;0,1,0)</f>
        <v>1</v>
      </c>
      <c r="C427">
        <f>IF(COUNTIFS('United Data'!$A$3:$A$2150,C$1,'United Data'!$C$3:$C$2150,$A427,'United Data'!$B$3:$B$2150,"&lt;&gt;P")&gt;0,1,0)</f>
        <v>0</v>
      </c>
      <c r="D427">
        <f>IF(COUNTIFS('United Data'!$A$3:$A$2150,D$1,'United Data'!$C$3:$C$2150,$A427,'United Data'!$B$3:$B$2150,"&lt;&gt;P")&gt;0,1,0)</f>
        <v>0</v>
      </c>
      <c r="E427">
        <f>IF(COUNTIFS('United Data'!$A$3:$A$2150,E$1,'United Data'!$C$3:$C$2150,$A427,'United Data'!$B$3:$B$2150,"&lt;&gt;P")&gt;0,1,0)</f>
        <v>0</v>
      </c>
      <c r="F427">
        <f>IF(COUNTIFS('United Data'!$A$3:$A$2150,F$1,'United Data'!$C$3:$C$2150,$A427,'United Data'!$B$3:$B$2150,"&lt;&gt;P")&gt;0,1,0)</f>
        <v>0</v>
      </c>
      <c r="G427">
        <f>IF(COUNTIFS('United Data'!$A$3:$A$2150,G$1,'United Data'!$C$3:$C$2150,$A427,'United Data'!$B$3:$B$2150,"&lt;&gt;P")&gt;0,1,0)</f>
        <v>0</v>
      </c>
      <c r="H427">
        <f>IF(COUNTIFS('United Data'!$A$3:$A$2150,H$1,'United Data'!$C$3:$C$2150,$A427,'United Data'!$B$3:$B$2150,"&lt;&gt;P")&gt;0,1,0)</f>
        <v>0</v>
      </c>
      <c r="I427">
        <f>IF(COUNTIFS('United Data'!$A$3:$A$2150,I$1,'United Data'!$C$3:$C$2150,$A427,'United Data'!$B$3:$B$2150,"&lt;&gt;P")&gt;0,1,0)</f>
        <v>0</v>
      </c>
      <c r="J427">
        <f>IF(COUNTIFS('United Data'!$A$3:$A$2150,J$1,'United Data'!$C$3:$C$2150,$A427,'United Data'!$B$3:$B$2150,"&lt;&gt;P")&gt;0,1,0)</f>
        <v>0</v>
      </c>
      <c r="K427">
        <f>IF(COUNTIFS('United Data'!$A$3:$A$2150,K$1,'United Data'!$C$3:$C$2150,$A427,'United Data'!$B$3:$B$2150,"&lt;&gt;P")&gt;0,1,0)</f>
        <v>0</v>
      </c>
      <c r="L427">
        <f>IF(COUNTIFS('United Data'!$A$3:$A$2150,L$1,'United Data'!$C$3:$C$2150,$A427,'United Data'!$B$3:$B$2150,"&lt;&gt;P")&gt;0,1,0)</f>
        <v>0</v>
      </c>
      <c r="M427">
        <f>IF(COUNTIFS('United Data'!$A$3:$A$2150,M$1,'United Data'!$C$3:$C$2150,$A427,'United Data'!$B$3:$B$2150,"&lt;&gt;P")&gt;0,1,0)</f>
        <v>0</v>
      </c>
      <c r="N427">
        <f>IF(COUNTIFS('United Data'!$A$3:$A$2150,N$1,'United Data'!$C$3:$C$2150,$A427,'United Data'!$B$3:$B$2150,"&lt;&gt;P")&gt;0,1,0)</f>
        <v>0</v>
      </c>
      <c r="O427">
        <f>IF(COUNTIFS('United Data'!$A$3:$A$2150,O$1,'United Data'!$C$3:$C$2150,$A427,'United Data'!$B$3:$B$2150,"&lt;&gt;P")&gt;0,1,0)</f>
        <v>0</v>
      </c>
      <c r="P427">
        <f>IF(COUNTIFS('United Data'!$A$3:$A$2150,P$1,'United Data'!$C$3:$C$2150,$A427,'United Data'!$B$3:$B$2150,"&lt;&gt;P")&gt;0,1,0)</f>
        <v>0</v>
      </c>
      <c r="Q427">
        <f>IF(COUNTIFS('United Data'!$A$3:$A$2150,Q$1,'United Data'!$C$3:$C$2150,$A427,'United Data'!$B$3:$B$2150,"&lt;&gt;P")&gt;0,1,0)</f>
        <v>0</v>
      </c>
      <c r="R427">
        <f>IF(COUNTIFS('United Data'!$A$3:$A$2150,R$1,'United Data'!$C$3:$C$2150,$A427,'United Data'!$B$3:$B$2150,"&lt;&gt;P")&gt;0,1,0)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473</v>
      </c>
      <c r="B428">
        <f>IF(COUNTIFS('United Data'!$A$3:$A$2150,B$1,'United Data'!$C$3:$C$2150,$A428,'United Data'!$B$3:$B$2150,"&lt;&gt;P")&gt;0,1,0)</f>
        <v>0</v>
      </c>
      <c r="C428">
        <f>IF(COUNTIFS('United Data'!$A$3:$A$2150,C$1,'United Data'!$C$3:$C$2150,$A428,'United Data'!$B$3:$B$2150,"&lt;&gt;P")&gt;0,1,0)</f>
        <v>1</v>
      </c>
      <c r="D428">
        <f>IF(COUNTIFS('United Data'!$A$3:$A$2150,D$1,'United Data'!$C$3:$C$2150,$A428,'United Data'!$B$3:$B$2150,"&lt;&gt;P")&gt;0,1,0)</f>
        <v>0</v>
      </c>
      <c r="E428">
        <f>IF(COUNTIFS('United Data'!$A$3:$A$2150,E$1,'United Data'!$C$3:$C$2150,$A428,'United Data'!$B$3:$B$2150,"&lt;&gt;P")&gt;0,1,0)</f>
        <v>0</v>
      </c>
      <c r="F428">
        <f>IF(COUNTIFS('United Data'!$A$3:$A$2150,F$1,'United Data'!$C$3:$C$2150,$A428,'United Data'!$B$3:$B$2150,"&lt;&gt;P")&gt;0,1,0)</f>
        <v>0</v>
      </c>
      <c r="G428">
        <f>IF(COUNTIFS('United Data'!$A$3:$A$2150,G$1,'United Data'!$C$3:$C$2150,$A428,'United Data'!$B$3:$B$2150,"&lt;&gt;P")&gt;0,1,0)</f>
        <v>0</v>
      </c>
      <c r="H428">
        <f>IF(COUNTIFS('United Data'!$A$3:$A$2150,H$1,'United Data'!$C$3:$C$2150,$A428,'United Data'!$B$3:$B$2150,"&lt;&gt;P")&gt;0,1,0)</f>
        <v>0</v>
      </c>
      <c r="I428">
        <f>IF(COUNTIFS('United Data'!$A$3:$A$2150,I$1,'United Data'!$C$3:$C$2150,$A428,'United Data'!$B$3:$B$2150,"&lt;&gt;P")&gt;0,1,0)</f>
        <v>0</v>
      </c>
      <c r="J428">
        <f>IF(COUNTIFS('United Data'!$A$3:$A$2150,J$1,'United Data'!$C$3:$C$2150,$A428,'United Data'!$B$3:$B$2150,"&lt;&gt;P")&gt;0,1,0)</f>
        <v>0</v>
      </c>
      <c r="K428">
        <f>IF(COUNTIFS('United Data'!$A$3:$A$2150,K$1,'United Data'!$C$3:$C$2150,$A428,'United Data'!$B$3:$B$2150,"&lt;&gt;P")&gt;0,1,0)</f>
        <v>0</v>
      </c>
      <c r="L428">
        <f>IF(COUNTIFS('United Data'!$A$3:$A$2150,L$1,'United Data'!$C$3:$C$2150,$A428,'United Data'!$B$3:$B$2150,"&lt;&gt;P")&gt;0,1,0)</f>
        <v>0</v>
      </c>
      <c r="M428">
        <f>IF(COUNTIFS('United Data'!$A$3:$A$2150,M$1,'United Data'!$C$3:$C$2150,$A428,'United Data'!$B$3:$B$2150,"&lt;&gt;P")&gt;0,1,0)</f>
        <v>0</v>
      </c>
      <c r="N428">
        <f>IF(COUNTIFS('United Data'!$A$3:$A$2150,N$1,'United Data'!$C$3:$C$2150,$A428,'United Data'!$B$3:$B$2150,"&lt;&gt;P")&gt;0,1,0)</f>
        <v>0</v>
      </c>
      <c r="O428">
        <f>IF(COUNTIFS('United Data'!$A$3:$A$2150,O$1,'United Data'!$C$3:$C$2150,$A428,'United Data'!$B$3:$B$2150,"&lt;&gt;P")&gt;0,1,0)</f>
        <v>0</v>
      </c>
      <c r="P428">
        <f>IF(COUNTIFS('United Data'!$A$3:$A$2150,P$1,'United Data'!$C$3:$C$2150,$A428,'United Data'!$B$3:$B$2150,"&lt;&gt;P")&gt;0,1,0)</f>
        <v>0</v>
      </c>
      <c r="Q428">
        <f>IF(COUNTIFS('United Data'!$A$3:$A$2150,Q$1,'United Data'!$C$3:$C$2150,$A428,'United Data'!$B$3:$B$2150,"&lt;&gt;P")&gt;0,1,0)</f>
        <v>0</v>
      </c>
      <c r="R428">
        <f>IF(COUNTIFS('United Data'!$A$3:$A$2150,R$1,'United Data'!$C$3:$C$2150,$A428,'United Data'!$B$3:$B$2150,"&lt;&gt;P")&gt;0,1,0)</f>
        <v>0</v>
      </c>
      <c r="S428">
        <f t="shared" si="12"/>
        <v>1</v>
      </c>
      <c r="T428">
        <f t="shared" si="13"/>
        <v>1</v>
      </c>
    </row>
    <row r="429" spans="1:20" x14ac:dyDescent="0.2">
      <c r="A429" t="s">
        <v>474</v>
      </c>
      <c r="B429">
        <f>IF(COUNTIFS('United Data'!$A$3:$A$2150,B$1,'United Data'!$C$3:$C$2150,$A429,'United Data'!$B$3:$B$2150,"&lt;&gt;P")&gt;0,1,0)</f>
        <v>0</v>
      </c>
      <c r="C429">
        <f>IF(COUNTIFS('United Data'!$A$3:$A$2150,C$1,'United Data'!$C$3:$C$2150,$A429,'United Data'!$B$3:$B$2150,"&lt;&gt;P")&gt;0,1,0)</f>
        <v>1</v>
      </c>
      <c r="D429">
        <f>IF(COUNTIFS('United Data'!$A$3:$A$2150,D$1,'United Data'!$C$3:$C$2150,$A429,'United Data'!$B$3:$B$2150,"&lt;&gt;P")&gt;0,1,0)</f>
        <v>1</v>
      </c>
      <c r="E429">
        <f>IF(COUNTIFS('United Data'!$A$3:$A$2150,E$1,'United Data'!$C$3:$C$2150,$A429,'United Data'!$B$3:$B$2150,"&lt;&gt;P")&gt;0,1,0)</f>
        <v>1</v>
      </c>
      <c r="F429">
        <f>IF(COUNTIFS('United Data'!$A$3:$A$2150,F$1,'United Data'!$C$3:$C$2150,$A429,'United Data'!$B$3:$B$2150,"&lt;&gt;P")&gt;0,1,0)</f>
        <v>0</v>
      </c>
      <c r="G429">
        <f>IF(COUNTIFS('United Data'!$A$3:$A$2150,G$1,'United Data'!$C$3:$C$2150,$A429,'United Data'!$B$3:$B$2150,"&lt;&gt;P")&gt;0,1,0)</f>
        <v>1</v>
      </c>
      <c r="H429">
        <f>IF(COUNTIFS('United Data'!$A$3:$A$2150,H$1,'United Data'!$C$3:$C$2150,$A429,'United Data'!$B$3:$B$2150,"&lt;&gt;P")&gt;0,1,0)</f>
        <v>1</v>
      </c>
      <c r="I429">
        <f>IF(COUNTIFS('United Data'!$A$3:$A$2150,I$1,'United Data'!$C$3:$C$2150,$A429,'United Data'!$B$3:$B$2150,"&lt;&gt;P")&gt;0,1,0)</f>
        <v>1</v>
      </c>
      <c r="J429">
        <f>IF(COUNTIFS('United Data'!$A$3:$A$2150,J$1,'United Data'!$C$3:$C$2150,$A429,'United Data'!$B$3:$B$2150,"&lt;&gt;P")&gt;0,1,0)</f>
        <v>1</v>
      </c>
      <c r="K429">
        <f>IF(COUNTIFS('United Data'!$A$3:$A$2150,K$1,'United Data'!$C$3:$C$2150,$A429,'United Data'!$B$3:$B$2150,"&lt;&gt;P")&gt;0,1,0)</f>
        <v>1</v>
      </c>
      <c r="L429">
        <f>IF(COUNTIFS('United Data'!$A$3:$A$2150,L$1,'United Data'!$C$3:$C$2150,$A429,'United Data'!$B$3:$B$2150,"&lt;&gt;P")&gt;0,1,0)</f>
        <v>1</v>
      </c>
      <c r="M429">
        <f>IF(COUNTIFS('United Data'!$A$3:$A$2150,M$1,'United Data'!$C$3:$C$2150,$A429,'United Data'!$B$3:$B$2150,"&lt;&gt;P")&gt;0,1,0)</f>
        <v>1</v>
      </c>
      <c r="N429">
        <f>IF(COUNTIFS('United Data'!$A$3:$A$2150,N$1,'United Data'!$C$3:$C$2150,$A429,'United Data'!$B$3:$B$2150,"&lt;&gt;P")&gt;0,1,0)</f>
        <v>1</v>
      </c>
      <c r="O429">
        <f>IF(COUNTIFS('United Data'!$A$3:$A$2150,O$1,'United Data'!$C$3:$C$2150,$A429,'United Data'!$B$3:$B$2150,"&lt;&gt;P")&gt;0,1,0)</f>
        <v>1</v>
      </c>
      <c r="P429">
        <f>IF(COUNTIFS('United Data'!$A$3:$A$2150,P$1,'United Data'!$C$3:$C$2150,$A429,'United Data'!$B$3:$B$2150,"&lt;&gt;P")&gt;0,1,0)</f>
        <v>1</v>
      </c>
      <c r="Q429">
        <f>IF(COUNTIFS('United Data'!$A$3:$A$2150,Q$1,'United Data'!$C$3:$C$2150,$A429,'United Data'!$B$3:$B$2150,"&lt;&gt;P")&gt;0,1,0)</f>
        <v>0</v>
      </c>
      <c r="R429">
        <f>IF(COUNTIFS('United Data'!$A$3:$A$2150,R$1,'United Data'!$C$3:$C$2150,$A429,'United Data'!$B$3:$B$2150,"&lt;&gt;P")&gt;0,1,0)</f>
        <v>0</v>
      </c>
      <c r="S429">
        <f t="shared" si="12"/>
        <v>13</v>
      </c>
      <c r="T429">
        <f t="shared" si="13"/>
        <v>2</v>
      </c>
    </row>
    <row r="430" spans="1:20" x14ac:dyDescent="0.2">
      <c r="A430" t="s">
        <v>475</v>
      </c>
      <c r="B430">
        <f>IF(COUNTIFS('United Data'!$A$3:$A$2150,B$1,'United Data'!$C$3:$C$2150,$A430,'United Data'!$B$3:$B$2150,"&lt;&gt;P")&gt;0,1,0)</f>
        <v>0</v>
      </c>
      <c r="C430">
        <f>IF(COUNTIFS('United Data'!$A$3:$A$2150,C$1,'United Data'!$C$3:$C$2150,$A430,'United Data'!$B$3:$B$2150,"&lt;&gt;P")&gt;0,1,0)</f>
        <v>1</v>
      </c>
      <c r="D430">
        <f>IF(COUNTIFS('United Data'!$A$3:$A$2150,D$1,'United Data'!$C$3:$C$2150,$A430,'United Data'!$B$3:$B$2150,"&lt;&gt;P")&gt;0,1,0)</f>
        <v>0</v>
      </c>
      <c r="E430">
        <f>IF(COUNTIFS('United Data'!$A$3:$A$2150,E$1,'United Data'!$C$3:$C$2150,$A430,'United Data'!$B$3:$B$2150,"&lt;&gt;P")&gt;0,1,0)</f>
        <v>0</v>
      </c>
      <c r="F430">
        <f>IF(COUNTIFS('United Data'!$A$3:$A$2150,F$1,'United Data'!$C$3:$C$2150,$A430,'United Data'!$B$3:$B$2150,"&lt;&gt;P")&gt;0,1,0)</f>
        <v>0</v>
      </c>
      <c r="G430">
        <f>IF(COUNTIFS('United Data'!$A$3:$A$2150,G$1,'United Data'!$C$3:$C$2150,$A430,'United Data'!$B$3:$B$2150,"&lt;&gt;P")&gt;0,1,0)</f>
        <v>0</v>
      </c>
      <c r="H430">
        <f>IF(COUNTIFS('United Data'!$A$3:$A$2150,H$1,'United Data'!$C$3:$C$2150,$A430,'United Data'!$B$3:$B$2150,"&lt;&gt;P")&gt;0,1,0)</f>
        <v>0</v>
      </c>
      <c r="I430">
        <f>IF(COUNTIFS('United Data'!$A$3:$A$2150,I$1,'United Data'!$C$3:$C$2150,$A430,'United Data'!$B$3:$B$2150,"&lt;&gt;P")&gt;0,1,0)</f>
        <v>0</v>
      </c>
      <c r="J430">
        <f>IF(COUNTIFS('United Data'!$A$3:$A$2150,J$1,'United Data'!$C$3:$C$2150,$A430,'United Data'!$B$3:$B$2150,"&lt;&gt;P")&gt;0,1,0)</f>
        <v>0</v>
      </c>
      <c r="K430">
        <f>IF(COUNTIFS('United Data'!$A$3:$A$2150,K$1,'United Data'!$C$3:$C$2150,$A430,'United Data'!$B$3:$B$2150,"&lt;&gt;P")&gt;0,1,0)</f>
        <v>0</v>
      </c>
      <c r="L430">
        <f>IF(COUNTIFS('United Data'!$A$3:$A$2150,L$1,'United Data'!$C$3:$C$2150,$A430,'United Data'!$B$3:$B$2150,"&lt;&gt;P")&gt;0,1,0)</f>
        <v>0</v>
      </c>
      <c r="M430">
        <f>IF(COUNTIFS('United Data'!$A$3:$A$2150,M$1,'United Data'!$C$3:$C$2150,$A430,'United Data'!$B$3:$B$2150,"&lt;&gt;P")&gt;0,1,0)</f>
        <v>0</v>
      </c>
      <c r="N430">
        <f>IF(COUNTIFS('United Data'!$A$3:$A$2150,N$1,'United Data'!$C$3:$C$2150,$A430,'United Data'!$B$3:$B$2150,"&lt;&gt;P")&gt;0,1,0)</f>
        <v>0</v>
      </c>
      <c r="O430">
        <f>IF(COUNTIFS('United Data'!$A$3:$A$2150,O$1,'United Data'!$C$3:$C$2150,$A430,'United Data'!$B$3:$B$2150,"&lt;&gt;P")&gt;0,1,0)</f>
        <v>0</v>
      </c>
      <c r="P430">
        <f>IF(COUNTIFS('United Data'!$A$3:$A$2150,P$1,'United Data'!$C$3:$C$2150,$A430,'United Data'!$B$3:$B$2150,"&lt;&gt;P")&gt;0,1,0)</f>
        <v>0</v>
      </c>
      <c r="Q430">
        <f>IF(COUNTIFS('United Data'!$A$3:$A$2150,Q$1,'United Data'!$C$3:$C$2150,$A430,'United Data'!$B$3:$B$2150,"&lt;&gt;P")&gt;0,1,0)</f>
        <v>0</v>
      </c>
      <c r="R430">
        <f>IF(COUNTIFS('United Data'!$A$3:$A$2150,R$1,'United Data'!$C$3:$C$2150,$A430,'United Data'!$B$3:$B$2150,"&lt;&gt;P")&gt;0,1,0)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476</v>
      </c>
      <c r="B431">
        <f>IF(COUNTIFS('United Data'!$A$3:$A$2150,B$1,'United Data'!$C$3:$C$2150,$A431,'United Data'!$B$3:$B$2150,"&lt;&gt;P")&gt;0,1,0)</f>
        <v>0</v>
      </c>
      <c r="C431">
        <f>IF(COUNTIFS('United Data'!$A$3:$A$2150,C$1,'United Data'!$C$3:$C$2150,$A431,'United Data'!$B$3:$B$2150,"&lt;&gt;P")&gt;0,1,0)</f>
        <v>1</v>
      </c>
      <c r="D431">
        <f>IF(COUNTIFS('United Data'!$A$3:$A$2150,D$1,'United Data'!$C$3:$C$2150,$A431,'United Data'!$B$3:$B$2150,"&lt;&gt;P")&gt;0,1,0)</f>
        <v>0</v>
      </c>
      <c r="E431">
        <f>IF(COUNTIFS('United Data'!$A$3:$A$2150,E$1,'United Data'!$C$3:$C$2150,$A431,'United Data'!$B$3:$B$2150,"&lt;&gt;P")&gt;0,1,0)</f>
        <v>0</v>
      </c>
      <c r="F431">
        <f>IF(COUNTIFS('United Data'!$A$3:$A$2150,F$1,'United Data'!$C$3:$C$2150,$A431,'United Data'!$B$3:$B$2150,"&lt;&gt;P")&gt;0,1,0)</f>
        <v>0</v>
      </c>
      <c r="G431">
        <f>IF(COUNTIFS('United Data'!$A$3:$A$2150,G$1,'United Data'!$C$3:$C$2150,$A431,'United Data'!$B$3:$B$2150,"&lt;&gt;P")&gt;0,1,0)</f>
        <v>0</v>
      </c>
      <c r="H431">
        <f>IF(COUNTIFS('United Data'!$A$3:$A$2150,H$1,'United Data'!$C$3:$C$2150,$A431,'United Data'!$B$3:$B$2150,"&lt;&gt;P")&gt;0,1,0)</f>
        <v>0</v>
      </c>
      <c r="I431">
        <f>IF(COUNTIFS('United Data'!$A$3:$A$2150,I$1,'United Data'!$C$3:$C$2150,$A431,'United Data'!$B$3:$B$2150,"&lt;&gt;P")&gt;0,1,0)</f>
        <v>0</v>
      </c>
      <c r="J431">
        <f>IF(COUNTIFS('United Data'!$A$3:$A$2150,J$1,'United Data'!$C$3:$C$2150,$A431,'United Data'!$B$3:$B$2150,"&lt;&gt;P")&gt;0,1,0)</f>
        <v>0</v>
      </c>
      <c r="K431">
        <f>IF(COUNTIFS('United Data'!$A$3:$A$2150,K$1,'United Data'!$C$3:$C$2150,$A431,'United Data'!$B$3:$B$2150,"&lt;&gt;P")&gt;0,1,0)</f>
        <v>0</v>
      </c>
      <c r="L431">
        <f>IF(COUNTIFS('United Data'!$A$3:$A$2150,L$1,'United Data'!$C$3:$C$2150,$A431,'United Data'!$B$3:$B$2150,"&lt;&gt;P")&gt;0,1,0)</f>
        <v>0</v>
      </c>
      <c r="M431">
        <f>IF(COUNTIFS('United Data'!$A$3:$A$2150,M$1,'United Data'!$C$3:$C$2150,$A431,'United Data'!$B$3:$B$2150,"&lt;&gt;P")&gt;0,1,0)</f>
        <v>0</v>
      </c>
      <c r="N431">
        <f>IF(COUNTIFS('United Data'!$A$3:$A$2150,N$1,'United Data'!$C$3:$C$2150,$A431,'United Data'!$B$3:$B$2150,"&lt;&gt;P")&gt;0,1,0)</f>
        <v>0</v>
      </c>
      <c r="O431">
        <f>IF(COUNTIFS('United Data'!$A$3:$A$2150,O$1,'United Data'!$C$3:$C$2150,$A431,'United Data'!$B$3:$B$2150,"&lt;&gt;P")&gt;0,1,0)</f>
        <v>0</v>
      </c>
      <c r="P431">
        <f>IF(COUNTIFS('United Data'!$A$3:$A$2150,P$1,'United Data'!$C$3:$C$2150,$A431,'United Data'!$B$3:$B$2150,"&lt;&gt;P")&gt;0,1,0)</f>
        <v>0</v>
      </c>
      <c r="Q431">
        <f>IF(COUNTIFS('United Data'!$A$3:$A$2150,Q$1,'United Data'!$C$3:$C$2150,$A431,'United Data'!$B$3:$B$2150,"&lt;&gt;P")&gt;0,1,0)</f>
        <v>0</v>
      </c>
      <c r="R431">
        <f>IF(COUNTIFS('United Data'!$A$3:$A$2150,R$1,'United Data'!$C$3:$C$2150,$A431,'United Data'!$B$3:$B$2150,"&lt;&gt;P")&gt;0,1,0)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477</v>
      </c>
      <c r="B432">
        <f>IF(COUNTIFS('United Data'!$A$3:$A$2150,B$1,'United Data'!$C$3:$C$2150,$A432,'United Data'!$B$3:$B$2150,"&lt;&gt;P")&gt;0,1,0)</f>
        <v>0</v>
      </c>
      <c r="C432">
        <f>IF(COUNTIFS('United Data'!$A$3:$A$2150,C$1,'United Data'!$C$3:$C$2150,$A432,'United Data'!$B$3:$B$2150,"&lt;&gt;P")&gt;0,1,0)</f>
        <v>1</v>
      </c>
      <c r="D432">
        <f>IF(COUNTIFS('United Data'!$A$3:$A$2150,D$1,'United Data'!$C$3:$C$2150,$A432,'United Data'!$B$3:$B$2150,"&lt;&gt;P")&gt;0,1,0)</f>
        <v>1</v>
      </c>
      <c r="E432">
        <f>IF(COUNTIFS('United Data'!$A$3:$A$2150,E$1,'United Data'!$C$3:$C$2150,$A432,'United Data'!$B$3:$B$2150,"&lt;&gt;P")&gt;0,1,0)</f>
        <v>0</v>
      </c>
      <c r="F432">
        <f>IF(COUNTIFS('United Data'!$A$3:$A$2150,F$1,'United Data'!$C$3:$C$2150,$A432,'United Data'!$B$3:$B$2150,"&lt;&gt;P")&gt;0,1,0)</f>
        <v>0</v>
      </c>
      <c r="G432">
        <f>IF(COUNTIFS('United Data'!$A$3:$A$2150,G$1,'United Data'!$C$3:$C$2150,$A432,'United Data'!$B$3:$B$2150,"&lt;&gt;P")&gt;0,1,0)</f>
        <v>0</v>
      </c>
      <c r="H432">
        <f>IF(COUNTIFS('United Data'!$A$3:$A$2150,H$1,'United Data'!$C$3:$C$2150,$A432,'United Data'!$B$3:$B$2150,"&lt;&gt;P")&gt;0,1,0)</f>
        <v>0</v>
      </c>
      <c r="I432">
        <f>IF(COUNTIFS('United Data'!$A$3:$A$2150,I$1,'United Data'!$C$3:$C$2150,$A432,'United Data'!$B$3:$B$2150,"&lt;&gt;P")&gt;0,1,0)</f>
        <v>0</v>
      </c>
      <c r="J432">
        <f>IF(COUNTIFS('United Data'!$A$3:$A$2150,J$1,'United Data'!$C$3:$C$2150,$A432,'United Data'!$B$3:$B$2150,"&lt;&gt;P")&gt;0,1,0)</f>
        <v>0</v>
      </c>
      <c r="K432">
        <f>IF(COUNTIFS('United Data'!$A$3:$A$2150,K$1,'United Data'!$C$3:$C$2150,$A432,'United Data'!$B$3:$B$2150,"&lt;&gt;P")&gt;0,1,0)</f>
        <v>0</v>
      </c>
      <c r="L432">
        <f>IF(COUNTIFS('United Data'!$A$3:$A$2150,L$1,'United Data'!$C$3:$C$2150,$A432,'United Data'!$B$3:$B$2150,"&lt;&gt;P")&gt;0,1,0)</f>
        <v>0</v>
      </c>
      <c r="M432">
        <f>IF(COUNTIFS('United Data'!$A$3:$A$2150,M$1,'United Data'!$C$3:$C$2150,$A432,'United Data'!$B$3:$B$2150,"&lt;&gt;P")&gt;0,1,0)</f>
        <v>0</v>
      </c>
      <c r="N432">
        <f>IF(COUNTIFS('United Data'!$A$3:$A$2150,N$1,'United Data'!$C$3:$C$2150,$A432,'United Data'!$B$3:$B$2150,"&lt;&gt;P")&gt;0,1,0)</f>
        <v>0</v>
      </c>
      <c r="O432">
        <f>IF(COUNTIFS('United Data'!$A$3:$A$2150,O$1,'United Data'!$C$3:$C$2150,$A432,'United Data'!$B$3:$B$2150,"&lt;&gt;P")&gt;0,1,0)</f>
        <v>0</v>
      </c>
      <c r="P432">
        <f>IF(COUNTIFS('United Data'!$A$3:$A$2150,P$1,'United Data'!$C$3:$C$2150,$A432,'United Data'!$B$3:$B$2150,"&lt;&gt;P")&gt;0,1,0)</f>
        <v>0</v>
      </c>
      <c r="Q432">
        <f>IF(COUNTIFS('United Data'!$A$3:$A$2150,Q$1,'United Data'!$C$3:$C$2150,$A432,'United Data'!$B$3:$B$2150,"&lt;&gt;P")&gt;0,1,0)</f>
        <v>0</v>
      </c>
      <c r="R432">
        <f>IF(COUNTIFS('United Data'!$A$3:$A$2150,R$1,'United Data'!$C$3:$C$2150,$A432,'United Data'!$B$3:$B$2150,"&lt;&gt;P")&gt;0,1,0)</f>
        <v>0</v>
      </c>
      <c r="S432">
        <f t="shared" si="12"/>
        <v>2</v>
      </c>
      <c r="T432">
        <f t="shared" si="13"/>
        <v>1</v>
      </c>
    </row>
    <row r="433" spans="1:20" x14ac:dyDescent="0.2">
      <c r="A433" t="s">
        <v>478</v>
      </c>
      <c r="B433">
        <f>IF(COUNTIFS('United Data'!$A$3:$A$2150,B$1,'United Data'!$C$3:$C$2150,$A433,'United Data'!$B$3:$B$2150,"&lt;&gt;P")&gt;0,1,0)</f>
        <v>0</v>
      </c>
      <c r="C433">
        <f>IF(COUNTIFS('United Data'!$A$3:$A$2150,C$1,'United Data'!$C$3:$C$2150,$A433,'United Data'!$B$3:$B$2150,"&lt;&gt;P")&gt;0,1,0)</f>
        <v>1</v>
      </c>
      <c r="D433">
        <f>IF(COUNTIFS('United Data'!$A$3:$A$2150,D$1,'United Data'!$C$3:$C$2150,$A433,'United Data'!$B$3:$B$2150,"&lt;&gt;P")&gt;0,1,0)</f>
        <v>0</v>
      </c>
      <c r="E433">
        <f>IF(COUNTIFS('United Data'!$A$3:$A$2150,E$1,'United Data'!$C$3:$C$2150,$A433,'United Data'!$B$3:$B$2150,"&lt;&gt;P")&gt;0,1,0)</f>
        <v>0</v>
      </c>
      <c r="F433">
        <f>IF(COUNTIFS('United Data'!$A$3:$A$2150,F$1,'United Data'!$C$3:$C$2150,$A433,'United Data'!$B$3:$B$2150,"&lt;&gt;P")&gt;0,1,0)</f>
        <v>0</v>
      </c>
      <c r="G433">
        <f>IF(COUNTIFS('United Data'!$A$3:$A$2150,G$1,'United Data'!$C$3:$C$2150,$A433,'United Data'!$B$3:$B$2150,"&lt;&gt;P")&gt;0,1,0)</f>
        <v>0</v>
      </c>
      <c r="H433">
        <f>IF(COUNTIFS('United Data'!$A$3:$A$2150,H$1,'United Data'!$C$3:$C$2150,$A433,'United Data'!$B$3:$B$2150,"&lt;&gt;P")&gt;0,1,0)</f>
        <v>0</v>
      </c>
      <c r="I433">
        <f>IF(COUNTIFS('United Data'!$A$3:$A$2150,I$1,'United Data'!$C$3:$C$2150,$A433,'United Data'!$B$3:$B$2150,"&lt;&gt;P")&gt;0,1,0)</f>
        <v>0</v>
      </c>
      <c r="J433">
        <f>IF(COUNTIFS('United Data'!$A$3:$A$2150,J$1,'United Data'!$C$3:$C$2150,$A433,'United Data'!$B$3:$B$2150,"&lt;&gt;P")&gt;0,1,0)</f>
        <v>0</v>
      </c>
      <c r="K433">
        <f>IF(COUNTIFS('United Data'!$A$3:$A$2150,K$1,'United Data'!$C$3:$C$2150,$A433,'United Data'!$B$3:$B$2150,"&lt;&gt;P")&gt;0,1,0)</f>
        <v>0</v>
      </c>
      <c r="L433">
        <f>IF(COUNTIFS('United Data'!$A$3:$A$2150,L$1,'United Data'!$C$3:$C$2150,$A433,'United Data'!$B$3:$B$2150,"&lt;&gt;P")&gt;0,1,0)</f>
        <v>0</v>
      </c>
      <c r="M433">
        <f>IF(COUNTIFS('United Data'!$A$3:$A$2150,M$1,'United Data'!$C$3:$C$2150,$A433,'United Data'!$B$3:$B$2150,"&lt;&gt;P")&gt;0,1,0)</f>
        <v>0</v>
      </c>
      <c r="N433">
        <f>IF(COUNTIFS('United Data'!$A$3:$A$2150,N$1,'United Data'!$C$3:$C$2150,$A433,'United Data'!$B$3:$B$2150,"&lt;&gt;P")&gt;0,1,0)</f>
        <v>0</v>
      </c>
      <c r="O433">
        <f>IF(COUNTIFS('United Data'!$A$3:$A$2150,O$1,'United Data'!$C$3:$C$2150,$A433,'United Data'!$B$3:$B$2150,"&lt;&gt;P")&gt;0,1,0)</f>
        <v>0</v>
      </c>
      <c r="P433">
        <f>IF(COUNTIFS('United Data'!$A$3:$A$2150,P$1,'United Data'!$C$3:$C$2150,$A433,'United Data'!$B$3:$B$2150,"&lt;&gt;P")&gt;0,1,0)</f>
        <v>0</v>
      </c>
      <c r="Q433">
        <f>IF(COUNTIFS('United Data'!$A$3:$A$2150,Q$1,'United Data'!$C$3:$C$2150,$A433,'United Data'!$B$3:$B$2150,"&lt;&gt;P")&gt;0,1,0)</f>
        <v>0</v>
      </c>
      <c r="R433">
        <f>IF(COUNTIFS('United Data'!$A$3:$A$2150,R$1,'United Data'!$C$3:$C$2150,$A433,'United Data'!$B$3:$B$2150,"&lt;&gt;P")&gt;0,1,0)</f>
        <v>0</v>
      </c>
      <c r="S433">
        <f t="shared" si="12"/>
        <v>1</v>
      </c>
      <c r="T433">
        <f t="shared" si="13"/>
        <v>1</v>
      </c>
    </row>
    <row r="434" spans="1:20" x14ac:dyDescent="0.2">
      <c r="A434" t="s">
        <v>479</v>
      </c>
      <c r="B434">
        <f>IF(COUNTIFS('United Data'!$A$3:$A$2150,B$1,'United Data'!$C$3:$C$2150,$A434,'United Data'!$B$3:$B$2150,"&lt;&gt;P")&gt;0,1,0)</f>
        <v>0</v>
      </c>
      <c r="C434">
        <f>IF(COUNTIFS('United Data'!$A$3:$A$2150,C$1,'United Data'!$C$3:$C$2150,$A434,'United Data'!$B$3:$B$2150,"&lt;&gt;P")&gt;0,1,0)</f>
        <v>1</v>
      </c>
      <c r="D434">
        <f>IF(COUNTIFS('United Data'!$A$3:$A$2150,D$1,'United Data'!$C$3:$C$2150,$A434,'United Data'!$B$3:$B$2150,"&lt;&gt;P")&gt;0,1,0)</f>
        <v>0</v>
      </c>
      <c r="E434">
        <f>IF(COUNTIFS('United Data'!$A$3:$A$2150,E$1,'United Data'!$C$3:$C$2150,$A434,'United Data'!$B$3:$B$2150,"&lt;&gt;P")&gt;0,1,0)</f>
        <v>0</v>
      </c>
      <c r="F434">
        <f>IF(COUNTIFS('United Data'!$A$3:$A$2150,F$1,'United Data'!$C$3:$C$2150,$A434,'United Data'!$B$3:$B$2150,"&lt;&gt;P")&gt;0,1,0)</f>
        <v>0</v>
      </c>
      <c r="G434">
        <f>IF(COUNTIFS('United Data'!$A$3:$A$2150,G$1,'United Data'!$C$3:$C$2150,$A434,'United Data'!$B$3:$B$2150,"&lt;&gt;P")&gt;0,1,0)</f>
        <v>0</v>
      </c>
      <c r="H434">
        <f>IF(COUNTIFS('United Data'!$A$3:$A$2150,H$1,'United Data'!$C$3:$C$2150,$A434,'United Data'!$B$3:$B$2150,"&lt;&gt;P")&gt;0,1,0)</f>
        <v>0</v>
      </c>
      <c r="I434">
        <f>IF(COUNTIFS('United Data'!$A$3:$A$2150,I$1,'United Data'!$C$3:$C$2150,$A434,'United Data'!$B$3:$B$2150,"&lt;&gt;P")&gt;0,1,0)</f>
        <v>0</v>
      </c>
      <c r="J434">
        <f>IF(COUNTIFS('United Data'!$A$3:$A$2150,J$1,'United Data'!$C$3:$C$2150,$A434,'United Data'!$B$3:$B$2150,"&lt;&gt;P")&gt;0,1,0)</f>
        <v>0</v>
      </c>
      <c r="K434">
        <f>IF(COUNTIFS('United Data'!$A$3:$A$2150,K$1,'United Data'!$C$3:$C$2150,$A434,'United Data'!$B$3:$B$2150,"&lt;&gt;P")&gt;0,1,0)</f>
        <v>0</v>
      </c>
      <c r="L434">
        <f>IF(COUNTIFS('United Data'!$A$3:$A$2150,L$1,'United Data'!$C$3:$C$2150,$A434,'United Data'!$B$3:$B$2150,"&lt;&gt;P")&gt;0,1,0)</f>
        <v>0</v>
      </c>
      <c r="M434">
        <f>IF(COUNTIFS('United Data'!$A$3:$A$2150,M$1,'United Data'!$C$3:$C$2150,$A434,'United Data'!$B$3:$B$2150,"&lt;&gt;P")&gt;0,1,0)</f>
        <v>0</v>
      </c>
      <c r="N434">
        <f>IF(COUNTIFS('United Data'!$A$3:$A$2150,N$1,'United Data'!$C$3:$C$2150,$A434,'United Data'!$B$3:$B$2150,"&lt;&gt;P")&gt;0,1,0)</f>
        <v>0</v>
      </c>
      <c r="O434">
        <f>IF(COUNTIFS('United Data'!$A$3:$A$2150,O$1,'United Data'!$C$3:$C$2150,$A434,'United Data'!$B$3:$B$2150,"&lt;&gt;P")&gt;0,1,0)</f>
        <v>0</v>
      </c>
      <c r="P434">
        <f>IF(COUNTIFS('United Data'!$A$3:$A$2150,P$1,'United Data'!$C$3:$C$2150,$A434,'United Data'!$B$3:$B$2150,"&lt;&gt;P")&gt;0,1,0)</f>
        <v>0</v>
      </c>
      <c r="Q434">
        <f>IF(COUNTIFS('United Data'!$A$3:$A$2150,Q$1,'United Data'!$C$3:$C$2150,$A434,'United Data'!$B$3:$B$2150,"&lt;&gt;P")&gt;0,1,0)</f>
        <v>0</v>
      </c>
      <c r="R434">
        <f>IF(COUNTIFS('United Data'!$A$3:$A$2150,R$1,'United Data'!$C$3:$C$2150,$A434,'United Data'!$B$3:$B$2150,"&lt;&gt;P")&gt;0,1,0)</f>
        <v>0</v>
      </c>
      <c r="S434">
        <f t="shared" si="12"/>
        <v>1</v>
      </c>
      <c r="T434">
        <f t="shared" si="13"/>
        <v>1</v>
      </c>
    </row>
    <row r="435" spans="1:20" x14ac:dyDescent="0.2">
      <c r="A435" t="s">
        <v>480</v>
      </c>
      <c r="B435">
        <f>IF(COUNTIFS('United Data'!$A$3:$A$2150,B$1,'United Data'!$C$3:$C$2150,$A435,'United Data'!$B$3:$B$2150,"&lt;&gt;P")&gt;0,1,0)</f>
        <v>0</v>
      </c>
      <c r="C435">
        <f>IF(COUNTIFS('United Data'!$A$3:$A$2150,C$1,'United Data'!$C$3:$C$2150,$A435,'United Data'!$B$3:$B$2150,"&lt;&gt;P")&gt;0,1,0)</f>
        <v>1</v>
      </c>
      <c r="D435">
        <f>IF(COUNTIFS('United Data'!$A$3:$A$2150,D$1,'United Data'!$C$3:$C$2150,$A435,'United Data'!$B$3:$B$2150,"&lt;&gt;P")&gt;0,1,0)</f>
        <v>1</v>
      </c>
      <c r="E435">
        <f>IF(COUNTIFS('United Data'!$A$3:$A$2150,E$1,'United Data'!$C$3:$C$2150,$A435,'United Data'!$B$3:$B$2150,"&lt;&gt;P")&gt;0,1,0)</f>
        <v>1</v>
      </c>
      <c r="F435">
        <f>IF(COUNTIFS('United Data'!$A$3:$A$2150,F$1,'United Data'!$C$3:$C$2150,$A435,'United Data'!$B$3:$B$2150,"&lt;&gt;P")&gt;0,1,0)</f>
        <v>1</v>
      </c>
      <c r="G435">
        <f>IF(COUNTIFS('United Data'!$A$3:$A$2150,G$1,'United Data'!$C$3:$C$2150,$A435,'United Data'!$B$3:$B$2150,"&lt;&gt;P")&gt;0,1,0)</f>
        <v>1</v>
      </c>
      <c r="H435">
        <f>IF(COUNTIFS('United Data'!$A$3:$A$2150,H$1,'United Data'!$C$3:$C$2150,$A435,'United Data'!$B$3:$B$2150,"&lt;&gt;P")&gt;0,1,0)</f>
        <v>1</v>
      </c>
      <c r="I435">
        <f>IF(COUNTIFS('United Data'!$A$3:$A$2150,I$1,'United Data'!$C$3:$C$2150,$A435,'United Data'!$B$3:$B$2150,"&lt;&gt;P")&gt;0,1,0)</f>
        <v>0</v>
      </c>
      <c r="J435">
        <f>IF(COUNTIFS('United Data'!$A$3:$A$2150,J$1,'United Data'!$C$3:$C$2150,$A435,'United Data'!$B$3:$B$2150,"&lt;&gt;P")&gt;0,1,0)</f>
        <v>1</v>
      </c>
      <c r="K435">
        <f>IF(COUNTIFS('United Data'!$A$3:$A$2150,K$1,'United Data'!$C$3:$C$2150,$A435,'United Data'!$B$3:$B$2150,"&lt;&gt;P")&gt;0,1,0)</f>
        <v>1</v>
      </c>
      <c r="L435">
        <f>IF(COUNTIFS('United Data'!$A$3:$A$2150,L$1,'United Data'!$C$3:$C$2150,$A435,'United Data'!$B$3:$B$2150,"&lt;&gt;P")&gt;0,1,0)</f>
        <v>0</v>
      </c>
      <c r="M435">
        <f>IF(COUNTIFS('United Data'!$A$3:$A$2150,M$1,'United Data'!$C$3:$C$2150,$A435,'United Data'!$B$3:$B$2150,"&lt;&gt;P")&gt;0,1,0)</f>
        <v>1</v>
      </c>
      <c r="N435">
        <f>IF(COUNTIFS('United Data'!$A$3:$A$2150,N$1,'United Data'!$C$3:$C$2150,$A435,'United Data'!$B$3:$B$2150,"&lt;&gt;P")&gt;0,1,0)</f>
        <v>0</v>
      </c>
      <c r="O435">
        <f>IF(COUNTIFS('United Data'!$A$3:$A$2150,O$1,'United Data'!$C$3:$C$2150,$A435,'United Data'!$B$3:$B$2150,"&lt;&gt;P")&gt;0,1,0)</f>
        <v>0</v>
      </c>
      <c r="P435">
        <f>IF(COUNTIFS('United Data'!$A$3:$A$2150,P$1,'United Data'!$C$3:$C$2150,$A435,'United Data'!$B$3:$B$2150,"&lt;&gt;P")&gt;0,1,0)</f>
        <v>0</v>
      </c>
      <c r="Q435">
        <f>IF(COUNTIFS('United Data'!$A$3:$A$2150,Q$1,'United Data'!$C$3:$C$2150,$A435,'United Data'!$B$3:$B$2150,"&lt;&gt;P")&gt;0,1,0)</f>
        <v>0</v>
      </c>
      <c r="R435">
        <f>IF(COUNTIFS('United Data'!$A$3:$A$2150,R$1,'United Data'!$C$3:$C$2150,$A435,'United Data'!$B$3:$B$2150,"&lt;&gt;P")&gt;0,1,0)</f>
        <v>0</v>
      </c>
      <c r="S435">
        <f t="shared" si="12"/>
        <v>9</v>
      </c>
      <c r="T435">
        <f t="shared" si="13"/>
        <v>3</v>
      </c>
    </row>
    <row r="436" spans="1:20" x14ac:dyDescent="0.2">
      <c r="A436" t="s">
        <v>481</v>
      </c>
      <c r="B436">
        <f>IF(COUNTIFS('United Data'!$A$3:$A$2150,B$1,'United Data'!$C$3:$C$2150,$A436,'United Data'!$B$3:$B$2150,"&lt;&gt;P")&gt;0,1,0)</f>
        <v>0</v>
      </c>
      <c r="C436">
        <f>IF(COUNTIFS('United Data'!$A$3:$A$2150,C$1,'United Data'!$C$3:$C$2150,$A436,'United Data'!$B$3:$B$2150,"&lt;&gt;P")&gt;0,1,0)</f>
        <v>0</v>
      </c>
      <c r="D436">
        <f>IF(COUNTIFS('United Data'!$A$3:$A$2150,D$1,'United Data'!$C$3:$C$2150,$A436,'United Data'!$B$3:$B$2150,"&lt;&gt;P")&gt;0,1,0)</f>
        <v>1</v>
      </c>
      <c r="E436">
        <f>IF(COUNTIFS('United Data'!$A$3:$A$2150,E$1,'United Data'!$C$3:$C$2150,$A436,'United Data'!$B$3:$B$2150,"&lt;&gt;P")&gt;0,1,0)</f>
        <v>0</v>
      </c>
      <c r="F436">
        <f>IF(COUNTIFS('United Data'!$A$3:$A$2150,F$1,'United Data'!$C$3:$C$2150,$A436,'United Data'!$B$3:$B$2150,"&lt;&gt;P")&gt;0,1,0)</f>
        <v>0</v>
      </c>
      <c r="G436">
        <f>IF(COUNTIFS('United Data'!$A$3:$A$2150,G$1,'United Data'!$C$3:$C$2150,$A436,'United Data'!$B$3:$B$2150,"&lt;&gt;P")&gt;0,1,0)</f>
        <v>0</v>
      </c>
      <c r="H436">
        <f>IF(COUNTIFS('United Data'!$A$3:$A$2150,H$1,'United Data'!$C$3:$C$2150,$A436,'United Data'!$B$3:$B$2150,"&lt;&gt;P")&gt;0,1,0)</f>
        <v>0</v>
      </c>
      <c r="I436">
        <f>IF(COUNTIFS('United Data'!$A$3:$A$2150,I$1,'United Data'!$C$3:$C$2150,$A436,'United Data'!$B$3:$B$2150,"&lt;&gt;P")&gt;0,1,0)</f>
        <v>0</v>
      </c>
      <c r="J436">
        <f>IF(COUNTIFS('United Data'!$A$3:$A$2150,J$1,'United Data'!$C$3:$C$2150,$A436,'United Data'!$B$3:$B$2150,"&lt;&gt;P")&gt;0,1,0)</f>
        <v>0</v>
      </c>
      <c r="K436">
        <f>IF(COUNTIFS('United Data'!$A$3:$A$2150,K$1,'United Data'!$C$3:$C$2150,$A436,'United Data'!$B$3:$B$2150,"&lt;&gt;P")&gt;0,1,0)</f>
        <v>0</v>
      </c>
      <c r="L436">
        <f>IF(COUNTIFS('United Data'!$A$3:$A$2150,L$1,'United Data'!$C$3:$C$2150,$A436,'United Data'!$B$3:$B$2150,"&lt;&gt;P")&gt;0,1,0)</f>
        <v>0</v>
      </c>
      <c r="M436">
        <f>IF(COUNTIFS('United Data'!$A$3:$A$2150,M$1,'United Data'!$C$3:$C$2150,$A436,'United Data'!$B$3:$B$2150,"&lt;&gt;P")&gt;0,1,0)</f>
        <v>0</v>
      </c>
      <c r="N436">
        <f>IF(COUNTIFS('United Data'!$A$3:$A$2150,N$1,'United Data'!$C$3:$C$2150,$A436,'United Data'!$B$3:$B$2150,"&lt;&gt;P")&gt;0,1,0)</f>
        <v>0</v>
      </c>
      <c r="O436">
        <f>IF(COUNTIFS('United Data'!$A$3:$A$2150,O$1,'United Data'!$C$3:$C$2150,$A436,'United Data'!$B$3:$B$2150,"&lt;&gt;P")&gt;0,1,0)</f>
        <v>0</v>
      </c>
      <c r="P436">
        <f>IF(COUNTIFS('United Data'!$A$3:$A$2150,P$1,'United Data'!$C$3:$C$2150,$A436,'United Data'!$B$3:$B$2150,"&lt;&gt;P")&gt;0,1,0)</f>
        <v>0</v>
      </c>
      <c r="Q436">
        <f>IF(COUNTIFS('United Data'!$A$3:$A$2150,Q$1,'United Data'!$C$3:$C$2150,$A436,'United Data'!$B$3:$B$2150,"&lt;&gt;P")&gt;0,1,0)</f>
        <v>0</v>
      </c>
      <c r="R436">
        <f>IF(COUNTIFS('United Data'!$A$3:$A$2150,R$1,'United Data'!$C$3:$C$2150,$A436,'United Data'!$B$3:$B$2150,"&lt;&gt;P")&gt;0,1,0)</f>
        <v>0</v>
      </c>
      <c r="S436">
        <f t="shared" si="12"/>
        <v>1</v>
      </c>
      <c r="T436">
        <f t="shared" si="13"/>
        <v>1</v>
      </c>
    </row>
    <row r="437" spans="1:20" x14ac:dyDescent="0.2">
      <c r="A437" t="s">
        <v>482</v>
      </c>
      <c r="B437">
        <f>IF(COUNTIFS('United Data'!$A$3:$A$2150,B$1,'United Data'!$C$3:$C$2150,$A437,'United Data'!$B$3:$B$2150,"&lt;&gt;P")&gt;0,1,0)</f>
        <v>0</v>
      </c>
      <c r="C437">
        <f>IF(COUNTIFS('United Data'!$A$3:$A$2150,C$1,'United Data'!$C$3:$C$2150,$A437,'United Data'!$B$3:$B$2150,"&lt;&gt;P")&gt;0,1,0)</f>
        <v>0</v>
      </c>
      <c r="D437">
        <f>IF(COUNTIFS('United Data'!$A$3:$A$2150,D$1,'United Data'!$C$3:$C$2150,$A437,'United Data'!$B$3:$B$2150,"&lt;&gt;P")&gt;0,1,0)</f>
        <v>1</v>
      </c>
      <c r="E437">
        <f>IF(COUNTIFS('United Data'!$A$3:$A$2150,E$1,'United Data'!$C$3:$C$2150,$A437,'United Data'!$B$3:$B$2150,"&lt;&gt;P")&gt;0,1,0)</f>
        <v>0</v>
      </c>
      <c r="F437">
        <f>IF(COUNTIFS('United Data'!$A$3:$A$2150,F$1,'United Data'!$C$3:$C$2150,$A437,'United Data'!$B$3:$B$2150,"&lt;&gt;P")&gt;0,1,0)</f>
        <v>0</v>
      </c>
      <c r="G437">
        <f>IF(COUNTIFS('United Data'!$A$3:$A$2150,G$1,'United Data'!$C$3:$C$2150,$A437,'United Data'!$B$3:$B$2150,"&lt;&gt;P")&gt;0,1,0)</f>
        <v>0</v>
      </c>
      <c r="H437">
        <f>IF(COUNTIFS('United Data'!$A$3:$A$2150,H$1,'United Data'!$C$3:$C$2150,$A437,'United Data'!$B$3:$B$2150,"&lt;&gt;P")&gt;0,1,0)</f>
        <v>0</v>
      </c>
      <c r="I437">
        <f>IF(COUNTIFS('United Data'!$A$3:$A$2150,I$1,'United Data'!$C$3:$C$2150,$A437,'United Data'!$B$3:$B$2150,"&lt;&gt;P")&gt;0,1,0)</f>
        <v>0</v>
      </c>
      <c r="J437">
        <f>IF(COUNTIFS('United Data'!$A$3:$A$2150,J$1,'United Data'!$C$3:$C$2150,$A437,'United Data'!$B$3:$B$2150,"&lt;&gt;P")&gt;0,1,0)</f>
        <v>0</v>
      </c>
      <c r="K437">
        <f>IF(COUNTIFS('United Data'!$A$3:$A$2150,K$1,'United Data'!$C$3:$C$2150,$A437,'United Data'!$B$3:$B$2150,"&lt;&gt;P")&gt;0,1,0)</f>
        <v>0</v>
      </c>
      <c r="L437">
        <f>IF(COUNTIFS('United Data'!$A$3:$A$2150,L$1,'United Data'!$C$3:$C$2150,$A437,'United Data'!$B$3:$B$2150,"&lt;&gt;P")&gt;0,1,0)</f>
        <v>0</v>
      </c>
      <c r="M437">
        <f>IF(COUNTIFS('United Data'!$A$3:$A$2150,M$1,'United Data'!$C$3:$C$2150,$A437,'United Data'!$B$3:$B$2150,"&lt;&gt;P")&gt;0,1,0)</f>
        <v>0</v>
      </c>
      <c r="N437">
        <f>IF(COUNTIFS('United Data'!$A$3:$A$2150,N$1,'United Data'!$C$3:$C$2150,$A437,'United Data'!$B$3:$B$2150,"&lt;&gt;P")&gt;0,1,0)</f>
        <v>0</v>
      </c>
      <c r="O437">
        <f>IF(COUNTIFS('United Data'!$A$3:$A$2150,O$1,'United Data'!$C$3:$C$2150,$A437,'United Data'!$B$3:$B$2150,"&lt;&gt;P")&gt;0,1,0)</f>
        <v>0</v>
      </c>
      <c r="P437">
        <f>IF(COUNTIFS('United Data'!$A$3:$A$2150,P$1,'United Data'!$C$3:$C$2150,$A437,'United Data'!$B$3:$B$2150,"&lt;&gt;P")&gt;0,1,0)</f>
        <v>0</v>
      </c>
      <c r="Q437">
        <f>IF(COUNTIFS('United Data'!$A$3:$A$2150,Q$1,'United Data'!$C$3:$C$2150,$A437,'United Data'!$B$3:$B$2150,"&lt;&gt;P")&gt;0,1,0)</f>
        <v>0</v>
      </c>
      <c r="R437">
        <f>IF(COUNTIFS('United Data'!$A$3:$A$2150,R$1,'United Data'!$C$3:$C$2150,$A437,'United Data'!$B$3:$B$2150,"&lt;&gt;P")&gt;0,1,0)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483</v>
      </c>
      <c r="B438">
        <f>IF(COUNTIFS('United Data'!$A$3:$A$2150,B$1,'United Data'!$C$3:$C$2150,$A438,'United Data'!$B$3:$B$2150,"&lt;&gt;P")&gt;0,1,0)</f>
        <v>0</v>
      </c>
      <c r="C438">
        <f>IF(COUNTIFS('United Data'!$A$3:$A$2150,C$1,'United Data'!$C$3:$C$2150,$A438,'United Data'!$B$3:$B$2150,"&lt;&gt;P")&gt;0,1,0)</f>
        <v>0</v>
      </c>
      <c r="D438">
        <f>IF(COUNTIFS('United Data'!$A$3:$A$2150,D$1,'United Data'!$C$3:$C$2150,$A438,'United Data'!$B$3:$B$2150,"&lt;&gt;P")&gt;0,1,0)</f>
        <v>1</v>
      </c>
      <c r="E438">
        <f>IF(COUNTIFS('United Data'!$A$3:$A$2150,E$1,'United Data'!$C$3:$C$2150,$A438,'United Data'!$B$3:$B$2150,"&lt;&gt;P")&gt;0,1,0)</f>
        <v>0</v>
      </c>
      <c r="F438">
        <f>IF(COUNTIFS('United Data'!$A$3:$A$2150,F$1,'United Data'!$C$3:$C$2150,$A438,'United Data'!$B$3:$B$2150,"&lt;&gt;P")&gt;0,1,0)</f>
        <v>0</v>
      </c>
      <c r="G438">
        <f>IF(COUNTIFS('United Data'!$A$3:$A$2150,G$1,'United Data'!$C$3:$C$2150,$A438,'United Data'!$B$3:$B$2150,"&lt;&gt;P")&gt;0,1,0)</f>
        <v>0</v>
      </c>
      <c r="H438">
        <f>IF(COUNTIFS('United Data'!$A$3:$A$2150,H$1,'United Data'!$C$3:$C$2150,$A438,'United Data'!$B$3:$B$2150,"&lt;&gt;P")&gt;0,1,0)</f>
        <v>0</v>
      </c>
      <c r="I438">
        <f>IF(COUNTIFS('United Data'!$A$3:$A$2150,I$1,'United Data'!$C$3:$C$2150,$A438,'United Data'!$B$3:$B$2150,"&lt;&gt;P")&gt;0,1,0)</f>
        <v>0</v>
      </c>
      <c r="J438">
        <f>IF(COUNTIFS('United Data'!$A$3:$A$2150,J$1,'United Data'!$C$3:$C$2150,$A438,'United Data'!$B$3:$B$2150,"&lt;&gt;P")&gt;0,1,0)</f>
        <v>0</v>
      </c>
      <c r="K438">
        <f>IF(COUNTIFS('United Data'!$A$3:$A$2150,K$1,'United Data'!$C$3:$C$2150,$A438,'United Data'!$B$3:$B$2150,"&lt;&gt;P")&gt;0,1,0)</f>
        <v>0</v>
      </c>
      <c r="L438">
        <f>IF(COUNTIFS('United Data'!$A$3:$A$2150,L$1,'United Data'!$C$3:$C$2150,$A438,'United Data'!$B$3:$B$2150,"&lt;&gt;P")&gt;0,1,0)</f>
        <v>0</v>
      </c>
      <c r="M438">
        <f>IF(COUNTIFS('United Data'!$A$3:$A$2150,M$1,'United Data'!$C$3:$C$2150,$A438,'United Data'!$B$3:$B$2150,"&lt;&gt;P")&gt;0,1,0)</f>
        <v>0</v>
      </c>
      <c r="N438">
        <f>IF(COUNTIFS('United Data'!$A$3:$A$2150,N$1,'United Data'!$C$3:$C$2150,$A438,'United Data'!$B$3:$B$2150,"&lt;&gt;P")&gt;0,1,0)</f>
        <v>0</v>
      </c>
      <c r="O438">
        <f>IF(COUNTIFS('United Data'!$A$3:$A$2150,O$1,'United Data'!$C$3:$C$2150,$A438,'United Data'!$B$3:$B$2150,"&lt;&gt;P")&gt;0,1,0)</f>
        <v>0</v>
      </c>
      <c r="P438">
        <f>IF(COUNTIFS('United Data'!$A$3:$A$2150,P$1,'United Data'!$C$3:$C$2150,$A438,'United Data'!$B$3:$B$2150,"&lt;&gt;P")&gt;0,1,0)</f>
        <v>0</v>
      </c>
      <c r="Q438">
        <f>IF(COUNTIFS('United Data'!$A$3:$A$2150,Q$1,'United Data'!$C$3:$C$2150,$A438,'United Data'!$B$3:$B$2150,"&lt;&gt;P")&gt;0,1,0)</f>
        <v>0</v>
      </c>
      <c r="R438">
        <f>IF(COUNTIFS('United Data'!$A$3:$A$2150,R$1,'United Data'!$C$3:$C$2150,$A438,'United Data'!$B$3:$B$2150,"&lt;&gt;P")&gt;0,1,0)</f>
        <v>0</v>
      </c>
      <c r="S438">
        <f t="shared" si="12"/>
        <v>1</v>
      </c>
      <c r="T438">
        <f t="shared" si="13"/>
        <v>1</v>
      </c>
    </row>
    <row r="439" spans="1:20" x14ac:dyDescent="0.2">
      <c r="A439" t="s">
        <v>484</v>
      </c>
      <c r="B439">
        <f>IF(COUNTIFS('United Data'!$A$3:$A$2150,B$1,'United Data'!$C$3:$C$2150,$A439,'United Data'!$B$3:$B$2150,"&lt;&gt;P")&gt;0,1,0)</f>
        <v>0</v>
      </c>
      <c r="C439">
        <f>IF(COUNTIFS('United Data'!$A$3:$A$2150,C$1,'United Data'!$C$3:$C$2150,$A439,'United Data'!$B$3:$B$2150,"&lt;&gt;P")&gt;0,1,0)</f>
        <v>0</v>
      </c>
      <c r="D439">
        <f>IF(COUNTIFS('United Data'!$A$3:$A$2150,D$1,'United Data'!$C$3:$C$2150,$A439,'United Data'!$B$3:$B$2150,"&lt;&gt;P")&gt;0,1,0)</f>
        <v>1</v>
      </c>
      <c r="E439">
        <f>IF(COUNTIFS('United Data'!$A$3:$A$2150,E$1,'United Data'!$C$3:$C$2150,$A439,'United Data'!$B$3:$B$2150,"&lt;&gt;P")&gt;0,1,0)</f>
        <v>1</v>
      </c>
      <c r="F439">
        <f>IF(COUNTIFS('United Data'!$A$3:$A$2150,F$1,'United Data'!$C$3:$C$2150,$A439,'United Data'!$B$3:$B$2150,"&lt;&gt;P")&gt;0,1,0)</f>
        <v>1</v>
      </c>
      <c r="G439">
        <f>IF(COUNTIFS('United Data'!$A$3:$A$2150,G$1,'United Data'!$C$3:$C$2150,$A439,'United Data'!$B$3:$B$2150,"&lt;&gt;P")&gt;0,1,0)</f>
        <v>1</v>
      </c>
      <c r="H439">
        <f>IF(COUNTIFS('United Data'!$A$3:$A$2150,H$1,'United Data'!$C$3:$C$2150,$A439,'United Data'!$B$3:$B$2150,"&lt;&gt;P")&gt;0,1,0)</f>
        <v>1</v>
      </c>
      <c r="I439">
        <f>IF(COUNTIFS('United Data'!$A$3:$A$2150,I$1,'United Data'!$C$3:$C$2150,$A439,'United Data'!$B$3:$B$2150,"&lt;&gt;P")&gt;0,1,0)</f>
        <v>1</v>
      </c>
      <c r="J439">
        <f>IF(COUNTIFS('United Data'!$A$3:$A$2150,J$1,'United Data'!$C$3:$C$2150,$A439,'United Data'!$B$3:$B$2150,"&lt;&gt;P")&gt;0,1,0)</f>
        <v>0</v>
      </c>
      <c r="K439">
        <f>IF(COUNTIFS('United Data'!$A$3:$A$2150,K$1,'United Data'!$C$3:$C$2150,$A439,'United Data'!$B$3:$B$2150,"&lt;&gt;P")&gt;0,1,0)</f>
        <v>1</v>
      </c>
      <c r="L439">
        <f>IF(COUNTIFS('United Data'!$A$3:$A$2150,L$1,'United Data'!$C$3:$C$2150,$A439,'United Data'!$B$3:$B$2150,"&lt;&gt;P")&gt;0,1,0)</f>
        <v>1</v>
      </c>
      <c r="M439">
        <f>IF(COUNTIFS('United Data'!$A$3:$A$2150,M$1,'United Data'!$C$3:$C$2150,$A439,'United Data'!$B$3:$B$2150,"&lt;&gt;P")&gt;0,1,0)</f>
        <v>1</v>
      </c>
      <c r="N439">
        <f>IF(COUNTIFS('United Data'!$A$3:$A$2150,N$1,'United Data'!$C$3:$C$2150,$A439,'United Data'!$B$3:$B$2150,"&lt;&gt;P")&gt;0,1,0)</f>
        <v>1</v>
      </c>
      <c r="O439">
        <f>IF(COUNTIFS('United Data'!$A$3:$A$2150,O$1,'United Data'!$C$3:$C$2150,$A439,'United Data'!$B$3:$B$2150,"&lt;&gt;P")&gt;0,1,0)</f>
        <v>1</v>
      </c>
      <c r="P439">
        <f>IF(COUNTIFS('United Data'!$A$3:$A$2150,P$1,'United Data'!$C$3:$C$2150,$A439,'United Data'!$B$3:$B$2150,"&lt;&gt;P")&gt;0,1,0)</f>
        <v>1</v>
      </c>
      <c r="Q439">
        <f>IF(COUNTIFS('United Data'!$A$3:$A$2150,Q$1,'United Data'!$C$3:$C$2150,$A439,'United Data'!$B$3:$B$2150,"&lt;&gt;P")&gt;0,1,0)</f>
        <v>0</v>
      </c>
      <c r="R439">
        <f>IF(COUNTIFS('United Data'!$A$3:$A$2150,R$1,'United Data'!$C$3:$C$2150,$A439,'United Data'!$B$3:$B$2150,"&lt;&gt;P")&gt;0,1,0)</f>
        <v>0</v>
      </c>
      <c r="S439">
        <f t="shared" si="12"/>
        <v>12</v>
      </c>
      <c r="T439">
        <f t="shared" si="13"/>
        <v>2</v>
      </c>
    </row>
    <row r="440" spans="1:20" x14ac:dyDescent="0.2">
      <c r="A440" t="s">
        <v>485</v>
      </c>
      <c r="B440">
        <f>IF(COUNTIFS('United Data'!$A$3:$A$2150,B$1,'United Data'!$C$3:$C$2150,$A440,'United Data'!$B$3:$B$2150,"&lt;&gt;P")&gt;0,1,0)</f>
        <v>0</v>
      </c>
      <c r="C440">
        <f>IF(COUNTIFS('United Data'!$A$3:$A$2150,C$1,'United Data'!$C$3:$C$2150,$A440,'United Data'!$B$3:$B$2150,"&lt;&gt;P")&gt;0,1,0)</f>
        <v>0</v>
      </c>
      <c r="D440">
        <f>IF(COUNTIFS('United Data'!$A$3:$A$2150,D$1,'United Data'!$C$3:$C$2150,$A440,'United Data'!$B$3:$B$2150,"&lt;&gt;P")&gt;0,1,0)</f>
        <v>1</v>
      </c>
      <c r="E440">
        <f>IF(COUNTIFS('United Data'!$A$3:$A$2150,E$1,'United Data'!$C$3:$C$2150,$A440,'United Data'!$B$3:$B$2150,"&lt;&gt;P")&gt;0,1,0)</f>
        <v>0</v>
      </c>
      <c r="F440">
        <f>IF(COUNTIFS('United Data'!$A$3:$A$2150,F$1,'United Data'!$C$3:$C$2150,$A440,'United Data'!$B$3:$B$2150,"&lt;&gt;P")&gt;0,1,0)</f>
        <v>0</v>
      </c>
      <c r="G440">
        <f>IF(COUNTIFS('United Data'!$A$3:$A$2150,G$1,'United Data'!$C$3:$C$2150,$A440,'United Data'!$B$3:$B$2150,"&lt;&gt;P")&gt;0,1,0)</f>
        <v>0</v>
      </c>
      <c r="H440">
        <f>IF(COUNTIFS('United Data'!$A$3:$A$2150,H$1,'United Data'!$C$3:$C$2150,$A440,'United Data'!$B$3:$B$2150,"&lt;&gt;P")&gt;0,1,0)</f>
        <v>0</v>
      </c>
      <c r="I440">
        <f>IF(COUNTIFS('United Data'!$A$3:$A$2150,I$1,'United Data'!$C$3:$C$2150,$A440,'United Data'!$B$3:$B$2150,"&lt;&gt;P")&gt;0,1,0)</f>
        <v>0</v>
      </c>
      <c r="J440">
        <f>IF(COUNTIFS('United Data'!$A$3:$A$2150,J$1,'United Data'!$C$3:$C$2150,$A440,'United Data'!$B$3:$B$2150,"&lt;&gt;P")&gt;0,1,0)</f>
        <v>0</v>
      </c>
      <c r="K440">
        <f>IF(COUNTIFS('United Data'!$A$3:$A$2150,K$1,'United Data'!$C$3:$C$2150,$A440,'United Data'!$B$3:$B$2150,"&lt;&gt;P")&gt;0,1,0)</f>
        <v>0</v>
      </c>
      <c r="L440">
        <f>IF(COUNTIFS('United Data'!$A$3:$A$2150,L$1,'United Data'!$C$3:$C$2150,$A440,'United Data'!$B$3:$B$2150,"&lt;&gt;P")&gt;0,1,0)</f>
        <v>0</v>
      </c>
      <c r="M440">
        <f>IF(COUNTIFS('United Data'!$A$3:$A$2150,M$1,'United Data'!$C$3:$C$2150,$A440,'United Data'!$B$3:$B$2150,"&lt;&gt;P")&gt;0,1,0)</f>
        <v>0</v>
      </c>
      <c r="N440">
        <f>IF(COUNTIFS('United Data'!$A$3:$A$2150,N$1,'United Data'!$C$3:$C$2150,$A440,'United Data'!$B$3:$B$2150,"&lt;&gt;P")&gt;0,1,0)</f>
        <v>0</v>
      </c>
      <c r="O440">
        <f>IF(COUNTIFS('United Data'!$A$3:$A$2150,O$1,'United Data'!$C$3:$C$2150,$A440,'United Data'!$B$3:$B$2150,"&lt;&gt;P")&gt;0,1,0)</f>
        <v>0</v>
      </c>
      <c r="P440">
        <f>IF(COUNTIFS('United Data'!$A$3:$A$2150,P$1,'United Data'!$C$3:$C$2150,$A440,'United Data'!$B$3:$B$2150,"&lt;&gt;P")&gt;0,1,0)</f>
        <v>0</v>
      </c>
      <c r="Q440">
        <f>IF(COUNTIFS('United Data'!$A$3:$A$2150,Q$1,'United Data'!$C$3:$C$2150,$A440,'United Data'!$B$3:$B$2150,"&lt;&gt;P")&gt;0,1,0)</f>
        <v>0</v>
      </c>
      <c r="R440">
        <f>IF(COUNTIFS('United Data'!$A$3:$A$2150,R$1,'United Data'!$C$3:$C$2150,$A440,'United Data'!$B$3:$B$2150,"&lt;&gt;P")&gt;0,1,0)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486</v>
      </c>
      <c r="B441">
        <f>IF(COUNTIFS('United Data'!$A$3:$A$2150,B$1,'United Data'!$C$3:$C$2150,$A441,'United Data'!$B$3:$B$2150,"&lt;&gt;P")&gt;0,1,0)</f>
        <v>0</v>
      </c>
      <c r="C441">
        <f>IF(COUNTIFS('United Data'!$A$3:$A$2150,C$1,'United Data'!$C$3:$C$2150,$A441,'United Data'!$B$3:$B$2150,"&lt;&gt;P")&gt;0,1,0)</f>
        <v>0</v>
      </c>
      <c r="D441">
        <f>IF(COUNTIFS('United Data'!$A$3:$A$2150,D$1,'United Data'!$C$3:$C$2150,$A441,'United Data'!$B$3:$B$2150,"&lt;&gt;P")&gt;0,1,0)</f>
        <v>1</v>
      </c>
      <c r="E441">
        <f>IF(COUNTIFS('United Data'!$A$3:$A$2150,E$1,'United Data'!$C$3:$C$2150,$A441,'United Data'!$B$3:$B$2150,"&lt;&gt;P")&gt;0,1,0)</f>
        <v>1</v>
      </c>
      <c r="F441">
        <f>IF(COUNTIFS('United Data'!$A$3:$A$2150,F$1,'United Data'!$C$3:$C$2150,$A441,'United Data'!$B$3:$B$2150,"&lt;&gt;P")&gt;0,1,0)</f>
        <v>1</v>
      </c>
      <c r="G441">
        <f>IF(COUNTIFS('United Data'!$A$3:$A$2150,G$1,'United Data'!$C$3:$C$2150,$A441,'United Data'!$B$3:$B$2150,"&lt;&gt;P")&gt;0,1,0)</f>
        <v>0</v>
      </c>
      <c r="H441">
        <f>IF(COUNTIFS('United Data'!$A$3:$A$2150,H$1,'United Data'!$C$3:$C$2150,$A441,'United Data'!$B$3:$B$2150,"&lt;&gt;P")&gt;0,1,0)</f>
        <v>1</v>
      </c>
      <c r="I441">
        <f>IF(COUNTIFS('United Data'!$A$3:$A$2150,I$1,'United Data'!$C$3:$C$2150,$A441,'United Data'!$B$3:$B$2150,"&lt;&gt;P")&gt;0,1,0)</f>
        <v>1</v>
      </c>
      <c r="J441">
        <f>IF(COUNTIFS('United Data'!$A$3:$A$2150,J$1,'United Data'!$C$3:$C$2150,$A441,'United Data'!$B$3:$B$2150,"&lt;&gt;P")&gt;0,1,0)</f>
        <v>1</v>
      </c>
      <c r="K441">
        <f>IF(COUNTIFS('United Data'!$A$3:$A$2150,K$1,'United Data'!$C$3:$C$2150,$A441,'United Data'!$B$3:$B$2150,"&lt;&gt;P")&gt;0,1,0)</f>
        <v>1</v>
      </c>
      <c r="L441">
        <f>IF(COUNTIFS('United Data'!$A$3:$A$2150,L$1,'United Data'!$C$3:$C$2150,$A441,'United Data'!$B$3:$B$2150,"&lt;&gt;P")&gt;0,1,0)</f>
        <v>0</v>
      </c>
      <c r="M441">
        <f>IF(COUNTIFS('United Data'!$A$3:$A$2150,M$1,'United Data'!$C$3:$C$2150,$A441,'United Data'!$B$3:$B$2150,"&lt;&gt;P")&gt;0,1,0)</f>
        <v>0</v>
      </c>
      <c r="N441">
        <f>IF(COUNTIFS('United Data'!$A$3:$A$2150,N$1,'United Data'!$C$3:$C$2150,$A441,'United Data'!$B$3:$B$2150,"&lt;&gt;P")&gt;0,1,0)</f>
        <v>0</v>
      </c>
      <c r="O441">
        <f>IF(COUNTIFS('United Data'!$A$3:$A$2150,O$1,'United Data'!$C$3:$C$2150,$A441,'United Data'!$B$3:$B$2150,"&lt;&gt;P")&gt;0,1,0)</f>
        <v>0</v>
      </c>
      <c r="P441">
        <f>IF(COUNTIFS('United Data'!$A$3:$A$2150,P$1,'United Data'!$C$3:$C$2150,$A441,'United Data'!$B$3:$B$2150,"&lt;&gt;P")&gt;0,1,0)</f>
        <v>0</v>
      </c>
      <c r="Q441">
        <f>IF(COUNTIFS('United Data'!$A$3:$A$2150,Q$1,'United Data'!$C$3:$C$2150,$A441,'United Data'!$B$3:$B$2150,"&lt;&gt;P")&gt;0,1,0)</f>
        <v>0</v>
      </c>
      <c r="R441">
        <f>IF(COUNTIFS('United Data'!$A$3:$A$2150,R$1,'United Data'!$C$3:$C$2150,$A441,'United Data'!$B$3:$B$2150,"&lt;&gt;P")&gt;0,1,0)</f>
        <v>0</v>
      </c>
      <c r="S441">
        <f t="shared" si="12"/>
        <v>7</v>
      </c>
      <c r="T441">
        <f t="shared" si="13"/>
        <v>2</v>
      </c>
    </row>
    <row r="442" spans="1:20" x14ac:dyDescent="0.2">
      <c r="A442" t="s">
        <v>487</v>
      </c>
      <c r="B442">
        <f>IF(COUNTIFS('United Data'!$A$3:$A$2150,B$1,'United Data'!$C$3:$C$2150,$A442,'United Data'!$B$3:$B$2150,"&lt;&gt;P")&gt;0,1,0)</f>
        <v>0</v>
      </c>
      <c r="C442">
        <f>IF(COUNTIFS('United Data'!$A$3:$A$2150,C$1,'United Data'!$C$3:$C$2150,$A442,'United Data'!$B$3:$B$2150,"&lt;&gt;P")&gt;0,1,0)</f>
        <v>0</v>
      </c>
      <c r="D442">
        <f>IF(COUNTIFS('United Data'!$A$3:$A$2150,D$1,'United Data'!$C$3:$C$2150,$A442,'United Data'!$B$3:$B$2150,"&lt;&gt;P")&gt;0,1,0)</f>
        <v>1</v>
      </c>
      <c r="E442">
        <f>IF(COUNTIFS('United Data'!$A$3:$A$2150,E$1,'United Data'!$C$3:$C$2150,$A442,'United Data'!$B$3:$B$2150,"&lt;&gt;P")&gt;0,1,0)</f>
        <v>0</v>
      </c>
      <c r="F442">
        <f>IF(COUNTIFS('United Data'!$A$3:$A$2150,F$1,'United Data'!$C$3:$C$2150,$A442,'United Data'!$B$3:$B$2150,"&lt;&gt;P")&gt;0,1,0)</f>
        <v>0</v>
      </c>
      <c r="G442">
        <f>IF(COUNTIFS('United Data'!$A$3:$A$2150,G$1,'United Data'!$C$3:$C$2150,$A442,'United Data'!$B$3:$B$2150,"&lt;&gt;P")&gt;0,1,0)</f>
        <v>0</v>
      </c>
      <c r="H442">
        <f>IF(COUNTIFS('United Data'!$A$3:$A$2150,H$1,'United Data'!$C$3:$C$2150,$A442,'United Data'!$B$3:$B$2150,"&lt;&gt;P")&gt;0,1,0)</f>
        <v>0</v>
      </c>
      <c r="I442">
        <f>IF(COUNTIFS('United Data'!$A$3:$A$2150,I$1,'United Data'!$C$3:$C$2150,$A442,'United Data'!$B$3:$B$2150,"&lt;&gt;P")&gt;0,1,0)</f>
        <v>0</v>
      </c>
      <c r="J442">
        <f>IF(COUNTIFS('United Data'!$A$3:$A$2150,J$1,'United Data'!$C$3:$C$2150,$A442,'United Data'!$B$3:$B$2150,"&lt;&gt;P")&gt;0,1,0)</f>
        <v>0</v>
      </c>
      <c r="K442">
        <f>IF(COUNTIFS('United Data'!$A$3:$A$2150,K$1,'United Data'!$C$3:$C$2150,$A442,'United Data'!$B$3:$B$2150,"&lt;&gt;P")&gt;0,1,0)</f>
        <v>0</v>
      </c>
      <c r="L442">
        <f>IF(COUNTIFS('United Data'!$A$3:$A$2150,L$1,'United Data'!$C$3:$C$2150,$A442,'United Data'!$B$3:$B$2150,"&lt;&gt;P")&gt;0,1,0)</f>
        <v>0</v>
      </c>
      <c r="M442">
        <f>IF(COUNTIFS('United Data'!$A$3:$A$2150,M$1,'United Data'!$C$3:$C$2150,$A442,'United Data'!$B$3:$B$2150,"&lt;&gt;P")&gt;0,1,0)</f>
        <v>0</v>
      </c>
      <c r="N442">
        <f>IF(COUNTIFS('United Data'!$A$3:$A$2150,N$1,'United Data'!$C$3:$C$2150,$A442,'United Data'!$B$3:$B$2150,"&lt;&gt;P")&gt;0,1,0)</f>
        <v>0</v>
      </c>
      <c r="O442">
        <f>IF(COUNTIFS('United Data'!$A$3:$A$2150,O$1,'United Data'!$C$3:$C$2150,$A442,'United Data'!$B$3:$B$2150,"&lt;&gt;P")&gt;0,1,0)</f>
        <v>0</v>
      </c>
      <c r="P442">
        <f>IF(COUNTIFS('United Data'!$A$3:$A$2150,P$1,'United Data'!$C$3:$C$2150,$A442,'United Data'!$B$3:$B$2150,"&lt;&gt;P")&gt;0,1,0)</f>
        <v>0</v>
      </c>
      <c r="Q442">
        <f>IF(COUNTIFS('United Data'!$A$3:$A$2150,Q$1,'United Data'!$C$3:$C$2150,$A442,'United Data'!$B$3:$B$2150,"&lt;&gt;P")&gt;0,1,0)</f>
        <v>0</v>
      </c>
      <c r="R442">
        <f>IF(COUNTIFS('United Data'!$A$3:$A$2150,R$1,'United Data'!$C$3:$C$2150,$A442,'United Data'!$B$3:$B$2150,"&lt;&gt;P")&gt;0,1,0)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488</v>
      </c>
      <c r="B443">
        <f>IF(COUNTIFS('United Data'!$A$3:$A$2150,B$1,'United Data'!$C$3:$C$2150,$A443,'United Data'!$B$3:$B$2150,"&lt;&gt;P")&gt;0,1,0)</f>
        <v>0</v>
      </c>
      <c r="C443">
        <f>IF(COUNTIFS('United Data'!$A$3:$A$2150,C$1,'United Data'!$C$3:$C$2150,$A443,'United Data'!$B$3:$B$2150,"&lt;&gt;P")&gt;0,1,0)</f>
        <v>0</v>
      </c>
      <c r="D443">
        <f>IF(COUNTIFS('United Data'!$A$3:$A$2150,D$1,'United Data'!$C$3:$C$2150,$A443,'United Data'!$B$3:$B$2150,"&lt;&gt;P")&gt;0,1,0)</f>
        <v>1</v>
      </c>
      <c r="E443">
        <f>IF(COUNTIFS('United Data'!$A$3:$A$2150,E$1,'United Data'!$C$3:$C$2150,$A443,'United Data'!$B$3:$B$2150,"&lt;&gt;P")&gt;0,1,0)</f>
        <v>0</v>
      </c>
      <c r="F443">
        <f>IF(COUNTIFS('United Data'!$A$3:$A$2150,F$1,'United Data'!$C$3:$C$2150,$A443,'United Data'!$B$3:$B$2150,"&lt;&gt;P")&gt;0,1,0)</f>
        <v>0</v>
      </c>
      <c r="G443">
        <f>IF(COUNTIFS('United Data'!$A$3:$A$2150,G$1,'United Data'!$C$3:$C$2150,$A443,'United Data'!$B$3:$B$2150,"&lt;&gt;P")&gt;0,1,0)</f>
        <v>0</v>
      </c>
      <c r="H443">
        <f>IF(COUNTIFS('United Data'!$A$3:$A$2150,H$1,'United Data'!$C$3:$C$2150,$A443,'United Data'!$B$3:$B$2150,"&lt;&gt;P")&gt;0,1,0)</f>
        <v>0</v>
      </c>
      <c r="I443">
        <f>IF(COUNTIFS('United Data'!$A$3:$A$2150,I$1,'United Data'!$C$3:$C$2150,$A443,'United Data'!$B$3:$B$2150,"&lt;&gt;P")&gt;0,1,0)</f>
        <v>0</v>
      </c>
      <c r="J443">
        <f>IF(COUNTIFS('United Data'!$A$3:$A$2150,J$1,'United Data'!$C$3:$C$2150,$A443,'United Data'!$B$3:$B$2150,"&lt;&gt;P")&gt;0,1,0)</f>
        <v>0</v>
      </c>
      <c r="K443">
        <f>IF(COUNTIFS('United Data'!$A$3:$A$2150,K$1,'United Data'!$C$3:$C$2150,$A443,'United Data'!$B$3:$B$2150,"&lt;&gt;P")&gt;0,1,0)</f>
        <v>0</v>
      </c>
      <c r="L443">
        <f>IF(COUNTIFS('United Data'!$A$3:$A$2150,L$1,'United Data'!$C$3:$C$2150,$A443,'United Data'!$B$3:$B$2150,"&lt;&gt;P")&gt;0,1,0)</f>
        <v>0</v>
      </c>
      <c r="M443">
        <f>IF(COUNTIFS('United Data'!$A$3:$A$2150,M$1,'United Data'!$C$3:$C$2150,$A443,'United Data'!$B$3:$B$2150,"&lt;&gt;P")&gt;0,1,0)</f>
        <v>0</v>
      </c>
      <c r="N443">
        <f>IF(COUNTIFS('United Data'!$A$3:$A$2150,N$1,'United Data'!$C$3:$C$2150,$A443,'United Data'!$B$3:$B$2150,"&lt;&gt;P")&gt;0,1,0)</f>
        <v>0</v>
      </c>
      <c r="O443">
        <f>IF(COUNTIFS('United Data'!$A$3:$A$2150,O$1,'United Data'!$C$3:$C$2150,$A443,'United Data'!$B$3:$B$2150,"&lt;&gt;P")&gt;0,1,0)</f>
        <v>0</v>
      </c>
      <c r="P443">
        <f>IF(COUNTIFS('United Data'!$A$3:$A$2150,P$1,'United Data'!$C$3:$C$2150,$A443,'United Data'!$B$3:$B$2150,"&lt;&gt;P")&gt;0,1,0)</f>
        <v>0</v>
      </c>
      <c r="Q443">
        <f>IF(COUNTIFS('United Data'!$A$3:$A$2150,Q$1,'United Data'!$C$3:$C$2150,$A443,'United Data'!$B$3:$B$2150,"&lt;&gt;P")&gt;0,1,0)</f>
        <v>0</v>
      </c>
      <c r="R443">
        <f>IF(COUNTIFS('United Data'!$A$3:$A$2150,R$1,'United Data'!$C$3:$C$2150,$A443,'United Data'!$B$3:$B$2150,"&lt;&gt;P")&gt;0,1,0)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489</v>
      </c>
      <c r="B444">
        <f>IF(COUNTIFS('United Data'!$A$3:$A$2150,B$1,'United Data'!$C$3:$C$2150,$A444,'United Data'!$B$3:$B$2150,"&lt;&gt;P")&gt;0,1,0)</f>
        <v>0</v>
      </c>
      <c r="C444">
        <f>IF(COUNTIFS('United Data'!$A$3:$A$2150,C$1,'United Data'!$C$3:$C$2150,$A444,'United Data'!$B$3:$B$2150,"&lt;&gt;P")&gt;0,1,0)</f>
        <v>0</v>
      </c>
      <c r="D444">
        <f>IF(COUNTIFS('United Data'!$A$3:$A$2150,D$1,'United Data'!$C$3:$C$2150,$A444,'United Data'!$B$3:$B$2150,"&lt;&gt;P")&gt;0,1,0)</f>
        <v>1</v>
      </c>
      <c r="E444">
        <f>IF(COUNTIFS('United Data'!$A$3:$A$2150,E$1,'United Data'!$C$3:$C$2150,$A444,'United Data'!$B$3:$B$2150,"&lt;&gt;P")&gt;0,1,0)</f>
        <v>0</v>
      </c>
      <c r="F444">
        <f>IF(COUNTIFS('United Data'!$A$3:$A$2150,F$1,'United Data'!$C$3:$C$2150,$A444,'United Data'!$B$3:$B$2150,"&lt;&gt;P")&gt;0,1,0)</f>
        <v>1</v>
      </c>
      <c r="G444">
        <f>IF(COUNTIFS('United Data'!$A$3:$A$2150,G$1,'United Data'!$C$3:$C$2150,$A444,'United Data'!$B$3:$B$2150,"&lt;&gt;P")&gt;0,1,0)</f>
        <v>0</v>
      </c>
      <c r="H444">
        <f>IF(COUNTIFS('United Data'!$A$3:$A$2150,H$1,'United Data'!$C$3:$C$2150,$A444,'United Data'!$B$3:$B$2150,"&lt;&gt;P")&gt;0,1,0)</f>
        <v>1</v>
      </c>
      <c r="I444">
        <f>IF(COUNTIFS('United Data'!$A$3:$A$2150,I$1,'United Data'!$C$3:$C$2150,$A444,'United Data'!$B$3:$B$2150,"&lt;&gt;P")&gt;0,1,0)</f>
        <v>1</v>
      </c>
      <c r="J444">
        <f>IF(COUNTIFS('United Data'!$A$3:$A$2150,J$1,'United Data'!$C$3:$C$2150,$A444,'United Data'!$B$3:$B$2150,"&lt;&gt;P")&gt;0,1,0)</f>
        <v>1</v>
      </c>
      <c r="K444">
        <f>IF(COUNTIFS('United Data'!$A$3:$A$2150,K$1,'United Data'!$C$3:$C$2150,$A444,'United Data'!$B$3:$B$2150,"&lt;&gt;P")&gt;0,1,0)</f>
        <v>0</v>
      </c>
      <c r="L444">
        <f>IF(COUNTIFS('United Data'!$A$3:$A$2150,L$1,'United Data'!$C$3:$C$2150,$A444,'United Data'!$B$3:$B$2150,"&lt;&gt;P")&gt;0,1,0)</f>
        <v>0</v>
      </c>
      <c r="M444">
        <f>IF(COUNTIFS('United Data'!$A$3:$A$2150,M$1,'United Data'!$C$3:$C$2150,$A444,'United Data'!$B$3:$B$2150,"&lt;&gt;P")&gt;0,1,0)</f>
        <v>0</v>
      </c>
      <c r="N444">
        <f>IF(COUNTIFS('United Data'!$A$3:$A$2150,N$1,'United Data'!$C$3:$C$2150,$A444,'United Data'!$B$3:$B$2150,"&lt;&gt;P")&gt;0,1,0)</f>
        <v>0</v>
      </c>
      <c r="O444">
        <f>IF(COUNTIFS('United Data'!$A$3:$A$2150,O$1,'United Data'!$C$3:$C$2150,$A444,'United Data'!$B$3:$B$2150,"&lt;&gt;P")&gt;0,1,0)</f>
        <v>0</v>
      </c>
      <c r="P444">
        <f>IF(COUNTIFS('United Data'!$A$3:$A$2150,P$1,'United Data'!$C$3:$C$2150,$A444,'United Data'!$B$3:$B$2150,"&lt;&gt;P")&gt;0,1,0)</f>
        <v>0</v>
      </c>
      <c r="Q444">
        <f>IF(COUNTIFS('United Data'!$A$3:$A$2150,Q$1,'United Data'!$C$3:$C$2150,$A444,'United Data'!$B$3:$B$2150,"&lt;&gt;P")&gt;0,1,0)</f>
        <v>0</v>
      </c>
      <c r="R444">
        <f>IF(COUNTIFS('United Data'!$A$3:$A$2150,R$1,'United Data'!$C$3:$C$2150,$A444,'United Data'!$B$3:$B$2150,"&lt;&gt;P")&gt;0,1,0)</f>
        <v>0</v>
      </c>
      <c r="S444">
        <f t="shared" si="12"/>
        <v>5</v>
      </c>
      <c r="T444">
        <f t="shared" si="13"/>
        <v>3</v>
      </c>
    </row>
    <row r="445" spans="1:20" x14ac:dyDescent="0.2">
      <c r="A445" t="s">
        <v>490</v>
      </c>
      <c r="B445">
        <f>IF(COUNTIFS('United Data'!$A$3:$A$2150,B$1,'United Data'!$C$3:$C$2150,$A445,'United Data'!$B$3:$B$2150,"&lt;&gt;P")&gt;0,1,0)</f>
        <v>0</v>
      </c>
      <c r="C445">
        <f>IF(COUNTIFS('United Data'!$A$3:$A$2150,C$1,'United Data'!$C$3:$C$2150,$A445,'United Data'!$B$3:$B$2150,"&lt;&gt;P")&gt;0,1,0)</f>
        <v>0</v>
      </c>
      <c r="D445">
        <f>IF(COUNTIFS('United Data'!$A$3:$A$2150,D$1,'United Data'!$C$3:$C$2150,$A445,'United Data'!$B$3:$B$2150,"&lt;&gt;P")&gt;0,1,0)</f>
        <v>1</v>
      </c>
      <c r="E445">
        <f>IF(COUNTIFS('United Data'!$A$3:$A$2150,E$1,'United Data'!$C$3:$C$2150,$A445,'United Data'!$B$3:$B$2150,"&lt;&gt;P")&gt;0,1,0)</f>
        <v>0</v>
      </c>
      <c r="F445">
        <f>IF(COUNTIFS('United Data'!$A$3:$A$2150,F$1,'United Data'!$C$3:$C$2150,$A445,'United Data'!$B$3:$B$2150,"&lt;&gt;P")&gt;0,1,0)</f>
        <v>1</v>
      </c>
      <c r="G445">
        <f>IF(COUNTIFS('United Data'!$A$3:$A$2150,G$1,'United Data'!$C$3:$C$2150,$A445,'United Data'!$B$3:$B$2150,"&lt;&gt;P")&gt;0,1,0)</f>
        <v>0</v>
      </c>
      <c r="H445">
        <f>IF(COUNTIFS('United Data'!$A$3:$A$2150,H$1,'United Data'!$C$3:$C$2150,$A445,'United Data'!$B$3:$B$2150,"&lt;&gt;P")&gt;0,1,0)</f>
        <v>0</v>
      </c>
      <c r="I445">
        <f>IF(COUNTIFS('United Data'!$A$3:$A$2150,I$1,'United Data'!$C$3:$C$2150,$A445,'United Data'!$B$3:$B$2150,"&lt;&gt;P")&gt;0,1,0)</f>
        <v>0</v>
      </c>
      <c r="J445">
        <f>IF(COUNTIFS('United Data'!$A$3:$A$2150,J$1,'United Data'!$C$3:$C$2150,$A445,'United Data'!$B$3:$B$2150,"&lt;&gt;P")&gt;0,1,0)</f>
        <v>0</v>
      </c>
      <c r="K445">
        <f>IF(COUNTIFS('United Data'!$A$3:$A$2150,K$1,'United Data'!$C$3:$C$2150,$A445,'United Data'!$B$3:$B$2150,"&lt;&gt;P")&gt;0,1,0)</f>
        <v>0</v>
      </c>
      <c r="L445">
        <f>IF(COUNTIFS('United Data'!$A$3:$A$2150,L$1,'United Data'!$C$3:$C$2150,$A445,'United Data'!$B$3:$B$2150,"&lt;&gt;P")&gt;0,1,0)</f>
        <v>0</v>
      </c>
      <c r="M445">
        <f>IF(COUNTIFS('United Data'!$A$3:$A$2150,M$1,'United Data'!$C$3:$C$2150,$A445,'United Data'!$B$3:$B$2150,"&lt;&gt;P")&gt;0,1,0)</f>
        <v>0</v>
      </c>
      <c r="N445">
        <f>IF(COUNTIFS('United Data'!$A$3:$A$2150,N$1,'United Data'!$C$3:$C$2150,$A445,'United Data'!$B$3:$B$2150,"&lt;&gt;P")&gt;0,1,0)</f>
        <v>0</v>
      </c>
      <c r="O445">
        <f>IF(COUNTIFS('United Data'!$A$3:$A$2150,O$1,'United Data'!$C$3:$C$2150,$A445,'United Data'!$B$3:$B$2150,"&lt;&gt;P")&gt;0,1,0)</f>
        <v>0</v>
      </c>
      <c r="P445">
        <f>IF(COUNTIFS('United Data'!$A$3:$A$2150,P$1,'United Data'!$C$3:$C$2150,$A445,'United Data'!$B$3:$B$2150,"&lt;&gt;P")&gt;0,1,0)</f>
        <v>0</v>
      </c>
      <c r="Q445">
        <f>IF(COUNTIFS('United Data'!$A$3:$A$2150,Q$1,'United Data'!$C$3:$C$2150,$A445,'United Data'!$B$3:$B$2150,"&lt;&gt;P")&gt;0,1,0)</f>
        <v>0</v>
      </c>
      <c r="R445">
        <f>IF(COUNTIFS('United Data'!$A$3:$A$2150,R$1,'United Data'!$C$3:$C$2150,$A445,'United Data'!$B$3:$B$2150,"&lt;&gt;P")&gt;0,1,0)</f>
        <v>0</v>
      </c>
      <c r="S445">
        <f t="shared" si="12"/>
        <v>2</v>
      </c>
      <c r="T445">
        <f t="shared" si="13"/>
        <v>2</v>
      </c>
    </row>
    <row r="446" spans="1:20" x14ac:dyDescent="0.2">
      <c r="A446" t="s">
        <v>491</v>
      </c>
      <c r="B446">
        <f>IF(COUNTIFS('United Data'!$A$3:$A$2150,B$1,'United Data'!$C$3:$C$2150,$A446,'United Data'!$B$3:$B$2150,"&lt;&gt;P")&gt;0,1,0)</f>
        <v>0</v>
      </c>
      <c r="C446">
        <f>IF(COUNTIFS('United Data'!$A$3:$A$2150,C$1,'United Data'!$C$3:$C$2150,$A446,'United Data'!$B$3:$B$2150,"&lt;&gt;P")&gt;0,1,0)</f>
        <v>0</v>
      </c>
      <c r="D446">
        <f>IF(COUNTIFS('United Data'!$A$3:$A$2150,D$1,'United Data'!$C$3:$C$2150,$A446,'United Data'!$B$3:$B$2150,"&lt;&gt;P")&gt;0,1,0)</f>
        <v>1</v>
      </c>
      <c r="E446">
        <f>IF(COUNTIFS('United Data'!$A$3:$A$2150,E$1,'United Data'!$C$3:$C$2150,$A446,'United Data'!$B$3:$B$2150,"&lt;&gt;P")&gt;0,1,0)</f>
        <v>0</v>
      </c>
      <c r="F446">
        <f>IF(COUNTIFS('United Data'!$A$3:$A$2150,F$1,'United Data'!$C$3:$C$2150,$A446,'United Data'!$B$3:$B$2150,"&lt;&gt;P")&gt;0,1,0)</f>
        <v>0</v>
      </c>
      <c r="G446">
        <f>IF(COUNTIFS('United Data'!$A$3:$A$2150,G$1,'United Data'!$C$3:$C$2150,$A446,'United Data'!$B$3:$B$2150,"&lt;&gt;P")&gt;0,1,0)</f>
        <v>0</v>
      </c>
      <c r="H446">
        <f>IF(COUNTIFS('United Data'!$A$3:$A$2150,H$1,'United Data'!$C$3:$C$2150,$A446,'United Data'!$B$3:$B$2150,"&lt;&gt;P")&gt;0,1,0)</f>
        <v>0</v>
      </c>
      <c r="I446">
        <f>IF(COUNTIFS('United Data'!$A$3:$A$2150,I$1,'United Data'!$C$3:$C$2150,$A446,'United Data'!$B$3:$B$2150,"&lt;&gt;P")&gt;0,1,0)</f>
        <v>0</v>
      </c>
      <c r="J446">
        <f>IF(COUNTIFS('United Data'!$A$3:$A$2150,J$1,'United Data'!$C$3:$C$2150,$A446,'United Data'!$B$3:$B$2150,"&lt;&gt;P")&gt;0,1,0)</f>
        <v>0</v>
      </c>
      <c r="K446">
        <f>IF(COUNTIFS('United Data'!$A$3:$A$2150,K$1,'United Data'!$C$3:$C$2150,$A446,'United Data'!$B$3:$B$2150,"&lt;&gt;P")&gt;0,1,0)</f>
        <v>0</v>
      </c>
      <c r="L446">
        <f>IF(COUNTIFS('United Data'!$A$3:$A$2150,L$1,'United Data'!$C$3:$C$2150,$A446,'United Data'!$B$3:$B$2150,"&lt;&gt;P")&gt;0,1,0)</f>
        <v>0</v>
      </c>
      <c r="M446">
        <f>IF(COUNTIFS('United Data'!$A$3:$A$2150,M$1,'United Data'!$C$3:$C$2150,$A446,'United Data'!$B$3:$B$2150,"&lt;&gt;P")&gt;0,1,0)</f>
        <v>0</v>
      </c>
      <c r="N446">
        <f>IF(COUNTIFS('United Data'!$A$3:$A$2150,N$1,'United Data'!$C$3:$C$2150,$A446,'United Data'!$B$3:$B$2150,"&lt;&gt;P")&gt;0,1,0)</f>
        <v>0</v>
      </c>
      <c r="O446">
        <f>IF(COUNTIFS('United Data'!$A$3:$A$2150,O$1,'United Data'!$C$3:$C$2150,$A446,'United Data'!$B$3:$B$2150,"&lt;&gt;P")&gt;0,1,0)</f>
        <v>0</v>
      </c>
      <c r="P446">
        <f>IF(COUNTIFS('United Data'!$A$3:$A$2150,P$1,'United Data'!$C$3:$C$2150,$A446,'United Data'!$B$3:$B$2150,"&lt;&gt;P")&gt;0,1,0)</f>
        <v>0</v>
      </c>
      <c r="Q446">
        <f>IF(COUNTIFS('United Data'!$A$3:$A$2150,Q$1,'United Data'!$C$3:$C$2150,$A446,'United Data'!$B$3:$B$2150,"&lt;&gt;P")&gt;0,1,0)</f>
        <v>0</v>
      </c>
      <c r="R446">
        <f>IF(COUNTIFS('United Data'!$A$3:$A$2150,R$1,'United Data'!$C$3:$C$2150,$A446,'United Data'!$B$3:$B$2150,"&lt;&gt;P")&gt;0,1,0)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492</v>
      </c>
      <c r="B447">
        <f>IF(COUNTIFS('United Data'!$A$3:$A$2150,B$1,'United Data'!$C$3:$C$2150,$A447,'United Data'!$B$3:$B$2150,"&lt;&gt;P")&gt;0,1,0)</f>
        <v>0</v>
      </c>
      <c r="C447">
        <f>IF(COUNTIFS('United Data'!$A$3:$A$2150,C$1,'United Data'!$C$3:$C$2150,$A447,'United Data'!$B$3:$B$2150,"&lt;&gt;P")&gt;0,1,0)</f>
        <v>0</v>
      </c>
      <c r="D447">
        <f>IF(COUNTIFS('United Data'!$A$3:$A$2150,D$1,'United Data'!$C$3:$C$2150,$A447,'United Data'!$B$3:$B$2150,"&lt;&gt;P")&gt;0,1,0)</f>
        <v>1</v>
      </c>
      <c r="E447">
        <f>IF(COUNTIFS('United Data'!$A$3:$A$2150,E$1,'United Data'!$C$3:$C$2150,$A447,'United Data'!$B$3:$B$2150,"&lt;&gt;P")&gt;0,1,0)</f>
        <v>1</v>
      </c>
      <c r="F447">
        <f>IF(COUNTIFS('United Data'!$A$3:$A$2150,F$1,'United Data'!$C$3:$C$2150,$A447,'United Data'!$B$3:$B$2150,"&lt;&gt;P")&gt;0,1,0)</f>
        <v>0</v>
      </c>
      <c r="G447">
        <f>IF(COUNTIFS('United Data'!$A$3:$A$2150,G$1,'United Data'!$C$3:$C$2150,$A447,'United Data'!$B$3:$B$2150,"&lt;&gt;P")&gt;0,1,0)</f>
        <v>0</v>
      </c>
      <c r="H447">
        <f>IF(COUNTIFS('United Data'!$A$3:$A$2150,H$1,'United Data'!$C$3:$C$2150,$A447,'United Data'!$B$3:$B$2150,"&lt;&gt;P")&gt;0,1,0)</f>
        <v>0</v>
      </c>
      <c r="I447">
        <f>IF(COUNTIFS('United Data'!$A$3:$A$2150,I$1,'United Data'!$C$3:$C$2150,$A447,'United Data'!$B$3:$B$2150,"&lt;&gt;P")&gt;0,1,0)</f>
        <v>0</v>
      </c>
      <c r="J447">
        <f>IF(COUNTIFS('United Data'!$A$3:$A$2150,J$1,'United Data'!$C$3:$C$2150,$A447,'United Data'!$B$3:$B$2150,"&lt;&gt;P")&gt;0,1,0)</f>
        <v>0</v>
      </c>
      <c r="K447">
        <f>IF(COUNTIFS('United Data'!$A$3:$A$2150,K$1,'United Data'!$C$3:$C$2150,$A447,'United Data'!$B$3:$B$2150,"&lt;&gt;P")&gt;0,1,0)</f>
        <v>0</v>
      </c>
      <c r="L447">
        <f>IF(COUNTIFS('United Data'!$A$3:$A$2150,L$1,'United Data'!$C$3:$C$2150,$A447,'United Data'!$B$3:$B$2150,"&lt;&gt;P")&gt;0,1,0)</f>
        <v>0</v>
      </c>
      <c r="M447">
        <f>IF(COUNTIFS('United Data'!$A$3:$A$2150,M$1,'United Data'!$C$3:$C$2150,$A447,'United Data'!$B$3:$B$2150,"&lt;&gt;P")&gt;0,1,0)</f>
        <v>0</v>
      </c>
      <c r="N447">
        <f>IF(COUNTIFS('United Data'!$A$3:$A$2150,N$1,'United Data'!$C$3:$C$2150,$A447,'United Data'!$B$3:$B$2150,"&lt;&gt;P")&gt;0,1,0)</f>
        <v>0</v>
      </c>
      <c r="O447">
        <f>IF(COUNTIFS('United Data'!$A$3:$A$2150,O$1,'United Data'!$C$3:$C$2150,$A447,'United Data'!$B$3:$B$2150,"&lt;&gt;P")&gt;0,1,0)</f>
        <v>0</v>
      </c>
      <c r="P447">
        <f>IF(COUNTIFS('United Data'!$A$3:$A$2150,P$1,'United Data'!$C$3:$C$2150,$A447,'United Data'!$B$3:$B$2150,"&lt;&gt;P")&gt;0,1,0)</f>
        <v>0</v>
      </c>
      <c r="Q447">
        <f>IF(COUNTIFS('United Data'!$A$3:$A$2150,Q$1,'United Data'!$C$3:$C$2150,$A447,'United Data'!$B$3:$B$2150,"&lt;&gt;P")&gt;0,1,0)</f>
        <v>0</v>
      </c>
      <c r="R447">
        <f>IF(COUNTIFS('United Data'!$A$3:$A$2150,R$1,'United Data'!$C$3:$C$2150,$A447,'United Data'!$B$3:$B$2150,"&lt;&gt;P")&gt;0,1,0)</f>
        <v>0</v>
      </c>
      <c r="S447">
        <f t="shared" si="12"/>
        <v>2</v>
      </c>
      <c r="T447">
        <f t="shared" si="13"/>
        <v>1</v>
      </c>
    </row>
    <row r="448" spans="1:20" x14ac:dyDescent="0.2">
      <c r="A448" t="s">
        <v>493</v>
      </c>
      <c r="B448">
        <f>IF(COUNTIFS('United Data'!$A$3:$A$2150,B$1,'United Data'!$C$3:$C$2150,$A448,'United Data'!$B$3:$B$2150,"&lt;&gt;P")&gt;0,1,0)</f>
        <v>0</v>
      </c>
      <c r="C448">
        <f>IF(COUNTIFS('United Data'!$A$3:$A$2150,C$1,'United Data'!$C$3:$C$2150,$A448,'United Data'!$B$3:$B$2150,"&lt;&gt;P")&gt;0,1,0)</f>
        <v>0</v>
      </c>
      <c r="D448">
        <f>IF(COUNTIFS('United Data'!$A$3:$A$2150,D$1,'United Data'!$C$3:$C$2150,$A448,'United Data'!$B$3:$B$2150,"&lt;&gt;P")&gt;0,1,0)</f>
        <v>1</v>
      </c>
      <c r="E448">
        <f>IF(COUNTIFS('United Data'!$A$3:$A$2150,E$1,'United Data'!$C$3:$C$2150,$A448,'United Data'!$B$3:$B$2150,"&lt;&gt;P")&gt;0,1,0)</f>
        <v>0</v>
      </c>
      <c r="F448">
        <f>IF(COUNTIFS('United Data'!$A$3:$A$2150,F$1,'United Data'!$C$3:$C$2150,$A448,'United Data'!$B$3:$B$2150,"&lt;&gt;P")&gt;0,1,0)</f>
        <v>0</v>
      </c>
      <c r="G448">
        <f>IF(COUNTIFS('United Data'!$A$3:$A$2150,G$1,'United Data'!$C$3:$C$2150,$A448,'United Data'!$B$3:$B$2150,"&lt;&gt;P")&gt;0,1,0)</f>
        <v>0</v>
      </c>
      <c r="H448">
        <f>IF(COUNTIFS('United Data'!$A$3:$A$2150,H$1,'United Data'!$C$3:$C$2150,$A448,'United Data'!$B$3:$B$2150,"&lt;&gt;P")&gt;0,1,0)</f>
        <v>0</v>
      </c>
      <c r="I448">
        <f>IF(COUNTIFS('United Data'!$A$3:$A$2150,I$1,'United Data'!$C$3:$C$2150,$A448,'United Data'!$B$3:$B$2150,"&lt;&gt;P")&gt;0,1,0)</f>
        <v>0</v>
      </c>
      <c r="J448">
        <f>IF(COUNTIFS('United Data'!$A$3:$A$2150,J$1,'United Data'!$C$3:$C$2150,$A448,'United Data'!$B$3:$B$2150,"&lt;&gt;P")&gt;0,1,0)</f>
        <v>0</v>
      </c>
      <c r="K448">
        <f>IF(COUNTIFS('United Data'!$A$3:$A$2150,K$1,'United Data'!$C$3:$C$2150,$A448,'United Data'!$B$3:$B$2150,"&lt;&gt;P")&gt;0,1,0)</f>
        <v>0</v>
      </c>
      <c r="L448">
        <f>IF(COUNTIFS('United Data'!$A$3:$A$2150,L$1,'United Data'!$C$3:$C$2150,$A448,'United Data'!$B$3:$B$2150,"&lt;&gt;P")&gt;0,1,0)</f>
        <v>0</v>
      </c>
      <c r="M448">
        <f>IF(COUNTIFS('United Data'!$A$3:$A$2150,M$1,'United Data'!$C$3:$C$2150,$A448,'United Data'!$B$3:$B$2150,"&lt;&gt;P")&gt;0,1,0)</f>
        <v>0</v>
      </c>
      <c r="N448">
        <f>IF(COUNTIFS('United Data'!$A$3:$A$2150,N$1,'United Data'!$C$3:$C$2150,$A448,'United Data'!$B$3:$B$2150,"&lt;&gt;P")&gt;0,1,0)</f>
        <v>0</v>
      </c>
      <c r="O448">
        <f>IF(COUNTIFS('United Data'!$A$3:$A$2150,O$1,'United Data'!$C$3:$C$2150,$A448,'United Data'!$B$3:$B$2150,"&lt;&gt;P")&gt;0,1,0)</f>
        <v>0</v>
      </c>
      <c r="P448">
        <f>IF(COUNTIFS('United Data'!$A$3:$A$2150,P$1,'United Data'!$C$3:$C$2150,$A448,'United Data'!$B$3:$B$2150,"&lt;&gt;P")&gt;0,1,0)</f>
        <v>0</v>
      </c>
      <c r="Q448">
        <f>IF(COUNTIFS('United Data'!$A$3:$A$2150,Q$1,'United Data'!$C$3:$C$2150,$A448,'United Data'!$B$3:$B$2150,"&lt;&gt;P")&gt;0,1,0)</f>
        <v>0</v>
      </c>
      <c r="R448">
        <f>IF(COUNTIFS('United Data'!$A$3:$A$2150,R$1,'United Data'!$C$3:$C$2150,$A448,'United Data'!$B$3:$B$2150,"&lt;&gt;P")&gt;0,1,0)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495</v>
      </c>
      <c r="B449">
        <f>IF(COUNTIFS('United Data'!$A$3:$A$2150,B$1,'United Data'!$C$3:$C$2150,$A449,'United Data'!$B$3:$B$2150,"&lt;&gt;P")&gt;0,1,0)</f>
        <v>0</v>
      </c>
      <c r="C449">
        <f>IF(COUNTIFS('United Data'!$A$3:$A$2150,C$1,'United Data'!$C$3:$C$2150,$A449,'United Data'!$B$3:$B$2150,"&lt;&gt;P")&gt;0,1,0)</f>
        <v>0</v>
      </c>
      <c r="D449">
        <f>IF(COUNTIFS('United Data'!$A$3:$A$2150,D$1,'United Data'!$C$3:$C$2150,$A449,'United Data'!$B$3:$B$2150,"&lt;&gt;P")&gt;0,1,0)</f>
        <v>1</v>
      </c>
      <c r="E449">
        <f>IF(COUNTIFS('United Data'!$A$3:$A$2150,E$1,'United Data'!$C$3:$C$2150,$A449,'United Data'!$B$3:$B$2150,"&lt;&gt;P")&gt;0,1,0)</f>
        <v>0</v>
      </c>
      <c r="F449">
        <f>IF(COUNTIFS('United Data'!$A$3:$A$2150,F$1,'United Data'!$C$3:$C$2150,$A449,'United Data'!$B$3:$B$2150,"&lt;&gt;P")&gt;0,1,0)</f>
        <v>0</v>
      </c>
      <c r="G449">
        <f>IF(COUNTIFS('United Data'!$A$3:$A$2150,G$1,'United Data'!$C$3:$C$2150,$A449,'United Data'!$B$3:$B$2150,"&lt;&gt;P")&gt;0,1,0)</f>
        <v>0</v>
      </c>
      <c r="H449">
        <f>IF(COUNTIFS('United Data'!$A$3:$A$2150,H$1,'United Data'!$C$3:$C$2150,$A449,'United Data'!$B$3:$B$2150,"&lt;&gt;P")&gt;0,1,0)</f>
        <v>0</v>
      </c>
      <c r="I449">
        <f>IF(COUNTIFS('United Data'!$A$3:$A$2150,I$1,'United Data'!$C$3:$C$2150,$A449,'United Data'!$B$3:$B$2150,"&lt;&gt;P")&gt;0,1,0)</f>
        <v>0</v>
      </c>
      <c r="J449">
        <f>IF(COUNTIFS('United Data'!$A$3:$A$2150,J$1,'United Data'!$C$3:$C$2150,$A449,'United Data'!$B$3:$B$2150,"&lt;&gt;P")&gt;0,1,0)</f>
        <v>0</v>
      </c>
      <c r="K449">
        <f>IF(COUNTIFS('United Data'!$A$3:$A$2150,K$1,'United Data'!$C$3:$C$2150,$A449,'United Data'!$B$3:$B$2150,"&lt;&gt;P")&gt;0,1,0)</f>
        <v>0</v>
      </c>
      <c r="L449">
        <f>IF(COUNTIFS('United Data'!$A$3:$A$2150,L$1,'United Data'!$C$3:$C$2150,$A449,'United Data'!$B$3:$B$2150,"&lt;&gt;P")&gt;0,1,0)</f>
        <v>0</v>
      </c>
      <c r="M449">
        <f>IF(COUNTIFS('United Data'!$A$3:$A$2150,M$1,'United Data'!$C$3:$C$2150,$A449,'United Data'!$B$3:$B$2150,"&lt;&gt;P")&gt;0,1,0)</f>
        <v>0</v>
      </c>
      <c r="N449">
        <f>IF(COUNTIFS('United Data'!$A$3:$A$2150,N$1,'United Data'!$C$3:$C$2150,$A449,'United Data'!$B$3:$B$2150,"&lt;&gt;P")&gt;0,1,0)</f>
        <v>0</v>
      </c>
      <c r="O449">
        <f>IF(COUNTIFS('United Data'!$A$3:$A$2150,O$1,'United Data'!$C$3:$C$2150,$A449,'United Data'!$B$3:$B$2150,"&lt;&gt;P")&gt;0,1,0)</f>
        <v>0</v>
      </c>
      <c r="P449">
        <f>IF(COUNTIFS('United Data'!$A$3:$A$2150,P$1,'United Data'!$C$3:$C$2150,$A449,'United Data'!$B$3:$B$2150,"&lt;&gt;P")&gt;0,1,0)</f>
        <v>0</v>
      </c>
      <c r="Q449">
        <f>IF(COUNTIFS('United Data'!$A$3:$A$2150,Q$1,'United Data'!$C$3:$C$2150,$A449,'United Data'!$B$3:$B$2150,"&lt;&gt;P")&gt;0,1,0)</f>
        <v>0</v>
      </c>
      <c r="R449">
        <f>IF(COUNTIFS('United Data'!$A$3:$A$2150,R$1,'United Data'!$C$3:$C$2150,$A449,'United Data'!$B$3:$B$2150,"&lt;&gt;P")&gt;0,1,0)</f>
        <v>0</v>
      </c>
      <c r="S449">
        <f t="shared" si="12"/>
        <v>1</v>
      </c>
      <c r="T449">
        <f t="shared" si="13"/>
        <v>1</v>
      </c>
    </row>
    <row r="450" spans="1:20" x14ac:dyDescent="0.2">
      <c r="A450" t="s">
        <v>496</v>
      </c>
      <c r="B450">
        <f>IF(COUNTIFS('United Data'!$A$3:$A$2150,B$1,'United Data'!$C$3:$C$2150,$A450,'United Data'!$B$3:$B$2150,"&lt;&gt;P")&gt;0,1,0)</f>
        <v>0</v>
      </c>
      <c r="C450">
        <f>IF(COUNTIFS('United Data'!$A$3:$A$2150,C$1,'United Data'!$C$3:$C$2150,$A450,'United Data'!$B$3:$B$2150,"&lt;&gt;P")&gt;0,1,0)</f>
        <v>0</v>
      </c>
      <c r="D450">
        <f>IF(COUNTIFS('United Data'!$A$3:$A$2150,D$1,'United Data'!$C$3:$C$2150,$A450,'United Data'!$B$3:$B$2150,"&lt;&gt;P")&gt;0,1,0)</f>
        <v>1</v>
      </c>
      <c r="E450">
        <f>IF(COUNTIFS('United Data'!$A$3:$A$2150,E$1,'United Data'!$C$3:$C$2150,$A450,'United Data'!$B$3:$B$2150,"&lt;&gt;P")&gt;0,1,0)</f>
        <v>1</v>
      </c>
      <c r="F450">
        <f>IF(COUNTIFS('United Data'!$A$3:$A$2150,F$1,'United Data'!$C$3:$C$2150,$A450,'United Data'!$B$3:$B$2150,"&lt;&gt;P")&gt;0,1,0)</f>
        <v>1</v>
      </c>
      <c r="G450">
        <f>IF(COUNTIFS('United Data'!$A$3:$A$2150,G$1,'United Data'!$C$3:$C$2150,$A450,'United Data'!$B$3:$B$2150,"&lt;&gt;P")&gt;0,1,0)</f>
        <v>1</v>
      </c>
      <c r="H450">
        <f>IF(COUNTIFS('United Data'!$A$3:$A$2150,H$1,'United Data'!$C$3:$C$2150,$A450,'United Data'!$B$3:$B$2150,"&lt;&gt;P")&gt;0,1,0)</f>
        <v>1</v>
      </c>
      <c r="I450">
        <f>IF(COUNTIFS('United Data'!$A$3:$A$2150,I$1,'United Data'!$C$3:$C$2150,$A450,'United Data'!$B$3:$B$2150,"&lt;&gt;P")&gt;0,1,0)</f>
        <v>1</v>
      </c>
      <c r="J450">
        <f>IF(COUNTIFS('United Data'!$A$3:$A$2150,J$1,'United Data'!$C$3:$C$2150,$A450,'United Data'!$B$3:$B$2150,"&lt;&gt;P")&gt;0,1,0)</f>
        <v>1</v>
      </c>
      <c r="K450">
        <f>IF(COUNTIFS('United Data'!$A$3:$A$2150,K$1,'United Data'!$C$3:$C$2150,$A450,'United Data'!$B$3:$B$2150,"&lt;&gt;P")&gt;0,1,0)</f>
        <v>1</v>
      </c>
      <c r="L450">
        <f>IF(COUNTIFS('United Data'!$A$3:$A$2150,L$1,'United Data'!$C$3:$C$2150,$A450,'United Data'!$B$3:$B$2150,"&lt;&gt;P")&gt;0,1,0)</f>
        <v>1</v>
      </c>
      <c r="M450">
        <f>IF(COUNTIFS('United Data'!$A$3:$A$2150,M$1,'United Data'!$C$3:$C$2150,$A450,'United Data'!$B$3:$B$2150,"&lt;&gt;P")&gt;0,1,0)</f>
        <v>0</v>
      </c>
      <c r="N450">
        <f>IF(COUNTIFS('United Data'!$A$3:$A$2150,N$1,'United Data'!$C$3:$C$2150,$A450,'United Data'!$B$3:$B$2150,"&lt;&gt;P")&gt;0,1,0)</f>
        <v>0</v>
      </c>
      <c r="O450">
        <f>IF(COUNTIFS('United Data'!$A$3:$A$2150,O$1,'United Data'!$C$3:$C$2150,$A450,'United Data'!$B$3:$B$2150,"&lt;&gt;P")&gt;0,1,0)</f>
        <v>0</v>
      </c>
      <c r="P450">
        <f>IF(COUNTIFS('United Data'!$A$3:$A$2150,P$1,'United Data'!$C$3:$C$2150,$A450,'United Data'!$B$3:$B$2150,"&lt;&gt;P")&gt;0,1,0)</f>
        <v>0</v>
      </c>
      <c r="Q450">
        <f>IF(COUNTIFS('United Data'!$A$3:$A$2150,Q$1,'United Data'!$C$3:$C$2150,$A450,'United Data'!$B$3:$B$2150,"&lt;&gt;P")&gt;0,1,0)</f>
        <v>0</v>
      </c>
      <c r="R450">
        <f>IF(COUNTIFS('United Data'!$A$3:$A$2150,R$1,'United Data'!$C$3:$C$2150,$A450,'United Data'!$B$3:$B$2150,"&lt;&gt;P")&gt;0,1,0)</f>
        <v>0</v>
      </c>
      <c r="S450">
        <f t="shared" ref="S450:S513" si="14">SUM(B450:R450)</f>
        <v>9</v>
      </c>
      <c r="T450">
        <f t="shared" ref="T450:T513" si="15">B450+SUMPRODUCT(--(C450:R450&gt;B450:Q450))</f>
        <v>1</v>
      </c>
    </row>
    <row r="451" spans="1:20" x14ac:dyDescent="0.2">
      <c r="A451" t="s">
        <v>497</v>
      </c>
      <c r="B451">
        <f>IF(COUNTIFS('United Data'!$A$3:$A$2150,B$1,'United Data'!$C$3:$C$2150,$A451,'United Data'!$B$3:$B$2150,"&lt;&gt;P")&gt;0,1,0)</f>
        <v>0</v>
      </c>
      <c r="C451">
        <f>IF(COUNTIFS('United Data'!$A$3:$A$2150,C$1,'United Data'!$C$3:$C$2150,$A451,'United Data'!$B$3:$B$2150,"&lt;&gt;P")&gt;0,1,0)</f>
        <v>0</v>
      </c>
      <c r="D451">
        <f>IF(COUNTIFS('United Data'!$A$3:$A$2150,D$1,'United Data'!$C$3:$C$2150,$A451,'United Data'!$B$3:$B$2150,"&lt;&gt;P")&gt;0,1,0)</f>
        <v>1</v>
      </c>
      <c r="E451">
        <f>IF(COUNTIFS('United Data'!$A$3:$A$2150,E$1,'United Data'!$C$3:$C$2150,$A451,'United Data'!$B$3:$B$2150,"&lt;&gt;P")&gt;0,1,0)</f>
        <v>1</v>
      </c>
      <c r="F451">
        <f>IF(COUNTIFS('United Data'!$A$3:$A$2150,F$1,'United Data'!$C$3:$C$2150,$A451,'United Data'!$B$3:$B$2150,"&lt;&gt;P")&gt;0,1,0)</f>
        <v>1</v>
      </c>
      <c r="G451">
        <f>IF(COUNTIFS('United Data'!$A$3:$A$2150,G$1,'United Data'!$C$3:$C$2150,$A451,'United Data'!$B$3:$B$2150,"&lt;&gt;P")&gt;0,1,0)</f>
        <v>0</v>
      </c>
      <c r="H451">
        <f>IF(COUNTIFS('United Data'!$A$3:$A$2150,H$1,'United Data'!$C$3:$C$2150,$A451,'United Data'!$B$3:$B$2150,"&lt;&gt;P")&gt;0,1,0)</f>
        <v>0</v>
      </c>
      <c r="I451">
        <f>IF(COUNTIFS('United Data'!$A$3:$A$2150,I$1,'United Data'!$C$3:$C$2150,$A451,'United Data'!$B$3:$B$2150,"&lt;&gt;P")&gt;0,1,0)</f>
        <v>0</v>
      </c>
      <c r="J451">
        <f>IF(COUNTIFS('United Data'!$A$3:$A$2150,J$1,'United Data'!$C$3:$C$2150,$A451,'United Data'!$B$3:$B$2150,"&lt;&gt;P")&gt;0,1,0)</f>
        <v>0</v>
      </c>
      <c r="K451">
        <f>IF(COUNTIFS('United Data'!$A$3:$A$2150,K$1,'United Data'!$C$3:$C$2150,$A451,'United Data'!$B$3:$B$2150,"&lt;&gt;P")&gt;0,1,0)</f>
        <v>0</v>
      </c>
      <c r="L451">
        <f>IF(COUNTIFS('United Data'!$A$3:$A$2150,L$1,'United Data'!$C$3:$C$2150,$A451,'United Data'!$B$3:$B$2150,"&lt;&gt;P")&gt;0,1,0)</f>
        <v>0</v>
      </c>
      <c r="M451">
        <f>IF(COUNTIFS('United Data'!$A$3:$A$2150,M$1,'United Data'!$C$3:$C$2150,$A451,'United Data'!$B$3:$B$2150,"&lt;&gt;P")&gt;0,1,0)</f>
        <v>0</v>
      </c>
      <c r="N451">
        <f>IF(COUNTIFS('United Data'!$A$3:$A$2150,N$1,'United Data'!$C$3:$C$2150,$A451,'United Data'!$B$3:$B$2150,"&lt;&gt;P")&gt;0,1,0)</f>
        <v>0</v>
      </c>
      <c r="O451">
        <f>IF(COUNTIFS('United Data'!$A$3:$A$2150,O$1,'United Data'!$C$3:$C$2150,$A451,'United Data'!$B$3:$B$2150,"&lt;&gt;P")&gt;0,1,0)</f>
        <v>0</v>
      </c>
      <c r="P451">
        <f>IF(COUNTIFS('United Data'!$A$3:$A$2150,P$1,'United Data'!$C$3:$C$2150,$A451,'United Data'!$B$3:$B$2150,"&lt;&gt;P")&gt;0,1,0)</f>
        <v>0</v>
      </c>
      <c r="Q451">
        <f>IF(COUNTIFS('United Data'!$A$3:$A$2150,Q$1,'United Data'!$C$3:$C$2150,$A451,'United Data'!$B$3:$B$2150,"&lt;&gt;P")&gt;0,1,0)</f>
        <v>0</v>
      </c>
      <c r="R451">
        <f>IF(COUNTIFS('United Data'!$A$3:$A$2150,R$1,'United Data'!$C$3:$C$2150,$A451,'United Data'!$B$3:$B$2150,"&lt;&gt;P")&gt;0,1,0)</f>
        <v>0</v>
      </c>
      <c r="S451">
        <f t="shared" si="14"/>
        <v>3</v>
      </c>
      <c r="T451">
        <f t="shared" si="15"/>
        <v>1</v>
      </c>
    </row>
    <row r="452" spans="1:20" x14ac:dyDescent="0.2">
      <c r="A452" t="s">
        <v>498</v>
      </c>
      <c r="B452">
        <f>IF(COUNTIFS('United Data'!$A$3:$A$2150,B$1,'United Data'!$C$3:$C$2150,$A452,'United Data'!$B$3:$B$2150,"&lt;&gt;P")&gt;0,1,0)</f>
        <v>0</v>
      </c>
      <c r="C452">
        <f>IF(COUNTIFS('United Data'!$A$3:$A$2150,C$1,'United Data'!$C$3:$C$2150,$A452,'United Data'!$B$3:$B$2150,"&lt;&gt;P")&gt;0,1,0)</f>
        <v>0</v>
      </c>
      <c r="D452">
        <f>IF(COUNTIFS('United Data'!$A$3:$A$2150,D$1,'United Data'!$C$3:$C$2150,$A452,'United Data'!$B$3:$B$2150,"&lt;&gt;P")&gt;0,1,0)</f>
        <v>1</v>
      </c>
      <c r="E452">
        <f>IF(COUNTIFS('United Data'!$A$3:$A$2150,E$1,'United Data'!$C$3:$C$2150,$A452,'United Data'!$B$3:$B$2150,"&lt;&gt;P")&gt;0,1,0)</f>
        <v>1</v>
      </c>
      <c r="F452">
        <f>IF(COUNTIFS('United Data'!$A$3:$A$2150,F$1,'United Data'!$C$3:$C$2150,$A452,'United Data'!$B$3:$B$2150,"&lt;&gt;P")&gt;0,1,0)</f>
        <v>1</v>
      </c>
      <c r="G452">
        <f>IF(COUNTIFS('United Data'!$A$3:$A$2150,G$1,'United Data'!$C$3:$C$2150,$A452,'United Data'!$B$3:$B$2150,"&lt;&gt;P")&gt;0,1,0)</f>
        <v>1</v>
      </c>
      <c r="H452">
        <f>IF(COUNTIFS('United Data'!$A$3:$A$2150,H$1,'United Data'!$C$3:$C$2150,$A452,'United Data'!$B$3:$B$2150,"&lt;&gt;P")&gt;0,1,0)</f>
        <v>1</v>
      </c>
      <c r="I452">
        <f>IF(COUNTIFS('United Data'!$A$3:$A$2150,I$1,'United Data'!$C$3:$C$2150,$A452,'United Data'!$B$3:$B$2150,"&lt;&gt;P")&gt;0,1,0)</f>
        <v>1</v>
      </c>
      <c r="J452">
        <f>IF(COUNTIFS('United Data'!$A$3:$A$2150,J$1,'United Data'!$C$3:$C$2150,$A452,'United Data'!$B$3:$B$2150,"&lt;&gt;P")&gt;0,1,0)</f>
        <v>0</v>
      </c>
      <c r="K452">
        <f>IF(COUNTIFS('United Data'!$A$3:$A$2150,K$1,'United Data'!$C$3:$C$2150,$A452,'United Data'!$B$3:$B$2150,"&lt;&gt;P")&gt;0,1,0)</f>
        <v>1</v>
      </c>
      <c r="L452">
        <f>IF(COUNTIFS('United Data'!$A$3:$A$2150,L$1,'United Data'!$C$3:$C$2150,$A452,'United Data'!$B$3:$B$2150,"&lt;&gt;P")&gt;0,1,0)</f>
        <v>1</v>
      </c>
      <c r="M452">
        <f>IF(COUNTIFS('United Data'!$A$3:$A$2150,M$1,'United Data'!$C$3:$C$2150,$A452,'United Data'!$B$3:$B$2150,"&lt;&gt;P")&gt;0,1,0)</f>
        <v>1</v>
      </c>
      <c r="N452">
        <f>IF(COUNTIFS('United Data'!$A$3:$A$2150,N$1,'United Data'!$C$3:$C$2150,$A452,'United Data'!$B$3:$B$2150,"&lt;&gt;P")&gt;0,1,0)</f>
        <v>1</v>
      </c>
      <c r="O452">
        <f>IF(COUNTIFS('United Data'!$A$3:$A$2150,O$1,'United Data'!$C$3:$C$2150,$A452,'United Data'!$B$3:$B$2150,"&lt;&gt;P")&gt;0,1,0)</f>
        <v>1</v>
      </c>
      <c r="P452">
        <f>IF(COUNTIFS('United Data'!$A$3:$A$2150,P$1,'United Data'!$C$3:$C$2150,$A452,'United Data'!$B$3:$B$2150,"&lt;&gt;P")&gt;0,1,0)</f>
        <v>1</v>
      </c>
      <c r="Q452">
        <f>IF(COUNTIFS('United Data'!$A$3:$A$2150,Q$1,'United Data'!$C$3:$C$2150,$A452,'United Data'!$B$3:$B$2150,"&lt;&gt;P")&gt;0,1,0)</f>
        <v>0</v>
      </c>
      <c r="R452">
        <f>IF(COUNTIFS('United Data'!$A$3:$A$2150,R$1,'United Data'!$C$3:$C$2150,$A452,'United Data'!$B$3:$B$2150,"&lt;&gt;P")&gt;0,1,0)</f>
        <v>0</v>
      </c>
      <c r="S452">
        <f t="shared" si="14"/>
        <v>12</v>
      </c>
      <c r="T452">
        <f t="shared" si="15"/>
        <v>2</v>
      </c>
    </row>
    <row r="453" spans="1:20" x14ac:dyDescent="0.2">
      <c r="A453" t="s">
        <v>499</v>
      </c>
      <c r="B453">
        <f>IF(COUNTIFS('United Data'!$A$3:$A$2150,B$1,'United Data'!$C$3:$C$2150,$A453,'United Data'!$B$3:$B$2150,"&lt;&gt;P")&gt;0,1,0)</f>
        <v>0</v>
      </c>
      <c r="C453">
        <f>IF(COUNTIFS('United Data'!$A$3:$A$2150,C$1,'United Data'!$C$3:$C$2150,$A453,'United Data'!$B$3:$B$2150,"&lt;&gt;P")&gt;0,1,0)</f>
        <v>0</v>
      </c>
      <c r="D453">
        <f>IF(COUNTIFS('United Data'!$A$3:$A$2150,D$1,'United Data'!$C$3:$C$2150,$A453,'United Data'!$B$3:$B$2150,"&lt;&gt;P")&gt;0,1,0)</f>
        <v>0</v>
      </c>
      <c r="E453">
        <f>IF(COUNTIFS('United Data'!$A$3:$A$2150,E$1,'United Data'!$C$3:$C$2150,$A453,'United Data'!$B$3:$B$2150,"&lt;&gt;P")&gt;0,1,0)</f>
        <v>1</v>
      </c>
      <c r="F453">
        <f>IF(COUNTIFS('United Data'!$A$3:$A$2150,F$1,'United Data'!$C$3:$C$2150,$A453,'United Data'!$B$3:$B$2150,"&lt;&gt;P")&gt;0,1,0)</f>
        <v>0</v>
      </c>
      <c r="G453">
        <f>IF(COUNTIFS('United Data'!$A$3:$A$2150,G$1,'United Data'!$C$3:$C$2150,$A453,'United Data'!$B$3:$B$2150,"&lt;&gt;P")&gt;0,1,0)</f>
        <v>1</v>
      </c>
      <c r="H453">
        <f>IF(COUNTIFS('United Data'!$A$3:$A$2150,H$1,'United Data'!$C$3:$C$2150,$A453,'United Data'!$B$3:$B$2150,"&lt;&gt;P")&gt;0,1,0)</f>
        <v>1</v>
      </c>
      <c r="I453">
        <f>IF(COUNTIFS('United Data'!$A$3:$A$2150,I$1,'United Data'!$C$3:$C$2150,$A453,'United Data'!$B$3:$B$2150,"&lt;&gt;P")&gt;0,1,0)</f>
        <v>1</v>
      </c>
      <c r="J453">
        <f>IF(COUNTIFS('United Data'!$A$3:$A$2150,J$1,'United Data'!$C$3:$C$2150,$A453,'United Data'!$B$3:$B$2150,"&lt;&gt;P")&gt;0,1,0)</f>
        <v>0</v>
      </c>
      <c r="K453">
        <f>IF(COUNTIFS('United Data'!$A$3:$A$2150,K$1,'United Data'!$C$3:$C$2150,$A453,'United Data'!$B$3:$B$2150,"&lt;&gt;P")&gt;0,1,0)</f>
        <v>1</v>
      </c>
      <c r="L453">
        <f>IF(COUNTIFS('United Data'!$A$3:$A$2150,L$1,'United Data'!$C$3:$C$2150,$A453,'United Data'!$B$3:$B$2150,"&lt;&gt;P")&gt;0,1,0)</f>
        <v>0</v>
      </c>
      <c r="M453">
        <f>IF(COUNTIFS('United Data'!$A$3:$A$2150,M$1,'United Data'!$C$3:$C$2150,$A453,'United Data'!$B$3:$B$2150,"&lt;&gt;P")&gt;0,1,0)</f>
        <v>1</v>
      </c>
      <c r="N453">
        <f>IF(COUNTIFS('United Data'!$A$3:$A$2150,N$1,'United Data'!$C$3:$C$2150,$A453,'United Data'!$B$3:$B$2150,"&lt;&gt;P")&gt;0,1,0)</f>
        <v>0</v>
      </c>
      <c r="O453">
        <f>IF(COUNTIFS('United Data'!$A$3:$A$2150,O$1,'United Data'!$C$3:$C$2150,$A453,'United Data'!$B$3:$B$2150,"&lt;&gt;P")&gt;0,1,0)</f>
        <v>0</v>
      </c>
      <c r="P453">
        <f>IF(COUNTIFS('United Data'!$A$3:$A$2150,P$1,'United Data'!$C$3:$C$2150,$A453,'United Data'!$B$3:$B$2150,"&lt;&gt;P")&gt;0,1,0)</f>
        <v>0</v>
      </c>
      <c r="Q453">
        <f>IF(COUNTIFS('United Data'!$A$3:$A$2150,Q$1,'United Data'!$C$3:$C$2150,$A453,'United Data'!$B$3:$B$2150,"&lt;&gt;P")&gt;0,1,0)</f>
        <v>0</v>
      </c>
      <c r="R453">
        <f>IF(COUNTIFS('United Data'!$A$3:$A$2150,R$1,'United Data'!$C$3:$C$2150,$A453,'United Data'!$B$3:$B$2150,"&lt;&gt;P")&gt;0,1,0)</f>
        <v>0</v>
      </c>
      <c r="S453">
        <f t="shared" si="14"/>
        <v>6</v>
      </c>
      <c r="T453">
        <f t="shared" si="15"/>
        <v>4</v>
      </c>
    </row>
    <row r="454" spans="1:20" x14ac:dyDescent="0.2">
      <c r="A454" t="s">
        <v>500</v>
      </c>
      <c r="B454">
        <f>IF(COUNTIFS('United Data'!$A$3:$A$2150,B$1,'United Data'!$C$3:$C$2150,$A454,'United Data'!$B$3:$B$2150,"&lt;&gt;P")&gt;0,1,0)</f>
        <v>0</v>
      </c>
      <c r="C454">
        <f>IF(COUNTIFS('United Data'!$A$3:$A$2150,C$1,'United Data'!$C$3:$C$2150,$A454,'United Data'!$B$3:$B$2150,"&lt;&gt;P")&gt;0,1,0)</f>
        <v>0</v>
      </c>
      <c r="D454">
        <f>IF(COUNTIFS('United Data'!$A$3:$A$2150,D$1,'United Data'!$C$3:$C$2150,$A454,'United Data'!$B$3:$B$2150,"&lt;&gt;P")&gt;0,1,0)</f>
        <v>0</v>
      </c>
      <c r="E454">
        <f>IF(COUNTIFS('United Data'!$A$3:$A$2150,E$1,'United Data'!$C$3:$C$2150,$A454,'United Data'!$B$3:$B$2150,"&lt;&gt;P")&gt;0,1,0)</f>
        <v>1</v>
      </c>
      <c r="F454">
        <f>IF(COUNTIFS('United Data'!$A$3:$A$2150,F$1,'United Data'!$C$3:$C$2150,$A454,'United Data'!$B$3:$B$2150,"&lt;&gt;P")&gt;0,1,0)</f>
        <v>1</v>
      </c>
      <c r="G454">
        <f>IF(COUNTIFS('United Data'!$A$3:$A$2150,G$1,'United Data'!$C$3:$C$2150,$A454,'United Data'!$B$3:$B$2150,"&lt;&gt;P")&gt;0,1,0)</f>
        <v>1</v>
      </c>
      <c r="H454">
        <f>IF(COUNTIFS('United Data'!$A$3:$A$2150,H$1,'United Data'!$C$3:$C$2150,$A454,'United Data'!$B$3:$B$2150,"&lt;&gt;P")&gt;0,1,0)</f>
        <v>0</v>
      </c>
      <c r="I454">
        <f>IF(COUNTIFS('United Data'!$A$3:$A$2150,I$1,'United Data'!$C$3:$C$2150,$A454,'United Data'!$B$3:$B$2150,"&lt;&gt;P")&gt;0,1,0)</f>
        <v>0</v>
      </c>
      <c r="J454">
        <f>IF(COUNTIFS('United Data'!$A$3:$A$2150,J$1,'United Data'!$C$3:$C$2150,$A454,'United Data'!$B$3:$B$2150,"&lt;&gt;P")&gt;0,1,0)</f>
        <v>1</v>
      </c>
      <c r="K454">
        <f>IF(COUNTIFS('United Data'!$A$3:$A$2150,K$1,'United Data'!$C$3:$C$2150,$A454,'United Data'!$B$3:$B$2150,"&lt;&gt;P")&gt;0,1,0)</f>
        <v>1</v>
      </c>
      <c r="L454">
        <f>IF(COUNTIFS('United Data'!$A$3:$A$2150,L$1,'United Data'!$C$3:$C$2150,$A454,'United Data'!$B$3:$B$2150,"&lt;&gt;P")&gt;0,1,0)</f>
        <v>1</v>
      </c>
      <c r="M454">
        <f>IF(COUNTIFS('United Data'!$A$3:$A$2150,M$1,'United Data'!$C$3:$C$2150,$A454,'United Data'!$B$3:$B$2150,"&lt;&gt;P")&gt;0,1,0)</f>
        <v>0</v>
      </c>
      <c r="N454">
        <f>IF(COUNTIFS('United Data'!$A$3:$A$2150,N$1,'United Data'!$C$3:$C$2150,$A454,'United Data'!$B$3:$B$2150,"&lt;&gt;P")&gt;0,1,0)</f>
        <v>1</v>
      </c>
      <c r="O454">
        <f>IF(COUNTIFS('United Data'!$A$3:$A$2150,O$1,'United Data'!$C$3:$C$2150,$A454,'United Data'!$B$3:$B$2150,"&lt;&gt;P")&gt;0,1,0)</f>
        <v>0</v>
      </c>
      <c r="P454">
        <f>IF(COUNTIFS('United Data'!$A$3:$A$2150,P$1,'United Data'!$C$3:$C$2150,$A454,'United Data'!$B$3:$B$2150,"&lt;&gt;P")&gt;0,1,0)</f>
        <v>0</v>
      </c>
      <c r="Q454">
        <f>IF(COUNTIFS('United Data'!$A$3:$A$2150,Q$1,'United Data'!$C$3:$C$2150,$A454,'United Data'!$B$3:$B$2150,"&lt;&gt;P")&gt;0,1,0)</f>
        <v>0</v>
      </c>
      <c r="R454">
        <f>IF(COUNTIFS('United Data'!$A$3:$A$2150,R$1,'United Data'!$C$3:$C$2150,$A454,'United Data'!$B$3:$B$2150,"&lt;&gt;P")&gt;0,1,0)</f>
        <v>0</v>
      </c>
      <c r="S454">
        <f t="shared" si="14"/>
        <v>7</v>
      </c>
      <c r="T454">
        <f t="shared" si="15"/>
        <v>3</v>
      </c>
    </row>
    <row r="455" spans="1:20" x14ac:dyDescent="0.2">
      <c r="A455" t="s">
        <v>501</v>
      </c>
      <c r="B455">
        <f>IF(COUNTIFS('United Data'!$A$3:$A$2150,B$1,'United Data'!$C$3:$C$2150,$A455,'United Data'!$B$3:$B$2150,"&lt;&gt;P")&gt;0,1,0)</f>
        <v>0</v>
      </c>
      <c r="C455">
        <f>IF(COUNTIFS('United Data'!$A$3:$A$2150,C$1,'United Data'!$C$3:$C$2150,$A455,'United Data'!$B$3:$B$2150,"&lt;&gt;P")&gt;0,1,0)</f>
        <v>0</v>
      </c>
      <c r="D455">
        <f>IF(COUNTIFS('United Data'!$A$3:$A$2150,D$1,'United Data'!$C$3:$C$2150,$A455,'United Data'!$B$3:$B$2150,"&lt;&gt;P")&gt;0,1,0)</f>
        <v>0</v>
      </c>
      <c r="E455">
        <f>IF(COUNTIFS('United Data'!$A$3:$A$2150,E$1,'United Data'!$C$3:$C$2150,$A455,'United Data'!$B$3:$B$2150,"&lt;&gt;P")&gt;0,1,0)</f>
        <v>1</v>
      </c>
      <c r="F455">
        <f>IF(COUNTIFS('United Data'!$A$3:$A$2150,F$1,'United Data'!$C$3:$C$2150,$A455,'United Data'!$B$3:$B$2150,"&lt;&gt;P")&gt;0,1,0)</f>
        <v>0</v>
      </c>
      <c r="G455">
        <f>IF(COUNTIFS('United Data'!$A$3:$A$2150,G$1,'United Data'!$C$3:$C$2150,$A455,'United Data'!$B$3:$B$2150,"&lt;&gt;P")&gt;0,1,0)</f>
        <v>0</v>
      </c>
      <c r="H455">
        <f>IF(COUNTIFS('United Data'!$A$3:$A$2150,H$1,'United Data'!$C$3:$C$2150,$A455,'United Data'!$B$3:$B$2150,"&lt;&gt;P")&gt;0,1,0)</f>
        <v>0</v>
      </c>
      <c r="I455">
        <f>IF(COUNTIFS('United Data'!$A$3:$A$2150,I$1,'United Data'!$C$3:$C$2150,$A455,'United Data'!$B$3:$B$2150,"&lt;&gt;P")&gt;0,1,0)</f>
        <v>0</v>
      </c>
      <c r="J455">
        <f>IF(COUNTIFS('United Data'!$A$3:$A$2150,J$1,'United Data'!$C$3:$C$2150,$A455,'United Data'!$B$3:$B$2150,"&lt;&gt;P")&gt;0,1,0)</f>
        <v>0</v>
      </c>
      <c r="K455">
        <f>IF(COUNTIFS('United Data'!$A$3:$A$2150,K$1,'United Data'!$C$3:$C$2150,$A455,'United Data'!$B$3:$B$2150,"&lt;&gt;P")&gt;0,1,0)</f>
        <v>0</v>
      </c>
      <c r="L455">
        <f>IF(COUNTIFS('United Data'!$A$3:$A$2150,L$1,'United Data'!$C$3:$C$2150,$A455,'United Data'!$B$3:$B$2150,"&lt;&gt;P")&gt;0,1,0)</f>
        <v>0</v>
      </c>
      <c r="M455">
        <f>IF(COUNTIFS('United Data'!$A$3:$A$2150,M$1,'United Data'!$C$3:$C$2150,$A455,'United Data'!$B$3:$B$2150,"&lt;&gt;P")&gt;0,1,0)</f>
        <v>0</v>
      </c>
      <c r="N455">
        <f>IF(COUNTIFS('United Data'!$A$3:$A$2150,N$1,'United Data'!$C$3:$C$2150,$A455,'United Data'!$B$3:$B$2150,"&lt;&gt;P")&gt;0,1,0)</f>
        <v>0</v>
      </c>
      <c r="O455">
        <f>IF(COUNTIFS('United Data'!$A$3:$A$2150,O$1,'United Data'!$C$3:$C$2150,$A455,'United Data'!$B$3:$B$2150,"&lt;&gt;P")&gt;0,1,0)</f>
        <v>0</v>
      </c>
      <c r="P455">
        <f>IF(COUNTIFS('United Data'!$A$3:$A$2150,P$1,'United Data'!$C$3:$C$2150,$A455,'United Data'!$B$3:$B$2150,"&lt;&gt;P")&gt;0,1,0)</f>
        <v>0</v>
      </c>
      <c r="Q455">
        <f>IF(COUNTIFS('United Data'!$A$3:$A$2150,Q$1,'United Data'!$C$3:$C$2150,$A455,'United Data'!$B$3:$B$2150,"&lt;&gt;P")&gt;0,1,0)</f>
        <v>0</v>
      </c>
      <c r="R455">
        <f>IF(COUNTIFS('United Data'!$A$3:$A$2150,R$1,'United Data'!$C$3:$C$2150,$A455,'United Data'!$B$3:$B$2150,"&lt;&gt;P")&gt;0,1,0)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502</v>
      </c>
      <c r="B456">
        <f>IF(COUNTIFS('United Data'!$A$3:$A$2150,B$1,'United Data'!$C$3:$C$2150,$A456,'United Data'!$B$3:$B$2150,"&lt;&gt;P")&gt;0,1,0)</f>
        <v>0</v>
      </c>
      <c r="C456">
        <f>IF(COUNTIFS('United Data'!$A$3:$A$2150,C$1,'United Data'!$C$3:$C$2150,$A456,'United Data'!$B$3:$B$2150,"&lt;&gt;P")&gt;0,1,0)</f>
        <v>0</v>
      </c>
      <c r="D456">
        <f>IF(COUNTIFS('United Data'!$A$3:$A$2150,D$1,'United Data'!$C$3:$C$2150,$A456,'United Data'!$B$3:$B$2150,"&lt;&gt;P")&gt;0,1,0)</f>
        <v>0</v>
      </c>
      <c r="E456">
        <f>IF(COUNTIFS('United Data'!$A$3:$A$2150,E$1,'United Data'!$C$3:$C$2150,$A456,'United Data'!$B$3:$B$2150,"&lt;&gt;P")&gt;0,1,0)</f>
        <v>1</v>
      </c>
      <c r="F456">
        <f>IF(COUNTIFS('United Data'!$A$3:$A$2150,F$1,'United Data'!$C$3:$C$2150,$A456,'United Data'!$B$3:$B$2150,"&lt;&gt;P")&gt;0,1,0)</f>
        <v>0</v>
      </c>
      <c r="G456">
        <f>IF(COUNTIFS('United Data'!$A$3:$A$2150,G$1,'United Data'!$C$3:$C$2150,$A456,'United Data'!$B$3:$B$2150,"&lt;&gt;P")&gt;0,1,0)</f>
        <v>0</v>
      </c>
      <c r="H456">
        <f>IF(COUNTIFS('United Data'!$A$3:$A$2150,H$1,'United Data'!$C$3:$C$2150,$A456,'United Data'!$B$3:$B$2150,"&lt;&gt;P")&gt;0,1,0)</f>
        <v>0</v>
      </c>
      <c r="I456">
        <f>IF(COUNTIFS('United Data'!$A$3:$A$2150,I$1,'United Data'!$C$3:$C$2150,$A456,'United Data'!$B$3:$B$2150,"&lt;&gt;P")&gt;0,1,0)</f>
        <v>0</v>
      </c>
      <c r="J456">
        <f>IF(COUNTIFS('United Data'!$A$3:$A$2150,J$1,'United Data'!$C$3:$C$2150,$A456,'United Data'!$B$3:$B$2150,"&lt;&gt;P")&gt;0,1,0)</f>
        <v>0</v>
      </c>
      <c r="K456">
        <f>IF(COUNTIFS('United Data'!$A$3:$A$2150,K$1,'United Data'!$C$3:$C$2150,$A456,'United Data'!$B$3:$B$2150,"&lt;&gt;P")&gt;0,1,0)</f>
        <v>0</v>
      </c>
      <c r="L456">
        <f>IF(COUNTIFS('United Data'!$A$3:$A$2150,L$1,'United Data'!$C$3:$C$2150,$A456,'United Data'!$B$3:$B$2150,"&lt;&gt;P")&gt;0,1,0)</f>
        <v>0</v>
      </c>
      <c r="M456">
        <f>IF(COUNTIFS('United Data'!$A$3:$A$2150,M$1,'United Data'!$C$3:$C$2150,$A456,'United Data'!$B$3:$B$2150,"&lt;&gt;P")&gt;0,1,0)</f>
        <v>0</v>
      </c>
      <c r="N456">
        <f>IF(COUNTIFS('United Data'!$A$3:$A$2150,N$1,'United Data'!$C$3:$C$2150,$A456,'United Data'!$B$3:$B$2150,"&lt;&gt;P")&gt;0,1,0)</f>
        <v>0</v>
      </c>
      <c r="O456">
        <f>IF(COUNTIFS('United Data'!$A$3:$A$2150,O$1,'United Data'!$C$3:$C$2150,$A456,'United Data'!$B$3:$B$2150,"&lt;&gt;P")&gt;0,1,0)</f>
        <v>0</v>
      </c>
      <c r="P456">
        <f>IF(COUNTIFS('United Data'!$A$3:$A$2150,P$1,'United Data'!$C$3:$C$2150,$A456,'United Data'!$B$3:$B$2150,"&lt;&gt;P")&gt;0,1,0)</f>
        <v>0</v>
      </c>
      <c r="Q456">
        <f>IF(COUNTIFS('United Data'!$A$3:$A$2150,Q$1,'United Data'!$C$3:$C$2150,$A456,'United Data'!$B$3:$B$2150,"&lt;&gt;P")&gt;0,1,0)</f>
        <v>0</v>
      </c>
      <c r="R456">
        <f>IF(COUNTIFS('United Data'!$A$3:$A$2150,R$1,'United Data'!$C$3:$C$2150,$A456,'United Data'!$B$3:$B$2150,"&lt;&gt;P")&gt;0,1,0)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503</v>
      </c>
      <c r="B457">
        <f>IF(COUNTIFS('United Data'!$A$3:$A$2150,B$1,'United Data'!$C$3:$C$2150,$A457,'United Data'!$B$3:$B$2150,"&lt;&gt;P")&gt;0,1,0)</f>
        <v>0</v>
      </c>
      <c r="C457">
        <f>IF(COUNTIFS('United Data'!$A$3:$A$2150,C$1,'United Data'!$C$3:$C$2150,$A457,'United Data'!$B$3:$B$2150,"&lt;&gt;P")&gt;0,1,0)</f>
        <v>0</v>
      </c>
      <c r="D457">
        <f>IF(COUNTIFS('United Data'!$A$3:$A$2150,D$1,'United Data'!$C$3:$C$2150,$A457,'United Data'!$B$3:$B$2150,"&lt;&gt;P")&gt;0,1,0)</f>
        <v>0</v>
      </c>
      <c r="E457">
        <f>IF(COUNTIFS('United Data'!$A$3:$A$2150,E$1,'United Data'!$C$3:$C$2150,$A457,'United Data'!$B$3:$B$2150,"&lt;&gt;P")&gt;0,1,0)</f>
        <v>1</v>
      </c>
      <c r="F457">
        <f>IF(COUNTIFS('United Data'!$A$3:$A$2150,F$1,'United Data'!$C$3:$C$2150,$A457,'United Data'!$B$3:$B$2150,"&lt;&gt;P")&gt;0,1,0)</f>
        <v>1</v>
      </c>
      <c r="G457">
        <f>IF(COUNTIFS('United Data'!$A$3:$A$2150,G$1,'United Data'!$C$3:$C$2150,$A457,'United Data'!$B$3:$B$2150,"&lt;&gt;P")&gt;0,1,0)</f>
        <v>0</v>
      </c>
      <c r="H457">
        <f>IF(COUNTIFS('United Data'!$A$3:$A$2150,H$1,'United Data'!$C$3:$C$2150,$A457,'United Data'!$B$3:$B$2150,"&lt;&gt;P")&gt;0,1,0)</f>
        <v>0</v>
      </c>
      <c r="I457">
        <f>IF(COUNTIFS('United Data'!$A$3:$A$2150,I$1,'United Data'!$C$3:$C$2150,$A457,'United Data'!$B$3:$B$2150,"&lt;&gt;P")&gt;0,1,0)</f>
        <v>0</v>
      </c>
      <c r="J457">
        <f>IF(COUNTIFS('United Data'!$A$3:$A$2150,J$1,'United Data'!$C$3:$C$2150,$A457,'United Data'!$B$3:$B$2150,"&lt;&gt;P")&gt;0,1,0)</f>
        <v>0</v>
      </c>
      <c r="K457">
        <f>IF(COUNTIFS('United Data'!$A$3:$A$2150,K$1,'United Data'!$C$3:$C$2150,$A457,'United Data'!$B$3:$B$2150,"&lt;&gt;P")&gt;0,1,0)</f>
        <v>0</v>
      </c>
      <c r="L457">
        <f>IF(COUNTIFS('United Data'!$A$3:$A$2150,L$1,'United Data'!$C$3:$C$2150,$A457,'United Data'!$B$3:$B$2150,"&lt;&gt;P")&gt;0,1,0)</f>
        <v>0</v>
      </c>
      <c r="M457">
        <f>IF(COUNTIFS('United Data'!$A$3:$A$2150,M$1,'United Data'!$C$3:$C$2150,$A457,'United Data'!$B$3:$B$2150,"&lt;&gt;P")&gt;0,1,0)</f>
        <v>0</v>
      </c>
      <c r="N457">
        <f>IF(COUNTIFS('United Data'!$A$3:$A$2150,N$1,'United Data'!$C$3:$C$2150,$A457,'United Data'!$B$3:$B$2150,"&lt;&gt;P")&gt;0,1,0)</f>
        <v>0</v>
      </c>
      <c r="O457">
        <f>IF(COUNTIFS('United Data'!$A$3:$A$2150,O$1,'United Data'!$C$3:$C$2150,$A457,'United Data'!$B$3:$B$2150,"&lt;&gt;P")&gt;0,1,0)</f>
        <v>0</v>
      </c>
      <c r="P457">
        <f>IF(COUNTIFS('United Data'!$A$3:$A$2150,P$1,'United Data'!$C$3:$C$2150,$A457,'United Data'!$B$3:$B$2150,"&lt;&gt;P")&gt;0,1,0)</f>
        <v>0</v>
      </c>
      <c r="Q457">
        <f>IF(COUNTIFS('United Data'!$A$3:$A$2150,Q$1,'United Data'!$C$3:$C$2150,$A457,'United Data'!$B$3:$B$2150,"&lt;&gt;P")&gt;0,1,0)</f>
        <v>0</v>
      </c>
      <c r="R457">
        <f>IF(COUNTIFS('United Data'!$A$3:$A$2150,R$1,'United Data'!$C$3:$C$2150,$A457,'United Data'!$B$3:$B$2150,"&lt;&gt;P")&gt;0,1,0)</f>
        <v>0</v>
      </c>
      <c r="S457">
        <f t="shared" si="14"/>
        <v>2</v>
      </c>
      <c r="T457">
        <f t="shared" si="15"/>
        <v>1</v>
      </c>
    </row>
    <row r="458" spans="1:20" x14ac:dyDescent="0.2">
      <c r="A458" t="s">
        <v>504</v>
      </c>
      <c r="B458">
        <f>IF(COUNTIFS('United Data'!$A$3:$A$2150,B$1,'United Data'!$C$3:$C$2150,$A458,'United Data'!$B$3:$B$2150,"&lt;&gt;P")&gt;0,1,0)</f>
        <v>0</v>
      </c>
      <c r="C458">
        <f>IF(COUNTIFS('United Data'!$A$3:$A$2150,C$1,'United Data'!$C$3:$C$2150,$A458,'United Data'!$B$3:$B$2150,"&lt;&gt;P")&gt;0,1,0)</f>
        <v>0</v>
      </c>
      <c r="D458">
        <f>IF(COUNTIFS('United Data'!$A$3:$A$2150,D$1,'United Data'!$C$3:$C$2150,$A458,'United Data'!$B$3:$B$2150,"&lt;&gt;P")&gt;0,1,0)</f>
        <v>0</v>
      </c>
      <c r="E458">
        <f>IF(COUNTIFS('United Data'!$A$3:$A$2150,E$1,'United Data'!$C$3:$C$2150,$A458,'United Data'!$B$3:$B$2150,"&lt;&gt;P")&gt;0,1,0)</f>
        <v>1</v>
      </c>
      <c r="F458">
        <f>IF(COUNTIFS('United Data'!$A$3:$A$2150,F$1,'United Data'!$C$3:$C$2150,$A458,'United Data'!$B$3:$B$2150,"&lt;&gt;P")&gt;0,1,0)</f>
        <v>1</v>
      </c>
      <c r="G458">
        <f>IF(COUNTIFS('United Data'!$A$3:$A$2150,G$1,'United Data'!$C$3:$C$2150,$A458,'United Data'!$B$3:$B$2150,"&lt;&gt;P")&gt;0,1,0)</f>
        <v>1</v>
      </c>
      <c r="H458">
        <f>IF(COUNTIFS('United Data'!$A$3:$A$2150,H$1,'United Data'!$C$3:$C$2150,$A458,'United Data'!$B$3:$B$2150,"&lt;&gt;P")&gt;0,1,0)</f>
        <v>1</v>
      </c>
      <c r="I458">
        <f>IF(COUNTIFS('United Data'!$A$3:$A$2150,I$1,'United Data'!$C$3:$C$2150,$A458,'United Data'!$B$3:$B$2150,"&lt;&gt;P")&gt;0,1,0)</f>
        <v>1</v>
      </c>
      <c r="J458">
        <f>IF(COUNTIFS('United Data'!$A$3:$A$2150,J$1,'United Data'!$C$3:$C$2150,$A458,'United Data'!$B$3:$B$2150,"&lt;&gt;P")&gt;0,1,0)</f>
        <v>1</v>
      </c>
      <c r="K458">
        <f>IF(COUNTIFS('United Data'!$A$3:$A$2150,K$1,'United Data'!$C$3:$C$2150,$A458,'United Data'!$B$3:$B$2150,"&lt;&gt;P")&gt;0,1,0)</f>
        <v>1</v>
      </c>
      <c r="L458">
        <f>IF(COUNTIFS('United Data'!$A$3:$A$2150,L$1,'United Data'!$C$3:$C$2150,$A458,'United Data'!$B$3:$B$2150,"&lt;&gt;P")&gt;0,1,0)</f>
        <v>1</v>
      </c>
      <c r="M458">
        <f>IF(COUNTIFS('United Data'!$A$3:$A$2150,M$1,'United Data'!$C$3:$C$2150,$A458,'United Data'!$B$3:$B$2150,"&lt;&gt;P")&gt;0,1,0)</f>
        <v>1</v>
      </c>
      <c r="N458">
        <f>IF(COUNTIFS('United Data'!$A$3:$A$2150,N$1,'United Data'!$C$3:$C$2150,$A458,'United Data'!$B$3:$B$2150,"&lt;&gt;P")&gt;0,1,0)</f>
        <v>1</v>
      </c>
      <c r="O458">
        <f>IF(COUNTIFS('United Data'!$A$3:$A$2150,O$1,'United Data'!$C$3:$C$2150,$A458,'United Data'!$B$3:$B$2150,"&lt;&gt;P")&gt;0,1,0)</f>
        <v>1</v>
      </c>
      <c r="P458">
        <f>IF(COUNTIFS('United Data'!$A$3:$A$2150,P$1,'United Data'!$C$3:$C$2150,$A458,'United Data'!$B$3:$B$2150,"&lt;&gt;P")&gt;0,1,0)</f>
        <v>1</v>
      </c>
      <c r="Q458">
        <f>IF(COUNTIFS('United Data'!$A$3:$A$2150,Q$1,'United Data'!$C$3:$C$2150,$A458,'United Data'!$B$3:$B$2150,"&lt;&gt;P")&gt;0,1,0)</f>
        <v>0</v>
      </c>
      <c r="R458">
        <f>IF(COUNTIFS('United Data'!$A$3:$A$2150,R$1,'United Data'!$C$3:$C$2150,$A458,'United Data'!$B$3:$B$2150,"&lt;&gt;P")&gt;0,1,0)</f>
        <v>0</v>
      </c>
      <c r="S458">
        <f t="shared" si="14"/>
        <v>12</v>
      </c>
      <c r="T458">
        <f t="shared" si="15"/>
        <v>1</v>
      </c>
    </row>
    <row r="459" spans="1:20" x14ac:dyDescent="0.2">
      <c r="A459" t="s">
        <v>505</v>
      </c>
      <c r="B459">
        <f>IF(COUNTIFS('United Data'!$A$3:$A$2150,B$1,'United Data'!$C$3:$C$2150,$A459,'United Data'!$B$3:$B$2150,"&lt;&gt;P")&gt;0,1,0)</f>
        <v>0</v>
      </c>
      <c r="C459">
        <f>IF(COUNTIFS('United Data'!$A$3:$A$2150,C$1,'United Data'!$C$3:$C$2150,$A459,'United Data'!$B$3:$B$2150,"&lt;&gt;P")&gt;0,1,0)</f>
        <v>0</v>
      </c>
      <c r="D459">
        <f>IF(COUNTIFS('United Data'!$A$3:$A$2150,D$1,'United Data'!$C$3:$C$2150,$A459,'United Data'!$B$3:$B$2150,"&lt;&gt;P")&gt;0,1,0)</f>
        <v>0</v>
      </c>
      <c r="E459">
        <f>IF(COUNTIFS('United Data'!$A$3:$A$2150,E$1,'United Data'!$C$3:$C$2150,$A459,'United Data'!$B$3:$B$2150,"&lt;&gt;P")&gt;0,1,0)</f>
        <v>1</v>
      </c>
      <c r="F459">
        <f>IF(COUNTIFS('United Data'!$A$3:$A$2150,F$1,'United Data'!$C$3:$C$2150,$A459,'United Data'!$B$3:$B$2150,"&lt;&gt;P")&gt;0,1,0)</f>
        <v>0</v>
      </c>
      <c r="G459">
        <f>IF(COUNTIFS('United Data'!$A$3:$A$2150,G$1,'United Data'!$C$3:$C$2150,$A459,'United Data'!$B$3:$B$2150,"&lt;&gt;P")&gt;0,1,0)</f>
        <v>0</v>
      </c>
      <c r="H459">
        <f>IF(COUNTIFS('United Data'!$A$3:$A$2150,H$1,'United Data'!$C$3:$C$2150,$A459,'United Data'!$B$3:$B$2150,"&lt;&gt;P")&gt;0,1,0)</f>
        <v>0</v>
      </c>
      <c r="I459">
        <f>IF(COUNTIFS('United Data'!$A$3:$A$2150,I$1,'United Data'!$C$3:$C$2150,$A459,'United Data'!$B$3:$B$2150,"&lt;&gt;P")&gt;0,1,0)</f>
        <v>0</v>
      </c>
      <c r="J459">
        <f>IF(COUNTIFS('United Data'!$A$3:$A$2150,J$1,'United Data'!$C$3:$C$2150,$A459,'United Data'!$B$3:$B$2150,"&lt;&gt;P")&gt;0,1,0)</f>
        <v>0</v>
      </c>
      <c r="K459">
        <f>IF(COUNTIFS('United Data'!$A$3:$A$2150,K$1,'United Data'!$C$3:$C$2150,$A459,'United Data'!$B$3:$B$2150,"&lt;&gt;P")&gt;0,1,0)</f>
        <v>0</v>
      </c>
      <c r="L459">
        <f>IF(COUNTIFS('United Data'!$A$3:$A$2150,L$1,'United Data'!$C$3:$C$2150,$A459,'United Data'!$B$3:$B$2150,"&lt;&gt;P")&gt;0,1,0)</f>
        <v>0</v>
      </c>
      <c r="M459">
        <f>IF(COUNTIFS('United Data'!$A$3:$A$2150,M$1,'United Data'!$C$3:$C$2150,$A459,'United Data'!$B$3:$B$2150,"&lt;&gt;P")&gt;0,1,0)</f>
        <v>0</v>
      </c>
      <c r="N459">
        <f>IF(COUNTIFS('United Data'!$A$3:$A$2150,N$1,'United Data'!$C$3:$C$2150,$A459,'United Data'!$B$3:$B$2150,"&lt;&gt;P")&gt;0,1,0)</f>
        <v>0</v>
      </c>
      <c r="O459">
        <f>IF(COUNTIFS('United Data'!$A$3:$A$2150,O$1,'United Data'!$C$3:$C$2150,$A459,'United Data'!$B$3:$B$2150,"&lt;&gt;P")&gt;0,1,0)</f>
        <v>0</v>
      </c>
      <c r="P459">
        <f>IF(COUNTIFS('United Data'!$A$3:$A$2150,P$1,'United Data'!$C$3:$C$2150,$A459,'United Data'!$B$3:$B$2150,"&lt;&gt;P")&gt;0,1,0)</f>
        <v>0</v>
      </c>
      <c r="Q459">
        <f>IF(COUNTIFS('United Data'!$A$3:$A$2150,Q$1,'United Data'!$C$3:$C$2150,$A459,'United Data'!$B$3:$B$2150,"&lt;&gt;P")&gt;0,1,0)</f>
        <v>0</v>
      </c>
      <c r="R459">
        <f>IF(COUNTIFS('United Data'!$A$3:$A$2150,R$1,'United Data'!$C$3:$C$2150,$A459,'United Data'!$B$3:$B$2150,"&lt;&gt;P")&gt;0,1,0)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506</v>
      </c>
      <c r="B460">
        <f>IF(COUNTIFS('United Data'!$A$3:$A$2150,B$1,'United Data'!$C$3:$C$2150,$A460,'United Data'!$B$3:$B$2150,"&lt;&gt;P")&gt;0,1,0)</f>
        <v>0</v>
      </c>
      <c r="C460">
        <f>IF(COUNTIFS('United Data'!$A$3:$A$2150,C$1,'United Data'!$C$3:$C$2150,$A460,'United Data'!$B$3:$B$2150,"&lt;&gt;P")&gt;0,1,0)</f>
        <v>0</v>
      </c>
      <c r="D460">
        <f>IF(COUNTIFS('United Data'!$A$3:$A$2150,D$1,'United Data'!$C$3:$C$2150,$A460,'United Data'!$B$3:$B$2150,"&lt;&gt;P")&gt;0,1,0)</f>
        <v>0</v>
      </c>
      <c r="E460">
        <f>IF(COUNTIFS('United Data'!$A$3:$A$2150,E$1,'United Data'!$C$3:$C$2150,$A460,'United Data'!$B$3:$B$2150,"&lt;&gt;P")&gt;0,1,0)</f>
        <v>1</v>
      </c>
      <c r="F460">
        <f>IF(COUNTIFS('United Data'!$A$3:$A$2150,F$1,'United Data'!$C$3:$C$2150,$A460,'United Data'!$B$3:$B$2150,"&lt;&gt;P")&gt;0,1,0)</f>
        <v>1</v>
      </c>
      <c r="G460">
        <f>IF(COUNTIFS('United Data'!$A$3:$A$2150,G$1,'United Data'!$C$3:$C$2150,$A460,'United Data'!$B$3:$B$2150,"&lt;&gt;P")&gt;0,1,0)</f>
        <v>0</v>
      </c>
      <c r="H460">
        <f>IF(COUNTIFS('United Data'!$A$3:$A$2150,H$1,'United Data'!$C$3:$C$2150,$A460,'United Data'!$B$3:$B$2150,"&lt;&gt;P")&gt;0,1,0)</f>
        <v>0</v>
      </c>
      <c r="I460">
        <f>IF(COUNTIFS('United Data'!$A$3:$A$2150,I$1,'United Data'!$C$3:$C$2150,$A460,'United Data'!$B$3:$B$2150,"&lt;&gt;P")&gt;0,1,0)</f>
        <v>0</v>
      </c>
      <c r="J460">
        <f>IF(COUNTIFS('United Data'!$A$3:$A$2150,J$1,'United Data'!$C$3:$C$2150,$A460,'United Data'!$B$3:$B$2150,"&lt;&gt;P")&gt;0,1,0)</f>
        <v>0</v>
      </c>
      <c r="K460">
        <f>IF(COUNTIFS('United Data'!$A$3:$A$2150,K$1,'United Data'!$C$3:$C$2150,$A460,'United Data'!$B$3:$B$2150,"&lt;&gt;P")&gt;0,1,0)</f>
        <v>0</v>
      </c>
      <c r="L460">
        <f>IF(COUNTIFS('United Data'!$A$3:$A$2150,L$1,'United Data'!$C$3:$C$2150,$A460,'United Data'!$B$3:$B$2150,"&lt;&gt;P")&gt;0,1,0)</f>
        <v>0</v>
      </c>
      <c r="M460">
        <f>IF(COUNTIFS('United Data'!$A$3:$A$2150,M$1,'United Data'!$C$3:$C$2150,$A460,'United Data'!$B$3:$B$2150,"&lt;&gt;P")&gt;0,1,0)</f>
        <v>0</v>
      </c>
      <c r="N460">
        <f>IF(COUNTIFS('United Data'!$A$3:$A$2150,N$1,'United Data'!$C$3:$C$2150,$A460,'United Data'!$B$3:$B$2150,"&lt;&gt;P")&gt;0,1,0)</f>
        <v>0</v>
      </c>
      <c r="O460">
        <f>IF(COUNTIFS('United Data'!$A$3:$A$2150,O$1,'United Data'!$C$3:$C$2150,$A460,'United Data'!$B$3:$B$2150,"&lt;&gt;P")&gt;0,1,0)</f>
        <v>0</v>
      </c>
      <c r="P460">
        <f>IF(COUNTIFS('United Data'!$A$3:$A$2150,P$1,'United Data'!$C$3:$C$2150,$A460,'United Data'!$B$3:$B$2150,"&lt;&gt;P")&gt;0,1,0)</f>
        <v>0</v>
      </c>
      <c r="Q460">
        <f>IF(COUNTIFS('United Data'!$A$3:$A$2150,Q$1,'United Data'!$C$3:$C$2150,$A460,'United Data'!$B$3:$B$2150,"&lt;&gt;P")&gt;0,1,0)</f>
        <v>0</v>
      </c>
      <c r="R460">
        <f>IF(COUNTIFS('United Data'!$A$3:$A$2150,R$1,'United Data'!$C$3:$C$2150,$A460,'United Data'!$B$3:$B$2150,"&lt;&gt;P")&gt;0,1,0)</f>
        <v>0</v>
      </c>
      <c r="S460">
        <f t="shared" si="14"/>
        <v>2</v>
      </c>
      <c r="T460">
        <f t="shared" si="15"/>
        <v>1</v>
      </c>
    </row>
    <row r="461" spans="1:20" x14ac:dyDescent="0.2">
      <c r="A461" t="s">
        <v>507</v>
      </c>
      <c r="B461">
        <f>IF(COUNTIFS('United Data'!$A$3:$A$2150,B$1,'United Data'!$C$3:$C$2150,$A461,'United Data'!$B$3:$B$2150,"&lt;&gt;P")&gt;0,1,0)</f>
        <v>0</v>
      </c>
      <c r="C461">
        <f>IF(COUNTIFS('United Data'!$A$3:$A$2150,C$1,'United Data'!$C$3:$C$2150,$A461,'United Data'!$B$3:$B$2150,"&lt;&gt;P")&gt;0,1,0)</f>
        <v>0</v>
      </c>
      <c r="D461">
        <f>IF(COUNTIFS('United Data'!$A$3:$A$2150,D$1,'United Data'!$C$3:$C$2150,$A461,'United Data'!$B$3:$B$2150,"&lt;&gt;P")&gt;0,1,0)</f>
        <v>0</v>
      </c>
      <c r="E461">
        <f>IF(COUNTIFS('United Data'!$A$3:$A$2150,E$1,'United Data'!$C$3:$C$2150,$A461,'United Data'!$B$3:$B$2150,"&lt;&gt;P")&gt;0,1,0)</f>
        <v>1</v>
      </c>
      <c r="F461">
        <f>IF(COUNTIFS('United Data'!$A$3:$A$2150,F$1,'United Data'!$C$3:$C$2150,$A461,'United Data'!$B$3:$B$2150,"&lt;&gt;P")&gt;0,1,0)</f>
        <v>1</v>
      </c>
      <c r="G461">
        <f>IF(COUNTIFS('United Data'!$A$3:$A$2150,G$1,'United Data'!$C$3:$C$2150,$A461,'United Data'!$B$3:$B$2150,"&lt;&gt;P")&gt;0,1,0)</f>
        <v>0</v>
      </c>
      <c r="H461">
        <f>IF(COUNTIFS('United Data'!$A$3:$A$2150,H$1,'United Data'!$C$3:$C$2150,$A461,'United Data'!$B$3:$B$2150,"&lt;&gt;P")&gt;0,1,0)</f>
        <v>0</v>
      </c>
      <c r="I461">
        <f>IF(COUNTIFS('United Data'!$A$3:$A$2150,I$1,'United Data'!$C$3:$C$2150,$A461,'United Data'!$B$3:$B$2150,"&lt;&gt;P")&gt;0,1,0)</f>
        <v>0</v>
      </c>
      <c r="J461">
        <f>IF(COUNTIFS('United Data'!$A$3:$A$2150,J$1,'United Data'!$C$3:$C$2150,$A461,'United Data'!$B$3:$B$2150,"&lt;&gt;P")&gt;0,1,0)</f>
        <v>0</v>
      </c>
      <c r="K461">
        <f>IF(COUNTIFS('United Data'!$A$3:$A$2150,K$1,'United Data'!$C$3:$C$2150,$A461,'United Data'!$B$3:$B$2150,"&lt;&gt;P")&gt;0,1,0)</f>
        <v>0</v>
      </c>
      <c r="L461">
        <f>IF(COUNTIFS('United Data'!$A$3:$A$2150,L$1,'United Data'!$C$3:$C$2150,$A461,'United Data'!$B$3:$B$2150,"&lt;&gt;P")&gt;0,1,0)</f>
        <v>0</v>
      </c>
      <c r="M461">
        <f>IF(COUNTIFS('United Data'!$A$3:$A$2150,M$1,'United Data'!$C$3:$C$2150,$A461,'United Data'!$B$3:$B$2150,"&lt;&gt;P")&gt;0,1,0)</f>
        <v>0</v>
      </c>
      <c r="N461">
        <f>IF(COUNTIFS('United Data'!$A$3:$A$2150,N$1,'United Data'!$C$3:$C$2150,$A461,'United Data'!$B$3:$B$2150,"&lt;&gt;P")&gt;0,1,0)</f>
        <v>0</v>
      </c>
      <c r="O461">
        <f>IF(COUNTIFS('United Data'!$A$3:$A$2150,O$1,'United Data'!$C$3:$C$2150,$A461,'United Data'!$B$3:$B$2150,"&lt;&gt;P")&gt;0,1,0)</f>
        <v>0</v>
      </c>
      <c r="P461">
        <f>IF(COUNTIFS('United Data'!$A$3:$A$2150,P$1,'United Data'!$C$3:$C$2150,$A461,'United Data'!$B$3:$B$2150,"&lt;&gt;P")&gt;0,1,0)</f>
        <v>0</v>
      </c>
      <c r="Q461">
        <f>IF(COUNTIFS('United Data'!$A$3:$A$2150,Q$1,'United Data'!$C$3:$C$2150,$A461,'United Data'!$B$3:$B$2150,"&lt;&gt;P")&gt;0,1,0)</f>
        <v>0</v>
      </c>
      <c r="R461">
        <f>IF(COUNTIFS('United Data'!$A$3:$A$2150,R$1,'United Data'!$C$3:$C$2150,$A461,'United Data'!$B$3:$B$2150,"&lt;&gt;P")&gt;0,1,0)</f>
        <v>0</v>
      </c>
      <c r="S461">
        <f t="shared" si="14"/>
        <v>2</v>
      </c>
      <c r="T461">
        <f t="shared" si="15"/>
        <v>1</v>
      </c>
    </row>
    <row r="462" spans="1:20" x14ac:dyDescent="0.2">
      <c r="A462" t="s">
        <v>508</v>
      </c>
      <c r="B462">
        <f>IF(COUNTIFS('United Data'!$A$3:$A$2150,B$1,'United Data'!$C$3:$C$2150,$A462,'United Data'!$B$3:$B$2150,"&lt;&gt;P")&gt;0,1,0)</f>
        <v>0</v>
      </c>
      <c r="C462">
        <f>IF(COUNTIFS('United Data'!$A$3:$A$2150,C$1,'United Data'!$C$3:$C$2150,$A462,'United Data'!$B$3:$B$2150,"&lt;&gt;P")&gt;0,1,0)</f>
        <v>0</v>
      </c>
      <c r="D462">
        <f>IF(COUNTIFS('United Data'!$A$3:$A$2150,D$1,'United Data'!$C$3:$C$2150,$A462,'United Data'!$B$3:$B$2150,"&lt;&gt;P")&gt;0,1,0)</f>
        <v>0</v>
      </c>
      <c r="E462">
        <f>IF(COUNTIFS('United Data'!$A$3:$A$2150,E$1,'United Data'!$C$3:$C$2150,$A462,'United Data'!$B$3:$B$2150,"&lt;&gt;P")&gt;0,1,0)</f>
        <v>1</v>
      </c>
      <c r="F462">
        <f>IF(COUNTIFS('United Data'!$A$3:$A$2150,F$1,'United Data'!$C$3:$C$2150,$A462,'United Data'!$B$3:$B$2150,"&lt;&gt;P")&gt;0,1,0)</f>
        <v>1</v>
      </c>
      <c r="G462">
        <f>IF(COUNTIFS('United Data'!$A$3:$A$2150,G$1,'United Data'!$C$3:$C$2150,$A462,'United Data'!$B$3:$B$2150,"&lt;&gt;P")&gt;0,1,0)</f>
        <v>1</v>
      </c>
      <c r="H462">
        <f>IF(COUNTIFS('United Data'!$A$3:$A$2150,H$1,'United Data'!$C$3:$C$2150,$A462,'United Data'!$B$3:$B$2150,"&lt;&gt;P")&gt;0,1,0)</f>
        <v>0</v>
      </c>
      <c r="I462">
        <f>IF(COUNTIFS('United Data'!$A$3:$A$2150,I$1,'United Data'!$C$3:$C$2150,$A462,'United Data'!$B$3:$B$2150,"&lt;&gt;P")&gt;0,1,0)</f>
        <v>0</v>
      </c>
      <c r="J462">
        <f>IF(COUNTIFS('United Data'!$A$3:$A$2150,J$1,'United Data'!$C$3:$C$2150,$A462,'United Data'!$B$3:$B$2150,"&lt;&gt;P")&gt;0,1,0)</f>
        <v>0</v>
      </c>
      <c r="K462">
        <f>IF(COUNTIFS('United Data'!$A$3:$A$2150,K$1,'United Data'!$C$3:$C$2150,$A462,'United Data'!$B$3:$B$2150,"&lt;&gt;P")&gt;0,1,0)</f>
        <v>0</v>
      </c>
      <c r="L462">
        <f>IF(COUNTIFS('United Data'!$A$3:$A$2150,L$1,'United Data'!$C$3:$C$2150,$A462,'United Data'!$B$3:$B$2150,"&lt;&gt;P")&gt;0,1,0)</f>
        <v>0</v>
      </c>
      <c r="M462">
        <f>IF(COUNTIFS('United Data'!$A$3:$A$2150,M$1,'United Data'!$C$3:$C$2150,$A462,'United Data'!$B$3:$B$2150,"&lt;&gt;P")&gt;0,1,0)</f>
        <v>0</v>
      </c>
      <c r="N462">
        <f>IF(COUNTIFS('United Data'!$A$3:$A$2150,N$1,'United Data'!$C$3:$C$2150,$A462,'United Data'!$B$3:$B$2150,"&lt;&gt;P")&gt;0,1,0)</f>
        <v>0</v>
      </c>
      <c r="O462">
        <f>IF(COUNTIFS('United Data'!$A$3:$A$2150,O$1,'United Data'!$C$3:$C$2150,$A462,'United Data'!$B$3:$B$2150,"&lt;&gt;P")&gt;0,1,0)</f>
        <v>0</v>
      </c>
      <c r="P462">
        <f>IF(COUNTIFS('United Data'!$A$3:$A$2150,P$1,'United Data'!$C$3:$C$2150,$A462,'United Data'!$B$3:$B$2150,"&lt;&gt;P")&gt;0,1,0)</f>
        <v>0</v>
      </c>
      <c r="Q462">
        <f>IF(COUNTIFS('United Data'!$A$3:$A$2150,Q$1,'United Data'!$C$3:$C$2150,$A462,'United Data'!$B$3:$B$2150,"&lt;&gt;P")&gt;0,1,0)</f>
        <v>0</v>
      </c>
      <c r="R462">
        <f>IF(COUNTIFS('United Data'!$A$3:$A$2150,R$1,'United Data'!$C$3:$C$2150,$A462,'United Data'!$B$3:$B$2150,"&lt;&gt;P")&gt;0,1,0)</f>
        <v>0</v>
      </c>
      <c r="S462">
        <f t="shared" si="14"/>
        <v>3</v>
      </c>
      <c r="T462">
        <f t="shared" si="15"/>
        <v>1</v>
      </c>
    </row>
    <row r="463" spans="1:20" x14ac:dyDescent="0.2">
      <c r="A463" t="s">
        <v>509</v>
      </c>
      <c r="B463">
        <f>IF(COUNTIFS('United Data'!$A$3:$A$2150,B$1,'United Data'!$C$3:$C$2150,$A463,'United Data'!$B$3:$B$2150,"&lt;&gt;P")&gt;0,1,0)</f>
        <v>0</v>
      </c>
      <c r="C463">
        <f>IF(COUNTIFS('United Data'!$A$3:$A$2150,C$1,'United Data'!$C$3:$C$2150,$A463,'United Data'!$B$3:$B$2150,"&lt;&gt;P")&gt;0,1,0)</f>
        <v>0</v>
      </c>
      <c r="D463">
        <f>IF(COUNTIFS('United Data'!$A$3:$A$2150,D$1,'United Data'!$C$3:$C$2150,$A463,'United Data'!$B$3:$B$2150,"&lt;&gt;P")&gt;0,1,0)</f>
        <v>0</v>
      </c>
      <c r="E463">
        <f>IF(COUNTIFS('United Data'!$A$3:$A$2150,E$1,'United Data'!$C$3:$C$2150,$A463,'United Data'!$B$3:$B$2150,"&lt;&gt;P")&gt;0,1,0)</f>
        <v>1</v>
      </c>
      <c r="F463">
        <f>IF(COUNTIFS('United Data'!$A$3:$A$2150,F$1,'United Data'!$C$3:$C$2150,$A463,'United Data'!$B$3:$B$2150,"&lt;&gt;P")&gt;0,1,0)</f>
        <v>0</v>
      </c>
      <c r="G463">
        <f>IF(COUNTIFS('United Data'!$A$3:$A$2150,G$1,'United Data'!$C$3:$C$2150,$A463,'United Data'!$B$3:$B$2150,"&lt;&gt;P")&gt;0,1,0)</f>
        <v>0</v>
      </c>
      <c r="H463">
        <f>IF(COUNTIFS('United Data'!$A$3:$A$2150,H$1,'United Data'!$C$3:$C$2150,$A463,'United Data'!$B$3:$B$2150,"&lt;&gt;P")&gt;0,1,0)</f>
        <v>0</v>
      </c>
      <c r="I463">
        <f>IF(COUNTIFS('United Data'!$A$3:$A$2150,I$1,'United Data'!$C$3:$C$2150,$A463,'United Data'!$B$3:$B$2150,"&lt;&gt;P")&gt;0,1,0)</f>
        <v>0</v>
      </c>
      <c r="J463">
        <f>IF(COUNTIFS('United Data'!$A$3:$A$2150,J$1,'United Data'!$C$3:$C$2150,$A463,'United Data'!$B$3:$B$2150,"&lt;&gt;P")&gt;0,1,0)</f>
        <v>0</v>
      </c>
      <c r="K463">
        <f>IF(COUNTIFS('United Data'!$A$3:$A$2150,K$1,'United Data'!$C$3:$C$2150,$A463,'United Data'!$B$3:$B$2150,"&lt;&gt;P")&gt;0,1,0)</f>
        <v>0</v>
      </c>
      <c r="L463">
        <f>IF(COUNTIFS('United Data'!$A$3:$A$2150,L$1,'United Data'!$C$3:$C$2150,$A463,'United Data'!$B$3:$B$2150,"&lt;&gt;P")&gt;0,1,0)</f>
        <v>0</v>
      </c>
      <c r="M463">
        <f>IF(COUNTIFS('United Data'!$A$3:$A$2150,M$1,'United Data'!$C$3:$C$2150,$A463,'United Data'!$B$3:$B$2150,"&lt;&gt;P")&gt;0,1,0)</f>
        <v>0</v>
      </c>
      <c r="N463">
        <f>IF(COUNTIFS('United Data'!$A$3:$A$2150,N$1,'United Data'!$C$3:$C$2150,$A463,'United Data'!$B$3:$B$2150,"&lt;&gt;P")&gt;0,1,0)</f>
        <v>0</v>
      </c>
      <c r="O463">
        <f>IF(COUNTIFS('United Data'!$A$3:$A$2150,O$1,'United Data'!$C$3:$C$2150,$A463,'United Data'!$B$3:$B$2150,"&lt;&gt;P")&gt;0,1,0)</f>
        <v>0</v>
      </c>
      <c r="P463">
        <f>IF(COUNTIFS('United Data'!$A$3:$A$2150,P$1,'United Data'!$C$3:$C$2150,$A463,'United Data'!$B$3:$B$2150,"&lt;&gt;P")&gt;0,1,0)</f>
        <v>0</v>
      </c>
      <c r="Q463">
        <f>IF(COUNTIFS('United Data'!$A$3:$A$2150,Q$1,'United Data'!$C$3:$C$2150,$A463,'United Data'!$B$3:$B$2150,"&lt;&gt;P")&gt;0,1,0)</f>
        <v>0</v>
      </c>
      <c r="R463">
        <f>IF(COUNTIFS('United Data'!$A$3:$A$2150,R$1,'United Data'!$C$3:$C$2150,$A463,'United Data'!$B$3:$B$2150,"&lt;&gt;P")&gt;0,1,0)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510</v>
      </c>
      <c r="B464">
        <f>IF(COUNTIFS('United Data'!$A$3:$A$2150,B$1,'United Data'!$C$3:$C$2150,$A464,'United Data'!$B$3:$B$2150,"&lt;&gt;P")&gt;0,1,0)</f>
        <v>0</v>
      </c>
      <c r="C464">
        <f>IF(COUNTIFS('United Data'!$A$3:$A$2150,C$1,'United Data'!$C$3:$C$2150,$A464,'United Data'!$B$3:$B$2150,"&lt;&gt;P")&gt;0,1,0)</f>
        <v>0</v>
      </c>
      <c r="D464">
        <f>IF(COUNTIFS('United Data'!$A$3:$A$2150,D$1,'United Data'!$C$3:$C$2150,$A464,'United Data'!$B$3:$B$2150,"&lt;&gt;P")&gt;0,1,0)</f>
        <v>0</v>
      </c>
      <c r="E464">
        <f>IF(COUNTIFS('United Data'!$A$3:$A$2150,E$1,'United Data'!$C$3:$C$2150,$A464,'United Data'!$B$3:$B$2150,"&lt;&gt;P")&gt;0,1,0)</f>
        <v>0</v>
      </c>
      <c r="F464">
        <f>IF(COUNTIFS('United Data'!$A$3:$A$2150,F$1,'United Data'!$C$3:$C$2150,$A464,'United Data'!$B$3:$B$2150,"&lt;&gt;P")&gt;0,1,0)</f>
        <v>1</v>
      </c>
      <c r="G464">
        <f>IF(COUNTIFS('United Data'!$A$3:$A$2150,G$1,'United Data'!$C$3:$C$2150,$A464,'United Data'!$B$3:$B$2150,"&lt;&gt;P")&gt;0,1,0)</f>
        <v>0</v>
      </c>
      <c r="H464">
        <f>IF(COUNTIFS('United Data'!$A$3:$A$2150,H$1,'United Data'!$C$3:$C$2150,$A464,'United Data'!$B$3:$B$2150,"&lt;&gt;P")&gt;0,1,0)</f>
        <v>0</v>
      </c>
      <c r="I464">
        <f>IF(COUNTIFS('United Data'!$A$3:$A$2150,I$1,'United Data'!$C$3:$C$2150,$A464,'United Data'!$B$3:$B$2150,"&lt;&gt;P")&gt;0,1,0)</f>
        <v>0</v>
      </c>
      <c r="J464">
        <f>IF(COUNTIFS('United Data'!$A$3:$A$2150,J$1,'United Data'!$C$3:$C$2150,$A464,'United Data'!$B$3:$B$2150,"&lt;&gt;P")&gt;0,1,0)</f>
        <v>0</v>
      </c>
      <c r="K464">
        <f>IF(COUNTIFS('United Data'!$A$3:$A$2150,K$1,'United Data'!$C$3:$C$2150,$A464,'United Data'!$B$3:$B$2150,"&lt;&gt;P")&gt;0,1,0)</f>
        <v>0</v>
      </c>
      <c r="L464">
        <f>IF(COUNTIFS('United Data'!$A$3:$A$2150,L$1,'United Data'!$C$3:$C$2150,$A464,'United Data'!$B$3:$B$2150,"&lt;&gt;P")&gt;0,1,0)</f>
        <v>0</v>
      </c>
      <c r="M464">
        <f>IF(COUNTIFS('United Data'!$A$3:$A$2150,M$1,'United Data'!$C$3:$C$2150,$A464,'United Data'!$B$3:$B$2150,"&lt;&gt;P")&gt;0,1,0)</f>
        <v>0</v>
      </c>
      <c r="N464">
        <f>IF(COUNTIFS('United Data'!$A$3:$A$2150,N$1,'United Data'!$C$3:$C$2150,$A464,'United Data'!$B$3:$B$2150,"&lt;&gt;P")&gt;0,1,0)</f>
        <v>0</v>
      </c>
      <c r="O464">
        <f>IF(COUNTIFS('United Data'!$A$3:$A$2150,O$1,'United Data'!$C$3:$C$2150,$A464,'United Data'!$B$3:$B$2150,"&lt;&gt;P")&gt;0,1,0)</f>
        <v>0</v>
      </c>
      <c r="P464">
        <f>IF(COUNTIFS('United Data'!$A$3:$A$2150,P$1,'United Data'!$C$3:$C$2150,$A464,'United Data'!$B$3:$B$2150,"&lt;&gt;P")&gt;0,1,0)</f>
        <v>0</v>
      </c>
      <c r="Q464">
        <f>IF(COUNTIFS('United Data'!$A$3:$A$2150,Q$1,'United Data'!$C$3:$C$2150,$A464,'United Data'!$B$3:$B$2150,"&lt;&gt;P")&gt;0,1,0)</f>
        <v>0</v>
      </c>
      <c r="R464">
        <f>IF(COUNTIFS('United Data'!$A$3:$A$2150,R$1,'United Data'!$C$3:$C$2150,$A464,'United Data'!$B$3:$B$2150,"&lt;&gt;P")&gt;0,1,0)</f>
        <v>0</v>
      </c>
      <c r="S464">
        <f t="shared" si="14"/>
        <v>1</v>
      </c>
      <c r="T464">
        <f t="shared" si="15"/>
        <v>1</v>
      </c>
    </row>
    <row r="465" spans="1:20" x14ac:dyDescent="0.2">
      <c r="A465" t="s">
        <v>511</v>
      </c>
      <c r="B465">
        <f>IF(COUNTIFS('United Data'!$A$3:$A$2150,B$1,'United Data'!$C$3:$C$2150,$A465,'United Data'!$B$3:$B$2150,"&lt;&gt;P")&gt;0,1,0)</f>
        <v>0</v>
      </c>
      <c r="C465">
        <f>IF(COUNTIFS('United Data'!$A$3:$A$2150,C$1,'United Data'!$C$3:$C$2150,$A465,'United Data'!$B$3:$B$2150,"&lt;&gt;P")&gt;0,1,0)</f>
        <v>0</v>
      </c>
      <c r="D465">
        <f>IF(COUNTIFS('United Data'!$A$3:$A$2150,D$1,'United Data'!$C$3:$C$2150,$A465,'United Data'!$B$3:$B$2150,"&lt;&gt;P")&gt;0,1,0)</f>
        <v>0</v>
      </c>
      <c r="E465">
        <f>IF(COUNTIFS('United Data'!$A$3:$A$2150,E$1,'United Data'!$C$3:$C$2150,$A465,'United Data'!$B$3:$B$2150,"&lt;&gt;P")&gt;0,1,0)</f>
        <v>0</v>
      </c>
      <c r="F465">
        <f>IF(COUNTIFS('United Data'!$A$3:$A$2150,F$1,'United Data'!$C$3:$C$2150,$A465,'United Data'!$B$3:$B$2150,"&lt;&gt;P")&gt;0,1,0)</f>
        <v>1</v>
      </c>
      <c r="G465">
        <f>IF(COUNTIFS('United Data'!$A$3:$A$2150,G$1,'United Data'!$C$3:$C$2150,$A465,'United Data'!$B$3:$B$2150,"&lt;&gt;P")&gt;0,1,0)</f>
        <v>0</v>
      </c>
      <c r="H465">
        <f>IF(COUNTIFS('United Data'!$A$3:$A$2150,H$1,'United Data'!$C$3:$C$2150,$A465,'United Data'!$B$3:$B$2150,"&lt;&gt;P")&gt;0,1,0)</f>
        <v>0</v>
      </c>
      <c r="I465">
        <f>IF(COUNTIFS('United Data'!$A$3:$A$2150,I$1,'United Data'!$C$3:$C$2150,$A465,'United Data'!$B$3:$B$2150,"&lt;&gt;P")&gt;0,1,0)</f>
        <v>0</v>
      </c>
      <c r="J465">
        <f>IF(COUNTIFS('United Data'!$A$3:$A$2150,J$1,'United Data'!$C$3:$C$2150,$A465,'United Data'!$B$3:$B$2150,"&lt;&gt;P")&gt;0,1,0)</f>
        <v>0</v>
      </c>
      <c r="K465">
        <f>IF(COUNTIFS('United Data'!$A$3:$A$2150,K$1,'United Data'!$C$3:$C$2150,$A465,'United Data'!$B$3:$B$2150,"&lt;&gt;P")&gt;0,1,0)</f>
        <v>0</v>
      </c>
      <c r="L465">
        <f>IF(COUNTIFS('United Data'!$A$3:$A$2150,L$1,'United Data'!$C$3:$C$2150,$A465,'United Data'!$B$3:$B$2150,"&lt;&gt;P")&gt;0,1,0)</f>
        <v>0</v>
      </c>
      <c r="M465">
        <f>IF(COUNTIFS('United Data'!$A$3:$A$2150,M$1,'United Data'!$C$3:$C$2150,$A465,'United Data'!$B$3:$B$2150,"&lt;&gt;P")&gt;0,1,0)</f>
        <v>0</v>
      </c>
      <c r="N465">
        <f>IF(COUNTIFS('United Data'!$A$3:$A$2150,N$1,'United Data'!$C$3:$C$2150,$A465,'United Data'!$B$3:$B$2150,"&lt;&gt;P")&gt;0,1,0)</f>
        <v>0</v>
      </c>
      <c r="O465">
        <f>IF(COUNTIFS('United Data'!$A$3:$A$2150,O$1,'United Data'!$C$3:$C$2150,$A465,'United Data'!$B$3:$B$2150,"&lt;&gt;P")&gt;0,1,0)</f>
        <v>0</v>
      </c>
      <c r="P465">
        <f>IF(COUNTIFS('United Data'!$A$3:$A$2150,P$1,'United Data'!$C$3:$C$2150,$A465,'United Data'!$B$3:$B$2150,"&lt;&gt;P")&gt;0,1,0)</f>
        <v>0</v>
      </c>
      <c r="Q465">
        <f>IF(COUNTIFS('United Data'!$A$3:$A$2150,Q$1,'United Data'!$C$3:$C$2150,$A465,'United Data'!$B$3:$B$2150,"&lt;&gt;P")&gt;0,1,0)</f>
        <v>0</v>
      </c>
      <c r="R465">
        <f>IF(COUNTIFS('United Data'!$A$3:$A$2150,R$1,'United Data'!$C$3:$C$2150,$A465,'United Data'!$B$3:$B$2150,"&lt;&gt;P")&gt;0,1,0)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512</v>
      </c>
      <c r="B466">
        <f>IF(COUNTIFS('United Data'!$A$3:$A$2150,B$1,'United Data'!$C$3:$C$2150,$A466,'United Data'!$B$3:$B$2150,"&lt;&gt;P")&gt;0,1,0)</f>
        <v>0</v>
      </c>
      <c r="C466">
        <f>IF(COUNTIFS('United Data'!$A$3:$A$2150,C$1,'United Data'!$C$3:$C$2150,$A466,'United Data'!$B$3:$B$2150,"&lt;&gt;P")&gt;0,1,0)</f>
        <v>0</v>
      </c>
      <c r="D466">
        <f>IF(COUNTIFS('United Data'!$A$3:$A$2150,D$1,'United Data'!$C$3:$C$2150,$A466,'United Data'!$B$3:$B$2150,"&lt;&gt;P")&gt;0,1,0)</f>
        <v>0</v>
      </c>
      <c r="E466">
        <f>IF(COUNTIFS('United Data'!$A$3:$A$2150,E$1,'United Data'!$C$3:$C$2150,$A466,'United Data'!$B$3:$B$2150,"&lt;&gt;P")&gt;0,1,0)</f>
        <v>0</v>
      </c>
      <c r="F466">
        <f>IF(COUNTIFS('United Data'!$A$3:$A$2150,F$1,'United Data'!$C$3:$C$2150,$A466,'United Data'!$B$3:$B$2150,"&lt;&gt;P")&gt;0,1,0)</f>
        <v>1</v>
      </c>
      <c r="G466">
        <f>IF(COUNTIFS('United Data'!$A$3:$A$2150,G$1,'United Data'!$C$3:$C$2150,$A466,'United Data'!$B$3:$B$2150,"&lt;&gt;P")&gt;0,1,0)</f>
        <v>0</v>
      </c>
      <c r="H466">
        <f>IF(COUNTIFS('United Data'!$A$3:$A$2150,H$1,'United Data'!$C$3:$C$2150,$A466,'United Data'!$B$3:$B$2150,"&lt;&gt;P")&gt;0,1,0)</f>
        <v>0</v>
      </c>
      <c r="I466">
        <f>IF(COUNTIFS('United Data'!$A$3:$A$2150,I$1,'United Data'!$C$3:$C$2150,$A466,'United Data'!$B$3:$B$2150,"&lt;&gt;P")&gt;0,1,0)</f>
        <v>0</v>
      </c>
      <c r="J466">
        <f>IF(COUNTIFS('United Data'!$A$3:$A$2150,J$1,'United Data'!$C$3:$C$2150,$A466,'United Data'!$B$3:$B$2150,"&lt;&gt;P")&gt;0,1,0)</f>
        <v>0</v>
      </c>
      <c r="K466">
        <f>IF(COUNTIFS('United Data'!$A$3:$A$2150,K$1,'United Data'!$C$3:$C$2150,$A466,'United Data'!$B$3:$B$2150,"&lt;&gt;P")&gt;0,1,0)</f>
        <v>0</v>
      </c>
      <c r="L466">
        <f>IF(COUNTIFS('United Data'!$A$3:$A$2150,L$1,'United Data'!$C$3:$C$2150,$A466,'United Data'!$B$3:$B$2150,"&lt;&gt;P")&gt;0,1,0)</f>
        <v>0</v>
      </c>
      <c r="M466">
        <f>IF(COUNTIFS('United Data'!$A$3:$A$2150,M$1,'United Data'!$C$3:$C$2150,$A466,'United Data'!$B$3:$B$2150,"&lt;&gt;P")&gt;0,1,0)</f>
        <v>0</v>
      </c>
      <c r="N466">
        <f>IF(COUNTIFS('United Data'!$A$3:$A$2150,N$1,'United Data'!$C$3:$C$2150,$A466,'United Data'!$B$3:$B$2150,"&lt;&gt;P")&gt;0,1,0)</f>
        <v>0</v>
      </c>
      <c r="O466">
        <f>IF(COUNTIFS('United Data'!$A$3:$A$2150,O$1,'United Data'!$C$3:$C$2150,$A466,'United Data'!$B$3:$B$2150,"&lt;&gt;P")&gt;0,1,0)</f>
        <v>0</v>
      </c>
      <c r="P466">
        <f>IF(COUNTIFS('United Data'!$A$3:$A$2150,P$1,'United Data'!$C$3:$C$2150,$A466,'United Data'!$B$3:$B$2150,"&lt;&gt;P")&gt;0,1,0)</f>
        <v>0</v>
      </c>
      <c r="Q466">
        <f>IF(COUNTIFS('United Data'!$A$3:$A$2150,Q$1,'United Data'!$C$3:$C$2150,$A466,'United Data'!$B$3:$B$2150,"&lt;&gt;P")&gt;0,1,0)</f>
        <v>0</v>
      </c>
      <c r="R466">
        <f>IF(COUNTIFS('United Data'!$A$3:$A$2150,R$1,'United Data'!$C$3:$C$2150,$A466,'United Data'!$B$3:$B$2150,"&lt;&gt;P")&gt;0,1,0)</f>
        <v>0</v>
      </c>
      <c r="S466">
        <f t="shared" si="14"/>
        <v>1</v>
      </c>
      <c r="T466">
        <f t="shared" si="15"/>
        <v>1</v>
      </c>
    </row>
    <row r="467" spans="1:20" x14ac:dyDescent="0.2">
      <c r="A467" t="s">
        <v>513</v>
      </c>
      <c r="B467">
        <f>IF(COUNTIFS('United Data'!$A$3:$A$2150,B$1,'United Data'!$C$3:$C$2150,$A467,'United Data'!$B$3:$B$2150,"&lt;&gt;P")&gt;0,1,0)</f>
        <v>0</v>
      </c>
      <c r="C467">
        <f>IF(COUNTIFS('United Data'!$A$3:$A$2150,C$1,'United Data'!$C$3:$C$2150,$A467,'United Data'!$B$3:$B$2150,"&lt;&gt;P")&gt;0,1,0)</f>
        <v>0</v>
      </c>
      <c r="D467">
        <f>IF(COUNTIFS('United Data'!$A$3:$A$2150,D$1,'United Data'!$C$3:$C$2150,$A467,'United Data'!$B$3:$B$2150,"&lt;&gt;P")&gt;0,1,0)</f>
        <v>0</v>
      </c>
      <c r="E467">
        <f>IF(COUNTIFS('United Data'!$A$3:$A$2150,E$1,'United Data'!$C$3:$C$2150,$A467,'United Data'!$B$3:$B$2150,"&lt;&gt;P")&gt;0,1,0)</f>
        <v>0</v>
      </c>
      <c r="F467">
        <f>IF(COUNTIFS('United Data'!$A$3:$A$2150,F$1,'United Data'!$C$3:$C$2150,$A467,'United Data'!$B$3:$B$2150,"&lt;&gt;P")&gt;0,1,0)</f>
        <v>1</v>
      </c>
      <c r="G467">
        <f>IF(COUNTIFS('United Data'!$A$3:$A$2150,G$1,'United Data'!$C$3:$C$2150,$A467,'United Data'!$B$3:$B$2150,"&lt;&gt;P")&gt;0,1,0)</f>
        <v>0</v>
      </c>
      <c r="H467">
        <f>IF(COUNTIFS('United Data'!$A$3:$A$2150,H$1,'United Data'!$C$3:$C$2150,$A467,'United Data'!$B$3:$B$2150,"&lt;&gt;P")&gt;0,1,0)</f>
        <v>0</v>
      </c>
      <c r="I467">
        <f>IF(COUNTIFS('United Data'!$A$3:$A$2150,I$1,'United Data'!$C$3:$C$2150,$A467,'United Data'!$B$3:$B$2150,"&lt;&gt;P")&gt;0,1,0)</f>
        <v>0</v>
      </c>
      <c r="J467">
        <f>IF(COUNTIFS('United Data'!$A$3:$A$2150,J$1,'United Data'!$C$3:$C$2150,$A467,'United Data'!$B$3:$B$2150,"&lt;&gt;P")&gt;0,1,0)</f>
        <v>0</v>
      </c>
      <c r="K467">
        <f>IF(COUNTIFS('United Data'!$A$3:$A$2150,K$1,'United Data'!$C$3:$C$2150,$A467,'United Data'!$B$3:$B$2150,"&lt;&gt;P")&gt;0,1,0)</f>
        <v>0</v>
      </c>
      <c r="L467">
        <f>IF(COUNTIFS('United Data'!$A$3:$A$2150,L$1,'United Data'!$C$3:$C$2150,$A467,'United Data'!$B$3:$B$2150,"&lt;&gt;P")&gt;0,1,0)</f>
        <v>0</v>
      </c>
      <c r="M467">
        <f>IF(COUNTIFS('United Data'!$A$3:$A$2150,M$1,'United Data'!$C$3:$C$2150,$A467,'United Data'!$B$3:$B$2150,"&lt;&gt;P")&gt;0,1,0)</f>
        <v>0</v>
      </c>
      <c r="N467">
        <f>IF(COUNTIFS('United Data'!$A$3:$A$2150,N$1,'United Data'!$C$3:$C$2150,$A467,'United Data'!$B$3:$B$2150,"&lt;&gt;P")&gt;0,1,0)</f>
        <v>0</v>
      </c>
      <c r="O467">
        <f>IF(COUNTIFS('United Data'!$A$3:$A$2150,O$1,'United Data'!$C$3:$C$2150,$A467,'United Data'!$B$3:$B$2150,"&lt;&gt;P")&gt;0,1,0)</f>
        <v>0</v>
      </c>
      <c r="P467">
        <f>IF(COUNTIFS('United Data'!$A$3:$A$2150,P$1,'United Data'!$C$3:$C$2150,$A467,'United Data'!$B$3:$B$2150,"&lt;&gt;P")&gt;0,1,0)</f>
        <v>0</v>
      </c>
      <c r="Q467">
        <f>IF(COUNTIFS('United Data'!$A$3:$A$2150,Q$1,'United Data'!$C$3:$C$2150,$A467,'United Data'!$B$3:$B$2150,"&lt;&gt;P")&gt;0,1,0)</f>
        <v>0</v>
      </c>
      <c r="R467">
        <f>IF(COUNTIFS('United Data'!$A$3:$A$2150,R$1,'United Data'!$C$3:$C$2150,$A467,'United Data'!$B$3:$B$2150,"&lt;&gt;P")&gt;0,1,0)</f>
        <v>0</v>
      </c>
      <c r="S467">
        <f t="shared" si="14"/>
        <v>1</v>
      </c>
      <c r="T467">
        <f t="shared" si="15"/>
        <v>1</v>
      </c>
    </row>
    <row r="468" spans="1:20" x14ac:dyDescent="0.2">
      <c r="A468" t="s">
        <v>514</v>
      </c>
      <c r="B468">
        <f>IF(COUNTIFS('United Data'!$A$3:$A$2150,B$1,'United Data'!$C$3:$C$2150,$A468,'United Data'!$B$3:$B$2150,"&lt;&gt;P")&gt;0,1,0)</f>
        <v>0</v>
      </c>
      <c r="C468">
        <f>IF(COUNTIFS('United Data'!$A$3:$A$2150,C$1,'United Data'!$C$3:$C$2150,$A468,'United Data'!$B$3:$B$2150,"&lt;&gt;P")&gt;0,1,0)</f>
        <v>0</v>
      </c>
      <c r="D468">
        <f>IF(COUNTIFS('United Data'!$A$3:$A$2150,D$1,'United Data'!$C$3:$C$2150,$A468,'United Data'!$B$3:$B$2150,"&lt;&gt;P")&gt;0,1,0)</f>
        <v>0</v>
      </c>
      <c r="E468">
        <f>IF(COUNTIFS('United Data'!$A$3:$A$2150,E$1,'United Data'!$C$3:$C$2150,$A468,'United Data'!$B$3:$B$2150,"&lt;&gt;P")&gt;0,1,0)</f>
        <v>0</v>
      </c>
      <c r="F468">
        <f>IF(COUNTIFS('United Data'!$A$3:$A$2150,F$1,'United Data'!$C$3:$C$2150,$A468,'United Data'!$B$3:$B$2150,"&lt;&gt;P")&gt;0,1,0)</f>
        <v>1</v>
      </c>
      <c r="G468">
        <f>IF(COUNTIFS('United Data'!$A$3:$A$2150,G$1,'United Data'!$C$3:$C$2150,$A468,'United Data'!$B$3:$B$2150,"&lt;&gt;P")&gt;0,1,0)</f>
        <v>0</v>
      </c>
      <c r="H468">
        <f>IF(COUNTIFS('United Data'!$A$3:$A$2150,H$1,'United Data'!$C$3:$C$2150,$A468,'United Data'!$B$3:$B$2150,"&lt;&gt;P")&gt;0,1,0)</f>
        <v>0</v>
      </c>
      <c r="I468">
        <f>IF(COUNTIFS('United Data'!$A$3:$A$2150,I$1,'United Data'!$C$3:$C$2150,$A468,'United Data'!$B$3:$B$2150,"&lt;&gt;P")&gt;0,1,0)</f>
        <v>0</v>
      </c>
      <c r="J468">
        <f>IF(COUNTIFS('United Data'!$A$3:$A$2150,J$1,'United Data'!$C$3:$C$2150,$A468,'United Data'!$B$3:$B$2150,"&lt;&gt;P")&gt;0,1,0)</f>
        <v>0</v>
      </c>
      <c r="K468">
        <f>IF(COUNTIFS('United Data'!$A$3:$A$2150,K$1,'United Data'!$C$3:$C$2150,$A468,'United Data'!$B$3:$B$2150,"&lt;&gt;P")&gt;0,1,0)</f>
        <v>0</v>
      </c>
      <c r="L468">
        <f>IF(COUNTIFS('United Data'!$A$3:$A$2150,L$1,'United Data'!$C$3:$C$2150,$A468,'United Data'!$B$3:$B$2150,"&lt;&gt;P")&gt;0,1,0)</f>
        <v>0</v>
      </c>
      <c r="M468">
        <f>IF(COUNTIFS('United Data'!$A$3:$A$2150,M$1,'United Data'!$C$3:$C$2150,$A468,'United Data'!$B$3:$B$2150,"&lt;&gt;P")&gt;0,1,0)</f>
        <v>0</v>
      </c>
      <c r="N468">
        <f>IF(COUNTIFS('United Data'!$A$3:$A$2150,N$1,'United Data'!$C$3:$C$2150,$A468,'United Data'!$B$3:$B$2150,"&lt;&gt;P")&gt;0,1,0)</f>
        <v>0</v>
      </c>
      <c r="O468">
        <f>IF(COUNTIFS('United Data'!$A$3:$A$2150,O$1,'United Data'!$C$3:$C$2150,$A468,'United Data'!$B$3:$B$2150,"&lt;&gt;P")&gt;0,1,0)</f>
        <v>0</v>
      </c>
      <c r="P468">
        <f>IF(COUNTIFS('United Data'!$A$3:$A$2150,P$1,'United Data'!$C$3:$C$2150,$A468,'United Data'!$B$3:$B$2150,"&lt;&gt;P")&gt;0,1,0)</f>
        <v>0</v>
      </c>
      <c r="Q468">
        <f>IF(COUNTIFS('United Data'!$A$3:$A$2150,Q$1,'United Data'!$C$3:$C$2150,$A468,'United Data'!$B$3:$B$2150,"&lt;&gt;P")&gt;0,1,0)</f>
        <v>0</v>
      </c>
      <c r="R468">
        <f>IF(COUNTIFS('United Data'!$A$3:$A$2150,R$1,'United Data'!$C$3:$C$2150,$A468,'United Data'!$B$3:$B$2150,"&lt;&gt;P")&gt;0,1,0)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515</v>
      </c>
      <c r="B469">
        <f>IF(COUNTIFS('United Data'!$A$3:$A$2150,B$1,'United Data'!$C$3:$C$2150,$A469,'United Data'!$B$3:$B$2150,"&lt;&gt;P")&gt;0,1,0)</f>
        <v>0</v>
      </c>
      <c r="C469">
        <f>IF(COUNTIFS('United Data'!$A$3:$A$2150,C$1,'United Data'!$C$3:$C$2150,$A469,'United Data'!$B$3:$B$2150,"&lt;&gt;P")&gt;0,1,0)</f>
        <v>0</v>
      </c>
      <c r="D469">
        <f>IF(COUNTIFS('United Data'!$A$3:$A$2150,D$1,'United Data'!$C$3:$C$2150,$A469,'United Data'!$B$3:$B$2150,"&lt;&gt;P")&gt;0,1,0)</f>
        <v>0</v>
      </c>
      <c r="E469">
        <f>IF(COUNTIFS('United Data'!$A$3:$A$2150,E$1,'United Data'!$C$3:$C$2150,$A469,'United Data'!$B$3:$B$2150,"&lt;&gt;P")&gt;0,1,0)</f>
        <v>0</v>
      </c>
      <c r="F469">
        <f>IF(COUNTIFS('United Data'!$A$3:$A$2150,F$1,'United Data'!$C$3:$C$2150,$A469,'United Data'!$B$3:$B$2150,"&lt;&gt;P")&gt;0,1,0)</f>
        <v>1</v>
      </c>
      <c r="G469">
        <f>IF(COUNTIFS('United Data'!$A$3:$A$2150,G$1,'United Data'!$C$3:$C$2150,$A469,'United Data'!$B$3:$B$2150,"&lt;&gt;P")&gt;0,1,0)</f>
        <v>0</v>
      </c>
      <c r="H469">
        <f>IF(COUNTIFS('United Data'!$A$3:$A$2150,H$1,'United Data'!$C$3:$C$2150,$A469,'United Data'!$B$3:$B$2150,"&lt;&gt;P")&gt;0,1,0)</f>
        <v>0</v>
      </c>
      <c r="I469">
        <f>IF(COUNTIFS('United Data'!$A$3:$A$2150,I$1,'United Data'!$C$3:$C$2150,$A469,'United Data'!$B$3:$B$2150,"&lt;&gt;P")&gt;0,1,0)</f>
        <v>0</v>
      </c>
      <c r="J469">
        <f>IF(COUNTIFS('United Data'!$A$3:$A$2150,J$1,'United Data'!$C$3:$C$2150,$A469,'United Data'!$B$3:$B$2150,"&lt;&gt;P")&gt;0,1,0)</f>
        <v>0</v>
      </c>
      <c r="K469">
        <f>IF(COUNTIFS('United Data'!$A$3:$A$2150,K$1,'United Data'!$C$3:$C$2150,$A469,'United Data'!$B$3:$B$2150,"&lt;&gt;P")&gt;0,1,0)</f>
        <v>0</v>
      </c>
      <c r="L469">
        <f>IF(COUNTIFS('United Data'!$A$3:$A$2150,L$1,'United Data'!$C$3:$C$2150,$A469,'United Data'!$B$3:$B$2150,"&lt;&gt;P")&gt;0,1,0)</f>
        <v>0</v>
      </c>
      <c r="M469">
        <f>IF(COUNTIFS('United Data'!$A$3:$A$2150,M$1,'United Data'!$C$3:$C$2150,$A469,'United Data'!$B$3:$B$2150,"&lt;&gt;P")&gt;0,1,0)</f>
        <v>0</v>
      </c>
      <c r="N469">
        <f>IF(COUNTIFS('United Data'!$A$3:$A$2150,N$1,'United Data'!$C$3:$C$2150,$A469,'United Data'!$B$3:$B$2150,"&lt;&gt;P")&gt;0,1,0)</f>
        <v>0</v>
      </c>
      <c r="O469">
        <f>IF(COUNTIFS('United Data'!$A$3:$A$2150,O$1,'United Data'!$C$3:$C$2150,$A469,'United Data'!$B$3:$B$2150,"&lt;&gt;P")&gt;0,1,0)</f>
        <v>0</v>
      </c>
      <c r="P469">
        <f>IF(COUNTIFS('United Data'!$A$3:$A$2150,P$1,'United Data'!$C$3:$C$2150,$A469,'United Data'!$B$3:$B$2150,"&lt;&gt;P")&gt;0,1,0)</f>
        <v>0</v>
      </c>
      <c r="Q469">
        <f>IF(COUNTIFS('United Data'!$A$3:$A$2150,Q$1,'United Data'!$C$3:$C$2150,$A469,'United Data'!$B$3:$B$2150,"&lt;&gt;P")&gt;0,1,0)</f>
        <v>0</v>
      </c>
      <c r="R469">
        <f>IF(COUNTIFS('United Data'!$A$3:$A$2150,R$1,'United Data'!$C$3:$C$2150,$A469,'United Data'!$B$3:$B$2150,"&lt;&gt;P")&gt;0,1,0)</f>
        <v>0</v>
      </c>
      <c r="S469">
        <f t="shared" si="14"/>
        <v>1</v>
      </c>
      <c r="T469">
        <f t="shared" si="15"/>
        <v>1</v>
      </c>
    </row>
    <row r="470" spans="1:20" x14ac:dyDescent="0.2">
      <c r="A470" t="s">
        <v>516</v>
      </c>
      <c r="B470">
        <f>IF(COUNTIFS('United Data'!$A$3:$A$2150,B$1,'United Data'!$C$3:$C$2150,$A470,'United Data'!$B$3:$B$2150,"&lt;&gt;P")&gt;0,1,0)</f>
        <v>0</v>
      </c>
      <c r="C470">
        <f>IF(COUNTIFS('United Data'!$A$3:$A$2150,C$1,'United Data'!$C$3:$C$2150,$A470,'United Data'!$B$3:$B$2150,"&lt;&gt;P")&gt;0,1,0)</f>
        <v>0</v>
      </c>
      <c r="D470">
        <f>IF(COUNTIFS('United Data'!$A$3:$A$2150,D$1,'United Data'!$C$3:$C$2150,$A470,'United Data'!$B$3:$B$2150,"&lt;&gt;P")&gt;0,1,0)</f>
        <v>0</v>
      </c>
      <c r="E470">
        <f>IF(COUNTIFS('United Data'!$A$3:$A$2150,E$1,'United Data'!$C$3:$C$2150,$A470,'United Data'!$B$3:$B$2150,"&lt;&gt;P")&gt;0,1,0)</f>
        <v>0</v>
      </c>
      <c r="F470">
        <f>IF(COUNTIFS('United Data'!$A$3:$A$2150,F$1,'United Data'!$C$3:$C$2150,$A470,'United Data'!$B$3:$B$2150,"&lt;&gt;P")&gt;0,1,0)</f>
        <v>1</v>
      </c>
      <c r="G470">
        <f>IF(COUNTIFS('United Data'!$A$3:$A$2150,G$1,'United Data'!$C$3:$C$2150,$A470,'United Data'!$B$3:$B$2150,"&lt;&gt;P")&gt;0,1,0)</f>
        <v>0</v>
      </c>
      <c r="H470">
        <f>IF(COUNTIFS('United Data'!$A$3:$A$2150,H$1,'United Data'!$C$3:$C$2150,$A470,'United Data'!$B$3:$B$2150,"&lt;&gt;P")&gt;0,1,0)</f>
        <v>0</v>
      </c>
      <c r="I470">
        <f>IF(COUNTIFS('United Data'!$A$3:$A$2150,I$1,'United Data'!$C$3:$C$2150,$A470,'United Data'!$B$3:$B$2150,"&lt;&gt;P")&gt;0,1,0)</f>
        <v>0</v>
      </c>
      <c r="J470">
        <f>IF(COUNTIFS('United Data'!$A$3:$A$2150,J$1,'United Data'!$C$3:$C$2150,$A470,'United Data'!$B$3:$B$2150,"&lt;&gt;P")&gt;0,1,0)</f>
        <v>0</v>
      </c>
      <c r="K470">
        <f>IF(COUNTIFS('United Data'!$A$3:$A$2150,K$1,'United Data'!$C$3:$C$2150,$A470,'United Data'!$B$3:$B$2150,"&lt;&gt;P")&gt;0,1,0)</f>
        <v>0</v>
      </c>
      <c r="L470">
        <f>IF(COUNTIFS('United Data'!$A$3:$A$2150,L$1,'United Data'!$C$3:$C$2150,$A470,'United Data'!$B$3:$B$2150,"&lt;&gt;P")&gt;0,1,0)</f>
        <v>0</v>
      </c>
      <c r="M470">
        <f>IF(COUNTIFS('United Data'!$A$3:$A$2150,M$1,'United Data'!$C$3:$C$2150,$A470,'United Data'!$B$3:$B$2150,"&lt;&gt;P")&gt;0,1,0)</f>
        <v>0</v>
      </c>
      <c r="N470">
        <f>IF(COUNTIFS('United Data'!$A$3:$A$2150,N$1,'United Data'!$C$3:$C$2150,$A470,'United Data'!$B$3:$B$2150,"&lt;&gt;P")&gt;0,1,0)</f>
        <v>0</v>
      </c>
      <c r="O470">
        <f>IF(COUNTIFS('United Data'!$A$3:$A$2150,O$1,'United Data'!$C$3:$C$2150,$A470,'United Data'!$B$3:$B$2150,"&lt;&gt;P")&gt;0,1,0)</f>
        <v>0</v>
      </c>
      <c r="P470">
        <f>IF(COUNTIFS('United Data'!$A$3:$A$2150,P$1,'United Data'!$C$3:$C$2150,$A470,'United Data'!$B$3:$B$2150,"&lt;&gt;P")&gt;0,1,0)</f>
        <v>0</v>
      </c>
      <c r="Q470">
        <f>IF(COUNTIFS('United Data'!$A$3:$A$2150,Q$1,'United Data'!$C$3:$C$2150,$A470,'United Data'!$B$3:$B$2150,"&lt;&gt;P")&gt;0,1,0)</f>
        <v>0</v>
      </c>
      <c r="R470">
        <f>IF(COUNTIFS('United Data'!$A$3:$A$2150,R$1,'United Data'!$C$3:$C$2150,$A470,'United Data'!$B$3:$B$2150,"&lt;&gt;P")&gt;0,1,0)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517</v>
      </c>
      <c r="B471">
        <f>IF(COUNTIFS('United Data'!$A$3:$A$2150,B$1,'United Data'!$C$3:$C$2150,$A471,'United Data'!$B$3:$B$2150,"&lt;&gt;P")&gt;0,1,0)</f>
        <v>0</v>
      </c>
      <c r="C471">
        <f>IF(COUNTIFS('United Data'!$A$3:$A$2150,C$1,'United Data'!$C$3:$C$2150,$A471,'United Data'!$B$3:$B$2150,"&lt;&gt;P")&gt;0,1,0)</f>
        <v>0</v>
      </c>
      <c r="D471">
        <f>IF(COUNTIFS('United Data'!$A$3:$A$2150,D$1,'United Data'!$C$3:$C$2150,$A471,'United Data'!$B$3:$B$2150,"&lt;&gt;P")&gt;0,1,0)</f>
        <v>0</v>
      </c>
      <c r="E471">
        <f>IF(COUNTIFS('United Data'!$A$3:$A$2150,E$1,'United Data'!$C$3:$C$2150,$A471,'United Data'!$B$3:$B$2150,"&lt;&gt;P")&gt;0,1,0)</f>
        <v>0</v>
      </c>
      <c r="F471">
        <f>IF(COUNTIFS('United Data'!$A$3:$A$2150,F$1,'United Data'!$C$3:$C$2150,$A471,'United Data'!$B$3:$B$2150,"&lt;&gt;P")&gt;0,1,0)</f>
        <v>1</v>
      </c>
      <c r="G471">
        <f>IF(COUNTIFS('United Data'!$A$3:$A$2150,G$1,'United Data'!$C$3:$C$2150,$A471,'United Data'!$B$3:$B$2150,"&lt;&gt;P")&gt;0,1,0)</f>
        <v>0</v>
      </c>
      <c r="H471">
        <f>IF(COUNTIFS('United Data'!$A$3:$A$2150,H$1,'United Data'!$C$3:$C$2150,$A471,'United Data'!$B$3:$B$2150,"&lt;&gt;P")&gt;0,1,0)</f>
        <v>0</v>
      </c>
      <c r="I471">
        <f>IF(COUNTIFS('United Data'!$A$3:$A$2150,I$1,'United Data'!$C$3:$C$2150,$A471,'United Data'!$B$3:$B$2150,"&lt;&gt;P")&gt;0,1,0)</f>
        <v>0</v>
      </c>
      <c r="J471">
        <f>IF(COUNTIFS('United Data'!$A$3:$A$2150,J$1,'United Data'!$C$3:$C$2150,$A471,'United Data'!$B$3:$B$2150,"&lt;&gt;P")&gt;0,1,0)</f>
        <v>0</v>
      </c>
      <c r="K471">
        <f>IF(COUNTIFS('United Data'!$A$3:$A$2150,K$1,'United Data'!$C$3:$C$2150,$A471,'United Data'!$B$3:$B$2150,"&lt;&gt;P")&gt;0,1,0)</f>
        <v>0</v>
      </c>
      <c r="L471">
        <f>IF(COUNTIFS('United Data'!$A$3:$A$2150,L$1,'United Data'!$C$3:$C$2150,$A471,'United Data'!$B$3:$B$2150,"&lt;&gt;P")&gt;0,1,0)</f>
        <v>0</v>
      </c>
      <c r="M471">
        <f>IF(COUNTIFS('United Data'!$A$3:$A$2150,M$1,'United Data'!$C$3:$C$2150,$A471,'United Data'!$B$3:$B$2150,"&lt;&gt;P")&gt;0,1,0)</f>
        <v>0</v>
      </c>
      <c r="N471">
        <f>IF(COUNTIFS('United Data'!$A$3:$A$2150,N$1,'United Data'!$C$3:$C$2150,$A471,'United Data'!$B$3:$B$2150,"&lt;&gt;P")&gt;0,1,0)</f>
        <v>0</v>
      </c>
      <c r="O471">
        <f>IF(COUNTIFS('United Data'!$A$3:$A$2150,O$1,'United Data'!$C$3:$C$2150,$A471,'United Data'!$B$3:$B$2150,"&lt;&gt;P")&gt;0,1,0)</f>
        <v>0</v>
      </c>
      <c r="P471">
        <f>IF(COUNTIFS('United Data'!$A$3:$A$2150,P$1,'United Data'!$C$3:$C$2150,$A471,'United Data'!$B$3:$B$2150,"&lt;&gt;P")&gt;0,1,0)</f>
        <v>0</v>
      </c>
      <c r="Q471">
        <f>IF(COUNTIFS('United Data'!$A$3:$A$2150,Q$1,'United Data'!$C$3:$C$2150,$A471,'United Data'!$B$3:$B$2150,"&lt;&gt;P")&gt;0,1,0)</f>
        <v>0</v>
      </c>
      <c r="R471">
        <f>IF(COUNTIFS('United Data'!$A$3:$A$2150,R$1,'United Data'!$C$3:$C$2150,$A471,'United Data'!$B$3:$B$2150,"&lt;&gt;P")&gt;0,1,0)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518</v>
      </c>
      <c r="B472">
        <f>IF(COUNTIFS('United Data'!$A$3:$A$2150,B$1,'United Data'!$C$3:$C$2150,$A472,'United Data'!$B$3:$B$2150,"&lt;&gt;P")&gt;0,1,0)</f>
        <v>0</v>
      </c>
      <c r="C472">
        <f>IF(COUNTIFS('United Data'!$A$3:$A$2150,C$1,'United Data'!$C$3:$C$2150,$A472,'United Data'!$B$3:$B$2150,"&lt;&gt;P")&gt;0,1,0)</f>
        <v>0</v>
      </c>
      <c r="D472">
        <f>IF(COUNTIFS('United Data'!$A$3:$A$2150,D$1,'United Data'!$C$3:$C$2150,$A472,'United Data'!$B$3:$B$2150,"&lt;&gt;P")&gt;0,1,0)</f>
        <v>0</v>
      </c>
      <c r="E472">
        <f>IF(COUNTIFS('United Data'!$A$3:$A$2150,E$1,'United Data'!$C$3:$C$2150,$A472,'United Data'!$B$3:$B$2150,"&lt;&gt;P")&gt;0,1,0)</f>
        <v>0</v>
      </c>
      <c r="F472">
        <f>IF(COUNTIFS('United Data'!$A$3:$A$2150,F$1,'United Data'!$C$3:$C$2150,$A472,'United Data'!$B$3:$B$2150,"&lt;&gt;P")&gt;0,1,0)</f>
        <v>1</v>
      </c>
      <c r="G472">
        <f>IF(COUNTIFS('United Data'!$A$3:$A$2150,G$1,'United Data'!$C$3:$C$2150,$A472,'United Data'!$B$3:$B$2150,"&lt;&gt;P")&gt;0,1,0)</f>
        <v>0</v>
      </c>
      <c r="H472">
        <f>IF(COUNTIFS('United Data'!$A$3:$A$2150,H$1,'United Data'!$C$3:$C$2150,$A472,'United Data'!$B$3:$B$2150,"&lt;&gt;P")&gt;0,1,0)</f>
        <v>0</v>
      </c>
      <c r="I472">
        <f>IF(COUNTIFS('United Data'!$A$3:$A$2150,I$1,'United Data'!$C$3:$C$2150,$A472,'United Data'!$B$3:$B$2150,"&lt;&gt;P")&gt;0,1,0)</f>
        <v>0</v>
      </c>
      <c r="J472">
        <f>IF(COUNTIFS('United Data'!$A$3:$A$2150,J$1,'United Data'!$C$3:$C$2150,$A472,'United Data'!$B$3:$B$2150,"&lt;&gt;P")&gt;0,1,0)</f>
        <v>0</v>
      </c>
      <c r="K472">
        <f>IF(COUNTIFS('United Data'!$A$3:$A$2150,K$1,'United Data'!$C$3:$C$2150,$A472,'United Data'!$B$3:$B$2150,"&lt;&gt;P")&gt;0,1,0)</f>
        <v>0</v>
      </c>
      <c r="L472">
        <f>IF(COUNTIFS('United Data'!$A$3:$A$2150,L$1,'United Data'!$C$3:$C$2150,$A472,'United Data'!$B$3:$B$2150,"&lt;&gt;P")&gt;0,1,0)</f>
        <v>0</v>
      </c>
      <c r="M472">
        <f>IF(COUNTIFS('United Data'!$A$3:$A$2150,M$1,'United Data'!$C$3:$C$2150,$A472,'United Data'!$B$3:$B$2150,"&lt;&gt;P")&gt;0,1,0)</f>
        <v>0</v>
      </c>
      <c r="N472">
        <f>IF(COUNTIFS('United Data'!$A$3:$A$2150,N$1,'United Data'!$C$3:$C$2150,$A472,'United Data'!$B$3:$B$2150,"&lt;&gt;P")&gt;0,1,0)</f>
        <v>0</v>
      </c>
      <c r="O472">
        <f>IF(COUNTIFS('United Data'!$A$3:$A$2150,O$1,'United Data'!$C$3:$C$2150,$A472,'United Data'!$B$3:$B$2150,"&lt;&gt;P")&gt;0,1,0)</f>
        <v>0</v>
      </c>
      <c r="P472">
        <f>IF(COUNTIFS('United Data'!$A$3:$A$2150,P$1,'United Data'!$C$3:$C$2150,$A472,'United Data'!$B$3:$B$2150,"&lt;&gt;P")&gt;0,1,0)</f>
        <v>0</v>
      </c>
      <c r="Q472">
        <f>IF(COUNTIFS('United Data'!$A$3:$A$2150,Q$1,'United Data'!$C$3:$C$2150,$A472,'United Data'!$B$3:$B$2150,"&lt;&gt;P")&gt;0,1,0)</f>
        <v>0</v>
      </c>
      <c r="R472">
        <f>IF(COUNTIFS('United Data'!$A$3:$A$2150,R$1,'United Data'!$C$3:$C$2150,$A472,'United Data'!$B$3:$B$2150,"&lt;&gt;P")&gt;0,1,0)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519</v>
      </c>
      <c r="B473">
        <f>IF(COUNTIFS('United Data'!$A$3:$A$2150,B$1,'United Data'!$C$3:$C$2150,$A473,'United Data'!$B$3:$B$2150,"&lt;&gt;P")&gt;0,1,0)</f>
        <v>0</v>
      </c>
      <c r="C473">
        <f>IF(COUNTIFS('United Data'!$A$3:$A$2150,C$1,'United Data'!$C$3:$C$2150,$A473,'United Data'!$B$3:$B$2150,"&lt;&gt;P")&gt;0,1,0)</f>
        <v>0</v>
      </c>
      <c r="D473">
        <f>IF(COUNTIFS('United Data'!$A$3:$A$2150,D$1,'United Data'!$C$3:$C$2150,$A473,'United Data'!$B$3:$B$2150,"&lt;&gt;P")&gt;0,1,0)</f>
        <v>0</v>
      </c>
      <c r="E473">
        <f>IF(COUNTIFS('United Data'!$A$3:$A$2150,E$1,'United Data'!$C$3:$C$2150,$A473,'United Data'!$B$3:$B$2150,"&lt;&gt;P")&gt;0,1,0)</f>
        <v>0</v>
      </c>
      <c r="F473">
        <f>IF(COUNTIFS('United Data'!$A$3:$A$2150,F$1,'United Data'!$C$3:$C$2150,$A473,'United Data'!$B$3:$B$2150,"&lt;&gt;P")&gt;0,1,0)</f>
        <v>1</v>
      </c>
      <c r="G473">
        <f>IF(COUNTIFS('United Data'!$A$3:$A$2150,G$1,'United Data'!$C$3:$C$2150,$A473,'United Data'!$B$3:$B$2150,"&lt;&gt;P")&gt;0,1,0)</f>
        <v>0</v>
      </c>
      <c r="H473">
        <f>IF(COUNTIFS('United Data'!$A$3:$A$2150,H$1,'United Data'!$C$3:$C$2150,$A473,'United Data'!$B$3:$B$2150,"&lt;&gt;P")&gt;0,1,0)</f>
        <v>0</v>
      </c>
      <c r="I473">
        <f>IF(COUNTIFS('United Data'!$A$3:$A$2150,I$1,'United Data'!$C$3:$C$2150,$A473,'United Data'!$B$3:$B$2150,"&lt;&gt;P")&gt;0,1,0)</f>
        <v>0</v>
      </c>
      <c r="J473">
        <f>IF(COUNTIFS('United Data'!$A$3:$A$2150,J$1,'United Data'!$C$3:$C$2150,$A473,'United Data'!$B$3:$B$2150,"&lt;&gt;P")&gt;0,1,0)</f>
        <v>0</v>
      </c>
      <c r="K473">
        <f>IF(COUNTIFS('United Data'!$A$3:$A$2150,K$1,'United Data'!$C$3:$C$2150,$A473,'United Data'!$B$3:$B$2150,"&lt;&gt;P")&gt;0,1,0)</f>
        <v>0</v>
      </c>
      <c r="L473">
        <f>IF(COUNTIFS('United Data'!$A$3:$A$2150,L$1,'United Data'!$C$3:$C$2150,$A473,'United Data'!$B$3:$B$2150,"&lt;&gt;P")&gt;0,1,0)</f>
        <v>0</v>
      </c>
      <c r="M473">
        <f>IF(COUNTIFS('United Data'!$A$3:$A$2150,M$1,'United Data'!$C$3:$C$2150,$A473,'United Data'!$B$3:$B$2150,"&lt;&gt;P")&gt;0,1,0)</f>
        <v>0</v>
      </c>
      <c r="N473">
        <f>IF(COUNTIFS('United Data'!$A$3:$A$2150,N$1,'United Data'!$C$3:$C$2150,$A473,'United Data'!$B$3:$B$2150,"&lt;&gt;P")&gt;0,1,0)</f>
        <v>0</v>
      </c>
      <c r="O473">
        <f>IF(COUNTIFS('United Data'!$A$3:$A$2150,O$1,'United Data'!$C$3:$C$2150,$A473,'United Data'!$B$3:$B$2150,"&lt;&gt;P")&gt;0,1,0)</f>
        <v>0</v>
      </c>
      <c r="P473">
        <f>IF(COUNTIFS('United Data'!$A$3:$A$2150,P$1,'United Data'!$C$3:$C$2150,$A473,'United Data'!$B$3:$B$2150,"&lt;&gt;P")&gt;0,1,0)</f>
        <v>0</v>
      </c>
      <c r="Q473">
        <f>IF(COUNTIFS('United Data'!$A$3:$A$2150,Q$1,'United Data'!$C$3:$C$2150,$A473,'United Data'!$B$3:$B$2150,"&lt;&gt;P")&gt;0,1,0)</f>
        <v>0</v>
      </c>
      <c r="R473">
        <f>IF(COUNTIFS('United Data'!$A$3:$A$2150,R$1,'United Data'!$C$3:$C$2150,$A473,'United Data'!$B$3:$B$2150,"&lt;&gt;P")&gt;0,1,0)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520</v>
      </c>
      <c r="B474">
        <f>IF(COUNTIFS('United Data'!$A$3:$A$2150,B$1,'United Data'!$C$3:$C$2150,$A474,'United Data'!$B$3:$B$2150,"&lt;&gt;P")&gt;0,1,0)</f>
        <v>0</v>
      </c>
      <c r="C474">
        <f>IF(COUNTIFS('United Data'!$A$3:$A$2150,C$1,'United Data'!$C$3:$C$2150,$A474,'United Data'!$B$3:$B$2150,"&lt;&gt;P")&gt;0,1,0)</f>
        <v>0</v>
      </c>
      <c r="D474">
        <f>IF(COUNTIFS('United Data'!$A$3:$A$2150,D$1,'United Data'!$C$3:$C$2150,$A474,'United Data'!$B$3:$B$2150,"&lt;&gt;P")&gt;0,1,0)</f>
        <v>0</v>
      </c>
      <c r="E474">
        <f>IF(COUNTIFS('United Data'!$A$3:$A$2150,E$1,'United Data'!$C$3:$C$2150,$A474,'United Data'!$B$3:$B$2150,"&lt;&gt;P")&gt;0,1,0)</f>
        <v>0</v>
      </c>
      <c r="F474">
        <f>IF(COUNTIFS('United Data'!$A$3:$A$2150,F$1,'United Data'!$C$3:$C$2150,$A474,'United Data'!$B$3:$B$2150,"&lt;&gt;P")&gt;0,1,0)</f>
        <v>1</v>
      </c>
      <c r="G474">
        <f>IF(COUNTIFS('United Data'!$A$3:$A$2150,G$1,'United Data'!$C$3:$C$2150,$A474,'United Data'!$B$3:$B$2150,"&lt;&gt;P")&gt;0,1,0)</f>
        <v>0</v>
      </c>
      <c r="H474">
        <f>IF(COUNTIFS('United Data'!$A$3:$A$2150,H$1,'United Data'!$C$3:$C$2150,$A474,'United Data'!$B$3:$B$2150,"&lt;&gt;P")&gt;0,1,0)</f>
        <v>0</v>
      </c>
      <c r="I474">
        <f>IF(COUNTIFS('United Data'!$A$3:$A$2150,I$1,'United Data'!$C$3:$C$2150,$A474,'United Data'!$B$3:$B$2150,"&lt;&gt;P")&gt;0,1,0)</f>
        <v>0</v>
      </c>
      <c r="J474">
        <f>IF(COUNTIFS('United Data'!$A$3:$A$2150,J$1,'United Data'!$C$3:$C$2150,$A474,'United Data'!$B$3:$B$2150,"&lt;&gt;P")&gt;0,1,0)</f>
        <v>0</v>
      </c>
      <c r="K474">
        <f>IF(COUNTIFS('United Data'!$A$3:$A$2150,K$1,'United Data'!$C$3:$C$2150,$A474,'United Data'!$B$3:$B$2150,"&lt;&gt;P")&gt;0,1,0)</f>
        <v>0</v>
      </c>
      <c r="L474">
        <f>IF(COUNTIFS('United Data'!$A$3:$A$2150,L$1,'United Data'!$C$3:$C$2150,$A474,'United Data'!$B$3:$B$2150,"&lt;&gt;P")&gt;0,1,0)</f>
        <v>0</v>
      </c>
      <c r="M474">
        <f>IF(COUNTIFS('United Data'!$A$3:$A$2150,M$1,'United Data'!$C$3:$C$2150,$A474,'United Data'!$B$3:$B$2150,"&lt;&gt;P")&gt;0,1,0)</f>
        <v>0</v>
      </c>
      <c r="N474">
        <f>IF(COUNTIFS('United Data'!$A$3:$A$2150,N$1,'United Data'!$C$3:$C$2150,$A474,'United Data'!$B$3:$B$2150,"&lt;&gt;P")&gt;0,1,0)</f>
        <v>0</v>
      </c>
      <c r="O474">
        <f>IF(COUNTIFS('United Data'!$A$3:$A$2150,O$1,'United Data'!$C$3:$C$2150,$A474,'United Data'!$B$3:$B$2150,"&lt;&gt;P")&gt;0,1,0)</f>
        <v>0</v>
      </c>
      <c r="P474">
        <f>IF(COUNTIFS('United Data'!$A$3:$A$2150,P$1,'United Data'!$C$3:$C$2150,$A474,'United Data'!$B$3:$B$2150,"&lt;&gt;P")&gt;0,1,0)</f>
        <v>0</v>
      </c>
      <c r="Q474">
        <f>IF(COUNTIFS('United Data'!$A$3:$A$2150,Q$1,'United Data'!$C$3:$C$2150,$A474,'United Data'!$B$3:$B$2150,"&lt;&gt;P")&gt;0,1,0)</f>
        <v>0</v>
      </c>
      <c r="R474">
        <f>IF(COUNTIFS('United Data'!$A$3:$A$2150,R$1,'United Data'!$C$3:$C$2150,$A474,'United Data'!$B$3:$B$2150,"&lt;&gt;P")&gt;0,1,0)</f>
        <v>0</v>
      </c>
      <c r="S474">
        <f t="shared" si="14"/>
        <v>1</v>
      </c>
      <c r="T474">
        <f t="shared" si="15"/>
        <v>1</v>
      </c>
    </row>
    <row r="475" spans="1:20" x14ac:dyDescent="0.2">
      <c r="A475" t="s">
        <v>521</v>
      </c>
      <c r="B475">
        <f>IF(COUNTIFS('United Data'!$A$3:$A$2150,B$1,'United Data'!$C$3:$C$2150,$A475,'United Data'!$B$3:$B$2150,"&lt;&gt;P")&gt;0,1,0)</f>
        <v>0</v>
      </c>
      <c r="C475">
        <f>IF(COUNTIFS('United Data'!$A$3:$A$2150,C$1,'United Data'!$C$3:$C$2150,$A475,'United Data'!$B$3:$B$2150,"&lt;&gt;P")&gt;0,1,0)</f>
        <v>0</v>
      </c>
      <c r="D475">
        <f>IF(COUNTIFS('United Data'!$A$3:$A$2150,D$1,'United Data'!$C$3:$C$2150,$A475,'United Data'!$B$3:$B$2150,"&lt;&gt;P")&gt;0,1,0)</f>
        <v>0</v>
      </c>
      <c r="E475">
        <f>IF(COUNTIFS('United Data'!$A$3:$A$2150,E$1,'United Data'!$C$3:$C$2150,$A475,'United Data'!$B$3:$B$2150,"&lt;&gt;P")&gt;0,1,0)</f>
        <v>0</v>
      </c>
      <c r="F475">
        <f>IF(COUNTIFS('United Data'!$A$3:$A$2150,F$1,'United Data'!$C$3:$C$2150,$A475,'United Data'!$B$3:$B$2150,"&lt;&gt;P")&gt;0,1,0)</f>
        <v>1</v>
      </c>
      <c r="G475">
        <f>IF(COUNTIFS('United Data'!$A$3:$A$2150,G$1,'United Data'!$C$3:$C$2150,$A475,'United Data'!$B$3:$B$2150,"&lt;&gt;P")&gt;0,1,0)</f>
        <v>0</v>
      </c>
      <c r="H475">
        <f>IF(COUNTIFS('United Data'!$A$3:$A$2150,H$1,'United Data'!$C$3:$C$2150,$A475,'United Data'!$B$3:$B$2150,"&lt;&gt;P")&gt;0,1,0)</f>
        <v>0</v>
      </c>
      <c r="I475">
        <f>IF(COUNTIFS('United Data'!$A$3:$A$2150,I$1,'United Data'!$C$3:$C$2150,$A475,'United Data'!$B$3:$B$2150,"&lt;&gt;P")&gt;0,1,0)</f>
        <v>0</v>
      </c>
      <c r="J475">
        <f>IF(COUNTIFS('United Data'!$A$3:$A$2150,J$1,'United Data'!$C$3:$C$2150,$A475,'United Data'!$B$3:$B$2150,"&lt;&gt;P")&gt;0,1,0)</f>
        <v>0</v>
      </c>
      <c r="K475">
        <f>IF(COUNTIFS('United Data'!$A$3:$A$2150,K$1,'United Data'!$C$3:$C$2150,$A475,'United Data'!$B$3:$B$2150,"&lt;&gt;P")&gt;0,1,0)</f>
        <v>0</v>
      </c>
      <c r="L475">
        <f>IF(COUNTIFS('United Data'!$A$3:$A$2150,L$1,'United Data'!$C$3:$C$2150,$A475,'United Data'!$B$3:$B$2150,"&lt;&gt;P")&gt;0,1,0)</f>
        <v>0</v>
      </c>
      <c r="M475">
        <f>IF(COUNTIFS('United Data'!$A$3:$A$2150,M$1,'United Data'!$C$3:$C$2150,$A475,'United Data'!$B$3:$B$2150,"&lt;&gt;P")&gt;0,1,0)</f>
        <v>0</v>
      </c>
      <c r="N475">
        <f>IF(COUNTIFS('United Data'!$A$3:$A$2150,N$1,'United Data'!$C$3:$C$2150,$A475,'United Data'!$B$3:$B$2150,"&lt;&gt;P")&gt;0,1,0)</f>
        <v>0</v>
      </c>
      <c r="O475">
        <f>IF(COUNTIFS('United Data'!$A$3:$A$2150,O$1,'United Data'!$C$3:$C$2150,$A475,'United Data'!$B$3:$B$2150,"&lt;&gt;P")&gt;0,1,0)</f>
        <v>0</v>
      </c>
      <c r="P475">
        <f>IF(COUNTIFS('United Data'!$A$3:$A$2150,P$1,'United Data'!$C$3:$C$2150,$A475,'United Data'!$B$3:$B$2150,"&lt;&gt;P")&gt;0,1,0)</f>
        <v>0</v>
      </c>
      <c r="Q475">
        <f>IF(COUNTIFS('United Data'!$A$3:$A$2150,Q$1,'United Data'!$C$3:$C$2150,$A475,'United Data'!$B$3:$B$2150,"&lt;&gt;P")&gt;0,1,0)</f>
        <v>0</v>
      </c>
      <c r="R475">
        <f>IF(COUNTIFS('United Data'!$A$3:$A$2150,R$1,'United Data'!$C$3:$C$2150,$A475,'United Data'!$B$3:$B$2150,"&lt;&gt;P")&gt;0,1,0)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522</v>
      </c>
      <c r="B476">
        <f>IF(COUNTIFS('United Data'!$A$3:$A$2150,B$1,'United Data'!$C$3:$C$2150,$A476,'United Data'!$B$3:$B$2150,"&lt;&gt;P")&gt;0,1,0)</f>
        <v>0</v>
      </c>
      <c r="C476">
        <f>IF(COUNTIFS('United Data'!$A$3:$A$2150,C$1,'United Data'!$C$3:$C$2150,$A476,'United Data'!$B$3:$B$2150,"&lt;&gt;P")&gt;0,1,0)</f>
        <v>0</v>
      </c>
      <c r="D476">
        <f>IF(COUNTIFS('United Data'!$A$3:$A$2150,D$1,'United Data'!$C$3:$C$2150,$A476,'United Data'!$B$3:$B$2150,"&lt;&gt;P")&gt;0,1,0)</f>
        <v>0</v>
      </c>
      <c r="E476">
        <f>IF(COUNTIFS('United Data'!$A$3:$A$2150,E$1,'United Data'!$C$3:$C$2150,$A476,'United Data'!$B$3:$B$2150,"&lt;&gt;P")&gt;0,1,0)</f>
        <v>0</v>
      </c>
      <c r="F476">
        <f>IF(COUNTIFS('United Data'!$A$3:$A$2150,F$1,'United Data'!$C$3:$C$2150,$A476,'United Data'!$B$3:$B$2150,"&lt;&gt;P")&gt;0,1,0)</f>
        <v>1</v>
      </c>
      <c r="G476">
        <f>IF(COUNTIFS('United Data'!$A$3:$A$2150,G$1,'United Data'!$C$3:$C$2150,$A476,'United Data'!$B$3:$B$2150,"&lt;&gt;P")&gt;0,1,0)</f>
        <v>0</v>
      </c>
      <c r="H476">
        <f>IF(COUNTIFS('United Data'!$A$3:$A$2150,H$1,'United Data'!$C$3:$C$2150,$A476,'United Data'!$B$3:$B$2150,"&lt;&gt;P")&gt;0,1,0)</f>
        <v>0</v>
      </c>
      <c r="I476">
        <f>IF(COUNTIFS('United Data'!$A$3:$A$2150,I$1,'United Data'!$C$3:$C$2150,$A476,'United Data'!$B$3:$B$2150,"&lt;&gt;P")&gt;0,1,0)</f>
        <v>0</v>
      </c>
      <c r="J476">
        <f>IF(COUNTIFS('United Data'!$A$3:$A$2150,J$1,'United Data'!$C$3:$C$2150,$A476,'United Data'!$B$3:$B$2150,"&lt;&gt;P")&gt;0,1,0)</f>
        <v>0</v>
      </c>
      <c r="K476">
        <f>IF(COUNTIFS('United Data'!$A$3:$A$2150,K$1,'United Data'!$C$3:$C$2150,$A476,'United Data'!$B$3:$B$2150,"&lt;&gt;P")&gt;0,1,0)</f>
        <v>0</v>
      </c>
      <c r="L476">
        <f>IF(COUNTIFS('United Data'!$A$3:$A$2150,L$1,'United Data'!$C$3:$C$2150,$A476,'United Data'!$B$3:$B$2150,"&lt;&gt;P")&gt;0,1,0)</f>
        <v>0</v>
      </c>
      <c r="M476">
        <f>IF(COUNTIFS('United Data'!$A$3:$A$2150,M$1,'United Data'!$C$3:$C$2150,$A476,'United Data'!$B$3:$B$2150,"&lt;&gt;P")&gt;0,1,0)</f>
        <v>0</v>
      </c>
      <c r="N476">
        <f>IF(COUNTIFS('United Data'!$A$3:$A$2150,N$1,'United Data'!$C$3:$C$2150,$A476,'United Data'!$B$3:$B$2150,"&lt;&gt;P")&gt;0,1,0)</f>
        <v>0</v>
      </c>
      <c r="O476">
        <f>IF(COUNTIFS('United Data'!$A$3:$A$2150,O$1,'United Data'!$C$3:$C$2150,$A476,'United Data'!$B$3:$B$2150,"&lt;&gt;P")&gt;0,1,0)</f>
        <v>0</v>
      </c>
      <c r="P476">
        <f>IF(COUNTIFS('United Data'!$A$3:$A$2150,P$1,'United Data'!$C$3:$C$2150,$A476,'United Data'!$B$3:$B$2150,"&lt;&gt;P")&gt;0,1,0)</f>
        <v>0</v>
      </c>
      <c r="Q476">
        <f>IF(COUNTIFS('United Data'!$A$3:$A$2150,Q$1,'United Data'!$C$3:$C$2150,$A476,'United Data'!$B$3:$B$2150,"&lt;&gt;P")&gt;0,1,0)</f>
        <v>0</v>
      </c>
      <c r="R476">
        <f>IF(COUNTIFS('United Data'!$A$3:$A$2150,R$1,'United Data'!$C$3:$C$2150,$A476,'United Data'!$B$3:$B$2150,"&lt;&gt;P")&gt;0,1,0)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523</v>
      </c>
      <c r="B477">
        <f>IF(COUNTIFS('United Data'!$A$3:$A$2150,B$1,'United Data'!$C$3:$C$2150,$A477,'United Data'!$B$3:$B$2150,"&lt;&gt;P")&gt;0,1,0)</f>
        <v>0</v>
      </c>
      <c r="C477">
        <f>IF(COUNTIFS('United Data'!$A$3:$A$2150,C$1,'United Data'!$C$3:$C$2150,$A477,'United Data'!$B$3:$B$2150,"&lt;&gt;P")&gt;0,1,0)</f>
        <v>0</v>
      </c>
      <c r="D477">
        <f>IF(COUNTIFS('United Data'!$A$3:$A$2150,D$1,'United Data'!$C$3:$C$2150,$A477,'United Data'!$B$3:$B$2150,"&lt;&gt;P")&gt;0,1,0)</f>
        <v>0</v>
      </c>
      <c r="E477">
        <f>IF(COUNTIFS('United Data'!$A$3:$A$2150,E$1,'United Data'!$C$3:$C$2150,$A477,'United Data'!$B$3:$B$2150,"&lt;&gt;P")&gt;0,1,0)</f>
        <v>0</v>
      </c>
      <c r="F477">
        <f>IF(COUNTIFS('United Data'!$A$3:$A$2150,F$1,'United Data'!$C$3:$C$2150,$A477,'United Data'!$B$3:$B$2150,"&lt;&gt;P")&gt;0,1,0)</f>
        <v>1</v>
      </c>
      <c r="G477">
        <f>IF(COUNTIFS('United Data'!$A$3:$A$2150,G$1,'United Data'!$C$3:$C$2150,$A477,'United Data'!$B$3:$B$2150,"&lt;&gt;P")&gt;0,1,0)</f>
        <v>0</v>
      </c>
      <c r="H477">
        <f>IF(COUNTIFS('United Data'!$A$3:$A$2150,H$1,'United Data'!$C$3:$C$2150,$A477,'United Data'!$B$3:$B$2150,"&lt;&gt;P")&gt;0,1,0)</f>
        <v>0</v>
      </c>
      <c r="I477">
        <f>IF(COUNTIFS('United Data'!$A$3:$A$2150,I$1,'United Data'!$C$3:$C$2150,$A477,'United Data'!$B$3:$B$2150,"&lt;&gt;P")&gt;0,1,0)</f>
        <v>0</v>
      </c>
      <c r="J477">
        <f>IF(COUNTIFS('United Data'!$A$3:$A$2150,J$1,'United Data'!$C$3:$C$2150,$A477,'United Data'!$B$3:$B$2150,"&lt;&gt;P")&gt;0,1,0)</f>
        <v>0</v>
      </c>
      <c r="K477">
        <f>IF(COUNTIFS('United Data'!$A$3:$A$2150,K$1,'United Data'!$C$3:$C$2150,$A477,'United Data'!$B$3:$B$2150,"&lt;&gt;P")&gt;0,1,0)</f>
        <v>0</v>
      </c>
      <c r="L477">
        <f>IF(COUNTIFS('United Data'!$A$3:$A$2150,L$1,'United Data'!$C$3:$C$2150,$A477,'United Data'!$B$3:$B$2150,"&lt;&gt;P")&gt;0,1,0)</f>
        <v>0</v>
      </c>
      <c r="M477">
        <f>IF(COUNTIFS('United Data'!$A$3:$A$2150,M$1,'United Data'!$C$3:$C$2150,$A477,'United Data'!$B$3:$B$2150,"&lt;&gt;P")&gt;0,1,0)</f>
        <v>0</v>
      </c>
      <c r="N477">
        <f>IF(COUNTIFS('United Data'!$A$3:$A$2150,N$1,'United Data'!$C$3:$C$2150,$A477,'United Data'!$B$3:$B$2150,"&lt;&gt;P")&gt;0,1,0)</f>
        <v>0</v>
      </c>
      <c r="O477">
        <f>IF(COUNTIFS('United Data'!$A$3:$A$2150,O$1,'United Data'!$C$3:$C$2150,$A477,'United Data'!$B$3:$B$2150,"&lt;&gt;P")&gt;0,1,0)</f>
        <v>0</v>
      </c>
      <c r="P477">
        <f>IF(COUNTIFS('United Data'!$A$3:$A$2150,P$1,'United Data'!$C$3:$C$2150,$A477,'United Data'!$B$3:$B$2150,"&lt;&gt;P")&gt;0,1,0)</f>
        <v>0</v>
      </c>
      <c r="Q477">
        <f>IF(COUNTIFS('United Data'!$A$3:$A$2150,Q$1,'United Data'!$C$3:$C$2150,$A477,'United Data'!$B$3:$B$2150,"&lt;&gt;P")&gt;0,1,0)</f>
        <v>0</v>
      </c>
      <c r="R477">
        <f>IF(COUNTIFS('United Data'!$A$3:$A$2150,R$1,'United Data'!$C$3:$C$2150,$A477,'United Data'!$B$3:$B$2150,"&lt;&gt;P")&gt;0,1,0)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524</v>
      </c>
      <c r="B478">
        <f>IF(COUNTIFS('United Data'!$A$3:$A$2150,B$1,'United Data'!$C$3:$C$2150,$A478,'United Data'!$B$3:$B$2150,"&lt;&gt;P")&gt;0,1,0)</f>
        <v>0</v>
      </c>
      <c r="C478">
        <f>IF(COUNTIFS('United Data'!$A$3:$A$2150,C$1,'United Data'!$C$3:$C$2150,$A478,'United Data'!$B$3:$B$2150,"&lt;&gt;P")&gt;0,1,0)</f>
        <v>0</v>
      </c>
      <c r="D478">
        <f>IF(COUNTIFS('United Data'!$A$3:$A$2150,D$1,'United Data'!$C$3:$C$2150,$A478,'United Data'!$B$3:$B$2150,"&lt;&gt;P")&gt;0,1,0)</f>
        <v>0</v>
      </c>
      <c r="E478">
        <f>IF(COUNTIFS('United Data'!$A$3:$A$2150,E$1,'United Data'!$C$3:$C$2150,$A478,'United Data'!$B$3:$B$2150,"&lt;&gt;P")&gt;0,1,0)</f>
        <v>0</v>
      </c>
      <c r="F478">
        <f>IF(COUNTIFS('United Data'!$A$3:$A$2150,F$1,'United Data'!$C$3:$C$2150,$A478,'United Data'!$B$3:$B$2150,"&lt;&gt;P")&gt;0,1,0)</f>
        <v>1</v>
      </c>
      <c r="G478">
        <f>IF(COUNTIFS('United Data'!$A$3:$A$2150,G$1,'United Data'!$C$3:$C$2150,$A478,'United Data'!$B$3:$B$2150,"&lt;&gt;P")&gt;0,1,0)</f>
        <v>0</v>
      </c>
      <c r="H478">
        <f>IF(COUNTIFS('United Data'!$A$3:$A$2150,H$1,'United Data'!$C$3:$C$2150,$A478,'United Data'!$B$3:$B$2150,"&lt;&gt;P")&gt;0,1,0)</f>
        <v>0</v>
      </c>
      <c r="I478">
        <f>IF(COUNTIFS('United Data'!$A$3:$A$2150,I$1,'United Data'!$C$3:$C$2150,$A478,'United Data'!$B$3:$B$2150,"&lt;&gt;P")&gt;0,1,0)</f>
        <v>0</v>
      </c>
      <c r="J478">
        <f>IF(COUNTIFS('United Data'!$A$3:$A$2150,J$1,'United Data'!$C$3:$C$2150,$A478,'United Data'!$B$3:$B$2150,"&lt;&gt;P")&gt;0,1,0)</f>
        <v>0</v>
      </c>
      <c r="K478">
        <f>IF(COUNTIFS('United Data'!$A$3:$A$2150,K$1,'United Data'!$C$3:$C$2150,$A478,'United Data'!$B$3:$B$2150,"&lt;&gt;P")&gt;0,1,0)</f>
        <v>0</v>
      </c>
      <c r="L478">
        <f>IF(COUNTIFS('United Data'!$A$3:$A$2150,L$1,'United Data'!$C$3:$C$2150,$A478,'United Data'!$B$3:$B$2150,"&lt;&gt;P")&gt;0,1,0)</f>
        <v>0</v>
      </c>
      <c r="M478">
        <f>IF(COUNTIFS('United Data'!$A$3:$A$2150,M$1,'United Data'!$C$3:$C$2150,$A478,'United Data'!$B$3:$B$2150,"&lt;&gt;P")&gt;0,1,0)</f>
        <v>0</v>
      </c>
      <c r="N478">
        <f>IF(COUNTIFS('United Data'!$A$3:$A$2150,N$1,'United Data'!$C$3:$C$2150,$A478,'United Data'!$B$3:$B$2150,"&lt;&gt;P")&gt;0,1,0)</f>
        <v>0</v>
      </c>
      <c r="O478">
        <f>IF(COUNTIFS('United Data'!$A$3:$A$2150,O$1,'United Data'!$C$3:$C$2150,$A478,'United Data'!$B$3:$B$2150,"&lt;&gt;P")&gt;0,1,0)</f>
        <v>0</v>
      </c>
      <c r="P478">
        <f>IF(COUNTIFS('United Data'!$A$3:$A$2150,P$1,'United Data'!$C$3:$C$2150,$A478,'United Data'!$B$3:$B$2150,"&lt;&gt;P")&gt;0,1,0)</f>
        <v>0</v>
      </c>
      <c r="Q478">
        <f>IF(COUNTIFS('United Data'!$A$3:$A$2150,Q$1,'United Data'!$C$3:$C$2150,$A478,'United Data'!$B$3:$B$2150,"&lt;&gt;P")&gt;0,1,0)</f>
        <v>0</v>
      </c>
      <c r="R478">
        <f>IF(COUNTIFS('United Data'!$A$3:$A$2150,R$1,'United Data'!$C$3:$C$2150,$A478,'United Data'!$B$3:$B$2150,"&lt;&gt;P")&gt;0,1,0)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525</v>
      </c>
      <c r="B479">
        <f>IF(COUNTIFS('United Data'!$A$3:$A$2150,B$1,'United Data'!$C$3:$C$2150,$A479,'United Data'!$B$3:$B$2150,"&lt;&gt;P")&gt;0,1,0)</f>
        <v>0</v>
      </c>
      <c r="C479">
        <f>IF(COUNTIFS('United Data'!$A$3:$A$2150,C$1,'United Data'!$C$3:$C$2150,$A479,'United Data'!$B$3:$B$2150,"&lt;&gt;P")&gt;0,1,0)</f>
        <v>0</v>
      </c>
      <c r="D479">
        <f>IF(COUNTIFS('United Data'!$A$3:$A$2150,D$1,'United Data'!$C$3:$C$2150,$A479,'United Data'!$B$3:$B$2150,"&lt;&gt;P")&gt;0,1,0)</f>
        <v>0</v>
      </c>
      <c r="E479">
        <f>IF(COUNTIFS('United Data'!$A$3:$A$2150,E$1,'United Data'!$C$3:$C$2150,$A479,'United Data'!$B$3:$B$2150,"&lt;&gt;P")&gt;0,1,0)</f>
        <v>0</v>
      </c>
      <c r="F479">
        <f>IF(COUNTIFS('United Data'!$A$3:$A$2150,F$1,'United Data'!$C$3:$C$2150,$A479,'United Data'!$B$3:$B$2150,"&lt;&gt;P")&gt;0,1,0)</f>
        <v>0</v>
      </c>
      <c r="G479">
        <f>IF(COUNTIFS('United Data'!$A$3:$A$2150,G$1,'United Data'!$C$3:$C$2150,$A479,'United Data'!$B$3:$B$2150,"&lt;&gt;P")&gt;0,1,0)</f>
        <v>1</v>
      </c>
      <c r="H479">
        <f>IF(COUNTIFS('United Data'!$A$3:$A$2150,H$1,'United Data'!$C$3:$C$2150,$A479,'United Data'!$B$3:$B$2150,"&lt;&gt;P")&gt;0,1,0)</f>
        <v>0</v>
      </c>
      <c r="I479">
        <f>IF(COUNTIFS('United Data'!$A$3:$A$2150,I$1,'United Data'!$C$3:$C$2150,$A479,'United Data'!$B$3:$B$2150,"&lt;&gt;P")&gt;0,1,0)</f>
        <v>0</v>
      </c>
      <c r="J479">
        <f>IF(COUNTIFS('United Data'!$A$3:$A$2150,J$1,'United Data'!$C$3:$C$2150,$A479,'United Data'!$B$3:$B$2150,"&lt;&gt;P")&gt;0,1,0)</f>
        <v>0</v>
      </c>
      <c r="K479">
        <f>IF(COUNTIFS('United Data'!$A$3:$A$2150,K$1,'United Data'!$C$3:$C$2150,$A479,'United Data'!$B$3:$B$2150,"&lt;&gt;P")&gt;0,1,0)</f>
        <v>0</v>
      </c>
      <c r="L479">
        <f>IF(COUNTIFS('United Data'!$A$3:$A$2150,L$1,'United Data'!$C$3:$C$2150,$A479,'United Data'!$B$3:$B$2150,"&lt;&gt;P")&gt;0,1,0)</f>
        <v>0</v>
      </c>
      <c r="M479">
        <f>IF(COUNTIFS('United Data'!$A$3:$A$2150,M$1,'United Data'!$C$3:$C$2150,$A479,'United Data'!$B$3:$B$2150,"&lt;&gt;P")&gt;0,1,0)</f>
        <v>0</v>
      </c>
      <c r="N479">
        <f>IF(COUNTIFS('United Data'!$A$3:$A$2150,N$1,'United Data'!$C$3:$C$2150,$A479,'United Data'!$B$3:$B$2150,"&lt;&gt;P")&gt;0,1,0)</f>
        <v>0</v>
      </c>
      <c r="O479">
        <f>IF(COUNTIFS('United Data'!$A$3:$A$2150,O$1,'United Data'!$C$3:$C$2150,$A479,'United Data'!$B$3:$B$2150,"&lt;&gt;P")&gt;0,1,0)</f>
        <v>0</v>
      </c>
      <c r="P479">
        <f>IF(COUNTIFS('United Data'!$A$3:$A$2150,P$1,'United Data'!$C$3:$C$2150,$A479,'United Data'!$B$3:$B$2150,"&lt;&gt;P")&gt;0,1,0)</f>
        <v>0</v>
      </c>
      <c r="Q479">
        <f>IF(COUNTIFS('United Data'!$A$3:$A$2150,Q$1,'United Data'!$C$3:$C$2150,$A479,'United Data'!$B$3:$B$2150,"&lt;&gt;P")&gt;0,1,0)</f>
        <v>0</v>
      </c>
      <c r="R479">
        <f>IF(COUNTIFS('United Data'!$A$3:$A$2150,R$1,'United Data'!$C$3:$C$2150,$A479,'United Data'!$B$3:$B$2150,"&lt;&gt;P")&gt;0,1,0)</f>
        <v>0</v>
      </c>
      <c r="S479">
        <f t="shared" si="14"/>
        <v>1</v>
      </c>
      <c r="T479">
        <f t="shared" si="15"/>
        <v>1</v>
      </c>
    </row>
    <row r="480" spans="1:20" x14ac:dyDescent="0.2">
      <c r="A480" t="s">
        <v>526</v>
      </c>
      <c r="B480">
        <f>IF(COUNTIFS('United Data'!$A$3:$A$2150,B$1,'United Data'!$C$3:$C$2150,$A480,'United Data'!$B$3:$B$2150,"&lt;&gt;P")&gt;0,1,0)</f>
        <v>0</v>
      </c>
      <c r="C480">
        <f>IF(COUNTIFS('United Data'!$A$3:$A$2150,C$1,'United Data'!$C$3:$C$2150,$A480,'United Data'!$B$3:$B$2150,"&lt;&gt;P")&gt;0,1,0)</f>
        <v>0</v>
      </c>
      <c r="D480">
        <f>IF(COUNTIFS('United Data'!$A$3:$A$2150,D$1,'United Data'!$C$3:$C$2150,$A480,'United Data'!$B$3:$B$2150,"&lt;&gt;P")&gt;0,1,0)</f>
        <v>0</v>
      </c>
      <c r="E480">
        <f>IF(COUNTIFS('United Data'!$A$3:$A$2150,E$1,'United Data'!$C$3:$C$2150,$A480,'United Data'!$B$3:$B$2150,"&lt;&gt;P")&gt;0,1,0)</f>
        <v>0</v>
      </c>
      <c r="F480">
        <f>IF(COUNTIFS('United Data'!$A$3:$A$2150,F$1,'United Data'!$C$3:$C$2150,$A480,'United Data'!$B$3:$B$2150,"&lt;&gt;P")&gt;0,1,0)</f>
        <v>0</v>
      </c>
      <c r="G480">
        <f>IF(COUNTIFS('United Data'!$A$3:$A$2150,G$1,'United Data'!$C$3:$C$2150,$A480,'United Data'!$B$3:$B$2150,"&lt;&gt;P")&gt;0,1,0)</f>
        <v>1</v>
      </c>
      <c r="H480">
        <f>IF(COUNTIFS('United Data'!$A$3:$A$2150,H$1,'United Data'!$C$3:$C$2150,$A480,'United Data'!$B$3:$B$2150,"&lt;&gt;P")&gt;0,1,0)</f>
        <v>0</v>
      </c>
      <c r="I480">
        <f>IF(COUNTIFS('United Data'!$A$3:$A$2150,I$1,'United Data'!$C$3:$C$2150,$A480,'United Data'!$B$3:$B$2150,"&lt;&gt;P")&gt;0,1,0)</f>
        <v>0</v>
      </c>
      <c r="J480">
        <f>IF(COUNTIFS('United Data'!$A$3:$A$2150,J$1,'United Data'!$C$3:$C$2150,$A480,'United Data'!$B$3:$B$2150,"&lt;&gt;P")&gt;0,1,0)</f>
        <v>0</v>
      </c>
      <c r="K480">
        <f>IF(COUNTIFS('United Data'!$A$3:$A$2150,K$1,'United Data'!$C$3:$C$2150,$A480,'United Data'!$B$3:$B$2150,"&lt;&gt;P")&gt;0,1,0)</f>
        <v>0</v>
      </c>
      <c r="L480">
        <f>IF(COUNTIFS('United Data'!$A$3:$A$2150,L$1,'United Data'!$C$3:$C$2150,$A480,'United Data'!$B$3:$B$2150,"&lt;&gt;P")&gt;0,1,0)</f>
        <v>0</v>
      </c>
      <c r="M480">
        <f>IF(COUNTIFS('United Data'!$A$3:$A$2150,M$1,'United Data'!$C$3:$C$2150,$A480,'United Data'!$B$3:$B$2150,"&lt;&gt;P")&gt;0,1,0)</f>
        <v>0</v>
      </c>
      <c r="N480">
        <f>IF(COUNTIFS('United Data'!$A$3:$A$2150,N$1,'United Data'!$C$3:$C$2150,$A480,'United Data'!$B$3:$B$2150,"&lt;&gt;P")&gt;0,1,0)</f>
        <v>0</v>
      </c>
      <c r="O480">
        <f>IF(COUNTIFS('United Data'!$A$3:$A$2150,O$1,'United Data'!$C$3:$C$2150,$A480,'United Data'!$B$3:$B$2150,"&lt;&gt;P")&gt;0,1,0)</f>
        <v>0</v>
      </c>
      <c r="P480">
        <f>IF(COUNTIFS('United Data'!$A$3:$A$2150,P$1,'United Data'!$C$3:$C$2150,$A480,'United Data'!$B$3:$B$2150,"&lt;&gt;P")&gt;0,1,0)</f>
        <v>0</v>
      </c>
      <c r="Q480">
        <f>IF(COUNTIFS('United Data'!$A$3:$A$2150,Q$1,'United Data'!$C$3:$C$2150,$A480,'United Data'!$B$3:$B$2150,"&lt;&gt;P")&gt;0,1,0)</f>
        <v>0</v>
      </c>
      <c r="R480">
        <f>IF(COUNTIFS('United Data'!$A$3:$A$2150,R$1,'United Data'!$C$3:$C$2150,$A480,'United Data'!$B$3:$B$2150,"&lt;&gt;P")&gt;0,1,0)</f>
        <v>0</v>
      </c>
      <c r="S480">
        <f t="shared" si="14"/>
        <v>1</v>
      </c>
      <c r="T480">
        <f t="shared" si="15"/>
        <v>1</v>
      </c>
    </row>
    <row r="481" spans="1:20" x14ac:dyDescent="0.2">
      <c r="A481" t="s">
        <v>527</v>
      </c>
      <c r="B481">
        <f>IF(COUNTIFS('United Data'!$A$3:$A$2150,B$1,'United Data'!$C$3:$C$2150,$A481,'United Data'!$B$3:$B$2150,"&lt;&gt;P")&gt;0,1,0)</f>
        <v>0</v>
      </c>
      <c r="C481">
        <f>IF(COUNTIFS('United Data'!$A$3:$A$2150,C$1,'United Data'!$C$3:$C$2150,$A481,'United Data'!$B$3:$B$2150,"&lt;&gt;P")&gt;0,1,0)</f>
        <v>0</v>
      </c>
      <c r="D481">
        <f>IF(COUNTIFS('United Data'!$A$3:$A$2150,D$1,'United Data'!$C$3:$C$2150,$A481,'United Data'!$B$3:$B$2150,"&lt;&gt;P")&gt;0,1,0)</f>
        <v>0</v>
      </c>
      <c r="E481">
        <f>IF(COUNTIFS('United Data'!$A$3:$A$2150,E$1,'United Data'!$C$3:$C$2150,$A481,'United Data'!$B$3:$B$2150,"&lt;&gt;P")&gt;0,1,0)</f>
        <v>0</v>
      </c>
      <c r="F481">
        <f>IF(COUNTIFS('United Data'!$A$3:$A$2150,F$1,'United Data'!$C$3:$C$2150,$A481,'United Data'!$B$3:$B$2150,"&lt;&gt;P")&gt;0,1,0)</f>
        <v>0</v>
      </c>
      <c r="G481">
        <f>IF(COUNTIFS('United Data'!$A$3:$A$2150,G$1,'United Data'!$C$3:$C$2150,$A481,'United Data'!$B$3:$B$2150,"&lt;&gt;P")&gt;0,1,0)</f>
        <v>1</v>
      </c>
      <c r="H481">
        <f>IF(COUNTIFS('United Data'!$A$3:$A$2150,H$1,'United Data'!$C$3:$C$2150,$A481,'United Data'!$B$3:$B$2150,"&lt;&gt;P")&gt;0,1,0)</f>
        <v>0</v>
      </c>
      <c r="I481">
        <f>IF(COUNTIFS('United Data'!$A$3:$A$2150,I$1,'United Data'!$C$3:$C$2150,$A481,'United Data'!$B$3:$B$2150,"&lt;&gt;P")&gt;0,1,0)</f>
        <v>0</v>
      </c>
      <c r="J481">
        <f>IF(COUNTIFS('United Data'!$A$3:$A$2150,J$1,'United Data'!$C$3:$C$2150,$A481,'United Data'!$B$3:$B$2150,"&lt;&gt;P")&gt;0,1,0)</f>
        <v>0</v>
      </c>
      <c r="K481">
        <f>IF(COUNTIFS('United Data'!$A$3:$A$2150,K$1,'United Data'!$C$3:$C$2150,$A481,'United Data'!$B$3:$B$2150,"&lt;&gt;P")&gt;0,1,0)</f>
        <v>0</v>
      </c>
      <c r="L481">
        <f>IF(COUNTIFS('United Data'!$A$3:$A$2150,L$1,'United Data'!$C$3:$C$2150,$A481,'United Data'!$B$3:$B$2150,"&lt;&gt;P")&gt;0,1,0)</f>
        <v>0</v>
      </c>
      <c r="M481">
        <f>IF(COUNTIFS('United Data'!$A$3:$A$2150,M$1,'United Data'!$C$3:$C$2150,$A481,'United Data'!$B$3:$B$2150,"&lt;&gt;P")&gt;0,1,0)</f>
        <v>0</v>
      </c>
      <c r="N481">
        <f>IF(COUNTIFS('United Data'!$A$3:$A$2150,N$1,'United Data'!$C$3:$C$2150,$A481,'United Data'!$B$3:$B$2150,"&lt;&gt;P")&gt;0,1,0)</f>
        <v>0</v>
      </c>
      <c r="O481">
        <f>IF(COUNTIFS('United Data'!$A$3:$A$2150,O$1,'United Data'!$C$3:$C$2150,$A481,'United Data'!$B$3:$B$2150,"&lt;&gt;P")&gt;0,1,0)</f>
        <v>0</v>
      </c>
      <c r="P481">
        <f>IF(COUNTIFS('United Data'!$A$3:$A$2150,P$1,'United Data'!$C$3:$C$2150,$A481,'United Data'!$B$3:$B$2150,"&lt;&gt;P")&gt;0,1,0)</f>
        <v>0</v>
      </c>
      <c r="Q481">
        <f>IF(COUNTIFS('United Data'!$A$3:$A$2150,Q$1,'United Data'!$C$3:$C$2150,$A481,'United Data'!$B$3:$B$2150,"&lt;&gt;P")&gt;0,1,0)</f>
        <v>0</v>
      </c>
      <c r="R481">
        <f>IF(COUNTIFS('United Data'!$A$3:$A$2150,R$1,'United Data'!$C$3:$C$2150,$A481,'United Data'!$B$3:$B$2150,"&lt;&gt;P")&gt;0,1,0)</f>
        <v>0</v>
      </c>
      <c r="S481">
        <f t="shared" si="14"/>
        <v>1</v>
      </c>
      <c r="T481">
        <f t="shared" si="15"/>
        <v>1</v>
      </c>
    </row>
    <row r="482" spans="1:20" x14ac:dyDescent="0.2">
      <c r="A482" t="s">
        <v>528</v>
      </c>
      <c r="B482">
        <f>IF(COUNTIFS('United Data'!$A$3:$A$2150,B$1,'United Data'!$C$3:$C$2150,$A482,'United Data'!$B$3:$B$2150,"&lt;&gt;P")&gt;0,1,0)</f>
        <v>0</v>
      </c>
      <c r="C482">
        <f>IF(COUNTIFS('United Data'!$A$3:$A$2150,C$1,'United Data'!$C$3:$C$2150,$A482,'United Data'!$B$3:$B$2150,"&lt;&gt;P")&gt;0,1,0)</f>
        <v>0</v>
      </c>
      <c r="D482">
        <f>IF(COUNTIFS('United Data'!$A$3:$A$2150,D$1,'United Data'!$C$3:$C$2150,$A482,'United Data'!$B$3:$B$2150,"&lt;&gt;P")&gt;0,1,0)</f>
        <v>0</v>
      </c>
      <c r="E482">
        <f>IF(COUNTIFS('United Data'!$A$3:$A$2150,E$1,'United Data'!$C$3:$C$2150,$A482,'United Data'!$B$3:$B$2150,"&lt;&gt;P")&gt;0,1,0)</f>
        <v>0</v>
      </c>
      <c r="F482">
        <f>IF(COUNTIFS('United Data'!$A$3:$A$2150,F$1,'United Data'!$C$3:$C$2150,$A482,'United Data'!$B$3:$B$2150,"&lt;&gt;P")&gt;0,1,0)</f>
        <v>0</v>
      </c>
      <c r="G482">
        <f>IF(COUNTIFS('United Data'!$A$3:$A$2150,G$1,'United Data'!$C$3:$C$2150,$A482,'United Data'!$B$3:$B$2150,"&lt;&gt;P")&gt;0,1,0)</f>
        <v>1</v>
      </c>
      <c r="H482">
        <f>IF(COUNTIFS('United Data'!$A$3:$A$2150,H$1,'United Data'!$C$3:$C$2150,$A482,'United Data'!$B$3:$B$2150,"&lt;&gt;P")&gt;0,1,0)</f>
        <v>0</v>
      </c>
      <c r="I482">
        <f>IF(COUNTIFS('United Data'!$A$3:$A$2150,I$1,'United Data'!$C$3:$C$2150,$A482,'United Data'!$B$3:$B$2150,"&lt;&gt;P")&gt;0,1,0)</f>
        <v>0</v>
      </c>
      <c r="J482">
        <f>IF(COUNTIFS('United Data'!$A$3:$A$2150,J$1,'United Data'!$C$3:$C$2150,$A482,'United Data'!$B$3:$B$2150,"&lt;&gt;P")&gt;0,1,0)</f>
        <v>0</v>
      </c>
      <c r="K482">
        <f>IF(COUNTIFS('United Data'!$A$3:$A$2150,K$1,'United Data'!$C$3:$C$2150,$A482,'United Data'!$B$3:$B$2150,"&lt;&gt;P")&gt;0,1,0)</f>
        <v>0</v>
      </c>
      <c r="L482">
        <f>IF(COUNTIFS('United Data'!$A$3:$A$2150,L$1,'United Data'!$C$3:$C$2150,$A482,'United Data'!$B$3:$B$2150,"&lt;&gt;P")&gt;0,1,0)</f>
        <v>0</v>
      </c>
      <c r="M482">
        <f>IF(COUNTIFS('United Data'!$A$3:$A$2150,M$1,'United Data'!$C$3:$C$2150,$A482,'United Data'!$B$3:$B$2150,"&lt;&gt;P")&gt;0,1,0)</f>
        <v>0</v>
      </c>
      <c r="N482">
        <f>IF(COUNTIFS('United Data'!$A$3:$A$2150,N$1,'United Data'!$C$3:$C$2150,$A482,'United Data'!$B$3:$B$2150,"&lt;&gt;P")&gt;0,1,0)</f>
        <v>0</v>
      </c>
      <c r="O482">
        <f>IF(COUNTIFS('United Data'!$A$3:$A$2150,O$1,'United Data'!$C$3:$C$2150,$A482,'United Data'!$B$3:$B$2150,"&lt;&gt;P")&gt;0,1,0)</f>
        <v>0</v>
      </c>
      <c r="P482">
        <f>IF(COUNTIFS('United Data'!$A$3:$A$2150,P$1,'United Data'!$C$3:$C$2150,$A482,'United Data'!$B$3:$B$2150,"&lt;&gt;P")&gt;0,1,0)</f>
        <v>0</v>
      </c>
      <c r="Q482">
        <f>IF(COUNTIFS('United Data'!$A$3:$A$2150,Q$1,'United Data'!$C$3:$C$2150,$A482,'United Data'!$B$3:$B$2150,"&lt;&gt;P")&gt;0,1,0)</f>
        <v>0</v>
      </c>
      <c r="R482">
        <f>IF(COUNTIFS('United Data'!$A$3:$A$2150,R$1,'United Data'!$C$3:$C$2150,$A482,'United Data'!$B$3:$B$2150,"&lt;&gt;P")&gt;0,1,0)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529</v>
      </c>
      <c r="B483">
        <f>IF(COUNTIFS('United Data'!$A$3:$A$2150,B$1,'United Data'!$C$3:$C$2150,$A483,'United Data'!$B$3:$B$2150,"&lt;&gt;P")&gt;0,1,0)</f>
        <v>0</v>
      </c>
      <c r="C483">
        <f>IF(COUNTIFS('United Data'!$A$3:$A$2150,C$1,'United Data'!$C$3:$C$2150,$A483,'United Data'!$B$3:$B$2150,"&lt;&gt;P")&gt;0,1,0)</f>
        <v>0</v>
      </c>
      <c r="D483">
        <f>IF(COUNTIFS('United Data'!$A$3:$A$2150,D$1,'United Data'!$C$3:$C$2150,$A483,'United Data'!$B$3:$B$2150,"&lt;&gt;P")&gt;0,1,0)</f>
        <v>0</v>
      </c>
      <c r="E483">
        <f>IF(COUNTIFS('United Data'!$A$3:$A$2150,E$1,'United Data'!$C$3:$C$2150,$A483,'United Data'!$B$3:$B$2150,"&lt;&gt;P")&gt;0,1,0)</f>
        <v>0</v>
      </c>
      <c r="F483">
        <f>IF(COUNTIFS('United Data'!$A$3:$A$2150,F$1,'United Data'!$C$3:$C$2150,$A483,'United Data'!$B$3:$B$2150,"&lt;&gt;P")&gt;0,1,0)</f>
        <v>0</v>
      </c>
      <c r="G483">
        <f>IF(COUNTIFS('United Data'!$A$3:$A$2150,G$1,'United Data'!$C$3:$C$2150,$A483,'United Data'!$B$3:$B$2150,"&lt;&gt;P")&gt;0,1,0)</f>
        <v>1</v>
      </c>
      <c r="H483">
        <f>IF(COUNTIFS('United Data'!$A$3:$A$2150,H$1,'United Data'!$C$3:$C$2150,$A483,'United Data'!$B$3:$B$2150,"&lt;&gt;P")&gt;0,1,0)</f>
        <v>0</v>
      </c>
      <c r="I483">
        <f>IF(COUNTIFS('United Data'!$A$3:$A$2150,I$1,'United Data'!$C$3:$C$2150,$A483,'United Data'!$B$3:$B$2150,"&lt;&gt;P")&gt;0,1,0)</f>
        <v>0</v>
      </c>
      <c r="J483">
        <f>IF(COUNTIFS('United Data'!$A$3:$A$2150,J$1,'United Data'!$C$3:$C$2150,$A483,'United Data'!$B$3:$B$2150,"&lt;&gt;P")&gt;0,1,0)</f>
        <v>0</v>
      </c>
      <c r="K483">
        <f>IF(COUNTIFS('United Data'!$A$3:$A$2150,K$1,'United Data'!$C$3:$C$2150,$A483,'United Data'!$B$3:$B$2150,"&lt;&gt;P")&gt;0,1,0)</f>
        <v>0</v>
      </c>
      <c r="L483">
        <f>IF(COUNTIFS('United Data'!$A$3:$A$2150,L$1,'United Data'!$C$3:$C$2150,$A483,'United Data'!$B$3:$B$2150,"&lt;&gt;P")&gt;0,1,0)</f>
        <v>0</v>
      </c>
      <c r="M483">
        <f>IF(COUNTIFS('United Data'!$A$3:$A$2150,M$1,'United Data'!$C$3:$C$2150,$A483,'United Data'!$B$3:$B$2150,"&lt;&gt;P")&gt;0,1,0)</f>
        <v>0</v>
      </c>
      <c r="N483">
        <f>IF(COUNTIFS('United Data'!$A$3:$A$2150,N$1,'United Data'!$C$3:$C$2150,$A483,'United Data'!$B$3:$B$2150,"&lt;&gt;P")&gt;0,1,0)</f>
        <v>0</v>
      </c>
      <c r="O483">
        <f>IF(COUNTIFS('United Data'!$A$3:$A$2150,O$1,'United Data'!$C$3:$C$2150,$A483,'United Data'!$B$3:$B$2150,"&lt;&gt;P")&gt;0,1,0)</f>
        <v>0</v>
      </c>
      <c r="P483">
        <f>IF(COUNTIFS('United Data'!$A$3:$A$2150,P$1,'United Data'!$C$3:$C$2150,$A483,'United Data'!$B$3:$B$2150,"&lt;&gt;P")&gt;0,1,0)</f>
        <v>0</v>
      </c>
      <c r="Q483">
        <f>IF(COUNTIFS('United Data'!$A$3:$A$2150,Q$1,'United Data'!$C$3:$C$2150,$A483,'United Data'!$B$3:$B$2150,"&lt;&gt;P")&gt;0,1,0)</f>
        <v>0</v>
      </c>
      <c r="R483">
        <f>IF(COUNTIFS('United Data'!$A$3:$A$2150,R$1,'United Data'!$C$3:$C$2150,$A483,'United Data'!$B$3:$B$2150,"&lt;&gt;P")&gt;0,1,0)</f>
        <v>0</v>
      </c>
      <c r="S483">
        <f t="shared" si="14"/>
        <v>1</v>
      </c>
      <c r="T483">
        <f t="shared" si="15"/>
        <v>1</v>
      </c>
    </row>
    <row r="484" spans="1:20" x14ac:dyDescent="0.2">
      <c r="A484" t="s">
        <v>530</v>
      </c>
      <c r="B484">
        <f>IF(COUNTIFS('United Data'!$A$3:$A$2150,B$1,'United Data'!$C$3:$C$2150,$A484,'United Data'!$B$3:$B$2150,"&lt;&gt;P")&gt;0,1,0)</f>
        <v>0</v>
      </c>
      <c r="C484">
        <f>IF(COUNTIFS('United Data'!$A$3:$A$2150,C$1,'United Data'!$C$3:$C$2150,$A484,'United Data'!$B$3:$B$2150,"&lt;&gt;P")&gt;0,1,0)</f>
        <v>0</v>
      </c>
      <c r="D484">
        <f>IF(COUNTIFS('United Data'!$A$3:$A$2150,D$1,'United Data'!$C$3:$C$2150,$A484,'United Data'!$B$3:$B$2150,"&lt;&gt;P")&gt;0,1,0)</f>
        <v>0</v>
      </c>
      <c r="E484">
        <f>IF(COUNTIFS('United Data'!$A$3:$A$2150,E$1,'United Data'!$C$3:$C$2150,$A484,'United Data'!$B$3:$B$2150,"&lt;&gt;P")&gt;0,1,0)</f>
        <v>0</v>
      </c>
      <c r="F484">
        <f>IF(COUNTIFS('United Data'!$A$3:$A$2150,F$1,'United Data'!$C$3:$C$2150,$A484,'United Data'!$B$3:$B$2150,"&lt;&gt;P")&gt;0,1,0)</f>
        <v>0</v>
      </c>
      <c r="G484">
        <f>IF(COUNTIFS('United Data'!$A$3:$A$2150,G$1,'United Data'!$C$3:$C$2150,$A484,'United Data'!$B$3:$B$2150,"&lt;&gt;P")&gt;0,1,0)</f>
        <v>1</v>
      </c>
      <c r="H484">
        <f>IF(COUNTIFS('United Data'!$A$3:$A$2150,H$1,'United Data'!$C$3:$C$2150,$A484,'United Data'!$B$3:$B$2150,"&lt;&gt;P")&gt;0,1,0)</f>
        <v>0</v>
      </c>
      <c r="I484">
        <f>IF(COUNTIFS('United Data'!$A$3:$A$2150,I$1,'United Data'!$C$3:$C$2150,$A484,'United Data'!$B$3:$B$2150,"&lt;&gt;P")&gt;0,1,0)</f>
        <v>0</v>
      </c>
      <c r="J484">
        <f>IF(COUNTIFS('United Data'!$A$3:$A$2150,J$1,'United Data'!$C$3:$C$2150,$A484,'United Data'!$B$3:$B$2150,"&lt;&gt;P")&gt;0,1,0)</f>
        <v>0</v>
      </c>
      <c r="K484">
        <f>IF(COUNTIFS('United Data'!$A$3:$A$2150,K$1,'United Data'!$C$3:$C$2150,$A484,'United Data'!$B$3:$B$2150,"&lt;&gt;P")&gt;0,1,0)</f>
        <v>0</v>
      </c>
      <c r="L484">
        <f>IF(COUNTIFS('United Data'!$A$3:$A$2150,L$1,'United Data'!$C$3:$C$2150,$A484,'United Data'!$B$3:$B$2150,"&lt;&gt;P")&gt;0,1,0)</f>
        <v>0</v>
      </c>
      <c r="M484">
        <f>IF(COUNTIFS('United Data'!$A$3:$A$2150,M$1,'United Data'!$C$3:$C$2150,$A484,'United Data'!$B$3:$B$2150,"&lt;&gt;P")&gt;0,1,0)</f>
        <v>0</v>
      </c>
      <c r="N484">
        <f>IF(COUNTIFS('United Data'!$A$3:$A$2150,N$1,'United Data'!$C$3:$C$2150,$A484,'United Data'!$B$3:$B$2150,"&lt;&gt;P")&gt;0,1,0)</f>
        <v>0</v>
      </c>
      <c r="O484">
        <f>IF(COUNTIFS('United Data'!$A$3:$A$2150,O$1,'United Data'!$C$3:$C$2150,$A484,'United Data'!$B$3:$B$2150,"&lt;&gt;P")&gt;0,1,0)</f>
        <v>0</v>
      </c>
      <c r="P484">
        <f>IF(COUNTIFS('United Data'!$A$3:$A$2150,P$1,'United Data'!$C$3:$C$2150,$A484,'United Data'!$B$3:$B$2150,"&lt;&gt;P")&gt;0,1,0)</f>
        <v>0</v>
      </c>
      <c r="Q484">
        <f>IF(COUNTIFS('United Data'!$A$3:$A$2150,Q$1,'United Data'!$C$3:$C$2150,$A484,'United Data'!$B$3:$B$2150,"&lt;&gt;P")&gt;0,1,0)</f>
        <v>0</v>
      </c>
      <c r="R484">
        <f>IF(COUNTIFS('United Data'!$A$3:$A$2150,R$1,'United Data'!$C$3:$C$2150,$A484,'United Data'!$B$3:$B$2150,"&lt;&gt;P")&gt;0,1,0)</f>
        <v>0</v>
      </c>
      <c r="S484">
        <f t="shared" si="14"/>
        <v>1</v>
      </c>
      <c r="T484">
        <f t="shared" si="15"/>
        <v>1</v>
      </c>
    </row>
    <row r="485" spans="1:20" x14ac:dyDescent="0.2">
      <c r="A485" t="s">
        <v>531</v>
      </c>
      <c r="B485">
        <f>IF(COUNTIFS('United Data'!$A$3:$A$2150,B$1,'United Data'!$C$3:$C$2150,$A485,'United Data'!$B$3:$B$2150,"&lt;&gt;P")&gt;0,1,0)</f>
        <v>0</v>
      </c>
      <c r="C485">
        <f>IF(COUNTIFS('United Data'!$A$3:$A$2150,C$1,'United Data'!$C$3:$C$2150,$A485,'United Data'!$B$3:$B$2150,"&lt;&gt;P")&gt;0,1,0)</f>
        <v>0</v>
      </c>
      <c r="D485">
        <f>IF(COUNTIFS('United Data'!$A$3:$A$2150,D$1,'United Data'!$C$3:$C$2150,$A485,'United Data'!$B$3:$B$2150,"&lt;&gt;P")&gt;0,1,0)</f>
        <v>0</v>
      </c>
      <c r="E485">
        <f>IF(COUNTIFS('United Data'!$A$3:$A$2150,E$1,'United Data'!$C$3:$C$2150,$A485,'United Data'!$B$3:$B$2150,"&lt;&gt;P")&gt;0,1,0)</f>
        <v>0</v>
      </c>
      <c r="F485">
        <f>IF(COUNTIFS('United Data'!$A$3:$A$2150,F$1,'United Data'!$C$3:$C$2150,$A485,'United Data'!$B$3:$B$2150,"&lt;&gt;P")&gt;0,1,0)</f>
        <v>0</v>
      </c>
      <c r="G485">
        <f>IF(COUNTIFS('United Data'!$A$3:$A$2150,G$1,'United Data'!$C$3:$C$2150,$A485,'United Data'!$B$3:$B$2150,"&lt;&gt;P")&gt;0,1,0)</f>
        <v>1</v>
      </c>
      <c r="H485">
        <f>IF(COUNTIFS('United Data'!$A$3:$A$2150,H$1,'United Data'!$C$3:$C$2150,$A485,'United Data'!$B$3:$B$2150,"&lt;&gt;P")&gt;0,1,0)</f>
        <v>1</v>
      </c>
      <c r="I485">
        <f>IF(COUNTIFS('United Data'!$A$3:$A$2150,I$1,'United Data'!$C$3:$C$2150,$A485,'United Data'!$B$3:$B$2150,"&lt;&gt;P")&gt;0,1,0)</f>
        <v>1</v>
      </c>
      <c r="J485">
        <f>IF(COUNTIFS('United Data'!$A$3:$A$2150,J$1,'United Data'!$C$3:$C$2150,$A485,'United Data'!$B$3:$B$2150,"&lt;&gt;P")&gt;0,1,0)</f>
        <v>1</v>
      </c>
      <c r="K485">
        <f>IF(COUNTIFS('United Data'!$A$3:$A$2150,K$1,'United Data'!$C$3:$C$2150,$A485,'United Data'!$B$3:$B$2150,"&lt;&gt;P")&gt;0,1,0)</f>
        <v>1</v>
      </c>
      <c r="L485">
        <f>IF(COUNTIFS('United Data'!$A$3:$A$2150,L$1,'United Data'!$C$3:$C$2150,$A485,'United Data'!$B$3:$B$2150,"&lt;&gt;P")&gt;0,1,0)</f>
        <v>1</v>
      </c>
      <c r="M485">
        <f>IF(COUNTIFS('United Data'!$A$3:$A$2150,M$1,'United Data'!$C$3:$C$2150,$A485,'United Data'!$B$3:$B$2150,"&lt;&gt;P")&gt;0,1,0)</f>
        <v>1</v>
      </c>
      <c r="N485">
        <f>IF(COUNTIFS('United Data'!$A$3:$A$2150,N$1,'United Data'!$C$3:$C$2150,$A485,'United Data'!$B$3:$B$2150,"&lt;&gt;P")&gt;0,1,0)</f>
        <v>1</v>
      </c>
      <c r="O485">
        <f>IF(COUNTIFS('United Data'!$A$3:$A$2150,O$1,'United Data'!$C$3:$C$2150,$A485,'United Data'!$B$3:$B$2150,"&lt;&gt;P")&gt;0,1,0)</f>
        <v>1</v>
      </c>
      <c r="P485">
        <f>IF(COUNTIFS('United Data'!$A$3:$A$2150,P$1,'United Data'!$C$3:$C$2150,$A485,'United Data'!$B$3:$B$2150,"&lt;&gt;P")&gt;0,1,0)</f>
        <v>1</v>
      </c>
      <c r="Q485">
        <f>IF(COUNTIFS('United Data'!$A$3:$A$2150,Q$1,'United Data'!$C$3:$C$2150,$A485,'United Data'!$B$3:$B$2150,"&lt;&gt;P")&gt;0,1,0)</f>
        <v>1</v>
      </c>
      <c r="R485">
        <f>IF(COUNTIFS('United Data'!$A$3:$A$2150,R$1,'United Data'!$C$3:$C$2150,$A485,'United Data'!$B$3:$B$2150,"&lt;&gt;P")&gt;0,1,0)</f>
        <v>0</v>
      </c>
      <c r="S485">
        <f t="shared" si="14"/>
        <v>11</v>
      </c>
      <c r="T485">
        <f t="shared" si="15"/>
        <v>1</v>
      </c>
    </row>
    <row r="486" spans="1:20" x14ac:dyDescent="0.2">
      <c r="A486" t="s">
        <v>532</v>
      </c>
      <c r="B486">
        <f>IF(COUNTIFS('United Data'!$A$3:$A$2150,B$1,'United Data'!$C$3:$C$2150,$A486,'United Data'!$B$3:$B$2150,"&lt;&gt;P")&gt;0,1,0)</f>
        <v>0</v>
      </c>
      <c r="C486">
        <f>IF(COUNTIFS('United Data'!$A$3:$A$2150,C$1,'United Data'!$C$3:$C$2150,$A486,'United Data'!$B$3:$B$2150,"&lt;&gt;P")&gt;0,1,0)</f>
        <v>0</v>
      </c>
      <c r="D486">
        <f>IF(COUNTIFS('United Data'!$A$3:$A$2150,D$1,'United Data'!$C$3:$C$2150,$A486,'United Data'!$B$3:$B$2150,"&lt;&gt;P")&gt;0,1,0)</f>
        <v>0</v>
      </c>
      <c r="E486">
        <f>IF(COUNTIFS('United Data'!$A$3:$A$2150,E$1,'United Data'!$C$3:$C$2150,$A486,'United Data'!$B$3:$B$2150,"&lt;&gt;P")&gt;0,1,0)</f>
        <v>0</v>
      </c>
      <c r="F486">
        <f>IF(COUNTIFS('United Data'!$A$3:$A$2150,F$1,'United Data'!$C$3:$C$2150,$A486,'United Data'!$B$3:$B$2150,"&lt;&gt;P")&gt;0,1,0)</f>
        <v>0</v>
      </c>
      <c r="G486">
        <f>IF(COUNTIFS('United Data'!$A$3:$A$2150,G$1,'United Data'!$C$3:$C$2150,$A486,'United Data'!$B$3:$B$2150,"&lt;&gt;P")&gt;0,1,0)</f>
        <v>1</v>
      </c>
      <c r="H486">
        <f>IF(COUNTIFS('United Data'!$A$3:$A$2150,H$1,'United Data'!$C$3:$C$2150,$A486,'United Data'!$B$3:$B$2150,"&lt;&gt;P")&gt;0,1,0)</f>
        <v>0</v>
      </c>
      <c r="I486">
        <f>IF(COUNTIFS('United Data'!$A$3:$A$2150,I$1,'United Data'!$C$3:$C$2150,$A486,'United Data'!$B$3:$B$2150,"&lt;&gt;P")&gt;0,1,0)</f>
        <v>0</v>
      </c>
      <c r="J486">
        <f>IF(COUNTIFS('United Data'!$A$3:$A$2150,J$1,'United Data'!$C$3:$C$2150,$A486,'United Data'!$B$3:$B$2150,"&lt;&gt;P")&gt;0,1,0)</f>
        <v>0</v>
      </c>
      <c r="K486">
        <f>IF(COUNTIFS('United Data'!$A$3:$A$2150,K$1,'United Data'!$C$3:$C$2150,$A486,'United Data'!$B$3:$B$2150,"&lt;&gt;P")&gt;0,1,0)</f>
        <v>0</v>
      </c>
      <c r="L486">
        <f>IF(COUNTIFS('United Data'!$A$3:$A$2150,L$1,'United Data'!$C$3:$C$2150,$A486,'United Data'!$B$3:$B$2150,"&lt;&gt;P")&gt;0,1,0)</f>
        <v>0</v>
      </c>
      <c r="M486">
        <f>IF(COUNTIFS('United Data'!$A$3:$A$2150,M$1,'United Data'!$C$3:$C$2150,$A486,'United Data'!$B$3:$B$2150,"&lt;&gt;P")&gt;0,1,0)</f>
        <v>0</v>
      </c>
      <c r="N486">
        <f>IF(COUNTIFS('United Data'!$A$3:$A$2150,N$1,'United Data'!$C$3:$C$2150,$A486,'United Data'!$B$3:$B$2150,"&lt;&gt;P")&gt;0,1,0)</f>
        <v>0</v>
      </c>
      <c r="O486">
        <f>IF(COUNTIFS('United Data'!$A$3:$A$2150,O$1,'United Data'!$C$3:$C$2150,$A486,'United Data'!$B$3:$B$2150,"&lt;&gt;P")&gt;0,1,0)</f>
        <v>0</v>
      </c>
      <c r="P486">
        <f>IF(COUNTIFS('United Data'!$A$3:$A$2150,P$1,'United Data'!$C$3:$C$2150,$A486,'United Data'!$B$3:$B$2150,"&lt;&gt;P")&gt;0,1,0)</f>
        <v>0</v>
      </c>
      <c r="Q486">
        <f>IF(COUNTIFS('United Data'!$A$3:$A$2150,Q$1,'United Data'!$C$3:$C$2150,$A486,'United Data'!$B$3:$B$2150,"&lt;&gt;P")&gt;0,1,0)</f>
        <v>0</v>
      </c>
      <c r="R486">
        <f>IF(COUNTIFS('United Data'!$A$3:$A$2150,R$1,'United Data'!$C$3:$C$2150,$A486,'United Data'!$B$3:$B$2150,"&lt;&gt;P")&gt;0,1,0)</f>
        <v>0</v>
      </c>
      <c r="S486">
        <f t="shared" si="14"/>
        <v>1</v>
      </c>
      <c r="T486">
        <f t="shared" si="15"/>
        <v>1</v>
      </c>
    </row>
    <row r="487" spans="1:20" x14ac:dyDescent="0.2">
      <c r="A487" t="s">
        <v>533</v>
      </c>
      <c r="B487">
        <f>IF(COUNTIFS('United Data'!$A$3:$A$2150,B$1,'United Data'!$C$3:$C$2150,$A487,'United Data'!$B$3:$B$2150,"&lt;&gt;P")&gt;0,1,0)</f>
        <v>0</v>
      </c>
      <c r="C487">
        <f>IF(COUNTIFS('United Data'!$A$3:$A$2150,C$1,'United Data'!$C$3:$C$2150,$A487,'United Data'!$B$3:$B$2150,"&lt;&gt;P")&gt;0,1,0)</f>
        <v>0</v>
      </c>
      <c r="D487">
        <f>IF(COUNTIFS('United Data'!$A$3:$A$2150,D$1,'United Data'!$C$3:$C$2150,$A487,'United Data'!$B$3:$B$2150,"&lt;&gt;P")&gt;0,1,0)</f>
        <v>0</v>
      </c>
      <c r="E487">
        <f>IF(COUNTIFS('United Data'!$A$3:$A$2150,E$1,'United Data'!$C$3:$C$2150,$A487,'United Data'!$B$3:$B$2150,"&lt;&gt;P")&gt;0,1,0)</f>
        <v>0</v>
      </c>
      <c r="F487">
        <f>IF(COUNTIFS('United Data'!$A$3:$A$2150,F$1,'United Data'!$C$3:$C$2150,$A487,'United Data'!$B$3:$B$2150,"&lt;&gt;P")&gt;0,1,0)</f>
        <v>0</v>
      </c>
      <c r="G487">
        <f>IF(COUNTIFS('United Data'!$A$3:$A$2150,G$1,'United Data'!$C$3:$C$2150,$A487,'United Data'!$B$3:$B$2150,"&lt;&gt;P")&gt;0,1,0)</f>
        <v>1</v>
      </c>
      <c r="H487">
        <f>IF(COUNTIFS('United Data'!$A$3:$A$2150,H$1,'United Data'!$C$3:$C$2150,$A487,'United Data'!$B$3:$B$2150,"&lt;&gt;P")&gt;0,1,0)</f>
        <v>0</v>
      </c>
      <c r="I487">
        <f>IF(COUNTIFS('United Data'!$A$3:$A$2150,I$1,'United Data'!$C$3:$C$2150,$A487,'United Data'!$B$3:$B$2150,"&lt;&gt;P")&gt;0,1,0)</f>
        <v>0</v>
      </c>
      <c r="J487">
        <f>IF(COUNTIFS('United Data'!$A$3:$A$2150,J$1,'United Data'!$C$3:$C$2150,$A487,'United Data'!$B$3:$B$2150,"&lt;&gt;P")&gt;0,1,0)</f>
        <v>0</v>
      </c>
      <c r="K487">
        <f>IF(COUNTIFS('United Data'!$A$3:$A$2150,K$1,'United Data'!$C$3:$C$2150,$A487,'United Data'!$B$3:$B$2150,"&lt;&gt;P")&gt;0,1,0)</f>
        <v>0</v>
      </c>
      <c r="L487">
        <f>IF(COUNTIFS('United Data'!$A$3:$A$2150,L$1,'United Data'!$C$3:$C$2150,$A487,'United Data'!$B$3:$B$2150,"&lt;&gt;P")&gt;0,1,0)</f>
        <v>0</v>
      </c>
      <c r="M487">
        <f>IF(COUNTIFS('United Data'!$A$3:$A$2150,M$1,'United Data'!$C$3:$C$2150,$A487,'United Data'!$B$3:$B$2150,"&lt;&gt;P")&gt;0,1,0)</f>
        <v>0</v>
      </c>
      <c r="N487">
        <f>IF(COUNTIFS('United Data'!$A$3:$A$2150,N$1,'United Data'!$C$3:$C$2150,$A487,'United Data'!$B$3:$B$2150,"&lt;&gt;P")&gt;0,1,0)</f>
        <v>0</v>
      </c>
      <c r="O487">
        <f>IF(COUNTIFS('United Data'!$A$3:$A$2150,O$1,'United Data'!$C$3:$C$2150,$A487,'United Data'!$B$3:$B$2150,"&lt;&gt;P")&gt;0,1,0)</f>
        <v>0</v>
      </c>
      <c r="P487">
        <f>IF(COUNTIFS('United Data'!$A$3:$A$2150,P$1,'United Data'!$C$3:$C$2150,$A487,'United Data'!$B$3:$B$2150,"&lt;&gt;P")&gt;0,1,0)</f>
        <v>0</v>
      </c>
      <c r="Q487">
        <f>IF(COUNTIFS('United Data'!$A$3:$A$2150,Q$1,'United Data'!$C$3:$C$2150,$A487,'United Data'!$B$3:$B$2150,"&lt;&gt;P")&gt;0,1,0)</f>
        <v>0</v>
      </c>
      <c r="R487">
        <f>IF(COUNTIFS('United Data'!$A$3:$A$2150,R$1,'United Data'!$C$3:$C$2150,$A487,'United Data'!$B$3:$B$2150,"&lt;&gt;P")&gt;0,1,0)</f>
        <v>0</v>
      </c>
      <c r="S487">
        <f t="shared" si="14"/>
        <v>1</v>
      </c>
      <c r="T487">
        <f t="shared" si="15"/>
        <v>1</v>
      </c>
    </row>
    <row r="488" spans="1:20" x14ac:dyDescent="0.2">
      <c r="A488" t="s">
        <v>534</v>
      </c>
      <c r="B488">
        <f>IF(COUNTIFS('United Data'!$A$3:$A$2150,B$1,'United Data'!$C$3:$C$2150,$A488,'United Data'!$B$3:$B$2150,"&lt;&gt;P")&gt;0,1,0)</f>
        <v>0</v>
      </c>
      <c r="C488">
        <f>IF(COUNTIFS('United Data'!$A$3:$A$2150,C$1,'United Data'!$C$3:$C$2150,$A488,'United Data'!$B$3:$B$2150,"&lt;&gt;P")&gt;0,1,0)</f>
        <v>0</v>
      </c>
      <c r="D488">
        <f>IF(COUNTIFS('United Data'!$A$3:$A$2150,D$1,'United Data'!$C$3:$C$2150,$A488,'United Data'!$B$3:$B$2150,"&lt;&gt;P")&gt;0,1,0)</f>
        <v>0</v>
      </c>
      <c r="E488">
        <f>IF(COUNTIFS('United Data'!$A$3:$A$2150,E$1,'United Data'!$C$3:$C$2150,$A488,'United Data'!$B$3:$B$2150,"&lt;&gt;P")&gt;0,1,0)</f>
        <v>0</v>
      </c>
      <c r="F488">
        <f>IF(COUNTIFS('United Data'!$A$3:$A$2150,F$1,'United Data'!$C$3:$C$2150,$A488,'United Data'!$B$3:$B$2150,"&lt;&gt;P")&gt;0,1,0)</f>
        <v>0</v>
      </c>
      <c r="G488">
        <f>IF(COUNTIFS('United Data'!$A$3:$A$2150,G$1,'United Data'!$C$3:$C$2150,$A488,'United Data'!$B$3:$B$2150,"&lt;&gt;P")&gt;0,1,0)</f>
        <v>1</v>
      </c>
      <c r="H488">
        <f>IF(COUNTIFS('United Data'!$A$3:$A$2150,H$1,'United Data'!$C$3:$C$2150,$A488,'United Data'!$B$3:$B$2150,"&lt;&gt;P")&gt;0,1,0)</f>
        <v>0</v>
      </c>
      <c r="I488">
        <f>IF(COUNTIFS('United Data'!$A$3:$A$2150,I$1,'United Data'!$C$3:$C$2150,$A488,'United Data'!$B$3:$B$2150,"&lt;&gt;P")&gt;0,1,0)</f>
        <v>0</v>
      </c>
      <c r="J488">
        <f>IF(COUNTIFS('United Data'!$A$3:$A$2150,J$1,'United Data'!$C$3:$C$2150,$A488,'United Data'!$B$3:$B$2150,"&lt;&gt;P")&gt;0,1,0)</f>
        <v>0</v>
      </c>
      <c r="K488">
        <f>IF(COUNTIFS('United Data'!$A$3:$A$2150,K$1,'United Data'!$C$3:$C$2150,$A488,'United Data'!$B$3:$B$2150,"&lt;&gt;P")&gt;0,1,0)</f>
        <v>0</v>
      </c>
      <c r="L488">
        <f>IF(COUNTIFS('United Data'!$A$3:$A$2150,L$1,'United Data'!$C$3:$C$2150,$A488,'United Data'!$B$3:$B$2150,"&lt;&gt;P")&gt;0,1,0)</f>
        <v>0</v>
      </c>
      <c r="M488">
        <f>IF(COUNTIFS('United Data'!$A$3:$A$2150,M$1,'United Data'!$C$3:$C$2150,$A488,'United Data'!$B$3:$B$2150,"&lt;&gt;P")&gt;0,1,0)</f>
        <v>0</v>
      </c>
      <c r="N488">
        <f>IF(COUNTIFS('United Data'!$A$3:$A$2150,N$1,'United Data'!$C$3:$C$2150,$A488,'United Data'!$B$3:$B$2150,"&lt;&gt;P")&gt;0,1,0)</f>
        <v>0</v>
      </c>
      <c r="O488">
        <f>IF(COUNTIFS('United Data'!$A$3:$A$2150,O$1,'United Data'!$C$3:$C$2150,$A488,'United Data'!$B$3:$B$2150,"&lt;&gt;P")&gt;0,1,0)</f>
        <v>0</v>
      </c>
      <c r="P488">
        <f>IF(COUNTIFS('United Data'!$A$3:$A$2150,P$1,'United Data'!$C$3:$C$2150,$A488,'United Data'!$B$3:$B$2150,"&lt;&gt;P")&gt;0,1,0)</f>
        <v>0</v>
      </c>
      <c r="Q488">
        <f>IF(COUNTIFS('United Data'!$A$3:$A$2150,Q$1,'United Data'!$C$3:$C$2150,$A488,'United Data'!$B$3:$B$2150,"&lt;&gt;P")&gt;0,1,0)</f>
        <v>0</v>
      </c>
      <c r="R488">
        <f>IF(COUNTIFS('United Data'!$A$3:$A$2150,R$1,'United Data'!$C$3:$C$2150,$A488,'United Data'!$B$3:$B$2150,"&lt;&gt;P")&gt;0,1,0)</f>
        <v>0</v>
      </c>
      <c r="S488">
        <f t="shared" si="14"/>
        <v>1</v>
      </c>
      <c r="T488">
        <f t="shared" si="15"/>
        <v>1</v>
      </c>
    </row>
    <row r="489" spans="1:20" x14ac:dyDescent="0.2">
      <c r="A489" t="s">
        <v>535</v>
      </c>
      <c r="B489">
        <f>IF(COUNTIFS('United Data'!$A$3:$A$2150,B$1,'United Data'!$C$3:$C$2150,$A489,'United Data'!$B$3:$B$2150,"&lt;&gt;P")&gt;0,1,0)</f>
        <v>0</v>
      </c>
      <c r="C489">
        <f>IF(COUNTIFS('United Data'!$A$3:$A$2150,C$1,'United Data'!$C$3:$C$2150,$A489,'United Data'!$B$3:$B$2150,"&lt;&gt;P")&gt;0,1,0)</f>
        <v>0</v>
      </c>
      <c r="D489">
        <f>IF(COUNTIFS('United Data'!$A$3:$A$2150,D$1,'United Data'!$C$3:$C$2150,$A489,'United Data'!$B$3:$B$2150,"&lt;&gt;P")&gt;0,1,0)</f>
        <v>0</v>
      </c>
      <c r="E489">
        <f>IF(COUNTIFS('United Data'!$A$3:$A$2150,E$1,'United Data'!$C$3:$C$2150,$A489,'United Data'!$B$3:$B$2150,"&lt;&gt;P")&gt;0,1,0)</f>
        <v>0</v>
      </c>
      <c r="F489">
        <f>IF(COUNTIFS('United Data'!$A$3:$A$2150,F$1,'United Data'!$C$3:$C$2150,$A489,'United Data'!$B$3:$B$2150,"&lt;&gt;P")&gt;0,1,0)</f>
        <v>0</v>
      </c>
      <c r="G489">
        <f>IF(COUNTIFS('United Data'!$A$3:$A$2150,G$1,'United Data'!$C$3:$C$2150,$A489,'United Data'!$B$3:$B$2150,"&lt;&gt;P")&gt;0,1,0)</f>
        <v>1</v>
      </c>
      <c r="H489">
        <f>IF(COUNTIFS('United Data'!$A$3:$A$2150,H$1,'United Data'!$C$3:$C$2150,$A489,'United Data'!$B$3:$B$2150,"&lt;&gt;P")&gt;0,1,0)</f>
        <v>0</v>
      </c>
      <c r="I489">
        <f>IF(COUNTIFS('United Data'!$A$3:$A$2150,I$1,'United Data'!$C$3:$C$2150,$A489,'United Data'!$B$3:$B$2150,"&lt;&gt;P")&gt;0,1,0)</f>
        <v>0</v>
      </c>
      <c r="J489">
        <f>IF(COUNTIFS('United Data'!$A$3:$A$2150,J$1,'United Data'!$C$3:$C$2150,$A489,'United Data'!$B$3:$B$2150,"&lt;&gt;P")&gt;0,1,0)</f>
        <v>0</v>
      </c>
      <c r="K489">
        <f>IF(COUNTIFS('United Data'!$A$3:$A$2150,K$1,'United Data'!$C$3:$C$2150,$A489,'United Data'!$B$3:$B$2150,"&lt;&gt;P")&gt;0,1,0)</f>
        <v>0</v>
      </c>
      <c r="L489">
        <f>IF(COUNTIFS('United Data'!$A$3:$A$2150,L$1,'United Data'!$C$3:$C$2150,$A489,'United Data'!$B$3:$B$2150,"&lt;&gt;P")&gt;0,1,0)</f>
        <v>0</v>
      </c>
      <c r="M489">
        <f>IF(COUNTIFS('United Data'!$A$3:$A$2150,M$1,'United Data'!$C$3:$C$2150,$A489,'United Data'!$B$3:$B$2150,"&lt;&gt;P")&gt;0,1,0)</f>
        <v>0</v>
      </c>
      <c r="N489">
        <f>IF(COUNTIFS('United Data'!$A$3:$A$2150,N$1,'United Data'!$C$3:$C$2150,$A489,'United Data'!$B$3:$B$2150,"&lt;&gt;P")&gt;0,1,0)</f>
        <v>0</v>
      </c>
      <c r="O489">
        <f>IF(COUNTIFS('United Data'!$A$3:$A$2150,O$1,'United Data'!$C$3:$C$2150,$A489,'United Data'!$B$3:$B$2150,"&lt;&gt;P")&gt;0,1,0)</f>
        <v>0</v>
      </c>
      <c r="P489">
        <f>IF(COUNTIFS('United Data'!$A$3:$A$2150,P$1,'United Data'!$C$3:$C$2150,$A489,'United Data'!$B$3:$B$2150,"&lt;&gt;P")&gt;0,1,0)</f>
        <v>0</v>
      </c>
      <c r="Q489">
        <f>IF(COUNTIFS('United Data'!$A$3:$A$2150,Q$1,'United Data'!$C$3:$C$2150,$A489,'United Data'!$B$3:$B$2150,"&lt;&gt;P")&gt;0,1,0)</f>
        <v>0</v>
      </c>
      <c r="R489">
        <f>IF(COUNTIFS('United Data'!$A$3:$A$2150,R$1,'United Data'!$C$3:$C$2150,$A489,'United Data'!$B$3:$B$2150,"&lt;&gt;P")&gt;0,1,0)</f>
        <v>0</v>
      </c>
      <c r="S489">
        <f t="shared" si="14"/>
        <v>1</v>
      </c>
      <c r="T489">
        <f t="shared" si="15"/>
        <v>1</v>
      </c>
    </row>
    <row r="490" spans="1:20" x14ac:dyDescent="0.2">
      <c r="A490" t="s">
        <v>536</v>
      </c>
      <c r="B490">
        <f>IF(COUNTIFS('United Data'!$A$3:$A$2150,B$1,'United Data'!$C$3:$C$2150,$A490,'United Data'!$B$3:$B$2150,"&lt;&gt;P")&gt;0,1,0)</f>
        <v>0</v>
      </c>
      <c r="C490">
        <f>IF(COUNTIFS('United Data'!$A$3:$A$2150,C$1,'United Data'!$C$3:$C$2150,$A490,'United Data'!$B$3:$B$2150,"&lt;&gt;P")&gt;0,1,0)</f>
        <v>0</v>
      </c>
      <c r="D490">
        <f>IF(COUNTIFS('United Data'!$A$3:$A$2150,D$1,'United Data'!$C$3:$C$2150,$A490,'United Data'!$B$3:$B$2150,"&lt;&gt;P")&gt;0,1,0)</f>
        <v>0</v>
      </c>
      <c r="E490">
        <f>IF(COUNTIFS('United Data'!$A$3:$A$2150,E$1,'United Data'!$C$3:$C$2150,$A490,'United Data'!$B$3:$B$2150,"&lt;&gt;P")&gt;0,1,0)</f>
        <v>0</v>
      </c>
      <c r="F490">
        <f>IF(COUNTIFS('United Data'!$A$3:$A$2150,F$1,'United Data'!$C$3:$C$2150,$A490,'United Data'!$B$3:$B$2150,"&lt;&gt;P")&gt;0,1,0)</f>
        <v>0</v>
      </c>
      <c r="G490">
        <f>IF(COUNTIFS('United Data'!$A$3:$A$2150,G$1,'United Data'!$C$3:$C$2150,$A490,'United Data'!$B$3:$B$2150,"&lt;&gt;P")&gt;0,1,0)</f>
        <v>1</v>
      </c>
      <c r="H490">
        <f>IF(COUNTIFS('United Data'!$A$3:$A$2150,H$1,'United Data'!$C$3:$C$2150,$A490,'United Data'!$B$3:$B$2150,"&lt;&gt;P")&gt;0,1,0)</f>
        <v>1</v>
      </c>
      <c r="I490">
        <f>IF(COUNTIFS('United Data'!$A$3:$A$2150,I$1,'United Data'!$C$3:$C$2150,$A490,'United Data'!$B$3:$B$2150,"&lt;&gt;P")&gt;0,1,0)</f>
        <v>1</v>
      </c>
      <c r="J490">
        <f>IF(COUNTIFS('United Data'!$A$3:$A$2150,J$1,'United Data'!$C$3:$C$2150,$A490,'United Data'!$B$3:$B$2150,"&lt;&gt;P")&gt;0,1,0)</f>
        <v>1</v>
      </c>
      <c r="K490">
        <f>IF(COUNTIFS('United Data'!$A$3:$A$2150,K$1,'United Data'!$C$3:$C$2150,$A490,'United Data'!$B$3:$B$2150,"&lt;&gt;P")&gt;0,1,0)</f>
        <v>1</v>
      </c>
      <c r="L490">
        <f>IF(COUNTIFS('United Data'!$A$3:$A$2150,L$1,'United Data'!$C$3:$C$2150,$A490,'United Data'!$B$3:$B$2150,"&lt;&gt;P")&gt;0,1,0)</f>
        <v>1</v>
      </c>
      <c r="M490">
        <f>IF(COUNTIFS('United Data'!$A$3:$A$2150,M$1,'United Data'!$C$3:$C$2150,$A490,'United Data'!$B$3:$B$2150,"&lt;&gt;P")&gt;0,1,0)</f>
        <v>1</v>
      </c>
      <c r="N490">
        <f>IF(COUNTIFS('United Data'!$A$3:$A$2150,N$1,'United Data'!$C$3:$C$2150,$A490,'United Data'!$B$3:$B$2150,"&lt;&gt;P")&gt;0,1,0)</f>
        <v>1</v>
      </c>
      <c r="O490">
        <f>IF(COUNTIFS('United Data'!$A$3:$A$2150,O$1,'United Data'!$C$3:$C$2150,$A490,'United Data'!$B$3:$B$2150,"&lt;&gt;P")&gt;0,1,0)</f>
        <v>1</v>
      </c>
      <c r="P490">
        <f>IF(COUNTIFS('United Data'!$A$3:$A$2150,P$1,'United Data'!$C$3:$C$2150,$A490,'United Data'!$B$3:$B$2150,"&lt;&gt;P")&gt;0,1,0)</f>
        <v>1</v>
      </c>
      <c r="Q490">
        <f>IF(COUNTIFS('United Data'!$A$3:$A$2150,Q$1,'United Data'!$C$3:$C$2150,$A490,'United Data'!$B$3:$B$2150,"&lt;&gt;P")&gt;0,1,0)</f>
        <v>0</v>
      </c>
      <c r="R490">
        <f>IF(COUNTIFS('United Data'!$A$3:$A$2150,R$1,'United Data'!$C$3:$C$2150,$A490,'United Data'!$B$3:$B$2150,"&lt;&gt;P")&gt;0,1,0)</f>
        <v>0</v>
      </c>
      <c r="S490">
        <f t="shared" si="14"/>
        <v>10</v>
      </c>
      <c r="T490">
        <f t="shared" si="15"/>
        <v>1</v>
      </c>
    </row>
    <row r="491" spans="1:20" x14ac:dyDescent="0.2">
      <c r="A491" t="s">
        <v>537</v>
      </c>
      <c r="B491">
        <f>IF(COUNTIFS('United Data'!$A$3:$A$2150,B$1,'United Data'!$C$3:$C$2150,$A491,'United Data'!$B$3:$B$2150,"&lt;&gt;P")&gt;0,1,0)</f>
        <v>0</v>
      </c>
      <c r="C491">
        <f>IF(COUNTIFS('United Data'!$A$3:$A$2150,C$1,'United Data'!$C$3:$C$2150,$A491,'United Data'!$B$3:$B$2150,"&lt;&gt;P")&gt;0,1,0)</f>
        <v>0</v>
      </c>
      <c r="D491">
        <f>IF(COUNTIFS('United Data'!$A$3:$A$2150,D$1,'United Data'!$C$3:$C$2150,$A491,'United Data'!$B$3:$B$2150,"&lt;&gt;P")&gt;0,1,0)</f>
        <v>0</v>
      </c>
      <c r="E491">
        <f>IF(COUNTIFS('United Data'!$A$3:$A$2150,E$1,'United Data'!$C$3:$C$2150,$A491,'United Data'!$B$3:$B$2150,"&lt;&gt;P")&gt;0,1,0)</f>
        <v>0</v>
      </c>
      <c r="F491">
        <f>IF(COUNTIFS('United Data'!$A$3:$A$2150,F$1,'United Data'!$C$3:$C$2150,$A491,'United Data'!$B$3:$B$2150,"&lt;&gt;P")&gt;0,1,0)</f>
        <v>0</v>
      </c>
      <c r="G491">
        <f>IF(COUNTIFS('United Data'!$A$3:$A$2150,G$1,'United Data'!$C$3:$C$2150,$A491,'United Data'!$B$3:$B$2150,"&lt;&gt;P")&gt;0,1,0)</f>
        <v>0</v>
      </c>
      <c r="H491">
        <f>IF(COUNTIFS('United Data'!$A$3:$A$2150,H$1,'United Data'!$C$3:$C$2150,$A491,'United Data'!$B$3:$B$2150,"&lt;&gt;P")&gt;0,1,0)</f>
        <v>1</v>
      </c>
      <c r="I491">
        <f>IF(COUNTIFS('United Data'!$A$3:$A$2150,I$1,'United Data'!$C$3:$C$2150,$A491,'United Data'!$B$3:$B$2150,"&lt;&gt;P")&gt;0,1,0)</f>
        <v>0</v>
      </c>
      <c r="J491">
        <f>IF(COUNTIFS('United Data'!$A$3:$A$2150,J$1,'United Data'!$C$3:$C$2150,$A491,'United Data'!$B$3:$B$2150,"&lt;&gt;P")&gt;0,1,0)</f>
        <v>0</v>
      </c>
      <c r="K491">
        <f>IF(COUNTIFS('United Data'!$A$3:$A$2150,K$1,'United Data'!$C$3:$C$2150,$A491,'United Data'!$B$3:$B$2150,"&lt;&gt;P")&gt;0,1,0)</f>
        <v>0</v>
      </c>
      <c r="L491">
        <f>IF(COUNTIFS('United Data'!$A$3:$A$2150,L$1,'United Data'!$C$3:$C$2150,$A491,'United Data'!$B$3:$B$2150,"&lt;&gt;P")&gt;0,1,0)</f>
        <v>0</v>
      </c>
      <c r="M491">
        <f>IF(COUNTIFS('United Data'!$A$3:$A$2150,M$1,'United Data'!$C$3:$C$2150,$A491,'United Data'!$B$3:$B$2150,"&lt;&gt;P")&gt;0,1,0)</f>
        <v>0</v>
      </c>
      <c r="N491">
        <f>IF(COUNTIFS('United Data'!$A$3:$A$2150,N$1,'United Data'!$C$3:$C$2150,$A491,'United Data'!$B$3:$B$2150,"&lt;&gt;P")&gt;0,1,0)</f>
        <v>0</v>
      </c>
      <c r="O491">
        <f>IF(COUNTIFS('United Data'!$A$3:$A$2150,O$1,'United Data'!$C$3:$C$2150,$A491,'United Data'!$B$3:$B$2150,"&lt;&gt;P")&gt;0,1,0)</f>
        <v>0</v>
      </c>
      <c r="P491">
        <f>IF(COUNTIFS('United Data'!$A$3:$A$2150,P$1,'United Data'!$C$3:$C$2150,$A491,'United Data'!$B$3:$B$2150,"&lt;&gt;P")&gt;0,1,0)</f>
        <v>0</v>
      </c>
      <c r="Q491">
        <f>IF(COUNTIFS('United Data'!$A$3:$A$2150,Q$1,'United Data'!$C$3:$C$2150,$A491,'United Data'!$B$3:$B$2150,"&lt;&gt;P")&gt;0,1,0)</f>
        <v>0</v>
      </c>
      <c r="R491">
        <f>IF(COUNTIFS('United Data'!$A$3:$A$2150,R$1,'United Data'!$C$3:$C$2150,$A491,'United Data'!$B$3:$B$2150,"&lt;&gt;P")&gt;0,1,0)</f>
        <v>0</v>
      </c>
      <c r="S491">
        <f t="shared" si="14"/>
        <v>1</v>
      </c>
      <c r="T491">
        <f t="shared" si="15"/>
        <v>1</v>
      </c>
    </row>
    <row r="492" spans="1:20" x14ac:dyDescent="0.2">
      <c r="A492" t="s">
        <v>538</v>
      </c>
      <c r="B492">
        <f>IF(COUNTIFS('United Data'!$A$3:$A$2150,B$1,'United Data'!$C$3:$C$2150,$A492,'United Data'!$B$3:$B$2150,"&lt;&gt;P")&gt;0,1,0)</f>
        <v>0</v>
      </c>
      <c r="C492">
        <f>IF(COUNTIFS('United Data'!$A$3:$A$2150,C$1,'United Data'!$C$3:$C$2150,$A492,'United Data'!$B$3:$B$2150,"&lt;&gt;P")&gt;0,1,0)</f>
        <v>0</v>
      </c>
      <c r="D492">
        <f>IF(COUNTIFS('United Data'!$A$3:$A$2150,D$1,'United Data'!$C$3:$C$2150,$A492,'United Data'!$B$3:$B$2150,"&lt;&gt;P")&gt;0,1,0)</f>
        <v>0</v>
      </c>
      <c r="E492">
        <f>IF(COUNTIFS('United Data'!$A$3:$A$2150,E$1,'United Data'!$C$3:$C$2150,$A492,'United Data'!$B$3:$B$2150,"&lt;&gt;P")&gt;0,1,0)</f>
        <v>0</v>
      </c>
      <c r="F492">
        <f>IF(COUNTIFS('United Data'!$A$3:$A$2150,F$1,'United Data'!$C$3:$C$2150,$A492,'United Data'!$B$3:$B$2150,"&lt;&gt;P")&gt;0,1,0)</f>
        <v>0</v>
      </c>
      <c r="G492">
        <f>IF(COUNTIFS('United Data'!$A$3:$A$2150,G$1,'United Data'!$C$3:$C$2150,$A492,'United Data'!$B$3:$B$2150,"&lt;&gt;P")&gt;0,1,0)</f>
        <v>0</v>
      </c>
      <c r="H492">
        <f>IF(COUNTIFS('United Data'!$A$3:$A$2150,H$1,'United Data'!$C$3:$C$2150,$A492,'United Data'!$B$3:$B$2150,"&lt;&gt;P")&gt;0,1,0)</f>
        <v>1</v>
      </c>
      <c r="I492">
        <f>IF(COUNTIFS('United Data'!$A$3:$A$2150,I$1,'United Data'!$C$3:$C$2150,$A492,'United Data'!$B$3:$B$2150,"&lt;&gt;P")&gt;0,1,0)</f>
        <v>0</v>
      </c>
      <c r="J492">
        <f>IF(COUNTIFS('United Data'!$A$3:$A$2150,J$1,'United Data'!$C$3:$C$2150,$A492,'United Data'!$B$3:$B$2150,"&lt;&gt;P")&gt;0,1,0)</f>
        <v>0</v>
      </c>
      <c r="K492">
        <f>IF(COUNTIFS('United Data'!$A$3:$A$2150,K$1,'United Data'!$C$3:$C$2150,$A492,'United Data'!$B$3:$B$2150,"&lt;&gt;P")&gt;0,1,0)</f>
        <v>0</v>
      </c>
      <c r="L492">
        <f>IF(COUNTIFS('United Data'!$A$3:$A$2150,L$1,'United Data'!$C$3:$C$2150,$A492,'United Data'!$B$3:$B$2150,"&lt;&gt;P")&gt;0,1,0)</f>
        <v>0</v>
      </c>
      <c r="M492">
        <f>IF(COUNTIFS('United Data'!$A$3:$A$2150,M$1,'United Data'!$C$3:$C$2150,$A492,'United Data'!$B$3:$B$2150,"&lt;&gt;P")&gt;0,1,0)</f>
        <v>0</v>
      </c>
      <c r="N492">
        <f>IF(COUNTIFS('United Data'!$A$3:$A$2150,N$1,'United Data'!$C$3:$C$2150,$A492,'United Data'!$B$3:$B$2150,"&lt;&gt;P")&gt;0,1,0)</f>
        <v>0</v>
      </c>
      <c r="O492">
        <f>IF(COUNTIFS('United Data'!$A$3:$A$2150,O$1,'United Data'!$C$3:$C$2150,$A492,'United Data'!$B$3:$B$2150,"&lt;&gt;P")&gt;0,1,0)</f>
        <v>0</v>
      </c>
      <c r="P492">
        <f>IF(COUNTIFS('United Data'!$A$3:$A$2150,P$1,'United Data'!$C$3:$C$2150,$A492,'United Data'!$B$3:$B$2150,"&lt;&gt;P")&gt;0,1,0)</f>
        <v>0</v>
      </c>
      <c r="Q492">
        <f>IF(COUNTIFS('United Data'!$A$3:$A$2150,Q$1,'United Data'!$C$3:$C$2150,$A492,'United Data'!$B$3:$B$2150,"&lt;&gt;P")&gt;0,1,0)</f>
        <v>0</v>
      </c>
      <c r="R492">
        <f>IF(COUNTIFS('United Data'!$A$3:$A$2150,R$1,'United Data'!$C$3:$C$2150,$A492,'United Data'!$B$3:$B$2150,"&lt;&gt;P")&gt;0,1,0)</f>
        <v>0</v>
      </c>
      <c r="S492">
        <f t="shared" si="14"/>
        <v>1</v>
      </c>
      <c r="T492">
        <f t="shared" si="15"/>
        <v>1</v>
      </c>
    </row>
    <row r="493" spans="1:20" x14ac:dyDescent="0.2">
      <c r="A493" t="s">
        <v>539</v>
      </c>
      <c r="B493">
        <f>IF(COUNTIFS('United Data'!$A$3:$A$2150,B$1,'United Data'!$C$3:$C$2150,$A493,'United Data'!$B$3:$B$2150,"&lt;&gt;P")&gt;0,1,0)</f>
        <v>0</v>
      </c>
      <c r="C493">
        <f>IF(COUNTIFS('United Data'!$A$3:$A$2150,C$1,'United Data'!$C$3:$C$2150,$A493,'United Data'!$B$3:$B$2150,"&lt;&gt;P")&gt;0,1,0)</f>
        <v>0</v>
      </c>
      <c r="D493">
        <f>IF(COUNTIFS('United Data'!$A$3:$A$2150,D$1,'United Data'!$C$3:$C$2150,$A493,'United Data'!$B$3:$B$2150,"&lt;&gt;P")&gt;0,1,0)</f>
        <v>0</v>
      </c>
      <c r="E493">
        <f>IF(COUNTIFS('United Data'!$A$3:$A$2150,E$1,'United Data'!$C$3:$C$2150,$A493,'United Data'!$B$3:$B$2150,"&lt;&gt;P")&gt;0,1,0)</f>
        <v>0</v>
      </c>
      <c r="F493">
        <f>IF(COUNTIFS('United Data'!$A$3:$A$2150,F$1,'United Data'!$C$3:$C$2150,$A493,'United Data'!$B$3:$B$2150,"&lt;&gt;P")&gt;0,1,0)</f>
        <v>0</v>
      </c>
      <c r="G493">
        <f>IF(COUNTIFS('United Data'!$A$3:$A$2150,G$1,'United Data'!$C$3:$C$2150,$A493,'United Data'!$B$3:$B$2150,"&lt;&gt;P")&gt;0,1,0)</f>
        <v>0</v>
      </c>
      <c r="H493">
        <f>IF(COUNTIFS('United Data'!$A$3:$A$2150,H$1,'United Data'!$C$3:$C$2150,$A493,'United Data'!$B$3:$B$2150,"&lt;&gt;P")&gt;0,1,0)</f>
        <v>1</v>
      </c>
      <c r="I493">
        <f>IF(COUNTIFS('United Data'!$A$3:$A$2150,I$1,'United Data'!$C$3:$C$2150,$A493,'United Data'!$B$3:$B$2150,"&lt;&gt;P")&gt;0,1,0)</f>
        <v>0</v>
      </c>
      <c r="J493">
        <f>IF(COUNTIFS('United Data'!$A$3:$A$2150,J$1,'United Data'!$C$3:$C$2150,$A493,'United Data'!$B$3:$B$2150,"&lt;&gt;P")&gt;0,1,0)</f>
        <v>0</v>
      </c>
      <c r="K493">
        <f>IF(COUNTIFS('United Data'!$A$3:$A$2150,K$1,'United Data'!$C$3:$C$2150,$A493,'United Data'!$B$3:$B$2150,"&lt;&gt;P")&gt;0,1,0)</f>
        <v>0</v>
      </c>
      <c r="L493">
        <f>IF(COUNTIFS('United Data'!$A$3:$A$2150,L$1,'United Data'!$C$3:$C$2150,$A493,'United Data'!$B$3:$B$2150,"&lt;&gt;P")&gt;0,1,0)</f>
        <v>0</v>
      </c>
      <c r="M493">
        <f>IF(COUNTIFS('United Data'!$A$3:$A$2150,M$1,'United Data'!$C$3:$C$2150,$A493,'United Data'!$B$3:$B$2150,"&lt;&gt;P")&gt;0,1,0)</f>
        <v>0</v>
      </c>
      <c r="N493">
        <f>IF(COUNTIFS('United Data'!$A$3:$A$2150,N$1,'United Data'!$C$3:$C$2150,$A493,'United Data'!$B$3:$B$2150,"&lt;&gt;P")&gt;0,1,0)</f>
        <v>0</v>
      </c>
      <c r="O493">
        <f>IF(COUNTIFS('United Data'!$A$3:$A$2150,O$1,'United Data'!$C$3:$C$2150,$A493,'United Data'!$B$3:$B$2150,"&lt;&gt;P")&gt;0,1,0)</f>
        <v>0</v>
      </c>
      <c r="P493">
        <f>IF(COUNTIFS('United Data'!$A$3:$A$2150,P$1,'United Data'!$C$3:$C$2150,$A493,'United Data'!$B$3:$B$2150,"&lt;&gt;P")&gt;0,1,0)</f>
        <v>0</v>
      </c>
      <c r="Q493">
        <f>IF(COUNTIFS('United Data'!$A$3:$A$2150,Q$1,'United Data'!$C$3:$C$2150,$A493,'United Data'!$B$3:$B$2150,"&lt;&gt;P")&gt;0,1,0)</f>
        <v>0</v>
      </c>
      <c r="R493">
        <f>IF(COUNTIFS('United Data'!$A$3:$A$2150,R$1,'United Data'!$C$3:$C$2150,$A493,'United Data'!$B$3:$B$2150,"&lt;&gt;P")&gt;0,1,0)</f>
        <v>0</v>
      </c>
      <c r="S493">
        <f t="shared" si="14"/>
        <v>1</v>
      </c>
      <c r="T493">
        <f t="shared" si="15"/>
        <v>1</v>
      </c>
    </row>
    <row r="494" spans="1:20" x14ac:dyDescent="0.2">
      <c r="A494" t="s">
        <v>540</v>
      </c>
      <c r="B494">
        <f>IF(COUNTIFS('United Data'!$A$3:$A$2150,B$1,'United Data'!$C$3:$C$2150,$A494,'United Data'!$B$3:$B$2150,"&lt;&gt;P")&gt;0,1,0)</f>
        <v>0</v>
      </c>
      <c r="C494">
        <f>IF(COUNTIFS('United Data'!$A$3:$A$2150,C$1,'United Data'!$C$3:$C$2150,$A494,'United Data'!$B$3:$B$2150,"&lt;&gt;P")&gt;0,1,0)</f>
        <v>0</v>
      </c>
      <c r="D494">
        <f>IF(COUNTIFS('United Data'!$A$3:$A$2150,D$1,'United Data'!$C$3:$C$2150,$A494,'United Data'!$B$3:$B$2150,"&lt;&gt;P")&gt;0,1,0)</f>
        <v>0</v>
      </c>
      <c r="E494">
        <f>IF(COUNTIFS('United Data'!$A$3:$A$2150,E$1,'United Data'!$C$3:$C$2150,$A494,'United Data'!$B$3:$B$2150,"&lt;&gt;P")&gt;0,1,0)</f>
        <v>0</v>
      </c>
      <c r="F494">
        <f>IF(COUNTIFS('United Data'!$A$3:$A$2150,F$1,'United Data'!$C$3:$C$2150,$A494,'United Data'!$B$3:$B$2150,"&lt;&gt;P")&gt;0,1,0)</f>
        <v>0</v>
      </c>
      <c r="G494">
        <f>IF(COUNTIFS('United Data'!$A$3:$A$2150,G$1,'United Data'!$C$3:$C$2150,$A494,'United Data'!$B$3:$B$2150,"&lt;&gt;P")&gt;0,1,0)</f>
        <v>0</v>
      </c>
      <c r="H494">
        <f>IF(COUNTIFS('United Data'!$A$3:$A$2150,H$1,'United Data'!$C$3:$C$2150,$A494,'United Data'!$B$3:$B$2150,"&lt;&gt;P")&gt;0,1,0)</f>
        <v>1</v>
      </c>
      <c r="I494">
        <f>IF(COUNTIFS('United Data'!$A$3:$A$2150,I$1,'United Data'!$C$3:$C$2150,$A494,'United Data'!$B$3:$B$2150,"&lt;&gt;P")&gt;0,1,0)</f>
        <v>0</v>
      </c>
      <c r="J494">
        <f>IF(COUNTIFS('United Data'!$A$3:$A$2150,J$1,'United Data'!$C$3:$C$2150,$A494,'United Data'!$B$3:$B$2150,"&lt;&gt;P")&gt;0,1,0)</f>
        <v>0</v>
      </c>
      <c r="K494">
        <f>IF(COUNTIFS('United Data'!$A$3:$A$2150,K$1,'United Data'!$C$3:$C$2150,$A494,'United Data'!$B$3:$B$2150,"&lt;&gt;P")&gt;0,1,0)</f>
        <v>0</v>
      </c>
      <c r="L494">
        <f>IF(COUNTIFS('United Data'!$A$3:$A$2150,L$1,'United Data'!$C$3:$C$2150,$A494,'United Data'!$B$3:$B$2150,"&lt;&gt;P")&gt;0,1,0)</f>
        <v>0</v>
      </c>
      <c r="M494">
        <f>IF(COUNTIFS('United Data'!$A$3:$A$2150,M$1,'United Data'!$C$3:$C$2150,$A494,'United Data'!$B$3:$B$2150,"&lt;&gt;P")&gt;0,1,0)</f>
        <v>0</v>
      </c>
      <c r="N494">
        <f>IF(COUNTIFS('United Data'!$A$3:$A$2150,N$1,'United Data'!$C$3:$C$2150,$A494,'United Data'!$B$3:$B$2150,"&lt;&gt;P")&gt;0,1,0)</f>
        <v>0</v>
      </c>
      <c r="O494">
        <f>IF(COUNTIFS('United Data'!$A$3:$A$2150,O$1,'United Data'!$C$3:$C$2150,$A494,'United Data'!$B$3:$B$2150,"&lt;&gt;P")&gt;0,1,0)</f>
        <v>0</v>
      </c>
      <c r="P494">
        <f>IF(COUNTIFS('United Data'!$A$3:$A$2150,P$1,'United Data'!$C$3:$C$2150,$A494,'United Data'!$B$3:$B$2150,"&lt;&gt;P")&gt;0,1,0)</f>
        <v>0</v>
      </c>
      <c r="Q494">
        <f>IF(COUNTIFS('United Data'!$A$3:$A$2150,Q$1,'United Data'!$C$3:$C$2150,$A494,'United Data'!$B$3:$B$2150,"&lt;&gt;P")&gt;0,1,0)</f>
        <v>0</v>
      </c>
      <c r="R494">
        <f>IF(COUNTIFS('United Data'!$A$3:$A$2150,R$1,'United Data'!$C$3:$C$2150,$A494,'United Data'!$B$3:$B$2150,"&lt;&gt;P")&gt;0,1,0)</f>
        <v>0</v>
      </c>
      <c r="S494">
        <f t="shared" si="14"/>
        <v>1</v>
      </c>
      <c r="T494">
        <f t="shared" si="15"/>
        <v>1</v>
      </c>
    </row>
    <row r="495" spans="1:20" x14ac:dyDescent="0.2">
      <c r="A495" t="s">
        <v>541</v>
      </c>
      <c r="B495">
        <f>IF(COUNTIFS('United Data'!$A$3:$A$2150,B$1,'United Data'!$C$3:$C$2150,$A495,'United Data'!$B$3:$B$2150,"&lt;&gt;P")&gt;0,1,0)</f>
        <v>0</v>
      </c>
      <c r="C495">
        <f>IF(COUNTIFS('United Data'!$A$3:$A$2150,C$1,'United Data'!$C$3:$C$2150,$A495,'United Data'!$B$3:$B$2150,"&lt;&gt;P")&gt;0,1,0)</f>
        <v>0</v>
      </c>
      <c r="D495">
        <f>IF(COUNTIFS('United Data'!$A$3:$A$2150,D$1,'United Data'!$C$3:$C$2150,$A495,'United Data'!$B$3:$B$2150,"&lt;&gt;P")&gt;0,1,0)</f>
        <v>0</v>
      </c>
      <c r="E495">
        <f>IF(COUNTIFS('United Data'!$A$3:$A$2150,E$1,'United Data'!$C$3:$C$2150,$A495,'United Data'!$B$3:$B$2150,"&lt;&gt;P")&gt;0,1,0)</f>
        <v>0</v>
      </c>
      <c r="F495">
        <f>IF(COUNTIFS('United Data'!$A$3:$A$2150,F$1,'United Data'!$C$3:$C$2150,$A495,'United Data'!$B$3:$B$2150,"&lt;&gt;P")&gt;0,1,0)</f>
        <v>0</v>
      </c>
      <c r="G495">
        <f>IF(COUNTIFS('United Data'!$A$3:$A$2150,G$1,'United Data'!$C$3:$C$2150,$A495,'United Data'!$B$3:$B$2150,"&lt;&gt;P")&gt;0,1,0)</f>
        <v>0</v>
      </c>
      <c r="H495">
        <f>IF(COUNTIFS('United Data'!$A$3:$A$2150,H$1,'United Data'!$C$3:$C$2150,$A495,'United Data'!$B$3:$B$2150,"&lt;&gt;P")&gt;0,1,0)</f>
        <v>1</v>
      </c>
      <c r="I495">
        <f>IF(COUNTIFS('United Data'!$A$3:$A$2150,I$1,'United Data'!$C$3:$C$2150,$A495,'United Data'!$B$3:$B$2150,"&lt;&gt;P")&gt;0,1,0)</f>
        <v>1</v>
      </c>
      <c r="J495">
        <f>IF(COUNTIFS('United Data'!$A$3:$A$2150,J$1,'United Data'!$C$3:$C$2150,$A495,'United Data'!$B$3:$B$2150,"&lt;&gt;P")&gt;0,1,0)</f>
        <v>0</v>
      </c>
      <c r="K495">
        <f>IF(COUNTIFS('United Data'!$A$3:$A$2150,K$1,'United Data'!$C$3:$C$2150,$A495,'United Data'!$B$3:$B$2150,"&lt;&gt;P")&gt;0,1,0)</f>
        <v>0</v>
      </c>
      <c r="L495">
        <f>IF(COUNTIFS('United Data'!$A$3:$A$2150,L$1,'United Data'!$C$3:$C$2150,$A495,'United Data'!$B$3:$B$2150,"&lt;&gt;P")&gt;0,1,0)</f>
        <v>0</v>
      </c>
      <c r="M495">
        <f>IF(COUNTIFS('United Data'!$A$3:$A$2150,M$1,'United Data'!$C$3:$C$2150,$A495,'United Data'!$B$3:$B$2150,"&lt;&gt;P")&gt;0,1,0)</f>
        <v>0</v>
      </c>
      <c r="N495">
        <f>IF(COUNTIFS('United Data'!$A$3:$A$2150,N$1,'United Data'!$C$3:$C$2150,$A495,'United Data'!$B$3:$B$2150,"&lt;&gt;P")&gt;0,1,0)</f>
        <v>0</v>
      </c>
      <c r="O495">
        <f>IF(COUNTIFS('United Data'!$A$3:$A$2150,O$1,'United Data'!$C$3:$C$2150,$A495,'United Data'!$B$3:$B$2150,"&lt;&gt;P")&gt;0,1,0)</f>
        <v>0</v>
      </c>
      <c r="P495">
        <f>IF(COUNTIFS('United Data'!$A$3:$A$2150,P$1,'United Data'!$C$3:$C$2150,$A495,'United Data'!$B$3:$B$2150,"&lt;&gt;P")&gt;0,1,0)</f>
        <v>0</v>
      </c>
      <c r="Q495">
        <f>IF(COUNTIFS('United Data'!$A$3:$A$2150,Q$1,'United Data'!$C$3:$C$2150,$A495,'United Data'!$B$3:$B$2150,"&lt;&gt;P")&gt;0,1,0)</f>
        <v>0</v>
      </c>
      <c r="R495">
        <f>IF(COUNTIFS('United Data'!$A$3:$A$2150,R$1,'United Data'!$C$3:$C$2150,$A495,'United Data'!$B$3:$B$2150,"&lt;&gt;P")&gt;0,1,0)</f>
        <v>0</v>
      </c>
      <c r="S495">
        <f t="shared" si="14"/>
        <v>2</v>
      </c>
      <c r="T495">
        <f t="shared" si="15"/>
        <v>1</v>
      </c>
    </row>
    <row r="496" spans="1:20" x14ac:dyDescent="0.2">
      <c r="A496" t="s">
        <v>542</v>
      </c>
      <c r="B496">
        <f>IF(COUNTIFS('United Data'!$A$3:$A$2150,B$1,'United Data'!$C$3:$C$2150,$A496,'United Data'!$B$3:$B$2150,"&lt;&gt;P")&gt;0,1,0)</f>
        <v>0</v>
      </c>
      <c r="C496">
        <f>IF(COUNTIFS('United Data'!$A$3:$A$2150,C$1,'United Data'!$C$3:$C$2150,$A496,'United Data'!$B$3:$B$2150,"&lt;&gt;P")&gt;0,1,0)</f>
        <v>0</v>
      </c>
      <c r="D496">
        <f>IF(COUNTIFS('United Data'!$A$3:$A$2150,D$1,'United Data'!$C$3:$C$2150,$A496,'United Data'!$B$3:$B$2150,"&lt;&gt;P")&gt;0,1,0)</f>
        <v>0</v>
      </c>
      <c r="E496">
        <f>IF(COUNTIFS('United Data'!$A$3:$A$2150,E$1,'United Data'!$C$3:$C$2150,$A496,'United Data'!$B$3:$B$2150,"&lt;&gt;P")&gt;0,1,0)</f>
        <v>0</v>
      </c>
      <c r="F496">
        <f>IF(COUNTIFS('United Data'!$A$3:$A$2150,F$1,'United Data'!$C$3:$C$2150,$A496,'United Data'!$B$3:$B$2150,"&lt;&gt;P")&gt;0,1,0)</f>
        <v>0</v>
      </c>
      <c r="G496">
        <f>IF(COUNTIFS('United Data'!$A$3:$A$2150,G$1,'United Data'!$C$3:$C$2150,$A496,'United Data'!$B$3:$B$2150,"&lt;&gt;P")&gt;0,1,0)</f>
        <v>0</v>
      </c>
      <c r="H496">
        <f>IF(COUNTIFS('United Data'!$A$3:$A$2150,H$1,'United Data'!$C$3:$C$2150,$A496,'United Data'!$B$3:$B$2150,"&lt;&gt;P")&gt;0,1,0)</f>
        <v>1</v>
      </c>
      <c r="I496">
        <f>IF(COUNTIFS('United Data'!$A$3:$A$2150,I$1,'United Data'!$C$3:$C$2150,$A496,'United Data'!$B$3:$B$2150,"&lt;&gt;P")&gt;0,1,0)</f>
        <v>0</v>
      </c>
      <c r="J496">
        <f>IF(COUNTIFS('United Data'!$A$3:$A$2150,J$1,'United Data'!$C$3:$C$2150,$A496,'United Data'!$B$3:$B$2150,"&lt;&gt;P")&gt;0,1,0)</f>
        <v>0</v>
      </c>
      <c r="K496">
        <f>IF(COUNTIFS('United Data'!$A$3:$A$2150,K$1,'United Data'!$C$3:$C$2150,$A496,'United Data'!$B$3:$B$2150,"&lt;&gt;P")&gt;0,1,0)</f>
        <v>0</v>
      </c>
      <c r="L496">
        <f>IF(COUNTIFS('United Data'!$A$3:$A$2150,L$1,'United Data'!$C$3:$C$2150,$A496,'United Data'!$B$3:$B$2150,"&lt;&gt;P")&gt;0,1,0)</f>
        <v>0</v>
      </c>
      <c r="M496">
        <f>IF(COUNTIFS('United Data'!$A$3:$A$2150,M$1,'United Data'!$C$3:$C$2150,$A496,'United Data'!$B$3:$B$2150,"&lt;&gt;P")&gt;0,1,0)</f>
        <v>0</v>
      </c>
      <c r="N496">
        <f>IF(COUNTIFS('United Data'!$A$3:$A$2150,N$1,'United Data'!$C$3:$C$2150,$A496,'United Data'!$B$3:$B$2150,"&lt;&gt;P")&gt;0,1,0)</f>
        <v>0</v>
      </c>
      <c r="O496">
        <f>IF(COUNTIFS('United Data'!$A$3:$A$2150,O$1,'United Data'!$C$3:$C$2150,$A496,'United Data'!$B$3:$B$2150,"&lt;&gt;P")&gt;0,1,0)</f>
        <v>0</v>
      </c>
      <c r="P496">
        <f>IF(COUNTIFS('United Data'!$A$3:$A$2150,P$1,'United Data'!$C$3:$C$2150,$A496,'United Data'!$B$3:$B$2150,"&lt;&gt;P")&gt;0,1,0)</f>
        <v>0</v>
      </c>
      <c r="Q496">
        <f>IF(COUNTIFS('United Data'!$A$3:$A$2150,Q$1,'United Data'!$C$3:$C$2150,$A496,'United Data'!$B$3:$B$2150,"&lt;&gt;P")&gt;0,1,0)</f>
        <v>0</v>
      </c>
      <c r="R496">
        <f>IF(COUNTIFS('United Data'!$A$3:$A$2150,R$1,'United Data'!$C$3:$C$2150,$A496,'United Data'!$B$3:$B$2150,"&lt;&gt;P")&gt;0,1,0)</f>
        <v>0</v>
      </c>
      <c r="S496">
        <f t="shared" si="14"/>
        <v>1</v>
      </c>
      <c r="T496">
        <f t="shared" si="15"/>
        <v>1</v>
      </c>
    </row>
    <row r="497" spans="1:20" x14ac:dyDescent="0.2">
      <c r="A497" t="s">
        <v>543</v>
      </c>
      <c r="B497">
        <f>IF(COUNTIFS('United Data'!$A$3:$A$2150,B$1,'United Data'!$C$3:$C$2150,$A497,'United Data'!$B$3:$B$2150,"&lt;&gt;P")&gt;0,1,0)</f>
        <v>0</v>
      </c>
      <c r="C497">
        <f>IF(COUNTIFS('United Data'!$A$3:$A$2150,C$1,'United Data'!$C$3:$C$2150,$A497,'United Data'!$B$3:$B$2150,"&lt;&gt;P")&gt;0,1,0)</f>
        <v>0</v>
      </c>
      <c r="D497">
        <f>IF(COUNTIFS('United Data'!$A$3:$A$2150,D$1,'United Data'!$C$3:$C$2150,$A497,'United Data'!$B$3:$B$2150,"&lt;&gt;P")&gt;0,1,0)</f>
        <v>0</v>
      </c>
      <c r="E497">
        <f>IF(COUNTIFS('United Data'!$A$3:$A$2150,E$1,'United Data'!$C$3:$C$2150,$A497,'United Data'!$B$3:$B$2150,"&lt;&gt;P")&gt;0,1,0)</f>
        <v>0</v>
      </c>
      <c r="F497">
        <f>IF(COUNTIFS('United Data'!$A$3:$A$2150,F$1,'United Data'!$C$3:$C$2150,$A497,'United Data'!$B$3:$B$2150,"&lt;&gt;P")&gt;0,1,0)</f>
        <v>0</v>
      </c>
      <c r="G497">
        <f>IF(COUNTIFS('United Data'!$A$3:$A$2150,G$1,'United Data'!$C$3:$C$2150,$A497,'United Data'!$B$3:$B$2150,"&lt;&gt;P")&gt;0,1,0)</f>
        <v>0</v>
      </c>
      <c r="H497">
        <f>IF(COUNTIFS('United Data'!$A$3:$A$2150,H$1,'United Data'!$C$3:$C$2150,$A497,'United Data'!$B$3:$B$2150,"&lt;&gt;P")&gt;0,1,0)</f>
        <v>1</v>
      </c>
      <c r="I497">
        <f>IF(COUNTIFS('United Data'!$A$3:$A$2150,I$1,'United Data'!$C$3:$C$2150,$A497,'United Data'!$B$3:$B$2150,"&lt;&gt;P")&gt;0,1,0)</f>
        <v>1</v>
      </c>
      <c r="J497">
        <f>IF(COUNTIFS('United Data'!$A$3:$A$2150,J$1,'United Data'!$C$3:$C$2150,$A497,'United Data'!$B$3:$B$2150,"&lt;&gt;P")&gt;0,1,0)</f>
        <v>0</v>
      </c>
      <c r="K497">
        <f>IF(COUNTIFS('United Data'!$A$3:$A$2150,K$1,'United Data'!$C$3:$C$2150,$A497,'United Data'!$B$3:$B$2150,"&lt;&gt;P")&gt;0,1,0)</f>
        <v>0</v>
      </c>
      <c r="L497">
        <f>IF(COUNTIFS('United Data'!$A$3:$A$2150,L$1,'United Data'!$C$3:$C$2150,$A497,'United Data'!$B$3:$B$2150,"&lt;&gt;P")&gt;0,1,0)</f>
        <v>0</v>
      </c>
      <c r="M497">
        <f>IF(COUNTIFS('United Data'!$A$3:$A$2150,M$1,'United Data'!$C$3:$C$2150,$A497,'United Data'!$B$3:$B$2150,"&lt;&gt;P")&gt;0,1,0)</f>
        <v>0</v>
      </c>
      <c r="N497">
        <f>IF(COUNTIFS('United Data'!$A$3:$A$2150,N$1,'United Data'!$C$3:$C$2150,$A497,'United Data'!$B$3:$B$2150,"&lt;&gt;P")&gt;0,1,0)</f>
        <v>0</v>
      </c>
      <c r="O497">
        <f>IF(COUNTIFS('United Data'!$A$3:$A$2150,O$1,'United Data'!$C$3:$C$2150,$A497,'United Data'!$B$3:$B$2150,"&lt;&gt;P")&gt;0,1,0)</f>
        <v>0</v>
      </c>
      <c r="P497">
        <f>IF(COUNTIFS('United Data'!$A$3:$A$2150,P$1,'United Data'!$C$3:$C$2150,$A497,'United Data'!$B$3:$B$2150,"&lt;&gt;P")&gt;0,1,0)</f>
        <v>0</v>
      </c>
      <c r="Q497">
        <f>IF(COUNTIFS('United Data'!$A$3:$A$2150,Q$1,'United Data'!$C$3:$C$2150,$A497,'United Data'!$B$3:$B$2150,"&lt;&gt;P")&gt;0,1,0)</f>
        <v>0</v>
      </c>
      <c r="R497">
        <f>IF(COUNTIFS('United Data'!$A$3:$A$2150,R$1,'United Data'!$C$3:$C$2150,$A497,'United Data'!$B$3:$B$2150,"&lt;&gt;P")&gt;0,1,0)</f>
        <v>0</v>
      </c>
      <c r="S497">
        <f t="shared" si="14"/>
        <v>2</v>
      </c>
      <c r="T497">
        <f t="shared" si="15"/>
        <v>1</v>
      </c>
    </row>
    <row r="498" spans="1:20" x14ac:dyDescent="0.2">
      <c r="A498" t="s">
        <v>544</v>
      </c>
      <c r="B498">
        <f>IF(COUNTIFS('United Data'!$A$3:$A$2150,B$1,'United Data'!$C$3:$C$2150,$A498,'United Data'!$B$3:$B$2150,"&lt;&gt;P")&gt;0,1,0)</f>
        <v>0</v>
      </c>
      <c r="C498">
        <f>IF(COUNTIFS('United Data'!$A$3:$A$2150,C$1,'United Data'!$C$3:$C$2150,$A498,'United Data'!$B$3:$B$2150,"&lt;&gt;P")&gt;0,1,0)</f>
        <v>0</v>
      </c>
      <c r="D498">
        <f>IF(COUNTIFS('United Data'!$A$3:$A$2150,D$1,'United Data'!$C$3:$C$2150,$A498,'United Data'!$B$3:$B$2150,"&lt;&gt;P")&gt;0,1,0)</f>
        <v>0</v>
      </c>
      <c r="E498">
        <f>IF(COUNTIFS('United Data'!$A$3:$A$2150,E$1,'United Data'!$C$3:$C$2150,$A498,'United Data'!$B$3:$B$2150,"&lt;&gt;P")&gt;0,1,0)</f>
        <v>0</v>
      </c>
      <c r="F498">
        <f>IF(COUNTIFS('United Data'!$A$3:$A$2150,F$1,'United Data'!$C$3:$C$2150,$A498,'United Data'!$B$3:$B$2150,"&lt;&gt;P")&gt;0,1,0)</f>
        <v>0</v>
      </c>
      <c r="G498">
        <f>IF(COUNTIFS('United Data'!$A$3:$A$2150,G$1,'United Data'!$C$3:$C$2150,$A498,'United Data'!$B$3:$B$2150,"&lt;&gt;P")&gt;0,1,0)</f>
        <v>0</v>
      </c>
      <c r="H498">
        <f>IF(COUNTIFS('United Data'!$A$3:$A$2150,H$1,'United Data'!$C$3:$C$2150,$A498,'United Data'!$B$3:$B$2150,"&lt;&gt;P")&gt;0,1,0)</f>
        <v>1</v>
      </c>
      <c r="I498">
        <f>IF(COUNTIFS('United Data'!$A$3:$A$2150,I$1,'United Data'!$C$3:$C$2150,$A498,'United Data'!$B$3:$B$2150,"&lt;&gt;P")&gt;0,1,0)</f>
        <v>0</v>
      </c>
      <c r="J498">
        <f>IF(COUNTIFS('United Data'!$A$3:$A$2150,J$1,'United Data'!$C$3:$C$2150,$A498,'United Data'!$B$3:$B$2150,"&lt;&gt;P")&gt;0,1,0)</f>
        <v>0</v>
      </c>
      <c r="K498">
        <f>IF(COUNTIFS('United Data'!$A$3:$A$2150,K$1,'United Data'!$C$3:$C$2150,$A498,'United Data'!$B$3:$B$2150,"&lt;&gt;P")&gt;0,1,0)</f>
        <v>0</v>
      </c>
      <c r="L498">
        <f>IF(COUNTIFS('United Data'!$A$3:$A$2150,L$1,'United Data'!$C$3:$C$2150,$A498,'United Data'!$B$3:$B$2150,"&lt;&gt;P")&gt;0,1,0)</f>
        <v>0</v>
      </c>
      <c r="M498">
        <f>IF(COUNTIFS('United Data'!$A$3:$A$2150,M$1,'United Data'!$C$3:$C$2150,$A498,'United Data'!$B$3:$B$2150,"&lt;&gt;P")&gt;0,1,0)</f>
        <v>0</v>
      </c>
      <c r="N498">
        <f>IF(COUNTIFS('United Data'!$A$3:$A$2150,N$1,'United Data'!$C$3:$C$2150,$A498,'United Data'!$B$3:$B$2150,"&lt;&gt;P")&gt;0,1,0)</f>
        <v>0</v>
      </c>
      <c r="O498">
        <f>IF(COUNTIFS('United Data'!$A$3:$A$2150,O$1,'United Data'!$C$3:$C$2150,$A498,'United Data'!$B$3:$B$2150,"&lt;&gt;P")&gt;0,1,0)</f>
        <v>0</v>
      </c>
      <c r="P498">
        <f>IF(COUNTIFS('United Data'!$A$3:$A$2150,P$1,'United Data'!$C$3:$C$2150,$A498,'United Data'!$B$3:$B$2150,"&lt;&gt;P")&gt;0,1,0)</f>
        <v>0</v>
      </c>
      <c r="Q498">
        <f>IF(COUNTIFS('United Data'!$A$3:$A$2150,Q$1,'United Data'!$C$3:$C$2150,$A498,'United Data'!$B$3:$B$2150,"&lt;&gt;P")&gt;0,1,0)</f>
        <v>0</v>
      </c>
      <c r="R498">
        <f>IF(COUNTIFS('United Data'!$A$3:$A$2150,R$1,'United Data'!$C$3:$C$2150,$A498,'United Data'!$B$3:$B$2150,"&lt;&gt;P")&gt;0,1,0)</f>
        <v>0</v>
      </c>
      <c r="S498">
        <f t="shared" si="14"/>
        <v>1</v>
      </c>
      <c r="T498">
        <f t="shared" si="15"/>
        <v>1</v>
      </c>
    </row>
    <row r="499" spans="1:20" x14ac:dyDescent="0.2">
      <c r="A499" t="s">
        <v>545</v>
      </c>
      <c r="B499">
        <f>IF(COUNTIFS('United Data'!$A$3:$A$2150,B$1,'United Data'!$C$3:$C$2150,$A499,'United Data'!$B$3:$B$2150,"&lt;&gt;P")&gt;0,1,0)</f>
        <v>0</v>
      </c>
      <c r="C499">
        <f>IF(COUNTIFS('United Data'!$A$3:$A$2150,C$1,'United Data'!$C$3:$C$2150,$A499,'United Data'!$B$3:$B$2150,"&lt;&gt;P")&gt;0,1,0)</f>
        <v>0</v>
      </c>
      <c r="D499">
        <f>IF(COUNTIFS('United Data'!$A$3:$A$2150,D$1,'United Data'!$C$3:$C$2150,$A499,'United Data'!$B$3:$B$2150,"&lt;&gt;P")&gt;0,1,0)</f>
        <v>0</v>
      </c>
      <c r="E499">
        <f>IF(COUNTIFS('United Data'!$A$3:$A$2150,E$1,'United Data'!$C$3:$C$2150,$A499,'United Data'!$B$3:$B$2150,"&lt;&gt;P")&gt;0,1,0)</f>
        <v>0</v>
      </c>
      <c r="F499">
        <f>IF(COUNTIFS('United Data'!$A$3:$A$2150,F$1,'United Data'!$C$3:$C$2150,$A499,'United Data'!$B$3:$B$2150,"&lt;&gt;P")&gt;0,1,0)</f>
        <v>0</v>
      </c>
      <c r="G499">
        <f>IF(COUNTIFS('United Data'!$A$3:$A$2150,G$1,'United Data'!$C$3:$C$2150,$A499,'United Data'!$B$3:$B$2150,"&lt;&gt;P")&gt;0,1,0)</f>
        <v>0</v>
      </c>
      <c r="H499">
        <f>IF(COUNTIFS('United Data'!$A$3:$A$2150,H$1,'United Data'!$C$3:$C$2150,$A499,'United Data'!$B$3:$B$2150,"&lt;&gt;P")&gt;0,1,0)</f>
        <v>1</v>
      </c>
      <c r="I499">
        <f>IF(COUNTIFS('United Data'!$A$3:$A$2150,I$1,'United Data'!$C$3:$C$2150,$A499,'United Data'!$B$3:$B$2150,"&lt;&gt;P")&gt;0,1,0)</f>
        <v>1</v>
      </c>
      <c r="J499">
        <f>IF(COUNTIFS('United Data'!$A$3:$A$2150,J$1,'United Data'!$C$3:$C$2150,$A499,'United Data'!$B$3:$B$2150,"&lt;&gt;P")&gt;0,1,0)</f>
        <v>1</v>
      </c>
      <c r="K499">
        <f>IF(COUNTIFS('United Data'!$A$3:$A$2150,K$1,'United Data'!$C$3:$C$2150,$A499,'United Data'!$B$3:$B$2150,"&lt;&gt;P")&gt;0,1,0)</f>
        <v>1</v>
      </c>
      <c r="L499">
        <f>IF(COUNTIFS('United Data'!$A$3:$A$2150,L$1,'United Data'!$C$3:$C$2150,$A499,'United Data'!$B$3:$B$2150,"&lt;&gt;P")&gt;0,1,0)</f>
        <v>1</v>
      </c>
      <c r="M499">
        <f>IF(COUNTIFS('United Data'!$A$3:$A$2150,M$1,'United Data'!$C$3:$C$2150,$A499,'United Data'!$B$3:$B$2150,"&lt;&gt;P")&gt;0,1,0)</f>
        <v>1</v>
      </c>
      <c r="N499">
        <f>IF(COUNTIFS('United Data'!$A$3:$A$2150,N$1,'United Data'!$C$3:$C$2150,$A499,'United Data'!$B$3:$B$2150,"&lt;&gt;P")&gt;0,1,0)</f>
        <v>1</v>
      </c>
      <c r="O499">
        <f>IF(COUNTIFS('United Data'!$A$3:$A$2150,O$1,'United Data'!$C$3:$C$2150,$A499,'United Data'!$B$3:$B$2150,"&lt;&gt;P")&gt;0,1,0)</f>
        <v>1</v>
      </c>
      <c r="P499">
        <f>IF(COUNTIFS('United Data'!$A$3:$A$2150,P$1,'United Data'!$C$3:$C$2150,$A499,'United Data'!$B$3:$B$2150,"&lt;&gt;P")&gt;0,1,0)</f>
        <v>1</v>
      </c>
      <c r="Q499">
        <f>IF(COUNTIFS('United Data'!$A$3:$A$2150,Q$1,'United Data'!$C$3:$C$2150,$A499,'United Data'!$B$3:$B$2150,"&lt;&gt;P")&gt;0,1,0)</f>
        <v>1</v>
      </c>
      <c r="R499">
        <f>IF(COUNTIFS('United Data'!$A$3:$A$2150,R$1,'United Data'!$C$3:$C$2150,$A499,'United Data'!$B$3:$B$2150,"&lt;&gt;P")&gt;0,1,0)</f>
        <v>0</v>
      </c>
      <c r="S499">
        <f t="shared" si="14"/>
        <v>10</v>
      </c>
      <c r="T499">
        <f t="shared" si="15"/>
        <v>1</v>
      </c>
    </row>
    <row r="500" spans="1:20" x14ac:dyDescent="0.2">
      <c r="A500" t="s">
        <v>546</v>
      </c>
      <c r="B500">
        <f>IF(COUNTIFS('United Data'!$A$3:$A$2150,B$1,'United Data'!$C$3:$C$2150,$A500,'United Data'!$B$3:$B$2150,"&lt;&gt;P")&gt;0,1,0)</f>
        <v>0</v>
      </c>
      <c r="C500">
        <f>IF(COUNTIFS('United Data'!$A$3:$A$2150,C$1,'United Data'!$C$3:$C$2150,$A500,'United Data'!$B$3:$B$2150,"&lt;&gt;P")&gt;0,1,0)</f>
        <v>0</v>
      </c>
      <c r="D500">
        <f>IF(COUNTIFS('United Data'!$A$3:$A$2150,D$1,'United Data'!$C$3:$C$2150,$A500,'United Data'!$B$3:$B$2150,"&lt;&gt;P")&gt;0,1,0)</f>
        <v>0</v>
      </c>
      <c r="E500">
        <f>IF(COUNTIFS('United Data'!$A$3:$A$2150,E$1,'United Data'!$C$3:$C$2150,$A500,'United Data'!$B$3:$B$2150,"&lt;&gt;P")&gt;0,1,0)</f>
        <v>0</v>
      </c>
      <c r="F500">
        <f>IF(COUNTIFS('United Data'!$A$3:$A$2150,F$1,'United Data'!$C$3:$C$2150,$A500,'United Data'!$B$3:$B$2150,"&lt;&gt;P")&gt;0,1,0)</f>
        <v>0</v>
      </c>
      <c r="G500">
        <f>IF(COUNTIFS('United Data'!$A$3:$A$2150,G$1,'United Data'!$C$3:$C$2150,$A500,'United Data'!$B$3:$B$2150,"&lt;&gt;P")&gt;0,1,0)</f>
        <v>0</v>
      </c>
      <c r="H500">
        <f>IF(COUNTIFS('United Data'!$A$3:$A$2150,H$1,'United Data'!$C$3:$C$2150,$A500,'United Data'!$B$3:$B$2150,"&lt;&gt;P")&gt;0,1,0)</f>
        <v>1</v>
      </c>
      <c r="I500">
        <f>IF(COUNTIFS('United Data'!$A$3:$A$2150,I$1,'United Data'!$C$3:$C$2150,$A500,'United Data'!$B$3:$B$2150,"&lt;&gt;P")&gt;0,1,0)</f>
        <v>0</v>
      </c>
      <c r="J500">
        <f>IF(COUNTIFS('United Data'!$A$3:$A$2150,J$1,'United Data'!$C$3:$C$2150,$A500,'United Data'!$B$3:$B$2150,"&lt;&gt;P")&gt;0,1,0)</f>
        <v>0</v>
      </c>
      <c r="K500">
        <f>IF(COUNTIFS('United Data'!$A$3:$A$2150,K$1,'United Data'!$C$3:$C$2150,$A500,'United Data'!$B$3:$B$2150,"&lt;&gt;P")&gt;0,1,0)</f>
        <v>0</v>
      </c>
      <c r="L500">
        <f>IF(COUNTIFS('United Data'!$A$3:$A$2150,L$1,'United Data'!$C$3:$C$2150,$A500,'United Data'!$B$3:$B$2150,"&lt;&gt;P")&gt;0,1,0)</f>
        <v>0</v>
      </c>
      <c r="M500">
        <f>IF(COUNTIFS('United Data'!$A$3:$A$2150,M$1,'United Data'!$C$3:$C$2150,$A500,'United Data'!$B$3:$B$2150,"&lt;&gt;P")&gt;0,1,0)</f>
        <v>0</v>
      </c>
      <c r="N500">
        <f>IF(COUNTIFS('United Data'!$A$3:$A$2150,N$1,'United Data'!$C$3:$C$2150,$A500,'United Data'!$B$3:$B$2150,"&lt;&gt;P")&gt;0,1,0)</f>
        <v>0</v>
      </c>
      <c r="O500">
        <f>IF(COUNTIFS('United Data'!$A$3:$A$2150,O$1,'United Data'!$C$3:$C$2150,$A500,'United Data'!$B$3:$B$2150,"&lt;&gt;P")&gt;0,1,0)</f>
        <v>0</v>
      </c>
      <c r="P500">
        <f>IF(COUNTIFS('United Data'!$A$3:$A$2150,P$1,'United Data'!$C$3:$C$2150,$A500,'United Data'!$B$3:$B$2150,"&lt;&gt;P")&gt;0,1,0)</f>
        <v>0</v>
      </c>
      <c r="Q500">
        <f>IF(COUNTIFS('United Data'!$A$3:$A$2150,Q$1,'United Data'!$C$3:$C$2150,$A500,'United Data'!$B$3:$B$2150,"&lt;&gt;P")&gt;0,1,0)</f>
        <v>0</v>
      </c>
      <c r="R500">
        <f>IF(COUNTIFS('United Data'!$A$3:$A$2150,R$1,'United Data'!$C$3:$C$2150,$A500,'United Data'!$B$3:$B$2150,"&lt;&gt;P")&gt;0,1,0)</f>
        <v>0</v>
      </c>
      <c r="S500">
        <f t="shared" si="14"/>
        <v>1</v>
      </c>
      <c r="T500">
        <f t="shared" si="15"/>
        <v>1</v>
      </c>
    </row>
    <row r="501" spans="1:20" x14ac:dyDescent="0.2">
      <c r="A501" t="s">
        <v>547</v>
      </c>
      <c r="B501">
        <f>IF(COUNTIFS('United Data'!$A$3:$A$2150,B$1,'United Data'!$C$3:$C$2150,$A501,'United Data'!$B$3:$B$2150,"&lt;&gt;P")&gt;0,1,0)</f>
        <v>0</v>
      </c>
      <c r="C501">
        <f>IF(COUNTIFS('United Data'!$A$3:$A$2150,C$1,'United Data'!$C$3:$C$2150,$A501,'United Data'!$B$3:$B$2150,"&lt;&gt;P")&gt;0,1,0)</f>
        <v>0</v>
      </c>
      <c r="D501">
        <f>IF(COUNTIFS('United Data'!$A$3:$A$2150,D$1,'United Data'!$C$3:$C$2150,$A501,'United Data'!$B$3:$B$2150,"&lt;&gt;P")&gt;0,1,0)</f>
        <v>0</v>
      </c>
      <c r="E501">
        <f>IF(COUNTIFS('United Data'!$A$3:$A$2150,E$1,'United Data'!$C$3:$C$2150,$A501,'United Data'!$B$3:$B$2150,"&lt;&gt;P")&gt;0,1,0)</f>
        <v>0</v>
      </c>
      <c r="F501">
        <f>IF(COUNTIFS('United Data'!$A$3:$A$2150,F$1,'United Data'!$C$3:$C$2150,$A501,'United Data'!$B$3:$B$2150,"&lt;&gt;P")&gt;0,1,0)</f>
        <v>0</v>
      </c>
      <c r="G501">
        <f>IF(COUNTIFS('United Data'!$A$3:$A$2150,G$1,'United Data'!$C$3:$C$2150,$A501,'United Data'!$B$3:$B$2150,"&lt;&gt;P")&gt;0,1,0)</f>
        <v>0</v>
      </c>
      <c r="H501">
        <f>IF(COUNTIFS('United Data'!$A$3:$A$2150,H$1,'United Data'!$C$3:$C$2150,$A501,'United Data'!$B$3:$B$2150,"&lt;&gt;P")&gt;0,1,0)</f>
        <v>1</v>
      </c>
      <c r="I501">
        <f>IF(COUNTIFS('United Data'!$A$3:$A$2150,I$1,'United Data'!$C$3:$C$2150,$A501,'United Data'!$B$3:$B$2150,"&lt;&gt;P")&gt;0,1,0)</f>
        <v>0</v>
      </c>
      <c r="J501">
        <f>IF(COUNTIFS('United Data'!$A$3:$A$2150,J$1,'United Data'!$C$3:$C$2150,$A501,'United Data'!$B$3:$B$2150,"&lt;&gt;P")&gt;0,1,0)</f>
        <v>0</v>
      </c>
      <c r="K501">
        <f>IF(COUNTIFS('United Data'!$A$3:$A$2150,K$1,'United Data'!$C$3:$C$2150,$A501,'United Data'!$B$3:$B$2150,"&lt;&gt;P")&gt;0,1,0)</f>
        <v>0</v>
      </c>
      <c r="L501">
        <f>IF(COUNTIFS('United Data'!$A$3:$A$2150,L$1,'United Data'!$C$3:$C$2150,$A501,'United Data'!$B$3:$B$2150,"&lt;&gt;P")&gt;0,1,0)</f>
        <v>0</v>
      </c>
      <c r="M501">
        <f>IF(COUNTIFS('United Data'!$A$3:$A$2150,M$1,'United Data'!$C$3:$C$2150,$A501,'United Data'!$B$3:$B$2150,"&lt;&gt;P")&gt;0,1,0)</f>
        <v>0</v>
      </c>
      <c r="N501">
        <f>IF(COUNTIFS('United Data'!$A$3:$A$2150,N$1,'United Data'!$C$3:$C$2150,$A501,'United Data'!$B$3:$B$2150,"&lt;&gt;P")&gt;0,1,0)</f>
        <v>0</v>
      </c>
      <c r="O501">
        <f>IF(COUNTIFS('United Data'!$A$3:$A$2150,O$1,'United Data'!$C$3:$C$2150,$A501,'United Data'!$B$3:$B$2150,"&lt;&gt;P")&gt;0,1,0)</f>
        <v>0</v>
      </c>
      <c r="P501">
        <f>IF(COUNTIFS('United Data'!$A$3:$A$2150,P$1,'United Data'!$C$3:$C$2150,$A501,'United Data'!$B$3:$B$2150,"&lt;&gt;P")&gt;0,1,0)</f>
        <v>0</v>
      </c>
      <c r="Q501">
        <f>IF(COUNTIFS('United Data'!$A$3:$A$2150,Q$1,'United Data'!$C$3:$C$2150,$A501,'United Data'!$B$3:$B$2150,"&lt;&gt;P")&gt;0,1,0)</f>
        <v>0</v>
      </c>
      <c r="R501">
        <f>IF(COUNTIFS('United Data'!$A$3:$A$2150,R$1,'United Data'!$C$3:$C$2150,$A501,'United Data'!$B$3:$B$2150,"&lt;&gt;P")&gt;0,1,0)</f>
        <v>0</v>
      </c>
      <c r="S501">
        <f t="shared" si="14"/>
        <v>1</v>
      </c>
      <c r="T501">
        <f t="shared" si="15"/>
        <v>1</v>
      </c>
    </row>
    <row r="502" spans="1:20" x14ac:dyDescent="0.2">
      <c r="A502" t="s">
        <v>548</v>
      </c>
      <c r="B502">
        <f>IF(COUNTIFS('United Data'!$A$3:$A$2150,B$1,'United Data'!$C$3:$C$2150,$A502,'United Data'!$B$3:$B$2150,"&lt;&gt;P")&gt;0,1,0)</f>
        <v>0</v>
      </c>
      <c r="C502">
        <f>IF(COUNTIFS('United Data'!$A$3:$A$2150,C$1,'United Data'!$C$3:$C$2150,$A502,'United Data'!$B$3:$B$2150,"&lt;&gt;P")&gt;0,1,0)</f>
        <v>0</v>
      </c>
      <c r="D502">
        <f>IF(COUNTIFS('United Data'!$A$3:$A$2150,D$1,'United Data'!$C$3:$C$2150,$A502,'United Data'!$B$3:$B$2150,"&lt;&gt;P")&gt;0,1,0)</f>
        <v>0</v>
      </c>
      <c r="E502">
        <f>IF(COUNTIFS('United Data'!$A$3:$A$2150,E$1,'United Data'!$C$3:$C$2150,$A502,'United Data'!$B$3:$B$2150,"&lt;&gt;P")&gt;0,1,0)</f>
        <v>0</v>
      </c>
      <c r="F502">
        <f>IF(COUNTIFS('United Data'!$A$3:$A$2150,F$1,'United Data'!$C$3:$C$2150,$A502,'United Data'!$B$3:$B$2150,"&lt;&gt;P")&gt;0,1,0)</f>
        <v>0</v>
      </c>
      <c r="G502">
        <f>IF(COUNTIFS('United Data'!$A$3:$A$2150,G$1,'United Data'!$C$3:$C$2150,$A502,'United Data'!$B$3:$B$2150,"&lt;&gt;P")&gt;0,1,0)</f>
        <v>0</v>
      </c>
      <c r="H502">
        <f>IF(COUNTIFS('United Data'!$A$3:$A$2150,H$1,'United Data'!$C$3:$C$2150,$A502,'United Data'!$B$3:$B$2150,"&lt;&gt;P")&gt;0,1,0)</f>
        <v>1</v>
      </c>
      <c r="I502">
        <f>IF(COUNTIFS('United Data'!$A$3:$A$2150,I$1,'United Data'!$C$3:$C$2150,$A502,'United Data'!$B$3:$B$2150,"&lt;&gt;P")&gt;0,1,0)</f>
        <v>0</v>
      </c>
      <c r="J502">
        <f>IF(COUNTIFS('United Data'!$A$3:$A$2150,J$1,'United Data'!$C$3:$C$2150,$A502,'United Data'!$B$3:$B$2150,"&lt;&gt;P")&gt;0,1,0)</f>
        <v>0</v>
      </c>
      <c r="K502">
        <f>IF(COUNTIFS('United Data'!$A$3:$A$2150,K$1,'United Data'!$C$3:$C$2150,$A502,'United Data'!$B$3:$B$2150,"&lt;&gt;P")&gt;0,1,0)</f>
        <v>0</v>
      </c>
      <c r="L502">
        <f>IF(COUNTIFS('United Data'!$A$3:$A$2150,L$1,'United Data'!$C$3:$C$2150,$A502,'United Data'!$B$3:$B$2150,"&lt;&gt;P")&gt;0,1,0)</f>
        <v>0</v>
      </c>
      <c r="M502">
        <f>IF(COUNTIFS('United Data'!$A$3:$A$2150,M$1,'United Data'!$C$3:$C$2150,$A502,'United Data'!$B$3:$B$2150,"&lt;&gt;P")&gt;0,1,0)</f>
        <v>0</v>
      </c>
      <c r="N502">
        <f>IF(COUNTIFS('United Data'!$A$3:$A$2150,N$1,'United Data'!$C$3:$C$2150,$A502,'United Data'!$B$3:$B$2150,"&lt;&gt;P")&gt;0,1,0)</f>
        <v>0</v>
      </c>
      <c r="O502">
        <f>IF(COUNTIFS('United Data'!$A$3:$A$2150,O$1,'United Data'!$C$3:$C$2150,$A502,'United Data'!$B$3:$B$2150,"&lt;&gt;P")&gt;0,1,0)</f>
        <v>0</v>
      </c>
      <c r="P502">
        <f>IF(COUNTIFS('United Data'!$A$3:$A$2150,P$1,'United Data'!$C$3:$C$2150,$A502,'United Data'!$B$3:$B$2150,"&lt;&gt;P")&gt;0,1,0)</f>
        <v>0</v>
      </c>
      <c r="Q502">
        <f>IF(COUNTIFS('United Data'!$A$3:$A$2150,Q$1,'United Data'!$C$3:$C$2150,$A502,'United Data'!$B$3:$B$2150,"&lt;&gt;P")&gt;0,1,0)</f>
        <v>0</v>
      </c>
      <c r="R502">
        <f>IF(COUNTIFS('United Data'!$A$3:$A$2150,R$1,'United Data'!$C$3:$C$2150,$A502,'United Data'!$B$3:$B$2150,"&lt;&gt;P")&gt;0,1,0)</f>
        <v>0</v>
      </c>
      <c r="S502">
        <f t="shared" si="14"/>
        <v>1</v>
      </c>
      <c r="T502">
        <f t="shared" si="15"/>
        <v>1</v>
      </c>
    </row>
    <row r="503" spans="1:20" x14ac:dyDescent="0.2">
      <c r="A503" t="s">
        <v>549</v>
      </c>
      <c r="B503">
        <f>IF(COUNTIFS('United Data'!$A$3:$A$2150,B$1,'United Data'!$C$3:$C$2150,$A503,'United Data'!$B$3:$B$2150,"&lt;&gt;P")&gt;0,1,0)</f>
        <v>0</v>
      </c>
      <c r="C503">
        <f>IF(COUNTIFS('United Data'!$A$3:$A$2150,C$1,'United Data'!$C$3:$C$2150,$A503,'United Data'!$B$3:$B$2150,"&lt;&gt;P")&gt;0,1,0)</f>
        <v>0</v>
      </c>
      <c r="D503">
        <f>IF(COUNTIFS('United Data'!$A$3:$A$2150,D$1,'United Data'!$C$3:$C$2150,$A503,'United Data'!$B$3:$B$2150,"&lt;&gt;P")&gt;0,1,0)</f>
        <v>0</v>
      </c>
      <c r="E503">
        <f>IF(COUNTIFS('United Data'!$A$3:$A$2150,E$1,'United Data'!$C$3:$C$2150,$A503,'United Data'!$B$3:$B$2150,"&lt;&gt;P")&gt;0,1,0)</f>
        <v>0</v>
      </c>
      <c r="F503">
        <f>IF(COUNTIFS('United Data'!$A$3:$A$2150,F$1,'United Data'!$C$3:$C$2150,$A503,'United Data'!$B$3:$B$2150,"&lt;&gt;P")&gt;0,1,0)</f>
        <v>0</v>
      </c>
      <c r="G503">
        <f>IF(COUNTIFS('United Data'!$A$3:$A$2150,G$1,'United Data'!$C$3:$C$2150,$A503,'United Data'!$B$3:$B$2150,"&lt;&gt;P")&gt;0,1,0)</f>
        <v>0</v>
      </c>
      <c r="H503">
        <f>IF(COUNTIFS('United Data'!$A$3:$A$2150,H$1,'United Data'!$C$3:$C$2150,$A503,'United Data'!$B$3:$B$2150,"&lt;&gt;P")&gt;0,1,0)</f>
        <v>0</v>
      </c>
      <c r="I503">
        <f>IF(COUNTIFS('United Data'!$A$3:$A$2150,I$1,'United Data'!$C$3:$C$2150,$A503,'United Data'!$B$3:$B$2150,"&lt;&gt;P")&gt;0,1,0)</f>
        <v>1</v>
      </c>
      <c r="J503">
        <f>IF(COUNTIFS('United Data'!$A$3:$A$2150,J$1,'United Data'!$C$3:$C$2150,$A503,'United Data'!$B$3:$B$2150,"&lt;&gt;P")&gt;0,1,0)</f>
        <v>0</v>
      </c>
      <c r="K503">
        <f>IF(COUNTIFS('United Data'!$A$3:$A$2150,K$1,'United Data'!$C$3:$C$2150,$A503,'United Data'!$B$3:$B$2150,"&lt;&gt;P")&gt;0,1,0)</f>
        <v>0</v>
      </c>
      <c r="L503">
        <f>IF(COUNTIFS('United Data'!$A$3:$A$2150,L$1,'United Data'!$C$3:$C$2150,$A503,'United Data'!$B$3:$B$2150,"&lt;&gt;P")&gt;0,1,0)</f>
        <v>0</v>
      </c>
      <c r="M503">
        <f>IF(COUNTIFS('United Data'!$A$3:$A$2150,M$1,'United Data'!$C$3:$C$2150,$A503,'United Data'!$B$3:$B$2150,"&lt;&gt;P")&gt;0,1,0)</f>
        <v>1</v>
      </c>
      <c r="N503">
        <f>IF(COUNTIFS('United Data'!$A$3:$A$2150,N$1,'United Data'!$C$3:$C$2150,$A503,'United Data'!$B$3:$B$2150,"&lt;&gt;P")&gt;0,1,0)</f>
        <v>0</v>
      </c>
      <c r="O503">
        <f>IF(COUNTIFS('United Data'!$A$3:$A$2150,O$1,'United Data'!$C$3:$C$2150,$A503,'United Data'!$B$3:$B$2150,"&lt;&gt;P")&gt;0,1,0)</f>
        <v>0</v>
      </c>
      <c r="P503">
        <f>IF(COUNTIFS('United Data'!$A$3:$A$2150,P$1,'United Data'!$C$3:$C$2150,$A503,'United Data'!$B$3:$B$2150,"&lt;&gt;P")&gt;0,1,0)</f>
        <v>0</v>
      </c>
      <c r="Q503">
        <f>IF(COUNTIFS('United Data'!$A$3:$A$2150,Q$1,'United Data'!$C$3:$C$2150,$A503,'United Data'!$B$3:$B$2150,"&lt;&gt;P")&gt;0,1,0)</f>
        <v>0</v>
      </c>
      <c r="R503">
        <f>IF(COUNTIFS('United Data'!$A$3:$A$2150,R$1,'United Data'!$C$3:$C$2150,$A503,'United Data'!$B$3:$B$2150,"&lt;&gt;P")&gt;0,1,0)</f>
        <v>0</v>
      </c>
      <c r="S503">
        <f t="shared" si="14"/>
        <v>2</v>
      </c>
      <c r="T503">
        <f t="shared" si="15"/>
        <v>2</v>
      </c>
    </row>
    <row r="504" spans="1:20" x14ac:dyDescent="0.2">
      <c r="A504" t="s">
        <v>550</v>
      </c>
      <c r="B504">
        <f>IF(COUNTIFS('United Data'!$A$3:$A$2150,B$1,'United Data'!$C$3:$C$2150,$A504,'United Data'!$B$3:$B$2150,"&lt;&gt;P")&gt;0,1,0)</f>
        <v>0</v>
      </c>
      <c r="C504">
        <f>IF(COUNTIFS('United Data'!$A$3:$A$2150,C$1,'United Data'!$C$3:$C$2150,$A504,'United Data'!$B$3:$B$2150,"&lt;&gt;P")&gt;0,1,0)</f>
        <v>0</v>
      </c>
      <c r="D504">
        <f>IF(COUNTIFS('United Data'!$A$3:$A$2150,D$1,'United Data'!$C$3:$C$2150,$A504,'United Data'!$B$3:$B$2150,"&lt;&gt;P")&gt;0,1,0)</f>
        <v>0</v>
      </c>
      <c r="E504">
        <f>IF(COUNTIFS('United Data'!$A$3:$A$2150,E$1,'United Data'!$C$3:$C$2150,$A504,'United Data'!$B$3:$B$2150,"&lt;&gt;P")&gt;0,1,0)</f>
        <v>0</v>
      </c>
      <c r="F504">
        <f>IF(COUNTIFS('United Data'!$A$3:$A$2150,F$1,'United Data'!$C$3:$C$2150,$A504,'United Data'!$B$3:$B$2150,"&lt;&gt;P")&gt;0,1,0)</f>
        <v>0</v>
      </c>
      <c r="G504">
        <f>IF(COUNTIFS('United Data'!$A$3:$A$2150,G$1,'United Data'!$C$3:$C$2150,$A504,'United Data'!$B$3:$B$2150,"&lt;&gt;P")&gt;0,1,0)</f>
        <v>0</v>
      </c>
      <c r="H504">
        <f>IF(COUNTIFS('United Data'!$A$3:$A$2150,H$1,'United Data'!$C$3:$C$2150,$A504,'United Data'!$B$3:$B$2150,"&lt;&gt;P")&gt;0,1,0)</f>
        <v>0</v>
      </c>
      <c r="I504">
        <f>IF(COUNTIFS('United Data'!$A$3:$A$2150,I$1,'United Data'!$C$3:$C$2150,$A504,'United Data'!$B$3:$B$2150,"&lt;&gt;P")&gt;0,1,0)</f>
        <v>1</v>
      </c>
      <c r="J504">
        <f>IF(COUNTIFS('United Data'!$A$3:$A$2150,J$1,'United Data'!$C$3:$C$2150,$A504,'United Data'!$B$3:$B$2150,"&lt;&gt;P")&gt;0,1,0)</f>
        <v>0</v>
      </c>
      <c r="K504">
        <f>IF(COUNTIFS('United Data'!$A$3:$A$2150,K$1,'United Data'!$C$3:$C$2150,$A504,'United Data'!$B$3:$B$2150,"&lt;&gt;P")&gt;0,1,0)</f>
        <v>0</v>
      </c>
      <c r="L504">
        <f>IF(COUNTIFS('United Data'!$A$3:$A$2150,L$1,'United Data'!$C$3:$C$2150,$A504,'United Data'!$B$3:$B$2150,"&lt;&gt;P")&gt;0,1,0)</f>
        <v>0</v>
      </c>
      <c r="M504">
        <f>IF(COUNTIFS('United Data'!$A$3:$A$2150,M$1,'United Data'!$C$3:$C$2150,$A504,'United Data'!$B$3:$B$2150,"&lt;&gt;P")&gt;0,1,0)</f>
        <v>0</v>
      </c>
      <c r="N504">
        <f>IF(COUNTIFS('United Data'!$A$3:$A$2150,N$1,'United Data'!$C$3:$C$2150,$A504,'United Data'!$B$3:$B$2150,"&lt;&gt;P")&gt;0,1,0)</f>
        <v>0</v>
      </c>
      <c r="O504">
        <f>IF(COUNTIFS('United Data'!$A$3:$A$2150,O$1,'United Data'!$C$3:$C$2150,$A504,'United Data'!$B$3:$B$2150,"&lt;&gt;P")&gt;0,1,0)</f>
        <v>0</v>
      </c>
      <c r="P504">
        <f>IF(COUNTIFS('United Data'!$A$3:$A$2150,P$1,'United Data'!$C$3:$C$2150,$A504,'United Data'!$B$3:$B$2150,"&lt;&gt;P")&gt;0,1,0)</f>
        <v>0</v>
      </c>
      <c r="Q504">
        <f>IF(COUNTIFS('United Data'!$A$3:$A$2150,Q$1,'United Data'!$C$3:$C$2150,$A504,'United Data'!$B$3:$B$2150,"&lt;&gt;P")&gt;0,1,0)</f>
        <v>0</v>
      </c>
      <c r="R504">
        <f>IF(COUNTIFS('United Data'!$A$3:$A$2150,R$1,'United Data'!$C$3:$C$2150,$A504,'United Data'!$B$3:$B$2150,"&lt;&gt;P")&gt;0,1,0)</f>
        <v>0</v>
      </c>
      <c r="S504">
        <f t="shared" si="14"/>
        <v>1</v>
      </c>
      <c r="T504">
        <f t="shared" si="15"/>
        <v>1</v>
      </c>
    </row>
    <row r="505" spans="1:20" x14ac:dyDescent="0.2">
      <c r="A505" t="s">
        <v>551</v>
      </c>
      <c r="B505">
        <f>IF(COUNTIFS('United Data'!$A$3:$A$2150,B$1,'United Data'!$C$3:$C$2150,$A505,'United Data'!$B$3:$B$2150,"&lt;&gt;P")&gt;0,1,0)</f>
        <v>0</v>
      </c>
      <c r="C505">
        <f>IF(COUNTIFS('United Data'!$A$3:$A$2150,C$1,'United Data'!$C$3:$C$2150,$A505,'United Data'!$B$3:$B$2150,"&lt;&gt;P")&gt;0,1,0)</f>
        <v>0</v>
      </c>
      <c r="D505">
        <f>IF(COUNTIFS('United Data'!$A$3:$A$2150,D$1,'United Data'!$C$3:$C$2150,$A505,'United Data'!$B$3:$B$2150,"&lt;&gt;P")&gt;0,1,0)</f>
        <v>0</v>
      </c>
      <c r="E505">
        <f>IF(COUNTIFS('United Data'!$A$3:$A$2150,E$1,'United Data'!$C$3:$C$2150,$A505,'United Data'!$B$3:$B$2150,"&lt;&gt;P")&gt;0,1,0)</f>
        <v>0</v>
      </c>
      <c r="F505">
        <f>IF(COUNTIFS('United Data'!$A$3:$A$2150,F$1,'United Data'!$C$3:$C$2150,$A505,'United Data'!$B$3:$B$2150,"&lt;&gt;P")&gt;0,1,0)</f>
        <v>0</v>
      </c>
      <c r="G505">
        <f>IF(COUNTIFS('United Data'!$A$3:$A$2150,G$1,'United Data'!$C$3:$C$2150,$A505,'United Data'!$B$3:$B$2150,"&lt;&gt;P")&gt;0,1,0)</f>
        <v>0</v>
      </c>
      <c r="H505">
        <f>IF(COUNTIFS('United Data'!$A$3:$A$2150,H$1,'United Data'!$C$3:$C$2150,$A505,'United Data'!$B$3:$B$2150,"&lt;&gt;P")&gt;0,1,0)</f>
        <v>0</v>
      </c>
      <c r="I505">
        <f>IF(COUNTIFS('United Data'!$A$3:$A$2150,I$1,'United Data'!$C$3:$C$2150,$A505,'United Data'!$B$3:$B$2150,"&lt;&gt;P")&gt;0,1,0)</f>
        <v>1</v>
      </c>
      <c r="J505">
        <f>IF(COUNTIFS('United Data'!$A$3:$A$2150,J$1,'United Data'!$C$3:$C$2150,$A505,'United Data'!$B$3:$B$2150,"&lt;&gt;P")&gt;0,1,0)</f>
        <v>1</v>
      </c>
      <c r="K505">
        <f>IF(COUNTIFS('United Data'!$A$3:$A$2150,K$1,'United Data'!$C$3:$C$2150,$A505,'United Data'!$B$3:$B$2150,"&lt;&gt;P")&gt;0,1,0)</f>
        <v>1</v>
      </c>
      <c r="L505">
        <f>IF(COUNTIFS('United Data'!$A$3:$A$2150,L$1,'United Data'!$C$3:$C$2150,$A505,'United Data'!$B$3:$B$2150,"&lt;&gt;P")&gt;0,1,0)</f>
        <v>1</v>
      </c>
      <c r="M505">
        <f>IF(COUNTIFS('United Data'!$A$3:$A$2150,M$1,'United Data'!$C$3:$C$2150,$A505,'United Data'!$B$3:$B$2150,"&lt;&gt;P")&gt;0,1,0)</f>
        <v>1</v>
      </c>
      <c r="N505">
        <f>IF(COUNTIFS('United Data'!$A$3:$A$2150,N$1,'United Data'!$C$3:$C$2150,$A505,'United Data'!$B$3:$B$2150,"&lt;&gt;P")&gt;0,1,0)</f>
        <v>1</v>
      </c>
      <c r="O505">
        <f>IF(COUNTIFS('United Data'!$A$3:$A$2150,O$1,'United Data'!$C$3:$C$2150,$A505,'United Data'!$B$3:$B$2150,"&lt;&gt;P")&gt;0,1,0)</f>
        <v>1</v>
      </c>
      <c r="P505">
        <f>IF(COUNTIFS('United Data'!$A$3:$A$2150,P$1,'United Data'!$C$3:$C$2150,$A505,'United Data'!$B$3:$B$2150,"&lt;&gt;P")&gt;0,1,0)</f>
        <v>1</v>
      </c>
      <c r="Q505">
        <f>IF(COUNTIFS('United Data'!$A$3:$A$2150,Q$1,'United Data'!$C$3:$C$2150,$A505,'United Data'!$B$3:$B$2150,"&lt;&gt;P")&gt;0,1,0)</f>
        <v>0</v>
      </c>
      <c r="R505">
        <f>IF(COUNTIFS('United Data'!$A$3:$A$2150,R$1,'United Data'!$C$3:$C$2150,$A505,'United Data'!$B$3:$B$2150,"&lt;&gt;P")&gt;0,1,0)</f>
        <v>0</v>
      </c>
      <c r="S505">
        <f t="shared" si="14"/>
        <v>8</v>
      </c>
      <c r="T505">
        <f t="shared" si="15"/>
        <v>1</v>
      </c>
    </row>
    <row r="506" spans="1:20" x14ac:dyDescent="0.2">
      <c r="A506" t="s">
        <v>552</v>
      </c>
      <c r="B506">
        <f>IF(COUNTIFS('United Data'!$A$3:$A$2150,B$1,'United Data'!$C$3:$C$2150,$A506,'United Data'!$B$3:$B$2150,"&lt;&gt;P")&gt;0,1,0)</f>
        <v>0</v>
      </c>
      <c r="C506">
        <f>IF(COUNTIFS('United Data'!$A$3:$A$2150,C$1,'United Data'!$C$3:$C$2150,$A506,'United Data'!$B$3:$B$2150,"&lt;&gt;P")&gt;0,1,0)</f>
        <v>0</v>
      </c>
      <c r="D506">
        <f>IF(COUNTIFS('United Data'!$A$3:$A$2150,D$1,'United Data'!$C$3:$C$2150,$A506,'United Data'!$B$3:$B$2150,"&lt;&gt;P")&gt;0,1,0)</f>
        <v>0</v>
      </c>
      <c r="E506">
        <f>IF(COUNTIFS('United Data'!$A$3:$A$2150,E$1,'United Data'!$C$3:$C$2150,$A506,'United Data'!$B$3:$B$2150,"&lt;&gt;P")&gt;0,1,0)</f>
        <v>0</v>
      </c>
      <c r="F506">
        <f>IF(COUNTIFS('United Data'!$A$3:$A$2150,F$1,'United Data'!$C$3:$C$2150,$A506,'United Data'!$B$3:$B$2150,"&lt;&gt;P")&gt;0,1,0)</f>
        <v>0</v>
      </c>
      <c r="G506">
        <f>IF(COUNTIFS('United Data'!$A$3:$A$2150,G$1,'United Data'!$C$3:$C$2150,$A506,'United Data'!$B$3:$B$2150,"&lt;&gt;P")&gt;0,1,0)</f>
        <v>0</v>
      </c>
      <c r="H506">
        <f>IF(COUNTIFS('United Data'!$A$3:$A$2150,H$1,'United Data'!$C$3:$C$2150,$A506,'United Data'!$B$3:$B$2150,"&lt;&gt;P")&gt;0,1,0)</f>
        <v>0</v>
      </c>
      <c r="I506">
        <f>IF(COUNTIFS('United Data'!$A$3:$A$2150,I$1,'United Data'!$C$3:$C$2150,$A506,'United Data'!$B$3:$B$2150,"&lt;&gt;P")&gt;0,1,0)</f>
        <v>1</v>
      </c>
      <c r="J506">
        <f>IF(COUNTIFS('United Data'!$A$3:$A$2150,J$1,'United Data'!$C$3:$C$2150,$A506,'United Data'!$B$3:$B$2150,"&lt;&gt;P")&gt;0,1,0)</f>
        <v>0</v>
      </c>
      <c r="K506">
        <f>IF(COUNTIFS('United Data'!$A$3:$A$2150,K$1,'United Data'!$C$3:$C$2150,$A506,'United Data'!$B$3:$B$2150,"&lt;&gt;P")&gt;0,1,0)</f>
        <v>0</v>
      </c>
      <c r="L506">
        <f>IF(COUNTIFS('United Data'!$A$3:$A$2150,L$1,'United Data'!$C$3:$C$2150,$A506,'United Data'!$B$3:$B$2150,"&lt;&gt;P")&gt;0,1,0)</f>
        <v>0</v>
      </c>
      <c r="M506">
        <f>IF(COUNTIFS('United Data'!$A$3:$A$2150,M$1,'United Data'!$C$3:$C$2150,$A506,'United Data'!$B$3:$B$2150,"&lt;&gt;P")&gt;0,1,0)</f>
        <v>0</v>
      </c>
      <c r="N506">
        <f>IF(COUNTIFS('United Data'!$A$3:$A$2150,N$1,'United Data'!$C$3:$C$2150,$A506,'United Data'!$B$3:$B$2150,"&lt;&gt;P")&gt;0,1,0)</f>
        <v>0</v>
      </c>
      <c r="O506">
        <f>IF(COUNTIFS('United Data'!$A$3:$A$2150,O$1,'United Data'!$C$3:$C$2150,$A506,'United Data'!$B$3:$B$2150,"&lt;&gt;P")&gt;0,1,0)</f>
        <v>0</v>
      </c>
      <c r="P506">
        <f>IF(COUNTIFS('United Data'!$A$3:$A$2150,P$1,'United Data'!$C$3:$C$2150,$A506,'United Data'!$B$3:$B$2150,"&lt;&gt;P")&gt;0,1,0)</f>
        <v>0</v>
      </c>
      <c r="Q506">
        <f>IF(COUNTIFS('United Data'!$A$3:$A$2150,Q$1,'United Data'!$C$3:$C$2150,$A506,'United Data'!$B$3:$B$2150,"&lt;&gt;P")&gt;0,1,0)</f>
        <v>0</v>
      </c>
      <c r="R506">
        <f>IF(COUNTIFS('United Data'!$A$3:$A$2150,R$1,'United Data'!$C$3:$C$2150,$A506,'United Data'!$B$3:$B$2150,"&lt;&gt;P")&gt;0,1,0)</f>
        <v>0</v>
      </c>
      <c r="S506">
        <f t="shared" si="14"/>
        <v>1</v>
      </c>
      <c r="T506">
        <f t="shared" si="15"/>
        <v>1</v>
      </c>
    </row>
    <row r="507" spans="1:20" x14ac:dyDescent="0.2">
      <c r="A507" t="s">
        <v>553</v>
      </c>
      <c r="B507">
        <f>IF(COUNTIFS('United Data'!$A$3:$A$2150,B$1,'United Data'!$C$3:$C$2150,$A507,'United Data'!$B$3:$B$2150,"&lt;&gt;P")&gt;0,1,0)</f>
        <v>0</v>
      </c>
      <c r="C507">
        <f>IF(COUNTIFS('United Data'!$A$3:$A$2150,C$1,'United Data'!$C$3:$C$2150,$A507,'United Data'!$B$3:$B$2150,"&lt;&gt;P")&gt;0,1,0)</f>
        <v>0</v>
      </c>
      <c r="D507">
        <f>IF(COUNTIFS('United Data'!$A$3:$A$2150,D$1,'United Data'!$C$3:$C$2150,$A507,'United Data'!$B$3:$B$2150,"&lt;&gt;P")&gt;0,1,0)</f>
        <v>0</v>
      </c>
      <c r="E507">
        <f>IF(COUNTIFS('United Data'!$A$3:$A$2150,E$1,'United Data'!$C$3:$C$2150,$A507,'United Data'!$B$3:$B$2150,"&lt;&gt;P")&gt;0,1,0)</f>
        <v>0</v>
      </c>
      <c r="F507">
        <f>IF(COUNTIFS('United Data'!$A$3:$A$2150,F$1,'United Data'!$C$3:$C$2150,$A507,'United Data'!$B$3:$B$2150,"&lt;&gt;P")&gt;0,1,0)</f>
        <v>0</v>
      </c>
      <c r="G507">
        <f>IF(COUNTIFS('United Data'!$A$3:$A$2150,G$1,'United Data'!$C$3:$C$2150,$A507,'United Data'!$B$3:$B$2150,"&lt;&gt;P")&gt;0,1,0)</f>
        <v>0</v>
      </c>
      <c r="H507">
        <f>IF(COUNTIFS('United Data'!$A$3:$A$2150,H$1,'United Data'!$C$3:$C$2150,$A507,'United Data'!$B$3:$B$2150,"&lt;&gt;P")&gt;0,1,0)</f>
        <v>0</v>
      </c>
      <c r="I507">
        <f>IF(COUNTIFS('United Data'!$A$3:$A$2150,I$1,'United Data'!$C$3:$C$2150,$A507,'United Data'!$B$3:$B$2150,"&lt;&gt;P")&gt;0,1,0)</f>
        <v>1</v>
      </c>
      <c r="J507">
        <f>IF(COUNTIFS('United Data'!$A$3:$A$2150,J$1,'United Data'!$C$3:$C$2150,$A507,'United Data'!$B$3:$B$2150,"&lt;&gt;P")&gt;0,1,0)</f>
        <v>0</v>
      </c>
      <c r="K507">
        <f>IF(COUNTIFS('United Data'!$A$3:$A$2150,K$1,'United Data'!$C$3:$C$2150,$A507,'United Data'!$B$3:$B$2150,"&lt;&gt;P")&gt;0,1,0)</f>
        <v>0</v>
      </c>
      <c r="L507">
        <f>IF(COUNTIFS('United Data'!$A$3:$A$2150,L$1,'United Data'!$C$3:$C$2150,$A507,'United Data'!$B$3:$B$2150,"&lt;&gt;P")&gt;0,1,0)</f>
        <v>0</v>
      </c>
      <c r="M507">
        <f>IF(COUNTIFS('United Data'!$A$3:$A$2150,M$1,'United Data'!$C$3:$C$2150,$A507,'United Data'!$B$3:$B$2150,"&lt;&gt;P")&gt;0,1,0)</f>
        <v>0</v>
      </c>
      <c r="N507">
        <f>IF(COUNTIFS('United Data'!$A$3:$A$2150,N$1,'United Data'!$C$3:$C$2150,$A507,'United Data'!$B$3:$B$2150,"&lt;&gt;P")&gt;0,1,0)</f>
        <v>0</v>
      </c>
      <c r="O507">
        <f>IF(COUNTIFS('United Data'!$A$3:$A$2150,O$1,'United Data'!$C$3:$C$2150,$A507,'United Data'!$B$3:$B$2150,"&lt;&gt;P")&gt;0,1,0)</f>
        <v>0</v>
      </c>
      <c r="P507">
        <f>IF(COUNTIFS('United Data'!$A$3:$A$2150,P$1,'United Data'!$C$3:$C$2150,$A507,'United Data'!$B$3:$B$2150,"&lt;&gt;P")&gt;0,1,0)</f>
        <v>0</v>
      </c>
      <c r="Q507">
        <f>IF(COUNTIFS('United Data'!$A$3:$A$2150,Q$1,'United Data'!$C$3:$C$2150,$A507,'United Data'!$B$3:$B$2150,"&lt;&gt;P")&gt;0,1,0)</f>
        <v>0</v>
      </c>
      <c r="R507">
        <f>IF(COUNTIFS('United Data'!$A$3:$A$2150,R$1,'United Data'!$C$3:$C$2150,$A507,'United Data'!$B$3:$B$2150,"&lt;&gt;P")&gt;0,1,0)</f>
        <v>0</v>
      </c>
      <c r="S507">
        <f t="shared" si="14"/>
        <v>1</v>
      </c>
      <c r="T507">
        <f t="shared" si="15"/>
        <v>1</v>
      </c>
    </row>
    <row r="508" spans="1:20" x14ac:dyDescent="0.2">
      <c r="A508" t="s">
        <v>554</v>
      </c>
      <c r="B508">
        <f>IF(COUNTIFS('United Data'!$A$3:$A$2150,B$1,'United Data'!$C$3:$C$2150,$A508,'United Data'!$B$3:$B$2150,"&lt;&gt;P")&gt;0,1,0)</f>
        <v>0</v>
      </c>
      <c r="C508">
        <f>IF(COUNTIFS('United Data'!$A$3:$A$2150,C$1,'United Data'!$C$3:$C$2150,$A508,'United Data'!$B$3:$B$2150,"&lt;&gt;P")&gt;0,1,0)</f>
        <v>0</v>
      </c>
      <c r="D508">
        <f>IF(COUNTIFS('United Data'!$A$3:$A$2150,D$1,'United Data'!$C$3:$C$2150,$A508,'United Data'!$B$3:$B$2150,"&lt;&gt;P")&gt;0,1,0)</f>
        <v>0</v>
      </c>
      <c r="E508">
        <f>IF(COUNTIFS('United Data'!$A$3:$A$2150,E$1,'United Data'!$C$3:$C$2150,$A508,'United Data'!$B$3:$B$2150,"&lt;&gt;P")&gt;0,1,0)</f>
        <v>0</v>
      </c>
      <c r="F508">
        <f>IF(COUNTIFS('United Data'!$A$3:$A$2150,F$1,'United Data'!$C$3:$C$2150,$A508,'United Data'!$B$3:$B$2150,"&lt;&gt;P")&gt;0,1,0)</f>
        <v>0</v>
      </c>
      <c r="G508">
        <f>IF(COUNTIFS('United Data'!$A$3:$A$2150,G$1,'United Data'!$C$3:$C$2150,$A508,'United Data'!$B$3:$B$2150,"&lt;&gt;P")&gt;0,1,0)</f>
        <v>0</v>
      </c>
      <c r="H508">
        <f>IF(COUNTIFS('United Data'!$A$3:$A$2150,H$1,'United Data'!$C$3:$C$2150,$A508,'United Data'!$B$3:$B$2150,"&lt;&gt;P")&gt;0,1,0)</f>
        <v>0</v>
      </c>
      <c r="I508">
        <f>IF(COUNTIFS('United Data'!$A$3:$A$2150,I$1,'United Data'!$C$3:$C$2150,$A508,'United Data'!$B$3:$B$2150,"&lt;&gt;P")&gt;0,1,0)</f>
        <v>1</v>
      </c>
      <c r="J508">
        <f>IF(COUNTIFS('United Data'!$A$3:$A$2150,J$1,'United Data'!$C$3:$C$2150,$A508,'United Data'!$B$3:$B$2150,"&lt;&gt;P")&gt;0,1,0)</f>
        <v>0</v>
      </c>
      <c r="K508">
        <f>IF(COUNTIFS('United Data'!$A$3:$A$2150,K$1,'United Data'!$C$3:$C$2150,$A508,'United Data'!$B$3:$B$2150,"&lt;&gt;P")&gt;0,1,0)</f>
        <v>0</v>
      </c>
      <c r="L508">
        <f>IF(COUNTIFS('United Data'!$A$3:$A$2150,L$1,'United Data'!$C$3:$C$2150,$A508,'United Data'!$B$3:$B$2150,"&lt;&gt;P")&gt;0,1,0)</f>
        <v>1</v>
      </c>
      <c r="M508">
        <f>IF(COUNTIFS('United Data'!$A$3:$A$2150,M$1,'United Data'!$C$3:$C$2150,$A508,'United Data'!$B$3:$B$2150,"&lt;&gt;P")&gt;0,1,0)</f>
        <v>0</v>
      </c>
      <c r="N508">
        <f>IF(COUNTIFS('United Data'!$A$3:$A$2150,N$1,'United Data'!$C$3:$C$2150,$A508,'United Data'!$B$3:$B$2150,"&lt;&gt;P")&gt;0,1,0)</f>
        <v>0</v>
      </c>
      <c r="O508">
        <f>IF(COUNTIFS('United Data'!$A$3:$A$2150,O$1,'United Data'!$C$3:$C$2150,$A508,'United Data'!$B$3:$B$2150,"&lt;&gt;P")&gt;0,1,0)</f>
        <v>0</v>
      </c>
      <c r="P508">
        <f>IF(COUNTIFS('United Data'!$A$3:$A$2150,P$1,'United Data'!$C$3:$C$2150,$A508,'United Data'!$B$3:$B$2150,"&lt;&gt;P")&gt;0,1,0)</f>
        <v>0</v>
      </c>
      <c r="Q508">
        <f>IF(COUNTIFS('United Data'!$A$3:$A$2150,Q$1,'United Data'!$C$3:$C$2150,$A508,'United Data'!$B$3:$B$2150,"&lt;&gt;P")&gt;0,1,0)</f>
        <v>0</v>
      </c>
      <c r="R508">
        <f>IF(COUNTIFS('United Data'!$A$3:$A$2150,R$1,'United Data'!$C$3:$C$2150,$A508,'United Data'!$B$3:$B$2150,"&lt;&gt;P")&gt;0,1,0)</f>
        <v>0</v>
      </c>
      <c r="S508">
        <f t="shared" si="14"/>
        <v>2</v>
      </c>
      <c r="T508">
        <f t="shared" si="15"/>
        <v>2</v>
      </c>
    </row>
    <row r="509" spans="1:20" x14ac:dyDescent="0.2">
      <c r="A509" t="s">
        <v>555</v>
      </c>
      <c r="B509">
        <f>IF(COUNTIFS('United Data'!$A$3:$A$2150,B$1,'United Data'!$C$3:$C$2150,$A509,'United Data'!$B$3:$B$2150,"&lt;&gt;P")&gt;0,1,0)</f>
        <v>0</v>
      </c>
      <c r="C509">
        <f>IF(COUNTIFS('United Data'!$A$3:$A$2150,C$1,'United Data'!$C$3:$C$2150,$A509,'United Data'!$B$3:$B$2150,"&lt;&gt;P")&gt;0,1,0)</f>
        <v>0</v>
      </c>
      <c r="D509">
        <f>IF(COUNTIFS('United Data'!$A$3:$A$2150,D$1,'United Data'!$C$3:$C$2150,$A509,'United Data'!$B$3:$B$2150,"&lt;&gt;P")&gt;0,1,0)</f>
        <v>0</v>
      </c>
      <c r="E509">
        <f>IF(COUNTIFS('United Data'!$A$3:$A$2150,E$1,'United Data'!$C$3:$C$2150,$A509,'United Data'!$B$3:$B$2150,"&lt;&gt;P")&gt;0,1,0)</f>
        <v>0</v>
      </c>
      <c r="F509">
        <f>IF(COUNTIFS('United Data'!$A$3:$A$2150,F$1,'United Data'!$C$3:$C$2150,$A509,'United Data'!$B$3:$B$2150,"&lt;&gt;P")&gt;0,1,0)</f>
        <v>0</v>
      </c>
      <c r="G509">
        <f>IF(COUNTIFS('United Data'!$A$3:$A$2150,G$1,'United Data'!$C$3:$C$2150,$A509,'United Data'!$B$3:$B$2150,"&lt;&gt;P")&gt;0,1,0)</f>
        <v>0</v>
      </c>
      <c r="H509">
        <f>IF(COUNTIFS('United Data'!$A$3:$A$2150,H$1,'United Data'!$C$3:$C$2150,$A509,'United Data'!$B$3:$B$2150,"&lt;&gt;P")&gt;0,1,0)</f>
        <v>0</v>
      </c>
      <c r="I509">
        <f>IF(COUNTIFS('United Data'!$A$3:$A$2150,I$1,'United Data'!$C$3:$C$2150,$A509,'United Data'!$B$3:$B$2150,"&lt;&gt;P")&gt;0,1,0)</f>
        <v>1</v>
      </c>
      <c r="J509">
        <f>IF(COUNTIFS('United Data'!$A$3:$A$2150,J$1,'United Data'!$C$3:$C$2150,$A509,'United Data'!$B$3:$B$2150,"&lt;&gt;P")&gt;0,1,0)</f>
        <v>1</v>
      </c>
      <c r="K509">
        <f>IF(COUNTIFS('United Data'!$A$3:$A$2150,K$1,'United Data'!$C$3:$C$2150,$A509,'United Data'!$B$3:$B$2150,"&lt;&gt;P")&gt;0,1,0)</f>
        <v>0</v>
      </c>
      <c r="L509">
        <f>IF(COUNTIFS('United Data'!$A$3:$A$2150,L$1,'United Data'!$C$3:$C$2150,$A509,'United Data'!$B$3:$B$2150,"&lt;&gt;P")&gt;0,1,0)</f>
        <v>0</v>
      </c>
      <c r="M509">
        <f>IF(COUNTIFS('United Data'!$A$3:$A$2150,M$1,'United Data'!$C$3:$C$2150,$A509,'United Data'!$B$3:$B$2150,"&lt;&gt;P")&gt;0,1,0)</f>
        <v>0</v>
      </c>
      <c r="N509">
        <f>IF(COUNTIFS('United Data'!$A$3:$A$2150,N$1,'United Data'!$C$3:$C$2150,$A509,'United Data'!$B$3:$B$2150,"&lt;&gt;P")&gt;0,1,0)</f>
        <v>0</v>
      </c>
      <c r="O509">
        <f>IF(COUNTIFS('United Data'!$A$3:$A$2150,O$1,'United Data'!$C$3:$C$2150,$A509,'United Data'!$B$3:$B$2150,"&lt;&gt;P")&gt;0,1,0)</f>
        <v>0</v>
      </c>
      <c r="P509">
        <f>IF(COUNTIFS('United Data'!$A$3:$A$2150,P$1,'United Data'!$C$3:$C$2150,$A509,'United Data'!$B$3:$B$2150,"&lt;&gt;P")&gt;0,1,0)</f>
        <v>0</v>
      </c>
      <c r="Q509">
        <f>IF(COUNTIFS('United Data'!$A$3:$A$2150,Q$1,'United Data'!$C$3:$C$2150,$A509,'United Data'!$B$3:$B$2150,"&lt;&gt;P")&gt;0,1,0)</f>
        <v>0</v>
      </c>
      <c r="R509">
        <f>IF(COUNTIFS('United Data'!$A$3:$A$2150,R$1,'United Data'!$C$3:$C$2150,$A509,'United Data'!$B$3:$B$2150,"&lt;&gt;P")&gt;0,1,0)</f>
        <v>0</v>
      </c>
      <c r="S509">
        <f t="shared" si="14"/>
        <v>2</v>
      </c>
      <c r="T509">
        <f t="shared" si="15"/>
        <v>1</v>
      </c>
    </row>
    <row r="510" spans="1:20" x14ac:dyDescent="0.2">
      <c r="A510" t="s">
        <v>556</v>
      </c>
      <c r="B510">
        <f>IF(COUNTIFS('United Data'!$A$3:$A$2150,B$1,'United Data'!$C$3:$C$2150,$A510,'United Data'!$B$3:$B$2150,"&lt;&gt;P")&gt;0,1,0)</f>
        <v>0</v>
      </c>
      <c r="C510">
        <f>IF(COUNTIFS('United Data'!$A$3:$A$2150,C$1,'United Data'!$C$3:$C$2150,$A510,'United Data'!$B$3:$B$2150,"&lt;&gt;P")&gt;0,1,0)</f>
        <v>0</v>
      </c>
      <c r="D510">
        <f>IF(COUNTIFS('United Data'!$A$3:$A$2150,D$1,'United Data'!$C$3:$C$2150,$A510,'United Data'!$B$3:$B$2150,"&lt;&gt;P")&gt;0,1,0)</f>
        <v>0</v>
      </c>
      <c r="E510">
        <f>IF(COUNTIFS('United Data'!$A$3:$A$2150,E$1,'United Data'!$C$3:$C$2150,$A510,'United Data'!$B$3:$B$2150,"&lt;&gt;P")&gt;0,1,0)</f>
        <v>0</v>
      </c>
      <c r="F510">
        <f>IF(COUNTIFS('United Data'!$A$3:$A$2150,F$1,'United Data'!$C$3:$C$2150,$A510,'United Data'!$B$3:$B$2150,"&lt;&gt;P")&gt;0,1,0)</f>
        <v>0</v>
      </c>
      <c r="G510">
        <f>IF(COUNTIFS('United Data'!$A$3:$A$2150,G$1,'United Data'!$C$3:$C$2150,$A510,'United Data'!$B$3:$B$2150,"&lt;&gt;P")&gt;0,1,0)</f>
        <v>0</v>
      </c>
      <c r="H510">
        <f>IF(COUNTIFS('United Data'!$A$3:$A$2150,H$1,'United Data'!$C$3:$C$2150,$A510,'United Data'!$B$3:$B$2150,"&lt;&gt;P")&gt;0,1,0)</f>
        <v>0</v>
      </c>
      <c r="I510">
        <f>IF(COUNTIFS('United Data'!$A$3:$A$2150,I$1,'United Data'!$C$3:$C$2150,$A510,'United Data'!$B$3:$B$2150,"&lt;&gt;P")&gt;0,1,0)</f>
        <v>1</v>
      </c>
      <c r="J510">
        <f>IF(COUNTIFS('United Data'!$A$3:$A$2150,J$1,'United Data'!$C$3:$C$2150,$A510,'United Data'!$B$3:$B$2150,"&lt;&gt;P")&gt;0,1,0)</f>
        <v>0</v>
      </c>
      <c r="K510">
        <f>IF(COUNTIFS('United Data'!$A$3:$A$2150,K$1,'United Data'!$C$3:$C$2150,$A510,'United Data'!$B$3:$B$2150,"&lt;&gt;P")&gt;0,1,0)</f>
        <v>0</v>
      </c>
      <c r="L510">
        <f>IF(COUNTIFS('United Data'!$A$3:$A$2150,L$1,'United Data'!$C$3:$C$2150,$A510,'United Data'!$B$3:$B$2150,"&lt;&gt;P")&gt;0,1,0)</f>
        <v>0</v>
      </c>
      <c r="M510">
        <f>IF(COUNTIFS('United Data'!$A$3:$A$2150,M$1,'United Data'!$C$3:$C$2150,$A510,'United Data'!$B$3:$B$2150,"&lt;&gt;P")&gt;0,1,0)</f>
        <v>0</v>
      </c>
      <c r="N510">
        <f>IF(COUNTIFS('United Data'!$A$3:$A$2150,N$1,'United Data'!$C$3:$C$2150,$A510,'United Data'!$B$3:$B$2150,"&lt;&gt;P")&gt;0,1,0)</f>
        <v>0</v>
      </c>
      <c r="O510">
        <f>IF(COUNTIFS('United Data'!$A$3:$A$2150,O$1,'United Data'!$C$3:$C$2150,$A510,'United Data'!$B$3:$B$2150,"&lt;&gt;P")&gt;0,1,0)</f>
        <v>0</v>
      </c>
      <c r="P510">
        <f>IF(COUNTIFS('United Data'!$A$3:$A$2150,P$1,'United Data'!$C$3:$C$2150,$A510,'United Data'!$B$3:$B$2150,"&lt;&gt;P")&gt;0,1,0)</f>
        <v>0</v>
      </c>
      <c r="Q510">
        <f>IF(COUNTIFS('United Data'!$A$3:$A$2150,Q$1,'United Data'!$C$3:$C$2150,$A510,'United Data'!$B$3:$B$2150,"&lt;&gt;P")&gt;0,1,0)</f>
        <v>0</v>
      </c>
      <c r="R510">
        <f>IF(COUNTIFS('United Data'!$A$3:$A$2150,R$1,'United Data'!$C$3:$C$2150,$A510,'United Data'!$B$3:$B$2150,"&lt;&gt;P")&gt;0,1,0)</f>
        <v>0</v>
      </c>
      <c r="S510">
        <f t="shared" si="14"/>
        <v>1</v>
      </c>
      <c r="T510">
        <f t="shared" si="15"/>
        <v>1</v>
      </c>
    </row>
    <row r="511" spans="1:20" x14ac:dyDescent="0.2">
      <c r="A511" t="s">
        <v>557</v>
      </c>
      <c r="B511">
        <f>IF(COUNTIFS('United Data'!$A$3:$A$2150,B$1,'United Data'!$C$3:$C$2150,$A511,'United Data'!$B$3:$B$2150,"&lt;&gt;P")&gt;0,1,0)</f>
        <v>0</v>
      </c>
      <c r="C511">
        <f>IF(COUNTIFS('United Data'!$A$3:$A$2150,C$1,'United Data'!$C$3:$C$2150,$A511,'United Data'!$B$3:$B$2150,"&lt;&gt;P")&gt;0,1,0)</f>
        <v>0</v>
      </c>
      <c r="D511">
        <f>IF(COUNTIFS('United Data'!$A$3:$A$2150,D$1,'United Data'!$C$3:$C$2150,$A511,'United Data'!$B$3:$B$2150,"&lt;&gt;P")&gt;0,1,0)</f>
        <v>0</v>
      </c>
      <c r="E511">
        <f>IF(COUNTIFS('United Data'!$A$3:$A$2150,E$1,'United Data'!$C$3:$C$2150,$A511,'United Data'!$B$3:$B$2150,"&lt;&gt;P")&gt;0,1,0)</f>
        <v>0</v>
      </c>
      <c r="F511">
        <f>IF(COUNTIFS('United Data'!$A$3:$A$2150,F$1,'United Data'!$C$3:$C$2150,$A511,'United Data'!$B$3:$B$2150,"&lt;&gt;P")&gt;0,1,0)</f>
        <v>0</v>
      </c>
      <c r="G511">
        <f>IF(COUNTIFS('United Data'!$A$3:$A$2150,G$1,'United Data'!$C$3:$C$2150,$A511,'United Data'!$B$3:$B$2150,"&lt;&gt;P")&gt;0,1,0)</f>
        <v>0</v>
      </c>
      <c r="H511">
        <f>IF(COUNTIFS('United Data'!$A$3:$A$2150,H$1,'United Data'!$C$3:$C$2150,$A511,'United Data'!$B$3:$B$2150,"&lt;&gt;P")&gt;0,1,0)</f>
        <v>0</v>
      </c>
      <c r="I511">
        <f>IF(COUNTIFS('United Data'!$A$3:$A$2150,I$1,'United Data'!$C$3:$C$2150,$A511,'United Data'!$B$3:$B$2150,"&lt;&gt;P")&gt;0,1,0)</f>
        <v>1</v>
      </c>
      <c r="J511">
        <f>IF(COUNTIFS('United Data'!$A$3:$A$2150,J$1,'United Data'!$C$3:$C$2150,$A511,'United Data'!$B$3:$B$2150,"&lt;&gt;P")&gt;0,1,0)</f>
        <v>0</v>
      </c>
      <c r="K511">
        <f>IF(COUNTIFS('United Data'!$A$3:$A$2150,K$1,'United Data'!$C$3:$C$2150,$A511,'United Data'!$B$3:$B$2150,"&lt;&gt;P")&gt;0,1,0)</f>
        <v>0</v>
      </c>
      <c r="L511">
        <f>IF(COUNTIFS('United Data'!$A$3:$A$2150,L$1,'United Data'!$C$3:$C$2150,$A511,'United Data'!$B$3:$B$2150,"&lt;&gt;P")&gt;0,1,0)</f>
        <v>0</v>
      </c>
      <c r="M511">
        <f>IF(COUNTIFS('United Data'!$A$3:$A$2150,M$1,'United Data'!$C$3:$C$2150,$A511,'United Data'!$B$3:$B$2150,"&lt;&gt;P")&gt;0,1,0)</f>
        <v>0</v>
      </c>
      <c r="N511">
        <f>IF(COUNTIFS('United Data'!$A$3:$A$2150,N$1,'United Data'!$C$3:$C$2150,$A511,'United Data'!$B$3:$B$2150,"&lt;&gt;P")&gt;0,1,0)</f>
        <v>0</v>
      </c>
      <c r="O511">
        <f>IF(COUNTIFS('United Data'!$A$3:$A$2150,O$1,'United Data'!$C$3:$C$2150,$A511,'United Data'!$B$3:$B$2150,"&lt;&gt;P")&gt;0,1,0)</f>
        <v>0</v>
      </c>
      <c r="P511">
        <f>IF(COUNTIFS('United Data'!$A$3:$A$2150,P$1,'United Data'!$C$3:$C$2150,$A511,'United Data'!$B$3:$B$2150,"&lt;&gt;P")&gt;0,1,0)</f>
        <v>0</v>
      </c>
      <c r="Q511">
        <f>IF(COUNTIFS('United Data'!$A$3:$A$2150,Q$1,'United Data'!$C$3:$C$2150,$A511,'United Data'!$B$3:$B$2150,"&lt;&gt;P")&gt;0,1,0)</f>
        <v>0</v>
      </c>
      <c r="R511">
        <f>IF(COUNTIFS('United Data'!$A$3:$A$2150,R$1,'United Data'!$C$3:$C$2150,$A511,'United Data'!$B$3:$B$2150,"&lt;&gt;P")&gt;0,1,0)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558</v>
      </c>
      <c r="B512">
        <f>IF(COUNTIFS('United Data'!$A$3:$A$2150,B$1,'United Data'!$C$3:$C$2150,$A512,'United Data'!$B$3:$B$2150,"&lt;&gt;P")&gt;0,1,0)</f>
        <v>0</v>
      </c>
      <c r="C512">
        <f>IF(COUNTIFS('United Data'!$A$3:$A$2150,C$1,'United Data'!$C$3:$C$2150,$A512,'United Data'!$B$3:$B$2150,"&lt;&gt;P")&gt;0,1,0)</f>
        <v>0</v>
      </c>
      <c r="D512">
        <f>IF(COUNTIFS('United Data'!$A$3:$A$2150,D$1,'United Data'!$C$3:$C$2150,$A512,'United Data'!$B$3:$B$2150,"&lt;&gt;P")&gt;0,1,0)</f>
        <v>0</v>
      </c>
      <c r="E512">
        <f>IF(COUNTIFS('United Data'!$A$3:$A$2150,E$1,'United Data'!$C$3:$C$2150,$A512,'United Data'!$B$3:$B$2150,"&lt;&gt;P")&gt;0,1,0)</f>
        <v>0</v>
      </c>
      <c r="F512">
        <f>IF(COUNTIFS('United Data'!$A$3:$A$2150,F$1,'United Data'!$C$3:$C$2150,$A512,'United Data'!$B$3:$B$2150,"&lt;&gt;P")&gt;0,1,0)</f>
        <v>0</v>
      </c>
      <c r="G512">
        <f>IF(COUNTIFS('United Data'!$A$3:$A$2150,G$1,'United Data'!$C$3:$C$2150,$A512,'United Data'!$B$3:$B$2150,"&lt;&gt;P")&gt;0,1,0)</f>
        <v>0</v>
      </c>
      <c r="H512">
        <f>IF(COUNTIFS('United Data'!$A$3:$A$2150,H$1,'United Data'!$C$3:$C$2150,$A512,'United Data'!$B$3:$B$2150,"&lt;&gt;P")&gt;0,1,0)</f>
        <v>0</v>
      </c>
      <c r="I512">
        <f>IF(COUNTIFS('United Data'!$A$3:$A$2150,I$1,'United Data'!$C$3:$C$2150,$A512,'United Data'!$B$3:$B$2150,"&lt;&gt;P")&gt;0,1,0)</f>
        <v>1</v>
      </c>
      <c r="J512">
        <f>IF(COUNTIFS('United Data'!$A$3:$A$2150,J$1,'United Data'!$C$3:$C$2150,$A512,'United Data'!$B$3:$B$2150,"&lt;&gt;P")&gt;0,1,0)</f>
        <v>1</v>
      </c>
      <c r="K512">
        <f>IF(COUNTIFS('United Data'!$A$3:$A$2150,K$1,'United Data'!$C$3:$C$2150,$A512,'United Data'!$B$3:$B$2150,"&lt;&gt;P")&gt;0,1,0)</f>
        <v>0</v>
      </c>
      <c r="L512">
        <f>IF(COUNTIFS('United Data'!$A$3:$A$2150,L$1,'United Data'!$C$3:$C$2150,$A512,'United Data'!$B$3:$B$2150,"&lt;&gt;P")&gt;0,1,0)</f>
        <v>0</v>
      </c>
      <c r="M512">
        <f>IF(COUNTIFS('United Data'!$A$3:$A$2150,M$1,'United Data'!$C$3:$C$2150,$A512,'United Data'!$B$3:$B$2150,"&lt;&gt;P")&gt;0,1,0)</f>
        <v>0</v>
      </c>
      <c r="N512">
        <f>IF(COUNTIFS('United Data'!$A$3:$A$2150,N$1,'United Data'!$C$3:$C$2150,$A512,'United Data'!$B$3:$B$2150,"&lt;&gt;P")&gt;0,1,0)</f>
        <v>0</v>
      </c>
      <c r="O512">
        <f>IF(COUNTIFS('United Data'!$A$3:$A$2150,O$1,'United Data'!$C$3:$C$2150,$A512,'United Data'!$B$3:$B$2150,"&lt;&gt;P")&gt;0,1,0)</f>
        <v>0</v>
      </c>
      <c r="P512">
        <f>IF(COUNTIFS('United Data'!$A$3:$A$2150,P$1,'United Data'!$C$3:$C$2150,$A512,'United Data'!$B$3:$B$2150,"&lt;&gt;P")&gt;0,1,0)</f>
        <v>0</v>
      </c>
      <c r="Q512">
        <f>IF(COUNTIFS('United Data'!$A$3:$A$2150,Q$1,'United Data'!$C$3:$C$2150,$A512,'United Data'!$B$3:$B$2150,"&lt;&gt;P")&gt;0,1,0)</f>
        <v>0</v>
      </c>
      <c r="R512">
        <f>IF(COUNTIFS('United Data'!$A$3:$A$2150,R$1,'United Data'!$C$3:$C$2150,$A512,'United Data'!$B$3:$B$2150,"&lt;&gt;P")&gt;0,1,0)</f>
        <v>0</v>
      </c>
      <c r="S512">
        <f t="shared" si="14"/>
        <v>2</v>
      </c>
      <c r="T512">
        <f t="shared" si="15"/>
        <v>1</v>
      </c>
    </row>
    <row r="513" spans="1:20" x14ac:dyDescent="0.2">
      <c r="A513" t="s">
        <v>559</v>
      </c>
      <c r="B513">
        <f>IF(COUNTIFS('United Data'!$A$3:$A$2150,B$1,'United Data'!$C$3:$C$2150,$A513,'United Data'!$B$3:$B$2150,"&lt;&gt;P")&gt;0,1,0)</f>
        <v>0</v>
      </c>
      <c r="C513">
        <f>IF(COUNTIFS('United Data'!$A$3:$A$2150,C$1,'United Data'!$C$3:$C$2150,$A513,'United Data'!$B$3:$B$2150,"&lt;&gt;P")&gt;0,1,0)</f>
        <v>0</v>
      </c>
      <c r="D513">
        <f>IF(COUNTIFS('United Data'!$A$3:$A$2150,D$1,'United Data'!$C$3:$C$2150,$A513,'United Data'!$B$3:$B$2150,"&lt;&gt;P")&gt;0,1,0)</f>
        <v>0</v>
      </c>
      <c r="E513">
        <f>IF(COUNTIFS('United Data'!$A$3:$A$2150,E$1,'United Data'!$C$3:$C$2150,$A513,'United Data'!$B$3:$B$2150,"&lt;&gt;P")&gt;0,1,0)</f>
        <v>0</v>
      </c>
      <c r="F513">
        <f>IF(COUNTIFS('United Data'!$A$3:$A$2150,F$1,'United Data'!$C$3:$C$2150,$A513,'United Data'!$B$3:$B$2150,"&lt;&gt;P")&gt;0,1,0)</f>
        <v>0</v>
      </c>
      <c r="G513">
        <f>IF(COUNTIFS('United Data'!$A$3:$A$2150,G$1,'United Data'!$C$3:$C$2150,$A513,'United Data'!$B$3:$B$2150,"&lt;&gt;P")&gt;0,1,0)</f>
        <v>0</v>
      </c>
      <c r="H513">
        <f>IF(COUNTIFS('United Data'!$A$3:$A$2150,H$1,'United Data'!$C$3:$C$2150,$A513,'United Data'!$B$3:$B$2150,"&lt;&gt;P")&gt;0,1,0)</f>
        <v>0</v>
      </c>
      <c r="I513">
        <f>IF(COUNTIFS('United Data'!$A$3:$A$2150,I$1,'United Data'!$C$3:$C$2150,$A513,'United Data'!$B$3:$B$2150,"&lt;&gt;P")&gt;0,1,0)</f>
        <v>1</v>
      </c>
      <c r="J513">
        <f>IF(COUNTIFS('United Data'!$A$3:$A$2150,J$1,'United Data'!$C$3:$C$2150,$A513,'United Data'!$B$3:$B$2150,"&lt;&gt;P")&gt;0,1,0)</f>
        <v>0</v>
      </c>
      <c r="K513">
        <f>IF(COUNTIFS('United Data'!$A$3:$A$2150,K$1,'United Data'!$C$3:$C$2150,$A513,'United Data'!$B$3:$B$2150,"&lt;&gt;P")&gt;0,1,0)</f>
        <v>0</v>
      </c>
      <c r="L513">
        <f>IF(COUNTIFS('United Data'!$A$3:$A$2150,L$1,'United Data'!$C$3:$C$2150,$A513,'United Data'!$B$3:$B$2150,"&lt;&gt;P")&gt;0,1,0)</f>
        <v>0</v>
      </c>
      <c r="M513">
        <f>IF(COUNTIFS('United Data'!$A$3:$A$2150,M$1,'United Data'!$C$3:$C$2150,$A513,'United Data'!$B$3:$B$2150,"&lt;&gt;P")&gt;0,1,0)</f>
        <v>0</v>
      </c>
      <c r="N513">
        <f>IF(COUNTIFS('United Data'!$A$3:$A$2150,N$1,'United Data'!$C$3:$C$2150,$A513,'United Data'!$B$3:$B$2150,"&lt;&gt;P")&gt;0,1,0)</f>
        <v>0</v>
      </c>
      <c r="O513">
        <f>IF(COUNTIFS('United Data'!$A$3:$A$2150,O$1,'United Data'!$C$3:$C$2150,$A513,'United Data'!$B$3:$B$2150,"&lt;&gt;P")&gt;0,1,0)</f>
        <v>0</v>
      </c>
      <c r="P513">
        <f>IF(COUNTIFS('United Data'!$A$3:$A$2150,P$1,'United Data'!$C$3:$C$2150,$A513,'United Data'!$B$3:$B$2150,"&lt;&gt;P")&gt;0,1,0)</f>
        <v>0</v>
      </c>
      <c r="Q513">
        <f>IF(COUNTIFS('United Data'!$A$3:$A$2150,Q$1,'United Data'!$C$3:$C$2150,$A513,'United Data'!$B$3:$B$2150,"&lt;&gt;P")&gt;0,1,0)</f>
        <v>0</v>
      </c>
      <c r="R513">
        <f>IF(COUNTIFS('United Data'!$A$3:$A$2150,R$1,'United Data'!$C$3:$C$2150,$A513,'United Data'!$B$3:$B$2150,"&lt;&gt;P")&gt;0,1,0)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560</v>
      </c>
      <c r="B514">
        <f>IF(COUNTIFS('United Data'!$A$3:$A$2150,B$1,'United Data'!$C$3:$C$2150,$A514,'United Data'!$B$3:$B$2150,"&lt;&gt;P")&gt;0,1,0)</f>
        <v>0</v>
      </c>
      <c r="C514">
        <f>IF(COUNTIFS('United Data'!$A$3:$A$2150,C$1,'United Data'!$C$3:$C$2150,$A514,'United Data'!$B$3:$B$2150,"&lt;&gt;P")&gt;0,1,0)</f>
        <v>0</v>
      </c>
      <c r="D514">
        <f>IF(COUNTIFS('United Data'!$A$3:$A$2150,D$1,'United Data'!$C$3:$C$2150,$A514,'United Data'!$B$3:$B$2150,"&lt;&gt;P")&gt;0,1,0)</f>
        <v>0</v>
      </c>
      <c r="E514">
        <f>IF(COUNTIFS('United Data'!$A$3:$A$2150,E$1,'United Data'!$C$3:$C$2150,$A514,'United Data'!$B$3:$B$2150,"&lt;&gt;P")&gt;0,1,0)</f>
        <v>0</v>
      </c>
      <c r="F514">
        <f>IF(COUNTIFS('United Data'!$A$3:$A$2150,F$1,'United Data'!$C$3:$C$2150,$A514,'United Data'!$B$3:$B$2150,"&lt;&gt;P")&gt;0,1,0)</f>
        <v>0</v>
      </c>
      <c r="G514">
        <f>IF(COUNTIFS('United Data'!$A$3:$A$2150,G$1,'United Data'!$C$3:$C$2150,$A514,'United Data'!$B$3:$B$2150,"&lt;&gt;P")&gt;0,1,0)</f>
        <v>0</v>
      </c>
      <c r="H514">
        <f>IF(COUNTIFS('United Data'!$A$3:$A$2150,H$1,'United Data'!$C$3:$C$2150,$A514,'United Data'!$B$3:$B$2150,"&lt;&gt;P")&gt;0,1,0)</f>
        <v>0</v>
      </c>
      <c r="I514">
        <f>IF(COUNTIFS('United Data'!$A$3:$A$2150,I$1,'United Data'!$C$3:$C$2150,$A514,'United Data'!$B$3:$B$2150,"&lt;&gt;P")&gt;0,1,0)</f>
        <v>0</v>
      </c>
      <c r="J514">
        <f>IF(COUNTIFS('United Data'!$A$3:$A$2150,J$1,'United Data'!$C$3:$C$2150,$A514,'United Data'!$B$3:$B$2150,"&lt;&gt;P")&gt;0,1,0)</f>
        <v>1</v>
      </c>
      <c r="K514">
        <f>IF(COUNTIFS('United Data'!$A$3:$A$2150,K$1,'United Data'!$C$3:$C$2150,$A514,'United Data'!$B$3:$B$2150,"&lt;&gt;P")&gt;0,1,0)</f>
        <v>0</v>
      </c>
      <c r="L514">
        <f>IF(COUNTIFS('United Data'!$A$3:$A$2150,L$1,'United Data'!$C$3:$C$2150,$A514,'United Data'!$B$3:$B$2150,"&lt;&gt;P")&gt;0,1,0)</f>
        <v>0</v>
      </c>
      <c r="M514">
        <f>IF(COUNTIFS('United Data'!$A$3:$A$2150,M$1,'United Data'!$C$3:$C$2150,$A514,'United Data'!$B$3:$B$2150,"&lt;&gt;P")&gt;0,1,0)</f>
        <v>0</v>
      </c>
      <c r="N514">
        <f>IF(COUNTIFS('United Data'!$A$3:$A$2150,N$1,'United Data'!$C$3:$C$2150,$A514,'United Data'!$B$3:$B$2150,"&lt;&gt;P")&gt;0,1,0)</f>
        <v>0</v>
      </c>
      <c r="O514">
        <f>IF(COUNTIFS('United Data'!$A$3:$A$2150,O$1,'United Data'!$C$3:$C$2150,$A514,'United Data'!$B$3:$B$2150,"&lt;&gt;P")&gt;0,1,0)</f>
        <v>0</v>
      </c>
      <c r="P514">
        <f>IF(COUNTIFS('United Data'!$A$3:$A$2150,P$1,'United Data'!$C$3:$C$2150,$A514,'United Data'!$B$3:$B$2150,"&lt;&gt;P")&gt;0,1,0)</f>
        <v>0</v>
      </c>
      <c r="Q514">
        <f>IF(COUNTIFS('United Data'!$A$3:$A$2150,Q$1,'United Data'!$C$3:$C$2150,$A514,'United Data'!$B$3:$B$2150,"&lt;&gt;P")&gt;0,1,0)</f>
        <v>0</v>
      </c>
      <c r="R514">
        <f>IF(COUNTIFS('United Data'!$A$3:$A$2150,R$1,'United Data'!$C$3:$C$2150,$A514,'United Data'!$B$3:$B$2150,"&lt;&gt;P")&gt;0,1,0)</f>
        <v>0</v>
      </c>
      <c r="S514">
        <f t="shared" ref="S514:S577" si="16">SUM(B514:R514)</f>
        <v>1</v>
      </c>
      <c r="T514">
        <f t="shared" ref="T514:T577" si="17">B514+SUMPRODUCT(--(C514:R514&gt;B514:Q514))</f>
        <v>1</v>
      </c>
    </row>
    <row r="515" spans="1:20" x14ac:dyDescent="0.2">
      <c r="A515" t="s">
        <v>561</v>
      </c>
      <c r="B515">
        <f>IF(COUNTIFS('United Data'!$A$3:$A$2150,B$1,'United Data'!$C$3:$C$2150,$A515,'United Data'!$B$3:$B$2150,"&lt;&gt;P")&gt;0,1,0)</f>
        <v>0</v>
      </c>
      <c r="C515">
        <f>IF(COUNTIFS('United Data'!$A$3:$A$2150,C$1,'United Data'!$C$3:$C$2150,$A515,'United Data'!$B$3:$B$2150,"&lt;&gt;P")&gt;0,1,0)</f>
        <v>0</v>
      </c>
      <c r="D515">
        <f>IF(COUNTIFS('United Data'!$A$3:$A$2150,D$1,'United Data'!$C$3:$C$2150,$A515,'United Data'!$B$3:$B$2150,"&lt;&gt;P")&gt;0,1,0)</f>
        <v>0</v>
      </c>
      <c r="E515">
        <f>IF(COUNTIFS('United Data'!$A$3:$A$2150,E$1,'United Data'!$C$3:$C$2150,$A515,'United Data'!$B$3:$B$2150,"&lt;&gt;P")&gt;0,1,0)</f>
        <v>0</v>
      </c>
      <c r="F515">
        <f>IF(COUNTIFS('United Data'!$A$3:$A$2150,F$1,'United Data'!$C$3:$C$2150,$A515,'United Data'!$B$3:$B$2150,"&lt;&gt;P")&gt;0,1,0)</f>
        <v>0</v>
      </c>
      <c r="G515">
        <f>IF(COUNTIFS('United Data'!$A$3:$A$2150,G$1,'United Data'!$C$3:$C$2150,$A515,'United Data'!$B$3:$B$2150,"&lt;&gt;P")&gt;0,1,0)</f>
        <v>0</v>
      </c>
      <c r="H515">
        <f>IF(COUNTIFS('United Data'!$A$3:$A$2150,H$1,'United Data'!$C$3:$C$2150,$A515,'United Data'!$B$3:$B$2150,"&lt;&gt;P")&gt;0,1,0)</f>
        <v>0</v>
      </c>
      <c r="I515">
        <f>IF(COUNTIFS('United Data'!$A$3:$A$2150,I$1,'United Data'!$C$3:$C$2150,$A515,'United Data'!$B$3:$B$2150,"&lt;&gt;P")&gt;0,1,0)</f>
        <v>0</v>
      </c>
      <c r="J515">
        <f>IF(COUNTIFS('United Data'!$A$3:$A$2150,J$1,'United Data'!$C$3:$C$2150,$A515,'United Data'!$B$3:$B$2150,"&lt;&gt;P")&gt;0,1,0)</f>
        <v>1</v>
      </c>
      <c r="K515">
        <f>IF(COUNTIFS('United Data'!$A$3:$A$2150,K$1,'United Data'!$C$3:$C$2150,$A515,'United Data'!$B$3:$B$2150,"&lt;&gt;P")&gt;0,1,0)</f>
        <v>1</v>
      </c>
      <c r="L515">
        <f>IF(COUNTIFS('United Data'!$A$3:$A$2150,L$1,'United Data'!$C$3:$C$2150,$A515,'United Data'!$B$3:$B$2150,"&lt;&gt;P")&gt;0,1,0)</f>
        <v>0</v>
      </c>
      <c r="M515">
        <f>IF(COUNTIFS('United Data'!$A$3:$A$2150,M$1,'United Data'!$C$3:$C$2150,$A515,'United Data'!$B$3:$B$2150,"&lt;&gt;P")&gt;0,1,0)</f>
        <v>0</v>
      </c>
      <c r="N515">
        <f>IF(COUNTIFS('United Data'!$A$3:$A$2150,N$1,'United Data'!$C$3:$C$2150,$A515,'United Data'!$B$3:$B$2150,"&lt;&gt;P")&gt;0,1,0)</f>
        <v>0</v>
      </c>
      <c r="O515">
        <f>IF(COUNTIFS('United Data'!$A$3:$A$2150,O$1,'United Data'!$C$3:$C$2150,$A515,'United Data'!$B$3:$B$2150,"&lt;&gt;P")&gt;0,1,0)</f>
        <v>0</v>
      </c>
      <c r="P515">
        <f>IF(COUNTIFS('United Data'!$A$3:$A$2150,P$1,'United Data'!$C$3:$C$2150,$A515,'United Data'!$B$3:$B$2150,"&lt;&gt;P")&gt;0,1,0)</f>
        <v>0</v>
      </c>
      <c r="Q515">
        <f>IF(COUNTIFS('United Data'!$A$3:$A$2150,Q$1,'United Data'!$C$3:$C$2150,$A515,'United Data'!$B$3:$B$2150,"&lt;&gt;P")&gt;0,1,0)</f>
        <v>0</v>
      </c>
      <c r="R515">
        <f>IF(COUNTIFS('United Data'!$A$3:$A$2150,R$1,'United Data'!$C$3:$C$2150,$A515,'United Data'!$B$3:$B$2150,"&lt;&gt;P")&gt;0,1,0)</f>
        <v>0</v>
      </c>
      <c r="S515">
        <f t="shared" si="16"/>
        <v>2</v>
      </c>
      <c r="T515">
        <f t="shared" si="17"/>
        <v>1</v>
      </c>
    </row>
    <row r="516" spans="1:20" x14ac:dyDescent="0.2">
      <c r="A516" t="s">
        <v>562</v>
      </c>
      <c r="B516">
        <f>IF(COUNTIFS('United Data'!$A$3:$A$2150,B$1,'United Data'!$C$3:$C$2150,$A516,'United Data'!$B$3:$B$2150,"&lt;&gt;P")&gt;0,1,0)</f>
        <v>0</v>
      </c>
      <c r="C516">
        <f>IF(COUNTIFS('United Data'!$A$3:$A$2150,C$1,'United Data'!$C$3:$C$2150,$A516,'United Data'!$B$3:$B$2150,"&lt;&gt;P")&gt;0,1,0)</f>
        <v>0</v>
      </c>
      <c r="D516">
        <f>IF(COUNTIFS('United Data'!$A$3:$A$2150,D$1,'United Data'!$C$3:$C$2150,$A516,'United Data'!$B$3:$B$2150,"&lt;&gt;P")&gt;0,1,0)</f>
        <v>0</v>
      </c>
      <c r="E516">
        <f>IF(COUNTIFS('United Data'!$A$3:$A$2150,E$1,'United Data'!$C$3:$C$2150,$A516,'United Data'!$B$3:$B$2150,"&lt;&gt;P")&gt;0,1,0)</f>
        <v>0</v>
      </c>
      <c r="F516">
        <f>IF(COUNTIFS('United Data'!$A$3:$A$2150,F$1,'United Data'!$C$3:$C$2150,$A516,'United Data'!$B$3:$B$2150,"&lt;&gt;P")&gt;0,1,0)</f>
        <v>0</v>
      </c>
      <c r="G516">
        <f>IF(COUNTIFS('United Data'!$A$3:$A$2150,G$1,'United Data'!$C$3:$C$2150,$A516,'United Data'!$B$3:$B$2150,"&lt;&gt;P")&gt;0,1,0)</f>
        <v>0</v>
      </c>
      <c r="H516">
        <f>IF(COUNTIFS('United Data'!$A$3:$A$2150,H$1,'United Data'!$C$3:$C$2150,$A516,'United Data'!$B$3:$B$2150,"&lt;&gt;P")&gt;0,1,0)</f>
        <v>0</v>
      </c>
      <c r="I516">
        <f>IF(COUNTIFS('United Data'!$A$3:$A$2150,I$1,'United Data'!$C$3:$C$2150,$A516,'United Data'!$B$3:$B$2150,"&lt;&gt;P")&gt;0,1,0)</f>
        <v>0</v>
      </c>
      <c r="J516">
        <f>IF(COUNTIFS('United Data'!$A$3:$A$2150,J$1,'United Data'!$C$3:$C$2150,$A516,'United Data'!$B$3:$B$2150,"&lt;&gt;P")&gt;0,1,0)</f>
        <v>1</v>
      </c>
      <c r="K516">
        <f>IF(COUNTIFS('United Data'!$A$3:$A$2150,K$1,'United Data'!$C$3:$C$2150,$A516,'United Data'!$B$3:$B$2150,"&lt;&gt;P")&gt;0,1,0)</f>
        <v>0</v>
      </c>
      <c r="L516">
        <f>IF(COUNTIFS('United Data'!$A$3:$A$2150,L$1,'United Data'!$C$3:$C$2150,$A516,'United Data'!$B$3:$B$2150,"&lt;&gt;P")&gt;0,1,0)</f>
        <v>0</v>
      </c>
      <c r="M516">
        <f>IF(COUNTIFS('United Data'!$A$3:$A$2150,M$1,'United Data'!$C$3:$C$2150,$A516,'United Data'!$B$3:$B$2150,"&lt;&gt;P")&gt;0,1,0)</f>
        <v>0</v>
      </c>
      <c r="N516">
        <f>IF(COUNTIFS('United Data'!$A$3:$A$2150,N$1,'United Data'!$C$3:$C$2150,$A516,'United Data'!$B$3:$B$2150,"&lt;&gt;P")&gt;0,1,0)</f>
        <v>0</v>
      </c>
      <c r="O516">
        <f>IF(COUNTIFS('United Data'!$A$3:$A$2150,O$1,'United Data'!$C$3:$C$2150,$A516,'United Data'!$B$3:$B$2150,"&lt;&gt;P")&gt;0,1,0)</f>
        <v>0</v>
      </c>
      <c r="P516">
        <f>IF(COUNTIFS('United Data'!$A$3:$A$2150,P$1,'United Data'!$C$3:$C$2150,$A516,'United Data'!$B$3:$B$2150,"&lt;&gt;P")&gt;0,1,0)</f>
        <v>0</v>
      </c>
      <c r="Q516">
        <f>IF(COUNTIFS('United Data'!$A$3:$A$2150,Q$1,'United Data'!$C$3:$C$2150,$A516,'United Data'!$B$3:$B$2150,"&lt;&gt;P")&gt;0,1,0)</f>
        <v>0</v>
      </c>
      <c r="R516">
        <f>IF(COUNTIFS('United Data'!$A$3:$A$2150,R$1,'United Data'!$C$3:$C$2150,$A516,'United Data'!$B$3:$B$2150,"&lt;&gt;P")&gt;0,1,0)</f>
        <v>0</v>
      </c>
      <c r="S516">
        <f t="shared" si="16"/>
        <v>1</v>
      </c>
      <c r="T516">
        <f t="shared" si="17"/>
        <v>1</v>
      </c>
    </row>
    <row r="517" spans="1:20" x14ac:dyDescent="0.2">
      <c r="A517" t="s">
        <v>563</v>
      </c>
      <c r="B517">
        <f>IF(COUNTIFS('United Data'!$A$3:$A$2150,B$1,'United Data'!$C$3:$C$2150,$A517,'United Data'!$B$3:$B$2150,"&lt;&gt;P")&gt;0,1,0)</f>
        <v>0</v>
      </c>
      <c r="C517">
        <f>IF(COUNTIFS('United Data'!$A$3:$A$2150,C$1,'United Data'!$C$3:$C$2150,$A517,'United Data'!$B$3:$B$2150,"&lt;&gt;P")&gt;0,1,0)</f>
        <v>0</v>
      </c>
      <c r="D517">
        <f>IF(COUNTIFS('United Data'!$A$3:$A$2150,D$1,'United Data'!$C$3:$C$2150,$A517,'United Data'!$B$3:$B$2150,"&lt;&gt;P")&gt;0,1,0)</f>
        <v>0</v>
      </c>
      <c r="E517">
        <f>IF(COUNTIFS('United Data'!$A$3:$A$2150,E$1,'United Data'!$C$3:$C$2150,$A517,'United Data'!$B$3:$B$2150,"&lt;&gt;P")&gt;0,1,0)</f>
        <v>0</v>
      </c>
      <c r="F517">
        <f>IF(COUNTIFS('United Data'!$A$3:$A$2150,F$1,'United Data'!$C$3:$C$2150,$A517,'United Data'!$B$3:$B$2150,"&lt;&gt;P")&gt;0,1,0)</f>
        <v>0</v>
      </c>
      <c r="G517">
        <f>IF(COUNTIFS('United Data'!$A$3:$A$2150,G$1,'United Data'!$C$3:$C$2150,$A517,'United Data'!$B$3:$B$2150,"&lt;&gt;P")&gt;0,1,0)</f>
        <v>0</v>
      </c>
      <c r="H517">
        <f>IF(COUNTIFS('United Data'!$A$3:$A$2150,H$1,'United Data'!$C$3:$C$2150,$A517,'United Data'!$B$3:$B$2150,"&lt;&gt;P")&gt;0,1,0)</f>
        <v>0</v>
      </c>
      <c r="I517">
        <f>IF(COUNTIFS('United Data'!$A$3:$A$2150,I$1,'United Data'!$C$3:$C$2150,$A517,'United Data'!$B$3:$B$2150,"&lt;&gt;P")&gt;0,1,0)</f>
        <v>0</v>
      </c>
      <c r="J517">
        <f>IF(COUNTIFS('United Data'!$A$3:$A$2150,J$1,'United Data'!$C$3:$C$2150,$A517,'United Data'!$B$3:$B$2150,"&lt;&gt;P")&gt;0,1,0)</f>
        <v>1</v>
      </c>
      <c r="K517">
        <f>IF(COUNTIFS('United Data'!$A$3:$A$2150,K$1,'United Data'!$C$3:$C$2150,$A517,'United Data'!$B$3:$B$2150,"&lt;&gt;P")&gt;0,1,0)</f>
        <v>0</v>
      </c>
      <c r="L517">
        <f>IF(COUNTIFS('United Data'!$A$3:$A$2150,L$1,'United Data'!$C$3:$C$2150,$A517,'United Data'!$B$3:$B$2150,"&lt;&gt;P")&gt;0,1,0)</f>
        <v>0</v>
      </c>
      <c r="M517">
        <f>IF(COUNTIFS('United Data'!$A$3:$A$2150,M$1,'United Data'!$C$3:$C$2150,$A517,'United Data'!$B$3:$B$2150,"&lt;&gt;P")&gt;0,1,0)</f>
        <v>0</v>
      </c>
      <c r="N517">
        <f>IF(COUNTIFS('United Data'!$A$3:$A$2150,N$1,'United Data'!$C$3:$C$2150,$A517,'United Data'!$B$3:$B$2150,"&lt;&gt;P")&gt;0,1,0)</f>
        <v>0</v>
      </c>
      <c r="O517">
        <f>IF(COUNTIFS('United Data'!$A$3:$A$2150,O$1,'United Data'!$C$3:$C$2150,$A517,'United Data'!$B$3:$B$2150,"&lt;&gt;P")&gt;0,1,0)</f>
        <v>0</v>
      </c>
      <c r="P517">
        <f>IF(COUNTIFS('United Data'!$A$3:$A$2150,P$1,'United Data'!$C$3:$C$2150,$A517,'United Data'!$B$3:$B$2150,"&lt;&gt;P")&gt;0,1,0)</f>
        <v>0</v>
      </c>
      <c r="Q517">
        <f>IF(COUNTIFS('United Data'!$A$3:$A$2150,Q$1,'United Data'!$C$3:$C$2150,$A517,'United Data'!$B$3:$B$2150,"&lt;&gt;P")&gt;0,1,0)</f>
        <v>0</v>
      </c>
      <c r="R517">
        <f>IF(COUNTIFS('United Data'!$A$3:$A$2150,R$1,'United Data'!$C$3:$C$2150,$A517,'United Data'!$B$3:$B$2150,"&lt;&gt;P")&gt;0,1,0)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564</v>
      </c>
      <c r="B518">
        <f>IF(COUNTIFS('United Data'!$A$3:$A$2150,B$1,'United Data'!$C$3:$C$2150,$A518,'United Data'!$B$3:$B$2150,"&lt;&gt;P")&gt;0,1,0)</f>
        <v>0</v>
      </c>
      <c r="C518">
        <f>IF(COUNTIFS('United Data'!$A$3:$A$2150,C$1,'United Data'!$C$3:$C$2150,$A518,'United Data'!$B$3:$B$2150,"&lt;&gt;P")&gt;0,1,0)</f>
        <v>0</v>
      </c>
      <c r="D518">
        <f>IF(COUNTIFS('United Data'!$A$3:$A$2150,D$1,'United Data'!$C$3:$C$2150,$A518,'United Data'!$B$3:$B$2150,"&lt;&gt;P")&gt;0,1,0)</f>
        <v>0</v>
      </c>
      <c r="E518">
        <f>IF(COUNTIFS('United Data'!$A$3:$A$2150,E$1,'United Data'!$C$3:$C$2150,$A518,'United Data'!$B$3:$B$2150,"&lt;&gt;P")&gt;0,1,0)</f>
        <v>0</v>
      </c>
      <c r="F518">
        <f>IF(COUNTIFS('United Data'!$A$3:$A$2150,F$1,'United Data'!$C$3:$C$2150,$A518,'United Data'!$B$3:$B$2150,"&lt;&gt;P")&gt;0,1,0)</f>
        <v>0</v>
      </c>
      <c r="G518">
        <f>IF(COUNTIFS('United Data'!$A$3:$A$2150,G$1,'United Data'!$C$3:$C$2150,$A518,'United Data'!$B$3:$B$2150,"&lt;&gt;P")&gt;0,1,0)</f>
        <v>0</v>
      </c>
      <c r="H518">
        <f>IF(COUNTIFS('United Data'!$A$3:$A$2150,H$1,'United Data'!$C$3:$C$2150,$A518,'United Data'!$B$3:$B$2150,"&lt;&gt;P")&gt;0,1,0)</f>
        <v>0</v>
      </c>
      <c r="I518">
        <f>IF(COUNTIFS('United Data'!$A$3:$A$2150,I$1,'United Data'!$C$3:$C$2150,$A518,'United Data'!$B$3:$B$2150,"&lt;&gt;P")&gt;0,1,0)</f>
        <v>0</v>
      </c>
      <c r="J518">
        <f>IF(COUNTIFS('United Data'!$A$3:$A$2150,J$1,'United Data'!$C$3:$C$2150,$A518,'United Data'!$B$3:$B$2150,"&lt;&gt;P")&gt;0,1,0)</f>
        <v>1</v>
      </c>
      <c r="K518">
        <f>IF(COUNTIFS('United Data'!$A$3:$A$2150,K$1,'United Data'!$C$3:$C$2150,$A518,'United Data'!$B$3:$B$2150,"&lt;&gt;P")&gt;0,1,0)</f>
        <v>0</v>
      </c>
      <c r="L518">
        <f>IF(COUNTIFS('United Data'!$A$3:$A$2150,L$1,'United Data'!$C$3:$C$2150,$A518,'United Data'!$B$3:$B$2150,"&lt;&gt;P")&gt;0,1,0)</f>
        <v>0</v>
      </c>
      <c r="M518">
        <f>IF(COUNTIFS('United Data'!$A$3:$A$2150,M$1,'United Data'!$C$3:$C$2150,$A518,'United Data'!$B$3:$B$2150,"&lt;&gt;P")&gt;0,1,0)</f>
        <v>0</v>
      </c>
      <c r="N518">
        <f>IF(COUNTIFS('United Data'!$A$3:$A$2150,N$1,'United Data'!$C$3:$C$2150,$A518,'United Data'!$B$3:$B$2150,"&lt;&gt;P")&gt;0,1,0)</f>
        <v>0</v>
      </c>
      <c r="O518">
        <f>IF(COUNTIFS('United Data'!$A$3:$A$2150,O$1,'United Data'!$C$3:$C$2150,$A518,'United Data'!$B$3:$B$2150,"&lt;&gt;P")&gt;0,1,0)</f>
        <v>0</v>
      </c>
      <c r="P518">
        <f>IF(COUNTIFS('United Data'!$A$3:$A$2150,P$1,'United Data'!$C$3:$C$2150,$A518,'United Data'!$B$3:$B$2150,"&lt;&gt;P")&gt;0,1,0)</f>
        <v>0</v>
      </c>
      <c r="Q518">
        <f>IF(COUNTIFS('United Data'!$A$3:$A$2150,Q$1,'United Data'!$C$3:$C$2150,$A518,'United Data'!$B$3:$B$2150,"&lt;&gt;P")&gt;0,1,0)</f>
        <v>0</v>
      </c>
      <c r="R518">
        <f>IF(COUNTIFS('United Data'!$A$3:$A$2150,R$1,'United Data'!$C$3:$C$2150,$A518,'United Data'!$B$3:$B$2150,"&lt;&gt;P")&gt;0,1,0)</f>
        <v>0</v>
      </c>
      <c r="S518">
        <f t="shared" si="16"/>
        <v>1</v>
      </c>
      <c r="T518">
        <f t="shared" si="17"/>
        <v>1</v>
      </c>
    </row>
    <row r="519" spans="1:20" x14ac:dyDescent="0.2">
      <c r="A519" t="s">
        <v>565</v>
      </c>
      <c r="B519">
        <f>IF(COUNTIFS('United Data'!$A$3:$A$2150,B$1,'United Data'!$C$3:$C$2150,$A519,'United Data'!$B$3:$B$2150,"&lt;&gt;P")&gt;0,1,0)</f>
        <v>0</v>
      </c>
      <c r="C519">
        <f>IF(COUNTIFS('United Data'!$A$3:$A$2150,C$1,'United Data'!$C$3:$C$2150,$A519,'United Data'!$B$3:$B$2150,"&lt;&gt;P")&gt;0,1,0)</f>
        <v>0</v>
      </c>
      <c r="D519">
        <f>IF(COUNTIFS('United Data'!$A$3:$A$2150,D$1,'United Data'!$C$3:$C$2150,$A519,'United Data'!$B$3:$B$2150,"&lt;&gt;P")&gt;0,1,0)</f>
        <v>0</v>
      </c>
      <c r="E519">
        <f>IF(COUNTIFS('United Data'!$A$3:$A$2150,E$1,'United Data'!$C$3:$C$2150,$A519,'United Data'!$B$3:$B$2150,"&lt;&gt;P")&gt;0,1,0)</f>
        <v>0</v>
      </c>
      <c r="F519">
        <f>IF(COUNTIFS('United Data'!$A$3:$A$2150,F$1,'United Data'!$C$3:$C$2150,$A519,'United Data'!$B$3:$B$2150,"&lt;&gt;P")&gt;0,1,0)</f>
        <v>0</v>
      </c>
      <c r="G519">
        <f>IF(COUNTIFS('United Data'!$A$3:$A$2150,G$1,'United Data'!$C$3:$C$2150,$A519,'United Data'!$B$3:$B$2150,"&lt;&gt;P")&gt;0,1,0)</f>
        <v>0</v>
      </c>
      <c r="H519">
        <f>IF(COUNTIFS('United Data'!$A$3:$A$2150,H$1,'United Data'!$C$3:$C$2150,$A519,'United Data'!$B$3:$B$2150,"&lt;&gt;P")&gt;0,1,0)</f>
        <v>0</v>
      </c>
      <c r="I519">
        <f>IF(COUNTIFS('United Data'!$A$3:$A$2150,I$1,'United Data'!$C$3:$C$2150,$A519,'United Data'!$B$3:$B$2150,"&lt;&gt;P")&gt;0,1,0)</f>
        <v>0</v>
      </c>
      <c r="J519">
        <f>IF(COUNTIFS('United Data'!$A$3:$A$2150,J$1,'United Data'!$C$3:$C$2150,$A519,'United Data'!$B$3:$B$2150,"&lt;&gt;P")&gt;0,1,0)</f>
        <v>1</v>
      </c>
      <c r="K519">
        <f>IF(COUNTIFS('United Data'!$A$3:$A$2150,K$1,'United Data'!$C$3:$C$2150,$A519,'United Data'!$B$3:$B$2150,"&lt;&gt;P")&gt;0,1,0)</f>
        <v>0</v>
      </c>
      <c r="L519">
        <f>IF(COUNTIFS('United Data'!$A$3:$A$2150,L$1,'United Data'!$C$3:$C$2150,$A519,'United Data'!$B$3:$B$2150,"&lt;&gt;P")&gt;0,1,0)</f>
        <v>0</v>
      </c>
      <c r="M519">
        <f>IF(COUNTIFS('United Data'!$A$3:$A$2150,M$1,'United Data'!$C$3:$C$2150,$A519,'United Data'!$B$3:$B$2150,"&lt;&gt;P")&gt;0,1,0)</f>
        <v>0</v>
      </c>
      <c r="N519">
        <f>IF(COUNTIFS('United Data'!$A$3:$A$2150,N$1,'United Data'!$C$3:$C$2150,$A519,'United Data'!$B$3:$B$2150,"&lt;&gt;P")&gt;0,1,0)</f>
        <v>0</v>
      </c>
      <c r="O519">
        <f>IF(COUNTIFS('United Data'!$A$3:$A$2150,O$1,'United Data'!$C$3:$C$2150,$A519,'United Data'!$B$3:$B$2150,"&lt;&gt;P")&gt;0,1,0)</f>
        <v>0</v>
      </c>
      <c r="P519">
        <f>IF(COUNTIFS('United Data'!$A$3:$A$2150,P$1,'United Data'!$C$3:$C$2150,$A519,'United Data'!$B$3:$B$2150,"&lt;&gt;P")&gt;0,1,0)</f>
        <v>0</v>
      </c>
      <c r="Q519">
        <f>IF(COUNTIFS('United Data'!$A$3:$A$2150,Q$1,'United Data'!$C$3:$C$2150,$A519,'United Data'!$B$3:$B$2150,"&lt;&gt;P")&gt;0,1,0)</f>
        <v>0</v>
      </c>
      <c r="R519">
        <f>IF(COUNTIFS('United Data'!$A$3:$A$2150,R$1,'United Data'!$C$3:$C$2150,$A519,'United Data'!$B$3:$B$2150,"&lt;&gt;P")&gt;0,1,0)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566</v>
      </c>
      <c r="B520">
        <f>IF(COUNTIFS('United Data'!$A$3:$A$2150,B$1,'United Data'!$C$3:$C$2150,$A520,'United Data'!$B$3:$B$2150,"&lt;&gt;P")&gt;0,1,0)</f>
        <v>0</v>
      </c>
      <c r="C520">
        <f>IF(COUNTIFS('United Data'!$A$3:$A$2150,C$1,'United Data'!$C$3:$C$2150,$A520,'United Data'!$B$3:$B$2150,"&lt;&gt;P")&gt;0,1,0)</f>
        <v>0</v>
      </c>
      <c r="D520">
        <f>IF(COUNTIFS('United Data'!$A$3:$A$2150,D$1,'United Data'!$C$3:$C$2150,$A520,'United Data'!$B$3:$B$2150,"&lt;&gt;P")&gt;0,1,0)</f>
        <v>0</v>
      </c>
      <c r="E520">
        <f>IF(COUNTIFS('United Data'!$A$3:$A$2150,E$1,'United Data'!$C$3:$C$2150,$A520,'United Data'!$B$3:$B$2150,"&lt;&gt;P")&gt;0,1,0)</f>
        <v>0</v>
      </c>
      <c r="F520">
        <f>IF(COUNTIFS('United Data'!$A$3:$A$2150,F$1,'United Data'!$C$3:$C$2150,$A520,'United Data'!$B$3:$B$2150,"&lt;&gt;P")&gt;0,1,0)</f>
        <v>0</v>
      </c>
      <c r="G520">
        <f>IF(COUNTIFS('United Data'!$A$3:$A$2150,G$1,'United Data'!$C$3:$C$2150,$A520,'United Data'!$B$3:$B$2150,"&lt;&gt;P")&gt;0,1,0)</f>
        <v>0</v>
      </c>
      <c r="H520">
        <f>IF(COUNTIFS('United Data'!$A$3:$A$2150,H$1,'United Data'!$C$3:$C$2150,$A520,'United Data'!$B$3:$B$2150,"&lt;&gt;P")&gt;0,1,0)</f>
        <v>0</v>
      </c>
      <c r="I520">
        <f>IF(COUNTIFS('United Data'!$A$3:$A$2150,I$1,'United Data'!$C$3:$C$2150,$A520,'United Data'!$B$3:$B$2150,"&lt;&gt;P")&gt;0,1,0)</f>
        <v>0</v>
      </c>
      <c r="J520">
        <f>IF(COUNTIFS('United Data'!$A$3:$A$2150,J$1,'United Data'!$C$3:$C$2150,$A520,'United Data'!$B$3:$B$2150,"&lt;&gt;P")&gt;0,1,0)</f>
        <v>1</v>
      </c>
      <c r="K520">
        <f>IF(COUNTIFS('United Data'!$A$3:$A$2150,K$1,'United Data'!$C$3:$C$2150,$A520,'United Data'!$B$3:$B$2150,"&lt;&gt;P")&gt;0,1,0)</f>
        <v>0</v>
      </c>
      <c r="L520">
        <f>IF(COUNTIFS('United Data'!$A$3:$A$2150,L$1,'United Data'!$C$3:$C$2150,$A520,'United Data'!$B$3:$B$2150,"&lt;&gt;P")&gt;0,1,0)</f>
        <v>0</v>
      </c>
      <c r="M520">
        <f>IF(COUNTIFS('United Data'!$A$3:$A$2150,M$1,'United Data'!$C$3:$C$2150,$A520,'United Data'!$B$3:$B$2150,"&lt;&gt;P")&gt;0,1,0)</f>
        <v>0</v>
      </c>
      <c r="N520">
        <f>IF(COUNTIFS('United Data'!$A$3:$A$2150,N$1,'United Data'!$C$3:$C$2150,$A520,'United Data'!$B$3:$B$2150,"&lt;&gt;P")&gt;0,1,0)</f>
        <v>0</v>
      </c>
      <c r="O520">
        <f>IF(COUNTIFS('United Data'!$A$3:$A$2150,O$1,'United Data'!$C$3:$C$2150,$A520,'United Data'!$B$3:$B$2150,"&lt;&gt;P")&gt;0,1,0)</f>
        <v>0</v>
      </c>
      <c r="P520">
        <f>IF(COUNTIFS('United Data'!$A$3:$A$2150,P$1,'United Data'!$C$3:$C$2150,$A520,'United Data'!$B$3:$B$2150,"&lt;&gt;P")&gt;0,1,0)</f>
        <v>0</v>
      </c>
      <c r="Q520">
        <f>IF(COUNTIFS('United Data'!$A$3:$A$2150,Q$1,'United Data'!$C$3:$C$2150,$A520,'United Data'!$B$3:$B$2150,"&lt;&gt;P")&gt;0,1,0)</f>
        <v>0</v>
      </c>
      <c r="R520">
        <f>IF(COUNTIFS('United Data'!$A$3:$A$2150,R$1,'United Data'!$C$3:$C$2150,$A520,'United Data'!$B$3:$B$2150,"&lt;&gt;P")&gt;0,1,0)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567</v>
      </c>
      <c r="B521">
        <f>IF(COUNTIFS('United Data'!$A$3:$A$2150,B$1,'United Data'!$C$3:$C$2150,$A521,'United Data'!$B$3:$B$2150,"&lt;&gt;P")&gt;0,1,0)</f>
        <v>0</v>
      </c>
      <c r="C521">
        <f>IF(COUNTIFS('United Data'!$A$3:$A$2150,C$1,'United Data'!$C$3:$C$2150,$A521,'United Data'!$B$3:$B$2150,"&lt;&gt;P")&gt;0,1,0)</f>
        <v>0</v>
      </c>
      <c r="D521">
        <f>IF(COUNTIFS('United Data'!$A$3:$A$2150,D$1,'United Data'!$C$3:$C$2150,$A521,'United Data'!$B$3:$B$2150,"&lt;&gt;P")&gt;0,1,0)</f>
        <v>0</v>
      </c>
      <c r="E521">
        <f>IF(COUNTIFS('United Data'!$A$3:$A$2150,E$1,'United Data'!$C$3:$C$2150,$A521,'United Data'!$B$3:$B$2150,"&lt;&gt;P")&gt;0,1,0)</f>
        <v>0</v>
      </c>
      <c r="F521">
        <f>IF(COUNTIFS('United Data'!$A$3:$A$2150,F$1,'United Data'!$C$3:$C$2150,$A521,'United Data'!$B$3:$B$2150,"&lt;&gt;P")&gt;0,1,0)</f>
        <v>0</v>
      </c>
      <c r="G521">
        <f>IF(COUNTIFS('United Data'!$A$3:$A$2150,G$1,'United Data'!$C$3:$C$2150,$A521,'United Data'!$B$3:$B$2150,"&lt;&gt;P")&gt;0,1,0)</f>
        <v>0</v>
      </c>
      <c r="H521">
        <f>IF(COUNTIFS('United Data'!$A$3:$A$2150,H$1,'United Data'!$C$3:$C$2150,$A521,'United Data'!$B$3:$B$2150,"&lt;&gt;P")&gt;0,1,0)</f>
        <v>0</v>
      </c>
      <c r="I521">
        <f>IF(COUNTIFS('United Data'!$A$3:$A$2150,I$1,'United Data'!$C$3:$C$2150,$A521,'United Data'!$B$3:$B$2150,"&lt;&gt;P")&gt;0,1,0)</f>
        <v>0</v>
      </c>
      <c r="J521">
        <f>IF(COUNTIFS('United Data'!$A$3:$A$2150,J$1,'United Data'!$C$3:$C$2150,$A521,'United Data'!$B$3:$B$2150,"&lt;&gt;P")&gt;0,1,0)</f>
        <v>1</v>
      </c>
      <c r="K521">
        <f>IF(COUNTIFS('United Data'!$A$3:$A$2150,K$1,'United Data'!$C$3:$C$2150,$A521,'United Data'!$B$3:$B$2150,"&lt;&gt;P")&gt;0,1,0)</f>
        <v>0</v>
      </c>
      <c r="L521">
        <f>IF(COUNTIFS('United Data'!$A$3:$A$2150,L$1,'United Data'!$C$3:$C$2150,$A521,'United Data'!$B$3:$B$2150,"&lt;&gt;P")&gt;0,1,0)</f>
        <v>0</v>
      </c>
      <c r="M521">
        <f>IF(COUNTIFS('United Data'!$A$3:$A$2150,M$1,'United Data'!$C$3:$C$2150,$A521,'United Data'!$B$3:$B$2150,"&lt;&gt;P")&gt;0,1,0)</f>
        <v>0</v>
      </c>
      <c r="N521">
        <f>IF(COUNTIFS('United Data'!$A$3:$A$2150,N$1,'United Data'!$C$3:$C$2150,$A521,'United Data'!$B$3:$B$2150,"&lt;&gt;P")&gt;0,1,0)</f>
        <v>0</v>
      </c>
      <c r="O521">
        <f>IF(COUNTIFS('United Data'!$A$3:$A$2150,O$1,'United Data'!$C$3:$C$2150,$A521,'United Data'!$B$3:$B$2150,"&lt;&gt;P")&gt;0,1,0)</f>
        <v>0</v>
      </c>
      <c r="P521">
        <f>IF(COUNTIFS('United Data'!$A$3:$A$2150,P$1,'United Data'!$C$3:$C$2150,$A521,'United Data'!$B$3:$B$2150,"&lt;&gt;P")&gt;0,1,0)</f>
        <v>0</v>
      </c>
      <c r="Q521">
        <f>IF(COUNTIFS('United Data'!$A$3:$A$2150,Q$1,'United Data'!$C$3:$C$2150,$A521,'United Data'!$B$3:$B$2150,"&lt;&gt;P")&gt;0,1,0)</f>
        <v>0</v>
      </c>
      <c r="R521">
        <f>IF(COUNTIFS('United Data'!$A$3:$A$2150,R$1,'United Data'!$C$3:$C$2150,$A521,'United Data'!$B$3:$B$2150,"&lt;&gt;P")&gt;0,1,0)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568</v>
      </c>
      <c r="B522">
        <f>IF(COUNTIFS('United Data'!$A$3:$A$2150,B$1,'United Data'!$C$3:$C$2150,$A522,'United Data'!$B$3:$B$2150,"&lt;&gt;P")&gt;0,1,0)</f>
        <v>0</v>
      </c>
      <c r="C522">
        <f>IF(COUNTIFS('United Data'!$A$3:$A$2150,C$1,'United Data'!$C$3:$C$2150,$A522,'United Data'!$B$3:$B$2150,"&lt;&gt;P")&gt;0,1,0)</f>
        <v>0</v>
      </c>
      <c r="D522">
        <f>IF(COUNTIFS('United Data'!$A$3:$A$2150,D$1,'United Data'!$C$3:$C$2150,$A522,'United Data'!$B$3:$B$2150,"&lt;&gt;P")&gt;0,1,0)</f>
        <v>0</v>
      </c>
      <c r="E522">
        <f>IF(COUNTIFS('United Data'!$A$3:$A$2150,E$1,'United Data'!$C$3:$C$2150,$A522,'United Data'!$B$3:$B$2150,"&lt;&gt;P")&gt;0,1,0)</f>
        <v>0</v>
      </c>
      <c r="F522">
        <f>IF(COUNTIFS('United Data'!$A$3:$A$2150,F$1,'United Data'!$C$3:$C$2150,$A522,'United Data'!$B$3:$B$2150,"&lt;&gt;P")&gt;0,1,0)</f>
        <v>0</v>
      </c>
      <c r="G522">
        <f>IF(COUNTIFS('United Data'!$A$3:$A$2150,G$1,'United Data'!$C$3:$C$2150,$A522,'United Data'!$B$3:$B$2150,"&lt;&gt;P")&gt;0,1,0)</f>
        <v>0</v>
      </c>
      <c r="H522">
        <f>IF(COUNTIFS('United Data'!$A$3:$A$2150,H$1,'United Data'!$C$3:$C$2150,$A522,'United Data'!$B$3:$B$2150,"&lt;&gt;P")&gt;0,1,0)</f>
        <v>0</v>
      </c>
      <c r="I522">
        <f>IF(COUNTIFS('United Data'!$A$3:$A$2150,I$1,'United Data'!$C$3:$C$2150,$A522,'United Data'!$B$3:$B$2150,"&lt;&gt;P")&gt;0,1,0)</f>
        <v>0</v>
      </c>
      <c r="J522">
        <f>IF(COUNTIFS('United Data'!$A$3:$A$2150,J$1,'United Data'!$C$3:$C$2150,$A522,'United Data'!$B$3:$B$2150,"&lt;&gt;P")&gt;0,1,0)</f>
        <v>1</v>
      </c>
      <c r="K522">
        <f>IF(COUNTIFS('United Data'!$A$3:$A$2150,K$1,'United Data'!$C$3:$C$2150,$A522,'United Data'!$B$3:$B$2150,"&lt;&gt;P")&gt;0,1,0)</f>
        <v>0</v>
      </c>
      <c r="L522">
        <f>IF(COUNTIFS('United Data'!$A$3:$A$2150,L$1,'United Data'!$C$3:$C$2150,$A522,'United Data'!$B$3:$B$2150,"&lt;&gt;P")&gt;0,1,0)</f>
        <v>0</v>
      </c>
      <c r="M522">
        <f>IF(COUNTIFS('United Data'!$A$3:$A$2150,M$1,'United Data'!$C$3:$C$2150,$A522,'United Data'!$B$3:$B$2150,"&lt;&gt;P")&gt;0,1,0)</f>
        <v>0</v>
      </c>
      <c r="N522">
        <f>IF(COUNTIFS('United Data'!$A$3:$A$2150,N$1,'United Data'!$C$3:$C$2150,$A522,'United Data'!$B$3:$B$2150,"&lt;&gt;P")&gt;0,1,0)</f>
        <v>0</v>
      </c>
      <c r="O522">
        <f>IF(COUNTIFS('United Data'!$A$3:$A$2150,O$1,'United Data'!$C$3:$C$2150,$A522,'United Data'!$B$3:$B$2150,"&lt;&gt;P")&gt;0,1,0)</f>
        <v>0</v>
      </c>
      <c r="P522">
        <f>IF(COUNTIFS('United Data'!$A$3:$A$2150,P$1,'United Data'!$C$3:$C$2150,$A522,'United Data'!$B$3:$B$2150,"&lt;&gt;P")&gt;0,1,0)</f>
        <v>0</v>
      </c>
      <c r="Q522">
        <f>IF(COUNTIFS('United Data'!$A$3:$A$2150,Q$1,'United Data'!$C$3:$C$2150,$A522,'United Data'!$B$3:$B$2150,"&lt;&gt;P")&gt;0,1,0)</f>
        <v>0</v>
      </c>
      <c r="R522">
        <f>IF(COUNTIFS('United Data'!$A$3:$A$2150,R$1,'United Data'!$C$3:$C$2150,$A522,'United Data'!$B$3:$B$2150,"&lt;&gt;P")&gt;0,1,0)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569</v>
      </c>
      <c r="B523">
        <f>IF(COUNTIFS('United Data'!$A$3:$A$2150,B$1,'United Data'!$C$3:$C$2150,$A523,'United Data'!$B$3:$B$2150,"&lt;&gt;P")&gt;0,1,0)</f>
        <v>0</v>
      </c>
      <c r="C523">
        <f>IF(COUNTIFS('United Data'!$A$3:$A$2150,C$1,'United Data'!$C$3:$C$2150,$A523,'United Data'!$B$3:$B$2150,"&lt;&gt;P")&gt;0,1,0)</f>
        <v>0</v>
      </c>
      <c r="D523">
        <f>IF(COUNTIFS('United Data'!$A$3:$A$2150,D$1,'United Data'!$C$3:$C$2150,$A523,'United Data'!$B$3:$B$2150,"&lt;&gt;P")&gt;0,1,0)</f>
        <v>0</v>
      </c>
      <c r="E523">
        <f>IF(COUNTIFS('United Data'!$A$3:$A$2150,E$1,'United Data'!$C$3:$C$2150,$A523,'United Data'!$B$3:$B$2150,"&lt;&gt;P")&gt;0,1,0)</f>
        <v>0</v>
      </c>
      <c r="F523">
        <f>IF(COUNTIFS('United Data'!$A$3:$A$2150,F$1,'United Data'!$C$3:$C$2150,$A523,'United Data'!$B$3:$B$2150,"&lt;&gt;P")&gt;0,1,0)</f>
        <v>0</v>
      </c>
      <c r="G523">
        <f>IF(COUNTIFS('United Data'!$A$3:$A$2150,G$1,'United Data'!$C$3:$C$2150,$A523,'United Data'!$B$3:$B$2150,"&lt;&gt;P")&gt;0,1,0)</f>
        <v>0</v>
      </c>
      <c r="H523">
        <f>IF(COUNTIFS('United Data'!$A$3:$A$2150,H$1,'United Data'!$C$3:$C$2150,$A523,'United Data'!$B$3:$B$2150,"&lt;&gt;P")&gt;0,1,0)</f>
        <v>0</v>
      </c>
      <c r="I523">
        <f>IF(COUNTIFS('United Data'!$A$3:$A$2150,I$1,'United Data'!$C$3:$C$2150,$A523,'United Data'!$B$3:$B$2150,"&lt;&gt;P")&gt;0,1,0)</f>
        <v>0</v>
      </c>
      <c r="J523">
        <f>IF(COUNTIFS('United Data'!$A$3:$A$2150,J$1,'United Data'!$C$3:$C$2150,$A523,'United Data'!$B$3:$B$2150,"&lt;&gt;P")&gt;0,1,0)</f>
        <v>1</v>
      </c>
      <c r="K523">
        <f>IF(COUNTIFS('United Data'!$A$3:$A$2150,K$1,'United Data'!$C$3:$C$2150,$A523,'United Data'!$B$3:$B$2150,"&lt;&gt;P")&gt;0,1,0)</f>
        <v>0</v>
      </c>
      <c r="L523">
        <f>IF(COUNTIFS('United Data'!$A$3:$A$2150,L$1,'United Data'!$C$3:$C$2150,$A523,'United Data'!$B$3:$B$2150,"&lt;&gt;P")&gt;0,1,0)</f>
        <v>0</v>
      </c>
      <c r="M523">
        <f>IF(COUNTIFS('United Data'!$A$3:$A$2150,M$1,'United Data'!$C$3:$C$2150,$A523,'United Data'!$B$3:$B$2150,"&lt;&gt;P")&gt;0,1,0)</f>
        <v>0</v>
      </c>
      <c r="N523">
        <f>IF(COUNTIFS('United Data'!$A$3:$A$2150,N$1,'United Data'!$C$3:$C$2150,$A523,'United Data'!$B$3:$B$2150,"&lt;&gt;P")&gt;0,1,0)</f>
        <v>0</v>
      </c>
      <c r="O523">
        <f>IF(COUNTIFS('United Data'!$A$3:$A$2150,O$1,'United Data'!$C$3:$C$2150,$A523,'United Data'!$B$3:$B$2150,"&lt;&gt;P")&gt;0,1,0)</f>
        <v>0</v>
      </c>
      <c r="P523">
        <f>IF(COUNTIFS('United Data'!$A$3:$A$2150,P$1,'United Data'!$C$3:$C$2150,$A523,'United Data'!$B$3:$B$2150,"&lt;&gt;P")&gt;0,1,0)</f>
        <v>0</v>
      </c>
      <c r="Q523">
        <f>IF(COUNTIFS('United Data'!$A$3:$A$2150,Q$1,'United Data'!$C$3:$C$2150,$A523,'United Data'!$B$3:$B$2150,"&lt;&gt;P")&gt;0,1,0)</f>
        <v>0</v>
      </c>
      <c r="R523">
        <f>IF(COUNTIFS('United Data'!$A$3:$A$2150,R$1,'United Data'!$C$3:$C$2150,$A523,'United Data'!$B$3:$B$2150,"&lt;&gt;P")&gt;0,1,0)</f>
        <v>0</v>
      </c>
      <c r="S523">
        <f t="shared" si="16"/>
        <v>1</v>
      </c>
      <c r="T523">
        <f t="shared" si="17"/>
        <v>1</v>
      </c>
    </row>
    <row r="524" spans="1:20" x14ac:dyDescent="0.2">
      <c r="A524" t="s">
        <v>570</v>
      </c>
      <c r="B524">
        <f>IF(COUNTIFS('United Data'!$A$3:$A$2150,B$1,'United Data'!$C$3:$C$2150,$A524,'United Data'!$B$3:$B$2150,"&lt;&gt;P")&gt;0,1,0)</f>
        <v>0</v>
      </c>
      <c r="C524">
        <f>IF(COUNTIFS('United Data'!$A$3:$A$2150,C$1,'United Data'!$C$3:$C$2150,$A524,'United Data'!$B$3:$B$2150,"&lt;&gt;P")&gt;0,1,0)</f>
        <v>0</v>
      </c>
      <c r="D524">
        <f>IF(COUNTIFS('United Data'!$A$3:$A$2150,D$1,'United Data'!$C$3:$C$2150,$A524,'United Data'!$B$3:$B$2150,"&lt;&gt;P")&gt;0,1,0)</f>
        <v>0</v>
      </c>
      <c r="E524">
        <f>IF(COUNTIFS('United Data'!$A$3:$A$2150,E$1,'United Data'!$C$3:$C$2150,$A524,'United Data'!$B$3:$B$2150,"&lt;&gt;P")&gt;0,1,0)</f>
        <v>0</v>
      </c>
      <c r="F524">
        <f>IF(COUNTIFS('United Data'!$A$3:$A$2150,F$1,'United Data'!$C$3:$C$2150,$A524,'United Data'!$B$3:$B$2150,"&lt;&gt;P")&gt;0,1,0)</f>
        <v>0</v>
      </c>
      <c r="G524">
        <f>IF(COUNTIFS('United Data'!$A$3:$A$2150,G$1,'United Data'!$C$3:$C$2150,$A524,'United Data'!$B$3:$B$2150,"&lt;&gt;P")&gt;0,1,0)</f>
        <v>0</v>
      </c>
      <c r="H524">
        <f>IF(COUNTIFS('United Data'!$A$3:$A$2150,H$1,'United Data'!$C$3:$C$2150,$A524,'United Data'!$B$3:$B$2150,"&lt;&gt;P")&gt;0,1,0)</f>
        <v>0</v>
      </c>
      <c r="I524">
        <f>IF(COUNTIFS('United Data'!$A$3:$A$2150,I$1,'United Data'!$C$3:$C$2150,$A524,'United Data'!$B$3:$B$2150,"&lt;&gt;P")&gt;0,1,0)</f>
        <v>0</v>
      </c>
      <c r="J524">
        <f>IF(COUNTIFS('United Data'!$A$3:$A$2150,J$1,'United Data'!$C$3:$C$2150,$A524,'United Data'!$B$3:$B$2150,"&lt;&gt;P")&gt;0,1,0)</f>
        <v>0</v>
      </c>
      <c r="K524">
        <f>IF(COUNTIFS('United Data'!$A$3:$A$2150,K$1,'United Data'!$C$3:$C$2150,$A524,'United Data'!$B$3:$B$2150,"&lt;&gt;P")&gt;0,1,0)</f>
        <v>1</v>
      </c>
      <c r="L524">
        <f>IF(COUNTIFS('United Data'!$A$3:$A$2150,L$1,'United Data'!$C$3:$C$2150,$A524,'United Data'!$B$3:$B$2150,"&lt;&gt;P")&gt;0,1,0)</f>
        <v>0</v>
      </c>
      <c r="M524">
        <f>IF(COUNTIFS('United Data'!$A$3:$A$2150,M$1,'United Data'!$C$3:$C$2150,$A524,'United Data'!$B$3:$B$2150,"&lt;&gt;P")&gt;0,1,0)</f>
        <v>0</v>
      </c>
      <c r="N524">
        <f>IF(COUNTIFS('United Data'!$A$3:$A$2150,N$1,'United Data'!$C$3:$C$2150,$A524,'United Data'!$B$3:$B$2150,"&lt;&gt;P")&gt;0,1,0)</f>
        <v>0</v>
      </c>
      <c r="O524">
        <f>IF(COUNTIFS('United Data'!$A$3:$A$2150,O$1,'United Data'!$C$3:$C$2150,$A524,'United Data'!$B$3:$B$2150,"&lt;&gt;P")&gt;0,1,0)</f>
        <v>0</v>
      </c>
      <c r="P524">
        <f>IF(COUNTIFS('United Data'!$A$3:$A$2150,P$1,'United Data'!$C$3:$C$2150,$A524,'United Data'!$B$3:$B$2150,"&lt;&gt;P")&gt;0,1,0)</f>
        <v>0</v>
      </c>
      <c r="Q524">
        <f>IF(COUNTIFS('United Data'!$A$3:$A$2150,Q$1,'United Data'!$C$3:$C$2150,$A524,'United Data'!$B$3:$B$2150,"&lt;&gt;P")&gt;0,1,0)</f>
        <v>0</v>
      </c>
      <c r="R524">
        <f>IF(COUNTIFS('United Data'!$A$3:$A$2150,R$1,'United Data'!$C$3:$C$2150,$A524,'United Data'!$B$3:$B$2150,"&lt;&gt;P")&gt;0,1,0)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571</v>
      </c>
      <c r="B525">
        <f>IF(COUNTIFS('United Data'!$A$3:$A$2150,B$1,'United Data'!$C$3:$C$2150,$A525,'United Data'!$B$3:$B$2150,"&lt;&gt;P")&gt;0,1,0)</f>
        <v>0</v>
      </c>
      <c r="C525">
        <f>IF(COUNTIFS('United Data'!$A$3:$A$2150,C$1,'United Data'!$C$3:$C$2150,$A525,'United Data'!$B$3:$B$2150,"&lt;&gt;P")&gt;0,1,0)</f>
        <v>0</v>
      </c>
      <c r="D525">
        <f>IF(COUNTIFS('United Data'!$A$3:$A$2150,D$1,'United Data'!$C$3:$C$2150,$A525,'United Data'!$B$3:$B$2150,"&lt;&gt;P")&gt;0,1,0)</f>
        <v>0</v>
      </c>
      <c r="E525">
        <f>IF(COUNTIFS('United Data'!$A$3:$A$2150,E$1,'United Data'!$C$3:$C$2150,$A525,'United Data'!$B$3:$B$2150,"&lt;&gt;P")&gt;0,1,0)</f>
        <v>1</v>
      </c>
      <c r="F525">
        <f>IF(COUNTIFS('United Data'!$A$3:$A$2150,F$1,'United Data'!$C$3:$C$2150,$A525,'United Data'!$B$3:$B$2150,"&lt;&gt;P")&gt;0,1,0)</f>
        <v>1</v>
      </c>
      <c r="G525">
        <f>IF(COUNTIFS('United Data'!$A$3:$A$2150,G$1,'United Data'!$C$3:$C$2150,$A525,'United Data'!$B$3:$B$2150,"&lt;&gt;P")&gt;0,1,0)</f>
        <v>1</v>
      </c>
      <c r="H525">
        <f>IF(COUNTIFS('United Data'!$A$3:$A$2150,H$1,'United Data'!$C$3:$C$2150,$A525,'United Data'!$B$3:$B$2150,"&lt;&gt;P")&gt;0,1,0)</f>
        <v>1</v>
      </c>
      <c r="I525">
        <f>IF(COUNTIFS('United Data'!$A$3:$A$2150,I$1,'United Data'!$C$3:$C$2150,$A525,'United Data'!$B$3:$B$2150,"&lt;&gt;P")&gt;0,1,0)</f>
        <v>1</v>
      </c>
      <c r="J525">
        <f>IF(COUNTIFS('United Data'!$A$3:$A$2150,J$1,'United Data'!$C$3:$C$2150,$A525,'United Data'!$B$3:$B$2150,"&lt;&gt;P")&gt;0,1,0)</f>
        <v>1</v>
      </c>
      <c r="K525">
        <f>IF(COUNTIFS('United Data'!$A$3:$A$2150,K$1,'United Data'!$C$3:$C$2150,$A525,'United Data'!$B$3:$B$2150,"&lt;&gt;P")&gt;0,1,0)</f>
        <v>1</v>
      </c>
      <c r="L525">
        <f>IF(COUNTIFS('United Data'!$A$3:$A$2150,L$1,'United Data'!$C$3:$C$2150,$A525,'United Data'!$B$3:$B$2150,"&lt;&gt;P")&gt;0,1,0)</f>
        <v>1</v>
      </c>
      <c r="M525">
        <f>IF(COUNTIFS('United Data'!$A$3:$A$2150,M$1,'United Data'!$C$3:$C$2150,$A525,'United Data'!$B$3:$B$2150,"&lt;&gt;P")&gt;0,1,0)</f>
        <v>1</v>
      </c>
      <c r="N525">
        <f>IF(COUNTIFS('United Data'!$A$3:$A$2150,N$1,'United Data'!$C$3:$C$2150,$A525,'United Data'!$B$3:$B$2150,"&lt;&gt;P")&gt;0,1,0)</f>
        <v>1</v>
      </c>
      <c r="O525">
        <f>IF(COUNTIFS('United Data'!$A$3:$A$2150,O$1,'United Data'!$C$3:$C$2150,$A525,'United Data'!$B$3:$B$2150,"&lt;&gt;P")&gt;0,1,0)</f>
        <v>0</v>
      </c>
      <c r="P525">
        <f>IF(COUNTIFS('United Data'!$A$3:$A$2150,P$1,'United Data'!$C$3:$C$2150,$A525,'United Data'!$B$3:$B$2150,"&lt;&gt;P")&gt;0,1,0)</f>
        <v>0</v>
      </c>
      <c r="Q525">
        <f>IF(COUNTIFS('United Data'!$A$3:$A$2150,Q$1,'United Data'!$C$3:$C$2150,$A525,'United Data'!$B$3:$B$2150,"&lt;&gt;P")&gt;0,1,0)</f>
        <v>0</v>
      </c>
      <c r="R525">
        <f>IF(COUNTIFS('United Data'!$A$3:$A$2150,R$1,'United Data'!$C$3:$C$2150,$A525,'United Data'!$B$3:$B$2150,"&lt;&gt;P")&gt;0,1,0)</f>
        <v>0</v>
      </c>
      <c r="S525">
        <f t="shared" si="16"/>
        <v>10</v>
      </c>
      <c r="T525">
        <f t="shared" si="17"/>
        <v>1</v>
      </c>
    </row>
    <row r="526" spans="1:20" x14ac:dyDescent="0.2">
      <c r="A526" t="s">
        <v>572</v>
      </c>
      <c r="B526">
        <f>IF(COUNTIFS('United Data'!$A$3:$A$2150,B$1,'United Data'!$C$3:$C$2150,$A526,'United Data'!$B$3:$B$2150,"&lt;&gt;P")&gt;0,1,0)</f>
        <v>0</v>
      </c>
      <c r="C526">
        <f>IF(COUNTIFS('United Data'!$A$3:$A$2150,C$1,'United Data'!$C$3:$C$2150,$A526,'United Data'!$B$3:$B$2150,"&lt;&gt;P")&gt;0,1,0)</f>
        <v>0</v>
      </c>
      <c r="D526">
        <f>IF(COUNTIFS('United Data'!$A$3:$A$2150,D$1,'United Data'!$C$3:$C$2150,$A526,'United Data'!$B$3:$B$2150,"&lt;&gt;P")&gt;0,1,0)</f>
        <v>0</v>
      </c>
      <c r="E526">
        <f>IF(COUNTIFS('United Data'!$A$3:$A$2150,E$1,'United Data'!$C$3:$C$2150,$A526,'United Data'!$B$3:$B$2150,"&lt;&gt;P")&gt;0,1,0)</f>
        <v>0</v>
      </c>
      <c r="F526">
        <f>IF(COUNTIFS('United Data'!$A$3:$A$2150,F$1,'United Data'!$C$3:$C$2150,$A526,'United Data'!$B$3:$B$2150,"&lt;&gt;P")&gt;0,1,0)</f>
        <v>0</v>
      </c>
      <c r="G526">
        <f>IF(COUNTIFS('United Data'!$A$3:$A$2150,G$1,'United Data'!$C$3:$C$2150,$A526,'United Data'!$B$3:$B$2150,"&lt;&gt;P")&gt;0,1,0)</f>
        <v>0</v>
      </c>
      <c r="H526">
        <f>IF(COUNTIFS('United Data'!$A$3:$A$2150,H$1,'United Data'!$C$3:$C$2150,$A526,'United Data'!$B$3:$B$2150,"&lt;&gt;P")&gt;0,1,0)</f>
        <v>0</v>
      </c>
      <c r="I526">
        <f>IF(COUNTIFS('United Data'!$A$3:$A$2150,I$1,'United Data'!$C$3:$C$2150,$A526,'United Data'!$B$3:$B$2150,"&lt;&gt;P")&gt;0,1,0)</f>
        <v>0</v>
      </c>
      <c r="J526">
        <f>IF(COUNTIFS('United Data'!$A$3:$A$2150,J$1,'United Data'!$C$3:$C$2150,$A526,'United Data'!$B$3:$B$2150,"&lt;&gt;P")&gt;0,1,0)</f>
        <v>0</v>
      </c>
      <c r="K526">
        <f>IF(COUNTIFS('United Data'!$A$3:$A$2150,K$1,'United Data'!$C$3:$C$2150,$A526,'United Data'!$B$3:$B$2150,"&lt;&gt;P")&gt;0,1,0)</f>
        <v>1</v>
      </c>
      <c r="L526">
        <f>IF(COUNTIFS('United Data'!$A$3:$A$2150,L$1,'United Data'!$C$3:$C$2150,$A526,'United Data'!$B$3:$B$2150,"&lt;&gt;P")&gt;0,1,0)</f>
        <v>0</v>
      </c>
      <c r="M526">
        <f>IF(COUNTIFS('United Data'!$A$3:$A$2150,M$1,'United Data'!$C$3:$C$2150,$A526,'United Data'!$B$3:$B$2150,"&lt;&gt;P")&gt;0,1,0)</f>
        <v>0</v>
      </c>
      <c r="N526">
        <f>IF(COUNTIFS('United Data'!$A$3:$A$2150,N$1,'United Data'!$C$3:$C$2150,$A526,'United Data'!$B$3:$B$2150,"&lt;&gt;P")&gt;0,1,0)</f>
        <v>0</v>
      </c>
      <c r="O526">
        <f>IF(COUNTIFS('United Data'!$A$3:$A$2150,O$1,'United Data'!$C$3:$C$2150,$A526,'United Data'!$B$3:$B$2150,"&lt;&gt;P")&gt;0,1,0)</f>
        <v>0</v>
      </c>
      <c r="P526">
        <f>IF(COUNTIFS('United Data'!$A$3:$A$2150,P$1,'United Data'!$C$3:$C$2150,$A526,'United Data'!$B$3:$B$2150,"&lt;&gt;P")&gt;0,1,0)</f>
        <v>0</v>
      </c>
      <c r="Q526">
        <f>IF(COUNTIFS('United Data'!$A$3:$A$2150,Q$1,'United Data'!$C$3:$C$2150,$A526,'United Data'!$B$3:$B$2150,"&lt;&gt;P")&gt;0,1,0)</f>
        <v>0</v>
      </c>
      <c r="R526">
        <f>IF(COUNTIFS('United Data'!$A$3:$A$2150,R$1,'United Data'!$C$3:$C$2150,$A526,'United Data'!$B$3:$B$2150,"&lt;&gt;P")&gt;0,1,0)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573</v>
      </c>
      <c r="B527">
        <f>IF(COUNTIFS('United Data'!$A$3:$A$2150,B$1,'United Data'!$C$3:$C$2150,$A527,'United Data'!$B$3:$B$2150,"&lt;&gt;P")&gt;0,1,0)</f>
        <v>0</v>
      </c>
      <c r="C527">
        <f>IF(COUNTIFS('United Data'!$A$3:$A$2150,C$1,'United Data'!$C$3:$C$2150,$A527,'United Data'!$B$3:$B$2150,"&lt;&gt;P")&gt;0,1,0)</f>
        <v>0</v>
      </c>
      <c r="D527">
        <f>IF(COUNTIFS('United Data'!$A$3:$A$2150,D$1,'United Data'!$C$3:$C$2150,$A527,'United Data'!$B$3:$B$2150,"&lt;&gt;P")&gt;0,1,0)</f>
        <v>0</v>
      </c>
      <c r="E527">
        <f>IF(COUNTIFS('United Data'!$A$3:$A$2150,E$1,'United Data'!$C$3:$C$2150,$A527,'United Data'!$B$3:$B$2150,"&lt;&gt;P")&gt;0,1,0)</f>
        <v>0</v>
      </c>
      <c r="F527">
        <f>IF(COUNTIFS('United Data'!$A$3:$A$2150,F$1,'United Data'!$C$3:$C$2150,$A527,'United Data'!$B$3:$B$2150,"&lt;&gt;P")&gt;0,1,0)</f>
        <v>0</v>
      </c>
      <c r="G527">
        <f>IF(COUNTIFS('United Data'!$A$3:$A$2150,G$1,'United Data'!$C$3:$C$2150,$A527,'United Data'!$B$3:$B$2150,"&lt;&gt;P")&gt;0,1,0)</f>
        <v>0</v>
      </c>
      <c r="H527">
        <f>IF(COUNTIFS('United Data'!$A$3:$A$2150,H$1,'United Data'!$C$3:$C$2150,$A527,'United Data'!$B$3:$B$2150,"&lt;&gt;P")&gt;0,1,0)</f>
        <v>0</v>
      </c>
      <c r="I527">
        <f>IF(COUNTIFS('United Data'!$A$3:$A$2150,I$1,'United Data'!$C$3:$C$2150,$A527,'United Data'!$B$3:$B$2150,"&lt;&gt;P")&gt;0,1,0)</f>
        <v>0</v>
      </c>
      <c r="J527">
        <f>IF(COUNTIFS('United Data'!$A$3:$A$2150,J$1,'United Data'!$C$3:$C$2150,$A527,'United Data'!$B$3:$B$2150,"&lt;&gt;P")&gt;0,1,0)</f>
        <v>0</v>
      </c>
      <c r="K527">
        <f>IF(COUNTIFS('United Data'!$A$3:$A$2150,K$1,'United Data'!$C$3:$C$2150,$A527,'United Data'!$B$3:$B$2150,"&lt;&gt;P")&gt;0,1,0)</f>
        <v>1</v>
      </c>
      <c r="L527">
        <f>IF(COUNTIFS('United Data'!$A$3:$A$2150,L$1,'United Data'!$C$3:$C$2150,$A527,'United Data'!$B$3:$B$2150,"&lt;&gt;P")&gt;0,1,0)</f>
        <v>1</v>
      </c>
      <c r="M527">
        <f>IF(COUNTIFS('United Data'!$A$3:$A$2150,M$1,'United Data'!$C$3:$C$2150,$A527,'United Data'!$B$3:$B$2150,"&lt;&gt;P")&gt;0,1,0)</f>
        <v>1</v>
      </c>
      <c r="N527">
        <f>IF(COUNTIFS('United Data'!$A$3:$A$2150,N$1,'United Data'!$C$3:$C$2150,$A527,'United Data'!$B$3:$B$2150,"&lt;&gt;P")&gt;0,1,0)</f>
        <v>1</v>
      </c>
      <c r="O527">
        <f>IF(COUNTIFS('United Data'!$A$3:$A$2150,O$1,'United Data'!$C$3:$C$2150,$A527,'United Data'!$B$3:$B$2150,"&lt;&gt;P")&gt;0,1,0)</f>
        <v>1</v>
      </c>
      <c r="P527">
        <f>IF(COUNTIFS('United Data'!$A$3:$A$2150,P$1,'United Data'!$C$3:$C$2150,$A527,'United Data'!$B$3:$B$2150,"&lt;&gt;P")&gt;0,1,0)</f>
        <v>0</v>
      </c>
      <c r="Q527">
        <f>IF(COUNTIFS('United Data'!$A$3:$A$2150,Q$1,'United Data'!$C$3:$C$2150,$A527,'United Data'!$B$3:$B$2150,"&lt;&gt;P")&gt;0,1,0)</f>
        <v>0</v>
      </c>
      <c r="R527">
        <f>IF(COUNTIFS('United Data'!$A$3:$A$2150,R$1,'United Data'!$C$3:$C$2150,$A527,'United Data'!$B$3:$B$2150,"&lt;&gt;P")&gt;0,1,0)</f>
        <v>0</v>
      </c>
      <c r="S527">
        <f t="shared" si="16"/>
        <v>5</v>
      </c>
      <c r="T527">
        <f t="shared" si="17"/>
        <v>1</v>
      </c>
    </row>
    <row r="528" spans="1:20" x14ac:dyDescent="0.2">
      <c r="A528" t="s">
        <v>574</v>
      </c>
      <c r="B528">
        <f>IF(COUNTIFS('United Data'!$A$3:$A$2150,B$1,'United Data'!$C$3:$C$2150,$A528,'United Data'!$B$3:$B$2150,"&lt;&gt;P")&gt;0,1,0)</f>
        <v>0</v>
      </c>
      <c r="C528">
        <f>IF(COUNTIFS('United Data'!$A$3:$A$2150,C$1,'United Data'!$C$3:$C$2150,$A528,'United Data'!$B$3:$B$2150,"&lt;&gt;P")&gt;0,1,0)</f>
        <v>0</v>
      </c>
      <c r="D528">
        <f>IF(COUNTIFS('United Data'!$A$3:$A$2150,D$1,'United Data'!$C$3:$C$2150,$A528,'United Data'!$B$3:$B$2150,"&lt;&gt;P")&gt;0,1,0)</f>
        <v>0</v>
      </c>
      <c r="E528">
        <f>IF(COUNTIFS('United Data'!$A$3:$A$2150,E$1,'United Data'!$C$3:$C$2150,$A528,'United Data'!$B$3:$B$2150,"&lt;&gt;P")&gt;0,1,0)</f>
        <v>0</v>
      </c>
      <c r="F528">
        <f>IF(COUNTIFS('United Data'!$A$3:$A$2150,F$1,'United Data'!$C$3:$C$2150,$A528,'United Data'!$B$3:$B$2150,"&lt;&gt;P")&gt;0,1,0)</f>
        <v>0</v>
      </c>
      <c r="G528">
        <f>IF(COUNTIFS('United Data'!$A$3:$A$2150,G$1,'United Data'!$C$3:$C$2150,$A528,'United Data'!$B$3:$B$2150,"&lt;&gt;P")&gt;0,1,0)</f>
        <v>0</v>
      </c>
      <c r="H528">
        <f>IF(COUNTIFS('United Data'!$A$3:$A$2150,H$1,'United Data'!$C$3:$C$2150,$A528,'United Data'!$B$3:$B$2150,"&lt;&gt;P")&gt;0,1,0)</f>
        <v>0</v>
      </c>
      <c r="I528">
        <f>IF(COUNTIFS('United Data'!$A$3:$A$2150,I$1,'United Data'!$C$3:$C$2150,$A528,'United Data'!$B$3:$B$2150,"&lt;&gt;P")&gt;0,1,0)</f>
        <v>0</v>
      </c>
      <c r="J528">
        <f>IF(COUNTIFS('United Data'!$A$3:$A$2150,J$1,'United Data'!$C$3:$C$2150,$A528,'United Data'!$B$3:$B$2150,"&lt;&gt;P")&gt;0,1,0)</f>
        <v>0</v>
      </c>
      <c r="K528">
        <f>IF(COUNTIFS('United Data'!$A$3:$A$2150,K$1,'United Data'!$C$3:$C$2150,$A528,'United Data'!$B$3:$B$2150,"&lt;&gt;P")&gt;0,1,0)</f>
        <v>1</v>
      </c>
      <c r="L528">
        <f>IF(COUNTIFS('United Data'!$A$3:$A$2150,L$1,'United Data'!$C$3:$C$2150,$A528,'United Data'!$B$3:$B$2150,"&lt;&gt;P")&gt;0,1,0)</f>
        <v>0</v>
      </c>
      <c r="M528">
        <f>IF(COUNTIFS('United Data'!$A$3:$A$2150,M$1,'United Data'!$C$3:$C$2150,$A528,'United Data'!$B$3:$B$2150,"&lt;&gt;P")&gt;0,1,0)</f>
        <v>0</v>
      </c>
      <c r="N528">
        <f>IF(COUNTIFS('United Data'!$A$3:$A$2150,N$1,'United Data'!$C$3:$C$2150,$A528,'United Data'!$B$3:$B$2150,"&lt;&gt;P")&gt;0,1,0)</f>
        <v>0</v>
      </c>
      <c r="O528">
        <f>IF(COUNTIFS('United Data'!$A$3:$A$2150,O$1,'United Data'!$C$3:$C$2150,$A528,'United Data'!$B$3:$B$2150,"&lt;&gt;P")&gt;0,1,0)</f>
        <v>0</v>
      </c>
      <c r="P528">
        <f>IF(COUNTIFS('United Data'!$A$3:$A$2150,P$1,'United Data'!$C$3:$C$2150,$A528,'United Data'!$B$3:$B$2150,"&lt;&gt;P")&gt;0,1,0)</f>
        <v>0</v>
      </c>
      <c r="Q528">
        <f>IF(COUNTIFS('United Data'!$A$3:$A$2150,Q$1,'United Data'!$C$3:$C$2150,$A528,'United Data'!$B$3:$B$2150,"&lt;&gt;P")&gt;0,1,0)</f>
        <v>0</v>
      </c>
      <c r="R528">
        <f>IF(COUNTIFS('United Data'!$A$3:$A$2150,R$1,'United Data'!$C$3:$C$2150,$A528,'United Data'!$B$3:$B$2150,"&lt;&gt;P")&gt;0,1,0)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575</v>
      </c>
      <c r="B529">
        <f>IF(COUNTIFS('United Data'!$A$3:$A$2150,B$1,'United Data'!$C$3:$C$2150,$A529,'United Data'!$B$3:$B$2150,"&lt;&gt;P")&gt;0,1,0)</f>
        <v>0</v>
      </c>
      <c r="C529">
        <f>IF(COUNTIFS('United Data'!$A$3:$A$2150,C$1,'United Data'!$C$3:$C$2150,$A529,'United Data'!$B$3:$B$2150,"&lt;&gt;P")&gt;0,1,0)</f>
        <v>0</v>
      </c>
      <c r="D529">
        <f>IF(COUNTIFS('United Data'!$A$3:$A$2150,D$1,'United Data'!$C$3:$C$2150,$A529,'United Data'!$B$3:$B$2150,"&lt;&gt;P")&gt;0,1,0)</f>
        <v>0</v>
      </c>
      <c r="E529">
        <f>IF(COUNTIFS('United Data'!$A$3:$A$2150,E$1,'United Data'!$C$3:$C$2150,$A529,'United Data'!$B$3:$B$2150,"&lt;&gt;P")&gt;0,1,0)</f>
        <v>0</v>
      </c>
      <c r="F529">
        <f>IF(COUNTIFS('United Data'!$A$3:$A$2150,F$1,'United Data'!$C$3:$C$2150,$A529,'United Data'!$B$3:$B$2150,"&lt;&gt;P")&gt;0,1,0)</f>
        <v>0</v>
      </c>
      <c r="G529">
        <f>IF(COUNTIFS('United Data'!$A$3:$A$2150,G$1,'United Data'!$C$3:$C$2150,$A529,'United Data'!$B$3:$B$2150,"&lt;&gt;P")&gt;0,1,0)</f>
        <v>0</v>
      </c>
      <c r="H529">
        <f>IF(COUNTIFS('United Data'!$A$3:$A$2150,H$1,'United Data'!$C$3:$C$2150,$A529,'United Data'!$B$3:$B$2150,"&lt;&gt;P")&gt;0,1,0)</f>
        <v>0</v>
      </c>
      <c r="I529">
        <f>IF(COUNTIFS('United Data'!$A$3:$A$2150,I$1,'United Data'!$C$3:$C$2150,$A529,'United Data'!$B$3:$B$2150,"&lt;&gt;P")&gt;0,1,0)</f>
        <v>0</v>
      </c>
      <c r="J529">
        <f>IF(COUNTIFS('United Data'!$A$3:$A$2150,J$1,'United Data'!$C$3:$C$2150,$A529,'United Data'!$B$3:$B$2150,"&lt;&gt;P")&gt;0,1,0)</f>
        <v>0</v>
      </c>
      <c r="K529">
        <f>IF(COUNTIFS('United Data'!$A$3:$A$2150,K$1,'United Data'!$C$3:$C$2150,$A529,'United Data'!$B$3:$B$2150,"&lt;&gt;P")&gt;0,1,0)</f>
        <v>1</v>
      </c>
      <c r="L529">
        <f>IF(COUNTIFS('United Data'!$A$3:$A$2150,L$1,'United Data'!$C$3:$C$2150,$A529,'United Data'!$B$3:$B$2150,"&lt;&gt;P")&gt;0,1,0)</f>
        <v>0</v>
      </c>
      <c r="M529">
        <f>IF(COUNTIFS('United Data'!$A$3:$A$2150,M$1,'United Data'!$C$3:$C$2150,$A529,'United Data'!$B$3:$B$2150,"&lt;&gt;P")&gt;0,1,0)</f>
        <v>0</v>
      </c>
      <c r="N529">
        <f>IF(COUNTIFS('United Data'!$A$3:$A$2150,N$1,'United Data'!$C$3:$C$2150,$A529,'United Data'!$B$3:$B$2150,"&lt;&gt;P")&gt;0,1,0)</f>
        <v>0</v>
      </c>
      <c r="O529">
        <f>IF(COUNTIFS('United Data'!$A$3:$A$2150,O$1,'United Data'!$C$3:$C$2150,$A529,'United Data'!$B$3:$B$2150,"&lt;&gt;P")&gt;0,1,0)</f>
        <v>0</v>
      </c>
      <c r="P529">
        <f>IF(COUNTIFS('United Data'!$A$3:$A$2150,P$1,'United Data'!$C$3:$C$2150,$A529,'United Data'!$B$3:$B$2150,"&lt;&gt;P")&gt;0,1,0)</f>
        <v>0</v>
      </c>
      <c r="Q529">
        <f>IF(COUNTIFS('United Data'!$A$3:$A$2150,Q$1,'United Data'!$C$3:$C$2150,$A529,'United Data'!$B$3:$B$2150,"&lt;&gt;P")&gt;0,1,0)</f>
        <v>0</v>
      </c>
      <c r="R529">
        <f>IF(COUNTIFS('United Data'!$A$3:$A$2150,R$1,'United Data'!$C$3:$C$2150,$A529,'United Data'!$B$3:$B$2150,"&lt;&gt;P")&gt;0,1,0)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576</v>
      </c>
      <c r="B530">
        <f>IF(COUNTIFS('United Data'!$A$3:$A$2150,B$1,'United Data'!$C$3:$C$2150,$A530,'United Data'!$B$3:$B$2150,"&lt;&gt;P")&gt;0,1,0)</f>
        <v>0</v>
      </c>
      <c r="C530">
        <f>IF(COUNTIFS('United Data'!$A$3:$A$2150,C$1,'United Data'!$C$3:$C$2150,$A530,'United Data'!$B$3:$B$2150,"&lt;&gt;P")&gt;0,1,0)</f>
        <v>0</v>
      </c>
      <c r="D530">
        <f>IF(COUNTIFS('United Data'!$A$3:$A$2150,D$1,'United Data'!$C$3:$C$2150,$A530,'United Data'!$B$3:$B$2150,"&lt;&gt;P")&gt;0,1,0)</f>
        <v>0</v>
      </c>
      <c r="E530">
        <f>IF(COUNTIFS('United Data'!$A$3:$A$2150,E$1,'United Data'!$C$3:$C$2150,$A530,'United Data'!$B$3:$B$2150,"&lt;&gt;P")&gt;0,1,0)</f>
        <v>0</v>
      </c>
      <c r="F530">
        <f>IF(COUNTIFS('United Data'!$A$3:$A$2150,F$1,'United Data'!$C$3:$C$2150,$A530,'United Data'!$B$3:$B$2150,"&lt;&gt;P")&gt;0,1,0)</f>
        <v>0</v>
      </c>
      <c r="G530">
        <f>IF(COUNTIFS('United Data'!$A$3:$A$2150,G$1,'United Data'!$C$3:$C$2150,$A530,'United Data'!$B$3:$B$2150,"&lt;&gt;P")&gt;0,1,0)</f>
        <v>0</v>
      </c>
      <c r="H530">
        <f>IF(COUNTIFS('United Data'!$A$3:$A$2150,H$1,'United Data'!$C$3:$C$2150,$A530,'United Data'!$B$3:$B$2150,"&lt;&gt;P")&gt;0,1,0)</f>
        <v>0</v>
      </c>
      <c r="I530">
        <f>IF(COUNTIFS('United Data'!$A$3:$A$2150,I$1,'United Data'!$C$3:$C$2150,$A530,'United Data'!$B$3:$B$2150,"&lt;&gt;P")&gt;0,1,0)</f>
        <v>0</v>
      </c>
      <c r="J530">
        <f>IF(COUNTIFS('United Data'!$A$3:$A$2150,J$1,'United Data'!$C$3:$C$2150,$A530,'United Data'!$B$3:$B$2150,"&lt;&gt;P")&gt;0,1,0)</f>
        <v>0</v>
      </c>
      <c r="K530">
        <f>IF(COUNTIFS('United Data'!$A$3:$A$2150,K$1,'United Data'!$C$3:$C$2150,$A530,'United Data'!$B$3:$B$2150,"&lt;&gt;P")&gt;0,1,0)</f>
        <v>1</v>
      </c>
      <c r="L530">
        <f>IF(COUNTIFS('United Data'!$A$3:$A$2150,L$1,'United Data'!$C$3:$C$2150,$A530,'United Data'!$B$3:$B$2150,"&lt;&gt;P")&gt;0,1,0)</f>
        <v>1</v>
      </c>
      <c r="M530">
        <f>IF(COUNTIFS('United Data'!$A$3:$A$2150,M$1,'United Data'!$C$3:$C$2150,$A530,'United Data'!$B$3:$B$2150,"&lt;&gt;P")&gt;0,1,0)</f>
        <v>1</v>
      </c>
      <c r="N530">
        <f>IF(COUNTIFS('United Data'!$A$3:$A$2150,N$1,'United Data'!$C$3:$C$2150,$A530,'United Data'!$B$3:$B$2150,"&lt;&gt;P")&gt;0,1,0)</f>
        <v>1</v>
      </c>
      <c r="O530">
        <f>IF(COUNTIFS('United Data'!$A$3:$A$2150,O$1,'United Data'!$C$3:$C$2150,$A530,'United Data'!$B$3:$B$2150,"&lt;&gt;P")&gt;0,1,0)</f>
        <v>1</v>
      </c>
      <c r="P530">
        <f>IF(COUNTIFS('United Data'!$A$3:$A$2150,P$1,'United Data'!$C$3:$C$2150,$A530,'United Data'!$B$3:$B$2150,"&lt;&gt;P")&gt;0,1,0)</f>
        <v>1</v>
      </c>
      <c r="Q530">
        <f>IF(COUNTIFS('United Data'!$A$3:$A$2150,Q$1,'United Data'!$C$3:$C$2150,$A530,'United Data'!$B$3:$B$2150,"&lt;&gt;P")&gt;0,1,0)</f>
        <v>0</v>
      </c>
      <c r="R530">
        <f>IF(COUNTIFS('United Data'!$A$3:$A$2150,R$1,'United Data'!$C$3:$C$2150,$A530,'United Data'!$B$3:$B$2150,"&lt;&gt;P")&gt;0,1,0)</f>
        <v>0</v>
      </c>
      <c r="S530">
        <f t="shared" si="16"/>
        <v>6</v>
      </c>
      <c r="T530">
        <f t="shared" si="17"/>
        <v>1</v>
      </c>
    </row>
    <row r="531" spans="1:20" x14ac:dyDescent="0.2">
      <c r="A531" t="s">
        <v>577</v>
      </c>
      <c r="B531">
        <f>IF(COUNTIFS('United Data'!$A$3:$A$2150,B$1,'United Data'!$C$3:$C$2150,$A531,'United Data'!$B$3:$B$2150,"&lt;&gt;P")&gt;0,1,0)</f>
        <v>0</v>
      </c>
      <c r="C531">
        <f>IF(COUNTIFS('United Data'!$A$3:$A$2150,C$1,'United Data'!$C$3:$C$2150,$A531,'United Data'!$B$3:$B$2150,"&lt;&gt;P")&gt;0,1,0)</f>
        <v>0</v>
      </c>
      <c r="D531">
        <f>IF(COUNTIFS('United Data'!$A$3:$A$2150,D$1,'United Data'!$C$3:$C$2150,$A531,'United Data'!$B$3:$B$2150,"&lt;&gt;P")&gt;0,1,0)</f>
        <v>0</v>
      </c>
      <c r="E531">
        <f>IF(COUNTIFS('United Data'!$A$3:$A$2150,E$1,'United Data'!$C$3:$C$2150,$A531,'United Data'!$B$3:$B$2150,"&lt;&gt;P")&gt;0,1,0)</f>
        <v>0</v>
      </c>
      <c r="F531">
        <f>IF(COUNTIFS('United Data'!$A$3:$A$2150,F$1,'United Data'!$C$3:$C$2150,$A531,'United Data'!$B$3:$B$2150,"&lt;&gt;P")&gt;0,1,0)</f>
        <v>0</v>
      </c>
      <c r="G531">
        <f>IF(COUNTIFS('United Data'!$A$3:$A$2150,G$1,'United Data'!$C$3:$C$2150,$A531,'United Data'!$B$3:$B$2150,"&lt;&gt;P")&gt;0,1,0)</f>
        <v>0</v>
      </c>
      <c r="H531">
        <f>IF(COUNTIFS('United Data'!$A$3:$A$2150,H$1,'United Data'!$C$3:$C$2150,$A531,'United Data'!$B$3:$B$2150,"&lt;&gt;P")&gt;0,1,0)</f>
        <v>0</v>
      </c>
      <c r="I531">
        <f>IF(COUNTIFS('United Data'!$A$3:$A$2150,I$1,'United Data'!$C$3:$C$2150,$A531,'United Data'!$B$3:$B$2150,"&lt;&gt;P")&gt;0,1,0)</f>
        <v>0</v>
      </c>
      <c r="J531">
        <f>IF(COUNTIFS('United Data'!$A$3:$A$2150,J$1,'United Data'!$C$3:$C$2150,$A531,'United Data'!$B$3:$B$2150,"&lt;&gt;P")&gt;0,1,0)</f>
        <v>0</v>
      </c>
      <c r="K531">
        <f>IF(COUNTIFS('United Data'!$A$3:$A$2150,K$1,'United Data'!$C$3:$C$2150,$A531,'United Data'!$B$3:$B$2150,"&lt;&gt;P")&gt;0,1,0)</f>
        <v>1</v>
      </c>
      <c r="L531">
        <f>IF(COUNTIFS('United Data'!$A$3:$A$2150,L$1,'United Data'!$C$3:$C$2150,$A531,'United Data'!$B$3:$B$2150,"&lt;&gt;P")&gt;0,1,0)</f>
        <v>0</v>
      </c>
      <c r="M531">
        <f>IF(COUNTIFS('United Data'!$A$3:$A$2150,M$1,'United Data'!$C$3:$C$2150,$A531,'United Data'!$B$3:$B$2150,"&lt;&gt;P")&gt;0,1,0)</f>
        <v>0</v>
      </c>
      <c r="N531">
        <f>IF(COUNTIFS('United Data'!$A$3:$A$2150,N$1,'United Data'!$C$3:$C$2150,$A531,'United Data'!$B$3:$B$2150,"&lt;&gt;P")&gt;0,1,0)</f>
        <v>0</v>
      </c>
      <c r="O531">
        <f>IF(COUNTIFS('United Data'!$A$3:$A$2150,O$1,'United Data'!$C$3:$C$2150,$A531,'United Data'!$B$3:$B$2150,"&lt;&gt;P")&gt;0,1,0)</f>
        <v>0</v>
      </c>
      <c r="P531">
        <f>IF(COUNTIFS('United Data'!$A$3:$A$2150,P$1,'United Data'!$C$3:$C$2150,$A531,'United Data'!$B$3:$B$2150,"&lt;&gt;P")&gt;0,1,0)</f>
        <v>0</v>
      </c>
      <c r="Q531">
        <f>IF(COUNTIFS('United Data'!$A$3:$A$2150,Q$1,'United Data'!$C$3:$C$2150,$A531,'United Data'!$B$3:$B$2150,"&lt;&gt;P")&gt;0,1,0)</f>
        <v>0</v>
      </c>
      <c r="R531">
        <f>IF(COUNTIFS('United Data'!$A$3:$A$2150,R$1,'United Data'!$C$3:$C$2150,$A531,'United Data'!$B$3:$B$2150,"&lt;&gt;P")&gt;0,1,0)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578</v>
      </c>
      <c r="B532">
        <f>IF(COUNTIFS('United Data'!$A$3:$A$2150,B$1,'United Data'!$C$3:$C$2150,$A532,'United Data'!$B$3:$B$2150,"&lt;&gt;P")&gt;0,1,0)</f>
        <v>0</v>
      </c>
      <c r="C532">
        <f>IF(COUNTIFS('United Data'!$A$3:$A$2150,C$1,'United Data'!$C$3:$C$2150,$A532,'United Data'!$B$3:$B$2150,"&lt;&gt;P")&gt;0,1,0)</f>
        <v>0</v>
      </c>
      <c r="D532">
        <f>IF(COUNTIFS('United Data'!$A$3:$A$2150,D$1,'United Data'!$C$3:$C$2150,$A532,'United Data'!$B$3:$B$2150,"&lt;&gt;P")&gt;0,1,0)</f>
        <v>0</v>
      </c>
      <c r="E532">
        <f>IF(COUNTIFS('United Data'!$A$3:$A$2150,E$1,'United Data'!$C$3:$C$2150,$A532,'United Data'!$B$3:$B$2150,"&lt;&gt;P")&gt;0,1,0)</f>
        <v>0</v>
      </c>
      <c r="F532">
        <f>IF(COUNTIFS('United Data'!$A$3:$A$2150,F$1,'United Data'!$C$3:$C$2150,$A532,'United Data'!$B$3:$B$2150,"&lt;&gt;P")&gt;0,1,0)</f>
        <v>0</v>
      </c>
      <c r="G532">
        <f>IF(COUNTIFS('United Data'!$A$3:$A$2150,G$1,'United Data'!$C$3:$C$2150,$A532,'United Data'!$B$3:$B$2150,"&lt;&gt;P")&gt;0,1,0)</f>
        <v>0</v>
      </c>
      <c r="H532">
        <f>IF(COUNTIFS('United Data'!$A$3:$A$2150,H$1,'United Data'!$C$3:$C$2150,$A532,'United Data'!$B$3:$B$2150,"&lt;&gt;P")&gt;0,1,0)</f>
        <v>0</v>
      </c>
      <c r="I532">
        <f>IF(COUNTIFS('United Data'!$A$3:$A$2150,I$1,'United Data'!$C$3:$C$2150,$A532,'United Data'!$B$3:$B$2150,"&lt;&gt;P")&gt;0,1,0)</f>
        <v>0</v>
      </c>
      <c r="J532">
        <f>IF(COUNTIFS('United Data'!$A$3:$A$2150,J$1,'United Data'!$C$3:$C$2150,$A532,'United Data'!$B$3:$B$2150,"&lt;&gt;P")&gt;0,1,0)</f>
        <v>0</v>
      </c>
      <c r="K532">
        <f>IF(COUNTIFS('United Data'!$A$3:$A$2150,K$1,'United Data'!$C$3:$C$2150,$A532,'United Data'!$B$3:$B$2150,"&lt;&gt;P")&gt;0,1,0)</f>
        <v>1</v>
      </c>
      <c r="L532">
        <f>IF(COUNTIFS('United Data'!$A$3:$A$2150,L$1,'United Data'!$C$3:$C$2150,$A532,'United Data'!$B$3:$B$2150,"&lt;&gt;P")&gt;0,1,0)</f>
        <v>0</v>
      </c>
      <c r="M532">
        <f>IF(COUNTIFS('United Data'!$A$3:$A$2150,M$1,'United Data'!$C$3:$C$2150,$A532,'United Data'!$B$3:$B$2150,"&lt;&gt;P")&gt;0,1,0)</f>
        <v>0</v>
      </c>
      <c r="N532">
        <f>IF(COUNTIFS('United Data'!$A$3:$A$2150,N$1,'United Data'!$C$3:$C$2150,$A532,'United Data'!$B$3:$B$2150,"&lt;&gt;P")&gt;0,1,0)</f>
        <v>0</v>
      </c>
      <c r="O532">
        <f>IF(COUNTIFS('United Data'!$A$3:$A$2150,O$1,'United Data'!$C$3:$C$2150,$A532,'United Data'!$B$3:$B$2150,"&lt;&gt;P")&gt;0,1,0)</f>
        <v>0</v>
      </c>
      <c r="P532">
        <f>IF(COUNTIFS('United Data'!$A$3:$A$2150,P$1,'United Data'!$C$3:$C$2150,$A532,'United Data'!$B$3:$B$2150,"&lt;&gt;P")&gt;0,1,0)</f>
        <v>0</v>
      </c>
      <c r="Q532">
        <f>IF(COUNTIFS('United Data'!$A$3:$A$2150,Q$1,'United Data'!$C$3:$C$2150,$A532,'United Data'!$B$3:$B$2150,"&lt;&gt;P")&gt;0,1,0)</f>
        <v>0</v>
      </c>
      <c r="R532">
        <f>IF(COUNTIFS('United Data'!$A$3:$A$2150,R$1,'United Data'!$C$3:$C$2150,$A532,'United Data'!$B$3:$B$2150,"&lt;&gt;P")&gt;0,1,0)</f>
        <v>0</v>
      </c>
      <c r="S532">
        <f t="shared" si="16"/>
        <v>1</v>
      </c>
      <c r="T532">
        <f t="shared" si="17"/>
        <v>1</v>
      </c>
    </row>
    <row r="533" spans="1:20" x14ac:dyDescent="0.2">
      <c r="A533" t="s">
        <v>579</v>
      </c>
      <c r="B533">
        <f>IF(COUNTIFS('United Data'!$A$3:$A$2150,B$1,'United Data'!$C$3:$C$2150,$A533,'United Data'!$B$3:$B$2150,"&lt;&gt;P")&gt;0,1,0)</f>
        <v>0</v>
      </c>
      <c r="C533">
        <f>IF(COUNTIFS('United Data'!$A$3:$A$2150,C$1,'United Data'!$C$3:$C$2150,$A533,'United Data'!$B$3:$B$2150,"&lt;&gt;P")&gt;0,1,0)</f>
        <v>0</v>
      </c>
      <c r="D533">
        <f>IF(COUNTIFS('United Data'!$A$3:$A$2150,D$1,'United Data'!$C$3:$C$2150,$A533,'United Data'!$B$3:$B$2150,"&lt;&gt;P")&gt;0,1,0)</f>
        <v>0</v>
      </c>
      <c r="E533">
        <f>IF(COUNTIFS('United Data'!$A$3:$A$2150,E$1,'United Data'!$C$3:$C$2150,$A533,'United Data'!$B$3:$B$2150,"&lt;&gt;P")&gt;0,1,0)</f>
        <v>0</v>
      </c>
      <c r="F533">
        <f>IF(COUNTIFS('United Data'!$A$3:$A$2150,F$1,'United Data'!$C$3:$C$2150,$A533,'United Data'!$B$3:$B$2150,"&lt;&gt;P")&gt;0,1,0)</f>
        <v>0</v>
      </c>
      <c r="G533">
        <f>IF(COUNTIFS('United Data'!$A$3:$A$2150,G$1,'United Data'!$C$3:$C$2150,$A533,'United Data'!$B$3:$B$2150,"&lt;&gt;P")&gt;0,1,0)</f>
        <v>0</v>
      </c>
      <c r="H533">
        <f>IF(COUNTIFS('United Data'!$A$3:$A$2150,H$1,'United Data'!$C$3:$C$2150,$A533,'United Data'!$B$3:$B$2150,"&lt;&gt;P")&gt;0,1,0)</f>
        <v>0</v>
      </c>
      <c r="I533">
        <f>IF(COUNTIFS('United Data'!$A$3:$A$2150,I$1,'United Data'!$C$3:$C$2150,$A533,'United Data'!$B$3:$B$2150,"&lt;&gt;P")&gt;0,1,0)</f>
        <v>0</v>
      </c>
      <c r="J533">
        <f>IF(COUNTIFS('United Data'!$A$3:$A$2150,J$1,'United Data'!$C$3:$C$2150,$A533,'United Data'!$B$3:$B$2150,"&lt;&gt;P")&gt;0,1,0)</f>
        <v>0</v>
      </c>
      <c r="K533">
        <f>IF(COUNTIFS('United Data'!$A$3:$A$2150,K$1,'United Data'!$C$3:$C$2150,$A533,'United Data'!$B$3:$B$2150,"&lt;&gt;P")&gt;0,1,0)</f>
        <v>1</v>
      </c>
      <c r="L533">
        <f>IF(COUNTIFS('United Data'!$A$3:$A$2150,L$1,'United Data'!$C$3:$C$2150,$A533,'United Data'!$B$3:$B$2150,"&lt;&gt;P")&gt;0,1,0)</f>
        <v>0</v>
      </c>
      <c r="M533">
        <f>IF(COUNTIFS('United Data'!$A$3:$A$2150,M$1,'United Data'!$C$3:$C$2150,$A533,'United Data'!$B$3:$B$2150,"&lt;&gt;P")&gt;0,1,0)</f>
        <v>0</v>
      </c>
      <c r="N533">
        <f>IF(COUNTIFS('United Data'!$A$3:$A$2150,N$1,'United Data'!$C$3:$C$2150,$A533,'United Data'!$B$3:$B$2150,"&lt;&gt;P")&gt;0,1,0)</f>
        <v>0</v>
      </c>
      <c r="O533">
        <f>IF(COUNTIFS('United Data'!$A$3:$A$2150,O$1,'United Data'!$C$3:$C$2150,$A533,'United Data'!$B$3:$B$2150,"&lt;&gt;P")&gt;0,1,0)</f>
        <v>0</v>
      </c>
      <c r="P533">
        <f>IF(COUNTIFS('United Data'!$A$3:$A$2150,P$1,'United Data'!$C$3:$C$2150,$A533,'United Data'!$B$3:$B$2150,"&lt;&gt;P")&gt;0,1,0)</f>
        <v>0</v>
      </c>
      <c r="Q533">
        <f>IF(COUNTIFS('United Data'!$A$3:$A$2150,Q$1,'United Data'!$C$3:$C$2150,$A533,'United Data'!$B$3:$B$2150,"&lt;&gt;P")&gt;0,1,0)</f>
        <v>0</v>
      </c>
      <c r="R533">
        <f>IF(COUNTIFS('United Data'!$A$3:$A$2150,R$1,'United Data'!$C$3:$C$2150,$A533,'United Data'!$B$3:$B$2150,"&lt;&gt;P")&gt;0,1,0)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580</v>
      </c>
      <c r="B534">
        <f>IF(COUNTIFS('United Data'!$A$3:$A$2150,B$1,'United Data'!$C$3:$C$2150,$A534,'United Data'!$B$3:$B$2150,"&lt;&gt;P")&gt;0,1,0)</f>
        <v>0</v>
      </c>
      <c r="C534">
        <f>IF(COUNTIFS('United Data'!$A$3:$A$2150,C$1,'United Data'!$C$3:$C$2150,$A534,'United Data'!$B$3:$B$2150,"&lt;&gt;P")&gt;0,1,0)</f>
        <v>0</v>
      </c>
      <c r="D534">
        <f>IF(COUNTIFS('United Data'!$A$3:$A$2150,D$1,'United Data'!$C$3:$C$2150,$A534,'United Data'!$B$3:$B$2150,"&lt;&gt;P")&gt;0,1,0)</f>
        <v>0</v>
      </c>
      <c r="E534">
        <f>IF(COUNTIFS('United Data'!$A$3:$A$2150,E$1,'United Data'!$C$3:$C$2150,$A534,'United Data'!$B$3:$B$2150,"&lt;&gt;P")&gt;0,1,0)</f>
        <v>0</v>
      </c>
      <c r="F534">
        <f>IF(COUNTIFS('United Data'!$A$3:$A$2150,F$1,'United Data'!$C$3:$C$2150,$A534,'United Data'!$B$3:$B$2150,"&lt;&gt;P")&gt;0,1,0)</f>
        <v>0</v>
      </c>
      <c r="G534">
        <f>IF(COUNTIFS('United Data'!$A$3:$A$2150,G$1,'United Data'!$C$3:$C$2150,$A534,'United Data'!$B$3:$B$2150,"&lt;&gt;P")&gt;0,1,0)</f>
        <v>0</v>
      </c>
      <c r="H534">
        <f>IF(COUNTIFS('United Data'!$A$3:$A$2150,H$1,'United Data'!$C$3:$C$2150,$A534,'United Data'!$B$3:$B$2150,"&lt;&gt;P")&gt;0,1,0)</f>
        <v>0</v>
      </c>
      <c r="I534">
        <f>IF(COUNTIFS('United Data'!$A$3:$A$2150,I$1,'United Data'!$C$3:$C$2150,$A534,'United Data'!$B$3:$B$2150,"&lt;&gt;P")&gt;0,1,0)</f>
        <v>0</v>
      </c>
      <c r="J534">
        <f>IF(COUNTIFS('United Data'!$A$3:$A$2150,J$1,'United Data'!$C$3:$C$2150,$A534,'United Data'!$B$3:$B$2150,"&lt;&gt;P")&gt;0,1,0)</f>
        <v>0</v>
      </c>
      <c r="K534">
        <f>IF(COUNTIFS('United Data'!$A$3:$A$2150,K$1,'United Data'!$C$3:$C$2150,$A534,'United Data'!$B$3:$B$2150,"&lt;&gt;P")&gt;0,1,0)</f>
        <v>1</v>
      </c>
      <c r="L534">
        <f>IF(COUNTIFS('United Data'!$A$3:$A$2150,L$1,'United Data'!$C$3:$C$2150,$A534,'United Data'!$B$3:$B$2150,"&lt;&gt;P")&gt;0,1,0)</f>
        <v>1</v>
      </c>
      <c r="M534">
        <f>IF(COUNTIFS('United Data'!$A$3:$A$2150,M$1,'United Data'!$C$3:$C$2150,$A534,'United Data'!$B$3:$B$2150,"&lt;&gt;P")&gt;0,1,0)</f>
        <v>0</v>
      </c>
      <c r="N534">
        <f>IF(COUNTIFS('United Data'!$A$3:$A$2150,N$1,'United Data'!$C$3:$C$2150,$A534,'United Data'!$B$3:$B$2150,"&lt;&gt;P")&gt;0,1,0)</f>
        <v>0</v>
      </c>
      <c r="O534">
        <f>IF(COUNTIFS('United Data'!$A$3:$A$2150,O$1,'United Data'!$C$3:$C$2150,$A534,'United Data'!$B$3:$B$2150,"&lt;&gt;P")&gt;0,1,0)</f>
        <v>0</v>
      </c>
      <c r="P534">
        <f>IF(COUNTIFS('United Data'!$A$3:$A$2150,P$1,'United Data'!$C$3:$C$2150,$A534,'United Data'!$B$3:$B$2150,"&lt;&gt;P")&gt;0,1,0)</f>
        <v>0</v>
      </c>
      <c r="Q534">
        <f>IF(COUNTIFS('United Data'!$A$3:$A$2150,Q$1,'United Data'!$C$3:$C$2150,$A534,'United Data'!$B$3:$B$2150,"&lt;&gt;P")&gt;0,1,0)</f>
        <v>0</v>
      </c>
      <c r="R534">
        <f>IF(COUNTIFS('United Data'!$A$3:$A$2150,R$1,'United Data'!$C$3:$C$2150,$A534,'United Data'!$B$3:$B$2150,"&lt;&gt;P")&gt;0,1,0)</f>
        <v>0</v>
      </c>
      <c r="S534">
        <f t="shared" si="16"/>
        <v>2</v>
      </c>
      <c r="T534">
        <f t="shared" si="17"/>
        <v>1</v>
      </c>
    </row>
    <row r="535" spans="1:20" x14ac:dyDescent="0.2">
      <c r="A535" t="s">
        <v>581</v>
      </c>
      <c r="B535">
        <f>IF(COUNTIFS('United Data'!$A$3:$A$2150,B$1,'United Data'!$C$3:$C$2150,$A535,'United Data'!$B$3:$B$2150,"&lt;&gt;P")&gt;0,1,0)</f>
        <v>0</v>
      </c>
      <c r="C535">
        <f>IF(COUNTIFS('United Data'!$A$3:$A$2150,C$1,'United Data'!$C$3:$C$2150,$A535,'United Data'!$B$3:$B$2150,"&lt;&gt;P")&gt;0,1,0)</f>
        <v>0</v>
      </c>
      <c r="D535">
        <f>IF(COUNTIFS('United Data'!$A$3:$A$2150,D$1,'United Data'!$C$3:$C$2150,$A535,'United Data'!$B$3:$B$2150,"&lt;&gt;P")&gt;0,1,0)</f>
        <v>0</v>
      </c>
      <c r="E535">
        <f>IF(COUNTIFS('United Data'!$A$3:$A$2150,E$1,'United Data'!$C$3:$C$2150,$A535,'United Data'!$B$3:$B$2150,"&lt;&gt;P")&gt;0,1,0)</f>
        <v>0</v>
      </c>
      <c r="F535">
        <f>IF(COUNTIFS('United Data'!$A$3:$A$2150,F$1,'United Data'!$C$3:$C$2150,$A535,'United Data'!$B$3:$B$2150,"&lt;&gt;P")&gt;0,1,0)</f>
        <v>0</v>
      </c>
      <c r="G535">
        <f>IF(COUNTIFS('United Data'!$A$3:$A$2150,G$1,'United Data'!$C$3:$C$2150,$A535,'United Data'!$B$3:$B$2150,"&lt;&gt;P")&gt;0,1,0)</f>
        <v>0</v>
      </c>
      <c r="H535">
        <f>IF(COUNTIFS('United Data'!$A$3:$A$2150,H$1,'United Data'!$C$3:$C$2150,$A535,'United Data'!$B$3:$B$2150,"&lt;&gt;P")&gt;0,1,0)</f>
        <v>0</v>
      </c>
      <c r="I535">
        <f>IF(COUNTIFS('United Data'!$A$3:$A$2150,I$1,'United Data'!$C$3:$C$2150,$A535,'United Data'!$B$3:$B$2150,"&lt;&gt;P")&gt;0,1,0)</f>
        <v>0</v>
      </c>
      <c r="J535">
        <f>IF(COUNTIFS('United Data'!$A$3:$A$2150,J$1,'United Data'!$C$3:$C$2150,$A535,'United Data'!$B$3:$B$2150,"&lt;&gt;P")&gt;0,1,0)</f>
        <v>0</v>
      </c>
      <c r="K535">
        <f>IF(COUNTIFS('United Data'!$A$3:$A$2150,K$1,'United Data'!$C$3:$C$2150,$A535,'United Data'!$B$3:$B$2150,"&lt;&gt;P")&gt;0,1,0)</f>
        <v>1</v>
      </c>
      <c r="L535">
        <f>IF(COUNTIFS('United Data'!$A$3:$A$2150,L$1,'United Data'!$C$3:$C$2150,$A535,'United Data'!$B$3:$B$2150,"&lt;&gt;P")&gt;0,1,0)</f>
        <v>0</v>
      </c>
      <c r="M535">
        <f>IF(COUNTIFS('United Data'!$A$3:$A$2150,M$1,'United Data'!$C$3:$C$2150,$A535,'United Data'!$B$3:$B$2150,"&lt;&gt;P")&gt;0,1,0)</f>
        <v>0</v>
      </c>
      <c r="N535">
        <f>IF(COUNTIFS('United Data'!$A$3:$A$2150,N$1,'United Data'!$C$3:$C$2150,$A535,'United Data'!$B$3:$B$2150,"&lt;&gt;P")&gt;0,1,0)</f>
        <v>0</v>
      </c>
      <c r="O535">
        <f>IF(COUNTIFS('United Data'!$A$3:$A$2150,O$1,'United Data'!$C$3:$C$2150,$A535,'United Data'!$B$3:$B$2150,"&lt;&gt;P")&gt;0,1,0)</f>
        <v>0</v>
      </c>
      <c r="P535">
        <f>IF(COUNTIFS('United Data'!$A$3:$A$2150,P$1,'United Data'!$C$3:$C$2150,$A535,'United Data'!$B$3:$B$2150,"&lt;&gt;P")&gt;0,1,0)</f>
        <v>0</v>
      </c>
      <c r="Q535">
        <f>IF(COUNTIFS('United Data'!$A$3:$A$2150,Q$1,'United Data'!$C$3:$C$2150,$A535,'United Data'!$B$3:$B$2150,"&lt;&gt;P")&gt;0,1,0)</f>
        <v>0</v>
      </c>
      <c r="R535">
        <f>IF(COUNTIFS('United Data'!$A$3:$A$2150,R$1,'United Data'!$C$3:$C$2150,$A535,'United Data'!$B$3:$B$2150,"&lt;&gt;P")&gt;0,1,0)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582</v>
      </c>
      <c r="B536">
        <f>IF(COUNTIFS('United Data'!$A$3:$A$2150,B$1,'United Data'!$C$3:$C$2150,$A536,'United Data'!$B$3:$B$2150,"&lt;&gt;P")&gt;0,1,0)</f>
        <v>0</v>
      </c>
      <c r="C536">
        <f>IF(COUNTIFS('United Data'!$A$3:$A$2150,C$1,'United Data'!$C$3:$C$2150,$A536,'United Data'!$B$3:$B$2150,"&lt;&gt;P")&gt;0,1,0)</f>
        <v>0</v>
      </c>
      <c r="D536">
        <f>IF(COUNTIFS('United Data'!$A$3:$A$2150,D$1,'United Data'!$C$3:$C$2150,$A536,'United Data'!$B$3:$B$2150,"&lt;&gt;P")&gt;0,1,0)</f>
        <v>0</v>
      </c>
      <c r="E536">
        <f>IF(COUNTIFS('United Data'!$A$3:$A$2150,E$1,'United Data'!$C$3:$C$2150,$A536,'United Data'!$B$3:$B$2150,"&lt;&gt;P")&gt;0,1,0)</f>
        <v>0</v>
      </c>
      <c r="F536">
        <f>IF(COUNTIFS('United Data'!$A$3:$A$2150,F$1,'United Data'!$C$3:$C$2150,$A536,'United Data'!$B$3:$B$2150,"&lt;&gt;P")&gt;0,1,0)</f>
        <v>0</v>
      </c>
      <c r="G536">
        <f>IF(COUNTIFS('United Data'!$A$3:$A$2150,G$1,'United Data'!$C$3:$C$2150,$A536,'United Data'!$B$3:$B$2150,"&lt;&gt;P")&gt;0,1,0)</f>
        <v>0</v>
      </c>
      <c r="H536">
        <f>IF(COUNTIFS('United Data'!$A$3:$A$2150,H$1,'United Data'!$C$3:$C$2150,$A536,'United Data'!$B$3:$B$2150,"&lt;&gt;P")&gt;0,1,0)</f>
        <v>0</v>
      </c>
      <c r="I536">
        <f>IF(COUNTIFS('United Data'!$A$3:$A$2150,I$1,'United Data'!$C$3:$C$2150,$A536,'United Data'!$B$3:$B$2150,"&lt;&gt;P")&gt;0,1,0)</f>
        <v>0</v>
      </c>
      <c r="J536">
        <f>IF(COUNTIFS('United Data'!$A$3:$A$2150,J$1,'United Data'!$C$3:$C$2150,$A536,'United Data'!$B$3:$B$2150,"&lt;&gt;P")&gt;0,1,0)</f>
        <v>0</v>
      </c>
      <c r="K536">
        <f>IF(COUNTIFS('United Data'!$A$3:$A$2150,K$1,'United Data'!$C$3:$C$2150,$A536,'United Data'!$B$3:$B$2150,"&lt;&gt;P")&gt;0,1,0)</f>
        <v>1</v>
      </c>
      <c r="L536">
        <f>IF(COUNTIFS('United Data'!$A$3:$A$2150,L$1,'United Data'!$C$3:$C$2150,$A536,'United Data'!$B$3:$B$2150,"&lt;&gt;P")&gt;0,1,0)</f>
        <v>1</v>
      </c>
      <c r="M536">
        <f>IF(COUNTIFS('United Data'!$A$3:$A$2150,M$1,'United Data'!$C$3:$C$2150,$A536,'United Data'!$B$3:$B$2150,"&lt;&gt;P")&gt;0,1,0)</f>
        <v>1</v>
      </c>
      <c r="N536">
        <f>IF(COUNTIFS('United Data'!$A$3:$A$2150,N$1,'United Data'!$C$3:$C$2150,$A536,'United Data'!$B$3:$B$2150,"&lt;&gt;P")&gt;0,1,0)</f>
        <v>0</v>
      </c>
      <c r="O536">
        <f>IF(COUNTIFS('United Data'!$A$3:$A$2150,O$1,'United Data'!$C$3:$C$2150,$A536,'United Data'!$B$3:$B$2150,"&lt;&gt;P")&gt;0,1,0)</f>
        <v>0</v>
      </c>
      <c r="P536">
        <f>IF(COUNTIFS('United Data'!$A$3:$A$2150,P$1,'United Data'!$C$3:$C$2150,$A536,'United Data'!$B$3:$B$2150,"&lt;&gt;P")&gt;0,1,0)</f>
        <v>0</v>
      </c>
      <c r="Q536">
        <f>IF(COUNTIFS('United Data'!$A$3:$A$2150,Q$1,'United Data'!$C$3:$C$2150,$A536,'United Data'!$B$3:$B$2150,"&lt;&gt;P")&gt;0,1,0)</f>
        <v>0</v>
      </c>
      <c r="R536">
        <f>IF(COUNTIFS('United Data'!$A$3:$A$2150,R$1,'United Data'!$C$3:$C$2150,$A536,'United Data'!$B$3:$B$2150,"&lt;&gt;P")&gt;0,1,0)</f>
        <v>0</v>
      </c>
      <c r="S536">
        <f t="shared" si="16"/>
        <v>3</v>
      </c>
      <c r="T536">
        <f t="shared" si="17"/>
        <v>1</v>
      </c>
    </row>
    <row r="537" spans="1:20" x14ac:dyDescent="0.2">
      <c r="A537" t="s">
        <v>583</v>
      </c>
      <c r="B537">
        <f>IF(COUNTIFS('United Data'!$A$3:$A$2150,B$1,'United Data'!$C$3:$C$2150,$A537,'United Data'!$B$3:$B$2150,"&lt;&gt;P")&gt;0,1,0)</f>
        <v>0</v>
      </c>
      <c r="C537">
        <f>IF(COUNTIFS('United Data'!$A$3:$A$2150,C$1,'United Data'!$C$3:$C$2150,$A537,'United Data'!$B$3:$B$2150,"&lt;&gt;P")&gt;0,1,0)</f>
        <v>0</v>
      </c>
      <c r="D537">
        <f>IF(COUNTIFS('United Data'!$A$3:$A$2150,D$1,'United Data'!$C$3:$C$2150,$A537,'United Data'!$B$3:$B$2150,"&lt;&gt;P")&gt;0,1,0)</f>
        <v>0</v>
      </c>
      <c r="E537">
        <f>IF(COUNTIFS('United Data'!$A$3:$A$2150,E$1,'United Data'!$C$3:$C$2150,$A537,'United Data'!$B$3:$B$2150,"&lt;&gt;P")&gt;0,1,0)</f>
        <v>0</v>
      </c>
      <c r="F537">
        <f>IF(COUNTIFS('United Data'!$A$3:$A$2150,F$1,'United Data'!$C$3:$C$2150,$A537,'United Data'!$B$3:$B$2150,"&lt;&gt;P")&gt;0,1,0)</f>
        <v>0</v>
      </c>
      <c r="G537">
        <f>IF(COUNTIFS('United Data'!$A$3:$A$2150,G$1,'United Data'!$C$3:$C$2150,$A537,'United Data'!$B$3:$B$2150,"&lt;&gt;P")&gt;0,1,0)</f>
        <v>0</v>
      </c>
      <c r="H537">
        <f>IF(COUNTIFS('United Data'!$A$3:$A$2150,H$1,'United Data'!$C$3:$C$2150,$A537,'United Data'!$B$3:$B$2150,"&lt;&gt;P")&gt;0,1,0)</f>
        <v>0</v>
      </c>
      <c r="I537">
        <f>IF(COUNTIFS('United Data'!$A$3:$A$2150,I$1,'United Data'!$C$3:$C$2150,$A537,'United Data'!$B$3:$B$2150,"&lt;&gt;P")&gt;0,1,0)</f>
        <v>0</v>
      </c>
      <c r="J537">
        <f>IF(COUNTIFS('United Data'!$A$3:$A$2150,J$1,'United Data'!$C$3:$C$2150,$A537,'United Data'!$B$3:$B$2150,"&lt;&gt;P")&gt;0,1,0)</f>
        <v>0</v>
      </c>
      <c r="K537">
        <f>IF(COUNTIFS('United Data'!$A$3:$A$2150,K$1,'United Data'!$C$3:$C$2150,$A537,'United Data'!$B$3:$B$2150,"&lt;&gt;P")&gt;0,1,0)</f>
        <v>0</v>
      </c>
      <c r="L537">
        <f>IF(COUNTIFS('United Data'!$A$3:$A$2150,L$1,'United Data'!$C$3:$C$2150,$A537,'United Data'!$B$3:$B$2150,"&lt;&gt;P")&gt;0,1,0)</f>
        <v>1</v>
      </c>
      <c r="M537">
        <f>IF(COUNTIFS('United Data'!$A$3:$A$2150,M$1,'United Data'!$C$3:$C$2150,$A537,'United Data'!$B$3:$B$2150,"&lt;&gt;P")&gt;0,1,0)</f>
        <v>0</v>
      </c>
      <c r="N537">
        <f>IF(COUNTIFS('United Data'!$A$3:$A$2150,N$1,'United Data'!$C$3:$C$2150,$A537,'United Data'!$B$3:$B$2150,"&lt;&gt;P")&gt;0,1,0)</f>
        <v>0</v>
      </c>
      <c r="O537">
        <f>IF(COUNTIFS('United Data'!$A$3:$A$2150,O$1,'United Data'!$C$3:$C$2150,$A537,'United Data'!$B$3:$B$2150,"&lt;&gt;P")&gt;0,1,0)</f>
        <v>0</v>
      </c>
      <c r="P537">
        <f>IF(COUNTIFS('United Data'!$A$3:$A$2150,P$1,'United Data'!$C$3:$C$2150,$A537,'United Data'!$B$3:$B$2150,"&lt;&gt;P")&gt;0,1,0)</f>
        <v>0</v>
      </c>
      <c r="Q537">
        <f>IF(COUNTIFS('United Data'!$A$3:$A$2150,Q$1,'United Data'!$C$3:$C$2150,$A537,'United Data'!$B$3:$B$2150,"&lt;&gt;P")&gt;0,1,0)</f>
        <v>0</v>
      </c>
      <c r="R537">
        <f>IF(COUNTIFS('United Data'!$A$3:$A$2150,R$1,'United Data'!$C$3:$C$2150,$A537,'United Data'!$B$3:$B$2150,"&lt;&gt;P")&gt;0,1,0)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584</v>
      </c>
      <c r="B538">
        <f>IF(COUNTIFS('United Data'!$A$3:$A$2150,B$1,'United Data'!$C$3:$C$2150,$A538,'United Data'!$B$3:$B$2150,"&lt;&gt;P")&gt;0,1,0)</f>
        <v>0</v>
      </c>
      <c r="C538">
        <f>IF(COUNTIFS('United Data'!$A$3:$A$2150,C$1,'United Data'!$C$3:$C$2150,$A538,'United Data'!$B$3:$B$2150,"&lt;&gt;P")&gt;0,1,0)</f>
        <v>0</v>
      </c>
      <c r="D538">
        <f>IF(COUNTIFS('United Data'!$A$3:$A$2150,D$1,'United Data'!$C$3:$C$2150,$A538,'United Data'!$B$3:$B$2150,"&lt;&gt;P")&gt;0,1,0)</f>
        <v>0</v>
      </c>
      <c r="E538">
        <f>IF(COUNTIFS('United Data'!$A$3:$A$2150,E$1,'United Data'!$C$3:$C$2150,$A538,'United Data'!$B$3:$B$2150,"&lt;&gt;P")&gt;0,1,0)</f>
        <v>0</v>
      </c>
      <c r="F538">
        <f>IF(COUNTIFS('United Data'!$A$3:$A$2150,F$1,'United Data'!$C$3:$C$2150,$A538,'United Data'!$B$3:$B$2150,"&lt;&gt;P")&gt;0,1,0)</f>
        <v>0</v>
      </c>
      <c r="G538">
        <f>IF(COUNTIFS('United Data'!$A$3:$A$2150,G$1,'United Data'!$C$3:$C$2150,$A538,'United Data'!$B$3:$B$2150,"&lt;&gt;P")&gt;0,1,0)</f>
        <v>0</v>
      </c>
      <c r="H538">
        <f>IF(COUNTIFS('United Data'!$A$3:$A$2150,H$1,'United Data'!$C$3:$C$2150,$A538,'United Data'!$B$3:$B$2150,"&lt;&gt;P")&gt;0,1,0)</f>
        <v>0</v>
      </c>
      <c r="I538">
        <f>IF(COUNTIFS('United Data'!$A$3:$A$2150,I$1,'United Data'!$C$3:$C$2150,$A538,'United Data'!$B$3:$B$2150,"&lt;&gt;P")&gt;0,1,0)</f>
        <v>0</v>
      </c>
      <c r="J538">
        <f>IF(COUNTIFS('United Data'!$A$3:$A$2150,J$1,'United Data'!$C$3:$C$2150,$A538,'United Data'!$B$3:$B$2150,"&lt;&gt;P")&gt;0,1,0)</f>
        <v>0</v>
      </c>
      <c r="K538">
        <f>IF(COUNTIFS('United Data'!$A$3:$A$2150,K$1,'United Data'!$C$3:$C$2150,$A538,'United Data'!$B$3:$B$2150,"&lt;&gt;P")&gt;0,1,0)</f>
        <v>0</v>
      </c>
      <c r="L538">
        <f>IF(COUNTIFS('United Data'!$A$3:$A$2150,L$1,'United Data'!$C$3:$C$2150,$A538,'United Data'!$B$3:$B$2150,"&lt;&gt;P")&gt;0,1,0)</f>
        <v>1</v>
      </c>
      <c r="M538">
        <f>IF(COUNTIFS('United Data'!$A$3:$A$2150,M$1,'United Data'!$C$3:$C$2150,$A538,'United Data'!$B$3:$B$2150,"&lt;&gt;P")&gt;0,1,0)</f>
        <v>0</v>
      </c>
      <c r="N538">
        <f>IF(COUNTIFS('United Data'!$A$3:$A$2150,N$1,'United Data'!$C$3:$C$2150,$A538,'United Data'!$B$3:$B$2150,"&lt;&gt;P")&gt;0,1,0)</f>
        <v>0</v>
      </c>
      <c r="O538">
        <f>IF(COUNTIFS('United Data'!$A$3:$A$2150,O$1,'United Data'!$C$3:$C$2150,$A538,'United Data'!$B$3:$B$2150,"&lt;&gt;P")&gt;0,1,0)</f>
        <v>0</v>
      </c>
      <c r="P538">
        <f>IF(COUNTIFS('United Data'!$A$3:$A$2150,P$1,'United Data'!$C$3:$C$2150,$A538,'United Data'!$B$3:$B$2150,"&lt;&gt;P")&gt;0,1,0)</f>
        <v>0</v>
      </c>
      <c r="Q538">
        <f>IF(COUNTIFS('United Data'!$A$3:$A$2150,Q$1,'United Data'!$C$3:$C$2150,$A538,'United Data'!$B$3:$B$2150,"&lt;&gt;P")&gt;0,1,0)</f>
        <v>0</v>
      </c>
      <c r="R538">
        <f>IF(COUNTIFS('United Data'!$A$3:$A$2150,R$1,'United Data'!$C$3:$C$2150,$A538,'United Data'!$B$3:$B$2150,"&lt;&gt;P")&gt;0,1,0)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585</v>
      </c>
      <c r="B539">
        <f>IF(COUNTIFS('United Data'!$A$3:$A$2150,B$1,'United Data'!$C$3:$C$2150,$A539,'United Data'!$B$3:$B$2150,"&lt;&gt;P")&gt;0,1,0)</f>
        <v>0</v>
      </c>
      <c r="C539">
        <f>IF(COUNTIFS('United Data'!$A$3:$A$2150,C$1,'United Data'!$C$3:$C$2150,$A539,'United Data'!$B$3:$B$2150,"&lt;&gt;P")&gt;0,1,0)</f>
        <v>0</v>
      </c>
      <c r="D539">
        <f>IF(COUNTIFS('United Data'!$A$3:$A$2150,D$1,'United Data'!$C$3:$C$2150,$A539,'United Data'!$B$3:$B$2150,"&lt;&gt;P")&gt;0,1,0)</f>
        <v>0</v>
      </c>
      <c r="E539">
        <f>IF(COUNTIFS('United Data'!$A$3:$A$2150,E$1,'United Data'!$C$3:$C$2150,$A539,'United Data'!$B$3:$B$2150,"&lt;&gt;P")&gt;0,1,0)</f>
        <v>0</v>
      </c>
      <c r="F539">
        <f>IF(COUNTIFS('United Data'!$A$3:$A$2150,F$1,'United Data'!$C$3:$C$2150,$A539,'United Data'!$B$3:$B$2150,"&lt;&gt;P")&gt;0,1,0)</f>
        <v>0</v>
      </c>
      <c r="G539">
        <f>IF(COUNTIFS('United Data'!$A$3:$A$2150,G$1,'United Data'!$C$3:$C$2150,$A539,'United Data'!$B$3:$B$2150,"&lt;&gt;P")&gt;0,1,0)</f>
        <v>0</v>
      </c>
      <c r="H539">
        <f>IF(COUNTIFS('United Data'!$A$3:$A$2150,H$1,'United Data'!$C$3:$C$2150,$A539,'United Data'!$B$3:$B$2150,"&lt;&gt;P")&gt;0,1,0)</f>
        <v>0</v>
      </c>
      <c r="I539">
        <f>IF(COUNTIFS('United Data'!$A$3:$A$2150,I$1,'United Data'!$C$3:$C$2150,$A539,'United Data'!$B$3:$B$2150,"&lt;&gt;P")&gt;0,1,0)</f>
        <v>0</v>
      </c>
      <c r="J539">
        <f>IF(COUNTIFS('United Data'!$A$3:$A$2150,J$1,'United Data'!$C$3:$C$2150,$A539,'United Data'!$B$3:$B$2150,"&lt;&gt;P")&gt;0,1,0)</f>
        <v>0</v>
      </c>
      <c r="K539">
        <f>IF(COUNTIFS('United Data'!$A$3:$A$2150,K$1,'United Data'!$C$3:$C$2150,$A539,'United Data'!$B$3:$B$2150,"&lt;&gt;P")&gt;0,1,0)</f>
        <v>0</v>
      </c>
      <c r="L539">
        <f>IF(COUNTIFS('United Data'!$A$3:$A$2150,L$1,'United Data'!$C$3:$C$2150,$A539,'United Data'!$B$3:$B$2150,"&lt;&gt;P")&gt;0,1,0)</f>
        <v>1</v>
      </c>
      <c r="M539">
        <f>IF(COUNTIFS('United Data'!$A$3:$A$2150,M$1,'United Data'!$C$3:$C$2150,$A539,'United Data'!$B$3:$B$2150,"&lt;&gt;P")&gt;0,1,0)</f>
        <v>0</v>
      </c>
      <c r="N539">
        <f>IF(COUNTIFS('United Data'!$A$3:$A$2150,N$1,'United Data'!$C$3:$C$2150,$A539,'United Data'!$B$3:$B$2150,"&lt;&gt;P")&gt;0,1,0)</f>
        <v>0</v>
      </c>
      <c r="O539">
        <f>IF(COUNTIFS('United Data'!$A$3:$A$2150,O$1,'United Data'!$C$3:$C$2150,$A539,'United Data'!$B$3:$B$2150,"&lt;&gt;P")&gt;0,1,0)</f>
        <v>0</v>
      </c>
      <c r="P539">
        <f>IF(COUNTIFS('United Data'!$A$3:$A$2150,P$1,'United Data'!$C$3:$C$2150,$A539,'United Data'!$B$3:$B$2150,"&lt;&gt;P")&gt;0,1,0)</f>
        <v>0</v>
      </c>
      <c r="Q539">
        <f>IF(COUNTIFS('United Data'!$A$3:$A$2150,Q$1,'United Data'!$C$3:$C$2150,$A539,'United Data'!$B$3:$B$2150,"&lt;&gt;P")&gt;0,1,0)</f>
        <v>0</v>
      </c>
      <c r="R539">
        <f>IF(COUNTIFS('United Data'!$A$3:$A$2150,R$1,'United Data'!$C$3:$C$2150,$A539,'United Data'!$B$3:$B$2150,"&lt;&gt;P")&gt;0,1,0)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586</v>
      </c>
      <c r="B540">
        <f>IF(COUNTIFS('United Data'!$A$3:$A$2150,B$1,'United Data'!$C$3:$C$2150,$A540,'United Data'!$B$3:$B$2150,"&lt;&gt;P")&gt;0,1,0)</f>
        <v>0</v>
      </c>
      <c r="C540">
        <f>IF(COUNTIFS('United Data'!$A$3:$A$2150,C$1,'United Data'!$C$3:$C$2150,$A540,'United Data'!$B$3:$B$2150,"&lt;&gt;P")&gt;0,1,0)</f>
        <v>0</v>
      </c>
      <c r="D540">
        <f>IF(COUNTIFS('United Data'!$A$3:$A$2150,D$1,'United Data'!$C$3:$C$2150,$A540,'United Data'!$B$3:$B$2150,"&lt;&gt;P")&gt;0,1,0)</f>
        <v>0</v>
      </c>
      <c r="E540">
        <f>IF(COUNTIFS('United Data'!$A$3:$A$2150,E$1,'United Data'!$C$3:$C$2150,$A540,'United Data'!$B$3:$B$2150,"&lt;&gt;P")&gt;0,1,0)</f>
        <v>0</v>
      </c>
      <c r="F540">
        <f>IF(COUNTIFS('United Data'!$A$3:$A$2150,F$1,'United Data'!$C$3:$C$2150,$A540,'United Data'!$B$3:$B$2150,"&lt;&gt;P")&gt;0,1,0)</f>
        <v>0</v>
      </c>
      <c r="G540">
        <f>IF(COUNTIFS('United Data'!$A$3:$A$2150,G$1,'United Data'!$C$3:$C$2150,$A540,'United Data'!$B$3:$B$2150,"&lt;&gt;P")&gt;0,1,0)</f>
        <v>0</v>
      </c>
      <c r="H540">
        <f>IF(COUNTIFS('United Data'!$A$3:$A$2150,H$1,'United Data'!$C$3:$C$2150,$A540,'United Data'!$B$3:$B$2150,"&lt;&gt;P")&gt;0,1,0)</f>
        <v>0</v>
      </c>
      <c r="I540">
        <f>IF(COUNTIFS('United Data'!$A$3:$A$2150,I$1,'United Data'!$C$3:$C$2150,$A540,'United Data'!$B$3:$B$2150,"&lt;&gt;P")&gt;0,1,0)</f>
        <v>0</v>
      </c>
      <c r="J540">
        <f>IF(COUNTIFS('United Data'!$A$3:$A$2150,J$1,'United Data'!$C$3:$C$2150,$A540,'United Data'!$B$3:$B$2150,"&lt;&gt;P")&gt;0,1,0)</f>
        <v>0</v>
      </c>
      <c r="K540">
        <f>IF(COUNTIFS('United Data'!$A$3:$A$2150,K$1,'United Data'!$C$3:$C$2150,$A540,'United Data'!$B$3:$B$2150,"&lt;&gt;P")&gt;0,1,0)</f>
        <v>0</v>
      </c>
      <c r="L540">
        <f>IF(COUNTIFS('United Data'!$A$3:$A$2150,L$1,'United Data'!$C$3:$C$2150,$A540,'United Data'!$B$3:$B$2150,"&lt;&gt;P")&gt;0,1,0)</f>
        <v>1</v>
      </c>
      <c r="M540">
        <f>IF(COUNTIFS('United Data'!$A$3:$A$2150,M$1,'United Data'!$C$3:$C$2150,$A540,'United Data'!$B$3:$B$2150,"&lt;&gt;P")&gt;0,1,0)</f>
        <v>0</v>
      </c>
      <c r="N540">
        <f>IF(COUNTIFS('United Data'!$A$3:$A$2150,N$1,'United Data'!$C$3:$C$2150,$A540,'United Data'!$B$3:$B$2150,"&lt;&gt;P")&gt;0,1,0)</f>
        <v>0</v>
      </c>
      <c r="O540">
        <f>IF(COUNTIFS('United Data'!$A$3:$A$2150,O$1,'United Data'!$C$3:$C$2150,$A540,'United Data'!$B$3:$B$2150,"&lt;&gt;P")&gt;0,1,0)</f>
        <v>0</v>
      </c>
      <c r="P540">
        <f>IF(COUNTIFS('United Data'!$A$3:$A$2150,P$1,'United Data'!$C$3:$C$2150,$A540,'United Data'!$B$3:$B$2150,"&lt;&gt;P")&gt;0,1,0)</f>
        <v>0</v>
      </c>
      <c r="Q540">
        <f>IF(COUNTIFS('United Data'!$A$3:$A$2150,Q$1,'United Data'!$C$3:$C$2150,$A540,'United Data'!$B$3:$B$2150,"&lt;&gt;P")&gt;0,1,0)</f>
        <v>0</v>
      </c>
      <c r="R540">
        <f>IF(COUNTIFS('United Data'!$A$3:$A$2150,R$1,'United Data'!$C$3:$C$2150,$A540,'United Data'!$B$3:$B$2150,"&lt;&gt;P")&gt;0,1,0)</f>
        <v>0</v>
      </c>
      <c r="S540">
        <f t="shared" si="16"/>
        <v>1</v>
      </c>
      <c r="T540">
        <f t="shared" si="17"/>
        <v>1</v>
      </c>
    </row>
    <row r="541" spans="1:20" x14ac:dyDescent="0.2">
      <c r="A541" t="s">
        <v>587</v>
      </c>
      <c r="B541">
        <f>IF(COUNTIFS('United Data'!$A$3:$A$2150,B$1,'United Data'!$C$3:$C$2150,$A541,'United Data'!$B$3:$B$2150,"&lt;&gt;P")&gt;0,1,0)</f>
        <v>0</v>
      </c>
      <c r="C541">
        <f>IF(COUNTIFS('United Data'!$A$3:$A$2150,C$1,'United Data'!$C$3:$C$2150,$A541,'United Data'!$B$3:$B$2150,"&lt;&gt;P")&gt;0,1,0)</f>
        <v>0</v>
      </c>
      <c r="D541">
        <f>IF(COUNTIFS('United Data'!$A$3:$A$2150,D$1,'United Data'!$C$3:$C$2150,$A541,'United Data'!$B$3:$B$2150,"&lt;&gt;P")&gt;0,1,0)</f>
        <v>0</v>
      </c>
      <c r="E541">
        <f>IF(COUNTIFS('United Data'!$A$3:$A$2150,E$1,'United Data'!$C$3:$C$2150,$A541,'United Data'!$B$3:$B$2150,"&lt;&gt;P")&gt;0,1,0)</f>
        <v>0</v>
      </c>
      <c r="F541">
        <f>IF(COUNTIFS('United Data'!$A$3:$A$2150,F$1,'United Data'!$C$3:$C$2150,$A541,'United Data'!$B$3:$B$2150,"&lt;&gt;P")&gt;0,1,0)</f>
        <v>0</v>
      </c>
      <c r="G541">
        <f>IF(COUNTIFS('United Data'!$A$3:$A$2150,G$1,'United Data'!$C$3:$C$2150,$A541,'United Data'!$B$3:$B$2150,"&lt;&gt;P")&gt;0,1,0)</f>
        <v>0</v>
      </c>
      <c r="H541">
        <f>IF(COUNTIFS('United Data'!$A$3:$A$2150,H$1,'United Data'!$C$3:$C$2150,$A541,'United Data'!$B$3:$B$2150,"&lt;&gt;P")&gt;0,1,0)</f>
        <v>0</v>
      </c>
      <c r="I541">
        <f>IF(COUNTIFS('United Data'!$A$3:$A$2150,I$1,'United Data'!$C$3:$C$2150,$A541,'United Data'!$B$3:$B$2150,"&lt;&gt;P")&gt;0,1,0)</f>
        <v>0</v>
      </c>
      <c r="J541">
        <f>IF(COUNTIFS('United Data'!$A$3:$A$2150,J$1,'United Data'!$C$3:$C$2150,$A541,'United Data'!$B$3:$B$2150,"&lt;&gt;P")&gt;0,1,0)</f>
        <v>0</v>
      </c>
      <c r="K541">
        <f>IF(COUNTIFS('United Data'!$A$3:$A$2150,K$1,'United Data'!$C$3:$C$2150,$A541,'United Data'!$B$3:$B$2150,"&lt;&gt;P")&gt;0,1,0)</f>
        <v>0</v>
      </c>
      <c r="L541">
        <f>IF(COUNTIFS('United Data'!$A$3:$A$2150,L$1,'United Data'!$C$3:$C$2150,$A541,'United Data'!$B$3:$B$2150,"&lt;&gt;P")&gt;0,1,0)</f>
        <v>1</v>
      </c>
      <c r="M541">
        <f>IF(COUNTIFS('United Data'!$A$3:$A$2150,M$1,'United Data'!$C$3:$C$2150,$A541,'United Data'!$B$3:$B$2150,"&lt;&gt;P")&gt;0,1,0)</f>
        <v>1</v>
      </c>
      <c r="N541">
        <f>IF(COUNTIFS('United Data'!$A$3:$A$2150,N$1,'United Data'!$C$3:$C$2150,$A541,'United Data'!$B$3:$B$2150,"&lt;&gt;P")&gt;0,1,0)</f>
        <v>0</v>
      </c>
      <c r="O541">
        <f>IF(COUNTIFS('United Data'!$A$3:$A$2150,O$1,'United Data'!$C$3:$C$2150,$A541,'United Data'!$B$3:$B$2150,"&lt;&gt;P")&gt;0,1,0)</f>
        <v>0</v>
      </c>
      <c r="P541">
        <f>IF(COUNTIFS('United Data'!$A$3:$A$2150,P$1,'United Data'!$C$3:$C$2150,$A541,'United Data'!$B$3:$B$2150,"&lt;&gt;P")&gt;0,1,0)</f>
        <v>0</v>
      </c>
      <c r="Q541">
        <f>IF(COUNTIFS('United Data'!$A$3:$A$2150,Q$1,'United Data'!$C$3:$C$2150,$A541,'United Data'!$B$3:$B$2150,"&lt;&gt;P")&gt;0,1,0)</f>
        <v>0</v>
      </c>
      <c r="R541">
        <f>IF(COUNTIFS('United Data'!$A$3:$A$2150,R$1,'United Data'!$C$3:$C$2150,$A541,'United Data'!$B$3:$B$2150,"&lt;&gt;P")&gt;0,1,0)</f>
        <v>0</v>
      </c>
      <c r="S541">
        <f t="shared" si="16"/>
        <v>2</v>
      </c>
      <c r="T541">
        <f t="shared" si="17"/>
        <v>1</v>
      </c>
    </row>
    <row r="542" spans="1:20" x14ac:dyDescent="0.2">
      <c r="A542" t="s">
        <v>588</v>
      </c>
      <c r="B542">
        <f>IF(COUNTIFS('United Data'!$A$3:$A$2150,B$1,'United Data'!$C$3:$C$2150,$A542,'United Data'!$B$3:$B$2150,"&lt;&gt;P")&gt;0,1,0)</f>
        <v>0</v>
      </c>
      <c r="C542">
        <f>IF(COUNTIFS('United Data'!$A$3:$A$2150,C$1,'United Data'!$C$3:$C$2150,$A542,'United Data'!$B$3:$B$2150,"&lt;&gt;P")&gt;0,1,0)</f>
        <v>0</v>
      </c>
      <c r="D542">
        <f>IF(COUNTIFS('United Data'!$A$3:$A$2150,D$1,'United Data'!$C$3:$C$2150,$A542,'United Data'!$B$3:$B$2150,"&lt;&gt;P")&gt;0,1,0)</f>
        <v>0</v>
      </c>
      <c r="E542">
        <f>IF(COUNTIFS('United Data'!$A$3:$A$2150,E$1,'United Data'!$C$3:$C$2150,$A542,'United Data'!$B$3:$B$2150,"&lt;&gt;P")&gt;0,1,0)</f>
        <v>0</v>
      </c>
      <c r="F542">
        <f>IF(COUNTIFS('United Data'!$A$3:$A$2150,F$1,'United Data'!$C$3:$C$2150,$A542,'United Data'!$B$3:$B$2150,"&lt;&gt;P")&gt;0,1,0)</f>
        <v>0</v>
      </c>
      <c r="G542">
        <f>IF(COUNTIFS('United Data'!$A$3:$A$2150,G$1,'United Data'!$C$3:$C$2150,$A542,'United Data'!$B$3:$B$2150,"&lt;&gt;P")&gt;0,1,0)</f>
        <v>0</v>
      </c>
      <c r="H542">
        <f>IF(COUNTIFS('United Data'!$A$3:$A$2150,H$1,'United Data'!$C$3:$C$2150,$A542,'United Data'!$B$3:$B$2150,"&lt;&gt;P")&gt;0,1,0)</f>
        <v>0</v>
      </c>
      <c r="I542">
        <f>IF(COUNTIFS('United Data'!$A$3:$A$2150,I$1,'United Data'!$C$3:$C$2150,$A542,'United Data'!$B$3:$B$2150,"&lt;&gt;P")&gt;0,1,0)</f>
        <v>0</v>
      </c>
      <c r="J542">
        <f>IF(COUNTIFS('United Data'!$A$3:$A$2150,J$1,'United Data'!$C$3:$C$2150,$A542,'United Data'!$B$3:$B$2150,"&lt;&gt;P")&gt;0,1,0)</f>
        <v>0</v>
      </c>
      <c r="K542">
        <f>IF(COUNTIFS('United Data'!$A$3:$A$2150,K$1,'United Data'!$C$3:$C$2150,$A542,'United Data'!$B$3:$B$2150,"&lt;&gt;P")&gt;0,1,0)</f>
        <v>0</v>
      </c>
      <c r="L542">
        <f>IF(COUNTIFS('United Data'!$A$3:$A$2150,L$1,'United Data'!$C$3:$C$2150,$A542,'United Data'!$B$3:$B$2150,"&lt;&gt;P")&gt;0,1,0)</f>
        <v>1</v>
      </c>
      <c r="M542">
        <f>IF(COUNTIFS('United Data'!$A$3:$A$2150,M$1,'United Data'!$C$3:$C$2150,$A542,'United Data'!$B$3:$B$2150,"&lt;&gt;P")&gt;0,1,0)</f>
        <v>1</v>
      </c>
      <c r="N542">
        <f>IF(COUNTIFS('United Data'!$A$3:$A$2150,N$1,'United Data'!$C$3:$C$2150,$A542,'United Data'!$B$3:$B$2150,"&lt;&gt;P")&gt;0,1,0)</f>
        <v>1</v>
      </c>
      <c r="O542">
        <f>IF(COUNTIFS('United Data'!$A$3:$A$2150,O$1,'United Data'!$C$3:$C$2150,$A542,'United Data'!$B$3:$B$2150,"&lt;&gt;P")&gt;0,1,0)</f>
        <v>0</v>
      </c>
      <c r="P542">
        <f>IF(COUNTIFS('United Data'!$A$3:$A$2150,P$1,'United Data'!$C$3:$C$2150,$A542,'United Data'!$B$3:$B$2150,"&lt;&gt;P")&gt;0,1,0)</f>
        <v>0</v>
      </c>
      <c r="Q542">
        <f>IF(COUNTIFS('United Data'!$A$3:$A$2150,Q$1,'United Data'!$C$3:$C$2150,$A542,'United Data'!$B$3:$B$2150,"&lt;&gt;P")&gt;0,1,0)</f>
        <v>0</v>
      </c>
      <c r="R542">
        <f>IF(COUNTIFS('United Data'!$A$3:$A$2150,R$1,'United Data'!$C$3:$C$2150,$A542,'United Data'!$B$3:$B$2150,"&lt;&gt;P")&gt;0,1,0)</f>
        <v>0</v>
      </c>
      <c r="S542">
        <f t="shared" si="16"/>
        <v>3</v>
      </c>
      <c r="T542">
        <f t="shared" si="17"/>
        <v>1</v>
      </c>
    </row>
    <row r="543" spans="1:20" x14ac:dyDescent="0.2">
      <c r="A543" t="s">
        <v>589</v>
      </c>
      <c r="B543">
        <f>IF(COUNTIFS('United Data'!$A$3:$A$2150,B$1,'United Data'!$C$3:$C$2150,$A543,'United Data'!$B$3:$B$2150,"&lt;&gt;P")&gt;0,1,0)</f>
        <v>0</v>
      </c>
      <c r="C543">
        <f>IF(COUNTIFS('United Data'!$A$3:$A$2150,C$1,'United Data'!$C$3:$C$2150,$A543,'United Data'!$B$3:$B$2150,"&lt;&gt;P")&gt;0,1,0)</f>
        <v>0</v>
      </c>
      <c r="D543">
        <f>IF(COUNTIFS('United Data'!$A$3:$A$2150,D$1,'United Data'!$C$3:$C$2150,$A543,'United Data'!$B$3:$B$2150,"&lt;&gt;P")&gt;0,1,0)</f>
        <v>0</v>
      </c>
      <c r="E543">
        <f>IF(COUNTIFS('United Data'!$A$3:$A$2150,E$1,'United Data'!$C$3:$C$2150,$A543,'United Data'!$B$3:$B$2150,"&lt;&gt;P")&gt;0,1,0)</f>
        <v>0</v>
      </c>
      <c r="F543">
        <f>IF(COUNTIFS('United Data'!$A$3:$A$2150,F$1,'United Data'!$C$3:$C$2150,$A543,'United Data'!$B$3:$B$2150,"&lt;&gt;P")&gt;0,1,0)</f>
        <v>0</v>
      </c>
      <c r="G543">
        <f>IF(COUNTIFS('United Data'!$A$3:$A$2150,G$1,'United Data'!$C$3:$C$2150,$A543,'United Data'!$B$3:$B$2150,"&lt;&gt;P")&gt;0,1,0)</f>
        <v>0</v>
      </c>
      <c r="H543">
        <f>IF(COUNTIFS('United Data'!$A$3:$A$2150,H$1,'United Data'!$C$3:$C$2150,$A543,'United Data'!$B$3:$B$2150,"&lt;&gt;P")&gt;0,1,0)</f>
        <v>0</v>
      </c>
      <c r="I543">
        <f>IF(COUNTIFS('United Data'!$A$3:$A$2150,I$1,'United Data'!$C$3:$C$2150,$A543,'United Data'!$B$3:$B$2150,"&lt;&gt;P")&gt;0,1,0)</f>
        <v>0</v>
      </c>
      <c r="J543">
        <f>IF(COUNTIFS('United Data'!$A$3:$A$2150,J$1,'United Data'!$C$3:$C$2150,$A543,'United Data'!$B$3:$B$2150,"&lt;&gt;P")&gt;0,1,0)</f>
        <v>0</v>
      </c>
      <c r="K543">
        <f>IF(COUNTIFS('United Data'!$A$3:$A$2150,K$1,'United Data'!$C$3:$C$2150,$A543,'United Data'!$B$3:$B$2150,"&lt;&gt;P")&gt;0,1,0)</f>
        <v>0</v>
      </c>
      <c r="L543">
        <f>IF(COUNTIFS('United Data'!$A$3:$A$2150,L$1,'United Data'!$C$3:$C$2150,$A543,'United Data'!$B$3:$B$2150,"&lt;&gt;P")&gt;0,1,0)</f>
        <v>1</v>
      </c>
      <c r="M543">
        <f>IF(COUNTIFS('United Data'!$A$3:$A$2150,M$1,'United Data'!$C$3:$C$2150,$A543,'United Data'!$B$3:$B$2150,"&lt;&gt;P")&gt;0,1,0)</f>
        <v>1</v>
      </c>
      <c r="N543">
        <f>IF(COUNTIFS('United Data'!$A$3:$A$2150,N$1,'United Data'!$C$3:$C$2150,$A543,'United Data'!$B$3:$B$2150,"&lt;&gt;P")&gt;0,1,0)</f>
        <v>0</v>
      </c>
      <c r="O543">
        <f>IF(COUNTIFS('United Data'!$A$3:$A$2150,O$1,'United Data'!$C$3:$C$2150,$A543,'United Data'!$B$3:$B$2150,"&lt;&gt;P")&gt;0,1,0)</f>
        <v>0</v>
      </c>
      <c r="P543">
        <f>IF(COUNTIFS('United Data'!$A$3:$A$2150,P$1,'United Data'!$C$3:$C$2150,$A543,'United Data'!$B$3:$B$2150,"&lt;&gt;P")&gt;0,1,0)</f>
        <v>0</v>
      </c>
      <c r="Q543">
        <f>IF(COUNTIFS('United Data'!$A$3:$A$2150,Q$1,'United Data'!$C$3:$C$2150,$A543,'United Data'!$B$3:$B$2150,"&lt;&gt;P")&gt;0,1,0)</f>
        <v>0</v>
      </c>
      <c r="R543">
        <f>IF(COUNTIFS('United Data'!$A$3:$A$2150,R$1,'United Data'!$C$3:$C$2150,$A543,'United Data'!$B$3:$B$2150,"&lt;&gt;P")&gt;0,1,0)</f>
        <v>0</v>
      </c>
      <c r="S543">
        <f t="shared" si="16"/>
        <v>2</v>
      </c>
      <c r="T543">
        <f t="shared" si="17"/>
        <v>1</v>
      </c>
    </row>
    <row r="544" spans="1:20" x14ac:dyDescent="0.2">
      <c r="A544" t="s">
        <v>590</v>
      </c>
      <c r="B544">
        <f>IF(COUNTIFS('United Data'!$A$3:$A$2150,B$1,'United Data'!$C$3:$C$2150,$A544,'United Data'!$B$3:$B$2150,"&lt;&gt;P")&gt;0,1,0)</f>
        <v>0</v>
      </c>
      <c r="C544">
        <f>IF(COUNTIFS('United Data'!$A$3:$A$2150,C$1,'United Data'!$C$3:$C$2150,$A544,'United Data'!$B$3:$B$2150,"&lt;&gt;P")&gt;0,1,0)</f>
        <v>0</v>
      </c>
      <c r="D544">
        <f>IF(COUNTIFS('United Data'!$A$3:$A$2150,D$1,'United Data'!$C$3:$C$2150,$A544,'United Data'!$B$3:$B$2150,"&lt;&gt;P")&gt;0,1,0)</f>
        <v>0</v>
      </c>
      <c r="E544">
        <f>IF(COUNTIFS('United Data'!$A$3:$A$2150,E$1,'United Data'!$C$3:$C$2150,$A544,'United Data'!$B$3:$B$2150,"&lt;&gt;P")&gt;0,1,0)</f>
        <v>0</v>
      </c>
      <c r="F544">
        <f>IF(COUNTIFS('United Data'!$A$3:$A$2150,F$1,'United Data'!$C$3:$C$2150,$A544,'United Data'!$B$3:$B$2150,"&lt;&gt;P")&gt;0,1,0)</f>
        <v>0</v>
      </c>
      <c r="G544">
        <f>IF(COUNTIFS('United Data'!$A$3:$A$2150,G$1,'United Data'!$C$3:$C$2150,$A544,'United Data'!$B$3:$B$2150,"&lt;&gt;P")&gt;0,1,0)</f>
        <v>0</v>
      </c>
      <c r="H544">
        <f>IF(COUNTIFS('United Data'!$A$3:$A$2150,H$1,'United Data'!$C$3:$C$2150,$A544,'United Data'!$B$3:$B$2150,"&lt;&gt;P")&gt;0,1,0)</f>
        <v>0</v>
      </c>
      <c r="I544">
        <f>IF(COUNTIFS('United Data'!$A$3:$A$2150,I$1,'United Data'!$C$3:$C$2150,$A544,'United Data'!$B$3:$B$2150,"&lt;&gt;P")&gt;0,1,0)</f>
        <v>0</v>
      </c>
      <c r="J544">
        <f>IF(COUNTIFS('United Data'!$A$3:$A$2150,J$1,'United Data'!$C$3:$C$2150,$A544,'United Data'!$B$3:$B$2150,"&lt;&gt;P")&gt;0,1,0)</f>
        <v>0</v>
      </c>
      <c r="K544">
        <f>IF(COUNTIFS('United Data'!$A$3:$A$2150,K$1,'United Data'!$C$3:$C$2150,$A544,'United Data'!$B$3:$B$2150,"&lt;&gt;P")&gt;0,1,0)</f>
        <v>0</v>
      </c>
      <c r="L544">
        <f>IF(COUNTIFS('United Data'!$A$3:$A$2150,L$1,'United Data'!$C$3:$C$2150,$A544,'United Data'!$B$3:$B$2150,"&lt;&gt;P")&gt;0,1,0)</f>
        <v>1</v>
      </c>
      <c r="M544">
        <f>IF(COUNTIFS('United Data'!$A$3:$A$2150,M$1,'United Data'!$C$3:$C$2150,$A544,'United Data'!$B$3:$B$2150,"&lt;&gt;P")&gt;0,1,0)</f>
        <v>0</v>
      </c>
      <c r="N544">
        <f>IF(COUNTIFS('United Data'!$A$3:$A$2150,N$1,'United Data'!$C$3:$C$2150,$A544,'United Data'!$B$3:$B$2150,"&lt;&gt;P")&gt;0,1,0)</f>
        <v>0</v>
      </c>
      <c r="O544">
        <f>IF(COUNTIFS('United Data'!$A$3:$A$2150,O$1,'United Data'!$C$3:$C$2150,$A544,'United Data'!$B$3:$B$2150,"&lt;&gt;P")&gt;0,1,0)</f>
        <v>0</v>
      </c>
      <c r="P544">
        <f>IF(COUNTIFS('United Data'!$A$3:$A$2150,P$1,'United Data'!$C$3:$C$2150,$A544,'United Data'!$B$3:$B$2150,"&lt;&gt;P")&gt;0,1,0)</f>
        <v>0</v>
      </c>
      <c r="Q544">
        <f>IF(COUNTIFS('United Data'!$A$3:$A$2150,Q$1,'United Data'!$C$3:$C$2150,$A544,'United Data'!$B$3:$B$2150,"&lt;&gt;P")&gt;0,1,0)</f>
        <v>0</v>
      </c>
      <c r="R544">
        <f>IF(COUNTIFS('United Data'!$A$3:$A$2150,R$1,'United Data'!$C$3:$C$2150,$A544,'United Data'!$B$3:$B$2150,"&lt;&gt;P")&gt;0,1,0)</f>
        <v>0</v>
      </c>
      <c r="S544">
        <f t="shared" si="16"/>
        <v>1</v>
      </c>
      <c r="T544">
        <f t="shared" si="17"/>
        <v>1</v>
      </c>
    </row>
    <row r="545" spans="1:20" x14ac:dyDescent="0.2">
      <c r="A545" t="s">
        <v>591</v>
      </c>
      <c r="B545">
        <f>IF(COUNTIFS('United Data'!$A$3:$A$2150,B$1,'United Data'!$C$3:$C$2150,$A545,'United Data'!$B$3:$B$2150,"&lt;&gt;P")&gt;0,1,0)</f>
        <v>0</v>
      </c>
      <c r="C545">
        <f>IF(COUNTIFS('United Data'!$A$3:$A$2150,C$1,'United Data'!$C$3:$C$2150,$A545,'United Data'!$B$3:$B$2150,"&lt;&gt;P")&gt;0,1,0)</f>
        <v>0</v>
      </c>
      <c r="D545">
        <f>IF(COUNTIFS('United Data'!$A$3:$A$2150,D$1,'United Data'!$C$3:$C$2150,$A545,'United Data'!$B$3:$B$2150,"&lt;&gt;P")&gt;0,1,0)</f>
        <v>0</v>
      </c>
      <c r="E545">
        <f>IF(COUNTIFS('United Data'!$A$3:$A$2150,E$1,'United Data'!$C$3:$C$2150,$A545,'United Data'!$B$3:$B$2150,"&lt;&gt;P")&gt;0,1,0)</f>
        <v>0</v>
      </c>
      <c r="F545">
        <f>IF(COUNTIFS('United Data'!$A$3:$A$2150,F$1,'United Data'!$C$3:$C$2150,$A545,'United Data'!$B$3:$B$2150,"&lt;&gt;P")&gt;0,1,0)</f>
        <v>0</v>
      </c>
      <c r="G545">
        <f>IF(COUNTIFS('United Data'!$A$3:$A$2150,G$1,'United Data'!$C$3:$C$2150,$A545,'United Data'!$B$3:$B$2150,"&lt;&gt;P")&gt;0,1,0)</f>
        <v>0</v>
      </c>
      <c r="H545">
        <f>IF(COUNTIFS('United Data'!$A$3:$A$2150,H$1,'United Data'!$C$3:$C$2150,$A545,'United Data'!$B$3:$B$2150,"&lt;&gt;P")&gt;0,1,0)</f>
        <v>0</v>
      </c>
      <c r="I545">
        <f>IF(COUNTIFS('United Data'!$A$3:$A$2150,I$1,'United Data'!$C$3:$C$2150,$A545,'United Data'!$B$3:$B$2150,"&lt;&gt;P")&gt;0,1,0)</f>
        <v>0</v>
      </c>
      <c r="J545">
        <f>IF(COUNTIFS('United Data'!$A$3:$A$2150,J$1,'United Data'!$C$3:$C$2150,$A545,'United Data'!$B$3:$B$2150,"&lt;&gt;P")&gt;0,1,0)</f>
        <v>0</v>
      </c>
      <c r="K545">
        <f>IF(COUNTIFS('United Data'!$A$3:$A$2150,K$1,'United Data'!$C$3:$C$2150,$A545,'United Data'!$B$3:$B$2150,"&lt;&gt;P")&gt;0,1,0)</f>
        <v>0</v>
      </c>
      <c r="L545">
        <f>IF(COUNTIFS('United Data'!$A$3:$A$2150,L$1,'United Data'!$C$3:$C$2150,$A545,'United Data'!$B$3:$B$2150,"&lt;&gt;P")&gt;0,1,0)</f>
        <v>0</v>
      </c>
      <c r="M545">
        <f>IF(COUNTIFS('United Data'!$A$3:$A$2150,M$1,'United Data'!$C$3:$C$2150,$A545,'United Data'!$B$3:$B$2150,"&lt;&gt;P")&gt;0,1,0)</f>
        <v>1</v>
      </c>
      <c r="N545">
        <f>IF(COUNTIFS('United Data'!$A$3:$A$2150,N$1,'United Data'!$C$3:$C$2150,$A545,'United Data'!$B$3:$B$2150,"&lt;&gt;P")&gt;0,1,0)</f>
        <v>0</v>
      </c>
      <c r="O545">
        <f>IF(COUNTIFS('United Data'!$A$3:$A$2150,O$1,'United Data'!$C$3:$C$2150,$A545,'United Data'!$B$3:$B$2150,"&lt;&gt;P")&gt;0,1,0)</f>
        <v>0</v>
      </c>
      <c r="P545">
        <f>IF(COUNTIFS('United Data'!$A$3:$A$2150,P$1,'United Data'!$C$3:$C$2150,$A545,'United Data'!$B$3:$B$2150,"&lt;&gt;P")&gt;0,1,0)</f>
        <v>0</v>
      </c>
      <c r="Q545">
        <f>IF(COUNTIFS('United Data'!$A$3:$A$2150,Q$1,'United Data'!$C$3:$C$2150,$A545,'United Data'!$B$3:$B$2150,"&lt;&gt;P")&gt;0,1,0)</f>
        <v>0</v>
      </c>
      <c r="R545">
        <f>IF(COUNTIFS('United Data'!$A$3:$A$2150,R$1,'United Data'!$C$3:$C$2150,$A545,'United Data'!$B$3:$B$2150,"&lt;&gt;P")&gt;0,1,0)</f>
        <v>0</v>
      </c>
      <c r="S545">
        <f t="shared" si="16"/>
        <v>1</v>
      </c>
      <c r="T545">
        <f t="shared" si="17"/>
        <v>1</v>
      </c>
    </row>
    <row r="546" spans="1:20" x14ac:dyDescent="0.2">
      <c r="A546" t="s">
        <v>592</v>
      </c>
      <c r="B546">
        <f>IF(COUNTIFS('United Data'!$A$3:$A$2150,B$1,'United Data'!$C$3:$C$2150,$A546,'United Data'!$B$3:$B$2150,"&lt;&gt;P")&gt;0,1,0)</f>
        <v>0</v>
      </c>
      <c r="C546">
        <f>IF(COUNTIFS('United Data'!$A$3:$A$2150,C$1,'United Data'!$C$3:$C$2150,$A546,'United Data'!$B$3:$B$2150,"&lt;&gt;P")&gt;0,1,0)</f>
        <v>0</v>
      </c>
      <c r="D546">
        <f>IF(COUNTIFS('United Data'!$A$3:$A$2150,D$1,'United Data'!$C$3:$C$2150,$A546,'United Data'!$B$3:$B$2150,"&lt;&gt;P")&gt;0,1,0)</f>
        <v>0</v>
      </c>
      <c r="E546">
        <f>IF(COUNTIFS('United Data'!$A$3:$A$2150,E$1,'United Data'!$C$3:$C$2150,$A546,'United Data'!$B$3:$B$2150,"&lt;&gt;P")&gt;0,1,0)</f>
        <v>0</v>
      </c>
      <c r="F546">
        <f>IF(COUNTIFS('United Data'!$A$3:$A$2150,F$1,'United Data'!$C$3:$C$2150,$A546,'United Data'!$B$3:$B$2150,"&lt;&gt;P")&gt;0,1,0)</f>
        <v>0</v>
      </c>
      <c r="G546">
        <f>IF(COUNTIFS('United Data'!$A$3:$A$2150,G$1,'United Data'!$C$3:$C$2150,$A546,'United Data'!$B$3:$B$2150,"&lt;&gt;P")&gt;0,1,0)</f>
        <v>0</v>
      </c>
      <c r="H546">
        <f>IF(COUNTIFS('United Data'!$A$3:$A$2150,H$1,'United Data'!$C$3:$C$2150,$A546,'United Data'!$B$3:$B$2150,"&lt;&gt;P")&gt;0,1,0)</f>
        <v>0</v>
      </c>
      <c r="I546">
        <f>IF(COUNTIFS('United Data'!$A$3:$A$2150,I$1,'United Data'!$C$3:$C$2150,$A546,'United Data'!$B$3:$B$2150,"&lt;&gt;P")&gt;0,1,0)</f>
        <v>0</v>
      </c>
      <c r="J546">
        <f>IF(COUNTIFS('United Data'!$A$3:$A$2150,J$1,'United Data'!$C$3:$C$2150,$A546,'United Data'!$B$3:$B$2150,"&lt;&gt;P")&gt;0,1,0)</f>
        <v>0</v>
      </c>
      <c r="K546">
        <f>IF(COUNTIFS('United Data'!$A$3:$A$2150,K$1,'United Data'!$C$3:$C$2150,$A546,'United Data'!$B$3:$B$2150,"&lt;&gt;P")&gt;0,1,0)</f>
        <v>0</v>
      </c>
      <c r="L546">
        <f>IF(COUNTIFS('United Data'!$A$3:$A$2150,L$1,'United Data'!$C$3:$C$2150,$A546,'United Data'!$B$3:$B$2150,"&lt;&gt;P")&gt;0,1,0)</f>
        <v>0</v>
      </c>
      <c r="M546">
        <f>IF(COUNTIFS('United Data'!$A$3:$A$2150,M$1,'United Data'!$C$3:$C$2150,$A546,'United Data'!$B$3:$B$2150,"&lt;&gt;P")&gt;0,1,0)</f>
        <v>1</v>
      </c>
      <c r="N546">
        <f>IF(COUNTIFS('United Data'!$A$3:$A$2150,N$1,'United Data'!$C$3:$C$2150,$A546,'United Data'!$B$3:$B$2150,"&lt;&gt;P")&gt;0,1,0)</f>
        <v>0</v>
      </c>
      <c r="O546">
        <f>IF(COUNTIFS('United Data'!$A$3:$A$2150,O$1,'United Data'!$C$3:$C$2150,$A546,'United Data'!$B$3:$B$2150,"&lt;&gt;P")&gt;0,1,0)</f>
        <v>0</v>
      </c>
      <c r="P546">
        <f>IF(COUNTIFS('United Data'!$A$3:$A$2150,P$1,'United Data'!$C$3:$C$2150,$A546,'United Data'!$B$3:$B$2150,"&lt;&gt;P")&gt;0,1,0)</f>
        <v>0</v>
      </c>
      <c r="Q546">
        <f>IF(COUNTIFS('United Data'!$A$3:$A$2150,Q$1,'United Data'!$C$3:$C$2150,$A546,'United Data'!$B$3:$B$2150,"&lt;&gt;P")&gt;0,1,0)</f>
        <v>0</v>
      </c>
      <c r="R546">
        <f>IF(COUNTIFS('United Data'!$A$3:$A$2150,R$1,'United Data'!$C$3:$C$2150,$A546,'United Data'!$B$3:$B$2150,"&lt;&gt;P")&gt;0,1,0)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593</v>
      </c>
      <c r="B547">
        <f>IF(COUNTIFS('United Data'!$A$3:$A$2150,B$1,'United Data'!$C$3:$C$2150,$A547,'United Data'!$B$3:$B$2150,"&lt;&gt;P")&gt;0,1,0)</f>
        <v>0</v>
      </c>
      <c r="C547">
        <f>IF(COUNTIFS('United Data'!$A$3:$A$2150,C$1,'United Data'!$C$3:$C$2150,$A547,'United Data'!$B$3:$B$2150,"&lt;&gt;P")&gt;0,1,0)</f>
        <v>0</v>
      </c>
      <c r="D547">
        <f>IF(COUNTIFS('United Data'!$A$3:$A$2150,D$1,'United Data'!$C$3:$C$2150,$A547,'United Data'!$B$3:$B$2150,"&lt;&gt;P")&gt;0,1,0)</f>
        <v>0</v>
      </c>
      <c r="E547">
        <f>IF(COUNTIFS('United Data'!$A$3:$A$2150,E$1,'United Data'!$C$3:$C$2150,$A547,'United Data'!$B$3:$B$2150,"&lt;&gt;P")&gt;0,1,0)</f>
        <v>0</v>
      </c>
      <c r="F547">
        <f>IF(COUNTIFS('United Data'!$A$3:$A$2150,F$1,'United Data'!$C$3:$C$2150,$A547,'United Data'!$B$3:$B$2150,"&lt;&gt;P")&gt;0,1,0)</f>
        <v>0</v>
      </c>
      <c r="G547">
        <f>IF(COUNTIFS('United Data'!$A$3:$A$2150,G$1,'United Data'!$C$3:$C$2150,$A547,'United Data'!$B$3:$B$2150,"&lt;&gt;P")&gt;0,1,0)</f>
        <v>0</v>
      </c>
      <c r="H547">
        <f>IF(COUNTIFS('United Data'!$A$3:$A$2150,H$1,'United Data'!$C$3:$C$2150,$A547,'United Data'!$B$3:$B$2150,"&lt;&gt;P")&gt;0,1,0)</f>
        <v>0</v>
      </c>
      <c r="I547">
        <f>IF(COUNTIFS('United Data'!$A$3:$A$2150,I$1,'United Data'!$C$3:$C$2150,$A547,'United Data'!$B$3:$B$2150,"&lt;&gt;P")&gt;0,1,0)</f>
        <v>0</v>
      </c>
      <c r="J547">
        <f>IF(COUNTIFS('United Data'!$A$3:$A$2150,J$1,'United Data'!$C$3:$C$2150,$A547,'United Data'!$B$3:$B$2150,"&lt;&gt;P")&gt;0,1,0)</f>
        <v>0</v>
      </c>
      <c r="K547">
        <f>IF(COUNTIFS('United Data'!$A$3:$A$2150,K$1,'United Data'!$C$3:$C$2150,$A547,'United Data'!$B$3:$B$2150,"&lt;&gt;P")&gt;0,1,0)</f>
        <v>0</v>
      </c>
      <c r="L547">
        <f>IF(COUNTIFS('United Data'!$A$3:$A$2150,L$1,'United Data'!$C$3:$C$2150,$A547,'United Data'!$B$3:$B$2150,"&lt;&gt;P")&gt;0,1,0)</f>
        <v>0</v>
      </c>
      <c r="M547">
        <f>IF(COUNTIFS('United Data'!$A$3:$A$2150,M$1,'United Data'!$C$3:$C$2150,$A547,'United Data'!$B$3:$B$2150,"&lt;&gt;P")&gt;0,1,0)</f>
        <v>1</v>
      </c>
      <c r="N547">
        <f>IF(COUNTIFS('United Data'!$A$3:$A$2150,N$1,'United Data'!$C$3:$C$2150,$A547,'United Data'!$B$3:$B$2150,"&lt;&gt;P")&gt;0,1,0)</f>
        <v>0</v>
      </c>
      <c r="O547">
        <f>IF(COUNTIFS('United Data'!$A$3:$A$2150,O$1,'United Data'!$C$3:$C$2150,$A547,'United Data'!$B$3:$B$2150,"&lt;&gt;P")&gt;0,1,0)</f>
        <v>0</v>
      </c>
      <c r="P547">
        <f>IF(COUNTIFS('United Data'!$A$3:$A$2150,P$1,'United Data'!$C$3:$C$2150,$A547,'United Data'!$B$3:$B$2150,"&lt;&gt;P")&gt;0,1,0)</f>
        <v>0</v>
      </c>
      <c r="Q547">
        <f>IF(COUNTIFS('United Data'!$A$3:$A$2150,Q$1,'United Data'!$C$3:$C$2150,$A547,'United Data'!$B$3:$B$2150,"&lt;&gt;P")&gt;0,1,0)</f>
        <v>0</v>
      </c>
      <c r="R547">
        <f>IF(COUNTIFS('United Data'!$A$3:$A$2150,R$1,'United Data'!$C$3:$C$2150,$A547,'United Data'!$B$3:$B$2150,"&lt;&gt;P")&gt;0,1,0)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594</v>
      </c>
      <c r="B548">
        <f>IF(COUNTIFS('United Data'!$A$3:$A$2150,B$1,'United Data'!$C$3:$C$2150,$A548,'United Data'!$B$3:$B$2150,"&lt;&gt;P")&gt;0,1,0)</f>
        <v>0</v>
      </c>
      <c r="C548">
        <f>IF(COUNTIFS('United Data'!$A$3:$A$2150,C$1,'United Data'!$C$3:$C$2150,$A548,'United Data'!$B$3:$B$2150,"&lt;&gt;P")&gt;0,1,0)</f>
        <v>0</v>
      </c>
      <c r="D548">
        <f>IF(COUNTIFS('United Data'!$A$3:$A$2150,D$1,'United Data'!$C$3:$C$2150,$A548,'United Data'!$B$3:$B$2150,"&lt;&gt;P")&gt;0,1,0)</f>
        <v>0</v>
      </c>
      <c r="E548">
        <f>IF(COUNTIFS('United Data'!$A$3:$A$2150,E$1,'United Data'!$C$3:$C$2150,$A548,'United Data'!$B$3:$B$2150,"&lt;&gt;P")&gt;0,1,0)</f>
        <v>0</v>
      </c>
      <c r="F548">
        <f>IF(COUNTIFS('United Data'!$A$3:$A$2150,F$1,'United Data'!$C$3:$C$2150,$A548,'United Data'!$B$3:$B$2150,"&lt;&gt;P")&gt;0,1,0)</f>
        <v>0</v>
      </c>
      <c r="G548">
        <f>IF(COUNTIFS('United Data'!$A$3:$A$2150,G$1,'United Data'!$C$3:$C$2150,$A548,'United Data'!$B$3:$B$2150,"&lt;&gt;P")&gt;0,1,0)</f>
        <v>0</v>
      </c>
      <c r="H548">
        <f>IF(COUNTIFS('United Data'!$A$3:$A$2150,H$1,'United Data'!$C$3:$C$2150,$A548,'United Data'!$B$3:$B$2150,"&lt;&gt;P")&gt;0,1,0)</f>
        <v>0</v>
      </c>
      <c r="I548">
        <f>IF(COUNTIFS('United Data'!$A$3:$A$2150,I$1,'United Data'!$C$3:$C$2150,$A548,'United Data'!$B$3:$B$2150,"&lt;&gt;P")&gt;0,1,0)</f>
        <v>0</v>
      </c>
      <c r="J548">
        <f>IF(COUNTIFS('United Data'!$A$3:$A$2150,J$1,'United Data'!$C$3:$C$2150,$A548,'United Data'!$B$3:$B$2150,"&lt;&gt;P")&gt;0,1,0)</f>
        <v>0</v>
      </c>
      <c r="K548">
        <f>IF(COUNTIFS('United Data'!$A$3:$A$2150,K$1,'United Data'!$C$3:$C$2150,$A548,'United Data'!$B$3:$B$2150,"&lt;&gt;P")&gt;0,1,0)</f>
        <v>0</v>
      </c>
      <c r="L548">
        <f>IF(COUNTIFS('United Data'!$A$3:$A$2150,L$1,'United Data'!$C$3:$C$2150,$A548,'United Data'!$B$3:$B$2150,"&lt;&gt;P")&gt;0,1,0)</f>
        <v>1</v>
      </c>
      <c r="M548">
        <f>IF(COUNTIFS('United Data'!$A$3:$A$2150,M$1,'United Data'!$C$3:$C$2150,$A548,'United Data'!$B$3:$B$2150,"&lt;&gt;P")&gt;0,1,0)</f>
        <v>1</v>
      </c>
      <c r="N548">
        <f>IF(COUNTIFS('United Data'!$A$3:$A$2150,N$1,'United Data'!$C$3:$C$2150,$A548,'United Data'!$B$3:$B$2150,"&lt;&gt;P")&gt;0,1,0)</f>
        <v>1</v>
      </c>
      <c r="O548">
        <f>IF(COUNTIFS('United Data'!$A$3:$A$2150,O$1,'United Data'!$C$3:$C$2150,$A548,'United Data'!$B$3:$B$2150,"&lt;&gt;P")&gt;0,1,0)</f>
        <v>1</v>
      </c>
      <c r="P548">
        <f>IF(COUNTIFS('United Data'!$A$3:$A$2150,P$1,'United Data'!$C$3:$C$2150,$A548,'United Data'!$B$3:$B$2150,"&lt;&gt;P")&gt;0,1,0)</f>
        <v>0</v>
      </c>
      <c r="Q548">
        <f>IF(COUNTIFS('United Data'!$A$3:$A$2150,Q$1,'United Data'!$C$3:$C$2150,$A548,'United Data'!$B$3:$B$2150,"&lt;&gt;P")&gt;0,1,0)</f>
        <v>0</v>
      </c>
      <c r="R548">
        <f>IF(COUNTIFS('United Data'!$A$3:$A$2150,R$1,'United Data'!$C$3:$C$2150,$A548,'United Data'!$B$3:$B$2150,"&lt;&gt;P")&gt;0,1,0)</f>
        <v>0</v>
      </c>
      <c r="S548">
        <f t="shared" si="16"/>
        <v>4</v>
      </c>
      <c r="T548">
        <f t="shared" si="17"/>
        <v>1</v>
      </c>
    </row>
    <row r="549" spans="1:20" x14ac:dyDescent="0.2">
      <c r="A549" t="s">
        <v>595</v>
      </c>
      <c r="B549">
        <f>IF(COUNTIFS('United Data'!$A$3:$A$2150,B$1,'United Data'!$C$3:$C$2150,$A549,'United Data'!$B$3:$B$2150,"&lt;&gt;P")&gt;0,1,0)</f>
        <v>0</v>
      </c>
      <c r="C549">
        <f>IF(COUNTIFS('United Data'!$A$3:$A$2150,C$1,'United Data'!$C$3:$C$2150,$A549,'United Data'!$B$3:$B$2150,"&lt;&gt;P")&gt;0,1,0)</f>
        <v>0</v>
      </c>
      <c r="D549">
        <f>IF(COUNTIFS('United Data'!$A$3:$A$2150,D$1,'United Data'!$C$3:$C$2150,$A549,'United Data'!$B$3:$B$2150,"&lt;&gt;P")&gt;0,1,0)</f>
        <v>0</v>
      </c>
      <c r="E549">
        <f>IF(COUNTIFS('United Data'!$A$3:$A$2150,E$1,'United Data'!$C$3:$C$2150,$A549,'United Data'!$B$3:$B$2150,"&lt;&gt;P")&gt;0,1,0)</f>
        <v>0</v>
      </c>
      <c r="F549">
        <f>IF(COUNTIFS('United Data'!$A$3:$A$2150,F$1,'United Data'!$C$3:$C$2150,$A549,'United Data'!$B$3:$B$2150,"&lt;&gt;P")&gt;0,1,0)</f>
        <v>0</v>
      </c>
      <c r="G549">
        <f>IF(COUNTIFS('United Data'!$A$3:$A$2150,G$1,'United Data'!$C$3:$C$2150,$A549,'United Data'!$B$3:$B$2150,"&lt;&gt;P")&gt;0,1,0)</f>
        <v>0</v>
      </c>
      <c r="H549">
        <f>IF(COUNTIFS('United Data'!$A$3:$A$2150,H$1,'United Data'!$C$3:$C$2150,$A549,'United Data'!$B$3:$B$2150,"&lt;&gt;P")&gt;0,1,0)</f>
        <v>0</v>
      </c>
      <c r="I549">
        <f>IF(COUNTIFS('United Data'!$A$3:$A$2150,I$1,'United Data'!$C$3:$C$2150,$A549,'United Data'!$B$3:$B$2150,"&lt;&gt;P")&gt;0,1,0)</f>
        <v>0</v>
      </c>
      <c r="J549">
        <f>IF(COUNTIFS('United Data'!$A$3:$A$2150,J$1,'United Data'!$C$3:$C$2150,$A549,'United Data'!$B$3:$B$2150,"&lt;&gt;P")&gt;0,1,0)</f>
        <v>0</v>
      </c>
      <c r="K549">
        <f>IF(COUNTIFS('United Data'!$A$3:$A$2150,K$1,'United Data'!$C$3:$C$2150,$A549,'United Data'!$B$3:$B$2150,"&lt;&gt;P")&gt;0,1,0)</f>
        <v>0</v>
      </c>
      <c r="L549">
        <f>IF(COUNTIFS('United Data'!$A$3:$A$2150,L$1,'United Data'!$C$3:$C$2150,$A549,'United Data'!$B$3:$B$2150,"&lt;&gt;P")&gt;0,1,0)</f>
        <v>0</v>
      </c>
      <c r="M549">
        <f>IF(COUNTIFS('United Data'!$A$3:$A$2150,M$1,'United Data'!$C$3:$C$2150,$A549,'United Data'!$B$3:$B$2150,"&lt;&gt;P")&gt;0,1,0)</f>
        <v>1</v>
      </c>
      <c r="N549">
        <f>IF(COUNTIFS('United Data'!$A$3:$A$2150,N$1,'United Data'!$C$3:$C$2150,$A549,'United Data'!$B$3:$B$2150,"&lt;&gt;P")&gt;0,1,0)</f>
        <v>0</v>
      </c>
      <c r="O549">
        <f>IF(COUNTIFS('United Data'!$A$3:$A$2150,O$1,'United Data'!$C$3:$C$2150,$A549,'United Data'!$B$3:$B$2150,"&lt;&gt;P")&gt;0,1,0)</f>
        <v>0</v>
      </c>
      <c r="P549">
        <f>IF(COUNTIFS('United Data'!$A$3:$A$2150,P$1,'United Data'!$C$3:$C$2150,$A549,'United Data'!$B$3:$B$2150,"&lt;&gt;P")&gt;0,1,0)</f>
        <v>0</v>
      </c>
      <c r="Q549">
        <f>IF(COUNTIFS('United Data'!$A$3:$A$2150,Q$1,'United Data'!$C$3:$C$2150,$A549,'United Data'!$B$3:$B$2150,"&lt;&gt;P")&gt;0,1,0)</f>
        <v>0</v>
      </c>
      <c r="R549">
        <f>IF(COUNTIFS('United Data'!$A$3:$A$2150,R$1,'United Data'!$C$3:$C$2150,$A549,'United Data'!$B$3:$B$2150,"&lt;&gt;P")&gt;0,1,0)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596</v>
      </c>
      <c r="B550">
        <f>IF(COUNTIFS('United Data'!$A$3:$A$2150,B$1,'United Data'!$C$3:$C$2150,$A550,'United Data'!$B$3:$B$2150,"&lt;&gt;P")&gt;0,1,0)</f>
        <v>0</v>
      </c>
      <c r="C550">
        <f>IF(COUNTIFS('United Data'!$A$3:$A$2150,C$1,'United Data'!$C$3:$C$2150,$A550,'United Data'!$B$3:$B$2150,"&lt;&gt;P")&gt;0,1,0)</f>
        <v>0</v>
      </c>
      <c r="D550">
        <f>IF(COUNTIFS('United Data'!$A$3:$A$2150,D$1,'United Data'!$C$3:$C$2150,$A550,'United Data'!$B$3:$B$2150,"&lt;&gt;P")&gt;0,1,0)</f>
        <v>0</v>
      </c>
      <c r="E550">
        <f>IF(COUNTIFS('United Data'!$A$3:$A$2150,E$1,'United Data'!$C$3:$C$2150,$A550,'United Data'!$B$3:$B$2150,"&lt;&gt;P")&gt;0,1,0)</f>
        <v>0</v>
      </c>
      <c r="F550">
        <f>IF(COUNTIFS('United Data'!$A$3:$A$2150,F$1,'United Data'!$C$3:$C$2150,$A550,'United Data'!$B$3:$B$2150,"&lt;&gt;P")&gt;0,1,0)</f>
        <v>0</v>
      </c>
      <c r="G550">
        <f>IF(COUNTIFS('United Data'!$A$3:$A$2150,G$1,'United Data'!$C$3:$C$2150,$A550,'United Data'!$B$3:$B$2150,"&lt;&gt;P")&gt;0,1,0)</f>
        <v>0</v>
      </c>
      <c r="H550">
        <f>IF(COUNTIFS('United Data'!$A$3:$A$2150,H$1,'United Data'!$C$3:$C$2150,$A550,'United Data'!$B$3:$B$2150,"&lt;&gt;P")&gt;0,1,0)</f>
        <v>0</v>
      </c>
      <c r="I550">
        <f>IF(COUNTIFS('United Data'!$A$3:$A$2150,I$1,'United Data'!$C$3:$C$2150,$A550,'United Data'!$B$3:$B$2150,"&lt;&gt;P")&gt;0,1,0)</f>
        <v>0</v>
      </c>
      <c r="J550">
        <f>IF(COUNTIFS('United Data'!$A$3:$A$2150,J$1,'United Data'!$C$3:$C$2150,$A550,'United Data'!$B$3:$B$2150,"&lt;&gt;P")&gt;0,1,0)</f>
        <v>0</v>
      </c>
      <c r="K550">
        <f>IF(COUNTIFS('United Data'!$A$3:$A$2150,K$1,'United Data'!$C$3:$C$2150,$A550,'United Data'!$B$3:$B$2150,"&lt;&gt;P")&gt;0,1,0)</f>
        <v>0</v>
      </c>
      <c r="L550">
        <f>IF(COUNTIFS('United Data'!$A$3:$A$2150,L$1,'United Data'!$C$3:$C$2150,$A550,'United Data'!$B$3:$B$2150,"&lt;&gt;P")&gt;0,1,0)</f>
        <v>0</v>
      </c>
      <c r="M550">
        <f>IF(COUNTIFS('United Data'!$A$3:$A$2150,M$1,'United Data'!$C$3:$C$2150,$A550,'United Data'!$B$3:$B$2150,"&lt;&gt;P")&gt;0,1,0)</f>
        <v>1</v>
      </c>
      <c r="N550">
        <f>IF(COUNTIFS('United Data'!$A$3:$A$2150,N$1,'United Data'!$C$3:$C$2150,$A550,'United Data'!$B$3:$B$2150,"&lt;&gt;P")&gt;0,1,0)</f>
        <v>0</v>
      </c>
      <c r="O550">
        <f>IF(COUNTIFS('United Data'!$A$3:$A$2150,O$1,'United Data'!$C$3:$C$2150,$A550,'United Data'!$B$3:$B$2150,"&lt;&gt;P")&gt;0,1,0)</f>
        <v>0</v>
      </c>
      <c r="P550">
        <f>IF(COUNTIFS('United Data'!$A$3:$A$2150,P$1,'United Data'!$C$3:$C$2150,$A550,'United Data'!$B$3:$B$2150,"&lt;&gt;P")&gt;0,1,0)</f>
        <v>0</v>
      </c>
      <c r="Q550">
        <f>IF(COUNTIFS('United Data'!$A$3:$A$2150,Q$1,'United Data'!$C$3:$C$2150,$A550,'United Data'!$B$3:$B$2150,"&lt;&gt;P")&gt;0,1,0)</f>
        <v>0</v>
      </c>
      <c r="R550">
        <f>IF(COUNTIFS('United Data'!$A$3:$A$2150,R$1,'United Data'!$C$3:$C$2150,$A550,'United Data'!$B$3:$B$2150,"&lt;&gt;P")&gt;0,1,0)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597</v>
      </c>
      <c r="B551">
        <f>IF(COUNTIFS('United Data'!$A$3:$A$2150,B$1,'United Data'!$C$3:$C$2150,$A551,'United Data'!$B$3:$B$2150,"&lt;&gt;P")&gt;0,1,0)</f>
        <v>0</v>
      </c>
      <c r="C551">
        <f>IF(COUNTIFS('United Data'!$A$3:$A$2150,C$1,'United Data'!$C$3:$C$2150,$A551,'United Data'!$B$3:$B$2150,"&lt;&gt;P")&gt;0,1,0)</f>
        <v>0</v>
      </c>
      <c r="D551">
        <f>IF(COUNTIFS('United Data'!$A$3:$A$2150,D$1,'United Data'!$C$3:$C$2150,$A551,'United Data'!$B$3:$B$2150,"&lt;&gt;P")&gt;0,1,0)</f>
        <v>0</v>
      </c>
      <c r="E551">
        <f>IF(COUNTIFS('United Data'!$A$3:$A$2150,E$1,'United Data'!$C$3:$C$2150,$A551,'United Data'!$B$3:$B$2150,"&lt;&gt;P")&gt;0,1,0)</f>
        <v>0</v>
      </c>
      <c r="F551">
        <f>IF(COUNTIFS('United Data'!$A$3:$A$2150,F$1,'United Data'!$C$3:$C$2150,$A551,'United Data'!$B$3:$B$2150,"&lt;&gt;P")&gt;0,1,0)</f>
        <v>0</v>
      </c>
      <c r="G551">
        <f>IF(COUNTIFS('United Data'!$A$3:$A$2150,G$1,'United Data'!$C$3:$C$2150,$A551,'United Data'!$B$3:$B$2150,"&lt;&gt;P")&gt;0,1,0)</f>
        <v>0</v>
      </c>
      <c r="H551">
        <f>IF(COUNTIFS('United Data'!$A$3:$A$2150,H$1,'United Data'!$C$3:$C$2150,$A551,'United Data'!$B$3:$B$2150,"&lt;&gt;P")&gt;0,1,0)</f>
        <v>0</v>
      </c>
      <c r="I551">
        <f>IF(COUNTIFS('United Data'!$A$3:$A$2150,I$1,'United Data'!$C$3:$C$2150,$A551,'United Data'!$B$3:$B$2150,"&lt;&gt;P")&gt;0,1,0)</f>
        <v>0</v>
      </c>
      <c r="J551">
        <f>IF(COUNTIFS('United Data'!$A$3:$A$2150,J$1,'United Data'!$C$3:$C$2150,$A551,'United Data'!$B$3:$B$2150,"&lt;&gt;P")&gt;0,1,0)</f>
        <v>0</v>
      </c>
      <c r="K551">
        <f>IF(COUNTIFS('United Data'!$A$3:$A$2150,K$1,'United Data'!$C$3:$C$2150,$A551,'United Data'!$B$3:$B$2150,"&lt;&gt;P")&gt;0,1,0)</f>
        <v>0</v>
      </c>
      <c r="L551">
        <f>IF(COUNTIFS('United Data'!$A$3:$A$2150,L$1,'United Data'!$C$3:$C$2150,$A551,'United Data'!$B$3:$B$2150,"&lt;&gt;P")&gt;0,1,0)</f>
        <v>0</v>
      </c>
      <c r="M551">
        <f>IF(COUNTIFS('United Data'!$A$3:$A$2150,M$1,'United Data'!$C$3:$C$2150,$A551,'United Data'!$B$3:$B$2150,"&lt;&gt;P")&gt;0,1,0)</f>
        <v>0</v>
      </c>
      <c r="N551">
        <f>IF(COUNTIFS('United Data'!$A$3:$A$2150,N$1,'United Data'!$C$3:$C$2150,$A551,'United Data'!$B$3:$B$2150,"&lt;&gt;P")&gt;0,1,0)</f>
        <v>1</v>
      </c>
      <c r="O551">
        <f>IF(COUNTIFS('United Data'!$A$3:$A$2150,O$1,'United Data'!$C$3:$C$2150,$A551,'United Data'!$B$3:$B$2150,"&lt;&gt;P")&gt;0,1,0)</f>
        <v>1</v>
      </c>
      <c r="P551">
        <f>IF(COUNTIFS('United Data'!$A$3:$A$2150,P$1,'United Data'!$C$3:$C$2150,$A551,'United Data'!$B$3:$B$2150,"&lt;&gt;P")&gt;0,1,0)</f>
        <v>0</v>
      </c>
      <c r="Q551">
        <f>IF(COUNTIFS('United Data'!$A$3:$A$2150,Q$1,'United Data'!$C$3:$C$2150,$A551,'United Data'!$B$3:$B$2150,"&lt;&gt;P")&gt;0,1,0)</f>
        <v>0</v>
      </c>
      <c r="R551">
        <f>IF(COUNTIFS('United Data'!$A$3:$A$2150,R$1,'United Data'!$C$3:$C$2150,$A551,'United Data'!$B$3:$B$2150,"&lt;&gt;P")&gt;0,1,0)</f>
        <v>0</v>
      </c>
      <c r="S551">
        <f t="shared" si="16"/>
        <v>2</v>
      </c>
      <c r="T551">
        <f t="shared" si="17"/>
        <v>1</v>
      </c>
    </row>
    <row r="552" spans="1:20" x14ac:dyDescent="0.2">
      <c r="A552" t="s">
        <v>598</v>
      </c>
      <c r="B552">
        <f>IF(COUNTIFS('United Data'!$A$3:$A$2150,B$1,'United Data'!$C$3:$C$2150,$A552,'United Data'!$B$3:$B$2150,"&lt;&gt;P")&gt;0,1,0)</f>
        <v>0</v>
      </c>
      <c r="C552">
        <f>IF(COUNTIFS('United Data'!$A$3:$A$2150,C$1,'United Data'!$C$3:$C$2150,$A552,'United Data'!$B$3:$B$2150,"&lt;&gt;P")&gt;0,1,0)</f>
        <v>0</v>
      </c>
      <c r="D552">
        <f>IF(COUNTIFS('United Data'!$A$3:$A$2150,D$1,'United Data'!$C$3:$C$2150,$A552,'United Data'!$B$3:$B$2150,"&lt;&gt;P")&gt;0,1,0)</f>
        <v>0</v>
      </c>
      <c r="E552">
        <f>IF(COUNTIFS('United Data'!$A$3:$A$2150,E$1,'United Data'!$C$3:$C$2150,$A552,'United Data'!$B$3:$B$2150,"&lt;&gt;P")&gt;0,1,0)</f>
        <v>0</v>
      </c>
      <c r="F552">
        <f>IF(COUNTIFS('United Data'!$A$3:$A$2150,F$1,'United Data'!$C$3:$C$2150,$A552,'United Data'!$B$3:$B$2150,"&lt;&gt;P")&gt;0,1,0)</f>
        <v>0</v>
      </c>
      <c r="G552">
        <f>IF(COUNTIFS('United Data'!$A$3:$A$2150,G$1,'United Data'!$C$3:$C$2150,$A552,'United Data'!$B$3:$B$2150,"&lt;&gt;P")&gt;0,1,0)</f>
        <v>0</v>
      </c>
      <c r="H552">
        <f>IF(COUNTIFS('United Data'!$A$3:$A$2150,H$1,'United Data'!$C$3:$C$2150,$A552,'United Data'!$B$3:$B$2150,"&lt;&gt;P")&gt;0,1,0)</f>
        <v>0</v>
      </c>
      <c r="I552">
        <f>IF(COUNTIFS('United Data'!$A$3:$A$2150,I$1,'United Data'!$C$3:$C$2150,$A552,'United Data'!$B$3:$B$2150,"&lt;&gt;P")&gt;0,1,0)</f>
        <v>0</v>
      </c>
      <c r="J552">
        <f>IF(COUNTIFS('United Data'!$A$3:$A$2150,J$1,'United Data'!$C$3:$C$2150,$A552,'United Data'!$B$3:$B$2150,"&lt;&gt;P")&gt;0,1,0)</f>
        <v>0</v>
      </c>
      <c r="K552">
        <f>IF(COUNTIFS('United Data'!$A$3:$A$2150,K$1,'United Data'!$C$3:$C$2150,$A552,'United Data'!$B$3:$B$2150,"&lt;&gt;P")&gt;0,1,0)</f>
        <v>0</v>
      </c>
      <c r="L552">
        <f>IF(COUNTIFS('United Data'!$A$3:$A$2150,L$1,'United Data'!$C$3:$C$2150,$A552,'United Data'!$B$3:$B$2150,"&lt;&gt;P")&gt;0,1,0)</f>
        <v>0</v>
      </c>
      <c r="M552">
        <f>IF(COUNTIFS('United Data'!$A$3:$A$2150,M$1,'United Data'!$C$3:$C$2150,$A552,'United Data'!$B$3:$B$2150,"&lt;&gt;P")&gt;0,1,0)</f>
        <v>0</v>
      </c>
      <c r="N552">
        <f>IF(COUNTIFS('United Data'!$A$3:$A$2150,N$1,'United Data'!$C$3:$C$2150,$A552,'United Data'!$B$3:$B$2150,"&lt;&gt;P")&gt;0,1,0)</f>
        <v>1</v>
      </c>
      <c r="O552">
        <f>IF(COUNTIFS('United Data'!$A$3:$A$2150,O$1,'United Data'!$C$3:$C$2150,$A552,'United Data'!$B$3:$B$2150,"&lt;&gt;P")&gt;0,1,0)</f>
        <v>1</v>
      </c>
      <c r="P552">
        <f>IF(COUNTIFS('United Data'!$A$3:$A$2150,P$1,'United Data'!$C$3:$C$2150,$A552,'United Data'!$B$3:$B$2150,"&lt;&gt;P")&gt;0,1,0)</f>
        <v>0</v>
      </c>
      <c r="Q552">
        <f>IF(COUNTIFS('United Data'!$A$3:$A$2150,Q$1,'United Data'!$C$3:$C$2150,$A552,'United Data'!$B$3:$B$2150,"&lt;&gt;P")&gt;0,1,0)</f>
        <v>0</v>
      </c>
      <c r="R552">
        <f>IF(COUNTIFS('United Data'!$A$3:$A$2150,R$1,'United Data'!$C$3:$C$2150,$A552,'United Data'!$B$3:$B$2150,"&lt;&gt;P")&gt;0,1,0)</f>
        <v>0</v>
      </c>
      <c r="S552">
        <f t="shared" si="16"/>
        <v>2</v>
      </c>
      <c r="T552">
        <f t="shared" si="17"/>
        <v>1</v>
      </c>
    </row>
    <row r="553" spans="1:20" x14ac:dyDescent="0.2">
      <c r="A553" t="s">
        <v>599</v>
      </c>
      <c r="B553">
        <f>IF(COUNTIFS('United Data'!$A$3:$A$2150,B$1,'United Data'!$C$3:$C$2150,$A553,'United Data'!$B$3:$B$2150,"&lt;&gt;P")&gt;0,1,0)</f>
        <v>0</v>
      </c>
      <c r="C553">
        <f>IF(COUNTIFS('United Data'!$A$3:$A$2150,C$1,'United Data'!$C$3:$C$2150,$A553,'United Data'!$B$3:$B$2150,"&lt;&gt;P")&gt;0,1,0)</f>
        <v>0</v>
      </c>
      <c r="D553">
        <f>IF(COUNTIFS('United Data'!$A$3:$A$2150,D$1,'United Data'!$C$3:$C$2150,$A553,'United Data'!$B$3:$B$2150,"&lt;&gt;P")&gt;0,1,0)</f>
        <v>0</v>
      </c>
      <c r="E553">
        <f>IF(COUNTIFS('United Data'!$A$3:$A$2150,E$1,'United Data'!$C$3:$C$2150,$A553,'United Data'!$B$3:$B$2150,"&lt;&gt;P")&gt;0,1,0)</f>
        <v>0</v>
      </c>
      <c r="F553">
        <f>IF(COUNTIFS('United Data'!$A$3:$A$2150,F$1,'United Data'!$C$3:$C$2150,$A553,'United Data'!$B$3:$B$2150,"&lt;&gt;P")&gt;0,1,0)</f>
        <v>0</v>
      </c>
      <c r="G553">
        <f>IF(COUNTIFS('United Data'!$A$3:$A$2150,G$1,'United Data'!$C$3:$C$2150,$A553,'United Data'!$B$3:$B$2150,"&lt;&gt;P")&gt;0,1,0)</f>
        <v>0</v>
      </c>
      <c r="H553">
        <f>IF(COUNTIFS('United Data'!$A$3:$A$2150,H$1,'United Data'!$C$3:$C$2150,$A553,'United Data'!$B$3:$B$2150,"&lt;&gt;P")&gt;0,1,0)</f>
        <v>0</v>
      </c>
      <c r="I553">
        <f>IF(COUNTIFS('United Data'!$A$3:$A$2150,I$1,'United Data'!$C$3:$C$2150,$A553,'United Data'!$B$3:$B$2150,"&lt;&gt;P")&gt;0,1,0)</f>
        <v>0</v>
      </c>
      <c r="J553">
        <f>IF(COUNTIFS('United Data'!$A$3:$A$2150,J$1,'United Data'!$C$3:$C$2150,$A553,'United Data'!$B$3:$B$2150,"&lt;&gt;P")&gt;0,1,0)</f>
        <v>0</v>
      </c>
      <c r="K553">
        <f>IF(COUNTIFS('United Data'!$A$3:$A$2150,K$1,'United Data'!$C$3:$C$2150,$A553,'United Data'!$B$3:$B$2150,"&lt;&gt;P")&gt;0,1,0)</f>
        <v>0</v>
      </c>
      <c r="L553">
        <f>IF(COUNTIFS('United Data'!$A$3:$A$2150,L$1,'United Data'!$C$3:$C$2150,$A553,'United Data'!$B$3:$B$2150,"&lt;&gt;P")&gt;0,1,0)</f>
        <v>0</v>
      </c>
      <c r="M553">
        <f>IF(COUNTIFS('United Data'!$A$3:$A$2150,M$1,'United Data'!$C$3:$C$2150,$A553,'United Data'!$B$3:$B$2150,"&lt;&gt;P")&gt;0,1,0)</f>
        <v>0</v>
      </c>
      <c r="N553">
        <f>IF(COUNTIFS('United Data'!$A$3:$A$2150,N$1,'United Data'!$C$3:$C$2150,$A553,'United Data'!$B$3:$B$2150,"&lt;&gt;P")&gt;0,1,0)</f>
        <v>1</v>
      </c>
      <c r="O553">
        <f>IF(COUNTIFS('United Data'!$A$3:$A$2150,O$1,'United Data'!$C$3:$C$2150,$A553,'United Data'!$B$3:$B$2150,"&lt;&gt;P")&gt;0,1,0)</f>
        <v>1</v>
      </c>
      <c r="P553">
        <f>IF(COUNTIFS('United Data'!$A$3:$A$2150,P$1,'United Data'!$C$3:$C$2150,$A553,'United Data'!$B$3:$B$2150,"&lt;&gt;P")&gt;0,1,0)</f>
        <v>0</v>
      </c>
      <c r="Q553">
        <f>IF(COUNTIFS('United Data'!$A$3:$A$2150,Q$1,'United Data'!$C$3:$C$2150,$A553,'United Data'!$B$3:$B$2150,"&lt;&gt;P")&gt;0,1,0)</f>
        <v>0</v>
      </c>
      <c r="R553">
        <f>IF(COUNTIFS('United Data'!$A$3:$A$2150,R$1,'United Data'!$C$3:$C$2150,$A553,'United Data'!$B$3:$B$2150,"&lt;&gt;P")&gt;0,1,0)</f>
        <v>0</v>
      </c>
      <c r="S553">
        <f t="shared" si="16"/>
        <v>2</v>
      </c>
      <c r="T553">
        <f t="shared" si="17"/>
        <v>1</v>
      </c>
    </row>
    <row r="554" spans="1:20" x14ac:dyDescent="0.2">
      <c r="A554" t="s">
        <v>600</v>
      </c>
      <c r="B554">
        <f>IF(COUNTIFS('United Data'!$A$3:$A$2150,B$1,'United Data'!$C$3:$C$2150,$A554,'United Data'!$B$3:$B$2150,"&lt;&gt;P")&gt;0,1,0)</f>
        <v>0</v>
      </c>
      <c r="C554">
        <f>IF(COUNTIFS('United Data'!$A$3:$A$2150,C$1,'United Data'!$C$3:$C$2150,$A554,'United Data'!$B$3:$B$2150,"&lt;&gt;P")&gt;0,1,0)</f>
        <v>0</v>
      </c>
      <c r="D554">
        <f>IF(COUNTIFS('United Data'!$A$3:$A$2150,D$1,'United Data'!$C$3:$C$2150,$A554,'United Data'!$B$3:$B$2150,"&lt;&gt;P")&gt;0,1,0)</f>
        <v>0</v>
      </c>
      <c r="E554">
        <f>IF(COUNTIFS('United Data'!$A$3:$A$2150,E$1,'United Data'!$C$3:$C$2150,$A554,'United Data'!$B$3:$B$2150,"&lt;&gt;P")&gt;0,1,0)</f>
        <v>0</v>
      </c>
      <c r="F554">
        <f>IF(COUNTIFS('United Data'!$A$3:$A$2150,F$1,'United Data'!$C$3:$C$2150,$A554,'United Data'!$B$3:$B$2150,"&lt;&gt;P")&gt;0,1,0)</f>
        <v>0</v>
      </c>
      <c r="G554">
        <f>IF(COUNTIFS('United Data'!$A$3:$A$2150,G$1,'United Data'!$C$3:$C$2150,$A554,'United Data'!$B$3:$B$2150,"&lt;&gt;P")&gt;0,1,0)</f>
        <v>0</v>
      </c>
      <c r="H554">
        <f>IF(COUNTIFS('United Data'!$A$3:$A$2150,H$1,'United Data'!$C$3:$C$2150,$A554,'United Data'!$B$3:$B$2150,"&lt;&gt;P")&gt;0,1,0)</f>
        <v>0</v>
      </c>
      <c r="I554">
        <f>IF(COUNTIFS('United Data'!$A$3:$A$2150,I$1,'United Data'!$C$3:$C$2150,$A554,'United Data'!$B$3:$B$2150,"&lt;&gt;P")&gt;0,1,0)</f>
        <v>0</v>
      </c>
      <c r="J554">
        <f>IF(COUNTIFS('United Data'!$A$3:$A$2150,J$1,'United Data'!$C$3:$C$2150,$A554,'United Data'!$B$3:$B$2150,"&lt;&gt;P")&gt;0,1,0)</f>
        <v>0</v>
      </c>
      <c r="K554">
        <f>IF(COUNTIFS('United Data'!$A$3:$A$2150,K$1,'United Data'!$C$3:$C$2150,$A554,'United Data'!$B$3:$B$2150,"&lt;&gt;P")&gt;0,1,0)</f>
        <v>0</v>
      </c>
      <c r="L554">
        <f>IF(COUNTIFS('United Data'!$A$3:$A$2150,L$1,'United Data'!$C$3:$C$2150,$A554,'United Data'!$B$3:$B$2150,"&lt;&gt;P")&gt;0,1,0)</f>
        <v>0</v>
      </c>
      <c r="M554">
        <f>IF(COUNTIFS('United Data'!$A$3:$A$2150,M$1,'United Data'!$C$3:$C$2150,$A554,'United Data'!$B$3:$B$2150,"&lt;&gt;P")&gt;0,1,0)</f>
        <v>0</v>
      </c>
      <c r="N554">
        <f>IF(COUNTIFS('United Data'!$A$3:$A$2150,N$1,'United Data'!$C$3:$C$2150,$A554,'United Data'!$B$3:$B$2150,"&lt;&gt;P")&gt;0,1,0)</f>
        <v>1</v>
      </c>
      <c r="O554">
        <f>IF(COUNTIFS('United Data'!$A$3:$A$2150,O$1,'United Data'!$C$3:$C$2150,$A554,'United Data'!$B$3:$B$2150,"&lt;&gt;P")&gt;0,1,0)</f>
        <v>0</v>
      </c>
      <c r="P554">
        <f>IF(COUNTIFS('United Data'!$A$3:$A$2150,P$1,'United Data'!$C$3:$C$2150,$A554,'United Data'!$B$3:$B$2150,"&lt;&gt;P")&gt;0,1,0)</f>
        <v>0</v>
      </c>
      <c r="Q554">
        <f>IF(COUNTIFS('United Data'!$A$3:$A$2150,Q$1,'United Data'!$C$3:$C$2150,$A554,'United Data'!$B$3:$B$2150,"&lt;&gt;P")&gt;0,1,0)</f>
        <v>0</v>
      </c>
      <c r="R554">
        <f>IF(COUNTIFS('United Data'!$A$3:$A$2150,R$1,'United Data'!$C$3:$C$2150,$A554,'United Data'!$B$3:$B$2150,"&lt;&gt;P")&gt;0,1,0)</f>
        <v>0</v>
      </c>
      <c r="S554">
        <f t="shared" si="16"/>
        <v>1</v>
      </c>
      <c r="T554">
        <f t="shared" si="17"/>
        <v>1</v>
      </c>
    </row>
    <row r="555" spans="1:20" x14ac:dyDescent="0.2">
      <c r="A555" t="s">
        <v>601</v>
      </c>
      <c r="B555">
        <f>IF(COUNTIFS('United Data'!$A$3:$A$2150,B$1,'United Data'!$C$3:$C$2150,$A555,'United Data'!$B$3:$B$2150,"&lt;&gt;P")&gt;0,1,0)</f>
        <v>0</v>
      </c>
      <c r="C555">
        <f>IF(COUNTIFS('United Data'!$A$3:$A$2150,C$1,'United Data'!$C$3:$C$2150,$A555,'United Data'!$B$3:$B$2150,"&lt;&gt;P")&gt;0,1,0)</f>
        <v>0</v>
      </c>
      <c r="D555">
        <f>IF(COUNTIFS('United Data'!$A$3:$A$2150,D$1,'United Data'!$C$3:$C$2150,$A555,'United Data'!$B$3:$B$2150,"&lt;&gt;P")&gt;0,1,0)</f>
        <v>0</v>
      </c>
      <c r="E555">
        <f>IF(COUNTIFS('United Data'!$A$3:$A$2150,E$1,'United Data'!$C$3:$C$2150,$A555,'United Data'!$B$3:$B$2150,"&lt;&gt;P")&gt;0,1,0)</f>
        <v>0</v>
      </c>
      <c r="F555">
        <f>IF(COUNTIFS('United Data'!$A$3:$A$2150,F$1,'United Data'!$C$3:$C$2150,$A555,'United Data'!$B$3:$B$2150,"&lt;&gt;P")&gt;0,1,0)</f>
        <v>0</v>
      </c>
      <c r="G555">
        <f>IF(COUNTIFS('United Data'!$A$3:$A$2150,G$1,'United Data'!$C$3:$C$2150,$A555,'United Data'!$B$3:$B$2150,"&lt;&gt;P")&gt;0,1,0)</f>
        <v>0</v>
      </c>
      <c r="H555">
        <f>IF(COUNTIFS('United Data'!$A$3:$A$2150,H$1,'United Data'!$C$3:$C$2150,$A555,'United Data'!$B$3:$B$2150,"&lt;&gt;P")&gt;0,1,0)</f>
        <v>0</v>
      </c>
      <c r="I555">
        <f>IF(COUNTIFS('United Data'!$A$3:$A$2150,I$1,'United Data'!$C$3:$C$2150,$A555,'United Data'!$B$3:$B$2150,"&lt;&gt;P")&gt;0,1,0)</f>
        <v>0</v>
      </c>
      <c r="J555">
        <f>IF(COUNTIFS('United Data'!$A$3:$A$2150,J$1,'United Data'!$C$3:$C$2150,$A555,'United Data'!$B$3:$B$2150,"&lt;&gt;P")&gt;0,1,0)</f>
        <v>0</v>
      </c>
      <c r="K555">
        <f>IF(COUNTIFS('United Data'!$A$3:$A$2150,K$1,'United Data'!$C$3:$C$2150,$A555,'United Data'!$B$3:$B$2150,"&lt;&gt;P")&gt;0,1,0)</f>
        <v>0</v>
      </c>
      <c r="L555">
        <f>IF(COUNTIFS('United Data'!$A$3:$A$2150,L$1,'United Data'!$C$3:$C$2150,$A555,'United Data'!$B$3:$B$2150,"&lt;&gt;P")&gt;0,1,0)</f>
        <v>0</v>
      </c>
      <c r="M555">
        <f>IF(COUNTIFS('United Data'!$A$3:$A$2150,M$1,'United Data'!$C$3:$C$2150,$A555,'United Data'!$B$3:$B$2150,"&lt;&gt;P")&gt;0,1,0)</f>
        <v>0</v>
      </c>
      <c r="N555">
        <f>IF(COUNTIFS('United Data'!$A$3:$A$2150,N$1,'United Data'!$C$3:$C$2150,$A555,'United Data'!$B$3:$B$2150,"&lt;&gt;P")&gt;0,1,0)</f>
        <v>1</v>
      </c>
      <c r="O555">
        <f>IF(COUNTIFS('United Data'!$A$3:$A$2150,O$1,'United Data'!$C$3:$C$2150,$A555,'United Data'!$B$3:$B$2150,"&lt;&gt;P")&gt;0,1,0)</f>
        <v>0</v>
      </c>
      <c r="P555">
        <f>IF(COUNTIFS('United Data'!$A$3:$A$2150,P$1,'United Data'!$C$3:$C$2150,$A555,'United Data'!$B$3:$B$2150,"&lt;&gt;P")&gt;0,1,0)</f>
        <v>0</v>
      </c>
      <c r="Q555">
        <f>IF(COUNTIFS('United Data'!$A$3:$A$2150,Q$1,'United Data'!$C$3:$C$2150,$A555,'United Data'!$B$3:$B$2150,"&lt;&gt;P")&gt;0,1,0)</f>
        <v>0</v>
      </c>
      <c r="R555">
        <f>IF(COUNTIFS('United Data'!$A$3:$A$2150,R$1,'United Data'!$C$3:$C$2150,$A555,'United Data'!$B$3:$B$2150,"&lt;&gt;P")&gt;0,1,0)</f>
        <v>0</v>
      </c>
      <c r="S555">
        <f t="shared" si="16"/>
        <v>1</v>
      </c>
      <c r="T555">
        <f t="shared" si="17"/>
        <v>1</v>
      </c>
    </row>
    <row r="556" spans="1:20" x14ac:dyDescent="0.2">
      <c r="A556" t="s">
        <v>602</v>
      </c>
      <c r="B556">
        <f>IF(COUNTIFS('United Data'!$A$3:$A$2150,B$1,'United Data'!$C$3:$C$2150,$A556,'United Data'!$B$3:$B$2150,"&lt;&gt;P")&gt;0,1,0)</f>
        <v>0</v>
      </c>
      <c r="C556">
        <f>IF(COUNTIFS('United Data'!$A$3:$A$2150,C$1,'United Data'!$C$3:$C$2150,$A556,'United Data'!$B$3:$B$2150,"&lt;&gt;P")&gt;0,1,0)</f>
        <v>0</v>
      </c>
      <c r="D556">
        <f>IF(COUNTIFS('United Data'!$A$3:$A$2150,D$1,'United Data'!$C$3:$C$2150,$A556,'United Data'!$B$3:$B$2150,"&lt;&gt;P")&gt;0,1,0)</f>
        <v>0</v>
      </c>
      <c r="E556">
        <f>IF(COUNTIFS('United Data'!$A$3:$A$2150,E$1,'United Data'!$C$3:$C$2150,$A556,'United Data'!$B$3:$B$2150,"&lt;&gt;P")&gt;0,1,0)</f>
        <v>0</v>
      </c>
      <c r="F556">
        <f>IF(COUNTIFS('United Data'!$A$3:$A$2150,F$1,'United Data'!$C$3:$C$2150,$A556,'United Data'!$B$3:$B$2150,"&lt;&gt;P")&gt;0,1,0)</f>
        <v>0</v>
      </c>
      <c r="G556">
        <f>IF(COUNTIFS('United Data'!$A$3:$A$2150,G$1,'United Data'!$C$3:$C$2150,$A556,'United Data'!$B$3:$B$2150,"&lt;&gt;P")&gt;0,1,0)</f>
        <v>0</v>
      </c>
      <c r="H556">
        <f>IF(COUNTIFS('United Data'!$A$3:$A$2150,H$1,'United Data'!$C$3:$C$2150,$A556,'United Data'!$B$3:$B$2150,"&lt;&gt;P")&gt;0,1,0)</f>
        <v>0</v>
      </c>
      <c r="I556">
        <f>IF(COUNTIFS('United Data'!$A$3:$A$2150,I$1,'United Data'!$C$3:$C$2150,$A556,'United Data'!$B$3:$B$2150,"&lt;&gt;P")&gt;0,1,0)</f>
        <v>0</v>
      </c>
      <c r="J556">
        <f>IF(COUNTIFS('United Data'!$A$3:$A$2150,J$1,'United Data'!$C$3:$C$2150,$A556,'United Data'!$B$3:$B$2150,"&lt;&gt;P")&gt;0,1,0)</f>
        <v>0</v>
      </c>
      <c r="K556">
        <f>IF(COUNTIFS('United Data'!$A$3:$A$2150,K$1,'United Data'!$C$3:$C$2150,$A556,'United Data'!$B$3:$B$2150,"&lt;&gt;P")&gt;0,1,0)</f>
        <v>0</v>
      </c>
      <c r="L556">
        <f>IF(COUNTIFS('United Data'!$A$3:$A$2150,L$1,'United Data'!$C$3:$C$2150,$A556,'United Data'!$B$3:$B$2150,"&lt;&gt;P")&gt;0,1,0)</f>
        <v>0</v>
      </c>
      <c r="M556">
        <f>IF(COUNTIFS('United Data'!$A$3:$A$2150,M$1,'United Data'!$C$3:$C$2150,$A556,'United Data'!$B$3:$B$2150,"&lt;&gt;P")&gt;0,1,0)</f>
        <v>0</v>
      </c>
      <c r="N556">
        <f>IF(COUNTIFS('United Data'!$A$3:$A$2150,N$1,'United Data'!$C$3:$C$2150,$A556,'United Data'!$B$3:$B$2150,"&lt;&gt;P")&gt;0,1,0)</f>
        <v>1</v>
      </c>
      <c r="O556">
        <f>IF(COUNTIFS('United Data'!$A$3:$A$2150,O$1,'United Data'!$C$3:$C$2150,$A556,'United Data'!$B$3:$B$2150,"&lt;&gt;P")&gt;0,1,0)</f>
        <v>1</v>
      </c>
      <c r="P556">
        <f>IF(COUNTIFS('United Data'!$A$3:$A$2150,P$1,'United Data'!$C$3:$C$2150,$A556,'United Data'!$B$3:$B$2150,"&lt;&gt;P")&gt;0,1,0)</f>
        <v>1</v>
      </c>
      <c r="Q556">
        <f>IF(COUNTIFS('United Data'!$A$3:$A$2150,Q$1,'United Data'!$C$3:$C$2150,$A556,'United Data'!$B$3:$B$2150,"&lt;&gt;P")&gt;0,1,0)</f>
        <v>0</v>
      </c>
      <c r="R556">
        <f>IF(COUNTIFS('United Data'!$A$3:$A$2150,R$1,'United Data'!$C$3:$C$2150,$A556,'United Data'!$B$3:$B$2150,"&lt;&gt;P")&gt;0,1,0)</f>
        <v>0</v>
      </c>
      <c r="S556">
        <f t="shared" si="16"/>
        <v>3</v>
      </c>
      <c r="T556">
        <f t="shared" si="17"/>
        <v>1</v>
      </c>
    </row>
    <row r="557" spans="1:20" x14ac:dyDescent="0.2">
      <c r="A557" t="s">
        <v>603</v>
      </c>
      <c r="B557">
        <f>IF(COUNTIFS('United Data'!$A$3:$A$2150,B$1,'United Data'!$C$3:$C$2150,$A557,'United Data'!$B$3:$B$2150,"&lt;&gt;P")&gt;0,1,0)</f>
        <v>0</v>
      </c>
      <c r="C557">
        <f>IF(COUNTIFS('United Data'!$A$3:$A$2150,C$1,'United Data'!$C$3:$C$2150,$A557,'United Data'!$B$3:$B$2150,"&lt;&gt;P")&gt;0,1,0)</f>
        <v>0</v>
      </c>
      <c r="D557">
        <f>IF(COUNTIFS('United Data'!$A$3:$A$2150,D$1,'United Data'!$C$3:$C$2150,$A557,'United Data'!$B$3:$B$2150,"&lt;&gt;P")&gt;0,1,0)</f>
        <v>0</v>
      </c>
      <c r="E557">
        <f>IF(COUNTIFS('United Data'!$A$3:$A$2150,E$1,'United Data'!$C$3:$C$2150,$A557,'United Data'!$B$3:$B$2150,"&lt;&gt;P")&gt;0,1,0)</f>
        <v>0</v>
      </c>
      <c r="F557">
        <f>IF(COUNTIFS('United Data'!$A$3:$A$2150,F$1,'United Data'!$C$3:$C$2150,$A557,'United Data'!$B$3:$B$2150,"&lt;&gt;P")&gt;0,1,0)</f>
        <v>0</v>
      </c>
      <c r="G557">
        <f>IF(COUNTIFS('United Data'!$A$3:$A$2150,G$1,'United Data'!$C$3:$C$2150,$A557,'United Data'!$B$3:$B$2150,"&lt;&gt;P")&gt;0,1,0)</f>
        <v>0</v>
      </c>
      <c r="H557">
        <f>IF(COUNTIFS('United Data'!$A$3:$A$2150,H$1,'United Data'!$C$3:$C$2150,$A557,'United Data'!$B$3:$B$2150,"&lt;&gt;P")&gt;0,1,0)</f>
        <v>0</v>
      </c>
      <c r="I557">
        <f>IF(COUNTIFS('United Data'!$A$3:$A$2150,I$1,'United Data'!$C$3:$C$2150,$A557,'United Data'!$B$3:$B$2150,"&lt;&gt;P")&gt;0,1,0)</f>
        <v>0</v>
      </c>
      <c r="J557">
        <f>IF(COUNTIFS('United Data'!$A$3:$A$2150,J$1,'United Data'!$C$3:$C$2150,$A557,'United Data'!$B$3:$B$2150,"&lt;&gt;P")&gt;0,1,0)</f>
        <v>0</v>
      </c>
      <c r="K557">
        <f>IF(COUNTIFS('United Data'!$A$3:$A$2150,K$1,'United Data'!$C$3:$C$2150,$A557,'United Data'!$B$3:$B$2150,"&lt;&gt;P")&gt;0,1,0)</f>
        <v>0</v>
      </c>
      <c r="L557">
        <f>IF(COUNTIFS('United Data'!$A$3:$A$2150,L$1,'United Data'!$C$3:$C$2150,$A557,'United Data'!$B$3:$B$2150,"&lt;&gt;P")&gt;0,1,0)</f>
        <v>0</v>
      </c>
      <c r="M557">
        <f>IF(COUNTIFS('United Data'!$A$3:$A$2150,M$1,'United Data'!$C$3:$C$2150,$A557,'United Data'!$B$3:$B$2150,"&lt;&gt;P")&gt;0,1,0)</f>
        <v>0</v>
      </c>
      <c r="N557">
        <f>IF(COUNTIFS('United Data'!$A$3:$A$2150,N$1,'United Data'!$C$3:$C$2150,$A557,'United Data'!$B$3:$B$2150,"&lt;&gt;P")&gt;0,1,0)</f>
        <v>1</v>
      </c>
      <c r="O557">
        <f>IF(COUNTIFS('United Data'!$A$3:$A$2150,O$1,'United Data'!$C$3:$C$2150,$A557,'United Data'!$B$3:$B$2150,"&lt;&gt;P")&gt;0,1,0)</f>
        <v>0</v>
      </c>
      <c r="P557">
        <f>IF(COUNTIFS('United Data'!$A$3:$A$2150,P$1,'United Data'!$C$3:$C$2150,$A557,'United Data'!$B$3:$B$2150,"&lt;&gt;P")&gt;0,1,0)</f>
        <v>0</v>
      </c>
      <c r="Q557">
        <f>IF(COUNTIFS('United Data'!$A$3:$A$2150,Q$1,'United Data'!$C$3:$C$2150,$A557,'United Data'!$B$3:$B$2150,"&lt;&gt;P")&gt;0,1,0)</f>
        <v>0</v>
      </c>
      <c r="R557">
        <f>IF(COUNTIFS('United Data'!$A$3:$A$2150,R$1,'United Data'!$C$3:$C$2150,$A557,'United Data'!$B$3:$B$2150,"&lt;&gt;P")&gt;0,1,0)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604</v>
      </c>
      <c r="B558">
        <f>IF(COUNTIFS('United Data'!$A$3:$A$2150,B$1,'United Data'!$C$3:$C$2150,$A558,'United Data'!$B$3:$B$2150,"&lt;&gt;P")&gt;0,1,0)</f>
        <v>0</v>
      </c>
      <c r="C558">
        <f>IF(COUNTIFS('United Data'!$A$3:$A$2150,C$1,'United Data'!$C$3:$C$2150,$A558,'United Data'!$B$3:$B$2150,"&lt;&gt;P")&gt;0,1,0)</f>
        <v>0</v>
      </c>
      <c r="D558">
        <f>IF(COUNTIFS('United Data'!$A$3:$A$2150,D$1,'United Data'!$C$3:$C$2150,$A558,'United Data'!$B$3:$B$2150,"&lt;&gt;P")&gt;0,1,0)</f>
        <v>0</v>
      </c>
      <c r="E558">
        <f>IF(COUNTIFS('United Data'!$A$3:$A$2150,E$1,'United Data'!$C$3:$C$2150,$A558,'United Data'!$B$3:$B$2150,"&lt;&gt;P")&gt;0,1,0)</f>
        <v>0</v>
      </c>
      <c r="F558">
        <f>IF(COUNTIFS('United Data'!$A$3:$A$2150,F$1,'United Data'!$C$3:$C$2150,$A558,'United Data'!$B$3:$B$2150,"&lt;&gt;P")&gt;0,1,0)</f>
        <v>0</v>
      </c>
      <c r="G558">
        <f>IF(COUNTIFS('United Data'!$A$3:$A$2150,G$1,'United Data'!$C$3:$C$2150,$A558,'United Data'!$B$3:$B$2150,"&lt;&gt;P")&gt;0,1,0)</f>
        <v>0</v>
      </c>
      <c r="H558">
        <f>IF(COUNTIFS('United Data'!$A$3:$A$2150,H$1,'United Data'!$C$3:$C$2150,$A558,'United Data'!$B$3:$B$2150,"&lt;&gt;P")&gt;0,1,0)</f>
        <v>0</v>
      </c>
      <c r="I558">
        <f>IF(COUNTIFS('United Data'!$A$3:$A$2150,I$1,'United Data'!$C$3:$C$2150,$A558,'United Data'!$B$3:$B$2150,"&lt;&gt;P")&gt;0,1,0)</f>
        <v>0</v>
      </c>
      <c r="J558">
        <f>IF(COUNTIFS('United Data'!$A$3:$A$2150,J$1,'United Data'!$C$3:$C$2150,$A558,'United Data'!$B$3:$B$2150,"&lt;&gt;P")&gt;0,1,0)</f>
        <v>0</v>
      </c>
      <c r="K558">
        <f>IF(COUNTIFS('United Data'!$A$3:$A$2150,K$1,'United Data'!$C$3:$C$2150,$A558,'United Data'!$B$3:$B$2150,"&lt;&gt;P")&gt;0,1,0)</f>
        <v>0</v>
      </c>
      <c r="L558">
        <f>IF(COUNTIFS('United Data'!$A$3:$A$2150,L$1,'United Data'!$C$3:$C$2150,$A558,'United Data'!$B$3:$B$2150,"&lt;&gt;P")&gt;0,1,0)</f>
        <v>0</v>
      </c>
      <c r="M558">
        <f>IF(COUNTIFS('United Data'!$A$3:$A$2150,M$1,'United Data'!$C$3:$C$2150,$A558,'United Data'!$B$3:$B$2150,"&lt;&gt;P")&gt;0,1,0)</f>
        <v>0</v>
      </c>
      <c r="N558">
        <f>IF(COUNTIFS('United Data'!$A$3:$A$2150,N$1,'United Data'!$C$3:$C$2150,$A558,'United Data'!$B$3:$B$2150,"&lt;&gt;P")&gt;0,1,0)</f>
        <v>1</v>
      </c>
      <c r="O558">
        <f>IF(COUNTIFS('United Data'!$A$3:$A$2150,O$1,'United Data'!$C$3:$C$2150,$A558,'United Data'!$B$3:$B$2150,"&lt;&gt;P")&gt;0,1,0)</f>
        <v>0</v>
      </c>
      <c r="P558">
        <f>IF(COUNTIFS('United Data'!$A$3:$A$2150,P$1,'United Data'!$C$3:$C$2150,$A558,'United Data'!$B$3:$B$2150,"&lt;&gt;P")&gt;0,1,0)</f>
        <v>0</v>
      </c>
      <c r="Q558">
        <f>IF(COUNTIFS('United Data'!$A$3:$A$2150,Q$1,'United Data'!$C$3:$C$2150,$A558,'United Data'!$B$3:$B$2150,"&lt;&gt;P")&gt;0,1,0)</f>
        <v>0</v>
      </c>
      <c r="R558">
        <f>IF(COUNTIFS('United Data'!$A$3:$A$2150,R$1,'United Data'!$C$3:$C$2150,$A558,'United Data'!$B$3:$B$2150,"&lt;&gt;P")&gt;0,1,0)</f>
        <v>0</v>
      </c>
      <c r="S558">
        <f t="shared" si="16"/>
        <v>1</v>
      </c>
      <c r="T558">
        <f t="shared" si="17"/>
        <v>1</v>
      </c>
    </row>
    <row r="559" spans="1:20" x14ac:dyDescent="0.2">
      <c r="A559" t="s">
        <v>605</v>
      </c>
      <c r="B559">
        <f>IF(COUNTIFS('United Data'!$A$3:$A$2150,B$1,'United Data'!$C$3:$C$2150,$A559,'United Data'!$B$3:$B$2150,"&lt;&gt;P")&gt;0,1,0)</f>
        <v>0</v>
      </c>
      <c r="C559">
        <f>IF(COUNTIFS('United Data'!$A$3:$A$2150,C$1,'United Data'!$C$3:$C$2150,$A559,'United Data'!$B$3:$B$2150,"&lt;&gt;P")&gt;0,1,0)</f>
        <v>0</v>
      </c>
      <c r="D559">
        <f>IF(COUNTIFS('United Data'!$A$3:$A$2150,D$1,'United Data'!$C$3:$C$2150,$A559,'United Data'!$B$3:$B$2150,"&lt;&gt;P")&gt;0,1,0)</f>
        <v>0</v>
      </c>
      <c r="E559">
        <f>IF(COUNTIFS('United Data'!$A$3:$A$2150,E$1,'United Data'!$C$3:$C$2150,$A559,'United Data'!$B$3:$B$2150,"&lt;&gt;P")&gt;0,1,0)</f>
        <v>0</v>
      </c>
      <c r="F559">
        <f>IF(COUNTIFS('United Data'!$A$3:$A$2150,F$1,'United Data'!$C$3:$C$2150,$A559,'United Data'!$B$3:$B$2150,"&lt;&gt;P")&gt;0,1,0)</f>
        <v>0</v>
      </c>
      <c r="G559">
        <f>IF(COUNTIFS('United Data'!$A$3:$A$2150,G$1,'United Data'!$C$3:$C$2150,$A559,'United Data'!$B$3:$B$2150,"&lt;&gt;P")&gt;0,1,0)</f>
        <v>0</v>
      </c>
      <c r="H559">
        <f>IF(COUNTIFS('United Data'!$A$3:$A$2150,H$1,'United Data'!$C$3:$C$2150,$A559,'United Data'!$B$3:$B$2150,"&lt;&gt;P")&gt;0,1,0)</f>
        <v>0</v>
      </c>
      <c r="I559">
        <f>IF(COUNTIFS('United Data'!$A$3:$A$2150,I$1,'United Data'!$C$3:$C$2150,$A559,'United Data'!$B$3:$B$2150,"&lt;&gt;P")&gt;0,1,0)</f>
        <v>0</v>
      </c>
      <c r="J559">
        <f>IF(COUNTIFS('United Data'!$A$3:$A$2150,J$1,'United Data'!$C$3:$C$2150,$A559,'United Data'!$B$3:$B$2150,"&lt;&gt;P")&gt;0,1,0)</f>
        <v>0</v>
      </c>
      <c r="K559">
        <f>IF(COUNTIFS('United Data'!$A$3:$A$2150,K$1,'United Data'!$C$3:$C$2150,$A559,'United Data'!$B$3:$B$2150,"&lt;&gt;P")&gt;0,1,0)</f>
        <v>0</v>
      </c>
      <c r="L559">
        <f>IF(COUNTIFS('United Data'!$A$3:$A$2150,L$1,'United Data'!$C$3:$C$2150,$A559,'United Data'!$B$3:$B$2150,"&lt;&gt;P")&gt;0,1,0)</f>
        <v>0</v>
      </c>
      <c r="M559">
        <f>IF(COUNTIFS('United Data'!$A$3:$A$2150,M$1,'United Data'!$C$3:$C$2150,$A559,'United Data'!$B$3:$B$2150,"&lt;&gt;P")&gt;0,1,0)</f>
        <v>0</v>
      </c>
      <c r="N559">
        <f>IF(COUNTIFS('United Data'!$A$3:$A$2150,N$1,'United Data'!$C$3:$C$2150,$A559,'United Data'!$B$3:$B$2150,"&lt;&gt;P")&gt;0,1,0)</f>
        <v>0</v>
      </c>
      <c r="O559">
        <f>IF(COUNTIFS('United Data'!$A$3:$A$2150,O$1,'United Data'!$C$3:$C$2150,$A559,'United Data'!$B$3:$B$2150,"&lt;&gt;P")&gt;0,1,0)</f>
        <v>1</v>
      </c>
      <c r="P559">
        <f>IF(COUNTIFS('United Data'!$A$3:$A$2150,P$1,'United Data'!$C$3:$C$2150,$A559,'United Data'!$B$3:$B$2150,"&lt;&gt;P")&gt;0,1,0)</f>
        <v>0</v>
      </c>
      <c r="Q559">
        <f>IF(COUNTIFS('United Data'!$A$3:$A$2150,Q$1,'United Data'!$C$3:$C$2150,$A559,'United Data'!$B$3:$B$2150,"&lt;&gt;P")&gt;0,1,0)</f>
        <v>0</v>
      </c>
      <c r="R559">
        <f>IF(COUNTIFS('United Data'!$A$3:$A$2150,R$1,'United Data'!$C$3:$C$2150,$A559,'United Data'!$B$3:$B$2150,"&lt;&gt;P")&gt;0,1,0)</f>
        <v>0</v>
      </c>
      <c r="S559">
        <f t="shared" si="16"/>
        <v>1</v>
      </c>
      <c r="T559">
        <f t="shared" si="17"/>
        <v>1</v>
      </c>
    </row>
    <row r="560" spans="1:20" x14ac:dyDescent="0.2">
      <c r="A560" t="s">
        <v>606</v>
      </c>
      <c r="B560">
        <f>IF(COUNTIFS('United Data'!$A$3:$A$2150,B$1,'United Data'!$C$3:$C$2150,$A560,'United Data'!$B$3:$B$2150,"&lt;&gt;P")&gt;0,1,0)</f>
        <v>0</v>
      </c>
      <c r="C560">
        <f>IF(COUNTIFS('United Data'!$A$3:$A$2150,C$1,'United Data'!$C$3:$C$2150,$A560,'United Data'!$B$3:$B$2150,"&lt;&gt;P")&gt;0,1,0)</f>
        <v>0</v>
      </c>
      <c r="D560">
        <f>IF(COUNTIFS('United Data'!$A$3:$A$2150,D$1,'United Data'!$C$3:$C$2150,$A560,'United Data'!$B$3:$B$2150,"&lt;&gt;P")&gt;0,1,0)</f>
        <v>0</v>
      </c>
      <c r="E560">
        <f>IF(COUNTIFS('United Data'!$A$3:$A$2150,E$1,'United Data'!$C$3:$C$2150,$A560,'United Data'!$B$3:$B$2150,"&lt;&gt;P")&gt;0,1,0)</f>
        <v>0</v>
      </c>
      <c r="F560">
        <f>IF(COUNTIFS('United Data'!$A$3:$A$2150,F$1,'United Data'!$C$3:$C$2150,$A560,'United Data'!$B$3:$B$2150,"&lt;&gt;P")&gt;0,1,0)</f>
        <v>0</v>
      </c>
      <c r="G560">
        <f>IF(COUNTIFS('United Data'!$A$3:$A$2150,G$1,'United Data'!$C$3:$C$2150,$A560,'United Data'!$B$3:$B$2150,"&lt;&gt;P")&gt;0,1,0)</f>
        <v>0</v>
      </c>
      <c r="H560">
        <f>IF(COUNTIFS('United Data'!$A$3:$A$2150,H$1,'United Data'!$C$3:$C$2150,$A560,'United Data'!$B$3:$B$2150,"&lt;&gt;P")&gt;0,1,0)</f>
        <v>0</v>
      </c>
      <c r="I560">
        <f>IF(COUNTIFS('United Data'!$A$3:$A$2150,I$1,'United Data'!$C$3:$C$2150,$A560,'United Data'!$B$3:$B$2150,"&lt;&gt;P")&gt;0,1,0)</f>
        <v>0</v>
      </c>
      <c r="J560">
        <f>IF(COUNTIFS('United Data'!$A$3:$A$2150,J$1,'United Data'!$C$3:$C$2150,$A560,'United Data'!$B$3:$B$2150,"&lt;&gt;P")&gt;0,1,0)</f>
        <v>0</v>
      </c>
      <c r="K560">
        <f>IF(COUNTIFS('United Data'!$A$3:$A$2150,K$1,'United Data'!$C$3:$C$2150,$A560,'United Data'!$B$3:$B$2150,"&lt;&gt;P")&gt;0,1,0)</f>
        <v>0</v>
      </c>
      <c r="L560">
        <f>IF(COUNTIFS('United Data'!$A$3:$A$2150,L$1,'United Data'!$C$3:$C$2150,$A560,'United Data'!$B$3:$B$2150,"&lt;&gt;P")&gt;0,1,0)</f>
        <v>0</v>
      </c>
      <c r="M560">
        <f>IF(COUNTIFS('United Data'!$A$3:$A$2150,M$1,'United Data'!$C$3:$C$2150,$A560,'United Data'!$B$3:$B$2150,"&lt;&gt;P")&gt;0,1,0)</f>
        <v>0</v>
      </c>
      <c r="N560">
        <f>IF(COUNTIFS('United Data'!$A$3:$A$2150,N$1,'United Data'!$C$3:$C$2150,$A560,'United Data'!$B$3:$B$2150,"&lt;&gt;P")&gt;0,1,0)</f>
        <v>0</v>
      </c>
      <c r="O560">
        <f>IF(COUNTIFS('United Data'!$A$3:$A$2150,O$1,'United Data'!$C$3:$C$2150,$A560,'United Data'!$B$3:$B$2150,"&lt;&gt;P")&gt;0,1,0)</f>
        <v>1</v>
      </c>
      <c r="P560">
        <f>IF(COUNTIFS('United Data'!$A$3:$A$2150,P$1,'United Data'!$C$3:$C$2150,$A560,'United Data'!$B$3:$B$2150,"&lt;&gt;P")&gt;0,1,0)</f>
        <v>0</v>
      </c>
      <c r="Q560">
        <f>IF(COUNTIFS('United Data'!$A$3:$A$2150,Q$1,'United Data'!$C$3:$C$2150,$A560,'United Data'!$B$3:$B$2150,"&lt;&gt;P")&gt;0,1,0)</f>
        <v>0</v>
      </c>
      <c r="R560">
        <f>IF(COUNTIFS('United Data'!$A$3:$A$2150,R$1,'United Data'!$C$3:$C$2150,$A560,'United Data'!$B$3:$B$2150,"&lt;&gt;P")&gt;0,1,0)</f>
        <v>0</v>
      </c>
      <c r="S560">
        <f t="shared" si="16"/>
        <v>1</v>
      </c>
      <c r="T560">
        <f t="shared" si="17"/>
        <v>1</v>
      </c>
    </row>
    <row r="561" spans="1:20" x14ac:dyDescent="0.2">
      <c r="A561" t="s">
        <v>607</v>
      </c>
      <c r="B561">
        <f>IF(COUNTIFS('United Data'!$A$3:$A$2150,B$1,'United Data'!$C$3:$C$2150,$A561,'United Data'!$B$3:$B$2150,"&lt;&gt;P")&gt;0,1,0)</f>
        <v>0</v>
      </c>
      <c r="C561">
        <f>IF(COUNTIFS('United Data'!$A$3:$A$2150,C$1,'United Data'!$C$3:$C$2150,$A561,'United Data'!$B$3:$B$2150,"&lt;&gt;P")&gt;0,1,0)</f>
        <v>0</v>
      </c>
      <c r="D561">
        <f>IF(COUNTIFS('United Data'!$A$3:$A$2150,D$1,'United Data'!$C$3:$C$2150,$A561,'United Data'!$B$3:$B$2150,"&lt;&gt;P")&gt;0,1,0)</f>
        <v>0</v>
      </c>
      <c r="E561">
        <f>IF(COUNTIFS('United Data'!$A$3:$A$2150,E$1,'United Data'!$C$3:$C$2150,$A561,'United Data'!$B$3:$B$2150,"&lt;&gt;P")&gt;0,1,0)</f>
        <v>0</v>
      </c>
      <c r="F561">
        <f>IF(COUNTIFS('United Data'!$A$3:$A$2150,F$1,'United Data'!$C$3:$C$2150,$A561,'United Data'!$B$3:$B$2150,"&lt;&gt;P")&gt;0,1,0)</f>
        <v>0</v>
      </c>
      <c r="G561">
        <f>IF(COUNTIFS('United Data'!$A$3:$A$2150,G$1,'United Data'!$C$3:$C$2150,$A561,'United Data'!$B$3:$B$2150,"&lt;&gt;P")&gt;0,1,0)</f>
        <v>0</v>
      </c>
      <c r="H561">
        <f>IF(COUNTIFS('United Data'!$A$3:$A$2150,H$1,'United Data'!$C$3:$C$2150,$A561,'United Data'!$B$3:$B$2150,"&lt;&gt;P")&gt;0,1,0)</f>
        <v>0</v>
      </c>
      <c r="I561">
        <f>IF(COUNTIFS('United Data'!$A$3:$A$2150,I$1,'United Data'!$C$3:$C$2150,$A561,'United Data'!$B$3:$B$2150,"&lt;&gt;P")&gt;0,1,0)</f>
        <v>0</v>
      </c>
      <c r="J561">
        <f>IF(COUNTIFS('United Data'!$A$3:$A$2150,J$1,'United Data'!$C$3:$C$2150,$A561,'United Data'!$B$3:$B$2150,"&lt;&gt;P")&gt;0,1,0)</f>
        <v>0</v>
      </c>
      <c r="K561">
        <f>IF(COUNTIFS('United Data'!$A$3:$A$2150,K$1,'United Data'!$C$3:$C$2150,$A561,'United Data'!$B$3:$B$2150,"&lt;&gt;P")&gt;0,1,0)</f>
        <v>0</v>
      </c>
      <c r="L561">
        <f>IF(COUNTIFS('United Data'!$A$3:$A$2150,L$1,'United Data'!$C$3:$C$2150,$A561,'United Data'!$B$3:$B$2150,"&lt;&gt;P")&gt;0,1,0)</f>
        <v>0</v>
      </c>
      <c r="M561">
        <f>IF(COUNTIFS('United Data'!$A$3:$A$2150,M$1,'United Data'!$C$3:$C$2150,$A561,'United Data'!$B$3:$B$2150,"&lt;&gt;P")&gt;0,1,0)</f>
        <v>0</v>
      </c>
      <c r="N561">
        <f>IF(COUNTIFS('United Data'!$A$3:$A$2150,N$1,'United Data'!$C$3:$C$2150,$A561,'United Data'!$B$3:$B$2150,"&lt;&gt;P")&gt;0,1,0)</f>
        <v>0</v>
      </c>
      <c r="O561">
        <f>IF(COUNTIFS('United Data'!$A$3:$A$2150,O$1,'United Data'!$C$3:$C$2150,$A561,'United Data'!$B$3:$B$2150,"&lt;&gt;P")&gt;0,1,0)</f>
        <v>1</v>
      </c>
      <c r="P561">
        <f>IF(COUNTIFS('United Data'!$A$3:$A$2150,P$1,'United Data'!$C$3:$C$2150,$A561,'United Data'!$B$3:$B$2150,"&lt;&gt;P")&gt;0,1,0)</f>
        <v>0</v>
      </c>
      <c r="Q561">
        <f>IF(COUNTIFS('United Data'!$A$3:$A$2150,Q$1,'United Data'!$C$3:$C$2150,$A561,'United Data'!$B$3:$B$2150,"&lt;&gt;P")&gt;0,1,0)</f>
        <v>0</v>
      </c>
      <c r="R561">
        <f>IF(COUNTIFS('United Data'!$A$3:$A$2150,R$1,'United Data'!$C$3:$C$2150,$A561,'United Data'!$B$3:$B$2150,"&lt;&gt;P")&gt;0,1,0)</f>
        <v>0</v>
      </c>
      <c r="S561">
        <f t="shared" si="16"/>
        <v>1</v>
      </c>
      <c r="T561">
        <f t="shared" si="17"/>
        <v>1</v>
      </c>
    </row>
    <row r="562" spans="1:20" x14ac:dyDescent="0.2">
      <c r="A562" t="s">
        <v>608</v>
      </c>
      <c r="B562">
        <f>IF(COUNTIFS('United Data'!$A$3:$A$2150,B$1,'United Data'!$C$3:$C$2150,$A562,'United Data'!$B$3:$B$2150,"&lt;&gt;P")&gt;0,1,0)</f>
        <v>0</v>
      </c>
      <c r="C562">
        <f>IF(COUNTIFS('United Data'!$A$3:$A$2150,C$1,'United Data'!$C$3:$C$2150,$A562,'United Data'!$B$3:$B$2150,"&lt;&gt;P")&gt;0,1,0)</f>
        <v>0</v>
      </c>
      <c r="D562">
        <f>IF(COUNTIFS('United Data'!$A$3:$A$2150,D$1,'United Data'!$C$3:$C$2150,$A562,'United Data'!$B$3:$B$2150,"&lt;&gt;P")&gt;0,1,0)</f>
        <v>0</v>
      </c>
      <c r="E562">
        <f>IF(COUNTIFS('United Data'!$A$3:$A$2150,E$1,'United Data'!$C$3:$C$2150,$A562,'United Data'!$B$3:$B$2150,"&lt;&gt;P")&gt;0,1,0)</f>
        <v>0</v>
      </c>
      <c r="F562">
        <f>IF(COUNTIFS('United Data'!$A$3:$A$2150,F$1,'United Data'!$C$3:$C$2150,$A562,'United Data'!$B$3:$B$2150,"&lt;&gt;P")&gt;0,1,0)</f>
        <v>0</v>
      </c>
      <c r="G562">
        <f>IF(COUNTIFS('United Data'!$A$3:$A$2150,G$1,'United Data'!$C$3:$C$2150,$A562,'United Data'!$B$3:$B$2150,"&lt;&gt;P")&gt;0,1,0)</f>
        <v>0</v>
      </c>
      <c r="H562">
        <f>IF(COUNTIFS('United Data'!$A$3:$A$2150,H$1,'United Data'!$C$3:$C$2150,$A562,'United Data'!$B$3:$B$2150,"&lt;&gt;P")&gt;0,1,0)</f>
        <v>0</v>
      </c>
      <c r="I562">
        <f>IF(COUNTIFS('United Data'!$A$3:$A$2150,I$1,'United Data'!$C$3:$C$2150,$A562,'United Data'!$B$3:$B$2150,"&lt;&gt;P")&gt;0,1,0)</f>
        <v>0</v>
      </c>
      <c r="J562">
        <f>IF(COUNTIFS('United Data'!$A$3:$A$2150,J$1,'United Data'!$C$3:$C$2150,$A562,'United Data'!$B$3:$B$2150,"&lt;&gt;P")&gt;0,1,0)</f>
        <v>0</v>
      </c>
      <c r="K562">
        <f>IF(COUNTIFS('United Data'!$A$3:$A$2150,K$1,'United Data'!$C$3:$C$2150,$A562,'United Data'!$B$3:$B$2150,"&lt;&gt;P")&gt;0,1,0)</f>
        <v>0</v>
      </c>
      <c r="L562">
        <f>IF(COUNTIFS('United Data'!$A$3:$A$2150,L$1,'United Data'!$C$3:$C$2150,$A562,'United Data'!$B$3:$B$2150,"&lt;&gt;P")&gt;0,1,0)</f>
        <v>0</v>
      </c>
      <c r="M562">
        <f>IF(COUNTIFS('United Data'!$A$3:$A$2150,M$1,'United Data'!$C$3:$C$2150,$A562,'United Data'!$B$3:$B$2150,"&lt;&gt;P")&gt;0,1,0)</f>
        <v>0</v>
      </c>
      <c r="N562">
        <f>IF(COUNTIFS('United Data'!$A$3:$A$2150,N$1,'United Data'!$C$3:$C$2150,$A562,'United Data'!$B$3:$B$2150,"&lt;&gt;P")&gt;0,1,0)</f>
        <v>0</v>
      </c>
      <c r="O562">
        <f>IF(COUNTIFS('United Data'!$A$3:$A$2150,O$1,'United Data'!$C$3:$C$2150,$A562,'United Data'!$B$3:$B$2150,"&lt;&gt;P")&gt;0,1,0)</f>
        <v>1</v>
      </c>
      <c r="P562">
        <f>IF(COUNTIFS('United Data'!$A$3:$A$2150,P$1,'United Data'!$C$3:$C$2150,$A562,'United Data'!$B$3:$B$2150,"&lt;&gt;P")&gt;0,1,0)</f>
        <v>0</v>
      </c>
      <c r="Q562">
        <f>IF(COUNTIFS('United Data'!$A$3:$A$2150,Q$1,'United Data'!$C$3:$C$2150,$A562,'United Data'!$B$3:$B$2150,"&lt;&gt;P")&gt;0,1,0)</f>
        <v>0</v>
      </c>
      <c r="R562">
        <f>IF(COUNTIFS('United Data'!$A$3:$A$2150,R$1,'United Data'!$C$3:$C$2150,$A562,'United Data'!$B$3:$B$2150,"&lt;&gt;P")&gt;0,1,0)</f>
        <v>0</v>
      </c>
      <c r="S562">
        <f t="shared" si="16"/>
        <v>1</v>
      </c>
      <c r="T562">
        <f t="shared" si="17"/>
        <v>1</v>
      </c>
    </row>
    <row r="563" spans="1:20" x14ac:dyDescent="0.2">
      <c r="A563" t="s">
        <v>609</v>
      </c>
      <c r="B563">
        <f>IF(COUNTIFS('United Data'!$A$3:$A$2150,B$1,'United Data'!$C$3:$C$2150,$A563,'United Data'!$B$3:$B$2150,"&lt;&gt;P")&gt;0,1,0)</f>
        <v>0</v>
      </c>
      <c r="C563">
        <f>IF(COUNTIFS('United Data'!$A$3:$A$2150,C$1,'United Data'!$C$3:$C$2150,$A563,'United Data'!$B$3:$B$2150,"&lt;&gt;P")&gt;0,1,0)</f>
        <v>0</v>
      </c>
      <c r="D563">
        <f>IF(COUNTIFS('United Data'!$A$3:$A$2150,D$1,'United Data'!$C$3:$C$2150,$A563,'United Data'!$B$3:$B$2150,"&lt;&gt;P")&gt;0,1,0)</f>
        <v>0</v>
      </c>
      <c r="E563">
        <f>IF(COUNTIFS('United Data'!$A$3:$A$2150,E$1,'United Data'!$C$3:$C$2150,$A563,'United Data'!$B$3:$B$2150,"&lt;&gt;P")&gt;0,1,0)</f>
        <v>0</v>
      </c>
      <c r="F563">
        <f>IF(COUNTIFS('United Data'!$A$3:$A$2150,F$1,'United Data'!$C$3:$C$2150,$A563,'United Data'!$B$3:$B$2150,"&lt;&gt;P")&gt;0,1,0)</f>
        <v>0</v>
      </c>
      <c r="G563">
        <f>IF(COUNTIFS('United Data'!$A$3:$A$2150,G$1,'United Data'!$C$3:$C$2150,$A563,'United Data'!$B$3:$B$2150,"&lt;&gt;P")&gt;0,1,0)</f>
        <v>0</v>
      </c>
      <c r="H563">
        <f>IF(COUNTIFS('United Data'!$A$3:$A$2150,H$1,'United Data'!$C$3:$C$2150,$A563,'United Data'!$B$3:$B$2150,"&lt;&gt;P")&gt;0,1,0)</f>
        <v>0</v>
      </c>
      <c r="I563">
        <f>IF(COUNTIFS('United Data'!$A$3:$A$2150,I$1,'United Data'!$C$3:$C$2150,$A563,'United Data'!$B$3:$B$2150,"&lt;&gt;P")&gt;0,1,0)</f>
        <v>0</v>
      </c>
      <c r="J563">
        <f>IF(COUNTIFS('United Data'!$A$3:$A$2150,J$1,'United Data'!$C$3:$C$2150,$A563,'United Data'!$B$3:$B$2150,"&lt;&gt;P")&gt;0,1,0)</f>
        <v>0</v>
      </c>
      <c r="K563">
        <f>IF(COUNTIFS('United Data'!$A$3:$A$2150,K$1,'United Data'!$C$3:$C$2150,$A563,'United Data'!$B$3:$B$2150,"&lt;&gt;P")&gt;0,1,0)</f>
        <v>0</v>
      </c>
      <c r="L563">
        <f>IF(COUNTIFS('United Data'!$A$3:$A$2150,L$1,'United Data'!$C$3:$C$2150,$A563,'United Data'!$B$3:$B$2150,"&lt;&gt;P")&gt;0,1,0)</f>
        <v>0</v>
      </c>
      <c r="M563">
        <f>IF(COUNTIFS('United Data'!$A$3:$A$2150,M$1,'United Data'!$C$3:$C$2150,$A563,'United Data'!$B$3:$B$2150,"&lt;&gt;P")&gt;0,1,0)</f>
        <v>0</v>
      </c>
      <c r="N563">
        <f>IF(COUNTIFS('United Data'!$A$3:$A$2150,N$1,'United Data'!$C$3:$C$2150,$A563,'United Data'!$B$3:$B$2150,"&lt;&gt;P")&gt;0,1,0)</f>
        <v>0</v>
      </c>
      <c r="O563">
        <f>IF(COUNTIFS('United Data'!$A$3:$A$2150,O$1,'United Data'!$C$3:$C$2150,$A563,'United Data'!$B$3:$B$2150,"&lt;&gt;P")&gt;0,1,0)</f>
        <v>1</v>
      </c>
      <c r="P563">
        <f>IF(COUNTIFS('United Data'!$A$3:$A$2150,P$1,'United Data'!$C$3:$C$2150,$A563,'United Data'!$B$3:$B$2150,"&lt;&gt;P")&gt;0,1,0)</f>
        <v>0</v>
      </c>
      <c r="Q563">
        <f>IF(COUNTIFS('United Data'!$A$3:$A$2150,Q$1,'United Data'!$C$3:$C$2150,$A563,'United Data'!$B$3:$B$2150,"&lt;&gt;P")&gt;0,1,0)</f>
        <v>0</v>
      </c>
      <c r="R563">
        <f>IF(COUNTIFS('United Data'!$A$3:$A$2150,R$1,'United Data'!$C$3:$C$2150,$A563,'United Data'!$B$3:$B$2150,"&lt;&gt;P")&gt;0,1,0)</f>
        <v>0</v>
      </c>
      <c r="S563">
        <f t="shared" si="16"/>
        <v>1</v>
      </c>
      <c r="T563">
        <f t="shared" si="17"/>
        <v>1</v>
      </c>
    </row>
    <row r="564" spans="1:20" x14ac:dyDescent="0.2">
      <c r="A564" t="s">
        <v>610</v>
      </c>
      <c r="B564">
        <f>IF(COUNTIFS('United Data'!$A$3:$A$2150,B$1,'United Data'!$C$3:$C$2150,$A564,'United Data'!$B$3:$B$2150,"&lt;&gt;P")&gt;0,1,0)</f>
        <v>0</v>
      </c>
      <c r="C564">
        <f>IF(COUNTIFS('United Data'!$A$3:$A$2150,C$1,'United Data'!$C$3:$C$2150,$A564,'United Data'!$B$3:$B$2150,"&lt;&gt;P")&gt;0,1,0)</f>
        <v>0</v>
      </c>
      <c r="D564">
        <f>IF(COUNTIFS('United Data'!$A$3:$A$2150,D$1,'United Data'!$C$3:$C$2150,$A564,'United Data'!$B$3:$B$2150,"&lt;&gt;P")&gt;0,1,0)</f>
        <v>0</v>
      </c>
      <c r="E564">
        <f>IF(COUNTIFS('United Data'!$A$3:$A$2150,E$1,'United Data'!$C$3:$C$2150,$A564,'United Data'!$B$3:$B$2150,"&lt;&gt;P")&gt;0,1,0)</f>
        <v>0</v>
      </c>
      <c r="F564">
        <f>IF(COUNTIFS('United Data'!$A$3:$A$2150,F$1,'United Data'!$C$3:$C$2150,$A564,'United Data'!$B$3:$B$2150,"&lt;&gt;P")&gt;0,1,0)</f>
        <v>0</v>
      </c>
      <c r="G564">
        <f>IF(COUNTIFS('United Data'!$A$3:$A$2150,G$1,'United Data'!$C$3:$C$2150,$A564,'United Data'!$B$3:$B$2150,"&lt;&gt;P")&gt;0,1,0)</f>
        <v>0</v>
      </c>
      <c r="H564">
        <f>IF(COUNTIFS('United Data'!$A$3:$A$2150,H$1,'United Data'!$C$3:$C$2150,$A564,'United Data'!$B$3:$B$2150,"&lt;&gt;P")&gt;0,1,0)</f>
        <v>0</v>
      </c>
      <c r="I564">
        <f>IF(COUNTIFS('United Data'!$A$3:$A$2150,I$1,'United Data'!$C$3:$C$2150,$A564,'United Data'!$B$3:$B$2150,"&lt;&gt;P")&gt;0,1,0)</f>
        <v>0</v>
      </c>
      <c r="J564">
        <f>IF(COUNTIFS('United Data'!$A$3:$A$2150,J$1,'United Data'!$C$3:$C$2150,$A564,'United Data'!$B$3:$B$2150,"&lt;&gt;P")&gt;0,1,0)</f>
        <v>0</v>
      </c>
      <c r="K564">
        <f>IF(COUNTIFS('United Data'!$A$3:$A$2150,K$1,'United Data'!$C$3:$C$2150,$A564,'United Data'!$B$3:$B$2150,"&lt;&gt;P")&gt;0,1,0)</f>
        <v>0</v>
      </c>
      <c r="L564">
        <f>IF(COUNTIFS('United Data'!$A$3:$A$2150,L$1,'United Data'!$C$3:$C$2150,$A564,'United Data'!$B$3:$B$2150,"&lt;&gt;P")&gt;0,1,0)</f>
        <v>0</v>
      </c>
      <c r="M564">
        <f>IF(COUNTIFS('United Data'!$A$3:$A$2150,M$1,'United Data'!$C$3:$C$2150,$A564,'United Data'!$B$3:$B$2150,"&lt;&gt;P")&gt;0,1,0)</f>
        <v>0</v>
      </c>
      <c r="N564">
        <f>IF(COUNTIFS('United Data'!$A$3:$A$2150,N$1,'United Data'!$C$3:$C$2150,$A564,'United Data'!$B$3:$B$2150,"&lt;&gt;P")&gt;0,1,0)</f>
        <v>0</v>
      </c>
      <c r="O564">
        <f>IF(COUNTIFS('United Data'!$A$3:$A$2150,O$1,'United Data'!$C$3:$C$2150,$A564,'United Data'!$B$3:$B$2150,"&lt;&gt;P")&gt;0,1,0)</f>
        <v>1</v>
      </c>
      <c r="P564">
        <f>IF(COUNTIFS('United Data'!$A$3:$A$2150,P$1,'United Data'!$C$3:$C$2150,$A564,'United Data'!$B$3:$B$2150,"&lt;&gt;P")&gt;0,1,0)</f>
        <v>0</v>
      </c>
      <c r="Q564">
        <f>IF(COUNTIFS('United Data'!$A$3:$A$2150,Q$1,'United Data'!$C$3:$C$2150,$A564,'United Data'!$B$3:$B$2150,"&lt;&gt;P")&gt;0,1,0)</f>
        <v>0</v>
      </c>
      <c r="R564">
        <f>IF(COUNTIFS('United Data'!$A$3:$A$2150,R$1,'United Data'!$C$3:$C$2150,$A564,'United Data'!$B$3:$B$2150,"&lt;&gt;P")&gt;0,1,0)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611</v>
      </c>
      <c r="B565">
        <f>IF(COUNTIFS('United Data'!$A$3:$A$2150,B$1,'United Data'!$C$3:$C$2150,$A565,'United Data'!$B$3:$B$2150,"&lt;&gt;P")&gt;0,1,0)</f>
        <v>0</v>
      </c>
      <c r="C565">
        <f>IF(COUNTIFS('United Data'!$A$3:$A$2150,C$1,'United Data'!$C$3:$C$2150,$A565,'United Data'!$B$3:$B$2150,"&lt;&gt;P")&gt;0,1,0)</f>
        <v>0</v>
      </c>
      <c r="D565">
        <f>IF(COUNTIFS('United Data'!$A$3:$A$2150,D$1,'United Data'!$C$3:$C$2150,$A565,'United Data'!$B$3:$B$2150,"&lt;&gt;P")&gt;0,1,0)</f>
        <v>0</v>
      </c>
      <c r="E565">
        <f>IF(COUNTIFS('United Data'!$A$3:$A$2150,E$1,'United Data'!$C$3:$C$2150,$A565,'United Data'!$B$3:$B$2150,"&lt;&gt;P")&gt;0,1,0)</f>
        <v>0</v>
      </c>
      <c r="F565">
        <f>IF(COUNTIFS('United Data'!$A$3:$A$2150,F$1,'United Data'!$C$3:$C$2150,$A565,'United Data'!$B$3:$B$2150,"&lt;&gt;P")&gt;0,1,0)</f>
        <v>0</v>
      </c>
      <c r="G565">
        <f>IF(COUNTIFS('United Data'!$A$3:$A$2150,G$1,'United Data'!$C$3:$C$2150,$A565,'United Data'!$B$3:$B$2150,"&lt;&gt;P")&gt;0,1,0)</f>
        <v>0</v>
      </c>
      <c r="H565">
        <f>IF(COUNTIFS('United Data'!$A$3:$A$2150,H$1,'United Data'!$C$3:$C$2150,$A565,'United Data'!$B$3:$B$2150,"&lt;&gt;P")&gt;0,1,0)</f>
        <v>0</v>
      </c>
      <c r="I565">
        <f>IF(COUNTIFS('United Data'!$A$3:$A$2150,I$1,'United Data'!$C$3:$C$2150,$A565,'United Data'!$B$3:$B$2150,"&lt;&gt;P")&gt;0,1,0)</f>
        <v>0</v>
      </c>
      <c r="J565">
        <f>IF(COUNTIFS('United Data'!$A$3:$A$2150,J$1,'United Data'!$C$3:$C$2150,$A565,'United Data'!$B$3:$B$2150,"&lt;&gt;P")&gt;0,1,0)</f>
        <v>0</v>
      </c>
      <c r="K565">
        <f>IF(COUNTIFS('United Data'!$A$3:$A$2150,K$1,'United Data'!$C$3:$C$2150,$A565,'United Data'!$B$3:$B$2150,"&lt;&gt;P")&gt;0,1,0)</f>
        <v>0</v>
      </c>
      <c r="L565">
        <f>IF(COUNTIFS('United Data'!$A$3:$A$2150,L$1,'United Data'!$C$3:$C$2150,$A565,'United Data'!$B$3:$B$2150,"&lt;&gt;P")&gt;0,1,0)</f>
        <v>0</v>
      </c>
      <c r="M565">
        <f>IF(COUNTIFS('United Data'!$A$3:$A$2150,M$1,'United Data'!$C$3:$C$2150,$A565,'United Data'!$B$3:$B$2150,"&lt;&gt;P")&gt;0,1,0)</f>
        <v>0</v>
      </c>
      <c r="N565">
        <f>IF(COUNTIFS('United Data'!$A$3:$A$2150,N$1,'United Data'!$C$3:$C$2150,$A565,'United Data'!$B$3:$B$2150,"&lt;&gt;P")&gt;0,1,0)</f>
        <v>0</v>
      </c>
      <c r="O565">
        <f>IF(COUNTIFS('United Data'!$A$3:$A$2150,O$1,'United Data'!$C$3:$C$2150,$A565,'United Data'!$B$3:$B$2150,"&lt;&gt;P")&gt;0,1,0)</f>
        <v>1</v>
      </c>
      <c r="P565">
        <f>IF(COUNTIFS('United Data'!$A$3:$A$2150,P$1,'United Data'!$C$3:$C$2150,$A565,'United Data'!$B$3:$B$2150,"&lt;&gt;P")&gt;0,1,0)</f>
        <v>0</v>
      </c>
      <c r="Q565">
        <f>IF(COUNTIFS('United Data'!$A$3:$A$2150,Q$1,'United Data'!$C$3:$C$2150,$A565,'United Data'!$B$3:$B$2150,"&lt;&gt;P")&gt;0,1,0)</f>
        <v>0</v>
      </c>
      <c r="R565">
        <f>IF(COUNTIFS('United Data'!$A$3:$A$2150,R$1,'United Data'!$C$3:$C$2150,$A565,'United Data'!$B$3:$B$2150,"&lt;&gt;P")&gt;0,1,0)</f>
        <v>0</v>
      </c>
      <c r="S565">
        <f t="shared" si="16"/>
        <v>1</v>
      </c>
      <c r="T565">
        <f t="shared" si="17"/>
        <v>1</v>
      </c>
    </row>
    <row r="566" spans="1:20" x14ac:dyDescent="0.2">
      <c r="A566" t="s">
        <v>612</v>
      </c>
      <c r="B566">
        <f>IF(COUNTIFS('United Data'!$A$3:$A$2150,B$1,'United Data'!$C$3:$C$2150,$A566,'United Data'!$B$3:$B$2150,"&lt;&gt;P")&gt;0,1,0)</f>
        <v>0</v>
      </c>
      <c r="C566">
        <f>IF(COUNTIFS('United Data'!$A$3:$A$2150,C$1,'United Data'!$C$3:$C$2150,$A566,'United Data'!$B$3:$B$2150,"&lt;&gt;P")&gt;0,1,0)</f>
        <v>0</v>
      </c>
      <c r="D566">
        <f>IF(COUNTIFS('United Data'!$A$3:$A$2150,D$1,'United Data'!$C$3:$C$2150,$A566,'United Data'!$B$3:$B$2150,"&lt;&gt;P")&gt;0,1,0)</f>
        <v>0</v>
      </c>
      <c r="E566">
        <f>IF(COUNTIFS('United Data'!$A$3:$A$2150,E$1,'United Data'!$C$3:$C$2150,$A566,'United Data'!$B$3:$B$2150,"&lt;&gt;P")&gt;0,1,0)</f>
        <v>0</v>
      </c>
      <c r="F566">
        <f>IF(COUNTIFS('United Data'!$A$3:$A$2150,F$1,'United Data'!$C$3:$C$2150,$A566,'United Data'!$B$3:$B$2150,"&lt;&gt;P")&gt;0,1,0)</f>
        <v>0</v>
      </c>
      <c r="G566">
        <f>IF(COUNTIFS('United Data'!$A$3:$A$2150,G$1,'United Data'!$C$3:$C$2150,$A566,'United Data'!$B$3:$B$2150,"&lt;&gt;P")&gt;0,1,0)</f>
        <v>0</v>
      </c>
      <c r="H566">
        <f>IF(COUNTIFS('United Data'!$A$3:$A$2150,H$1,'United Data'!$C$3:$C$2150,$A566,'United Data'!$B$3:$B$2150,"&lt;&gt;P")&gt;0,1,0)</f>
        <v>0</v>
      </c>
      <c r="I566">
        <f>IF(COUNTIFS('United Data'!$A$3:$A$2150,I$1,'United Data'!$C$3:$C$2150,$A566,'United Data'!$B$3:$B$2150,"&lt;&gt;P")&gt;0,1,0)</f>
        <v>0</v>
      </c>
      <c r="J566">
        <f>IF(COUNTIFS('United Data'!$A$3:$A$2150,J$1,'United Data'!$C$3:$C$2150,$A566,'United Data'!$B$3:$B$2150,"&lt;&gt;P")&gt;0,1,0)</f>
        <v>0</v>
      </c>
      <c r="K566">
        <f>IF(COUNTIFS('United Data'!$A$3:$A$2150,K$1,'United Data'!$C$3:$C$2150,$A566,'United Data'!$B$3:$B$2150,"&lt;&gt;P")&gt;0,1,0)</f>
        <v>0</v>
      </c>
      <c r="L566">
        <f>IF(COUNTIFS('United Data'!$A$3:$A$2150,L$1,'United Data'!$C$3:$C$2150,$A566,'United Data'!$B$3:$B$2150,"&lt;&gt;P")&gt;0,1,0)</f>
        <v>0</v>
      </c>
      <c r="M566">
        <f>IF(COUNTIFS('United Data'!$A$3:$A$2150,M$1,'United Data'!$C$3:$C$2150,$A566,'United Data'!$B$3:$B$2150,"&lt;&gt;P")&gt;0,1,0)</f>
        <v>0</v>
      </c>
      <c r="N566">
        <f>IF(COUNTIFS('United Data'!$A$3:$A$2150,N$1,'United Data'!$C$3:$C$2150,$A566,'United Data'!$B$3:$B$2150,"&lt;&gt;P")&gt;0,1,0)</f>
        <v>0</v>
      </c>
      <c r="O566">
        <f>IF(COUNTIFS('United Data'!$A$3:$A$2150,O$1,'United Data'!$C$3:$C$2150,$A566,'United Data'!$B$3:$B$2150,"&lt;&gt;P")&gt;0,1,0)</f>
        <v>1</v>
      </c>
      <c r="P566">
        <f>IF(COUNTIFS('United Data'!$A$3:$A$2150,P$1,'United Data'!$C$3:$C$2150,$A566,'United Data'!$B$3:$B$2150,"&lt;&gt;P")&gt;0,1,0)</f>
        <v>0</v>
      </c>
      <c r="Q566">
        <f>IF(COUNTIFS('United Data'!$A$3:$A$2150,Q$1,'United Data'!$C$3:$C$2150,$A566,'United Data'!$B$3:$B$2150,"&lt;&gt;P")&gt;0,1,0)</f>
        <v>0</v>
      </c>
      <c r="R566">
        <f>IF(COUNTIFS('United Data'!$A$3:$A$2150,R$1,'United Data'!$C$3:$C$2150,$A566,'United Data'!$B$3:$B$2150,"&lt;&gt;P")&gt;0,1,0)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613</v>
      </c>
      <c r="B567">
        <f>IF(COUNTIFS('United Data'!$A$3:$A$2150,B$1,'United Data'!$C$3:$C$2150,$A567,'United Data'!$B$3:$B$2150,"&lt;&gt;P")&gt;0,1,0)</f>
        <v>0</v>
      </c>
      <c r="C567">
        <f>IF(COUNTIFS('United Data'!$A$3:$A$2150,C$1,'United Data'!$C$3:$C$2150,$A567,'United Data'!$B$3:$B$2150,"&lt;&gt;P")&gt;0,1,0)</f>
        <v>0</v>
      </c>
      <c r="D567">
        <f>IF(COUNTIFS('United Data'!$A$3:$A$2150,D$1,'United Data'!$C$3:$C$2150,$A567,'United Data'!$B$3:$B$2150,"&lt;&gt;P")&gt;0,1,0)</f>
        <v>0</v>
      </c>
      <c r="E567">
        <f>IF(COUNTIFS('United Data'!$A$3:$A$2150,E$1,'United Data'!$C$3:$C$2150,$A567,'United Data'!$B$3:$B$2150,"&lt;&gt;P")&gt;0,1,0)</f>
        <v>0</v>
      </c>
      <c r="F567">
        <f>IF(COUNTIFS('United Data'!$A$3:$A$2150,F$1,'United Data'!$C$3:$C$2150,$A567,'United Data'!$B$3:$B$2150,"&lt;&gt;P")&gt;0,1,0)</f>
        <v>0</v>
      </c>
      <c r="G567">
        <f>IF(COUNTIFS('United Data'!$A$3:$A$2150,G$1,'United Data'!$C$3:$C$2150,$A567,'United Data'!$B$3:$B$2150,"&lt;&gt;P")&gt;0,1,0)</f>
        <v>0</v>
      </c>
      <c r="H567">
        <f>IF(COUNTIFS('United Data'!$A$3:$A$2150,H$1,'United Data'!$C$3:$C$2150,$A567,'United Data'!$B$3:$B$2150,"&lt;&gt;P")&gt;0,1,0)</f>
        <v>0</v>
      </c>
      <c r="I567">
        <f>IF(COUNTIFS('United Data'!$A$3:$A$2150,I$1,'United Data'!$C$3:$C$2150,$A567,'United Data'!$B$3:$B$2150,"&lt;&gt;P")&gt;0,1,0)</f>
        <v>0</v>
      </c>
      <c r="J567">
        <f>IF(COUNTIFS('United Data'!$A$3:$A$2150,J$1,'United Data'!$C$3:$C$2150,$A567,'United Data'!$B$3:$B$2150,"&lt;&gt;P")&gt;0,1,0)</f>
        <v>0</v>
      </c>
      <c r="K567">
        <f>IF(COUNTIFS('United Data'!$A$3:$A$2150,K$1,'United Data'!$C$3:$C$2150,$A567,'United Data'!$B$3:$B$2150,"&lt;&gt;P")&gt;0,1,0)</f>
        <v>0</v>
      </c>
      <c r="L567">
        <f>IF(COUNTIFS('United Data'!$A$3:$A$2150,L$1,'United Data'!$C$3:$C$2150,$A567,'United Data'!$B$3:$B$2150,"&lt;&gt;P")&gt;0,1,0)</f>
        <v>0</v>
      </c>
      <c r="M567">
        <f>IF(COUNTIFS('United Data'!$A$3:$A$2150,M$1,'United Data'!$C$3:$C$2150,$A567,'United Data'!$B$3:$B$2150,"&lt;&gt;P")&gt;0,1,0)</f>
        <v>0</v>
      </c>
      <c r="N567">
        <f>IF(COUNTIFS('United Data'!$A$3:$A$2150,N$1,'United Data'!$C$3:$C$2150,$A567,'United Data'!$B$3:$B$2150,"&lt;&gt;P")&gt;0,1,0)</f>
        <v>0</v>
      </c>
      <c r="O567">
        <f>IF(COUNTIFS('United Data'!$A$3:$A$2150,O$1,'United Data'!$C$3:$C$2150,$A567,'United Data'!$B$3:$B$2150,"&lt;&gt;P")&gt;0,1,0)</f>
        <v>0</v>
      </c>
      <c r="P567">
        <f>IF(COUNTIFS('United Data'!$A$3:$A$2150,P$1,'United Data'!$C$3:$C$2150,$A567,'United Data'!$B$3:$B$2150,"&lt;&gt;P")&gt;0,1,0)</f>
        <v>1</v>
      </c>
      <c r="Q567">
        <f>IF(COUNTIFS('United Data'!$A$3:$A$2150,Q$1,'United Data'!$C$3:$C$2150,$A567,'United Data'!$B$3:$B$2150,"&lt;&gt;P")&gt;0,1,0)</f>
        <v>0</v>
      </c>
      <c r="R567">
        <f>IF(COUNTIFS('United Data'!$A$3:$A$2150,R$1,'United Data'!$C$3:$C$2150,$A567,'United Data'!$B$3:$B$2150,"&lt;&gt;P")&gt;0,1,0)</f>
        <v>0</v>
      </c>
      <c r="S567">
        <f t="shared" si="16"/>
        <v>1</v>
      </c>
      <c r="T567">
        <f t="shared" si="17"/>
        <v>1</v>
      </c>
    </row>
    <row r="568" spans="1:20" x14ac:dyDescent="0.2">
      <c r="A568" t="s">
        <v>614</v>
      </c>
      <c r="B568">
        <f>IF(COUNTIFS('United Data'!$A$3:$A$2150,B$1,'United Data'!$C$3:$C$2150,$A568,'United Data'!$B$3:$B$2150,"&lt;&gt;P")&gt;0,1,0)</f>
        <v>0</v>
      </c>
      <c r="C568">
        <f>IF(COUNTIFS('United Data'!$A$3:$A$2150,C$1,'United Data'!$C$3:$C$2150,$A568,'United Data'!$B$3:$B$2150,"&lt;&gt;P")&gt;0,1,0)</f>
        <v>0</v>
      </c>
      <c r="D568">
        <f>IF(COUNTIFS('United Data'!$A$3:$A$2150,D$1,'United Data'!$C$3:$C$2150,$A568,'United Data'!$B$3:$B$2150,"&lt;&gt;P")&gt;0,1,0)</f>
        <v>0</v>
      </c>
      <c r="E568">
        <f>IF(COUNTIFS('United Data'!$A$3:$A$2150,E$1,'United Data'!$C$3:$C$2150,$A568,'United Data'!$B$3:$B$2150,"&lt;&gt;P")&gt;0,1,0)</f>
        <v>0</v>
      </c>
      <c r="F568">
        <f>IF(COUNTIFS('United Data'!$A$3:$A$2150,F$1,'United Data'!$C$3:$C$2150,$A568,'United Data'!$B$3:$B$2150,"&lt;&gt;P")&gt;0,1,0)</f>
        <v>0</v>
      </c>
      <c r="G568">
        <f>IF(COUNTIFS('United Data'!$A$3:$A$2150,G$1,'United Data'!$C$3:$C$2150,$A568,'United Data'!$B$3:$B$2150,"&lt;&gt;P")&gt;0,1,0)</f>
        <v>0</v>
      </c>
      <c r="H568">
        <f>IF(COUNTIFS('United Data'!$A$3:$A$2150,H$1,'United Data'!$C$3:$C$2150,$A568,'United Data'!$B$3:$B$2150,"&lt;&gt;P")&gt;0,1,0)</f>
        <v>0</v>
      </c>
      <c r="I568">
        <f>IF(COUNTIFS('United Data'!$A$3:$A$2150,I$1,'United Data'!$C$3:$C$2150,$A568,'United Data'!$B$3:$B$2150,"&lt;&gt;P")&gt;0,1,0)</f>
        <v>0</v>
      </c>
      <c r="J568">
        <f>IF(COUNTIFS('United Data'!$A$3:$A$2150,J$1,'United Data'!$C$3:$C$2150,$A568,'United Data'!$B$3:$B$2150,"&lt;&gt;P")&gt;0,1,0)</f>
        <v>0</v>
      </c>
      <c r="K568">
        <f>IF(COUNTIFS('United Data'!$A$3:$A$2150,K$1,'United Data'!$C$3:$C$2150,$A568,'United Data'!$B$3:$B$2150,"&lt;&gt;P")&gt;0,1,0)</f>
        <v>0</v>
      </c>
      <c r="L568">
        <f>IF(COUNTIFS('United Data'!$A$3:$A$2150,L$1,'United Data'!$C$3:$C$2150,$A568,'United Data'!$B$3:$B$2150,"&lt;&gt;P")&gt;0,1,0)</f>
        <v>0</v>
      </c>
      <c r="M568">
        <f>IF(COUNTIFS('United Data'!$A$3:$A$2150,M$1,'United Data'!$C$3:$C$2150,$A568,'United Data'!$B$3:$B$2150,"&lt;&gt;P")&gt;0,1,0)</f>
        <v>0</v>
      </c>
      <c r="N568">
        <f>IF(COUNTIFS('United Data'!$A$3:$A$2150,N$1,'United Data'!$C$3:$C$2150,$A568,'United Data'!$B$3:$B$2150,"&lt;&gt;P")&gt;0,1,0)</f>
        <v>0</v>
      </c>
      <c r="O568">
        <f>IF(COUNTIFS('United Data'!$A$3:$A$2150,O$1,'United Data'!$C$3:$C$2150,$A568,'United Data'!$B$3:$B$2150,"&lt;&gt;P")&gt;0,1,0)</f>
        <v>0</v>
      </c>
      <c r="P568">
        <f>IF(COUNTIFS('United Data'!$A$3:$A$2150,P$1,'United Data'!$C$3:$C$2150,$A568,'United Data'!$B$3:$B$2150,"&lt;&gt;P")&gt;0,1,0)</f>
        <v>1</v>
      </c>
      <c r="Q568">
        <f>IF(COUNTIFS('United Data'!$A$3:$A$2150,Q$1,'United Data'!$C$3:$C$2150,$A568,'United Data'!$B$3:$B$2150,"&lt;&gt;P")&gt;0,1,0)</f>
        <v>0</v>
      </c>
      <c r="R568">
        <f>IF(COUNTIFS('United Data'!$A$3:$A$2150,R$1,'United Data'!$C$3:$C$2150,$A568,'United Data'!$B$3:$B$2150,"&lt;&gt;P")&gt;0,1,0)</f>
        <v>0</v>
      </c>
      <c r="S568">
        <f t="shared" si="16"/>
        <v>1</v>
      </c>
      <c r="T568">
        <f t="shared" si="17"/>
        <v>1</v>
      </c>
    </row>
    <row r="569" spans="1:20" x14ac:dyDescent="0.2">
      <c r="A569" t="s">
        <v>615</v>
      </c>
      <c r="B569">
        <f>IF(COUNTIFS('United Data'!$A$3:$A$2150,B$1,'United Data'!$C$3:$C$2150,$A569,'United Data'!$B$3:$B$2150,"&lt;&gt;P")&gt;0,1,0)</f>
        <v>0</v>
      </c>
      <c r="C569">
        <f>IF(COUNTIFS('United Data'!$A$3:$A$2150,C$1,'United Data'!$C$3:$C$2150,$A569,'United Data'!$B$3:$B$2150,"&lt;&gt;P")&gt;0,1,0)</f>
        <v>0</v>
      </c>
      <c r="D569">
        <f>IF(COUNTIFS('United Data'!$A$3:$A$2150,D$1,'United Data'!$C$3:$C$2150,$A569,'United Data'!$B$3:$B$2150,"&lt;&gt;P")&gt;0,1,0)</f>
        <v>0</v>
      </c>
      <c r="E569">
        <f>IF(COUNTIFS('United Data'!$A$3:$A$2150,E$1,'United Data'!$C$3:$C$2150,$A569,'United Data'!$B$3:$B$2150,"&lt;&gt;P")&gt;0,1,0)</f>
        <v>0</v>
      </c>
      <c r="F569">
        <f>IF(COUNTIFS('United Data'!$A$3:$A$2150,F$1,'United Data'!$C$3:$C$2150,$A569,'United Data'!$B$3:$B$2150,"&lt;&gt;P")&gt;0,1,0)</f>
        <v>0</v>
      </c>
      <c r="G569">
        <f>IF(COUNTIFS('United Data'!$A$3:$A$2150,G$1,'United Data'!$C$3:$C$2150,$A569,'United Data'!$B$3:$B$2150,"&lt;&gt;P")&gt;0,1,0)</f>
        <v>0</v>
      </c>
      <c r="H569">
        <f>IF(COUNTIFS('United Data'!$A$3:$A$2150,H$1,'United Data'!$C$3:$C$2150,$A569,'United Data'!$B$3:$B$2150,"&lt;&gt;P")&gt;0,1,0)</f>
        <v>0</v>
      </c>
      <c r="I569">
        <f>IF(COUNTIFS('United Data'!$A$3:$A$2150,I$1,'United Data'!$C$3:$C$2150,$A569,'United Data'!$B$3:$B$2150,"&lt;&gt;P")&gt;0,1,0)</f>
        <v>0</v>
      </c>
      <c r="J569">
        <f>IF(COUNTIFS('United Data'!$A$3:$A$2150,J$1,'United Data'!$C$3:$C$2150,$A569,'United Data'!$B$3:$B$2150,"&lt;&gt;P")&gt;0,1,0)</f>
        <v>0</v>
      </c>
      <c r="K569">
        <f>IF(COUNTIFS('United Data'!$A$3:$A$2150,K$1,'United Data'!$C$3:$C$2150,$A569,'United Data'!$B$3:$B$2150,"&lt;&gt;P")&gt;0,1,0)</f>
        <v>0</v>
      </c>
      <c r="L569">
        <f>IF(COUNTIFS('United Data'!$A$3:$A$2150,L$1,'United Data'!$C$3:$C$2150,$A569,'United Data'!$B$3:$B$2150,"&lt;&gt;P")&gt;0,1,0)</f>
        <v>0</v>
      </c>
      <c r="M569">
        <f>IF(COUNTIFS('United Data'!$A$3:$A$2150,M$1,'United Data'!$C$3:$C$2150,$A569,'United Data'!$B$3:$B$2150,"&lt;&gt;P")&gt;0,1,0)</f>
        <v>0</v>
      </c>
      <c r="N569">
        <f>IF(COUNTIFS('United Data'!$A$3:$A$2150,N$1,'United Data'!$C$3:$C$2150,$A569,'United Data'!$B$3:$B$2150,"&lt;&gt;P")&gt;0,1,0)</f>
        <v>0</v>
      </c>
      <c r="O569">
        <f>IF(COUNTIFS('United Data'!$A$3:$A$2150,O$1,'United Data'!$C$3:$C$2150,$A569,'United Data'!$B$3:$B$2150,"&lt;&gt;P")&gt;0,1,0)</f>
        <v>0</v>
      </c>
      <c r="P569">
        <f>IF(COUNTIFS('United Data'!$A$3:$A$2150,P$1,'United Data'!$C$3:$C$2150,$A569,'United Data'!$B$3:$B$2150,"&lt;&gt;P")&gt;0,1,0)</f>
        <v>1</v>
      </c>
      <c r="Q569">
        <f>IF(COUNTIFS('United Data'!$A$3:$A$2150,Q$1,'United Data'!$C$3:$C$2150,$A569,'United Data'!$B$3:$B$2150,"&lt;&gt;P")&gt;0,1,0)</f>
        <v>0</v>
      </c>
      <c r="R569">
        <f>IF(COUNTIFS('United Data'!$A$3:$A$2150,R$1,'United Data'!$C$3:$C$2150,$A569,'United Data'!$B$3:$B$2150,"&lt;&gt;P")&gt;0,1,0)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616</v>
      </c>
      <c r="B570">
        <f>IF(COUNTIFS('United Data'!$A$3:$A$2150,B$1,'United Data'!$C$3:$C$2150,$A570,'United Data'!$B$3:$B$2150,"&lt;&gt;P")&gt;0,1,0)</f>
        <v>0</v>
      </c>
      <c r="C570">
        <f>IF(COUNTIFS('United Data'!$A$3:$A$2150,C$1,'United Data'!$C$3:$C$2150,$A570,'United Data'!$B$3:$B$2150,"&lt;&gt;P")&gt;0,1,0)</f>
        <v>0</v>
      </c>
      <c r="D570">
        <f>IF(COUNTIFS('United Data'!$A$3:$A$2150,D$1,'United Data'!$C$3:$C$2150,$A570,'United Data'!$B$3:$B$2150,"&lt;&gt;P")&gt;0,1,0)</f>
        <v>0</v>
      </c>
      <c r="E570">
        <f>IF(COUNTIFS('United Data'!$A$3:$A$2150,E$1,'United Data'!$C$3:$C$2150,$A570,'United Data'!$B$3:$B$2150,"&lt;&gt;P")&gt;0,1,0)</f>
        <v>0</v>
      </c>
      <c r="F570">
        <f>IF(COUNTIFS('United Data'!$A$3:$A$2150,F$1,'United Data'!$C$3:$C$2150,$A570,'United Data'!$B$3:$B$2150,"&lt;&gt;P")&gt;0,1,0)</f>
        <v>0</v>
      </c>
      <c r="G570">
        <f>IF(COUNTIFS('United Data'!$A$3:$A$2150,G$1,'United Data'!$C$3:$C$2150,$A570,'United Data'!$B$3:$B$2150,"&lt;&gt;P")&gt;0,1,0)</f>
        <v>0</v>
      </c>
      <c r="H570">
        <f>IF(COUNTIFS('United Data'!$A$3:$A$2150,H$1,'United Data'!$C$3:$C$2150,$A570,'United Data'!$B$3:$B$2150,"&lt;&gt;P")&gt;0,1,0)</f>
        <v>0</v>
      </c>
      <c r="I570">
        <f>IF(COUNTIFS('United Data'!$A$3:$A$2150,I$1,'United Data'!$C$3:$C$2150,$A570,'United Data'!$B$3:$B$2150,"&lt;&gt;P")&gt;0,1,0)</f>
        <v>0</v>
      </c>
      <c r="J570">
        <f>IF(COUNTIFS('United Data'!$A$3:$A$2150,J$1,'United Data'!$C$3:$C$2150,$A570,'United Data'!$B$3:$B$2150,"&lt;&gt;P")&gt;0,1,0)</f>
        <v>0</v>
      </c>
      <c r="K570">
        <f>IF(COUNTIFS('United Data'!$A$3:$A$2150,K$1,'United Data'!$C$3:$C$2150,$A570,'United Data'!$B$3:$B$2150,"&lt;&gt;P")&gt;0,1,0)</f>
        <v>0</v>
      </c>
      <c r="L570">
        <f>IF(COUNTIFS('United Data'!$A$3:$A$2150,L$1,'United Data'!$C$3:$C$2150,$A570,'United Data'!$B$3:$B$2150,"&lt;&gt;P")&gt;0,1,0)</f>
        <v>0</v>
      </c>
      <c r="M570">
        <f>IF(COUNTIFS('United Data'!$A$3:$A$2150,M$1,'United Data'!$C$3:$C$2150,$A570,'United Data'!$B$3:$B$2150,"&lt;&gt;P")&gt;0,1,0)</f>
        <v>0</v>
      </c>
      <c r="N570">
        <f>IF(COUNTIFS('United Data'!$A$3:$A$2150,N$1,'United Data'!$C$3:$C$2150,$A570,'United Data'!$B$3:$B$2150,"&lt;&gt;P")&gt;0,1,0)</f>
        <v>0</v>
      </c>
      <c r="O570">
        <f>IF(COUNTIFS('United Data'!$A$3:$A$2150,O$1,'United Data'!$C$3:$C$2150,$A570,'United Data'!$B$3:$B$2150,"&lt;&gt;P")&gt;0,1,0)</f>
        <v>0</v>
      </c>
      <c r="P570">
        <f>IF(COUNTIFS('United Data'!$A$3:$A$2150,P$1,'United Data'!$C$3:$C$2150,$A570,'United Data'!$B$3:$B$2150,"&lt;&gt;P")&gt;0,1,0)</f>
        <v>1</v>
      </c>
      <c r="Q570">
        <f>IF(COUNTIFS('United Data'!$A$3:$A$2150,Q$1,'United Data'!$C$3:$C$2150,$A570,'United Data'!$B$3:$B$2150,"&lt;&gt;P")&gt;0,1,0)</f>
        <v>0</v>
      </c>
      <c r="R570">
        <f>IF(COUNTIFS('United Data'!$A$3:$A$2150,R$1,'United Data'!$C$3:$C$2150,$A570,'United Data'!$B$3:$B$2150,"&lt;&gt;P")&gt;0,1,0)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617</v>
      </c>
      <c r="B571">
        <f>IF(COUNTIFS('United Data'!$A$3:$A$2150,B$1,'United Data'!$C$3:$C$2150,$A571,'United Data'!$B$3:$B$2150,"&lt;&gt;P")&gt;0,1,0)</f>
        <v>0</v>
      </c>
      <c r="C571">
        <f>IF(COUNTIFS('United Data'!$A$3:$A$2150,C$1,'United Data'!$C$3:$C$2150,$A571,'United Data'!$B$3:$B$2150,"&lt;&gt;P")&gt;0,1,0)</f>
        <v>0</v>
      </c>
      <c r="D571">
        <f>IF(COUNTIFS('United Data'!$A$3:$A$2150,D$1,'United Data'!$C$3:$C$2150,$A571,'United Data'!$B$3:$B$2150,"&lt;&gt;P")&gt;0,1,0)</f>
        <v>0</v>
      </c>
      <c r="E571">
        <f>IF(COUNTIFS('United Data'!$A$3:$A$2150,E$1,'United Data'!$C$3:$C$2150,$A571,'United Data'!$B$3:$B$2150,"&lt;&gt;P")&gt;0,1,0)</f>
        <v>0</v>
      </c>
      <c r="F571">
        <f>IF(COUNTIFS('United Data'!$A$3:$A$2150,F$1,'United Data'!$C$3:$C$2150,$A571,'United Data'!$B$3:$B$2150,"&lt;&gt;P")&gt;0,1,0)</f>
        <v>0</v>
      </c>
      <c r="G571">
        <f>IF(COUNTIFS('United Data'!$A$3:$A$2150,G$1,'United Data'!$C$3:$C$2150,$A571,'United Data'!$B$3:$B$2150,"&lt;&gt;P")&gt;0,1,0)</f>
        <v>0</v>
      </c>
      <c r="H571">
        <f>IF(COUNTIFS('United Data'!$A$3:$A$2150,H$1,'United Data'!$C$3:$C$2150,$A571,'United Data'!$B$3:$B$2150,"&lt;&gt;P")&gt;0,1,0)</f>
        <v>0</v>
      </c>
      <c r="I571">
        <f>IF(COUNTIFS('United Data'!$A$3:$A$2150,I$1,'United Data'!$C$3:$C$2150,$A571,'United Data'!$B$3:$B$2150,"&lt;&gt;P")&gt;0,1,0)</f>
        <v>0</v>
      </c>
      <c r="J571">
        <f>IF(COUNTIFS('United Data'!$A$3:$A$2150,J$1,'United Data'!$C$3:$C$2150,$A571,'United Data'!$B$3:$B$2150,"&lt;&gt;P")&gt;0,1,0)</f>
        <v>0</v>
      </c>
      <c r="K571">
        <f>IF(COUNTIFS('United Data'!$A$3:$A$2150,K$1,'United Data'!$C$3:$C$2150,$A571,'United Data'!$B$3:$B$2150,"&lt;&gt;P")&gt;0,1,0)</f>
        <v>0</v>
      </c>
      <c r="L571">
        <f>IF(COUNTIFS('United Data'!$A$3:$A$2150,L$1,'United Data'!$C$3:$C$2150,$A571,'United Data'!$B$3:$B$2150,"&lt;&gt;P")&gt;0,1,0)</f>
        <v>0</v>
      </c>
      <c r="M571">
        <f>IF(COUNTIFS('United Data'!$A$3:$A$2150,M$1,'United Data'!$C$3:$C$2150,$A571,'United Data'!$B$3:$B$2150,"&lt;&gt;P")&gt;0,1,0)</f>
        <v>0</v>
      </c>
      <c r="N571">
        <f>IF(COUNTIFS('United Data'!$A$3:$A$2150,N$1,'United Data'!$C$3:$C$2150,$A571,'United Data'!$B$3:$B$2150,"&lt;&gt;P")&gt;0,1,0)</f>
        <v>0</v>
      </c>
      <c r="O571">
        <f>IF(COUNTIFS('United Data'!$A$3:$A$2150,O$1,'United Data'!$C$3:$C$2150,$A571,'United Data'!$B$3:$B$2150,"&lt;&gt;P")&gt;0,1,0)</f>
        <v>0</v>
      </c>
      <c r="P571">
        <f>IF(COUNTIFS('United Data'!$A$3:$A$2150,P$1,'United Data'!$C$3:$C$2150,$A571,'United Data'!$B$3:$B$2150,"&lt;&gt;P")&gt;0,1,0)</f>
        <v>1</v>
      </c>
      <c r="Q571">
        <f>IF(COUNTIFS('United Data'!$A$3:$A$2150,Q$1,'United Data'!$C$3:$C$2150,$A571,'United Data'!$B$3:$B$2150,"&lt;&gt;P")&gt;0,1,0)</f>
        <v>0</v>
      </c>
      <c r="R571">
        <f>IF(COUNTIFS('United Data'!$A$3:$A$2150,R$1,'United Data'!$C$3:$C$2150,$A571,'United Data'!$B$3:$B$2150,"&lt;&gt;P")&gt;0,1,0)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618</v>
      </c>
      <c r="B572">
        <f>IF(COUNTIFS('United Data'!$A$3:$A$2150,B$1,'United Data'!$C$3:$C$2150,$A572,'United Data'!$B$3:$B$2150,"&lt;&gt;P")&gt;0,1,0)</f>
        <v>0</v>
      </c>
      <c r="C572">
        <f>IF(COUNTIFS('United Data'!$A$3:$A$2150,C$1,'United Data'!$C$3:$C$2150,$A572,'United Data'!$B$3:$B$2150,"&lt;&gt;P")&gt;0,1,0)</f>
        <v>0</v>
      </c>
      <c r="D572">
        <f>IF(COUNTIFS('United Data'!$A$3:$A$2150,D$1,'United Data'!$C$3:$C$2150,$A572,'United Data'!$B$3:$B$2150,"&lt;&gt;P")&gt;0,1,0)</f>
        <v>0</v>
      </c>
      <c r="E572">
        <f>IF(COUNTIFS('United Data'!$A$3:$A$2150,E$1,'United Data'!$C$3:$C$2150,$A572,'United Data'!$B$3:$B$2150,"&lt;&gt;P")&gt;0,1,0)</f>
        <v>0</v>
      </c>
      <c r="F572">
        <f>IF(COUNTIFS('United Data'!$A$3:$A$2150,F$1,'United Data'!$C$3:$C$2150,$A572,'United Data'!$B$3:$B$2150,"&lt;&gt;P")&gt;0,1,0)</f>
        <v>0</v>
      </c>
      <c r="G572">
        <f>IF(COUNTIFS('United Data'!$A$3:$A$2150,G$1,'United Data'!$C$3:$C$2150,$A572,'United Data'!$B$3:$B$2150,"&lt;&gt;P")&gt;0,1,0)</f>
        <v>0</v>
      </c>
      <c r="H572">
        <f>IF(COUNTIFS('United Data'!$A$3:$A$2150,H$1,'United Data'!$C$3:$C$2150,$A572,'United Data'!$B$3:$B$2150,"&lt;&gt;P")&gt;0,1,0)</f>
        <v>0</v>
      </c>
      <c r="I572">
        <f>IF(COUNTIFS('United Data'!$A$3:$A$2150,I$1,'United Data'!$C$3:$C$2150,$A572,'United Data'!$B$3:$B$2150,"&lt;&gt;P")&gt;0,1,0)</f>
        <v>0</v>
      </c>
      <c r="J572">
        <f>IF(COUNTIFS('United Data'!$A$3:$A$2150,J$1,'United Data'!$C$3:$C$2150,$A572,'United Data'!$B$3:$B$2150,"&lt;&gt;P")&gt;0,1,0)</f>
        <v>0</v>
      </c>
      <c r="K572">
        <f>IF(COUNTIFS('United Data'!$A$3:$A$2150,K$1,'United Data'!$C$3:$C$2150,$A572,'United Data'!$B$3:$B$2150,"&lt;&gt;P")&gt;0,1,0)</f>
        <v>0</v>
      </c>
      <c r="L572">
        <f>IF(COUNTIFS('United Data'!$A$3:$A$2150,L$1,'United Data'!$C$3:$C$2150,$A572,'United Data'!$B$3:$B$2150,"&lt;&gt;P")&gt;0,1,0)</f>
        <v>0</v>
      </c>
      <c r="M572">
        <f>IF(COUNTIFS('United Data'!$A$3:$A$2150,M$1,'United Data'!$C$3:$C$2150,$A572,'United Data'!$B$3:$B$2150,"&lt;&gt;P")&gt;0,1,0)</f>
        <v>0</v>
      </c>
      <c r="N572">
        <f>IF(COUNTIFS('United Data'!$A$3:$A$2150,N$1,'United Data'!$C$3:$C$2150,$A572,'United Data'!$B$3:$B$2150,"&lt;&gt;P")&gt;0,1,0)</f>
        <v>0</v>
      </c>
      <c r="O572">
        <f>IF(COUNTIFS('United Data'!$A$3:$A$2150,O$1,'United Data'!$C$3:$C$2150,$A572,'United Data'!$B$3:$B$2150,"&lt;&gt;P")&gt;0,1,0)</f>
        <v>0</v>
      </c>
      <c r="P572">
        <f>IF(COUNTIFS('United Data'!$A$3:$A$2150,P$1,'United Data'!$C$3:$C$2150,$A572,'United Data'!$B$3:$B$2150,"&lt;&gt;P")&gt;0,1,0)</f>
        <v>1</v>
      </c>
      <c r="Q572">
        <f>IF(COUNTIFS('United Data'!$A$3:$A$2150,Q$1,'United Data'!$C$3:$C$2150,$A572,'United Data'!$B$3:$B$2150,"&lt;&gt;P")&gt;0,1,0)</f>
        <v>0</v>
      </c>
      <c r="R572">
        <f>IF(COUNTIFS('United Data'!$A$3:$A$2150,R$1,'United Data'!$C$3:$C$2150,$A572,'United Data'!$B$3:$B$2150,"&lt;&gt;P")&gt;0,1,0)</f>
        <v>0</v>
      </c>
      <c r="S572">
        <f t="shared" si="16"/>
        <v>1</v>
      </c>
      <c r="T572">
        <f t="shared" si="17"/>
        <v>1</v>
      </c>
    </row>
    <row r="573" spans="1:20" x14ac:dyDescent="0.2">
      <c r="A573" t="s">
        <v>619</v>
      </c>
      <c r="B573">
        <f>IF(COUNTIFS('United Data'!$A$3:$A$2150,B$1,'United Data'!$C$3:$C$2150,$A573,'United Data'!$B$3:$B$2150,"&lt;&gt;P")&gt;0,1,0)</f>
        <v>0</v>
      </c>
      <c r="C573">
        <f>IF(COUNTIFS('United Data'!$A$3:$A$2150,C$1,'United Data'!$C$3:$C$2150,$A573,'United Data'!$B$3:$B$2150,"&lt;&gt;P")&gt;0,1,0)</f>
        <v>0</v>
      </c>
      <c r="D573">
        <f>IF(COUNTIFS('United Data'!$A$3:$A$2150,D$1,'United Data'!$C$3:$C$2150,$A573,'United Data'!$B$3:$B$2150,"&lt;&gt;P")&gt;0,1,0)</f>
        <v>0</v>
      </c>
      <c r="E573">
        <f>IF(COUNTIFS('United Data'!$A$3:$A$2150,E$1,'United Data'!$C$3:$C$2150,$A573,'United Data'!$B$3:$B$2150,"&lt;&gt;P")&gt;0,1,0)</f>
        <v>0</v>
      </c>
      <c r="F573">
        <f>IF(COUNTIFS('United Data'!$A$3:$A$2150,F$1,'United Data'!$C$3:$C$2150,$A573,'United Data'!$B$3:$B$2150,"&lt;&gt;P")&gt;0,1,0)</f>
        <v>0</v>
      </c>
      <c r="G573">
        <f>IF(COUNTIFS('United Data'!$A$3:$A$2150,G$1,'United Data'!$C$3:$C$2150,$A573,'United Data'!$B$3:$B$2150,"&lt;&gt;P")&gt;0,1,0)</f>
        <v>0</v>
      </c>
      <c r="H573">
        <f>IF(COUNTIFS('United Data'!$A$3:$A$2150,H$1,'United Data'!$C$3:$C$2150,$A573,'United Data'!$B$3:$B$2150,"&lt;&gt;P")&gt;0,1,0)</f>
        <v>0</v>
      </c>
      <c r="I573">
        <f>IF(COUNTIFS('United Data'!$A$3:$A$2150,I$1,'United Data'!$C$3:$C$2150,$A573,'United Data'!$B$3:$B$2150,"&lt;&gt;P")&gt;0,1,0)</f>
        <v>0</v>
      </c>
      <c r="J573">
        <f>IF(COUNTIFS('United Data'!$A$3:$A$2150,J$1,'United Data'!$C$3:$C$2150,$A573,'United Data'!$B$3:$B$2150,"&lt;&gt;P")&gt;0,1,0)</f>
        <v>0</v>
      </c>
      <c r="K573">
        <f>IF(COUNTIFS('United Data'!$A$3:$A$2150,K$1,'United Data'!$C$3:$C$2150,$A573,'United Data'!$B$3:$B$2150,"&lt;&gt;P")&gt;0,1,0)</f>
        <v>0</v>
      </c>
      <c r="L573">
        <f>IF(COUNTIFS('United Data'!$A$3:$A$2150,L$1,'United Data'!$C$3:$C$2150,$A573,'United Data'!$B$3:$B$2150,"&lt;&gt;P")&gt;0,1,0)</f>
        <v>0</v>
      </c>
      <c r="M573">
        <f>IF(COUNTIFS('United Data'!$A$3:$A$2150,M$1,'United Data'!$C$3:$C$2150,$A573,'United Data'!$B$3:$B$2150,"&lt;&gt;P")&gt;0,1,0)</f>
        <v>0</v>
      </c>
      <c r="N573">
        <f>IF(COUNTIFS('United Data'!$A$3:$A$2150,N$1,'United Data'!$C$3:$C$2150,$A573,'United Data'!$B$3:$B$2150,"&lt;&gt;P")&gt;0,1,0)</f>
        <v>0</v>
      </c>
      <c r="O573">
        <f>IF(COUNTIFS('United Data'!$A$3:$A$2150,O$1,'United Data'!$C$3:$C$2150,$A573,'United Data'!$B$3:$B$2150,"&lt;&gt;P")&gt;0,1,0)</f>
        <v>0</v>
      </c>
      <c r="P573">
        <f>IF(COUNTIFS('United Data'!$A$3:$A$2150,P$1,'United Data'!$C$3:$C$2150,$A573,'United Data'!$B$3:$B$2150,"&lt;&gt;P")&gt;0,1,0)</f>
        <v>1</v>
      </c>
      <c r="Q573">
        <f>IF(COUNTIFS('United Data'!$A$3:$A$2150,Q$1,'United Data'!$C$3:$C$2150,$A573,'United Data'!$B$3:$B$2150,"&lt;&gt;P")&gt;0,1,0)</f>
        <v>0</v>
      </c>
      <c r="R573">
        <f>IF(COUNTIFS('United Data'!$A$3:$A$2150,R$1,'United Data'!$C$3:$C$2150,$A573,'United Data'!$B$3:$B$2150,"&lt;&gt;P")&gt;0,1,0)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620</v>
      </c>
      <c r="B574">
        <f>IF(COUNTIFS('United Data'!$A$3:$A$2150,B$1,'United Data'!$C$3:$C$2150,$A574,'United Data'!$B$3:$B$2150,"&lt;&gt;P")&gt;0,1,0)</f>
        <v>0</v>
      </c>
      <c r="C574">
        <f>IF(COUNTIFS('United Data'!$A$3:$A$2150,C$1,'United Data'!$C$3:$C$2150,$A574,'United Data'!$B$3:$B$2150,"&lt;&gt;P")&gt;0,1,0)</f>
        <v>0</v>
      </c>
      <c r="D574">
        <f>IF(COUNTIFS('United Data'!$A$3:$A$2150,D$1,'United Data'!$C$3:$C$2150,$A574,'United Data'!$B$3:$B$2150,"&lt;&gt;P")&gt;0,1,0)</f>
        <v>0</v>
      </c>
      <c r="E574">
        <f>IF(COUNTIFS('United Data'!$A$3:$A$2150,E$1,'United Data'!$C$3:$C$2150,$A574,'United Data'!$B$3:$B$2150,"&lt;&gt;P")&gt;0,1,0)</f>
        <v>0</v>
      </c>
      <c r="F574">
        <f>IF(COUNTIFS('United Data'!$A$3:$A$2150,F$1,'United Data'!$C$3:$C$2150,$A574,'United Data'!$B$3:$B$2150,"&lt;&gt;P")&gt;0,1,0)</f>
        <v>0</v>
      </c>
      <c r="G574">
        <f>IF(COUNTIFS('United Data'!$A$3:$A$2150,G$1,'United Data'!$C$3:$C$2150,$A574,'United Data'!$B$3:$B$2150,"&lt;&gt;P")&gt;0,1,0)</f>
        <v>0</v>
      </c>
      <c r="H574">
        <f>IF(COUNTIFS('United Data'!$A$3:$A$2150,H$1,'United Data'!$C$3:$C$2150,$A574,'United Data'!$B$3:$B$2150,"&lt;&gt;P")&gt;0,1,0)</f>
        <v>0</v>
      </c>
      <c r="I574">
        <f>IF(COUNTIFS('United Data'!$A$3:$A$2150,I$1,'United Data'!$C$3:$C$2150,$A574,'United Data'!$B$3:$B$2150,"&lt;&gt;P")&gt;0,1,0)</f>
        <v>0</v>
      </c>
      <c r="J574">
        <f>IF(COUNTIFS('United Data'!$A$3:$A$2150,J$1,'United Data'!$C$3:$C$2150,$A574,'United Data'!$B$3:$B$2150,"&lt;&gt;P")&gt;0,1,0)</f>
        <v>0</v>
      </c>
      <c r="K574">
        <f>IF(COUNTIFS('United Data'!$A$3:$A$2150,K$1,'United Data'!$C$3:$C$2150,$A574,'United Data'!$B$3:$B$2150,"&lt;&gt;P")&gt;0,1,0)</f>
        <v>0</v>
      </c>
      <c r="L574">
        <f>IF(COUNTIFS('United Data'!$A$3:$A$2150,L$1,'United Data'!$C$3:$C$2150,$A574,'United Data'!$B$3:$B$2150,"&lt;&gt;P")&gt;0,1,0)</f>
        <v>0</v>
      </c>
      <c r="M574">
        <f>IF(COUNTIFS('United Data'!$A$3:$A$2150,M$1,'United Data'!$C$3:$C$2150,$A574,'United Data'!$B$3:$B$2150,"&lt;&gt;P")&gt;0,1,0)</f>
        <v>0</v>
      </c>
      <c r="N574">
        <f>IF(COUNTIFS('United Data'!$A$3:$A$2150,N$1,'United Data'!$C$3:$C$2150,$A574,'United Data'!$B$3:$B$2150,"&lt;&gt;P")&gt;0,1,0)</f>
        <v>0</v>
      </c>
      <c r="O574">
        <f>IF(COUNTIFS('United Data'!$A$3:$A$2150,O$1,'United Data'!$C$3:$C$2150,$A574,'United Data'!$B$3:$B$2150,"&lt;&gt;P")&gt;0,1,0)</f>
        <v>0</v>
      </c>
      <c r="P574">
        <f>IF(COUNTIFS('United Data'!$A$3:$A$2150,P$1,'United Data'!$C$3:$C$2150,$A574,'United Data'!$B$3:$B$2150,"&lt;&gt;P")&gt;0,1,0)</f>
        <v>1</v>
      </c>
      <c r="Q574">
        <f>IF(COUNTIFS('United Data'!$A$3:$A$2150,Q$1,'United Data'!$C$3:$C$2150,$A574,'United Data'!$B$3:$B$2150,"&lt;&gt;P")&gt;0,1,0)</f>
        <v>1</v>
      </c>
      <c r="R574">
        <f>IF(COUNTIFS('United Data'!$A$3:$A$2150,R$1,'United Data'!$C$3:$C$2150,$A574,'United Data'!$B$3:$B$2150,"&lt;&gt;P")&gt;0,1,0)</f>
        <v>0</v>
      </c>
      <c r="S574">
        <f t="shared" si="16"/>
        <v>2</v>
      </c>
      <c r="T574">
        <f t="shared" si="17"/>
        <v>1</v>
      </c>
    </row>
    <row r="575" spans="1:20" x14ac:dyDescent="0.2">
      <c r="A575" t="s">
        <v>621</v>
      </c>
      <c r="B575">
        <f>IF(COUNTIFS('United Data'!$A$3:$A$2150,B$1,'United Data'!$C$3:$C$2150,$A575,'United Data'!$B$3:$B$2150,"&lt;&gt;P")&gt;0,1,0)</f>
        <v>0</v>
      </c>
      <c r="C575">
        <f>IF(COUNTIFS('United Data'!$A$3:$A$2150,C$1,'United Data'!$C$3:$C$2150,$A575,'United Data'!$B$3:$B$2150,"&lt;&gt;P")&gt;0,1,0)</f>
        <v>0</v>
      </c>
      <c r="D575">
        <f>IF(COUNTIFS('United Data'!$A$3:$A$2150,D$1,'United Data'!$C$3:$C$2150,$A575,'United Data'!$B$3:$B$2150,"&lt;&gt;P")&gt;0,1,0)</f>
        <v>0</v>
      </c>
      <c r="E575">
        <f>IF(COUNTIFS('United Data'!$A$3:$A$2150,E$1,'United Data'!$C$3:$C$2150,$A575,'United Data'!$B$3:$B$2150,"&lt;&gt;P")&gt;0,1,0)</f>
        <v>0</v>
      </c>
      <c r="F575">
        <f>IF(COUNTIFS('United Data'!$A$3:$A$2150,F$1,'United Data'!$C$3:$C$2150,$A575,'United Data'!$B$3:$B$2150,"&lt;&gt;P")&gt;0,1,0)</f>
        <v>0</v>
      </c>
      <c r="G575">
        <f>IF(COUNTIFS('United Data'!$A$3:$A$2150,G$1,'United Data'!$C$3:$C$2150,$A575,'United Data'!$B$3:$B$2150,"&lt;&gt;P")&gt;0,1,0)</f>
        <v>0</v>
      </c>
      <c r="H575">
        <f>IF(COUNTIFS('United Data'!$A$3:$A$2150,H$1,'United Data'!$C$3:$C$2150,$A575,'United Data'!$B$3:$B$2150,"&lt;&gt;P")&gt;0,1,0)</f>
        <v>0</v>
      </c>
      <c r="I575">
        <f>IF(COUNTIFS('United Data'!$A$3:$A$2150,I$1,'United Data'!$C$3:$C$2150,$A575,'United Data'!$B$3:$B$2150,"&lt;&gt;P")&gt;0,1,0)</f>
        <v>0</v>
      </c>
      <c r="J575">
        <f>IF(COUNTIFS('United Data'!$A$3:$A$2150,J$1,'United Data'!$C$3:$C$2150,$A575,'United Data'!$B$3:$B$2150,"&lt;&gt;P")&gt;0,1,0)</f>
        <v>0</v>
      </c>
      <c r="K575">
        <f>IF(COUNTIFS('United Data'!$A$3:$A$2150,K$1,'United Data'!$C$3:$C$2150,$A575,'United Data'!$B$3:$B$2150,"&lt;&gt;P")&gt;0,1,0)</f>
        <v>0</v>
      </c>
      <c r="L575">
        <f>IF(COUNTIFS('United Data'!$A$3:$A$2150,L$1,'United Data'!$C$3:$C$2150,$A575,'United Data'!$B$3:$B$2150,"&lt;&gt;P")&gt;0,1,0)</f>
        <v>0</v>
      </c>
      <c r="M575">
        <f>IF(COUNTIFS('United Data'!$A$3:$A$2150,M$1,'United Data'!$C$3:$C$2150,$A575,'United Data'!$B$3:$B$2150,"&lt;&gt;P")&gt;0,1,0)</f>
        <v>0</v>
      </c>
      <c r="N575">
        <f>IF(COUNTIFS('United Data'!$A$3:$A$2150,N$1,'United Data'!$C$3:$C$2150,$A575,'United Data'!$B$3:$B$2150,"&lt;&gt;P")&gt;0,1,0)</f>
        <v>0</v>
      </c>
      <c r="O575">
        <f>IF(COUNTIFS('United Data'!$A$3:$A$2150,O$1,'United Data'!$C$3:$C$2150,$A575,'United Data'!$B$3:$B$2150,"&lt;&gt;P")&gt;0,1,0)</f>
        <v>0</v>
      </c>
      <c r="P575">
        <f>IF(COUNTIFS('United Data'!$A$3:$A$2150,P$1,'United Data'!$C$3:$C$2150,$A575,'United Data'!$B$3:$B$2150,"&lt;&gt;P")&gt;0,1,0)</f>
        <v>1</v>
      </c>
      <c r="Q575">
        <f>IF(COUNTIFS('United Data'!$A$3:$A$2150,Q$1,'United Data'!$C$3:$C$2150,$A575,'United Data'!$B$3:$B$2150,"&lt;&gt;P")&gt;0,1,0)</f>
        <v>0</v>
      </c>
      <c r="R575">
        <f>IF(COUNTIFS('United Data'!$A$3:$A$2150,R$1,'United Data'!$C$3:$C$2150,$A575,'United Data'!$B$3:$B$2150,"&lt;&gt;P")&gt;0,1,0)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1011</v>
      </c>
      <c r="B576">
        <f>IF(COUNTIFS('United Data'!$A$3:$A$2150,B$1,'United Data'!$C$3:$C$2150,$A576,'United Data'!$B$3:$B$2150,"&lt;&gt;P")&gt;0,1,0)</f>
        <v>0</v>
      </c>
      <c r="C576">
        <f>IF(COUNTIFS('United Data'!$A$3:$A$2150,C$1,'United Data'!$C$3:$C$2150,$A576,'United Data'!$B$3:$B$2150,"&lt;&gt;P")&gt;0,1,0)</f>
        <v>0</v>
      </c>
      <c r="D576">
        <f>IF(COUNTIFS('United Data'!$A$3:$A$2150,D$1,'United Data'!$C$3:$C$2150,$A576,'United Data'!$B$3:$B$2150,"&lt;&gt;P")&gt;0,1,0)</f>
        <v>0</v>
      </c>
      <c r="E576">
        <f>IF(COUNTIFS('United Data'!$A$3:$A$2150,E$1,'United Data'!$C$3:$C$2150,$A576,'United Data'!$B$3:$B$2150,"&lt;&gt;P")&gt;0,1,0)</f>
        <v>0</v>
      </c>
      <c r="F576">
        <f>IF(COUNTIFS('United Data'!$A$3:$A$2150,F$1,'United Data'!$C$3:$C$2150,$A576,'United Data'!$B$3:$B$2150,"&lt;&gt;P")&gt;0,1,0)</f>
        <v>0</v>
      </c>
      <c r="G576">
        <f>IF(COUNTIFS('United Data'!$A$3:$A$2150,G$1,'United Data'!$C$3:$C$2150,$A576,'United Data'!$B$3:$B$2150,"&lt;&gt;P")&gt;0,1,0)</f>
        <v>0</v>
      </c>
      <c r="H576">
        <f>IF(COUNTIFS('United Data'!$A$3:$A$2150,H$1,'United Data'!$C$3:$C$2150,$A576,'United Data'!$B$3:$B$2150,"&lt;&gt;P")&gt;0,1,0)</f>
        <v>0</v>
      </c>
      <c r="I576">
        <f>IF(COUNTIFS('United Data'!$A$3:$A$2150,I$1,'United Data'!$C$3:$C$2150,$A576,'United Data'!$B$3:$B$2150,"&lt;&gt;P")&gt;0,1,0)</f>
        <v>0</v>
      </c>
      <c r="J576">
        <f>IF(COUNTIFS('United Data'!$A$3:$A$2150,J$1,'United Data'!$C$3:$C$2150,$A576,'United Data'!$B$3:$B$2150,"&lt;&gt;P")&gt;0,1,0)</f>
        <v>0</v>
      </c>
      <c r="K576">
        <f>IF(COUNTIFS('United Data'!$A$3:$A$2150,K$1,'United Data'!$C$3:$C$2150,$A576,'United Data'!$B$3:$B$2150,"&lt;&gt;P")&gt;0,1,0)</f>
        <v>0</v>
      </c>
      <c r="L576">
        <f>IF(COUNTIFS('United Data'!$A$3:$A$2150,L$1,'United Data'!$C$3:$C$2150,$A576,'United Data'!$B$3:$B$2150,"&lt;&gt;P")&gt;0,1,0)</f>
        <v>0</v>
      </c>
      <c r="M576">
        <f>IF(COUNTIFS('United Data'!$A$3:$A$2150,M$1,'United Data'!$C$3:$C$2150,$A576,'United Data'!$B$3:$B$2150,"&lt;&gt;P")&gt;0,1,0)</f>
        <v>0</v>
      </c>
      <c r="N576">
        <f>IF(COUNTIFS('United Data'!$A$3:$A$2150,N$1,'United Data'!$C$3:$C$2150,$A576,'United Data'!$B$3:$B$2150,"&lt;&gt;P")&gt;0,1,0)</f>
        <v>0</v>
      </c>
      <c r="O576">
        <f>IF(COUNTIFS('United Data'!$A$3:$A$2150,O$1,'United Data'!$C$3:$C$2150,$A576,'United Data'!$B$3:$B$2150,"&lt;&gt;P")&gt;0,1,0)</f>
        <v>0</v>
      </c>
      <c r="P576">
        <f>IF(COUNTIFS('United Data'!$A$3:$A$2150,P$1,'United Data'!$C$3:$C$2150,$A576,'United Data'!$B$3:$B$2150,"&lt;&gt;P")&gt;0,1,0)</f>
        <v>0</v>
      </c>
      <c r="Q576">
        <f>IF(COUNTIFS('United Data'!$A$3:$A$2150,Q$1,'United Data'!$C$3:$C$2150,$A576,'United Data'!$B$3:$B$2150,"&lt;&gt;P")&gt;0,1,0)</f>
        <v>0</v>
      </c>
      <c r="R576">
        <f>IF(COUNTIFS('United Data'!$A$3:$A$2150,R$1,'United Data'!$C$3:$C$2150,$A576,'United Data'!$B$3:$B$2150,"&lt;&gt;P")&gt;0,1,0)</f>
        <v>0</v>
      </c>
      <c r="S576">
        <f t="shared" si="16"/>
        <v>0</v>
      </c>
      <c r="T576">
        <f t="shared" si="17"/>
        <v>0</v>
      </c>
    </row>
    <row r="577" spans="1:20" x14ac:dyDescent="0.2">
      <c r="A577" t="s">
        <v>622</v>
      </c>
      <c r="B577">
        <f>IF(COUNTIFS('United Data'!$A$3:$A$2150,B$1,'United Data'!$C$3:$C$2150,$A577,'United Data'!$B$3:$B$2150,"&lt;&gt;P")&gt;0,1,0)</f>
        <v>0</v>
      </c>
      <c r="C577">
        <f>IF(COUNTIFS('United Data'!$A$3:$A$2150,C$1,'United Data'!$C$3:$C$2150,$A577,'United Data'!$B$3:$B$2150,"&lt;&gt;P")&gt;0,1,0)</f>
        <v>0</v>
      </c>
      <c r="D577">
        <f>IF(COUNTIFS('United Data'!$A$3:$A$2150,D$1,'United Data'!$C$3:$C$2150,$A577,'United Data'!$B$3:$B$2150,"&lt;&gt;P")&gt;0,1,0)</f>
        <v>0</v>
      </c>
      <c r="E577">
        <f>IF(COUNTIFS('United Data'!$A$3:$A$2150,E$1,'United Data'!$C$3:$C$2150,$A577,'United Data'!$B$3:$B$2150,"&lt;&gt;P")&gt;0,1,0)</f>
        <v>0</v>
      </c>
      <c r="F577">
        <f>IF(COUNTIFS('United Data'!$A$3:$A$2150,F$1,'United Data'!$C$3:$C$2150,$A577,'United Data'!$B$3:$B$2150,"&lt;&gt;P")&gt;0,1,0)</f>
        <v>0</v>
      </c>
      <c r="G577">
        <f>IF(COUNTIFS('United Data'!$A$3:$A$2150,G$1,'United Data'!$C$3:$C$2150,$A577,'United Data'!$B$3:$B$2150,"&lt;&gt;P")&gt;0,1,0)</f>
        <v>0</v>
      </c>
      <c r="H577">
        <f>IF(COUNTIFS('United Data'!$A$3:$A$2150,H$1,'United Data'!$C$3:$C$2150,$A577,'United Data'!$B$3:$B$2150,"&lt;&gt;P")&gt;0,1,0)</f>
        <v>0</v>
      </c>
      <c r="I577">
        <f>IF(COUNTIFS('United Data'!$A$3:$A$2150,I$1,'United Data'!$C$3:$C$2150,$A577,'United Data'!$B$3:$B$2150,"&lt;&gt;P")&gt;0,1,0)</f>
        <v>0</v>
      </c>
      <c r="J577">
        <f>IF(COUNTIFS('United Data'!$A$3:$A$2150,J$1,'United Data'!$C$3:$C$2150,$A577,'United Data'!$B$3:$B$2150,"&lt;&gt;P")&gt;0,1,0)</f>
        <v>0</v>
      </c>
      <c r="K577">
        <f>IF(COUNTIFS('United Data'!$A$3:$A$2150,K$1,'United Data'!$C$3:$C$2150,$A577,'United Data'!$B$3:$B$2150,"&lt;&gt;P")&gt;0,1,0)</f>
        <v>0</v>
      </c>
      <c r="L577">
        <f>IF(COUNTIFS('United Data'!$A$3:$A$2150,L$1,'United Data'!$C$3:$C$2150,$A577,'United Data'!$B$3:$B$2150,"&lt;&gt;P")&gt;0,1,0)</f>
        <v>0</v>
      </c>
      <c r="M577">
        <f>IF(COUNTIFS('United Data'!$A$3:$A$2150,M$1,'United Data'!$C$3:$C$2150,$A577,'United Data'!$B$3:$B$2150,"&lt;&gt;P")&gt;0,1,0)</f>
        <v>0</v>
      </c>
      <c r="N577">
        <f>IF(COUNTIFS('United Data'!$A$3:$A$2150,N$1,'United Data'!$C$3:$C$2150,$A577,'United Data'!$B$3:$B$2150,"&lt;&gt;P")&gt;0,1,0)</f>
        <v>0</v>
      </c>
      <c r="O577">
        <f>IF(COUNTIFS('United Data'!$A$3:$A$2150,O$1,'United Data'!$C$3:$C$2150,$A577,'United Data'!$B$3:$B$2150,"&lt;&gt;P")&gt;0,1,0)</f>
        <v>0</v>
      </c>
      <c r="P577">
        <f>IF(COUNTIFS('United Data'!$A$3:$A$2150,P$1,'United Data'!$C$3:$C$2150,$A577,'United Data'!$B$3:$B$2150,"&lt;&gt;P")&gt;0,1,0)</f>
        <v>0</v>
      </c>
      <c r="Q577">
        <f>IF(COUNTIFS('United Data'!$A$3:$A$2150,Q$1,'United Data'!$C$3:$C$2150,$A577,'United Data'!$B$3:$B$2150,"&lt;&gt;P")&gt;0,1,0)</f>
        <v>1</v>
      </c>
      <c r="R577">
        <f>IF(COUNTIFS('United Data'!$A$3:$A$2150,R$1,'United Data'!$C$3:$C$2150,$A577,'United Data'!$B$3:$B$2150,"&lt;&gt;P")&gt;0,1,0)</f>
        <v>0</v>
      </c>
      <c r="S577">
        <f t="shared" si="16"/>
        <v>1</v>
      </c>
      <c r="T577">
        <f t="shared" si="17"/>
        <v>1</v>
      </c>
    </row>
    <row r="578" spans="1:20" x14ac:dyDescent="0.2">
      <c r="A578" t="s">
        <v>623</v>
      </c>
      <c r="B578">
        <f>IF(COUNTIFS('United Data'!$A$3:$A$2150,B$1,'United Data'!$C$3:$C$2150,$A578,'United Data'!$B$3:$B$2150,"&lt;&gt;P")&gt;0,1,0)</f>
        <v>0</v>
      </c>
      <c r="C578">
        <f>IF(COUNTIFS('United Data'!$A$3:$A$2150,C$1,'United Data'!$C$3:$C$2150,$A578,'United Data'!$B$3:$B$2150,"&lt;&gt;P")&gt;0,1,0)</f>
        <v>0</v>
      </c>
      <c r="D578">
        <f>IF(COUNTIFS('United Data'!$A$3:$A$2150,D$1,'United Data'!$C$3:$C$2150,$A578,'United Data'!$B$3:$B$2150,"&lt;&gt;P")&gt;0,1,0)</f>
        <v>0</v>
      </c>
      <c r="E578">
        <f>IF(COUNTIFS('United Data'!$A$3:$A$2150,E$1,'United Data'!$C$3:$C$2150,$A578,'United Data'!$B$3:$B$2150,"&lt;&gt;P")&gt;0,1,0)</f>
        <v>0</v>
      </c>
      <c r="F578">
        <f>IF(COUNTIFS('United Data'!$A$3:$A$2150,F$1,'United Data'!$C$3:$C$2150,$A578,'United Data'!$B$3:$B$2150,"&lt;&gt;P")&gt;0,1,0)</f>
        <v>0</v>
      </c>
      <c r="G578">
        <f>IF(COUNTIFS('United Data'!$A$3:$A$2150,G$1,'United Data'!$C$3:$C$2150,$A578,'United Data'!$B$3:$B$2150,"&lt;&gt;P")&gt;0,1,0)</f>
        <v>0</v>
      </c>
      <c r="H578">
        <f>IF(COUNTIFS('United Data'!$A$3:$A$2150,H$1,'United Data'!$C$3:$C$2150,$A578,'United Data'!$B$3:$B$2150,"&lt;&gt;P")&gt;0,1,0)</f>
        <v>0</v>
      </c>
      <c r="I578">
        <f>IF(COUNTIFS('United Data'!$A$3:$A$2150,I$1,'United Data'!$C$3:$C$2150,$A578,'United Data'!$B$3:$B$2150,"&lt;&gt;P")&gt;0,1,0)</f>
        <v>0</v>
      </c>
      <c r="J578">
        <f>IF(COUNTIFS('United Data'!$A$3:$A$2150,J$1,'United Data'!$C$3:$C$2150,$A578,'United Data'!$B$3:$B$2150,"&lt;&gt;P")&gt;0,1,0)</f>
        <v>0</v>
      </c>
      <c r="K578">
        <f>IF(COUNTIFS('United Data'!$A$3:$A$2150,K$1,'United Data'!$C$3:$C$2150,$A578,'United Data'!$B$3:$B$2150,"&lt;&gt;P")&gt;0,1,0)</f>
        <v>0</v>
      </c>
      <c r="L578">
        <f>IF(COUNTIFS('United Data'!$A$3:$A$2150,L$1,'United Data'!$C$3:$C$2150,$A578,'United Data'!$B$3:$B$2150,"&lt;&gt;P")&gt;0,1,0)</f>
        <v>0</v>
      </c>
      <c r="M578">
        <f>IF(COUNTIFS('United Data'!$A$3:$A$2150,M$1,'United Data'!$C$3:$C$2150,$A578,'United Data'!$B$3:$B$2150,"&lt;&gt;P")&gt;0,1,0)</f>
        <v>0</v>
      </c>
      <c r="N578">
        <f>IF(COUNTIFS('United Data'!$A$3:$A$2150,N$1,'United Data'!$C$3:$C$2150,$A578,'United Data'!$B$3:$B$2150,"&lt;&gt;P")&gt;0,1,0)</f>
        <v>0</v>
      </c>
      <c r="O578">
        <f>IF(COUNTIFS('United Data'!$A$3:$A$2150,O$1,'United Data'!$C$3:$C$2150,$A578,'United Data'!$B$3:$B$2150,"&lt;&gt;P")&gt;0,1,0)</f>
        <v>0</v>
      </c>
      <c r="P578">
        <f>IF(COUNTIFS('United Data'!$A$3:$A$2150,P$1,'United Data'!$C$3:$C$2150,$A578,'United Data'!$B$3:$B$2150,"&lt;&gt;P")&gt;0,1,0)</f>
        <v>0</v>
      </c>
      <c r="Q578">
        <f>IF(COUNTIFS('United Data'!$A$3:$A$2150,Q$1,'United Data'!$C$3:$C$2150,$A578,'United Data'!$B$3:$B$2150,"&lt;&gt;P")&gt;0,1,0)</f>
        <v>1</v>
      </c>
      <c r="R578">
        <f>IF(COUNTIFS('United Data'!$A$3:$A$2150,R$1,'United Data'!$C$3:$C$2150,$A578,'United Data'!$B$3:$B$2150,"&lt;&gt;P")&gt;0,1,0)</f>
        <v>0</v>
      </c>
      <c r="S578">
        <f t="shared" ref="S578:S641" si="18">SUM(B578:R578)</f>
        <v>1</v>
      </c>
      <c r="T578">
        <f t="shared" ref="T578:T641" si="19">B578+SUMPRODUCT(--(C578:R578&gt;B578:Q578))</f>
        <v>1</v>
      </c>
    </row>
    <row r="579" spans="1:20" x14ac:dyDescent="0.2">
      <c r="A579" t="s">
        <v>624</v>
      </c>
      <c r="B579">
        <f>IF(COUNTIFS('United Data'!$A$3:$A$2150,B$1,'United Data'!$C$3:$C$2150,$A579,'United Data'!$B$3:$B$2150,"&lt;&gt;P")&gt;0,1,0)</f>
        <v>0</v>
      </c>
      <c r="C579">
        <f>IF(COUNTIFS('United Data'!$A$3:$A$2150,C$1,'United Data'!$C$3:$C$2150,$A579,'United Data'!$B$3:$B$2150,"&lt;&gt;P")&gt;0,1,0)</f>
        <v>0</v>
      </c>
      <c r="D579">
        <f>IF(COUNTIFS('United Data'!$A$3:$A$2150,D$1,'United Data'!$C$3:$C$2150,$A579,'United Data'!$B$3:$B$2150,"&lt;&gt;P")&gt;0,1,0)</f>
        <v>0</v>
      </c>
      <c r="E579">
        <f>IF(COUNTIFS('United Data'!$A$3:$A$2150,E$1,'United Data'!$C$3:$C$2150,$A579,'United Data'!$B$3:$B$2150,"&lt;&gt;P")&gt;0,1,0)</f>
        <v>0</v>
      </c>
      <c r="F579">
        <f>IF(COUNTIFS('United Data'!$A$3:$A$2150,F$1,'United Data'!$C$3:$C$2150,$A579,'United Data'!$B$3:$B$2150,"&lt;&gt;P")&gt;0,1,0)</f>
        <v>0</v>
      </c>
      <c r="G579">
        <f>IF(COUNTIFS('United Data'!$A$3:$A$2150,G$1,'United Data'!$C$3:$C$2150,$A579,'United Data'!$B$3:$B$2150,"&lt;&gt;P")&gt;0,1,0)</f>
        <v>0</v>
      </c>
      <c r="H579">
        <f>IF(COUNTIFS('United Data'!$A$3:$A$2150,H$1,'United Data'!$C$3:$C$2150,$A579,'United Data'!$B$3:$B$2150,"&lt;&gt;P")&gt;0,1,0)</f>
        <v>0</v>
      </c>
      <c r="I579">
        <f>IF(COUNTIFS('United Data'!$A$3:$A$2150,I$1,'United Data'!$C$3:$C$2150,$A579,'United Data'!$B$3:$B$2150,"&lt;&gt;P")&gt;0,1,0)</f>
        <v>0</v>
      </c>
      <c r="J579">
        <f>IF(COUNTIFS('United Data'!$A$3:$A$2150,J$1,'United Data'!$C$3:$C$2150,$A579,'United Data'!$B$3:$B$2150,"&lt;&gt;P")&gt;0,1,0)</f>
        <v>0</v>
      </c>
      <c r="K579">
        <f>IF(COUNTIFS('United Data'!$A$3:$A$2150,K$1,'United Data'!$C$3:$C$2150,$A579,'United Data'!$B$3:$B$2150,"&lt;&gt;P")&gt;0,1,0)</f>
        <v>0</v>
      </c>
      <c r="L579">
        <f>IF(COUNTIFS('United Data'!$A$3:$A$2150,L$1,'United Data'!$C$3:$C$2150,$A579,'United Data'!$B$3:$B$2150,"&lt;&gt;P")&gt;0,1,0)</f>
        <v>0</v>
      </c>
      <c r="M579">
        <f>IF(COUNTIFS('United Data'!$A$3:$A$2150,M$1,'United Data'!$C$3:$C$2150,$A579,'United Data'!$B$3:$B$2150,"&lt;&gt;P")&gt;0,1,0)</f>
        <v>0</v>
      </c>
      <c r="N579">
        <f>IF(COUNTIFS('United Data'!$A$3:$A$2150,N$1,'United Data'!$C$3:$C$2150,$A579,'United Data'!$B$3:$B$2150,"&lt;&gt;P")&gt;0,1,0)</f>
        <v>0</v>
      </c>
      <c r="O579">
        <f>IF(COUNTIFS('United Data'!$A$3:$A$2150,O$1,'United Data'!$C$3:$C$2150,$A579,'United Data'!$B$3:$B$2150,"&lt;&gt;P")&gt;0,1,0)</f>
        <v>0</v>
      </c>
      <c r="P579">
        <f>IF(COUNTIFS('United Data'!$A$3:$A$2150,P$1,'United Data'!$C$3:$C$2150,$A579,'United Data'!$B$3:$B$2150,"&lt;&gt;P")&gt;0,1,0)</f>
        <v>0</v>
      </c>
      <c r="Q579">
        <f>IF(COUNTIFS('United Data'!$A$3:$A$2150,Q$1,'United Data'!$C$3:$C$2150,$A579,'United Data'!$B$3:$B$2150,"&lt;&gt;P")&gt;0,1,0)</f>
        <v>1</v>
      </c>
      <c r="R579">
        <f>IF(COUNTIFS('United Data'!$A$3:$A$2150,R$1,'United Data'!$C$3:$C$2150,$A579,'United Data'!$B$3:$B$2150,"&lt;&gt;P")&gt;0,1,0)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625</v>
      </c>
      <c r="B580">
        <f>IF(COUNTIFS('United Data'!$A$3:$A$2150,B$1,'United Data'!$C$3:$C$2150,$A580,'United Data'!$B$3:$B$2150,"&lt;&gt;P")&gt;0,1,0)</f>
        <v>0</v>
      </c>
      <c r="C580">
        <f>IF(COUNTIFS('United Data'!$A$3:$A$2150,C$1,'United Data'!$C$3:$C$2150,$A580,'United Data'!$B$3:$B$2150,"&lt;&gt;P")&gt;0,1,0)</f>
        <v>0</v>
      </c>
      <c r="D580">
        <f>IF(COUNTIFS('United Data'!$A$3:$A$2150,D$1,'United Data'!$C$3:$C$2150,$A580,'United Data'!$B$3:$B$2150,"&lt;&gt;P")&gt;0,1,0)</f>
        <v>0</v>
      </c>
      <c r="E580">
        <f>IF(COUNTIFS('United Data'!$A$3:$A$2150,E$1,'United Data'!$C$3:$C$2150,$A580,'United Data'!$B$3:$B$2150,"&lt;&gt;P")&gt;0,1,0)</f>
        <v>0</v>
      </c>
      <c r="F580">
        <f>IF(COUNTIFS('United Data'!$A$3:$A$2150,F$1,'United Data'!$C$3:$C$2150,$A580,'United Data'!$B$3:$B$2150,"&lt;&gt;P")&gt;0,1,0)</f>
        <v>0</v>
      </c>
      <c r="G580">
        <f>IF(COUNTIFS('United Data'!$A$3:$A$2150,G$1,'United Data'!$C$3:$C$2150,$A580,'United Data'!$B$3:$B$2150,"&lt;&gt;P")&gt;0,1,0)</f>
        <v>0</v>
      </c>
      <c r="H580">
        <f>IF(COUNTIFS('United Data'!$A$3:$A$2150,H$1,'United Data'!$C$3:$C$2150,$A580,'United Data'!$B$3:$B$2150,"&lt;&gt;P")&gt;0,1,0)</f>
        <v>0</v>
      </c>
      <c r="I580">
        <f>IF(COUNTIFS('United Data'!$A$3:$A$2150,I$1,'United Data'!$C$3:$C$2150,$A580,'United Data'!$B$3:$B$2150,"&lt;&gt;P")&gt;0,1,0)</f>
        <v>0</v>
      </c>
      <c r="J580">
        <f>IF(COUNTIFS('United Data'!$A$3:$A$2150,J$1,'United Data'!$C$3:$C$2150,$A580,'United Data'!$B$3:$B$2150,"&lt;&gt;P")&gt;0,1,0)</f>
        <v>0</v>
      </c>
      <c r="K580">
        <f>IF(COUNTIFS('United Data'!$A$3:$A$2150,K$1,'United Data'!$C$3:$C$2150,$A580,'United Data'!$B$3:$B$2150,"&lt;&gt;P")&gt;0,1,0)</f>
        <v>0</v>
      </c>
      <c r="L580">
        <f>IF(COUNTIFS('United Data'!$A$3:$A$2150,L$1,'United Data'!$C$3:$C$2150,$A580,'United Data'!$B$3:$B$2150,"&lt;&gt;P")&gt;0,1,0)</f>
        <v>0</v>
      </c>
      <c r="M580">
        <f>IF(COUNTIFS('United Data'!$A$3:$A$2150,M$1,'United Data'!$C$3:$C$2150,$A580,'United Data'!$B$3:$B$2150,"&lt;&gt;P")&gt;0,1,0)</f>
        <v>0</v>
      </c>
      <c r="N580">
        <f>IF(COUNTIFS('United Data'!$A$3:$A$2150,N$1,'United Data'!$C$3:$C$2150,$A580,'United Data'!$B$3:$B$2150,"&lt;&gt;P")&gt;0,1,0)</f>
        <v>0</v>
      </c>
      <c r="O580">
        <f>IF(COUNTIFS('United Data'!$A$3:$A$2150,O$1,'United Data'!$C$3:$C$2150,$A580,'United Data'!$B$3:$B$2150,"&lt;&gt;P")&gt;0,1,0)</f>
        <v>0</v>
      </c>
      <c r="P580">
        <f>IF(COUNTIFS('United Data'!$A$3:$A$2150,P$1,'United Data'!$C$3:$C$2150,$A580,'United Data'!$B$3:$B$2150,"&lt;&gt;P")&gt;0,1,0)</f>
        <v>0</v>
      </c>
      <c r="Q580">
        <f>IF(COUNTIFS('United Data'!$A$3:$A$2150,Q$1,'United Data'!$C$3:$C$2150,$A580,'United Data'!$B$3:$B$2150,"&lt;&gt;P")&gt;0,1,0)</f>
        <v>1</v>
      </c>
      <c r="R580">
        <f>IF(COUNTIFS('United Data'!$A$3:$A$2150,R$1,'United Data'!$C$3:$C$2150,$A580,'United Data'!$B$3:$B$2150,"&lt;&gt;P")&gt;0,1,0)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626</v>
      </c>
      <c r="B581">
        <f>IF(COUNTIFS('United Data'!$A$3:$A$2150,B$1,'United Data'!$C$3:$C$2150,$A581,'United Data'!$B$3:$B$2150,"&lt;&gt;P")&gt;0,1,0)</f>
        <v>0</v>
      </c>
      <c r="C581">
        <f>IF(COUNTIFS('United Data'!$A$3:$A$2150,C$1,'United Data'!$C$3:$C$2150,$A581,'United Data'!$B$3:$B$2150,"&lt;&gt;P")&gt;0,1,0)</f>
        <v>0</v>
      </c>
      <c r="D581">
        <f>IF(COUNTIFS('United Data'!$A$3:$A$2150,D$1,'United Data'!$C$3:$C$2150,$A581,'United Data'!$B$3:$B$2150,"&lt;&gt;P")&gt;0,1,0)</f>
        <v>0</v>
      </c>
      <c r="E581">
        <f>IF(COUNTIFS('United Data'!$A$3:$A$2150,E$1,'United Data'!$C$3:$C$2150,$A581,'United Data'!$B$3:$B$2150,"&lt;&gt;P")&gt;0,1,0)</f>
        <v>0</v>
      </c>
      <c r="F581">
        <f>IF(COUNTIFS('United Data'!$A$3:$A$2150,F$1,'United Data'!$C$3:$C$2150,$A581,'United Data'!$B$3:$B$2150,"&lt;&gt;P")&gt;0,1,0)</f>
        <v>0</v>
      </c>
      <c r="G581">
        <f>IF(COUNTIFS('United Data'!$A$3:$A$2150,G$1,'United Data'!$C$3:$C$2150,$A581,'United Data'!$B$3:$B$2150,"&lt;&gt;P")&gt;0,1,0)</f>
        <v>0</v>
      </c>
      <c r="H581">
        <f>IF(COUNTIFS('United Data'!$A$3:$A$2150,H$1,'United Data'!$C$3:$C$2150,$A581,'United Data'!$B$3:$B$2150,"&lt;&gt;P")&gt;0,1,0)</f>
        <v>0</v>
      </c>
      <c r="I581">
        <f>IF(COUNTIFS('United Data'!$A$3:$A$2150,I$1,'United Data'!$C$3:$C$2150,$A581,'United Data'!$B$3:$B$2150,"&lt;&gt;P")&gt;0,1,0)</f>
        <v>0</v>
      </c>
      <c r="J581">
        <f>IF(COUNTIFS('United Data'!$A$3:$A$2150,J$1,'United Data'!$C$3:$C$2150,$A581,'United Data'!$B$3:$B$2150,"&lt;&gt;P")&gt;0,1,0)</f>
        <v>0</v>
      </c>
      <c r="K581">
        <f>IF(COUNTIFS('United Data'!$A$3:$A$2150,K$1,'United Data'!$C$3:$C$2150,$A581,'United Data'!$B$3:$B$2150,"&lt;&gt;P")&gt;0,1,0)</f>
        <v>0</v>
      </c>
      <c r="L581">
        <f>IF(COUNTIFS('United Data'!$A$3:$A$2150,L$1,'United Data'!$C$3:$C$2150,$A581,'United Data'!$B$3:$B$2150,"&lt;&gt;P")&gt;0,1,0)</f>
        <v>0</v>
      </c>
      <c r="M581">
        <f>IF(COUNTIFS('United Data'!$A$3:$A$2150,M$1,'United Data'!$C$3:$C$2150,$A581,'United Data'!$B$3:$B$2150,"&lt;&gt;P")&gt;0,1,0)</f>
        <v>0</v>
      </c>
      <c r="N581">
        <f>IF(COUNTIFS('United Data'!$A$3:$A$2150,N$1,'United Data'!$C$3:$C$2150,$A581,'United Data'!$B$3:$B$2150,"&lt;&gt;P")&gt;0,1,0)</f>
        <v>0</v>
      </c>
      <c r="O581">
        <f>IF(COUNTIFS('United Data'!$A$3:$A$2150,O$1,'United Data'!$C$3:$C$2150,$A581,'United Data'!$B$3:$B$2150,"&lt;&gt;P")&gt;0,1,0)</f>
        <v>0</v>
      </c>
      <c r="P581">
        <f>IF(COUNTIFS('United Data'!$A$3:$A$2150,P$1,'United Data'!$C$3:$C$2150,$A581,'United Data'!$B$3:$B$2150,"&lt;&gt;P")&gt;0,1,0)</f>
        <v>0</v>
      </c>
      <c r="Q581">
        <f>IF(COUNTIFS('United Data'!$A$3:$A$2150,Q$1,'United Data'!$C$3:$C$2150,$A581,'United Data'!$B$3:$B$2150,"&lt;&gt;P")&gt;0,1,0)</f>
        <v>1</v>
      </c>
      <c r="R581">
        <f>IF(COUNTIFS('United Data'!$A$3:$A$2150,R$1,'United Data'!$C$3:$C$2150,$A581,'United Data'!$B$3:$B$2150,"&lt;&gt;P")&gt;0,1,0)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627</v>
      </c>
      <c r="B582">
        <f>IF(COUNTIFS('United Data'!$A$3:$A$2150,B$1,'United Data'!$C$3:$C$2150,$A582,'United Data'!$B$3:$B$2150,"&lt;&gt;P")&gt;0,1,0)</f>
        <v>0</v>
      </c>
      <c r="C582">
        <f>IF(COUNTIFS('United Data'!$A$3:$A$2150,C$1,'United Data'!$C$3:$C$2150,$A582,'United Data'!$B$3:$B$2150,"&lt;&gt;P")&gt;0,1,0)</f>
        <v>0</v>
      </c>
      <c r="D582">
        <f>IF(COUNTIFS('United Data'!$A$3:$A$2150,D$1,'United Data'!$C$3:$C$2150,$A582,'United Data'!$B$3:$B$2150,"&lt;&gt;P")&gt;0,1,0)</f>
        <v>0</v>
      </c>
      <c r="E582">
        <f>IF(COUNTIFS('United Data'!$A$3:$A$2150,E$1,'United Data'!$C$3:$C$2150,$A582,'United Data'!$B$3:$B$2150,"&lt;&gt;P")&gt;0,1,0)</f>
        <v>0</v>
      </c>
      <c r="F582">
        <f>IF(COUNTIFS('United Data'!$A$3:$A$2150,F$1,'United Data'!$C$3:$C$2150,$A582,'United Data'!$B$3:$B$2150,"&lt;&gt;P")&gt;0,1,0)</f>
        <v>0</v>
      </c>
      <c r="G582">
        <f>IF(COUNTIFS('United Data'!$A$3:$A$2150,G$1,'United Data'!$C$3:$C$2150,$A582,'United Data'!$B$3:$B$2150,"&lt;&gt;P")&gt;0,1,0)</f>
        <v>0</v>
      </c>
      <c r="H582">
        <f>IF(COUNTIFS('United Data'!$A$3:$A$2150,H$1,'United Data'!$C$3:$C$2150,$A582,'United Data'!$B$3:$B$2150,"&lt;&gt;P")&gt;0,1,0)</f>
        <v>0</v>
      </c>
      <c r="I582">
        <f>IF(COUNTIFS('United Data'!$A$3:$A$2150,I$1,'United Data'!$C$3:$C$2150,$A582,'United Data'!$B$3:$B$2150,"&lt;&gt;P")&gt;0,1,0)</f>
        <v>0</v>
      </c>
      <c r="J582">
        <f>IF(COUNTIFS('United Data'!$A$3:$A$2150,J$1,'United Data'!$C$3:$C$2150,$A582,'United Data'!$B$3:$B$2150,"&lt;&gt;P")&gt;0,1,0)</f>
        <v>0</v>
      </c>
      <c r="K582">
        <f>IF(COUNTIFS('United Data'!$A$3:$A$2150,K$1,'United Data'!$C$3:$C$2150,$A582,'United Data'!$B$3:$B$2150,"&lt;&gt;P")&gt;0,1,0)</f>
        <v>0</v>
      </c>
      <c r="L582">
        <f>IF(COUNTIFS('United Data'!$A$3:$A$2150,L$1,'United Data'!$C$3:$C$2150,$A582,'United Data'!$B$3:$B$2150,"&lt;&gt;P")&gt;0,1,0)</f>
        <v>0</v>
      </c>
      <c r="M582">
        <f>IF(COUNTIFS('United Data'!$A$3:$A$2150,M$1,'United Data'!$C$3:$C$2150,$A582,'United Data'!$B$3:$B$2150,"&lt;&gt;P")&gt;0,1,0)</f>
        <v>0</v>
      </c>
      <c r="N582">
        <f>IF(COUNTIFS('United Data'!$A$3:$A$2150,N$1,'United Data'!$C$3:$C$2150,$A582,'United Data'!$B$3:$B$2150,"&lt;&gt;P")&gt;0,1,0)</f>
        <v>0</v>
      </c>
      <c r="O582">
        <f>IF(COUNTIFS('United Data'!$A$3:$A$2150,O$1,'United Data'!$C$3:$C$2150,$A582,'United Data'!$B$3:$B$2150,"&lt;&gt;P")&gt;0,1,0)</f>
        <v>0</v>
      </c>
      <c r="P582">
        <f>IF(COUNTIFS('United Data'!$A$3:$A$2150,P$1,'United Data'!$C$3:$C$2150,$A582,'United Data'!$B$3:$B$2150,"&lt;&gt;P")&gt;0,1,0)</f>
        <v>0</v>
      </c>
      <c r="Q582">
        <f>IF(COUNTIFS('United Data'!$A$3:$A$2150,Q$1,'United Data'!$C$3:$C$2150,$A582,'United Data'!$B$3:$B$2150,"&lt;&gt;P")&gt;0,1,0)</f>
        <v>1</v>
      </c>
      <c r="R582">
        <f>IF(COUNTIFS('United Data'!$A$3:$A$2150,R$1,'United Data'!$C$3:$C$2150,$A582,'United Data'!$B$3:$B$2150,"&lt;&gt;P")&gt;0,1,0)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628</v>
      </c>
      <c r="B583">
        <f>IF(COUNTIFS('United Data'!$A$3:$A$2150,B$1,'United Data'!$C$3:$C$2150,$A583,'United Data'!$B$3:$B$2150,"&lt;&gt;P")&gt;0,1,0)</f>
        <v>0</v>
      </c>
      <c r="C583">
        <f>IF(COUNTIFS('United Data'!$A$3:$A$2150,C$1,'United Data'!$C$3:$C$2150,$A583,'United Data'!$B$3:$B$2150,"&lt;&gt;P")&gt;0,1,0)</f>
        <v>0</v>
      </c>
      <c r="D583">
        <f>IF(COUNTIFS('United Data'!$A$3:$A$2150,D$1,'United Data'!$C$3:$C$2150,$A583,'United Data'!$B$3:$B$2150,"&lt;&gt;P")&gt;0,1,0)</f>
        <v>0</v>
      </c>
      <c r="E583">
        <f>IF(COUNTIFS('United Data'!$A$3:$A$2150,E$1,'United Data'!$C$3:$C$2150,$A583,'United Data'!$B$3:$B$2150,"&lt;&gt;P")&gt;0,1,0)</f>
        <v>0</v>
      </c>
      <c r="F583">
        <f>IF(COUNTIFS('United Data'!$A$3:$A$2150,F$1,'United Data'!$C$3:$C$2150,$A583,'United Data'!$B$3:$B$2150,"&lt;&gt;P")&gt;0,1,0)</f>
        <v>0</v>
      </c>
      <c r="G583">
        <f>IF(COUNTIFS('United Data'!$A$3:$A$2150,G$1,'United Data'!$C$3:$C$2150,$A583,'United Data'!$B$3:$B$2150,"&lt;&gt;P")&gt;0,1,0)</f>
        <v>0</v>
      </c>
      <c r="H583">
        <f>IF(COUNTIFS('United Data'!$A$3:$A$2150,H$1,'United Data'!$C$3:$C$2150,$A583,'United Data'!$B$3:$B$2150,"&lt;&gt;P")&gt;0,1,0)</f>
        <v>0</v>
      </c>
      <c r="I583">
        <f>IF(COUNTIFS('United Data'!$A$3:$A$2150,I$1,'United Data'!$C$3:$C$2150,$A583,'United Data'!$B$3:$B$2150,"&lt;&gt;P")&gt;0,1,0)</f>
        <v>0</v>
      </c>
      <c r="J583">
        <f>IF(COUNTIFS('United Data'!$A$3:$A$2150,J$1,'United Data'!$C$3:$C$2150,$A583,'United Data'!$B$3:$B$2150,"&lt;&gt;P")&gt;0,1,0)</f>
        <v>0</v>
      </c>
      <c r="K583">
        <f>IF(COUNTIFS('United Data'!$A$3:$A$2150,K$1,'United Data'!$C$3:$C$2150,$A583,'United Data'!$B$3:$B$2150,"&lt;&gt;P")&gt;0,1,0)</f>
        <v>0</v>
      </c>
      <c r="L583">
        <f>IF(COUNTIFS('United Data'!$A$3:$A$2150,L$1,'United Data'!$C$3:$C$2150,$A583,'United Data'!$B$3:$B$2150,"&lt;&gt;P")&gt;0,1,0)</f>
        <v>0</v>
      </c>
      <c r="M583">
        <f>IF(COUNTIFS('United Data'!$A$3:$A$2150,M$1,'United Data'!$C$3:$C$2150,$A583,'United Data'!$B$3:$B$2150,"&lt;&gt;P")&gt;0,1,0)</f>
        <v>0</v>
      </c>
      <c r="N583">
        <f>IF(COUNTIFS('United Data'!$A$3:$A$2150,N$1,'United Data'!$C$3:$C$2150,$A583,'United Data'!$B$3:$B$2150,"&lt;&gt;P")&gt;0,1,0)</f>
        <v>0</v>
      </c>
      <c r="O583">
        <f>IF(COUNTIFS('United Data'!$A$3:$A$2150,O$1,'United Data'!$C$3:$C$2150,$A583,'United Data'!$B$3:$B$2150,"&lt;&gt;P")&gt;0,1,0)</f>
        <v>0</v>
      </c>
      <c r="P583">
        <f>IF(COUNTIFS('United Data'!$A$3:$A$2150,P$1,'United Data'!$C$3:$C$2150,$A583,'United Data'!$B$3:$B$2150,"&lt;&gt;P")&gt;0,1,0)</f>
        <v>0</v>
      </c>
      <c r="Q583">
        <f>IF(COUNTIFS('United Data'!$A$3:$A$2150,Q$1,'United Data'!$C$3:$C$2150,$A583,'United Data'!$B$3:$B$2150,"&lt;&gt;P")&gt;0,1,0)</f>
        <v>1</v>
      </c>
      <c r="R583">
        <f>IF(COUNTIFS('United Data'!$A$3:$A$2150,R$1,'United Data'!$C$3:$C$2150,$A583,'United Data'!$B$3:$B$2150,"&lt;&gt;P")&gt;0,1,0)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629</v>
      </c>
      <c r="B584">
        <f>IF(COUNTIFS('United Data'!$A$3:$A$2150,B$1,'United Data'!$C$3:$C$2150,$A584,'United Data'!$B$3:$B$2150,"&lt;&gt;P")&gt;0,1,0)</f>
        <v>0</v>
      </c>
      <c r="C584">
        <f>IF(COUNTIFS('United Data'!$A$3:$A$2150,C$1,'United Data'!$C$3:$C$2150,$A584,'United Data'!$B$3:$B$2150,"&lt;&gt;P")&gt;0,1,0)</f>
        <v>0</v>
      </c>
      <c r="D584">
        <f>IF(COUNTIFS('United Data'!$A$3:$A$2150,D$1,'United Data'!$C$3:$C$2150,$A584,'United Data'!$B$3:$B$2150,"&lt;&gt;P")&gt;0,1,0)</f>
        <v>0</v>
      </c>
      <c r="E584">
        <f>IF(COUNTIFS('United Data'!$A$3:$A$2150,E$1,'United Data'!$C$3:$C$2150,$A584,'United Data'!$B$3:$B$2150,"&lt;&gt;P")&gt;0,1,0)</f>
        <v>0</v>
      </c>
      <c r="F584">
        <f>IF(COUNTIFS('United Data'!$A$3:$A$2150,F$1,'United Data'!$C$3:$C$2150,$A584,'United Data'!$B$3:$B$2150,"&lt;&gt;P")&gt;0,1,0)</f>
        <v>0</v>
      </c>
      <c r="G584">
        <f>IF(COUNTIFS('United Data'!$A$3:$A$2150,G$1,'United Data'!$C$3:$C$2150,$A584,'United Data'!$B$3:$B$2150,"&lt;&gt;P")&gt;0,1,0)</f>
        <v>0</v>
      </c>
      <c r="H584">
        <f>IF(COUNTIFS('United Data'!$A$3:$A$2150,H$1,'United Data'!$C$3:$C$2150,$A584,'United Data'!$B$3:$B$2150,"&lt;&gt;P")&gt;0,1,0)</f>
        <v>0</v>
      </c>
      <c r="I584">
        <f>IF(COUNTIFS('United Data'!$A$3:$A$2150,I$1,'United Data'!$C$3:$C$2150,$A584,'United Data'!$B$3:$B$2150,"&lt;&gt;P")&gt;0,1,0)</f>
        <v>0</v>
      </c>
      <c r="J584">
        <f>IF(COUNTIFS('United Data'!$A$3:$A$2150,J$1,'United Data'!$C$3:$C$2150,$A584,'United Data'!$B$3:$B$2150,"&lt;&gt;P")&gt;0,1,0)</f>
        <v>0</v>
      </c>
      <c r="K584">
        <f>IF(COUNTIFS('United Data'!$A$3:$A$2150,K$1,'United Data'!$C$3:$C$2150,$A584,'United Data'!$B$3:$B$2150,"&lt;&gt;P")&gt;0,1,0)</f>
        <v>0</v>
      </c>
      <c r="L584">
        <f>IF(COUNTIFS('United Data'!$A$3:$A$2150,L$1,'United Data'!$C$3:$C$2150,$A584,'United Data'!$B$3:$B$2150,"&lt;&gt;P")&gt;0,1,0)</f>
        <v>0</v>
      </c>
      <c r="M584">
        <f>IF(COUNTIFS('United Data'!$A$3:$A$2150,M$1,'United Data'!$C$3:$C$2150,$A584,'United Data'!$B$3:$B$2150,"&lt;&gt;P")&gt;0,1,0)</f>
        <v>0</v>
      </c>
      <c r="N584">
        <f>IF(COUNTIFS('United Data'!$A$3:$A$2150,N$1,'United Data'!$C$3:$C$2150,$A584,'United Data'!$B$3:$B$2150,"&lt;&gt;P")&gt;0,1,0)</f>
        <v>0</v>
      </c>
      <c r="O584">
        <f>IF(COUNTIFS('United Data'!$A$3:$A$2150,O$1,'United Data'!$C$3:$C$2150,$A584,'United Data'!$B$3:$B$2150,"&lt;&gt;P")&gt;0,1,0)</f>
        <v>0</v>
      </c>
      <c r="P584">
        <f>IF(COUNTIFS('United Data'!$A$3:$A$2150,P$1,'United Data'!$C$3:$C$2150,$A584,'United Data'!$B$3:$B$2150,"&lt;&gt;P")&gt;0,1,0)</f>
        <v>0</v>
      </c>
      <c r="Q584">
        <f>IF(COUNTIFS('United Data'!$A$3:$A$2150,Q$1,'United Data'!$C$3:$C$2150,$A584,'United Data'!$B$3:$B$2150,"&lt;&gt;P")&gt;0,1,0)</f>
        <v>1</v>
      </c>
      <c r="R584">
        <f>IF(COUNTIFS('United Data'!$A$3:$A$2150,R$1,'United Data'!$C$3:$C$2150,$A584,'United Data'!$B$3:$B$2150,"&lt;&gt;P")&gt;0,1,0)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630</v>
      </c>
      <c r="B585">
        <f>IF(COUNTIFS('United Data'!$A$3:$A$2150,B$1,'United Data'!$C$3:$C$2150,$A585,'United Data'!$B$3:$B$2150,"&lt;&gt;P")&gt;0,1,0)</f>
        <v>0</v>
      </c>
      <c r="C585">
        <f>IF(COUNTIFS('United Data'!$A$3:$A$2150,C$1,'United Data'!$C$3:$C$2150,$A585,'United Data'!$B$3:$B$2150,"&lt;&gt;P")&gt;0,1,0)</f>
        <v>0</v>
      </c>
      <c r="D585">
        <f>IF(COUNTIFS('United Data'!$A$3:$A$2150,D$1,'United Data'!$C$3:$C$2150,$A585,'United Data'!$B$3:$B$2150,"&lt;&gt;P")&gt;0,1,0)</f>
        <v>0</v>
      </c>
      <c r="E585">
        <f>IF(COUNTIFS('United Data'!$A$3:$A$2150,E$1,'United Data'!$C$3:$C$2150,$A585,'United Data'!$B$3:$B$2150,"&lt;&gt;P")&gt;0,1,0)</f>
        <v>0</v>
      </c>
      <c r="F585">
        <f>IF(COUNTIFS('United Data'!$A$3:$A$2150,F$1,'United Data'!$C$3:$C$2150,$A585,'United Data'!$B$3:$B$2150,"&lt;&gt;P")&gt;0,1,0)</f>
        <v>0</v>
      </c>
      <c r="G585">
        <f>IF(COUNTIFS('United Data'!$A$3:$A$2150,G$1,'United Data'!$C$3:$C$2150,$A585,'United Data'!$B$3:$B$2150,"&lt;&gt;P")&gt;0,1,0)</f>
        <v>0</v>
      </c>
      <c r="H585">
        <f>IF(COUNTIFS('United Data'!$A$3:$A$2150,H$1,'United Data'!$C$3:$C$2150,$A585,'United Data'!$B$3:$B$2150,"&lt;&gt;P")&gt;0,1,0)</f>
        <v>0</v>
      </c>
      <c r="I585">
        <f>IF(COUNTIFS('United Data'!$A$3:$A$2150,I$1,'United Data'!$C$3:$C$2150,$A585,'United Data'!$B$3:$B$2150,"&lt;&gt;P")&gt;0,1,0)</f>
        <v>0</v>
      </c>
      <c r="J585">
        <f>IF(COUNTIFS('United Data'!$A$3:$A$2150,J$1,'United Data'!$C$3:$C$2150,$A585,'United Data'!$B$3:$B$2150,"&lt;&gt;P")&gt;0,1,0)</f>
        <v>0</v>
      </c>
      <c r="K585">
        <f>IF(COUNTIFS('United Data'!$A$3:$A$2150,K$1,'United Data'!$C$3:$C$2150,$A585,'United Data'!$B$3:$B$2150,"&lt;&gt;P")&gt;0,1,0)</f>
        <v>0</v>
      </c>
      <c r="L585">
        <f>IF(COUNTIFS('United Data'!$A$3:$A$2150,L$1,'United Data'!$C$3:$C$2150,$A585,'United Data'!$B$3:$B$2150,"&lt;&gt;P")&gt;0,1,0)</f>
        <v>0</v>
      </c>
      <c r="M585">
        <f>IF(COUNTIFS('United Data'!$A$3:$A$2150,M$1,'United Data'!$C$3:$C$2150,$A585,'United Data'!$B$3:$B$2150,"&lt;&gt;P")&gt;0,1,0)</f>
        <v>0</v>
      </c>
      <c r="N585">
        <f>IF(COUNTIFS('United Data'!$A$3:$A$2150,N$1,'United Data'!$C$3:$C$2150,$A585,'United Data'!$B$3:$B$2150,"&lt;&gt;P")&gt;0,1,0)</f>
        <v>0</v>
      </c>
      <c r="O585">
        <f>IF(COUNTIFS('United Data'!$A$3:$A$2150,O$1,'United Data'!$C$3:$C$2150,$A585,'United Data'!$B$3:$B$2150,"&lt;&gt;P")&gt;0,1,0)</f>
        <v>0</v>
      </c>
      <c r="P585">
        <f>IF(COUNTIFS('United Data'!$A$3:$A$2150,P$1,'United Data'!$C$3:$C$2150,$A585,'United Data'!$B$3:$B$2150,"&lt;&gt;P")&gt;0,1,0)</f>
        <v>0</v>
      </c>
      <c r="Q585">
        <f>IF(COUNTIFS('United Data'!$A$3:$A$2150,Q$1,'United Data'!$C$3:$C$2150,$A585,'United Data'!$B$3:$B$2150,"&lt;&gt;P")&gt;0,1,0)</f>
        <v>1</v>
      </c>
      <c r="R585">
        <f>IF(COUNTIFS('United Data'!$A$3:$A$2150,R$1,'United Data'!$C$3:$C$2150,$A585,'United Data'!$B$3:$B$2150,"&lt;&gt;P")&gt;0,1,0)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631</v>
      </c>
      <c r="B586">
        <f>IF(COUNTIFS('United Data'!$A$3:$A$2150,B$1,'United Data'!$C$3:$C$2150,$A586,'United Data'!$B$3:$B$2150,"&lt;&gt;P")&gt;0,1,0)</f>
        <v>0</v>
      </c>
      <c r="C586">
        <f>IF(COUNTIFS('United Data'!$A$3:$A$2150,C$1,'United Data'!$C$3:$C$2150,$A586,'United Data'!$B$3:$B$2150,"&lt;&gt;P")&gt;0,1,0)</f>
        <v>0</v>
      </c>
      <c r="D586">
        <f>IF(COUNTIFS('United Data'!$A$3:$A$2150,D$1,'United Data'!$C$3:$C$2150,$A586,'United Data'!$B$3:$B$2150,"&lt;&gt;P")&gt;0,1,0)</f>
        <v>0</v>
      </c>
      <c r="E586">
        <f>IF(COUNTIFS('United Data'!$A$3:$A$2150,E$1,'United Data'!$C$3:$C$2150,$A586,'United Data'!$B$3:$B$2150,"&lt;&gt;P")&gt;0,1,0)</f>
        <v>0</v>
      </c>
      <c r="F586">
        <f>IF(COUNTIFS('United Data'!$A$3:$A$2150,F$1,'United Data'!$C$3:$C$2150,$A586,'United Data'!$B$3:$B$2150,"&lt;&gt;P")&gt;0,1,0)</f>
        <v>0</v>
      </c>
      <c r="G586">
        <f>IF(COUNTIFS('United Data'!$A$3:$A$2150,G$1,'United Data'!$C$3:$C$2150,$A586,'United Data'!$B$3:$B$2150,"&lt;&gt;P")&gt;0,1,0)</f>
        <v>0</v>
      </c>
      <c r="H586">
        <f>IF(COUNTIFS('United Data'!$A$3:$A$2150,H$1,'United Data'!$C$3:$C$2150,$A586,'United Data'!$B$3:$B$2150,"&lt;&gt;P")&gt;0,1,0)</f>
        <v>0</v>
      </c>
      <c r="I586">
        <f>IF(COUNTIFS('United Data'!$A$3:$A$2150,I$1,'United Data'!$C$3:$C$2150,$A586,'United Data'!$B$3:$B$2150,"&lt;&gt;P")&gt;0,1,0)</f>
        <v>0</v>
      </c>
      <c r="J586">
        <f>IF(COUNTIFS('United Data'!$A$3:$A$2150,J$1,'United Data'!$C$3:$C$2150,$A586,'United Data'!$B$3:$B$2150,"&lt;&gt;P")&gt;0,1,0)</f>
        <v>0</v>
      </c>
      <c r="K586">
        <f>IF(COUNTIFS('United Data'!$A$3:$A$2150,K$1,'United Data'!$C$3:$C$2150,$A586,'United Data'!$B$3:$B$2150,"&lt;&gt;P")&gt;0,1,0)</f>
        <v>0</v>
      </c>
      <c r="L586">
        <f>IF(COUNTIFS('United Data'!$A$3:$A$2150,L$1,'United Data'!$C$3:$C$2150,$A586,'United Data'!$B$3:$B$2150,"&lt;&gt;P")&gt;0,1,0)</f>
        <v>0</v>
      </c>
      <c r="M586">
        <f>IF(COUNTIFS('United Data'!$A$3:$A$2150,M$1,'United Data'!$C$3:$C$2150,$A586,'United Data'!$B$3:$B$2150,"&lt;&gt;P")&gt;0,1,0)</f>
        <v>0</v>
      </c>
      <c r="N586">
        <f>IF(COUNTIFS('United Data'!$A$3:$A$2150,N$1,'United Data'!$C$3:$C$2150,$A586,'United Data'!$B$3:$B$2150,"&lt;&gt;P")&gt;0,1,0)</f>
        <v>0</v>
      </c>
      <c r="O586">
        <f>IF(COUNTIFS('United Data'!$A$3:$A$2150,O$1,'United Data'!$C$3:$C$2150,$A586,'United Data'!$B$3:$B$2150,"&lt;&gt;P")&gt;0,1,0)</f>
        <v>0</v>
      </c>
      <c r="P586">
        <f>IF(COUNTIFS('United Data'!$A$3:$A$2150,P$1,'United Data'!$C$3:$C$2150,$A586,'United Data'!$B$3:$B$2150,"&lt;&gt;P")&gt;0,1,0)</f>
        <v>0</v>
      </c>
      <c r="Q586">
        <f>IF(COUNTIFS('United Data'!$A$3:$A$2150,Q$1,'United Data'!$C$3:$C$2150,$A586,'United Data'!$B$3:$B$2150,"&lt;&gt;P")&gt;0,1,0)</f>
        <v>1</v>
      </c>
      <c r="R586">
        <f>IF(COUNTIFS('United Data'!$A$3:$A$2150,R$1,'United Data'!$C$3:$C$2150,$A586,'United Data'!$B$3:$B$2150,"&lt;&gt;P")&gt;0,1,0)</f>
        <v>0</v>
      </c>
      <c r="S586">
        <f t="shared" si="18"/>
        <v>1</v>
      </c>
      <c r="T586">
        <f t="shared" si="19"/>
        <v>1</v>
      </c>
    </row>
    <row r="587" spans="1:20" x14ac:dyDescent="0.2">
      <c r="A587" t="s">
        <v>632</v>
      </c>
      <c r="B587">
        <f>IF(COUNTIFS('United Data'!$A$3:$A$2150,B$1,'United Data'!$C$3:$C$2150,$A587,'United Data'!$B$3:$B$2150,"&lt;&gt;P")&gt;0,1,0)</f>
        <v>0</v>
      </c>
      <c r="C587">
        <f>IF(COUNTIFS('United Data'!$A$3:$A$2150,C$1,'United Data'!$C$3:$C$2150,$A587,'United Data'!$B$3:$B$2150,"&lt;&gt;P")&gt;0,1,0)</f>
        <v>0</v>
      </c>
      <c r="D587">
        <f>IF(COUNTIFS('United Data'!$A$3:$A$2150,D$1,'United Data'!$C$3:$C$2150,$A587,'United Data'!$B$3:$B$2150,"&lt;&gt;P")&gt;0,1,0)</f>
        <v>0</v>
      </c>
      <c r="E587">
        <f>IF(COUNTIFS('United Data'!$A$3:$A$2150,E$1,'United Data'!$C$3:$C$2150,$A587,'United Data'!$B$3:$B$2150,"&lt;&gt;P")&gt;0,1,0)</f>
        <v>0</v>
      </c>
      <c r="F587">
        <f>IF(COUNTIFS('United Data'!$A$3:$A$2150,F$1,'United Data'!$C$3:$C$2150,$A587,'United Data'!$B$3:$B$2150,"&lt;&gt;P")&gt;0,1,0)</f>
        <v>0</v>
      </c>
      <c r="G587">
        <f>IF(COUNTIFS('United Data'!$A$3:$A$2150,G$1,'United Data'!$C$3:$C$2150,$A587,'United Data'!$B$3:$B$2150,"&lt;&gt;P")&gt;0,1,0)</f>
        <v>0</v>
      </c>
      <c r="H587">
        <f>IF(COUNTIFS('United Data'!$A$3:$A$2150,H$1,'United Data'!$C$3:$C$2150,$A587,'United Data'!$B$3:$B$2150,"&lt;&gt;P")&gt;0,1,0)</f>
        <v>0</v>
      </c>
      <c r="I587">
        <f>IF(COUNTIFS('United Data'!$A$3:$A$2150,I$1,'United Data'!$C$3:$C$2150,$A587,'United Data'!$B$3:$B$2150,"&lt;&gt;P")&gt;0,1,0)</f>
        <v>0</v>
      </c>
      <c r="J587">
        <f>IF(COUNTIFS('United Data'!$A$3:$A$2150,J$1,'United Data'!$C$3:$C$2150,$A587,'United Data'!$B$3:$B$2150,"&lt;&gt;P")&gt;0,1,0)</f>
        <v>0</v>
      </c>
      <c r="K587">
        <f>IF(COUNTIFS('United Data'!$A$3:$A$2150,K$1,'United Data'!$C$3:$C$2150,$A587,'United Data'!$B$3:$B$2150,"&lt;&gt;P")&gt;0,1,0)</f>
        <v>0</v>
      </c>
      <c r="L587">
        <f>IF(COUNTIFS('United Data'!$A$3:$A$2150,L$1,'United Data'!$C$3:$C$2150,$A587,'United Data'!$B$3:$B$2150,"&lt;&gt;P")&gt;0,1,0)</f>
        <v>0</v>
      </c>
      <c r="M587">
        <f>IF(COUNTIFS('United Data'!$A$3:$A$2150,M$1,'United Data'!$C$3:$C$2150,$A587,'United Data'!$B$3:$B$2150,"&lt;&gt;P")&gt;0,1,0)</f>
        <v>0</v>
      </c>
      <c r="N587">
        <f>IF(COUNTIFS('United Data'!$A$3:$A$2150,N$1,'United Data'!$C$3:$C$2150,$A587,'United Data'!$B$3:$B$2150,"&lt;&gt;P")&gt;0,1,0)</f>
        <v>0</v>
      </c>
      <c r="O587">
        <f>IF(COUNTIFS('United Data'!$A$3:$A$2150,O$1,'United Data'!$C$3:$C$2150,$A587,'United Data'!$B$3:$B$2150,"&lt;&gt;P")&gt;0,1,0)</f>
        <v>0</v>
      </c>
      <c r="P587">
        <f>IF(COUNTIFS('United Data'!$A$3:$A$2150,P$1,'United Data'!$C$3:$C$2150,$A587,'United Data'!$B$3:$B$2150,"&lt;&gt;P")&gt;0,1,0)</f>
        <v>0</v>
      </c>
      <c r="Q587">
        <f>IF(COUNTIFS('United Data'!$A$3:$A$2150,Q$1,'United Data'!$C$3:$C$2150,$A587,'United Data'!$B$3:$B$2150,"&lt;&gt;P")&gt;0,1,0)</f>
        <v>1</v>
      </c>
      <c r="R587">
        <f>IF(COUNTIFS('United Data'!$A$3:$A$2150,R$1,'United Data'!$C$3:$C$2150,$A587,'United Data'!$B$3:$B$2150,"&lt;&gt;P")&gt;0,1,0)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633</v>
      </c>
      <c r="B588">
        <f>IF(COUNTIFS('United Data'!$A$3:$A$2150,B$1,'United Data'!$C$3:$C$2150,$A588,'United Data'!$B$3:$B$2150,"&lt;&gt;P")&gt;0,1,0)</f>
        <v>0</v>
      </c>
      <c r="C588">
        <f>IF(COUNTIFS('United Data'!$A$3:$A$2150,C$1,'United Data'!$C$3:$C$2150,$A588,'United Data'!$B$3:$B$2150,"&lt;&gt;P")&gt;0,1,0)</f>
        <v>0</v>
      </c>
      <c r="D588">
        <f>IF(COUNTIFS('United Data'!$A$3:$A$2150,D$1,'United Data'!$C$3:$C$2150,$A588,'United Data'!$B$3:$B$2150,"&lt;&gt;P")&gt;0,1,0)</f>
        <v>0</v>
      </c>
      <c r="E588">
        <f>IF(COUNTIFS('United Data'!$A$3:$A$2150,E$1,'United Data'!$C$3:$C$2150,$A588,'United Data'!$B$3:$B$2150,"&lt;&gt;P")&gt;0,1,0)</f>
        <v>0</v>
      </c>
      <c r="F588">
        <f>IF(COUNTIFS('United Data'!$A$3:$A$2150,F$1,'United Data'!$C$3:$C$2150,$A588,'United Data'!$B$3:$B$2150,"&lt;&gt;P")&gt;0,1,0)</f>
        <v>0</v>
      </c>
      <c r="G588">
        <f>IF(COUNTIFS('United Data'!$A$3:$A$2150,G$1,'United Data'!$C$3:$C$2150,$A588,'United Data'!$B$3:$B$2150,"&lt;&gt;P")&gt;0,1,0)</f>
        <v>0</v>
      </c>
      <c r="H588">
        <f>IF(COUNTIFS('United Data'!$A$3:$A$2150,H$1,'United Data'!$C$3:$C$2150,$A588,'United Data'!$B$3:$B$2150,"&lt;&gt;P")&gt;0,1,0)</f>
        <v>0</v>
      </c>
      <c r="I588">
        <f>IF(COUNTIFS('United Data'!$A$3:$A$2150,I$1,'United Data'!$C$3:$C$2150,$A588,'United Data'!$B$3:$B$2150,"&lt;&gt;P")&gt;0,1,0)</f>
        <v>0</v>
      </c>
      <c r="J588">
        <f>IF(COUNTIFS('United Data'!$A$3:$A$2150,J$1,'United Data'!$C$3:$C$2150,$A588,'United Data'!$B$3:$B$2150,"&lt;&gt;P")&gt;0,1,0)</f>
        <v>0</v>
      </c>
      <c r="K588">
        <f>IF(COUNTIFS('United Data'!$A$3:$A$2150,K$1,'United Data'!$C$3:$C$2150,$A588,'United Data'!$B$3:$B$2150,"&lt;&gt;P")&gt;0,1,0)</f>
        <v>0</v>
      </c>
      <c r="L588">
        <f>IF(COUNTIFS('United Data'!$A$3:$A$2150,L$1,'United Data'!$C$3:$C$2150,$A588,'United Data'!$B$3:$B$2150,"&lt;&gt;P")&gt;0,1,0)</f>
        <v>0</v>
      </c>
      <c r="M588">
        <f>IF(COUNTIFS('United Data'!$A$3:$A$2150,M$1,'United Data'!$C$3:$C$2150,$A588,'United Data'!$B$3:$B$2150,"&lt;&gt;P")&gt;0,1,0)</f>
        <v>0</v>
      </c>
      <c r="N588">
        <f>IF(COUNTIFS('United Data'!$A$3:$A$2150,N$1,'United Data'!$C$3:$C$2150,$A588,'United Data'!$B$3:$B$2150,"&lt;&gt;P")&gt;0,1,0)</f>
        <v>0</v>
      </c>
      <c r="O588">
        <f>IF(COUNTIFS('United Data'!$A$3:$A$2150,O$1,'United Data'!$C$3:$C$2150,$A588,'United Data'!$B$3:$B$2150,"&lt;&gt;P")&gt;0,1,0)</f>
        <v>0</v>
      </c>
      <c r="P588">
        <f>IF(COUNTIFS('United Data'!$A$3:$A$2150,P$1,'United Data'!$C$3:$C$2150,$A588,'United Data'!$B$3:$B$2150,"&lt;&gt;P")&gt;0,1,0)</f>
        <v>0</v>
      </c>
      <c r="Q588">
        <f>IF(COUNTIFS('United Data'!$A$3:$A$2150,Q$1,'United Data'!$C$3:$C$2150,$A588,'United Data'!$B$3:$B$2150,"&lt;&gt;P")&gt;0,1,0)</f>
        <v>1</v>
      </c>
      <c r="R588">
        <f>IF(COUNTIFS('United Data'!$A$3:$A$2150,R$1,'United Data'!$C$3:$C$2150,$A588,'United Data'!$B$3:$B$2150,"&lt;&gt;P")&gt;0,1,0)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634</v>
      </c>
      <c r="B589">
        <f>IF(COUNTIFS('United Data'!$A$3:$A$2150,B$1,'United Data'!$C$3:$C$2150,$A589,'United Data'!$B$3:$B$2150,"&lt;&gt;P")&gt;0,1,0)</f>
        <v>0</v>
      </c>
      <c r="C589">
        <f>IF(COUNTIFS('United Data'!$A$3:$A$2150,C$1,'United Data'!$C$3:$C$2150,$A589,'United Data'!$B$3:$B$2150,"&lt;&gt;P")&gt;0,1,0)</f>
        <v>0</v>
      </c>
      <c r="D589">
        <f>IF(COUNTIFS('United Data'!$A$3:$A$2150,D$1,'United Data'!$C$3:$C$2150,$A589,'United Data'!$B$3:$B$2150,"&lt;&gt;P")&gt;0,1,0)</f>
        <v>0</v>
      </c>
      <c r="E589">
        <f>IF(COUNTIFS('United Data'!$A$3:$A$2150,E$1,'United Data'!$C$3:$C$2150,$A589,'United Data'!$B$3:$B$2150,"&lt;&gt;P")&gt;0,1,0)</f>
        <v>0</v>
      </c>
      <c r="F589">
        <f>IF(COUNTIFS('United Data'!$A$3:$A$2150,F$1,'United Data'!$C$3:$C$2150,$A589,'United Data'!$B$3:$B$2150,"&lt;&gt;P")&gt;0,1,0)</f>
        <v>0</v>
      </c>
      <c r="G589">
        <f>IF(COUNTIFS('United Data'!$A$3:$A$2150,G$1,'United Data'!$C$3:$C$2150,$A589,'United Data'!$B$3:$B$2150,"&lt;&gt;P")&gt;0,1,0)</f>
        <v>0</v>
      </c>
      <c r="H589">
        <f>IF(COUNTIFS('United Data'!$A$3:$A$2150,H$1,'United Data'!$C$3:$C$2150,$A589,'United Data'!$B$3:$B$2150,"&lt;&gt;P")&gt;0,1,0)</f>
        <v>0</v>
      </c>
      <c r="I589">
        <f>IF(COUNTIFS('United Data'!$A$3:$A$2150,I$1,'United Data'!$C$3:$C$2150,$A589,'United Data'!$B$3:$B$2150,"&lt;&gt;P")&gt;0,1,0)</f>
        <v>0</v>
      </c>
      <c r="J589">
        <f>IF(COUNTIFS('United Data'!$A$3:$A$2150,J$1,'United Data'!$C$3:$C$2150,$A589,'United Data'!$B$3:$B$2150,"&lt;&gt;P")&gt;0,1,0)</f>
        <v>0</v>
      </c>
      <c r="K589">
        <f>IF(COUNTIFS('United Data'!$A$3:$A$2150,K$1,'United Data'!$C$3:$C$2150,$A589,'United Data'!$B$3:$B$2150,"&lt;&gt;P")&gt;0,1,0)</f>
        <v>0</v>
      </c>
      <c r="L589">
        <f>IF(COUNTIFS('United Data'!$A$3:$A$2150,L$1,'United Data'!$C$3:$C$2150,$A589,'United Data'!$B$3:$B$2150,"&lt;&gt;P")&gt;0,1,0)</f>
        <v>0</v>
      </c>
      <c r="M589">
        <f>IF(COUNTIFS('United Data'!$A$3:$A$2150,M$1,'United Data'!$C$3:$C$2150,$A589,'United Data'!$B$3:$B$2150,"&lt;&gt;P")&gt;0,1,0)</f>
        <v>0</v>
      </c>
      <c r="N589">
        <f>IF(COUNTIFS('United Data'!$A$3:$A$2150,N$1,'United Data'!$C$3:$C$2150,$A589,'United Data'!$B$3:$B$2150,"&lt;&gt;P")&gt;0,1,0)</f>
        <v>0</v>
      </c>
      <c r="O589">
        <f>IF(COUNTIFS('United Data'!$A$3:$A$2150,O$1,'United Data'!$C$3:$C$2150,$A589,'United Data'!$B$3:$B$2150,"&lt;&gt;P")&gt;0,1,0)</f>
        <v>0</v>
      </c>
      <c r="P589">
        <f>IF(COUNTIFS('United Data'!$A$3:$A$2150,P$1,'United Data'!$C$3:$C$2150,$A589,'United Data'!$B$3:$B$2150,"&lt;&gt;P")&gt;0,1,0)</f>
        <v>0</v>
      </c>
      <c r="Q589">
        <f>IF(COUNTIFS('United Data'!$A$3:$A$2150,Q$1,'United Data'!$C$3:$C$2150,$A589,'United Data'!$B$3:$B$2150,"&lt;&gt;P")&gt;0,1,0)</f>
        <v>1</v>
      </c>
      <c r="R589">
        <f>IF(COUNTIFS('United Data'!$A$3:$A$2150,R$1,'United Data'!$C$3:$C$2150,$A589,'United Data'!$B$3:$B$2150,"&lt;&gt;P")&gt;0,1,0)</f>
        <v>0</v>
      </c>
      <c r="S589">
        <f t="shared" si="18"/>
        <v>1</v>
      </c>
      <c r="T589">
        <f t="shared" si="19"/>
        <v>1</v>
      </c>
    </row>
    <row r="590" spans="1:20" x14ac:dyDescent="0.2">
      <c r="A590" t="s">
        <v>635</v>
      </c>
      <c r="B590">
        <f>IF(COUNTIFS('United Data'!$A$3:$A$2150,B$1,'United Data'!$C$3:$C$2150,$A590,'United Data'!$B$3:$B$2150,"&lt;&gt;P")&gt;0,1,0)</f>
        <v>0</v>
      </c>
      <c r="C590">
        <f>IF(COUNTIFS('United Data'!$A$3:$A$2150,C$1,'United Data'!$C$3:$C$2150,$A590,'United Data'!$B$3:$B$2150,"&lt;&gt;P")&gt;0,1,0)</f>
        <v>0</v>
      </c>
      <c r="D590">
        <f>IF(COUNTIFS('United Data'!$A$3:$A$2150,D$1,'United Data'!$C$3:$C$2150,$A590,'United Data'!$B$3:$B$2150,"&lt;&gt;P")&gt;0,1,0)</f>
        <v>0</v>
      </c>
      <c r="E590">
        <f>IF(COUNTIFS('United Data'!$A$3:$A$2150,E$1,'United Data'!$C$3:$C$2150,$A590,'United Data'!$B$3:$B$2150,"&lt;&gt;P")&gt;0,1,0)</f>
        <v>0</v>
      </c>
      <c r="F590">
        <f>IF(COUNTIFS('United Data'!$A$3:$A$2150,F$1,'United Data'!$C$3:$C$2150,$A590,'United Data'!$B$3:$B$2150,"&lt;&gt;P")&gt;0,1,0)</f>
        <v>0</v>
      </c>
      <c r="G590">
        <f>IF(COUNTIFS('United Data'!$A$3:$A$2150,G$1,'United Data'!$C$3:$C$2150,$A590,'United Data'!$B$3:$B$2150,"&lt;&gt;P")&gt;0,1,0)</f>
        <v>0</v>
      </c>
      <c r="H590">
        <f>IF(COUNTIFS('United Data'!$A$3:$A$2150,H$1,'United Data'!$C$3:$C$2150,$A590,'United Data'!$B$3:$B$2150,"&lt;&gt;P")&gt;0,1,0)</f>
        <v>0</v>
      </c>
      <c r="I590">
        <f>IF(COUNTIFS('United Data'!$A$3:$A$2150,I$1,'United Data'!$C$3:$C$2150,$A590,'United Data'!$B$3:$B$2150,"&lt;&gt;P")&gt;0,1,0)</f>
        <v>0</v>
      </c>
      <c r="J590">
        <f>IF(COUNTIFS('United Data'!$A$3:$A$2150,J$1,'United Data'!$C$3:$C$2150,$A590,'United Data'!$B$3:$B$2150,"&lt;&gt;P")&gt;0,1,0)</f>
        <v>0</v>
      </c>
      <c r="K590">
        <f>IF(COUNTIFS('United Data'!$A$3:$A$2150,K$1,'United Data'!$C$3:$C$2150,$A590,'United Data'!$B$3:$B$2150,"&lt;&gt;P")&gt;0,1,0)</f>
        <v>0</v>
      </c>
      <c r="L590">
        <f>IF(COUNTIFS('United Data'!$A$3:$A$2150,L$1,'United Data'!$C$3:$C$2150,$A590,'United Data'!$B$3:$B$2150,"&lt;&gt;P")&gt;0,1,0)</f>
        <v>0</v>
      </c>
      <c r="M590">
        <f>IF(COUNTIFS('United Data'!$A$3:$A$2150,M$1,'United Data'!$C$3:$C$2150,$A590,'United Data'!$B$3:$B$2150,"&lt;&gt;P")&gt;0,1,0)</f>
        <v>0</v>
      </c>
      <c r="N590">
        <f>IF(COUNTIFS('United Data'!$A$3:$A$2150,N$1,'United Data'!$C$3:$C$2150,$A590,'United Data'!$B$3:$B$2150,"&lt;&gt;P")&gt;0,1,0)</f>
        <v>0</v>
      </c>
      <c r="O590">
        <f>IF(COUNTIFS('United Data'!$A$3:$A$2150,O$1,'United Data'!$C$3:$C$2150,$A590,'United Data'!$B$3:$B$2150,"&lt;&gt;P")&gt;0,1,0)</f>
        <v>0</v>
      </c>
      <c r="P590">
        <f>IF(COUNTIFS('United Data'!$A$3:$A$2150,P$1,'United Data'!$C$3:$C$2150,$A590,'United Data'!$B$3:$B$2150,"&lt;&gt;P")&gt;0,1,0)</f>
        <v>0</v>
      </c>
      <c r="Q590">
        <f>IF(COUNTIFS('United Data'!$A$3:$A$2150,Q$1,'United Data'!$C$3:$C$2150,$A590,'United Data'!$B$3:$B$2150,"&lt;&gt;P")&gt;0,1,0)</f>
        <v>1</v>
      </c>
      <c r="R590">
        <f>IF(COUNTIFS('United Data'!$A$3:$A$2150,R$1,'United Data'!$C$3:$C$2150,$A590,'United Data'!$B$3:$B$2150,"&lt;&gt;P")&gt;0,1,0)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636</v>
      </c>
      <c r="B591">
        <f>IF(COUNTIFS('United Data'!$A$3:$A$2150,B$1,'United Data'!$C$3:$C$2150,$A591,'United Data'!$B$3:$B$2150,"&lt;&gt;P")&gt;0,1,0)</f>
        <v>0</v>
      </c>
      <c r="C591">
        <f>IF(COUNTIFS('United Data'!$A$3:$A$2150,C$1,'United Data'!$C$3:$C$2150,$A591,'United Data'!$B$3:$B$2150,"&lt;&gt;P")&gt;0,1,0)</f>
        <v>1</v>
      </c>
      <c r="D591">
        <f>IF(COUNTIFS('United Data'!$A$3:$A$2150,D$1,'United Data'!$C$3:$C$2150,$A591,'United Data'!$B$3:$B$2150,"&lt;&gt;P")&gt;0,1,0)</f>
        <v>1</v>
      </c>
      <c r="E591">
        <f>IF(COUNTIFS('United Data'!$A$3:$A$2150,E$1,'United Data'!$C$3:$C$2150,$A591,'United Data'!$B$3:$B$2150,"&lt;&gt;P")&gt;0,1,0)</f>
        <v>1</v>
      </c>
      <c r="F591">
        <f>IF(COUNTIFS('United Data'!$A$3:$A$2150,F$1,'United Data'!$C$3:$C$2150,$A591,'United Data'!$B$3:$B$2150,"&lt;&gt;P")&gt;0,1,0)</f>
        <v>1</v>
      </c>
      <c r="G591">
        <f>IF(COUNTIFS('United Data'!$A$3:$A$2150,G$1,'United Data'!$C$3:$C$2150,$A591,'United Data'!$B$3:$B$2150,"&lt;&gt;P")&gt;0,1,0)</f>
        <v>1</v>
      </c>
      <c r="H591">
        <f>IF(COUNTIFS('United Data'!$A$3:$A$2150,H$1,'United Data'!$C$3:$C$2150,$A591,'United Data'!$B$3:$B$2150,"&lt;&gt;P")&gt;0,1,0)</f>
        <v>1</v>
      </c>
      <c r="I591">
        <f>IF(COUNTIFS('United Data'!$A$3:$A$2150,I$1,'United Data'!$C$3:$C$2150,$A591,'United Data'!$B$3:$B$2150,"&lt;&gt;P")&gt;0,1,0)</f>
        <v>1</v>
      </c>
      <c r="J591">
        <f>IF(COUNTIFS('United Data'!$A$3:$A$2150,J$1,'United Data'!$C$3:$C$2150,$A591,'United Data'!$B$3:$B$2150,"&lt;&gt;P")&gt;0,1,0)</f>
        <v>1</v>
      </c>
      <c r="K591">
        <f>IF(COUNTIFS('United Data'!$A$3:$A$2150,K$1,'United Data'!$C$3:$C$2150,$A591,'United Data'!$B$3:$B$2150,"&lt;&gt;P")&gt;0,1,0)</f>
        <v>1</v>
      </c>
      <c r="L591">
        <f>IF(COUNTIFS('United Data'!$A$3:$A$2150,L$1,'United Data'!$C$3:$C$2150,$A591,'United Data'!$B$3:$B$2150,"&lt;&gt;P")&gt;0,1,0)</f>
        <v>1</v>
      </c>
      <c r="M591">
        <f>IF(COUNTIFS('United Data'!$A$3:$A$2150,M$1,'United Data'!$C$3:$C$2150,$A591,'United Data'!$B$3:$B$2150,"&lt;&gt;P")&gt;0,1,0)</f>
        <v>1</v>
      </c>
      <c r="N591">
        <f>IF(COUNTIFS('United Data'!$A$3:$A$2150,N$1,'United Data'!$C$3:$C$2150,$A591,'United Data'!$B$3:$B$2150,"&lt;&gt;P")&gt;0,1,0)</f>
        <v>0</v>
      </c>
      <c r="O591">
        <f>IF(COUNTIFS('United Data'!$A$3:$A$2150,O$1,'United Data'!$C$3:$C$2150,$A591,'United Data'!$B$3:$B$2150,"&lt;&gt;P")&gt;0,1,0)</f>
        <v>0</v>
      </c>
      <c r="P591">
        <f>IF(COUNTIFS('United Data'!$A$3:$A$2150,P$1,'United Data'!$C$3:$C$2150,$A591,'United Data'!$B$3:$B$2150,"&lt;&gt;P")&gt;0,1,0)</f>
        <v>0</v>
      </c>
      <c r="Q591">
        <f>IF(COUNTIFS('United Data'!$A$3:$A$2150,Q$1,'United Data'!$C$3:$C$2150,$A591,'United Data'!$B$3:$B$2150,"&lt;&gt;P")&gt;0,1,0)</f>
        <v>0</v>
      </c>
      <c r="R591">
        <f>IF(COUNTIFS('United Data'!$A$3:$A$2150,R$1,'United Data'!$C$3:$C$2150,$A591,'United Data'!$B$3:$B$2150,"&lt;&gt;P")&gt;0,1,0)</f>
        <v>0</v>
      </c>
      <c r="S591">
        <f t="shared" si="18"/>
        <v>11</v>
      </c>
      <c r="T591">
        <f t="shared" si="19"/>
        <v>1</v>
      </c>
    </row>
    <row r="592" spans="1:20" x14ac:dyDescent="0.2">
      <c r="A592" t="s">
        <v>637</v>
      </c>
      <c r="B592">
        <f>IF(COUNTIFS('United Data'!$A$3:$A$2150,B$1,'United Data'!$C$3:$C$2150,$A592,'United Data'!$B$3:$B$2150,"&lt;&gt;P")&gt;0,1,0)</f>
        <v>0</v>
      </c>
      <c r="C592">
        <f>IF(COUNTIFS('United Data'!$A$3:$A$2150,C$1,'United Data'!$C$3:$C$2150,$A592,'United Data'!$B$3:$B$2150,"&lt;&gt;P")&gt;0,1,0)</f>
        <v>1</v>
      </c>
      <c r="D592">
        <f>IF(COUNTIFS('United Data'!$A$3:$A$2150,D$1,'United Data'!$C$3:$C$2150,$A592,'United Data'!$B$3:$B$2150,"&lt;&gt;P")&gt;0,1,0)</f>
        <v>0</v>
      </c>
      <c r="E592">
        <f>IF(COUNTIFS('United Data'!$A$3:$A$2150,E$1,'United Data'!$C$3:$C$2150,$A592,'United Data'!$B$3:$B$2150,"&lt;&gt;P")&gt;0,1,0)</f>
        <v>0</v>
      </c>
      <c r="F592">
        <f>IF(COUNTIFS('United Data'!$A$3:$A$2150,F$1,'United Data'!$C$3:$C$2150,$A592,'United Data'!$B$3:$B$2150,"&lt;&gt;P")&gt;0,1,0)</f>
        <v>0</v>
      </c>
      <c r="G592">
        <f>IF(COUNTIFS('United Data'!$A$3:$A$2150,G$1,'United Data'!$C$3:$C$2150,$A592,'United Data'!$B$3:$B$2150,"&lt;&gt;P")&gt;0,1,0)</f>
        <v>0</v>
      </c>
      <c r="H592">
        <f>IF(COUNTIFS('United Data'!$A$3:$A$2150,H$1,'United Data'!$C$3:$C$2150,$A592,'United Data'!$B$3:$B$2150,"&lt;&gt;P")&gt;0,1,0)</f>
        <v>0</v>
      </c>
      <c r="I592">
        <f>IF(COUNTIFS('United Data'!$A$3:$A$2150,I$1,'United Data'!$C$3:$C$2150,$A592,'United Data'!$B$3:$B$2150,"&lt;&gt;P")&gt;0,1,0)</f>
        <v>0</v>
      </c>
      <c r="J592">
        <f>IF(COUNTIFS('United Data'!$A$3:$A$2150,J$1,'United Data'!$C$3:$C$2150,$A592,'United Data'!$B$3:$B$2150,"&lt;&gt;P")&gt;0,1,0)</f>
        <v>0</v>
      </c>
      <c r="K592">
        <f>IF(COUNTIFS('United Data'!$A$3:$A$2150,K$1,'United Data'!$C$3:$C$2150,$A592,'United Data'!$B$3:$B$2150,"&lt;&gt;P")&gt;0,1,0)</f>
        <v>0</v>
      </c>
      <c r="L592">
        <f>IF(COUNTIFS('United Data'!$A$3:$A$2150,L$1,'United Data'!$C$3:$C$2150,$A592,'United Data'!$B$3:$B$2150,"&lt;&gt;P")&gt;0,1,0)</f>
        <v>0</v>
      </c>
      <c r="M592">
        <f>IF(COUNTIFS('United Data'!$A$3:$A$2150,M$1,'United Data'!$C$3:$C$2150,$A592,'United Data'!$B$3:$B$2150,"&lt;&gt;P")&gt;0,1,0)</f>
        <v>0</v>
      </c>
      <c r="N592">
        <f>IF(COUNTIFS('United Data'!$A$3:$A$2150,N$1,'United Data'!$C$3:$C$2150,$A592,'United Data'!$B$3:$B$2150,"&lt;&gt;P")&gt;0,1,0)</f>
        <v>0</v>
      </c>
      <c r="O592">
        <f>IF(COUNTIFS('United Data'!$A$3:$A$2150,O$1,'United Data'!$C$3:$C$2150,$A592,'United Data'!$B$3:$B$2150,"&lt;&gt;P")&gt;0,1,0)</f>
        <v>0</v>
      </c>
      <c r="P592">
        <f>IF(COUNTIFS('United Data'!$A$3:$A$2150,P$1,'United Data'!$C$3:$C$2150,$A592,'United Data'!$B$3:$B$2150,"&lt;&gt;P")&gt;0,1,0)</f>
        <v>0</v>
      </c>
      <c r="Q592">
        <f>IF(COUNTIFS('United Data'!$A$3:$A$2150,Q$1,'United Data'!$C$3:$C$2150,$A592,'United Data'!$B$3:$B$2150,"&lt;&gt;P")&gt;0,1,0)</f>
        <v>0</v>
      </c>
      <c r="R592">
        <f>IF(COUNTIFS('United Data'!$A$3:$A$2150,R$1,'United Data'!$C$3:$C$2150,$A592,'United Data'!$B$3:$B$2150,"&lt;&gt;P")&gt;0,1,0)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638</v>
      </c>
      <c r="B593">
        <f>IF(COUNTIFS('United Data'!$A$3:$A$2150,B$1,'United Data'!$C$3:$C$2150,$A593,'United Data'!$B$3:$B$2150,"&lt;&gt;P")&gt;0,1,0)</f>
        <v>0</v>
      </c>
      <c r="C593">
        <f>IF(COUNTIFS('United Data'!$A$3:$A$2150,C$1,'United Data'!$C$3:$C$2150,$A593,'United Data'!$B$3:$B$2150,"&lt;&gt;P")&gt;0,1,0)</f>
        <v>0</v>
      </c>
      <c r="D593">
        <f>IF(COUNTIFS('United Data'!$A$3:$A$2150,D$1,'United Data'!$C$3:$C$2150,$A593,'United Data'!$B$3:$B$2150,"&lt;&gt;P")&gt;0,1,0)</f>
        <v>1</v>
      </c>
      <c r="E593">
        <f>IF(COUNTIFS('United Data'!$A$3:$A$2150,E$1,'United Data'!$C$3:$C$2150,$A593,'United Data'!$B$3:$B$2150,"&lt;&gt;P")&gt;0,1,0)</f>
        <v>1</v>
      </c>
      <c r="F593">
        <f>IF(COUNTIFS('United Data'!$A$3:$A$2150,F$1,'United Data'!$C$3:$C$2150,$A593,'United Data'!$B$3:$B$2150,"&lt;&gt;P")&gt;0,1,0)</f>
        <v>1</v>
      </c>
      <c r="G593">
        <f>IF(COUNTIFS('United Data'!$A$3:$A$2150,G$1,'United Data'!$C$3:$C$2150,$A593,'United Data'!$B$3:$B$2150,"&lt;&gt;P")&gt;0,1,0)</f>
        <v>1</v>
      </c>
      <c r="H593">
        <f>IF(COUNTIFS('United Data'!$A$3:$A$2150,H$1,'United Data'!$C$3:$C$2150,$A593,'United Data'!$B$3:$B$2150,"&lt;&gt;P")&gt;0,1,0)</f>
        <v>1</v>
      </c>
      <c r="I593">
        <f>IF(COUNTIFS('United Data'!$A$3:$A$2150,I$1,'United Data'!$C$3:$C$2150,$A593,'United Data'!$B$3:$B$2150,"&lt;&gt;P")&gt;0,1,0)</f>
        <v>1</v>
      </c>
      <c r="J593">
        <f>IF(COUNTIFS('United Data'!$A$3:$A$2150,J$1,'United Data'!$C$3:$C$2150,$A593,'United Data'!$B$3:$B$2150,"&lt;&gt;P")&gt;0,1,0)</f>
        <v>1</v>
      </c>
      <c r="K593">
        <f>IF(COUNTIFS('United Data'!$A$3:$A$2150,K$1,'United Data'!$C$3:$C$2150,$A593,'United Data'!$B$3:$B$2150,"&lt;&gt;P")&gt;0,1,0)</f>
        <v>1</v>
      </c>
      <c r="L593">
        <f>IF(COUNTIFS('United Data'!$A$3:$A$2150,L$1,'United Data'!$C$3:$C$2150,$A593,'United Data'!$B$3:$B$2150,"&lt;&gt;P")&gt;0,1,0)</f>
        <v>1</v>
      </c>
      <c r="M593">
        <f>IF(COUNTIFS('United Data'!$A$3:$A$2150,M$1,'United Data'!$C$3:$C$2150,$A593,'United Data'!$B$3:$B$2150,"&lt;&gt;P")&gt;0,1,0)</f>
        <v>0</v>
      </c>
      <c r="N593">
        <f>IF(COUNTIFS('United Data'!$A$3:$A$2150,N$1,'United Data'!$C$3:$C$2150,$A593,'United Data'!$B$3:$B$2150,"&lt;&gt;P")&gt;0,1,0)</f>
        <v>0</v>
      </c>
      <c r="O593">
        <f>IF(COUNTIFS('United Data'!$A$3:$A$2150,O$1,'United Data'!$C$3:$C$2150,$A593,'United Data'!$B$3:$B$2150,"&lt;&gt;P")&gt;0,1,0)</f>
        <v>0</v>
      </c>
      <c r="P593">
        <f>IF(COUNTIFS('United Data'!$A$3:$A$2150,P$1,'United Data'!$C$3:$C$2150,$A593,'United Data'!$B$3:$B$2150,"&lt;&gt;P")&gt;0,1,0)</f>
        <v>0</v>
      </c>
      <c r="Q593">
        <f>IF(COUNTIFS('United Data'!$A$3:$A$2150,Q$1,'United Data'!$C$3:$C$2150,$A593,'United Data'!$B$3:$B$2150,"&lt;&gt;P")&gt;0,1,0)</f>
        <v>0</v>
      </c>
      <c r="R593">
        <f>IF(COUNTIFS('United Data'!$A$3:$A$2150,R$1,'United Data'!$C$3:$C$2150,$A593,'United Data'!$B$3:$B$2150,"&lt;&gt;P")&gt;0,1,0)</f>
        <v>0</v>
      </c>
      <c r="S593">
        <f t="shared" si="18"/>
        <v>9</v>
      </c>
      <c r="T593">
        <f t="shared" si="19"/>
        <v>1</v>
      </c>
    </row>
    <row r="594" spans="1:20" x14ac:dyDescent="0.2">
      <c r="A594" t="s">
        <v>639</v>
      </c>
      <c r="B594">
        <f>IF(COUNTIFS('United Data'!$A$3:$A$2150,B$1,'United Data'!$C$3:$C$2150,$A594,'United Data'!$B$3:$B$2150,"&lt;&gt;P")&gt;0,1,0)</f>
        <v>0</v>
      </c>
      <c r="C594">
        <f>IF(COUNTIFS('United Data'!$A$3:$A$2150,C$1,'United Data'!$C$3:$C$2150,$A594,'United Data'!$B$3:$B$2150,"&lt;&gt;P")&gt;0,1,0)</f>
        <v>0</v>
      </c>
      <c r="D594">
        <f>IF(COUNTIFS('United Data'!$A$3:$A$2150,D$1,'United Data'!$C$3:$C$2150,$A594,'United Data'!$B$3:$B$2150,"&lt;&gt;P")&gt;0,1,0)</f>
        <v>1</v>
      </c>
      <c r="E594">
        <f>IF(COUNTIFS('United Data'!$A$3:$A$2150,E$1,'United Data'!$C$3:$C$2150,$A594,'United Data'!$B$3:$B$2150,"&lt;&gt;P")&gt;0,1,0)</f>
        <v>1</v>
      </c>
      <c r="F594">
        <f>IF(COUNTIFS('United Data'!$A$3:$A$2150,F$1,'United Data'!$C$3:$C$2150,$A594,'United Data'!$B$3:$B$2150,"&lt;&gt;P")&gt;0,1,0)</f>
        <v>1</v>
      </c>
      <c r="G594">
        <f>IF(COUNTIFS('United Data'!$A$3:$A$2150,G$1,'United Data'!$C$3:$C$2150,$A594,'United Data'!$B$3:$B$2150,"&lt;&gt;P")&gt;0,1,0)</f>
        <v>1</v>
      </c>
      <c r="H594">
        <f>IF(COUNTIFS('United Data'!$A$3:$A$2150,H$1,'United Data'!$C$3:$C$2150,$A594,'United Data'!$B$3:$B$2150,"&lt;&gt;P")&gt;0,1,0)</f>
        <v>1</v>
      </c>
      <c r="I594">
        <f>IF(COUNTIFS('United Data'!$A$3:$A$2150,I$1,'United Data'!$C$3:$C$2150,$A594,'United Data'!$B$3:$B$2150,"&lt;&gt;P")&gt;0,1,0)</f>
        <v>1</v>
      </c>
      <c r="J594">
        <f>IF(COUNTIFS('United Data'!$A$3:$A$2150,J$1,'United Data'!$C$3:$C$2150,$A594,'United Data'!$B$3:$B$2150,"&lt;&gt;P")&gt;0,1,0)</f>
        <v>1</v>
      </c>
      <c r="K594">
        <f>IF(COUNTIFS('United Data'!$A$3:$A$2150,K$1,'United Data'!$C$3:$C$2150,$A594,'United Data'!$B$3:$B$2150,"&lt;&gt;P")&gt;0,1,0)</f>
        <v>0</v>
      </c>
      <c r="L594">
        <f>IF(COUNTIFS('United Data'!$A$3:$A$2150,L$1,'United Data'!$C$3:$C$2150,$A594,'United Data'!$B$3:$B$2150,"&lt;&gt;P")&gt;0,1,0)</f>
        <v>0</v>
      </c>
      <c r="M594">
        <f>IF(COUNTIFS('United Data'!$A$3:$A$2150,M$1,'United Data'!$C$3:$C$2150,$A594,'United Data'!$B$3:$B$2150,"&lt;&gt;P")&gt;0,1,0)</f>
        <v>0</v>
      </c>
      <c r="N594">
        <f>IF(COUNTIFS('United Data'!$A$3:$A$2150,N$1,'United Data'!$C$3:$C$2150,$A594,'United Data'!$B$3:$B$2150,"&lt;&gt;P")&gt;0,1,0)</f>
        <v>0</v>
      </c>
      <c r="O594">
        <f>IF(COUNTIFS('United Data'!$A$3:$A$2150,O$1,'United Data'!$C$3:$C$2150,$A594,'United Data'!$B$3:$B$2150,"&lt;&gt;P")&gt;0,1,0)</f>
        <v>0</v>
      </c>
      <c r="P594">
        <f>IF(COUNTIFS('United Data'!$A$3:$A$2150,P$1,'United Data'!$C$3:$C$2150,$A594,'United Data'!$B$3:$B$2150,"&lt;&gt;P")&gt;0,1,0)</f>
        <v>0</v>
      </c>
      <c r="Q594">
        <f>IF(COUNTIFS('United Data'!$A$3:$A$2150,Q$1,'United Data'!$C$3:$C$2150,$A594,'United Data'!$B$3:$B$2150,"&lt;&gt;P")&gt;0,1,0)</f>
        <v>0</v>
      </c>
      <c r="R594">
        <f>IF(COUNTIFS('United Data'!$A$3:$A$2150,R$1,'United Data'!$C$3:$C$2150,$A594,'United Data'!$B$3:$B$2150,"&lt;&gt;P")&gt;0,1,0)</f>
        <v>0</v>
      </c>
      <c r="S594">
        <f t="shared" si="18"/>
        <v>7</v>
      </c>
      <c r="T594">
        <f t="shared" si="19"/>
        <v>1</v>
      </c>
    </row>
    <row r="595" spans="1:20" x14ac:dyDescent="0.2">
      <c r="A595" t="s">
        <v>640</v>
      </c>
      <c r="B595">
        <f>IF(COUNTIFS('United Data'!$A$3:$A$2150,B$1,'United Data'!$C$3:$C$2150,$A595,'United Data'!$B$3:$B$2150,"&lt;&gt;P")&gt;0,1,0)</f>
        <v>0</v>
      </c>
      <c r="C595">
        <f>IF(COUNTIFS('United Data'!$A$3:$A$2150,C$1,'United Data'!$C$3:$C$2150,$A595,'United Data'!$B$3:$B$2150,"&lt;&gt;P")&gt;0,1,0)</f>
        <v>0</v>
      </c>
      <c r="D595">
        <f>IF(COUNTIFS('United Data'!$A$3:$A$2150,D$1,'United Data'!$C$3:$C$2150,$A595,'United Data'!$B$3:$B$2150,"&lt;&gt;P")&gt;0,1,0)</f>
        <v>1</v>
      </c>
      <c r="E595">
        <f>IF(COUNTIFS('United Data'!$A$3:$A$2150,E$1,'United Data'!$C$3:$C$2150,$A595,'United Data'!$B$3:$B$2150,"&lt;&gt;P")&gt;0,1,0)</f>
        <v>0</v>
      </c>
      <c r="F595">
        <f>IF(COUNTIFS('United Data'!$A$3:$A$2150,F$1,'United Data'!$C$3:$C$2150,$A595,'United Data'!$B$3:$B$2150,"&lt;&gt;P")&gt;0,1,0)</f>
        <v>0</v>
      </c>
      <c r="G595">
        <f>IF(COUNTIFS('United Data'!$A$3:$A$2150,G$1,'United Data'!$C$3:$C$2150,$A595,'United Data'!$B$3:$B$2150,"&lt;&gt;P")&gt;0,1,0)</f>
        <v>0</v>
      </c>
      <c r="H595">
        <f>IF(COUNTIFS('United Data'!$A$3:$A$2150,H$1,'United Data'!$C$3:$C$2150,$A595,'United Data'!$B$3:$B$2150,"&lt;&gt;P")&gt;0,1,0)</f>
        <v>0</v>
      </c>
      <c r="I595">
        <f>IF(COUNTIFS('United Data'!$A$3:$A$2150,I$1,'United Data'!$C$3:$C$2150,$A595,'United Data'!$B$3:$B$2150,"&lt;&gt;P")&gt;0,1,0)</f>
        <v>0</v>
      </c>
      <c r="J595">
        <f>IF(COUNTIFS('United Data'!$A$3:$A$2150,J$1,'United Data'!$C$3:$C$2150,$A595,'United Data'!$B$3:$B$2150,"&lt;&gt;P")&gt;0,1,0)</f>
        <v>0</v>
      </c>
      <c r="K595">
        <f>IF(COUNTIFS('United Data'!$A$3:$A$2150,K$1,'United Data'!$C$3:$C$2150,$A595,'United Data'!$B$3:$B$2150,"&lt;&gt;P")&gt;0,1,0)</f>
        <v>0</v>
      </c>
      <c r="L595">
        <f>IF(COUNTIFS('United Data'!$A$3:$A$2150,L$1,'United Data'!$C$3:$C$2150,$A595,'United Data'!$B$3:$B$2150,"&lt;&gt;P")&gt;0,1,0)</f>
        <v>0</v>
      </c>
      <c r="M595">
        <f>IF(COUNTIFS('United Data'!$A$3:$A$2150,M$1,'United Data'!$C$3:$C$2150,$A595,'United Data'!$B$3:$B$2150,"&lt;&gt;P")&gt;0,1,0)</f>
        <v>0</v>
      </c>
      <c r="N595">
        <f>IF(COUNTIFS('United Data'!$A$3:$A$2150,N$1,'United Data'!$C$3:$C$2150,$A595,'United Data'!$B$3:$B$2150,"&lt;&gt;P")&gt;0,1,0)</f>
        <v>0</v>
      </c>
      <c r="O595">
        <f>IF(COUNTIFS('United Data'!$A$3:$A$2150,O$1,'United Data'!$C$3:$C$2150,$A595,'United Data'!$B$3:$B$2150,"&lt;&gt;P")&gt;0,1,0)</f>
        <v>0</v>
      </c>
      <c r="P595">
        <f>IF(COUNTIFS('United Data'!$A$3:$A$2150,P$1,'United Data'!$C$3:$C$2150,$A595,'United Data'!$B$3:$B$2150,"&lt;&gt;P")&gt;0,1,0)</f>
        <v>0</v>
      </c>
      <c r="Q595">
        <f>IF(COUNTIFS('United Data'!$A$3:$A$2150,Q$1,'United Data'!$C$3:$C$2150,$A595,'United Data'!$B$3:$B$2150,"&lt;&gt;P")&gt;0,1,0)</f>
        <v>0</v>
      </c>
      <c r="R595">
        <f>IF(COUNTIFS('United Data'!$A$3:$A$2150,R$1,'United Data'!$C$3:$C$2150,$A595,'United Data'!$B$3:$B$2150,"&lt;&gt;P")&gt;0,1,0)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641</v>
      </c>
      <c r="B596">
        <f>IF(COUNTIFS('United Data'!$A$3:$A$2150,B$1,'United Data'!$C$3:$C$2150,$A596,'United Data'!$B$3:$B$2150,"&lt;&gt;P")&gt;0,1,0)</f>
        <v>0</v>
      </c>
      <c r="C596">
        <f>IF(COUNTIFS('United Data'!$A$3:$A$2150,C$1,'United Data'!$C$3:$C$2150,$A596,'United Data'!$B$3:$B$2150,"&lt;&gt;P")&gt;0,1,0)</f>
        <v>0</v>
      </c>
      <c r="D596">
        <f>IF(COUNTIFS('United Data'!$A$3:$A$2150,D$1,'United Data'!$C$3:$C$2150,$A596,'United Data'!$B$3:$B$2150,"&lt;&gt;P")&gt;0,1,0)</f>
        <v>1</v>
      </c>
      <c r="E596">
        <f>IF(COUNTIFS('United Data'!$A$3:$A$2150,E$1,'United Data'!$C$3:$C$2150,$A596,'United Data'!$B$3:$B$2150,"&lt;&gt;P")&gt;0,1,0)</f>
        <v>0</v>
      </c>
      <c r="F596">
        <f>IF(COUNTIFS('United Data'!$A$3:$A$2150,F$1,'United Data'!$C$3:$C$2150,$A596,'United Data'!$B$3:$B$2150,"&lt;&gt;P")&gt;0,1,0)</f>
        <v>0</v>
      </c>
      <c r="G596">
        <f>IF(COUNTIFS('United Data'!$A$3:$A$2150,G$1,'United Data'!$C$3:$C$2150,$A596,'United Data'!$B$3:$B$2150,"&lt;&gt;P")&gt;0,1,0)</f>
        <v>0</v>
      </c>
      <c r="H596">
        <f>IF(COUNTIFS('United Data'!$A$3:$A$2150,H$1,'United Data'!$C$3:$C$2150,$A596,'United Data'!$B$3:$B$2150,"&lt;&gt;P")&gt;0,1,0)</f>
        <v>0</v>
      </c>
      <c r="I596">
        <f>IF(COUNTIFS('United Data'!$A$3:$A$2150,I$1,'United Data'!$C$3:$C$2150,$A596,'United Data'!$B$3:$B$2150,"&lt;&gt;P")&gt;0,1,0)</f>
        <v>0</v>
      </c>
      <c r="J596">
        <f>IF(COUNTIFS('United Data'!$A$3:$A$2150,J$1,'United Data'!$C$3:$C$2150,$A596,'United Data'!$B$3:$B$2150,"&lt;&gt;P")&gt;0,1,0)</f>
        <v>0</v>
      </c>
      <c r="K596">
        <f>IF(COUNTIFS('United Data'!$A$3:$A$2150,K$1,'United Data'!$C$3:$C$2150,$A596,'United Data'!$B$3:$B$2150,"&lt;&gt;P")&gt;0,1,0)</f>
        <v>0</v>
      </c>
      <c r="L596">
        <f>IF(COUNTIFS('United Data'!$A$3:$A$2150,L$1,'United Data'!$C$3:$C$2150,$A596,'United Data'!$B$3:$B$2150,"&lt;&gt;P")&gt;0,1,0)</f>
        <v>0</v>
      </c>
      <c r="M596">
        <f>IF(COUNTIFS('United Data'!$A$3:$A$2150,M$1,'United Data'!$C$3:$C$2150,$A596,'United Data'!$B$3:$B$2150,"&lt;&gt;P")&gt;0,1,0)</f>
        <v>0</v>
      </c>
      <c r="N596">
        <f>IF(COUNTIFS('United Data'!$A$3:$A$2150,N$1,'United Data'!$C$3:$C$2150,$A596,'United Data'!$B$3:$B$2150,"&lt;&gt;P")&gt;0,1,0)</f>
        <v>0</v>
      </c>
      <c r="O596">
        <f>IF(COUNTIFS('United Data'!$A$3:$A$2150,O$1,'United Data'!$C$3:$C$2150,$A596,'United Data'!$B$3:$B$2150,"&lt;&gt;P")&gt;0,1,0)</f>
        <v>0</v>
      </c>
      <c r="P596">
        <f>IF(COUNTIFS('United Data'!$A$3:$A$2150,P$1,'United Data'!$C$3:$C$2150,$A596,'United Data'!$B$3:$B$2150,"&lt;&gt;P")&gt;0,1,0)</f>
        <v>0</v>
      </c>
      <c r="Q596">
        <f>IF(COUNTIFS('United Data'!$A$3:$A$2150,Q$1,'United Data'!$C$3:$C$2150,$A596,'United Data'!$B$3:$B$2150,"&lt;&gt;P")&gt;0,1,0)</f>
        <v>0</v>
      </c>
      <c r="R596">
        <f>IF(COUNTIFS('United Data'!$A$3:$A$2150,R$1,'United Data'!$C$3:$C$2150,$A596,'United Data'!$B$3:$B$2150,"&lt;&gt;P")&gt;0,1,0)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642</v>
      </c>
      <c r="B597">
        <f>IF(COUNTIFS('United Data'!$A$3:$A$2150,B$1,'United Data'!$C$3:$C$2150,$A597,'United Data'!$B$3:$B$2150,"&lt;&gt;P")&gt;0,1,0)</f>
        <v>0</v>
      </c>
      <c r="C597">
        <f>IF(COUNTIFS('United Data'!$A$3:$A$2150,C$1,'United Data'!$C$3:$C$2150,$A597,'United Data'!$B$3:$B$2150,"&lt;&gt;P")&gt;0,1,0)</f>
        <v>0</v>
      </c>
      <c r="D597">
        <f>IF(COUNTIFS('United Data'!$A$3:$A$2150,D$1,'United Data'!$C$3:$C$2150,$A597,'United Data'!$B$3:$B$2150,"&lt;&gt;P")&gt;0,1,0)</f>
        <v>1</v>
      </c>
      <c r="E597">
        <f>IF(COUNTIFS('United Data'!$A$3:$A$2150,E$1,'United Data'!$C$3:$C$2150,$A597,'United Data'!$B$3:$B$2150,"&lt;&gt;P")&gt;0,1,0)</f>
        <v>1</v>
      </c>
      <c r="F597">
        <f>IF(COUNTIFS('United Data'!$A$3:$A$2150,F$1,'United Data'!$C$3:$C$2150,$A597,'United Data'!$B$3:$B$2150,"&lt;&gt;P")&gt;0,1,0)</f>
        <v>1</v>
      </c>
      <c r="G597">
        <f>IF(COUNTIFS('United Data'!$A$3:$A$2150,G$1,'United Data'!$C$3:$C$2150,$A597,'United Data'!$B$3:$B$2150,"&lt;&gt;P")&gt;0,1,0)</f>
        <v>0</v>
      </c>
      <c r="H597">
        <f>IF(COUNTIFS('United Data'!$A$3:$A$2150,H$1,'United Data'!$C$3:$C$2150,$A597,'United Data'!$B$3:$B$2150,"&lt;&gt;P")&gt;0,1,0)</f>
        <v>0</v>
      </c>
      <c r="I597">
        <f>IF(COUNTIFS('United Data'!$A$3:$A$2150,I$1,'United Data'!$C$3:$C$2150,$A597,'United Data'!$B$3:$B$2150,"&lt;&gt;P")&gt;0,1,0)</f>
        <v>1</v>
      </c>
      <c r="J597">
        <f>IF(COUNTIFS('United Data'!$A$3:$A$2150,J$1,'United Data'!$C$3:$C$2150,$A597,'United Data'!$B$3:$B$2150,"&lt;&gt;P")&gt;0,1,0)</f>
        <v>1</v>
      </c>
      <c r="K597">
        <f>IF(COUNTIFS('United Data'!$A$3:$A$2150,K$1,'United Data'!$C$3:$C$2150,$A597,'United Data'!$B$3:$B$2150,"&lt;&gt;P")&gt;0,1,0)</f>
        <v>1</v>
      </c>
      <c r="L597">
        <f>IF(COUNTIFS('United Data'!$A$3:$A$2150,L$1,'United Data'!$C$3:$C$2150,$A597,'United Data'!$B$3:$B$2150,"&lt;&gt;P")&gt;0,1,0)</f>
        <v>1</v>
      </c>
      <c r="M597">
        <f>IF(COUNTIFS('United Data'!$A$3:$A$2150,M$1,'United Data'!$C$3:$C$2150,$A597,'United Data'!$B$3:$B$2150,"&lt;&gt;P")&gt;0,1,0)</f>
        <v>0</v>
      </c>
      <c r="N597">
        <f>IF(COUNTIFS('United Data'!$A$3:$A$2150,N$1,'United Data'!$C$3:$C$2150,$A597,'United Data'!$B$3:$B$2150,"&lt;&gt;P")&gt;0,1,0)</f>
        <v>0</v>
      </c>
      <c r="O597">
        <f>IF(COUNTIFS('United Data'!$A$3:$A$2150,O$1,'United Data'!$C$3:$C$2150,$A597,'United Data'!$B$3:$B$2150,"&lt;&gt;P")&gt;0,1,0)</f>
        <v>0</v>
      </c>
      <c r="P597">
        <f>IF(COUNTIFS('United Data'!$A$3:$A$2150,P$1,'United Data'!$C$3:$C$2150,$A597,'United Data'!$B$3:$B$2150,"&lt;&gt;P")&gt;0,1,0)</f>
        <v>0</v>
      </c>
      <c r="Q597">
        <f>IF(COUNTIFS('United Data'!$A$3:$A$2150,Q$1,'United Data'!$C$3:$C$2150,$A597,'United Data'!$B$3:$B$2150,"&lt;&gt;P")&gt;0,1,0)</f>
        <v>0</v>
      </c>
      <c r="R597">
        <f>IF(COUNTIFS('United Data'!$A$3:$A$2150,R$1,'United Data'!$C$3:$C$2150,$A597,'United Data'!$B$3:$B$2150,"&lt;&gt;P")&gt;0,1,0)</f>
        <v>0</v>
      </c>
      <c r="S597">
        <f t="shared" si="18"/>
        <v>7</v>
      </c>
      <c r="T597">
        <f t="shared" si="19"/>
        <v>2</v>
      </c>
    </row>
    <row r="598" spans="1:20" x14ac:dyDescent="0.2">
      <c r="A598" t="s">
        <v>643</v>
      </c>
      <c r="B598">
        <f>IF(COUNTIFS('United Data'!$A$3:$A$2150,B$1,'United Data'!$C$3:$C$2150,$A598,'United Data'!$B$3:$B$2150,"&lt;&gt;P")&gt;0,1,0)</f>
        <v>0</v>
      </c>
      <c r="C598">
        <f>IF(COUNTIFS('United Data'!$A$3:$A$2150,C$1,'United Data'!$C$3:$C$2150,$A598,'United Data'!$B$3:$B$2150,"&lt;&gt;P")&gt;0,1,0)</f>
        <v>0</v>
      </c>
      <c r="D598">
        <f>IF(COUNTIFS('United Data'!$A$3:$A$2150,D$1,'United Data'!$C$3:$C$2150,$A598,'United Data'!$B$3:$B$2150,"&lt;&gt;P")&gt;0,1,0)</f>
        <v>0</v>
      </c>
      <c r="E598">
        <f>IF(COUNTIFS('United Data'!$A$3:$A$2150,E$1,'United Data'!$C$3:$C$2150,$A598,'United Data'!$B$3:$B$2150,"&lt;&gt;P")&gt;0,1,0)</f>
        <v>1</v>
      </c>
      <c r="F598">
        <f>IF(COUNTIFS('United Data'!$A$3:$A$2150,F$1,'United Data'!$C$3:$C$2150,$A598,'United Data'!$B$3:$B$2150,"&lt;&gt;P")&gt;0,1,0)</f>
        <v>0</v>
      </c>
      <c r="G598">
        <f>IF(COUNTIFS('United Data'!$A$3:$A$2150,G$1,'United Data'!$C$3:$C$2150,$A598,'United Data'!$B$3:$B$2150,"&lt;&gt;P")&gt;0,1,0)</f>
        <v>0</v>
      </c>
      <c r="H598">
        <f>IF(COUNTIFS('United Data'!$A$3:$A$2150,H$1,'United Data'!$C$3:$C$2150,$A598,'United Data'!$B$3:$B$2150,"&lt;&gt;P")&gt;0,1,0)</f>
        <v>0</v>
      </c>
      <c r="I598">
        <f>IF(COUNTIFS('United Data'!$A$3:$A$2150,I$1,'United Data'!$C$3:$C$2150,$A598,'United Data'!$B$3:$B$2150,"&lt;&gt;P")&gt;0,1,0)</f>
        <v>0</v>
      </c>
      <c r="J598">
        <f>IF(COUNTIFS('United Data'!$A$3:$A$2150,J$1,'United Data'!$C$3:$C$2150,$A598,'United Data'!$B$3:$B$2150,"&lt;&gt;P")&gt;0,1,0)</f>
        <v>0</v>
      </c>
      <c r="K598">
        <f>IF(COUNTIFS('United Data'!$A$3:$A$2150,K$1,'United Data'!$C$3:$C$2150,$A598,'United Data'!$B$3:$B$2150,"&lt;&gt;P")&gt;0,1,0)</f>
        <v>0</v>
      </c>
      <c r="L598">
        <f>IF(COUNTIFS('United Data'!$A$3:$A$2150,L$1,'United Data'!$C$3:$C$2150,$A598,'United Data'!$B$3:$B$2150,"&lt;&gt;P")&gt;0,1,0)</f>
        <v>0</v>
      </c>
      <c r="M598">
        <f>IF(COUNTIFS('United Data'!$A$3:$A$2150,M$1,'United Data'!$C$3:$C$2150,$A598,'United Data'!$B$3:$B$2150,"&lt;&gt;P")&gt;0,1,0)</f>
        <v>0</v>
      </c>
      <c r="N598">
        <f>IF(COUNTIFS('United Data'!$A$3:$A$2150,N$1,'United Data'!$C$3:$C$2150,$A598,'United Data'!$B$3:$B$2150,"&lt;&gt;P")&gt;0,1,0)</f>
        <v>0</v>
      </c>
      <c r="O598">
        <f>IF(COUNTIFS('United Data'!$A$3:$A$2150,O$1,'United Data'!$C$3:$C$2150,$A598,'United Data'!$B$3:$B$2150,"&lt;&gt;P")&gt;0,1,0)</f>
        <v>0</v>
      </c>
      <c r="P598">
        <f>IF(COUNTIFS('United Data'!$A$3:$A$2150,P$1,'United Data'!$C$3:$C$2150,$A598,'United Data'!$B$3:$B$2150,"&lt;&gt;P")&gt;0,1,0)</f>
        <v>0</v>
      </c>
      <c r="Q598">
        <f>IF(COUNTIFS('United Data'!$A$3:$A$2150,Q$1,'United Data'!$C$3:$C$2150,$A598,'United Data'!$B$3:$B$2150,"&lt;&gt;P")&gt;0,1,0)</f>
        <v>0</v>
      </c>
      <c r="R598">
        <f>IF(COUNTIFS('United Data'!$A$3:$A$2150,R$1,'United Data'!$C$3:$C$2150,$A598,'United Data'!$B$3:$B$2150,"&lt;&gt;P")&gt;0,1,0)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644</v>
      </c>
      <c r="B599">
        <f>IF(COUNTIFS('United Data'!$A$3:$A$2150,B$1,'United Data'!$C$3:$C$2150,$A599,'United Data'!$B$3:$B$2150,"&lt;&gt;P")&gt;0,1,0)</f>
        <v>0</v>
      </c>
      <c r="C599">
        <f>IF(COUNTIFS('United Data'!$A$3:$A$2150,C$1,'United Data'!$C$3:$C$2150,$A599,'United Data'!$B$3:$B$2150,"&lt;&gt;P")&gt;0,1,0)</f>
        <v>0</v>
      </c>
      <c r="D599">
        <f>IF(COUNTIFS('United Data'!$A$3:$A$2150,D$1,'United Data'!$C$3:$C$2150,$A599,'United Data'!$B$3:$B$2150,"&lt;&gt;P")&gt;0,1,0)</f>
        <v>0</v>
      </c>
      <c r="E599">
        <f>IF(COUNTIFS('United Data'!$A$3:$A$2150,E$1,'United Data'!$C$3:$C$2150,$A599,'United Data'!$B$3:$B$2150,"&lt;&gt;P")&gt;0,1,0)</f>
        <v>1</v>
      </c>
      <c r="F599">
        <f>IF(COUNTIFS('United Data'!$A$3:$A$2150,F$1,'United Data'!$C$3:$C$2150,$A599,'United Data'!$B$3:$B$2150,"&lt;&gt;P")&gt;0,1,0)</f>
        <v>0</v>
      </c>
      <c r="G599">
        <f>IF(COUNTIFS('United Data'!$A$3:$A$2150,G$1,'United Data'!$C$3:$C$2150,$A599,'United Data'!$B$3:$B$2150,"&lt;&gt;P")&gt;0,1,0)</f>
        <v>0</v>
      </c>
      <c r="H599">
        <f>IF(COUNTIFS('United Data'!$A$3:$A$2150,H$1,'United Data'!$C$3:$C$2150,$A599,'United Data'!$B$3:$B$2150,"&lt;&gt;P")&gt;0,1,0)</f>
        <v>0</v>
      </c>
      <c r="I599">
        <f>IF(COUNTIFS('United Data'!$A$3:$A$2150,I$1,'United Data'!$C$3:$C$2150,$A599,'United Data'!$B$3:$B$2150,"&lt;&gt;P")&gt;0,1,0)</f>
        <v>0</v>
      </c>
      <c r="J599">
        <f>IF(COUNTIFS('United Data'!$A$3:$A$2150,J$1,'United Data'!$C$3:$C$2150,$A599,'United Data'!$B$3:$B$2150,"&lt;&gt;P")&gt;0,1,0)</f>
        <v>0</v>
      </c>
      <c r="K599">
        <f>IF(COUNTIFS('United Data'!$A$3:$A$2150,K$1,'United Data'!$C$3:$C$2150,$A599,'United Data'!$B$3:$B$2150,"&lt;&gt;P")&gt;0,1,0)</f>
        <v>0</v>
      </c>
      <c r="L599">
        <f>IF(COUNTIFS('United Data'!$A$3:$A$2150,L$1,'United Data'!$C$3:$C$2150,$A599,'United Data'!$B$3:$B$2150,"&lt;&gt;P")&gt;0,1,0)</f>
        <v>0</v>
      </c>
      <c r="M599">
        <f>IF(COUNTIFS('United Data'!$A$3:$A$2150,M$1,'United Data'!$C$3:$C$2150,$A599,'United Data'!$B$3:$B$2150,"&lt;&gt;P")&gt;0,1,0)</f>
        <v>0</v>
      </c>
      <c r="N599">
        <f>IF(COUNTIFS('United Data'!$A$3:$A$2150,N$1,'United Data'!$C$3:$C$2150,$A599,'United Data'!$B$3:$B$2150,"&lt;&gt;P")&gt;0,1,0)</f>
        <v>0</v>
      </c>
      <c r="O599">
        <f>IF(COUNTIFS('United Data'!$A$3:$A$2150,O$1,'United Data'!$C$3:$C$2150,$A599,'United Data'!$B$3:$B$2150,"&lt;&gt;P")&gt;0,1,0)</f>
        <v>0</v>
      </c>
      <c r="P599">
        <f>IF(COUNTIFS('United Data'!$A$3:$A$2150,P$1,'United Data'!$C$3:$C$2150,$A599,'United Data'!$B$3:$B$2150,"&lt;&gt;P")&gt;0,1,0)</f>
        <v>0</v>
      </c>
      <c r="Q599">
        <f>IF(COUNTIFS('United Data'!$A$3:$A$2150,Q$1,'United Data'!$C$3:$C$2150,$A599,'United Data'!$B$3:$B$2150,"&lt;&gt;P")&gt;0,1,0)</f>
        <v>0</v>
      </c>
      <c r="R599">
        <f>IF(COUNTIFS('United Data'!$A$3:$A$2150,R$1,'United Data'!$C$3:$C$2150,$A599,'United Data'!$B$3:$B$2150,"&lt;&gt;P")&gt;0,1,0)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645</v>
      </c>
      <c r="B600">
        <f>IF(COUNTIFS('United Data'!$A$3:$A$2150,B$1,'United Data'!$C$3:$C$2150,$A600,'United Data'!$B$3:$B$2150,"&lt;&gt;P")&gt;0,1,0)</f>
        <v>0</v>
      </c>
      <c r="C600">
        <f>IF(COUNTIFS('United Data'!$A$3:$A$2150,C$1,'United Data'!$C$3:$C$2150,$A600,'United Data'!$B$3:$B$2150,"&lt;&gt;P")&gt;0,1,0)</f>
        <v>0</v>
      </c>
      <c r="D600">
        <f>IF(COUNTIFS('United Data'!$A$3:$A$2150,D$1,'United Data'!$C$3:$C$2150,$A600,'United Data'!$B$3:$B$2150,"&lt;&gt;P")&gt;0,1,0)</f>
        <v>0</v>
      </c>
      <c r="E600">
        <f>IF(COUNTIFS('United Data'!$A$3:$A$2150,E$1,'United Data'!$C$3:$C$2150,$A600,'United Data'!$B$3:$B$2150,"&lt;&gt;P")&gt;0,1,0)</f>
        <v>1</v>
      </c>
      <c r="F600">
        <f>IF(COUNTIFS('United Data'!$A$3:$A$2150,F$1,'United Data'!$C$3:$C$2150,$A600,'United Data'!$B$3:$B$2150,"&lt;&gt;P")&gt;0,1,0)</f>
        <v>0</v>
      </c>
      <c r="G600">
        <f>IF(COUNTIFS('United Data'!$A$3:$A$2150,G$1,'United Data'!$C$3:$C$2150,$A600,'United Data'!$B$3:$B$2150,"&lt;&gt;P")&gt;0,1,0)</f>
        <v>0</v>
      </c>
      <c r="H600">
        <f>IF(COUNTIFS('United Data'!$A$3:$A$2150,H$1,'United Data'!$C$3:$C$2150,$A600,'United Data'!$B$3:$B$2150,"&lt;&gt;P")&gt;0,1,0)</f>
        <v>0</v>
      </c>
      <c r="I600">
        <f>IF(COUNTIFS('United Data'!$A$3:$A$2150,I$1,'United Data'!$C$3:$C$2150,$A600,'United Data'!$B$3:$B$2150,"&lt;&gt;P")&gt;0,1,0)</f>
        <v>0</v>
      </c>
      <c r="J600">
        <f>IF(COUNTIFS('United Data'!$A$3:$A$2150,J$1,'United Data'!$C$3:$C$2150,$A600,'United Data'!$B$3:$B$2150,"&lt;&gt;P")&gt;0,1,0)</f>
        <v>0</v>
      </c>
      <c r="K600">
        <f>IF(COUNTIFS('United Data'!$A$3:$A$2150,K$1,'United Data'!$C$3:$C$2150,$A600,'United Data'!$B$3:$B$2150,"&lt;&gt;P")&gt;0,1,0)</f>
        <v>0</v>
      </c>
      <c r="L600">
        <f>IF(COUNTIFS('United Data'!$A$3:$A$2150,L$1,'United Data'!$C$3:$C$2150,$A600,'United Data'!$B$3:$B$2150,"&lt;&gt;P")&gt;0,1,0)</f>
        <v>0</v>
      </c>
      <c r="M600">
        <f>IF(COUNTIFS('United Data'!$A$3:$A$2150,M$1,'United Data'!$C$3:$C$2150,$A600,'United Data'!$B$3:$B$2150,"&lt;&gt;P")&gt;0,1,0)</f>
        <v>0</v>
      </c>
      <c r="N600">
        <f>IF(COUNTIFS('United Data'!$A$3:$A$2150,N$1,'United Data'!$C$3:$C$2150,$A600,'United Data'!$B$3:$B$2150,"&lt;&gt;P")&gt;0,1,0)</f>
        <v>0</v>
      </c>
      <c r="O600">
        <f>IF(COUNTIFS('United Data'!$A$3:$A$2150,O$1,'United Data'!$C$3:$C$2150,$A600,'United Data'!$B$3:$B$2150,"&lt;&gt;P")&gt;0,1,0)</f>
        <v>0</v>
      </c>
      <c r="P600">
        <f>IF(COUNTIFS('United Data'!$A$3:$A$2150,P$1,'United Data'!$C$3:$C$2150,$A600,'United Data'!$B$3:$B$2150,"&lt;&gt;P")&gt;0,1,0)</f>
        <v>0</v>
      </c>
      <c r="Q600">
        <f>IF(COUNTIFS('United Data'!$A$3:$A$2150,Q$1,'United Data'!$C$3:$C$2150,$A600,'United Data'!$B$3:$B$2150,"&lt;&gt;P")&gt;0,1,0)</f>
        <v>0</v>
      </c>
      <c r="R600">
        <f>IF(COUNTIFS('United Data'!$A$3:$A$2150,R$1,'United Data'!$C$3:$C$2150,$A600,'United Data'!$B$3:$B$2150,"&lt;&gt;P")&gt;0,1,0)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646</v>
      </c>
      <c r="B601">
        <f>IF(COUNTIFS('United Data'!$A$3:$A$2150,B$1,'United Data'!$C$3:$C$2150,$A601,'United Data'!$B$3:$B$2150,"&lt;&gt;P")&gt;0,1,0)</f>
        <v>0</v>
      </c>
      <c r="C601">
        <f>IF(COUNTIFS('United Data'!$A$3:$A$2150,C$1,'United Data'!$C$3:$C$2150,$A601,'United Data'!$B$3:$B$2150,"&lt;&gt;P")&gt;0,1,0)</f>
        <v>0</v>
      </c>
      <c r="D601">
        <f>IF(COUNTIFS('United Data'!$A$3:$A$2150,D$1,'United Data'!$C$3:$C$2150,$A601,'United Data'!$B$3:$B$2150,"&lt;&gt;P")&gt;0,1,0)</f>
        <v>0</v>
      </c>
      <c r="E601">
        <f>IF(COUNTIFS('United Data'!$A$3:$A$2150,E$1,'United Data'!$C$3:$C$2150,$A601,'United Data'!$B$3:$B$2150,"&lt;&gt;P")&gt;0,1,0)</f>
        <v>0</v>
      </c>
      <c r="F601">
        <f>IF(COUNTIFS('United Data'!$A$3:$A$2150,F$1,'United Data'!$C$3:$C$2150,$A601,'United Data'!$B$3:$B$2150,"&lt;&gt;P")&gt;0,1,0)</f>
        <v>1</v>
      </c>
      <c r="G601">
        <f>IF(COUNTIFS('United Data'!$A$3:$A$2150,G$1,'United Data'!$C$3:$C$2150,$A601,'United Data'!$B$3:$B$2150,"&lt;&gt;P")&gt;0,1,0)</f>
        <v>0</v>
      </c>
      <c r="H601">
        <f>IF(COUNTIFS('United Data'!$A$3:$A$2150,H$1,'United Data'!$C$3:$C$2150,$A601,'United Data'!$B$3:$B$2150,"&lt;&gt;P")&gt;0,1,0)</f>
        <v>0</v>
      </c>
      <c r="I601">
        <f>IF(COUNTIFS('United Data'!$A$3:$A$2150,I$1,'United Data'!$C$3:$C$2150,$A601,'United Data'!$B$3:$B$2150,"&lt;&gt;P")&gt;0,1,0)</f>
        <v>0</v>
      </c>
      <c r="J601">
        <f>IF(COUNTIFS('United Data'!$A$3:$A$2150,J$1,'United Data'!$C$3:$C$2150,$A601,'United Data'!$B$3:$B$2150,"&lt;&gt;P")&gt;0,1,0)</f>
        <v>0</v>
      </c>
      <c r="K601">
        <f>IF(COUNTIFS('United Data'!$A$3:$A$2150,K$1,'United Data'!$C$3:$C$2150,$A601,'United Data'!$B$3:$B$2150,"&lt;&gt;P")&gt;0,1,0)</f>
        <v>0</v>
      </c>
      <c r="L601">
        <f>IF(COUNTIFS('United Data'!$A$3:$A$2150,L$1,'United Data'!$C$3:$C$2150,$A601,'United Data'!$B$3:$B$2150,"&lt;&gt;P")&gt;0,1,0)</f>
        <v>0</v>
      </c>
      <c r="M601">
        <f>IF(COUNTIFS('United Data'!$A$3:$A$2150,M$1,'United Data'!$C$3:$C$2150,$A601,'United Data'!$B$3:$B$2150,"&lt;&gt;P")&gt;0,1,0)</f>
        <v>0</v>
      </c>
      <c r="N601">
        <f>IF(COUNTIFS('United Data'!$A$3:$A$2150,N$1,'United Data'!$C$3:$C$2150,$A601,'United Data'!$B$3:$B$2150,"&lt;&gt;P")&gt;0,1,0)</f>
        <v>0</v>
      </c>
      <c r="O601">
        <f>IF(COUNTIFS('United Data'!$A$3:$A$2150,O$1,'United Data'!$C$3:$C$2150,$A601,'United Data'!$B$3:$B$2150,"&lt;&gt;P")&gt;0,1,0)</f>
        <v>0</v>
      </c>
      <c r="P601">
        <f>IF(COUNTIFS('United Data'!$A$3:$A$2150,P$1,'United Data'!$C$3:$C$2150,$A601,'United Data'!$B$3:$B$2150,"&lt;&gt;P")&gt;0,1,0)</f>
        <v>0</v>
      </c>
      <c r="Q601">
        <f>IF(COUNTIFS('United Data'!$A$3:$A$2150,Q$1,'United Data'!$C$3:$C$2150,$A601,'United Data'!$B$3:$B$2150,"&lt;&gt;P")&gt;0,1,0)</f>
        <v>0</v>
      </c>
      <c r="R601">
        <f>IF(COUNTIFS('United Data'!$A$3:$A$2150,R$1,'United Data'!$C$3:$C$2150,$A601,'United Data'!$B$3:$B$2150,"&lt;&gt;P")&gt;0,1,0)</f>
        <v>0</v>
      </c>
      <c r="S601">
        <f t="shared" si="18"/>
        <v>1</v>
      </c>
      <c r="T601">
        <f t="shared" si="19"/>
        <v>1</v>
      </c>
    </row>
    <row r="602" spans="1:20" x14ac:dyDescent="0.2">
      <c r="A602" t="s">
        <v>647</v>
      </c>
      <c r="B602">
        <f>IF(COUNTIFS('United Data'!$A$3:$A$2150,B$1,'United Data'!$C$3:$C$2150,$A602,'United Data'!$B$3:$B$2150,"&lt;&gt;P")&gt;0,1,0)</f>
        <v>0</v>
      </c>
      <c r="C602">
        <f>IF(COUNTIFS('United Data'!$A$3:$A$2150,C$1,'United Data'!$C$3:$C$2150,$A602,'United Data'!$B$3:$B$2150,"&lt;&gt;P")&gt;0,1,0)</f>
        <v>0</v>
      </c>
      <c r="D602">
        <f>IF(COUNTIFS('United Data'!$A$3:$A$2150,D$1,'United Data'!$C$3:$C$2150,$A602,'United Data'!$B$3:$B$2150,"&lt;&gt;P")&gt;0,1,0)</f>
        <v>0</v>
      </c>
      <c r="E602">
        <f>IF(COUNTIFS('United Data'!$A$3:$A$2150,E$1,'United Data'!$C$3:$C$2150,$A602,'United Data'!$B$3:$B$2150,"&lt;&gt;P")&gt;0,1,0)</f>
        <v>0</v>
      </c>
      <c r="F602">
        <f>IF(COUNTIFS('United Data'!$A$3:$A$2150,F$1,'United Data'!$C$3:$C$2150,$A602,'United Data'!$B$3:$B$2150,"&lt;&gt;P")&gt;0,1,0)</f>
        <v>1</v>
      </c>
      <c r="G602">
        <f>IF(COUNTIFS('United Data'!$A$3:$A$2150,G$1,'United Data'!$C$3:$C$2150,$A602,'United Data'!$B$3:$B$2150,"&lt;&gt;P")&gt;0,1,0)</f>
        <v>0</v>
      </c>
      <c r="H602">
        <f>IF(COUNTIFS('United Data'!$A$3:$A$2150,H$1,'United Data'!$C$3:$C$2150,$A602,'United Data'!$B$3:$B$2150,"&lt;&gt;P")&gt;0,1,0)</f>
        <v>0</v>
      </c>
      <c r="I602">
        <f>IF(COUNTIFS('United Data'!$A$3:$A$2150,I$1,'United Data'!$C$3:$C$2150,$A602,'United Data'!$B$3:$B$2150,"&lt;&gt;P")&gt;0,1,0)</f>
        <v>0</v>
      </c>
      <c r="J602">
        <f>IF(COUNTIFS('United Data'!$A$3:$A$2150,J$1,'United Data'!$C$3:$C$2150,$A602,'United Data'!$B$3:$B$2150,"&lt;&gt;P")&gt;0,1,0)</f>
        <v>0</v>
      </c>
      <c r="K602">
        <f>IF(COUNTIFS('United Data'!$A$3:$A$2150,K$1,'United Data'!$C$3:$C$2150,$A602,'United Data'!$B$3:$B$2150,"&lt;&gt;P")&gt;0,1,0)</f>
        <v>0</v>
      </c>
      <c r="L602">
        <f>IF(COUNTIFS('United Data'!$A$3:$A$2150,L$1,'United Data'!$C$3:$C$2150,$A602,'United Data'!$B$3:$B$2150,"&lt;&gt;P")&gt;0,1,0)</f>
        <v>0</v>
      </c>
      <c r="M602">
        <f>IF(COUNTIFS('United Data'!$A$3:$A$2150,M$1,'United Data'!$C$3:$C$2150,$A602,'United Data'!$B$3:$B$2150,"&lt;&gt;P")&gt;0,1,0)</f>
        <v>0</v>
      </c>
      <c r="N602">
        <f>IF(COUNTIFS('United Data'!$A$3:$A$2150,N$1,'United Data'!$C$3:$C$2150,$A602,'United Data'!$B$3:$B$2150,"&lt;&gt;P")&gt;0,1,0)</f>
        <v>0</v>
      </c>
      <c r="O602">
        <f>IF(COUNTIFS('United Data'!$A$3:$A$2150,O$1,'United Data'!$C$3:$C$2150,$A602,'United Data'!$B$3:$B$2150,"&lt;&gt;P")&gt;0,1,0)</f>
        <v>0</v>
      </c>
      <c r="P602">
        <f>IF(COUNTIFS('United Data'!$A$3:$A$2150,P$1,'United Data'!$C$3:$C$2150,$A602,'United Data'!$B$3:$B$2150,"&lt;&gt;P")&gt;0,1,0)</f>
        <v>0</v>
      </c>
      <c r="Q602">
        <f>IF(COUNTIFS('United Data'!$A$3:$A$2150,Q$1,'United Data'!$C$3:$C$2150,$A602,'United Data'!$B$3:$B$2150,"&lt;&gt;P")&gt;0,1,0)</f>
        <v>0</v>
      </c>
      <c r="R602">
        <f>IF(COUNTIFS('United Data'!$A$3:$A$2150,R$1,'United Data'!$C$3:$C$2150,$A602,'United Data'!$B$3:$B$2150,"&lt;&gt;P")&gt;0,1,0)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648</v>
      </c>
      <c r="B603">
        <f>IF(COUNTIFS('United Data'!$A$3:$A$2150,B$1,'United Data'!$C$3:$C$2150,$A603,'United Data'!$B$3:$B$2150,"&lt;&gt;P")&gt;0,1,0)</f>
        <v>0</v>
      </c>
      <c r="C603">
        <f>IF(COUNTIFS('United Data'!$A$3:$A$2150,C$1,'United Data'!$C$3:$C$2150,$A603,'United Data'!$B$3:$B$2150,"&lt;&gt;P")&gt;0,1,0)</f>
        <v>0</v>
      </c>
      <c r="D603">
        <f>IF(COUNTIFS('United Data'!$A$3:$A$2150,D$1,'United Data'!$C$3:$C$2150,$A603,'United Data'!$B$3:$B$2150,"&lt;&gt;P")&gt;0,1,0)</f>
        <v>0</v>
      </c>
      <c r="E603">
        <f>IF(COUNTIFS('United Data'!$A$3:$A$2150,E$1,'United Data'!$C$3:$C$2150,$A603,'United Data'!$B$3:$B$2150,"&lt;&gt;P")&gt;0,1,0)</f>
        <v>0</v>
      </c>
      <c r="F603">
        <f>IF(COUNTIFS('United Data'!$A$3:$A$2150,F$1,'United Data'!$C$3:$C$2150,$A603,'United Data'!$B$3:$B$2150,"&lt;&gt;P")&gt;0,1,0)</f>
        <v>0</v>
      </c>
      <c r="G603">
        <f>IF(COUNTIFS('United Data'!$A$3:$A$2150,G$1,'United Data'!$C$3:$C$2150,$A603,'United Data'!$B$3:$B$2150,"&lt;&gt;P")&gt;0,1,0)</f>
        <v>1</v>
      </c>
      <c r="H603">
        <f>IF(COUNTIFS('United Data'!$A$3:$A$2150,H$1,'United Data'!$C$3:$C$2150,$A603,'United Data'!$B$3:$B$2150,"&lt;&gt;P")&gt;0,1,0)</f>
        <v>0</v>
      </c>
      <c r="I603">
        <f>IF(COUNTIFS('United Data'!$A$3:$A$2150,I$1,'United Data'!$C$3:$C$2150,$A603,'United Data'!$B$3:$B$2150,"&lt;&gt;P")&gt;0,1,0)</f>
        <v>0</v>
      </c>
      <c r="J603">
        <f>IF(COUNTIFS('United Data'!$A$3:$A$2150,J$1,'United Data'!$C$3:$C$2150,$A603,'United Data'!$B$3:$B$2150,"&lt;&gt;P")&gt;0,1,0)</f>
        <v>0</v>
      </c>
      <c r="K603">
        <f>IF(COUNTIFS('United Data'!$A$3:$A$2150,K$1,'United Data'!$C$3:$C$2150,$A603,'United Data'!$B$3:$B$2150,"&lt;&gt;P")&gt;0,1,0)</f>
        <v>0</v>
      </c>
      <c r="L603">
        <f>IF(COUNTIFS('United Data'!$A$3:$A$2150,L$1,'United Data'!$C$3:$C$2150,$A603,'United Data'!$B$3:$B$2150,"&lt;&gt;P")&gt;0,1,0)</f>
        <v>0</v>
      </c>
      <c r="M603">
        <f>IF(COUNTIFS('United Data'!$A$3:$A$2150,M$1,'United Data'!$C$3:$C$2150,$A603,'United Data'!$B$3:$B$2150,"&lt;&gt;P")&gt;0,1,0)</f>
        <v>0</v>
      </c>
      <c r="N603">
        <f>IF(COUNTIFS('United Data'!$A$3:$A$2150,N$1,'United Data'!$C$3:$C$2150,$A603,'United Data'!$B$3:$B$2150,"&lt;&gt;P")&gt;0,1,0)</f>
        <v>0</v>
      </c>
      <c r="O603">
        <f>IF(COUNTIFS('United Data'!$A$3:$A$2150,O$1,'United Data'!$C$3:$C$2150,$A603,'United Data'!$B$3:$B$2150,"&lt;&gt;P")&gt;0,1,0)</f>
        <v>0</v>
      </c>
      <c r="P603">
        <f>IF(COUNTIFS('United Data'!$A$3:$A$2150,P$1,'United Data'!$C$3:$C$2150,$A603,'United Data'!$B$3:$B$2150,"&lt;&gt;P")&gt;0,1,0)</f>
        <v>0</v>
      </c>
      <c r="Q603">
        <f>IF(COUNTIFS('United Data'!$A$3:$A$2150,Q$1,'United Data'!$C$3:$C$2150,$A603,'United Data'!$B$3:$B$2150,"&lt;&gt;P")&gt;0,1,0)</f>
        <v>0</v>
      </c>
      <c r="R603">
        <f>IF(COUNTIFS('United Data'!$A$3:$A$2150,R$1,'United Data'!$C$3:$C$2150,$A603,'United Data'!$B$3:$B$2150,"&lt;&gt;P")&gt;0,1,0)</f>
        <v>0</v>
      </c>
      <c r="S603">
        <f t="shared" si="18"/>
        <v>1</v>
      </c>
      <c r="T603">
        <f t="shared" si="19"/>
        <v>1</v>
      </c>
    </row>
    <row r="604" spans="1:20" x14ac:dyDescent="0.2">
      <c r="A604" t="s">
        <v>649</v>
      </c>
      <c r="B604">
        <f>IF(COUNTIFS('United Data'!$A$3:$A$2150,B$1,'United Data'!$C$3:$C$2150,$A604,'United Data'!$B$3:$B$2150,"&lt;&gt;P")&gt;0,1,0)</f>
        <v>0</v>
      </c>
      <c r="C604">
        <f>IF(COUNTIFS('United Data'!$A$3:$A$2150,C$1,'United Data'!$C$3:$C$2150,$A604,'United Data'!$B$3:$B$2150,"&lt;&gt;P")&gt;0,1,0)</f>
        <v>0</v>
      </c>
      <c r="D604">
        <f>IF(COUNTIFS('United Data'!$A$3:$A$2150,D$1,'United Data'!$C$3:$C$2150,$A604,'United Data'!$B$3:$B$2150,"&lt;&gt;P")&gt;0,1,0)</f>
        <v>0</v>
      </c>
      <c r="E604">
        <f>IF(COUNTIFS('United Data'!$A$3:$A$2150,E$1,'United Data'!$C$3:$C$2150,$A604,'United Data'!$B$3:$B$2150,"&lt;&gt;P")&gt;0,1,0)</f>
        <v>0</v>
      </c>
      <c r="F604">
        <f>IF(COUNTIFS('United Data'!$A$3:$A$2150,F$1,'United Data'!$C$3:$C$2150,$A604,'United Data'!$B$3:$B$2150,"&lt;&gt;P")&gt;0,1,0)</f>
        <v>0</v>
      </c>
      <c r="G604">
        <f>IF(COUNTIFS('United Data'!$A$3:$A$2150,G$1,'United Data'!$C$3:$C$2150,$A604,'United Data'!$B$3:$B$2150,"&lt;&gt;P")&gt;0,1,0)</f>
        <v>1</v>
      </c>
      <c r="H604">
        <f>IF(COUNTIFS('United Data'!$A$3:$A$2150,H$1,'United Data'!$C$3:$C$2150,$A604,'United Data'!$B$3:$B$2150,"&lt;&gt;P")&gt;0,1,0)</f>
        <v>0</v>
      </c>
      <c r="I604">
        <f>IF(COUNTIFS('United Data'!$A$3:$A$2150,I$1,'United Data'!$C$3:$C$2150,$A604,'United Data'!$B$3:$B$2150,"&lt;&gt;P")&gt;0,1,0)</f>
        <v>0</v>
      </c>
      <c r="J604">
        <f>IF(COUNTIFS('United Data'!$A$3:$A$2150,J$1,'United Data'!$C$3:$C$2150,$A604,'United Data'!$B$3:$B$2150,"&lt;&gt;P")&gt;0,1,0)</f>
        <v>0</v>
      </c>
      <c r="K604">
        <f>IF(COUNTIFS('United Data'!$A$3:$A$2150,K$1,'United Data'!$C$3:$C$2150,$A604,'United Data'!$B$3:$B$2150,"&lt;&gt;P")&gt;0,1,0)</f>
        <v>0</v>
      </c>
      <c r="L604">
        <f>IF(COUNTIFS('United Data'!$A$3:$A$2150,L$1,'United Data'!$C$3:$C$2150,$A604,'United Data'!$B$3:$B$2150,"&lt;&gt;P")&gt;0,1,0)</f>
        <v>0</v>
      </c>
      <c r="M604">
        <f>IF(COUNTIFS('United Data'!$A$3:$A$2150,M$1,'United Data'!$C$3:$C$2150,$A604,'United Data'!$B$3:$B$2150,"&lt;&gt;P")&gt;0,1,0)</f>
        <v>0</v>
      </c>
      <c r="N604">
        <f>IF(COUNTIFS('United Data'!$A$3:$A$2150,N$1,'United Data'!$C$3:$C$2150,$A604,'United Data'!$B$3:$B$2150,"&lt;&gt;P")&gt;0,1,0)</f>
        <v>0</v>
      </c>
      <c r="O604">
        <f>IF(COUNTIFS('United Data'!$A$3:$A$2150,O$1,'United Data'!$C$3:$C$2150,$A604,'United Data'!$B$3:$B$2150,"&lt;&gt;P")&gt;0,1,0)</f>
        <v>0</v>
      </c>
      <c r="P604">
        <f>IF(COUNTIFS('United Data'!$A$3:$A$2150,P$1,'United Data'!$C$3:$C$2150,$A604,'United Data'!$B$3:$B$2150,"&lt;&gt;P")&gt;0,1,0)</f>
        <v>0</v>
      </c>
      <c r="Q604">
        <f>IF(COUNTIFS('United Data'!$A$3:$A$2150,Q$1,'United Data'!$C$3:$C$2150,$A604,'United Data'!$B$3:$B$2150,"&lt;&gt;P")&gt;0,1,0)</f>
        <v>0</v>
      </c>
      <c r="R604">
        <f>IF(COUNTIFS('United Data'!$A$3:$A$2150,R$1,'United Data'!$C$3:$C$2150,$A604,'United Data'!$B$3:$B$2150,"&lt;&gt;P")&gt;0,1,0)</f>
        <v>0</v>
      </c>
      <c r="S604">
        <f t="shared" si="18"/>
        <v>1</v>
      </c>
      <c r="T604">
        <f t="shared" si="19"/>
        <v>1</v>
      </c>
    </row>
    <row r="605" spans="1:20" x14ac:dyDescent="0.2">
      <c r="A605" t="s">
        <v>650</v>
      </c>
      <c r="B605">
        <f>IF(COUNTIFS('United Data'!$A$3:$A$2150,B$1,'United Data'!$C$3:$C$2150,$A605,'United Data'!$B$3:$B$2150,"&lt;&gt;P")&gt;0,1,0)</f>
        <v>0</v>
      </c>
      <c r="C605">
        <f>IF(COUNTIFS('United Data'!$A$3:$A$2150,C$1,'United Data'!$C$3:$C$2150,$A605,'United Data'!$B$3:$B$2150,"&lt;&gt;P")&gt;0,1,0)</f>
        <v>0</v>
      </c>
      <c r="D605">
        <f>IF(COUNTIFS('United Data'!$A$3:$A$2150,D$1,'United Data'!$C$3:$C$2150,$A605,'United Data'!$B$3:$B$2150,"&lt;&gt;P")&gt;0,1,0)</f>
        <v>0</v>
      </c>
      <c r="E605">
        <f>IF(COUNTIFS('United Data'!$A$3:$A$2150,E$1,'United Data'!$C$3:$C$2150,$A605,'United Data'!$B$3:$B$2150,"&lt;&gt;P")&gt;0,1,0)</f>
        <v>0</v>
      </c>
      <c r="F605">
        <f>IF(COUNTIFS('United Data'!$A$3:$A$2150,F$1,'United Data'!$C$3:$C$2150,$A605,'United Data'!$B$3:$B$2150,"&lt;&gt;P")&gt;0,1,0)</f>
        <v>0</v>
      </c>
      <c r="G605">
        <f>IF(COUNTIFS('United Data'!$A$3:$A$2150,G$1,'United Data'!$C$3:$C$2150,$A605,'United Data'!$B$3:$B$2150,"&lt;&gt;P")&gt;0,1,0)</f>
        <v>1</v>
      </c>
      <c r="H605">
        <f>IF(COUNTIFS('United Data'!$A$3:$A$2150,H$1,'United Data'!$C$3:$C$2150,$A605,'United Data'!$B$3:$B$2150,"&lt;&gt;P")&gt;0,1,0)</f>
        <v>1</v>
      </c>
      <c r="I605">
        <f>IF(COUNTIFS('United Data'!$A$3:$A$2150,I$1,'United Data'!$C$3:$C$2150,$A605,'United Data'!$B$3:$B$2150,"&lt;&gt;P")&gt;0,1,0)</f>
        <v>0</v>
      </c>
      <c r="J605">
        <f>IF(COUNTIFS('United Data'!$A$3:$A$2150,J$1,'United Data'!$C$3:$C$2150,$A605,'United Data'!$B$3:$B$2150,"&lt;&gt;P")&gt;0,1,0)</f>
        <v>0</v>
      </c>
      <c r="K605">
        <f>IF(COUNTIFS('United Data'!$A$3:$A$2150,K$1,'United Data'!$C$3:$C$2150,$A605,'United Data'!$B$3:$B$2150,"&lt;&gt;P")&gt;0,1,0)</f>
        <v>0</v>
      </c>
      <c r="L605">
        <f>IF(COUNTIFS('United Data'!$A$3:$A$2150,L$1,'United Data'!$C$3:$C$2150,$A605,'United Data'!$B$3:$B$2150,"&lt;&gt;P")&gt;0,1,0)</f>
        <v>0</v>
      </c>
      <c r="M605">
        <f>IF(COUNTIFS('United Data'!$A$3:$A$2150,M$1,'United Data'!$C$3:$C$2150,$A605,'United Data'!$B$3:$B$2150,"&lt;&gt;P")&gt;0,1,0)</f>
        <v>0</v>
      </c>
      <c r="N605">
        <f>IF(COUNTIFS('United Data'!$A$3:$A$2150,N$1,'United Data'!$C$3:$C$2150,$A605,'United Data'!$B$3:$B$2150,"&lt;&gt;P")&gt;0,1,0)</f>
        <v>0</v>
      </c>
      <c r="O605">
        <f>IF(COUNTIFS('United Data'!$A$3:$A$2150,O$1,'United Data'!$C$3:$C$2150,$A605,'United Data'!$B$3:$B$2150,"&lt;&gt;P")&gt;0,1,0)</f>
        <v>0</v>
      </c>
      <c r="P605">
        <f>IF(COUNTIFS('United Data'!$A$3:$A$2150,P$1,'United Data'!$C$3:$C$2150,$A605,'United Data'!$B$3:$B$2150,"&lt;&gt;P")&gt;0,1,0)</f>
        <v>0</v>
      </c>
      <c r="Q605">
        <f>IF(COUNTIFS('United Data'!$A$3:$A$2150,Q$1,'United Data'!$C$3:$C$2150,$A605,'United Data'!$B$3:$B$2150,"&lt;&gt;P")&gt;0,1,0)</f>
        <v>0</v>
      </c>
      <c r="R605">
        <f>IF(COUNTIFS('United Data'!$A$3:$A$2150,R$1,'United Data'!$C$3:$C$2150,$A605,'United Data'!$B$3:$B$2150,"&lt;&gt;P")&gt;0,1,0)</f>
        <v>0</v>
      </c>
      <c r="S605">
        <f t="shared" si="18"/>
        <v>2</v>
      </c>
      <c r="T605">
        <f t="shared" si="19"/>
        <v>1</v>
      </c>
    </row>
    <row r="606" spans="1:20" x14ac:dyDescent="0.2">
      <c r="A606" t="s">
        <v>651</v>
      </c>
      <c r="B606">
        <f>IF(COUNTIFS('United Data'!$A$3:$A$2150,B$1,'United Data'!$C$3:$C$2150,$A606,'United Data'!$B$3:$B$2150,"&lt;&gt;P")&gt;0,1,0)</f>
        <v>0</v>
      </c>
      <c r="C606">
        <f>IF(COUNTIFS('United Data'!$A$3:$A$2150,C$1,'United Data'!$C$3:$C$2150,$A606,'United Data'!$B$3:$B$2150,"&lt;&gt;P")&gt;0,1,0)</f>
        <v>0</v>
      </c>
      <c r="D606">
        <f>IF(COUNTIFS('United Data'!$A$3:$A$2150,D$1,'United Data'!$C$3:$C$2150,$A606,'United Data'!$B$3:$B$2150,"&lt;&gt;P")&gt;0,1,0)</f>
        <v>0</v>
      </c>
      <c r="E606">
        <f>IF(COUNTIFS('United Data'!$A$3:$A$2150,E$1,'United Data'!$C$3:$C$2150,$A606,'United Data'!$B$3:$B$2150,"&lt;&gt;P")&gt;0,1,0)</f>
        <v>0</v>
      </c>
      <c r="F606">
        <f>IF(COUNTIFS('United Data'!$A$3:$A$2150,F$1,'United Data'!$C$3:$C$2150,$A606,'United Data'!$B$3:$B$2150,"&lt;&gt;P")&gt;0,1,0)</f>
        <v>0</v>
      </c>
      <c r="G606">
        <f>IF(COUNTIFS('United Data'!$A$3:$A$2150,G$1,'United Data'!$C$3:$C$2150,$A606,'United Data'!$B$3:$B$2150,"&lt;&gt;P")&gt;0,1,0)</f>
        <v>0</v>
      </c>
      <c r="H606">
        <f>IF(COUNTIFS('United Data'!$A$3:$A$2150,H$1,'United Data'!$C$3:$C$2150,$A606,'United Data'!$B$3:$B$2150,"&lt;&gt;P")&gt;0,1,0)</f>
        <v>1</v>
      </c>
      <c r="I606">
        <f>IF(COUNTIFS('United Data'!$A$3:$A$2150,I$1,'United Data'!$C$3:$C$2150,$A606,'United Data'!$B$3:$B$2150,"&lt;&gt;P")&gt;0,1,0)</f>
        <v>0</v>
      </c>
      <c r="J606">
        <f>IF(COUNTIFS('United Data'!$A$3:$A$2150,J$1,'United Data'!$C$3:$C$2150,$A606,'United Data'!$B$3:$B$2150,"&lt;&gt;P")&gt;0,1,0)</f>
        <v>0</v>
      </c>
      <c r="K606">
        <f>IF(COUNTIFS('United Data'!$A$3:$A$2150,K$1,'United Data'!$C$3:$C$2150,$A606,'United Data'!$B$3:$B$2150,"&lt;&gt;P")&gt;0,1,0)</f>
        <v>0</v>
      </c>
      <c r="L606">
        <f>IF(COUNTIFS('United Data'!$A$3:$A$2150,L$1,'United Data'!$C$3:$C$2150,$A606,'United Data'!$B$3:$B$2150,"&lt;&gt;P")&gt;0,1,0)</f>
        <v>0</v>
      </c>
      <c r="M606">
        <f>IF(COUNTIFS('United Data'!$A$3:$A$2150,M$1,'United Data'!$C$3:$C$2150,$A606,'United Data'!$B$3:$B$2150,"&lt;&gt;P")&gt;0,1,0)</f>
        <v>0</v>
      </c>
      <c r="N606">
        <f>IF(COUNTIFS('United Data'!$A$3:$A$2150,N$1,'United Data'!$C$3:$C$2150,$A606,'United Data'!$B$3:$B$2150,"&lt;&gt;P")&gt;0,1,0)</f>
        <v>0</v>
      </c>
      <c r="O606">
        <f>IF(COUNTIFS('United Data'!$A$3:$A$2150,O$1,'United Data'!$C$3:$C$2150,$A606,'United Data'!$B$3:$B$2150,"&lt;&gt;P")&gt;0,1,0)</f>
        <v>0</v>
      </c>
      <c r="P606">
        <f>IF(COUNTIFS('United Data'!$A$3:$A$2150,P$1,'United Data'!$C$3:$C$2150,$A606,'United Data'!$B$3:$B$2150,"&lt;&gt;P")&gt;0,1,0)</f>
        <v>0</v>
      </c>
      <c r="Q606">
        <f>IF(COUNTIFS('United Data'!$A$3:$A$2150,Q$1,'United Data'!$C$3:$C$2150,$A606,'United Data'!$B$3:$B$2150,"&lt;&gt;P")&gt;0,1,0)</f>
        <v>0</v>
      </c>
      <c r="R606">
        <f>IF(COUNTIFS('United Data'!$A$3:$A$2150,R$1,'United Data'!$C$3:$C$2150,$A606,'United Data'!$B$3:$B$2150,"&lt;&gt;P")&gt;0,1,0)</f>
        <v>0</v>
      </c>
      <c r="S606">
        <f t="shared" si="18"/>
        <v>1</v>
      </c>
      <c r="T606">
        <f t="shared" si="19"/>
        <v>1</v>
      </c>
    </row>
    <row r="607" spans="1:20" x14ac:dyDescent="0.2">
      <c r="A607" t="s">
        <v>652</v>
      </c>
      <c r="B607">
        <f>IF(COUNTIFS('United Data'!$A$3:$A$2150,B$1,'United Data'!$C$3:$C$2150,$A607,'United Data'!$B$3:$B$2150,"&lt;&gt;P")&gt;0,1,0)</f>
        <v>0</v>
      </c>
      <c r="C607">
        <f>IF(COUNTIFS('United Data'!$A$3:$A$2150,C$1,'United Data'!$C$3:$C$2150,$A607,'United Data'!$B$3:$B$2150,"&lt;&gt;P")&gt;0,1,0)</f>
        <v>0</v>
      </c>
      <c r="D607">
        <f>IF(COUNTIFS('United Data'!$A$3:$A$2150,D$1,'United Data'!$C$3:$C$2150,$A607,'United Data'!$B$3:$B$2150,"&lt;&gt;P")&gt;0,1,0)</f>
        <v>0</v>
      </c>
      <c r="E607">
        <f>IF(COUNTIFS('United Data'!$A$3:$A$2150,E$1,'United Data'!$C$3:$C$2150,$A607,'United Data'!$B$3:$B$2150,"&lt;&gt;P")&gt;0,1,0)</f>
        <v>0</v>
      </c>
      <c r="F607">
        <f>IF(COUNTIFS('United Data'!$A$3:$A$2150,F$1,'United Data'!$C$3:$C$2150,$A607,'United Data'!$B$3:$B$2150,"&lt;&gt;P")&gt;0,1,0)</f>
        <v>0</v>
      </c>
      <c r="G607">
        <f>IF(COUNTIFS('United Data'!$A$3:$A$2150,G$1,'United Data'!$C$3:$C$2150,$A607,'United Data'!$B$3:$B$2150,"&lt;&gt;P")&gt;0,1,0)</f>
        <v>0</v>
      </c>
      <c r="H607">
        <f>IF(COUNTIFS('United Data'!$A$3:$A$2150,H$1,'United Data'!$C$3:$C$2150,$A607,'United Data'!$B$3:$B$2150,"&lt;&gt;P")&gt;0,1,0)</f>
        <v>1</v>
      </c>
      <c r="I607">
        <f>IF(COUNTIFS('United Data'!$A$3:$A$2150,I$1,'United Data'!$C$3:$C$2150,$A607,'United Data'!$B$3:$B$2150,"&lt;&gt;P")&gt;0,1,0)</f>
        <v>1</v>
      </c>
      <c r="J607">
        <f>IF(COUNTIFS('United Data'!$A$3:$A$2150,J$1,'United Data'!$C$3:$C$2150,$A607,'United Data'!$B$3:$B$2150,"&lt;&gt;P")&gt;0,1,0)</f>
        <v>0</v>
      </c>
      <c r="K607">
        <f>IF(COUNTIFS('United Data'!$A$3:$A$2150,K$1,'United Data'!$C$3:$C$2150,$A607,'United Data'!$B$3:$B$2150,"&lt;&gt;P")&gt;0,1,0)</f>
        <v>0</v>
      </c>
      <c r="L607">
        <f>IF(COUNTIFS('United Data'!$A$3:$A$2150,L$1,'United Data'!$C$3:$C$2150,$A607,'United Data'!$B$3:$B$2150,"&lt;&gt;P")&gt;0,1,0)</f>
        <v>0</v>
      </c>
      <c r="M607">
        <f>IF(COUNTIFS('United Data'!$A$3:$A$2150,M$1,'United Data'!$C$3:$C$2150,$A607,'United Data'!$B$3:$B$2150,"&lt;&gt;P")&gt;0,1,0)</f>
        <v>0</v>
      </c>
      <c r="N607">
        <f>IF(COUNTIFS('United Data'!$A$3:$A$2150,N$1,'United Data'!$C$3:$C$2150,$A607,'United Data'!$B$3:$B$2150,"&lt;&gt;P")&gt;0,1,0)</f>
        <v>0</v>
      </c>
      <c r="O607">
        <f>IF(COUNTIFS('United Data'!$A$3:$A$2150,O$1,'United Data'!$C$3:$C$2150,$A607,'United Data'!$B$3:$B$2150,"&lt;&gt;P")&gt;0,1,0)</f>
        <v>0</v>
      </c>
      <c r="P607">
        <f>IF(COUNTIFS('United Data'!$A$3:$A$2150,P$1,'United Data'!$C$3:$C$2150,$A607,'United Data'!$B$3:$B$2150,"&lt;&gt;P")&gt;0,1,0)</f>
        <v>0</v>
      </c>
      <c r="Q607">
        <f>IF(COUNTIFS('United Data'!$A$3:$A$2150,Q$1,'United Data'!$C$3:$C$2150,$A607,'United Data'!$B$3:$B$2150,"&lt;&gt;P")&gt;0,1,0)</f>
        <v>0</v>
      </c>
      <c r="R607">
        <f>IF(COUNTIFS('United Data'!$A$3:$A$2150,R$1,'United Data'!$C$3:$C$2150,$A607,'United Data'!$B$3:$B$2150,"&lt;&gt;P")&gt;0,1,0)</f>
        <v>0</v>
      </c>
      <c r="S607">
        <f t="shared" si="18"/>
        <v>2</v>
      </c>
      <c r="T607">
        <f t="shared" si="19"/>
        <v>1</v>
      </c>
    </row>
    <row r="608" spans="1:20" x14ac:dyDescent="0.2">
      <c r="A608" t="s">
        <v>654</v>
      </c>
      <c r="B608">
        <f>IF(COUNTIFS('United Data'!$A$3:$A$2150,B$1,'United Data'!$C$3:$C$2150,$A608,'United Data'!$B$3:$B$2150,"&lt;&gt;P")&gt;0,1,0)</f>
        <v>0</v>
      </c>
      <c r="C608">
        <f>IF(COUNTIFS('United Data'!$A$3:$A$2150,C$1,'United Data'!$C$3:$C$2150,$A608,'United Data'!$B$3:$B$2150,"&lt;&gt;P")&gt;0,1,0)</f>
        <v>0</v>
      </c>
      <c r="D608">
        <f>IF(COUNTIFS('United Data'!$A$3:$A$2150,D$1,'United Data'!$C$3:$C$2150,$A608,'United Data'!$B$3:$B$2150,"&lt;&gt;P")&gt;0,1,0)</f>
        <v>0</v>
      </c>
      <c r="E608">
        <f>IF(COUNTIFS('United Data'!$A$3:$A$2150,E$1,'United Data'!$C$3:$C$2150,$A608,'United Data'!$B$3:$B$2150,"&lt;&gt;P")&gt;0,1,0)</f>
        <v>0</v>
      </c>
      <c r="F608">
        <f>IF(COUNTIFS('United Data'!$A$3:$A$2150,F$1,'United Data'!$C$3:$C$2150,$A608,'United Data'!$B$3:$B$2150,"&lt;&gt;P")&gt;0,1,0)</f>
        <v>0</v>
      </c>
      <c r="G608">
        <f>IF(COUNTIFS('United Data'!$A$3:$A$2150,G$1,'United Data'!$C$3:$C$2150,$A608,'United Data'!$B$3:$B$2150,"&lt;&gt;P")&gt;0,1,0)</f>
        <v>0</v>
      </c>
      <c r="H608">
        <f>IF(COUNTIFS('United Data'!$A$3:$A$2150,H$1,'United Data'!$C$3:$C$2150,$A608,'United Data'!$B$3:$B$2150,"&lt;&gt;P")&gt;0,1,0)</f>
        <v>0</v>
      </c>
      <c r="I608">
        <f>IF(COUNTIFS('United Data'!$A$3:$A$2150,I$1,'United Data'!$C$3:$C$2150,$A608,'United Data'!$B$3:$B$2150,"&lt;&gt;P")&gt;0,1,0)</f>
        <v>1</v>
      </c>
      <c r="J608">
        <f>IF(COUNTIFS('United Data'!$A$3:$A$2150,J$1,'United Data'!$C$3:$C$2150,$A608,'United Data'!$B$3:$B$2150,"&lt;&gt;P")&gt;0,1,0)</f>
        <v>0</v>
      </c>
      <c r="K608">
        <f>IF(COUNTIFS('United Data'!$A$3:$A$2150,K$1,'United Data'!$C$3:$C$2150,$A608,'United Data'!$B$3:$B$2150,"&lt;&gt;P")&gt;0,1,0)</f>
        <v>0</v>
      </c>
      <c r="L608">
        <f>IF(COUNTIFS('United Data'!$A$3:$A$2150,L$1,'United Data'!$C$3:$C$2150,$A608,'United Data'!$B$3:$B$2150,"&lt;&gt;P")&gt;0,1,0)</f>
        <v>0</v>
      </c>
      <c r="M608">
        <f>IF(COUNTIFS('United Data'!$A$3:$A$2150,M$1,'United Data'!$C$3:$C$2150,$A608,'United Data'!$B$3:$B$2150,"&lt;&gt;P")&gt;0,1,0)</f>
        <v>0</v>
      </c>
      <c r="N608">
        <f>IF(COUNTIFS('United Data'!$A$3:$A$2150,N$1,'United Data'!$C$3:$C$2150,$A608,'United Data'!$B$3:$B$2150,"&lt;&gt;P")&gt;0,1,0)</f>
        <v>0</v>
      </c>
      <c r="O608">
        <f>IF(COUNTIFS('United Data'!$A$3:$A$2150,O$1,'United Data'!$C$3:$C$2150,$A608,'United Data'!$B$3:$B$2150,"&lt;&gt;P")&gt;0,1,0)</f>
        <v>0</v>
      </c>
      <c r="P608">
        <f>IF(COUNTIFS('United Data'!$A$3:$A$2150,P$1,'United Data'!$C$3:$C$2150,$A608,'United Data'!$B$3:$B$2150,"&lt;&gt;P")&gt;0,1,0)</f>
        <v>0</v>
      </c>
      <c r="Q608">
        <f>IF(COUNTIFS('United Data'!$A$3:$A$2150,Q$1,'United Data'!$C$3:$C$2150,$A608,'United Data'!$B$3:$B$2150,"&lt;&gt;P")&gt;0,1,0)</f>
        <v>0</v>
      </c>
      <c r="R608">
        <f>IF(COUNTIFS('United Data'!$A$3:$A$2150,R$1,'United Data'!$C$3:$C$2150,$A608,'United Data'!$B$3:$B$2150,"&lt;&gt;P")&gt;0,1,0)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655</v>
      </c>
      <c r="B609">
        <f>IF(COUNTIFS('United Data'!$A$3:$A$2150,B$1,'United Data'!$C$3:$C$2150,$A609,'United Data'!$B$3:$B$2150,"&lt;&gt;P")&gt;0,1,0)</f>
        <v>0</v>
      </c>
      <c r="C609">
        <f>IF(COUNTIFS('United Data'!$A$3:$A$2150,C$1,'United Data'!$C$3:$C$2150,$A609,'United Data'!$B$3:$B$2150,"&lt;&gt;P")&gt;0,1,0)</f>
        <v>0</v>
      </c>
      <c r="D609">
        <f>IF(COUNTIFS('United Data'!$A$3:$A$2150,D$1,'United Data'!$C$3:$C$2150,$A609,'United Data'!$B$3:$B$2150,"&lt;&gt;P")&gt;0,1,0)</f>
        <v>0</v>
      </c>
      <c r="E609">
        <f>IF(COUNTIFS('United Data'!$A$3:$A$2150,E$1,'United Data'!$C$3:$C$2150,$A609,'United Data'!$B$3:$B$2150,"&lt;&gt;P")&gt;0,1,0)</f>
        <v>0</v>
      </c>
      <c r="F609">
        <f>IF(COUNTIFS('United Data'!$A$3:$A$2150,F$1,'United Data'!$C$3:$C$2150,$A609,'United Data'!$B$3:$B$2150,"&lt;&gt;P")&gt;0,1,0)</f>
        <v>0</v>
      </c>
      <c r="G609">
        <f>IF(COUNTIFS('United Data'!$A$3:$A$2150,G$1,'United Data'!$C$3:$C$2150,$A609,'United Data'!$B$3:$B$2150,"&lt;&gt;P")&gt;0,1,0)</f>
        <v>0</v>
      </c>
      <c r="H609">
        <f>IF(COUNTIFS('United Data'!$A$3:$A$2150,H$1,'United Data'!$C$3:$C$2150,$A609,'United Data'!$B$3:$B$2150,"&lt;&gt;P")&gt;0,1,0)</f>
        <v>0</v>
      </c>
      <c r="I609">
        <f>IF(COUNTIFS('United Data'!$A$3:$A$2150,I$1,'United Data'!$C$3:$C$2150,$A609,'United Data'!$B$3:$B$2150,"&lt;&gt;P")&gt;0,1,0)</f>
        <v>0</v>
      </c>
      <c r="J609">
        <f>IF(COUNTIFS('United Data'!$A$3:$A$2150,J$1,'United Data'!$C$3:$C$2150,$A609,'United Data'!$B$3:$B$2150,"&lt;&gt;P")&gt;0,1,0)</f>
        <v>1</v>
      </c>
      <c r="K609">
        <f>IF(COUNTIFS('United Data'!$A$3:$A$2150,K$1,'United Data'!$C$3:$C$2150,$A609,'United Data'!$B$3:$B$2150,"&lt;&gt;P")&gt;0,1,0)</f>
        <v>0</v>
      </c>
      <c r="L609">
        <f>IF(COUNTIFS('United Data'!$A$3:$A$2150,L$1,'United Data'!$C$3:$C$2150,$A609,'United Data'!$B$3:$B$2150,"&lt;&gt;P")&gt;0,1,0)</f>
        <v>0</v>
      </c>
      <c r="M609">
        <f>IF(COUNTIFS('United Data'!$A$3:$A$2150,M$1,'United Data'!$C$3:$C$2150,$A609,'United Data'!$B$3:$B$2150,"&lt;&gt;P")&gt;0,1,0)</f>
        <v>0</v>
      </c>
      <c r="N609">
        <f>IF(COUNTIFS('United Data'!$A$3:$A$2150,N$1,'United Data'!$C$3:$C$2150,$A609,'United Data'!$B$3:$B$2150,"&lt;&gt;P")&gt;0,1,0)</f>
        <v>0</v>
      </c>
      <c r="O609">
        <f>IF(COUNTIFS('United Data'!$A$3:$A$2150,O$1,'United Data'!$C$3:$C$2150,$A609,'United Data'!$B$3:$B$2150,"&lt;&gt;P")&gt;0,1,0)</f>
        <v>0</v>
      </c>
      <c r="P609">
        <f>IF(COUNTIFS('United Data'!$A$3:$A$2150,P$1,'United Data'!$C$3:$C$2150,$A609,'United Data'!$B$3:$B$2150,"&lt;&gt;P")&gt;0,1,0)</f>
        <v>0</v>
      </c>
      <c r="Q609">
        <f>IF(COUNTIFS('United Data'!$A$3:$A$2150,Q$1,'United Data'!$C$3:$C$2150,$A609,'United Data'!$B$3:$B$2150,"&lt;&gt;P")&gt;0,1,0)</f>
        <v>0</v>
      </c>
      <c r="R609">
        <f>IF(COUNTIFS('United Data'!$A$3:$A$2150,R$1,'United Data'!$C$3:$C$2150,$A609,'United Data'!$B$3:$B$2150,"&lt;&gt;P")&gt;0,1,0)</f>
        <v>0</v>
      </c>
      <c r="S609">
        <f t="shared" si="18"/>
        <v>1</v>
      </c>
      <c r="T609">
        <f t="shared" si="19"/>
        <v>1</v>
      </c>
    </row>
    <row r="610" spans="1:20" x14ac:dyDescent="0.2">
      <c r="A610" t="s">
        <v>656</v>
      </c>
      <c r="B610">
        <f>IF(COUNTIFS('United Data'!$A$3:$A$2150,B$1,'United Data'!$C$3:$C$2150,$A610,'United Data'!$B$3:$B$2150,"&lt;&gt;P")&gt;0,1,0)</f>
        <v>0</v>
      </c>
      <c r="C610">
        <f>IF(COUNTIFS('United Data'!$A$3:$A$2150,C$1,'United Data'!$C$3:$C$2150,$A610,'United Data'!$B$3:$B$2150,"&lt;&gt;P")&gt;0,1,0)</f>
        <v>0</v>
      </c>
      <c r="D610">
        <f>IF(COUNTIFS('United Data'!$A$3:$A$2150,D$1,'United Data'!$C$3:$C$2150,$A610,'United Data'!$B$3:$B$2150,"&lt;&gt;P")&gt;0,1,0)</f>
        <v>0</v>
      </c>
      <c r="E610">
        <f>IF(COUNTIFS('United Data'!$A$3:$A$2150,E$1,'United Data'!$C$3:$C$2150,$A610,'United Data'!$B$3:$B$2150,"&lt;&gt;P")&gt;0,1,0)</f>
        <v>0</v>
      </c>
      <c r="F610">
        <f>IF(COUNTIFS('United Data'!$A$3:$A$2150,F$1,'United Data'!$C$3:$C$2150,$A610,'United Data'!$B$3:$B$2150,"&lt;&gt;P")&gt;0,1,0)</f>
        <v>0</v>
      </c>
      <c r="G610">
        <f>IF(COUNTIFS('United Data'!$A$3:$A$2150,G$1,'United Data'!$C$3:$C$2150,$A610,'United Data'!$B$3:$B$2150,"&lt;&gt;P")&gt;0,1,0)</f>
        <v>0</v>
      </c>
      <c r="H610">
        <f>IF(COUNTIFS('United Data'!$A$3:$A$2150,H$1,'United Data'!$C$3:$C$2150,$A610,'United Data'!$B$3:$B$2150,"&lt;&gt;P")&gt;0,1,0)</f>
        <v>0</v>
      </c>
      <c r="I610">
        <f>IF(COUNTIFS('United Data'!$A$3:$A$2150,I$1,'United Data'!$C$3:$C$2150,$A610,'United Data'!$B$3:$B$2150,"&lt;&gt;P")&gt;0,1,0)</f>
        <v>0</v>
      </c>
      <c r="J610">
        <f>IF(COUNTIFS('United Data'!$A$3:$A$2150,J$1,'United Data'!$C$3:$C$2150,$A610,'United Data'!$B$3:$B$2150,"&lt;&gt;P")&gt;0,1,0)</f>
        <v>1</v>
      </c>
      <c r="K610">
        <f>IF(COUNTIFS('United Data'!$A$3:$A$2150,K$1,'United Data'!$C$3:$C$2150,$A610,'United Data'!$B$3:$B$2150,"&lt;&gt;P")&gt;0,1,0)</f>
        <v>0</v>
      </c>
      <c r="L610">
        <f>IF(COUNTIFS('United Data'!$A$3:$A$2150,L$1,'United Data'!$C$3:$C$2150,$A610,'United Data'!$B$3:$B$2150,"&lt;&gt;P")&gt;0,1,0)</f>
        <v>0</v>
      </c>
      <c r="M610">
        <f>IF(COUNTIFS('United Data'!$A$3:$A$2150,M$1,'United Data'!$C$3:$C$2150,$A610,'United Data'!$B$3:$B$2150,"&lt;&gt;P")&gt;0,1,0)</f>
        <v>0</v>
      </c>
      <c r="N610">
        <f>IF(COUNTIFS('United Data'!$A$3:$A$2150,N$1,'United Data'!$C$3:$C$2150,$A610,'United Data'!$B$3:$B$2150,"&lt;&gt;P")&gt;0,1,0)</f>
        <v>0</v>
      </c>
      <c r="O610">
        <f>IF(COUNTIFS('United Data'!$A$3:$A$2150,O$1,'United Data'!$C$3:$C$2150,$A610,'United Data'!$B$3:$B$2150,"&lt;&gt;P")&gt;0,1,0)</f>
        <v>0</v>
      </c>
      <c r="P610">
        <f>IF(COUNTIFS('United Data'!$A$3:$A$2150,P$1,'United Data'!$C$3:$C$2150,$A610,'United Data'!$B$3:$B$2150,"&lt;&gt;P")&gt;0,1,0)</f>
        <v>0</v>
      </c>
      <c r="Q610">
        <f>IF(COUNTIFS('United Data'!$A$3:$A$2150,Q$1,'United Data'!$C$3:$C$2150,$A610,'United Data'!$B$3:$B$2150,"&lt;&gt;P")&gt;0,1,0)</f>
        <v>0</v>
      </c>
      <c r="R610">
        <f>IF(COUNTIFS('United Data'!$A$3:$A$2150,R$1,'United Data'!$C$3:$C$2150,$A610,'United Data'!$B$3:$B$2150,"&lt;&gt;P")&gt;0,1,0)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657</v>
      </c>
      <c r="B611">
        <f>IF(COUNTIFS('United Data'!$A$3:$A$2150,B$1,'United Data'!$C$3:$C$2150,$A611,'United Data'!$B$3:$B$2150,"&lt;&gt;P")&gt;0,1,0)</f>
        <v>0</v>
      </c>
      <c r="C611">
        <f>IF(COUNTIFS('United Data'!$A$3:$A$2150,C$1,'United Data'!$C$3:$C$2150,$A611,'United Data'!$B$3:$B$2150,"&lt;&gt;P")&gt;0,1,0)</f>
        <v>0</v>
      </c>
      <c r="D611">
        <f>IF(COUNTIFS('United Data'!$A$3:$A$2150,D$1,'United Data'!$C$3:$C$2150,$A611,'United Data'!$B$3:$B$2150,"&lt;&gt;P")&gt;0,1,0)</f>
        <v>0</v>
      </c>
      <c r="E611">
        <f>IF(COUNTIFS('United Data'!$A$3:$A$2150,E$1,'United Data'!$C$3:$C$2150,$A611,'United Data'!$B$3:$B$2150,"&lt;&gt;P")&gt;0,1,0)</f>
        <v>0</v>
      </c>
      <c r="F611">
        <f>IF(COUNTIFS('United Data'!$A$3:$A$2150,F$1,'United Data'!$C$3:$C$2150,$A611,'United Data'!$B$3:$B$2150,"&lt;&gt;P")&gt;0,1,0)</f>
        <v>0</v>
      </c>
      <c r="G611">
        <f>IF(COUNTIFS('United Data'!$A$3:$A$2150,G$1,'United Data'!$C$3:$C$2150,$A611,'United Data'!$B$3:$B$2150,"&lt;&gt;P")&gt;0,1,0)</f>
        <v>0</v>
      </c>
      <c r="H611">
        <f>IF(COUNTIFS('United Data'!$A$3:$A$2150,H$1,'United Data'!$C$3:$C$2150,$A611,'United Data'!$B$3:$B$2150,"&lt;&gt;P")&gt;0,1,0)</f>
        <v>0</v>
      </c>
      <c r="I611">
        <f>IF(COUNTIFS('United Data'!$A$3:$A$2150,I$1,'United Data'!$C$3:$C$2150,$A611,'United Data'!$B$3:$B$2150,"&lt;&gt;P")&gt;0,1,0)</f>
        <v>0</v>
      </c>
      <c r="J611">
        <f>IF(COUNTIFS('United Data'!$A$3:$A$2150,J$1,'United Data'!$C$3:$C$2150,$A611,'United Data'!$B$3:$B$2150,"&lt;&gt;P")&gt;0,1,0)</f>
        <v>1</v>
      </c>
      <c r="K611">
        <f>IF(COUNTIFS('United Data'!$A$3:$A$2150,K$1,'United Data'!$C$3:$C$2150,$A611,'United Data'!$B$3:$B$2150,"&lt;&gt;P")&gt;0,1,0)</f>
        <v>0</v>
      </c>
      <c r="L611">
        <f>IF(COUNTIFS('United Data'!$A$3:$A$2150,L$1,'United Data'!$C$3:$C$2150,$A611,'United Data'!$B$3:$B$2150,"&lt;&gt;P")&gt;0,1,0)</f>
        <v>0</v>
      </c>
      <c r="M611">
        <f>IF(COUNTIFS('United Data'!$A$3:$A$2150,M$1,'United Data'!$C$3:$C$2150,$A611,'United Data'!$B$3:$B$2150,"&lt;&gt;P")&gt;0,1,0)</f>
        <v>0</v>
      </c>
      <c r="N611">
        <f>IF(COUNTIFS('United Data'!$A$3:$A$2150,N$1,'United Data'!$C$3:$C$2150,$A611,'United Data'!$B$3:$B$2150,"&lt;&gt;P")&gt;0,1,0)</f>
        <v>0</v>
      </c>
      <c r="O611">
        <f>IF(COUNTIFS('United Data'!$A$3:$A$2150,O$1,'United Data'!$C$3:$C$2150,$A611,'United Data'!$B$3:$B$2150,"&lt;&gt;P")&gt;0,1,0)</f>
        <v>0</v>
      </c>
      <c r="P611">
        <f>IF(COUNTIFS('United Data'!$A$3:$A$2150,P$1,'United Data'!$C$3:$C$2150,$A611,'United Data'!$B$3:$B$2150,"&lt;&gt;P")&gt;0,1,0)</f>
        <v>0</v>
      </c>
      <c r="Q611">
        <f>IF(COUNTIFS('United Data'!$A$3:$A$2150,Q$1,'United Data'!$C$3:$C$2150,$A611,'United Data'!$B$3:$B$2150,"&lt;&gt;P")&gt;0,1,0)</f>
        <v>0</v>
      </c>
      <c r="R611">
        <f>IF(COUNTIFS('United Data'!$A$3:$A$2150,R$1,'United Data'!$C$3:$C$2150,$A611,'United Data'!$B$3:$B$2150,"&lt;&gt;P")&gt;0,1,0)</f>
        <v>0</v>
      </c>
      <c r="S611">
        <f t="shared" si="18"/>
        <v>1</v>
      </c>
      <c r="T611">
        <f t="shared" si="19"/>
        <v>1</v>
      </c>
    </row>
    <row r="612" spans="1:20" x14ac:dyDescent="0.2">
      <c r="A612" t="s">
        <v>658</v>
      </c>
      <c r="B612">
        <f>IF(COUNTIFS('United Data'!$A$3:$A$2150,B$1,'United Data'!$C$3:$C$2150,$A612,'United Data'!$B$3:$B$2150,"&lt;&gt;P")&gt;0,1,0)</f>
        <v>0</v>
      </c>
      <c r="C612">
        <f>IF(COUNTIFS('United Data'!$A$3:$A$2150,C$1,'United Data'!$C$3:$C$2150,$A612,'United Data'!$B$3:$B$2150,"&lt;&gt;P")&gt;0,1,0)</f>
        <v>0</v>
      </c>
      <c r="D612">
        <f>IF(COUNTIFS('United Data'!$A$3:$A$2150,D$1,'United Data'!$C$3:$C$2150,$A612,'United Data'!$B$3:$B$2150,"&lt;&gt;P")&gt;0,1,0)</f>
        <v>0</v>
      </c>
      <c r="E612">
        <f>IF(COUNTIFS('United Data'!$A$3:$A$2150,E$1,'United Data'!$C$3:$C$2150,$A612,'United Data'!$B$3:$B$2150,"&lt;&gt;P")&gt;0,1,0)</f>
        <v>0</v>
      </c>
      <c r="F612">
        <f>IF(COUNTIFS('United Data'!$A$3:$A$2150,F$1,'United Data'!$C$3:$C$2150,$A612,'United Data'!$B$3:$B$2150,"&lt;&gt;P")&gt;0,1,0)</f>
        <v>0</v>
      </c>
      <c r="G612">
        <f>IF(COUNTIFS('United Data'!$A$3:$A$2150,G$1,'United Data'!$C$3:$C$2150,$A612,'United Data'!$B$3:$B$2150,"&lt;&gt;P")&gt;0,1,0)</f>
        <v>0</v>
      </c>
      <c r="H612">
        <f>IF(COUNTIFS('United Data'!$A$3:$A$2150,H$1,'United Data'!$C$3:$C$2150,$A612,'United Data'!$B$3:$B$2150,"&lt;&gt;P")&gt;0,1,0)</f>
        <v>0</v>
      </c>
      <c r="I612">
        <f>IF(COUNTIFS('United Data'!$A$3:$A$2150,I$1,'United Data'!$C$3:$C$2150,$A612,'United Data'!$B$3:$B$2150,"&lt;&gt;P")&gt;0,1,0)</f>
        <v>0</v>
      </c>
      <c r="J612">
        <f>IF(COUNTIFS('United Data'!$A$3:$A$2150,J$1,'United Data'!$C$3:$C$2150,$A612,'United Data'!$B$3:$B$2150,"&lt;&gt;P")&gt;0,1,0)</f>
        <v>0</v>
      </c>
      <c r="K612">
        <f>IF(COUNTIFS('United Data'!$A$3:$A$2150,K$1,'United Data'!$C$3:$C$2150,$A612,'United Data'!$B$3:$B$2150,"&lt;&gt;P")&gt;0,1,0)</f>
        <v>1</v>
      </c>
      <c r="L612">
        <f>IF(COUNTIFS('United Data'!$A$3:$A$2150,L$1,'United Data'!$C$3:$C$2150,$A612,'United Data'!$B$3:$B$2150,"&lt;&gt;P")&gt;0,1,0)</f>
        <v>0</v>
      </c>
      <c r="M612">
        <f>IF(COUNTIFS('United Data'!$A$3:$A$2150,M$1,'United Data'!$C$3:$C$2150,$A612,'United Data'!$B$3:$B$2150,"&lt;&gt;P")&gt;0,1,0)</f>
        <v>0</v>
      </c>
      <c r="N612">
        <f>IF(COUNTIFS('United Data'!$A$3:$A$2150,N$1,'United Data'!$C$3:$C$2150,$A612,'United Data'!$B$3:$B$2150,"&lt;&gt;P")&gt;0,1,0)</f>
        <v>0</v>
      </c>
      <c r="O612">
        <f>IF(COUNTIFS('United Data'!$A$3:$A$2150,O$1,'United Data'!$C$3:$C$2150,$A612,'United Data'!$B$3:$B$2150,"&lt;&gt;P")&gt;0,1,0)</f>
        <v>0</v>
      </c>
      <c r="P612">
        <f>IF(COUNTIFS('United Data'!$A$3:$A$2150,P$1,'United Data'!$C$3:$C$2150,$A612,'United Data'!$B$3:$B$2150,"&lt;&gt;P")&gt;0,1,0)</f>
        <v>0</v>
      </c>
      <c r="Q612">
        <f>IF(COUNTIFS('United Data'!$A$3:$A$2150,Q$1,'United Data'!$C$3:$C$2150,$A612,'United Data'!$B$3:$B$2150,"&lt;&gt;P")&gt;0,1,0)</f>
        <v>0</v>
      </c>
      <c r="R612">
        <f>IF(COUNTIFS('United Data'!$A$3:$A$2150,R$1,'United Data'!$C$3:$C$2150,$A612,'United Data'!$B$3:$B$2150,"&lt;&gt;P")&gt;0,1,0)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659</v>
      </c>
      <c r="B613">
        <f>IF(COUNTIFS('United Data'!$A$3:$A$2150,B$1,'United Data'!$C$3:$C$2150,$A613,'United Data'!$B$3:$B$2150,"&lt;&gt;P")&gt;0,1,0)</f>
        <v>0</v>
      </c>
      <c r="C613">
        <f>IF(COUNTIFS('United Data'!$A$3:$A$2150,C$1,'United Data'!$C$3:$C$2150,$A613,'United Data'!$B$3:$B$2150,"&lt;&gt;P")&gt;0,1,0)</f>
        <v>0</v>
      </c>
      <c r="D613">
        <f>IF(COUNTIFS('United Data'!$A$3:$A$2150,D$1,'United Data'!$C$3:$C$2150,$A613,'United Data'!$B$3:$B$2150,"&lt;&gt;P")&gt;0,1,0)</f>
        <v>0</v>
      </c>
      <c r="E613">
        <f>IF(COUNTIFS('United Data'!$A$3:$A$2150,E$1,'United Data'!$C$3:$C$2150,$A613,'United Data'!$B$3:$B$2150,"&lt;&gt;P")&gt;0,1,0)</f>
        <v>0</v>
      </c>
      <c r="F613">
        <f>IF(COUNTIFS('United Data'!$A$3:$A$2150,F$1,'United Data'!$C$3:$C$2150,$A613,'United Data'!$B$3:$B$2150,"&lt;&gt;P")&gt;0,1,0)</f>
        <v>0</v>
      </c>
      <c r="G613">
        <f>IF(COUNTIFS('United Data'!$A$3:$A$2150,G$1,'United Data'!$C$3:$C$2150,$A613,'United Data'!$B$3:$B$2150,"&lt;&gt;P")&gt;0,1,0)</f>
        <v>0</v>
      </c>
      <c r="H613">
        <f>IF(COUNTIFS('United Data'!$A$3:$A$2150,H$1,'United Data'!$C$3:$C$2150,$A613,'United Data'!$B$3:$B$2150,"&lt;&gt;P")&gt;0,1,0)</f>
        <v>0</v>
      </c>
      <c r="I613">
        <f>IF(COUNTIFS('United Data'!$A$3:$A$2150,I$1,'United Data'!$C$3:$C$2150,$A613,'United Data'!$B$3:$B$2150,"&lt;&gt;P")&gt;0,1,0)</f>
        <v>0</v>
      </c>
      <c r="J613">
        <f>IF(COUNTIFS('United Data'!$A$3:$A$2150,J$1,'United Data'!$C$3:$C$2150,$A613,'United Data'!$B$3:$B$2150,"&lt;&gt;P")&gt;0,1,0)</f>
        <v>0</v>
      </c>
      <c r="K613">
        <f>IF(COUNTIFS('United Data'!$A$3:$A$2150,K$1,'United Data'!$C$3:$C$2150,$A613,'United Data'!$B$3:$B$2150,"&lt;&gt;P")&gt;0,1,0)</f>
        <v>0</v>
      </c>
      <c r="L613">
        <f>IF(COUNTIFS('United Data'!$A$3:$A$2150,L$1,'United Data'!$C$3:$C$2150,$A613,'United Data'!$B$3:$B$2150,"&lt;&gt;P")&gt;0,1,0)</f>
        <v>1</v>
      </c>
      <c r="M613">
        <f>IF(COUNTIFS('United Data'!$A$3:$A$2150,M$1,'United Data'!$C$3:$C$2150,$A613,'United Data'!$B$3:$B$2150,"&lt;&gt;P")&gt;0,1,0)</f>
        <v>1</v>
      </c>
      <c r="N613">
        <f>IF(COUNTIFS('United Data'!$A$3:$A$2150,N$1,'United Data'!$C$3:$C$2150,$A613,'United Data'!$B$3:$B$2150,"&lt;&gt;P")&gt;0,1,0)</f>
        <v>1</v>
      </c>
      <c r="O613">
        <f>IF(COUNTIFS('United Data'!$A$3:$A$2150,O$1,'United Data'!$C$3:$C$2150,$A613,'United Data'!$B$3:$B$2150,"&lt;&gt;P")&gt;0,1,0)</f>
        <v>1</v>
      </c>
      <c r="P613">
        <f>IF(COUNTIFS('United Data'!$A$3:$A$2150,P$1,'United Data'!$C$3:$C$2150,$A613,'United Data'!$B$3:$B$2150,"&lt;&gt;P")&gt;0,1,0)</f>
        <v>1</v>
      </c>
      <c r="Q613">
        <f>IF(COUNTIFS('United Data'!$A$3:$A$2150,Q$1,'United Data'!$C$3:$C$2150,$A613,'United Data'!$B$3:$B$2150,"&lt;&gt;P")&gt;0,1,0)</f>
        <v>0</v>
      </c>
      <c r="R613">
        <f>IF(COUNTIFS('United Data'!$A$3:$A$2150,R$1,'United Data'!$C$3:$C$2150,$A613,'United Data'!$B$3:$B$2150,"&lt;&gt;P")&gt;0,1,0)</f>
        <v>0</v>
      </c>
      <c r="S613">
        <f t="shared" si="18"/>
        <v>5</v>
      </c>
      <c r="T613">
        <f t="shared" si="19"/>
        <v>1</v>
      </c>
    </row>
    <row r="614" spans="1:20" x14ac:dyDescent="0.2">
      <c r="A614" t="s">
        <v>660</v>
      </c>
      <c r="B614">
        <f>IF(COUNTIFS('United Data'!$A$3:$A$2150,B$1,'United Data'!$C$3:$C$2150,$A614,'United Data'!$B$3:$B$2150,"&lt;&gt;P")&gt;0,1,0)</f>
        <v>0</v>
      </c>
      <c r="C614">
        <f>IF(COUNTIFS('United Data'!$A$3:$A$2150,C$1,'United Data'!$C$3:$C$2150,$A614,'United Data'!$B$3:$B$2150,"&lt;&gt;P")&gt;0,1,0)</f>
        <v>0</v>
      </c>
      <c r="D614">
        <f>IF(COUNTIFS('United Data'!$A$3:$A$2150,D$1,'United Data'!$C$3:$C$2150,$A614,'United Data'!$B$3:$B$2150,"&lt;&gt;P")&gt;0,1,0)</f>
        <v>0</v>
      </c>
      <c r="E614">
        <f>IF(COUNTIFS('United Data'!$A$3:$A$2150,E$1,'United Data'!$C$3:$C$2150,$A614,'United Data'!$B$3:$B$2150,"&lt;&gt;P")&gt;0,1,0)</f>
        <v>0</v>
      </c>
      <c r="F614">
        <f>IF(COUNTIFS('United Data'!$A$3:$A$2150,F$1,'United Data'!$C$3:$C$2150,$A614,'United Data'!$B$3:$B$2150,"&lt;&gt;P")&gt;0,1,0)</f>
        <v>0</v>
      </c>
      <c r="G614">
        <f>IF(COUNTIFS('United Data'!$A$3:$A$2150,G$1,'United Data'!$C$3:$C$2150,$A614,'United Data'!$B$3:$B$2150,"&lt;&gt;P")&gt;0,1,0)</f>
        <v>0</v>
      </c>
      <c r="H614">
        <f>IF(COUNTIFS('United Data'!$A$3:$A$2150,H$1,'United Data'!$C$3:$C$2150,$A614,'United Data'!$B$3:$B$2150,"&lt;&gt;P")&gt;0,1,0)</f>
        <v>0</v>
      </c>
      <c r="I614">
        <f>IF(COUNTIFS('United Data'!$A$3:$A$2150,I$1,'United Data'!$C$3:$C$2150,$A614,'United Data'!$B$3:$B$2150,"&lt;&gt;P")&gt;0,1,0)</f>
        <v>0</v>
      </c>
      <c r="J614">
        <f>IF(COUNTIFS('United Data'!$A$3:$A$2150,J$1,'United Data'!$C$3:$C$2150,$A614,'United Data'!$B$3:$B$2150,"&lt;&gt;P")&gt;0,1,0)</f>
        <v>0</v>
      </c>
      <c r="K614">
        <f>IF(COUNTIFS('United Data'!$A$3:$A$2150,K$1,'United Data'!$C$3:$C$2150,$A614,'United Data'!$B$3:$B$2150,"&lt;&gt;P")&gt;0,1,0)</f>
        <v>0</v>
      </c>
      <c r="L614">
        <f>IF(COUNTIFS('United Data'!$A$3:$A$2150,L$1,'United Data'!$C$3:$C$2150,$A614,'United Data'!$B$3:$B$2150,"&lt;&gt;P")&gt;0,1,0)</f>
        <v>1</v>
      </c>
      <c r="M614">
        <f>IF(COUNTIFS('United Data'!$A$3:$A$2150,M$1,'United Data'!$C$3:$C$2150,$A614,'United Data'!$B$3:$B$2150,"&lt;&gt;P")&gt;0,1,0)</f>
        <v>0</v>
      </c>
      <c r="N614">
        <f>IF(COUNTIFS('United Data'!$A$3:$A$2150,N$1,'United Data'!$C$3:$C$2150,$A614,'United Data'!$B$3:$B$2150,"&lt;&gt;P")&gt;0,1,0)</f>
        <v>0</v>
      </c>
      <c r="O614">
        <f>IF(COUNTIFS('United Data'!$A$3:$A$2150,O$1,'United Data'!$C$3:$C$2150,$A614,'United Data'!$B$3:$B$2150,"&lt;&gt;P")&gt;0,1,0)</f>
        <v>0</v>
      </c>
      <c r="P614">
        <f>IF(COUNTIFS('United Data'!$A$3:$A$2150,P$1,'United Data'!$C$3:$C$2150,$A614,'United Data'!$B$3:$B$2150,"&lt;&gt;P")&gt;0,1,0)</f>
        <v>0</v>
      </c>
      <c r="Q614">
        <f>IF(COUNTIFS('United Data'!$A$3:$A$2150,Q$1,'United Data'!$C$3:$C$2150,$A614,'United Data'!$B$3:$B$2150,"&lt;&gt;P")&gt;0,1,0)</f>
        <v>0</v>
      </c>
      <c r="R614">
        <f>IF(COUNTIFS('United Data'!$A$3:$A$2150,R$1,'United Data'!$C$3:$C$2150,$A614,'United Data'!$B$3:$B$2150,"&lt;&gt;P")&gt;0,1,0)</f>
        <v>0</v>
      </c>
      <c r="S614">
        <f t="shared" si="18"/>
        <v>1</v>
      </c>
      <c r="T614">
        <f t="shared" si="19"/>
        <v>1</v>
      </c>
    </row>
    <row r="615" spans="1:20" x14ac:dyDescent="0.2">
      <c r="A615" t="s">
        <v>661</v>
      </c>
      <c r="B615">
        <f>IF(COUNTIFS('United Data'!$A$3:$A$2150,B$1,'United Data'!$C$3:$C$2150,$A615,'United Data'!$B$3:$B$2150,"&lt;&gt;P")&gt;0,1,0)</f>
        <v>0</v>
      </c>
      <c r="C615">
        <f>IF(COUNTIFS('United Data'!$A$3:$A$2150,C$1,'United Data'!$C$3:$C$2150,$A615,'United Data'!$B$3:$B$2150,"&lt;&gt;P")&gt;0,1,0)</f>
        <v>0</v>
      </c>
      <c r="D615">
        <f>IF(COUNTIFS('United Data'!$A$3:$A$2150,D$1,'United Data'!$C$3:$C$2150,$A615,'United Data'!$B$3:$B$2150,"&lt;&gt;P")&gt;0,1,0)</f>
        <v>0</v>
      </c>
      <c r="E615">
        <f>IF(COUNTIFS('United Data'!$A$3:$A$2150,E$1,'United Data'!$C$3:$C$2150,$A615,'United Data'!$B$3:$B$2150,"&lt;&gt;P")&gt;0,1,0)</f>
        <v>0</v>
      </c>
      <c r="F615">
        <f>IF(COUNTIFS('United Data'!$A$3:$A$2150,F$1,'United Data'!$C$3:$C$2150,$A615,'United Data'!$B$3:$B$2150,"&lt;&gt;P")&gt;0,1,0)</f>
        <v>0</v>
      </c>
      <c r="G615">
        <f>IF(COUNTIFS('United Data'!$A$3:$A$2150,G$1,'United Data'!$C$3:$C$2150,$A615,'United Data'!$B$3:$B$2150,"&lt;&gt;P")&gt;0,1,0)</f>
        <v>0</v>
      </c>
      <c r="H615">
        <f>IF(COUNTIFS('United Data'!$A$3:$A$2150,H$1,'United Data'!$C$3:$C$2150,$A615,'United Data'!$B$3:$B$2150,"&lt;&gt;P")&gt;0,1,0)</f>
        <v>0</v>
      </c>
      <c r="I615">
        <f>IF(COUNTIFS('United Data'!$A$3:$A$2150,I$1,'United Data'!$C$3:$C$2150,$A615,'United Data'!$B$3:$B$2150,"&lt;&gt;P")&gt;0,1,0)</f>
        <v>0</v>
      </c>
      <c r="J615">
        <f>IF(COUNTIFS('United Data'!$A$3:$A$2150,J$1,'United Data'!$C$3:$C$2150,$A615,'United Data'!$B$3:$B$2150,"&lt;&gt;P")&gt;0,1,0)</f>
        <v>0</v>
      </c>
      <c r="K615">
        <f>IF(COUNTIFS('United Data'!$A$3:$A$2150,K$1,'United Data'!$C$3:$C$2150,$A615,'United Data'!$B$3:$B$2150,"&lt;&gt;P")&gt;0,1,0)</f>
        <v>0</v>
      </c>
      <c r="L615">
        <f>IF(COUNTIFS('United Data'!$A$3:$A$2150,L$1,'United Data'!$C$3:$C$2150,$A615,'United Data'!$B$3:$B$2150,"&lt;&gt;P")&gt;0,1,0)</f>
        <v>1</v>
      </c>
      <c r="M615">
        <f>IF(COUNTIFS('United Data'!$A$3:$A$2150,M$1,'United Data'!$C$3:$C$2150,$A615,'United Data'!$B$3:$B$2150,"&lt;&gt;P")&gt;0,1,0)</f>
        <v>0</v>
      </c>
      <c r="N615">
        <f>IF(COUNTIFS('United Data'!$A$3:$A$2150,N$1,'United Data'!$C$3:$C$2150,$A615,'United Data'!$B$3:$B$2150,"&lt;&gt;P")&gt;0,1,0)</f>
        <v>0</v>
      </c>
      <c r="O615">
        <f>IF(COUNTIFS('United Data'!$A$3:$A$2150,O$1,'United Data'!$C$3:$C$2150,$A615,'United Data'!$B$3:$B$2150,"&lt;&gt;P")&gt;0,1,0)</f>
        <v>0</v>
      </c>
      <c r="P615">
        <f>IF(COUNTIFS('United Data'!$A$3:$A$2150,P$1,'United Data'!$C$3:$C$2150,$A615,'United Data'!$B$3:$B$2150,"&lt;&gt;P")&gt;0,1,0)</f>
        <v>0</v>
      </c>
      <c r="Q615">
        <f>IF(COUNTIFS('United Data'!$A$3:$A$2150,Q$1,'United Data'!$C$3:$C$2150,$A615,'United Data'!$B$3:$B$2150,"&lt;&gt;P")&gt;0,1,0)</f>
        <v>0</v>
      </c>
      <c r="R615">
        <f>IF(COUNTIFS('United Data'!$A$3:$A$2150,R$1,'United Data'!$C$3:$C$2150,$A615,'United Data'!$B$3:$B$2150,"&lt;&gt;P")&gt;0,1,0)</f>
        <v>0</v>
      </c>
      <c r="S615">
        <f t="shared" si="18"/>
        <v>1</v>
      </c>
      <c r="T615">
        <f t="shared" si="19"/>
        <v>1</v>
      </c>
    </row>
    <row r="616" spans="1:20" x14ac:dyDescent="0.2">
      <c r="A616" t="s">
        <v>662</v>
      </c>
      <c r="B616">
        <f>IF(COUNTIFS('United Data'!$A$3:$A$2150,B$1,'United Data'!$C$3:$C$2150,$A616,'United Data'!$B$3:$B$2150,"&lt;&gt;P")&gt;0,1,0)</f>
        <v>0</v>
      </c>
      <c r="C616">
        <f>IF(COUNTIFS('United Data'!$A$3:$A$2150,C$1,'United Data'!$C$3:$C$2150,$A616,'United Data'!$B$3:$B$2150,"&lt;&gt;P")&gt;0,1,0)</f>
        <v>0</v>
      </c>
      <c r="D616">
        <f>IF(COUNTIFS('United Data'!$A$3:$A$2150,D$1,'United Data'!$C$3:$C$2150,$A616,'United Data'!$B$3:$B$2150,"&lt;&gt;P")&gt;0,1,0)</f>
        <v>0</v>
      </c>
      <c r="E616">
        <f>IF(COUNTIFS('United Data'!$A$3:$A$2150,E$1,'United Data'!$C$3:$C$2150,$A616,'United Data'!$B$3:$B$2150,"&lt;&gt;P")&gt;0,1,0)</f>
        <v>0</v>
      </c>
      <c r="F616">
        <f>IF(COUNTIFS('United Data'!$A$3:$A$2150,F$1,'United Data'!$C$3:$C$2150,$A616,'United Data'!$B$3:$B$2150,"&lt;&gt;P")&gt;0,1,0)</f>
        <v>0</v>
      </c>
      <c r="G616">
        <f>IF(COUNTIFS('United Data'!$A$3:$A$2150,G$1,'United Data'!$C$3:$C$2150,$A616,'United Data'!$B$3:$B$2150,"&lt;&gt;P")&gt;0,1,0)</f>
        <v>0</v>
      </c>
      <c r="H616">
        <f>IF(COUNTIFS('United Data'!$A$3:$A$2150,H$1,'United Data'!$C$3:$C$2150,$A616,'United Data'!$B$3:$B$2150,"&lt;&gt;P")&gt;0,1,0)</f>
        <v>0</v>
      </c>
      <c r="I616">
        <f>IF(COUNTIFS('United Data'!$A$3:$A$2150,I$1,'United Data'!$C$3:$C$2150,$A616,'United Data'!$B$3:$B$2150,"&lt;&gt;P")&gt;0,1,0)</f>
        <v>0</v>
      </c>
      <c r="J616">
        <f>IF(COUNTIFS('United Data'!$A$3:$A$2150,J$1,'United Data'!$C$3:$C$2150,$A616,'United Data'!$B$3:$B$2150,"&lt;&gt;P")&gt;0,1,0)</f>
        <v>0</v>
      </c>
      <c r="K616">
        <f>IF(COUNTIFS('United Data'!$A$3:$A$2150,K$1,'United Data'!$C$3:$C$2150,$A616,'United Data'!$B$3:$B$2150,"&lt;&gt;P")&gt;0,1,0)</f>
        <v>0</v>
      </c>
      <c r="L616">
        <f>IF(COUNTIFS('United Data'!$A$3:$A$2150,L$1,'United Data'!$C$3:$C$2150,$A616,'United Data'!$B$3:$B$2150,"&lt;&gt;P")&gt;0,1,0)</f>
        <v>0</v>
      </c>
      <c r="M616">
        <f>IF(COUNTIFS('United Data'!$A$3:$A$2150,M$1,'United Data'!$C$3:$C$2150,$A616,'United Data'!$B$3:$B$2150,"&lt;&gt;P")&gt;0,1,0)</f>
        <v>1</v>
      </c>
      <c r="N616">
        <f>IF(COUNTIFS('United Data'!$A$3:$A$2150,N$1,'United Data'!$C$3:$C$2150,$A616,'United Data'!$B$3:$B$2150,"&lt;&gt;P")&gt;0,1,0)</f>
        <v>0</v>
      </c>
      <c r="O616">
        <f>IF(COUNTIFS('United Data'!$A$3:$A$2150,O$1,'United Data'!$C$3:$C$2150,$A616,'United Data'!$B$3:$B$2150,"&lt;&gt;P")&gt;0,1,0)</f>
        <v>0</v>
      </c>
      <c r="P616">
        <f>IF(COUNTIFS('United Data'!$A$3:$A$2150,P$1,'United Data'!$C$3:$C$2150,$A616,'United Data'!$B$3:$B$2150,"&lt;&gt;P")&gt;0,1,0)</f>
        <v>0</v>
      </c>
      <c r="Q616">
        <f>IF(COUNTIFS('United Data'!$A$3:$A$2150,Q$1,'United Data'!$C$3:$C$2150,$A616,'United Data'!$B$3:$B$2150,"&lt;&gt;P")&gt;0,1,0)</f>
        <v>0</v>
      </c>
      <c r="R616">
        <f>IF(COUNTIFS('United Data'!$A$3:$A$2150,R$1,'United Data'!$C$3:$C$2150,$A616,'United Data'!$B$3:$B$2150,"&lt;&gt;P")&gt;0,1,0)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663</v>
      </c>
      <c r="B617">
        <f>IF(COUNTIFS('United Data'!$A$3:$A$2150,B$1,'United Data'!$C$3:$C$2150,$A617,'United Data'!$B$3:$B$2150,"&lt;&gt;P")&gt;0,1,0)</f>
        <v>0</v>
      </c>
      <c r="C617">
        <f>IF(COUNTIFS('United Data'!$A$3:$A$2150,C$1,'United Data'!$C$3:$C$2150,$A617,'United Data'!$B$3:$B$2150,"&lt;&gt;P")&gt;0,1,0)</f>
        <v>0</v>
      </c>
      <c r="D617">
        <f>IF(COUNTIFS('United Data'!$A$3:$A$2150,D$1,'United Data'!$C$3:$C$2150,$A617,'United Data'!$B$3:$B$2150,"&lt;&gt;P")&gt;0,1,0)</f>
        <v>0</v>
      </c>
      <c r="E617">
        <f>IF(COUNTIFS('United Data'!$A$3:$A$2150,E$1,'United Data'!$C$3:$C$2150,$A617,'United Data'!$B$3:$B$2150,"&lt;&gt;P")&gt;0,1,0)</f>
        <v>0</v>
      </c>
      <c r="F617">
        <f>IF(COUNTIFS('United Data'!$A$3:$A$2150,F$1,'United Data'!$C$3:$C$2150,$A617,'United Data'!$B$3:$B$2150,"&lt;&gt;P")&gt;0,1,0)</f>
        <v>0</v>
      </c>
      <c r="G617">
        <f>IF(COUNTIFS('United Data'!$A$3:$A$2150,G$1,'United Data'!$C$3:$C$2150,$A617,'United Data'!$B$3:$B$2150,"&lt;&gt;P")&gt;0,1,0)</f>
        <v>0</v>
      </c>
      <c r="H617">
        <f>IF(COUNTIFS('United Data'!$A$3:$A$2150,H$1,'United Data'!$C$3:$C$2150,$A617,'United Data'!$B$3:$B$2150,"&lt;&gt;P")&gt;0,1,0)</f>
        <v>0</v>
      </c>
      <c r="I617">
        <f>IF(COUNTIFS('United Data'!$A$3:$A$2150,I$1,'United Data'!$C$3:$C$2150,$A617,'United Data'!$B$3:$B$2150,"&lt;&gt;P")&gt;0,1,0)</f>
        <v>0</v>
      </c>
      <c r="J617">
        <f>IF(COUNTIFS('United Data'!$A$3:$A$2150,J$1,'United Data'!$C$3:$C$2150,$A617,'United Data'!$B$3:$B$2150,"&lt;&gt;P")&gt;0,1,0)</f>
        <v>0</v>
      </c>
      <c r="K617">
        <f>IF(COUNTIFS('United Data'!$A$3:$A$2150,K$1,'United Data'!$C$3:$C$2150,$A617,'United Data'!$B$3:$B$2150,"&lt;&gt;P")&gt;0,1,0)</f>
        <v>0</v>
      </c>
      <c r="L617">
        <f>IF(COUNTIFS('United Data'!$A$3:$A$2150,L$1,'United Data'!$C$3:$C$2150,$A617,'United Data'!$B$3:$B$2150,"&lt;&gt;P")&gt;0,1,0)</f>
        <v>0</v>
      </c>
      <c r="M617">
        <f>IF(COUNTIFS('United Data'!$A$3:$A$2150,M$1,'United Data'!$C$3:$C$2150,$A617,'United Data'!$B$3:$B$2150,"&lt;&gt;P")&gt;0,1,0)</f>
        <v>1</v>
      </c>
      <c r="N617">
        <f>IF(COUNTIFS('United Data'!$A$3:$A$2150,N$1,'United Data'!$C$3:$C$2150,$A617,'United Data'!$B$3:$B$2150,"&lt;&gt;P")&gt;0,1,0)</f>
        <v>0</v>
      </c>
      <c r="O617">
        <f>IF(COUNTIFS('United Data'!$A$3:$A$2150,O$1,'United Data'!$C$3:$C$2150,$A617,'United Data'!$B$3:$B$2150,"&lt;&gt;P")&gt;0,1,0)</f>
        <v>0</v>
      </c>
      <c r="P617">
        <f>IF(COUNTIFS('United Data'!$A$3:$A$2150,P$1,'United Data'!$C$3:$C$2150,$A617,'United Data'!$B$3:$B$2150,"&lt;&gt;P")&gt;0,1,0)</f>
        <v>0</v>
      </c>
      <c r="Q617">
        <f>IF(COUNTIFS('United Data'!$A$3:$A$2150,Q$1,'United Data'!$C$3:$C$2150,$A617,'United Data'!$B$3:$B$2150,"&lt;&gt;P")&gt;0,1,0)</f>
        <v>0</v>
      </c>
      <c r="R617">
        <f>IF(COUNTIFS('United Data'!$A$3:$A$2150,R$1,'United Data'!$C$3:$C$2150,$A617,'United Data'!$B$3:$B$2150,"&lt;&gt;P")&gt;0,1,0)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664</v>
      </c>
      <c r="B618">
        <f>IF(COUNTIFS('United Data'!$A$3:$A$2150,B$1,'United Data'!$C$3:$C$2150,$A618,'United Data'!$B$3:$B$2150,"&lt;&gt;P")&gt;0,1,0)</f>
        <v>0</v>
      </c>
      <c r="C618">
        <f>IF(COUNTIFS('United Data'!$A$3:$A$2150,C$1,'United Data'!$C$3:$C$2150,$A618,'United Data'!$B$3:$B$2150,"&lt;&gt;P")&gt;0,1,0)</f>
        <v>0</v>
      </c>
      <c r="D618">
        <f>IF(COUNTIFS('United Data'!$A$3:$A$2150,D$1,'United Data'!$C$3:$C$2150,$A618,'United Data'!$B$3:$B$2150,"&lt;&gt;P")&gt;0,1,0)</f>
        <v>0</v>
      </c>
      <c r="E618">
        <f>IF(COUNTIFS('United Data'!$A$3:$A$2150,E$1,'United Data'!$C$3:$C$2150,$A618,'United Data'!$B$3:$B$2150,"&lt;&gt;P")&gt;0,1,0)</f>
        <v>0</v>
      </c>
      <c r="F618">
        <f>IF(COUNTIFS('United Data'!$A$3:$A$2150,F$1,'United Data'!$C$3:$C$2150,$A618,'United Data'!$B$3:$B$2150,"&lt;&gt;P")&gt;0,1,0)</f>
        <v>0</v>
      </c>
      <c r="G618">
        <f>IF(COUNTIFS('United Data'!$A$3:$A$2150,G$1,'United Data'!$C$3:$C$2150,$A618,'United Data'!$B$3:$B$2150,"&lt;&gt;P")&gt;0,1,0)</f>
        <v>0</v>
      </c>
      <c r="H618">
        <f>IF(COUNTIFS('United Data'!$A$3:$A$2150,H$1,'United Data'!$C$3:$C$2150,$A618,'United Data'!$B$3:$B$2150,"&lt;&gt;P")&gt;0,1,0)</f>
        <v>0</v>
      </c>
      <c r="I618">
        <f>IF(COUNTIFS('United Data'!$A$3:$A$2150,I$1,'United Data'!$C$3:$C$2150,$A618,'United Data'!$B$3:$B$2150,"&lt;&gt;P")&gt;0,1,0)</f>
        <v>0</v>
      </c>
      <c r="J618">
        <f>IF(COUNTIFS('United Data'!$A$3:$A$2150,J$1,'United Data'!$C$3:$C$2150,$A618,'United Data'!$B$3:$B$2150,"&lt;&gt;P")&gt;0,1,0)</f>
        <v>0</v>
      </c>
      <c r="K618">
        <f>IF(COUNTIFS('United Data'!$A$3:$A$2150,K$1,'United Data'!$C$3:$C$2150,$A618,'United Data'!$B$3:$B$2150,"&lt;&gt;P")&gt;0,1,0)</f>
        <v>0</v>
      </c>
      <c r="L618">
        <f>IF(COUNTIFS('United Data'!$A$3:$A$2150,L$1,'United Data'!$C$3:$C$2150,$A618,'United Data'!$B$3:$B$2150,"&lt;&gt;P")&gt;0,1,0)</f>
        <v>0</v>
      </c>
      <c r="M618">
        <f>IF(COUNTIFS('United Data'!$A$3:$A$2150,M$1,'United Data'!$C$3:$C$2150,$A618,'United Data'!$B$3:$B$2150,"&lt;&gt;P")&gt;0,1,0)</f>
        <v>1</v>
      </c>
      <c r="N618">
        <f>IF(COUNTIFS('United Data'!$A$3:$A$2150,N$1,'United Data'!$C$3:$C$2150,$A618,'United Data'!$B$3:$B$2150,"&lt;&gt;P")&gt;0,1,0)</f>
        <v>0</v>
      </c>
      <c r="O618">
        <f>IF(COUNTIFS('United Data'!$A$3:$A$2150,O$1,'United Data'!$C$3:$C$2150,$A618,'United Data'!$B$3:$B$2150,"&lt;&gt;P")&gt;0,1,0)</f>
        <v>0</v>
      </c>
      <c r="P618">
        <f>IF(COUNTIFS('United Data'!$A$3:$A$2150,P$1,'United Data'!$C$3:$C$2150,$A618,'United Data'!$B$3:$B$2150,"&lt;&gt;P")&gt;0,1,0)</f>
        <v>0</v>
      </c>
      <c r="Q618">
        <f>IF(COUNTIFS('United Data'!$A$3:$A$2150,Q$1,'United Data'!$C$3:$C$2150,$A618,'United Data'!$B$3:$B$2150,"&lt;&gt;P")&gt;0,1,0)</f>
        <v>0</v>
      </c>
      <c r="R618">
        <f>IF(COUNTIFS('United Data'!$A$3:$A$2150,R$1,'United Data'!$C$3:$C$2150,$A618,'United Data'!$B$3:$B$2150,"&lt;&gt;P")&gt;0,1,0)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665</v>
      </c>
      <c r="B619">
        <f>IF(COUNTIFS('United Data'!$A$3:$A$2150,B$1,'United Data'!$C$3:$C$2150,$A619,'United Data'!$B$3:$B$2150,"&lt;&gt;P")&gt;0,1,0)</f>
        <v>0</v>
      </c>
      <c r="C619">
        <f>IF(COUNTIFS('United Data'!$A$3:$A$2150,C$1,'United Data'!$C$3:$C$2150,$A619,'United Data'!$B$3:$B$2150,"&lt;&gt;P")&gt;0,1,0)</f>
        <v>0</v>
      </c>
      <c r="D619">
        <f>IF(COUNTIFS('United Data'!$A$3:$A$2150,D$1,'United Data'!$C$3:$C$2150,$A619,'United Data'!$B$3:$B$2150,"&lt;&gt;P")&gt;0,1,0)</f>
        <v>0</v>
      </c>
      <c r="E619">
        <f>IF(COUNTIFS('United Data'!$A$3:$A$2150,E$1,'United Data'!$C$3:$C$2150,$A619,'United Data'!$B$3:$B$2150,"&lt;&gt;P")&gt;0,1,0)</f>
        <v>0</v>
      </c>
      <c r="F619">
        <f>IF(COUNTIFS('United Data'!$A$3:$A$2150,F$1,'United Data'!$C$3:$C$2150,$A619,'United Data'!$B$3:$B$2150,"&lt;&gt;P")&gt;0,1,0)</f>
        <v>0</v>
      </c>
      <c r="G619">
        <f>IF(COUNTIFS('United Data'!$A$3:$A$2150,G$1,'United Data'!$C$3:$C$2150,$A619,'United Data'!$B$3:$B$2150,"&lt;&gt;P")&gt;0,1,0)</f>
        <v>0</v>
      </c>
      <c r="H619">
        <f>IF(COUNTIFS('United Data'!$A$3:$A$2150,H$1,'United Data'!$C$3:$C$2150,$A619,'United Data'!$B$3:$B$2150,"&lt;&gt;P")&gt;0,1,0)</f>
        <v>0</v>
      </c>
      <c r="I619">
        <f>IF(COUNTIFS('United Data'!$A$3:$A$2150,I$1,'United Data'!$C$3:$C$2150,$A619,'United Data'!$B$3:$B$2150,"&lt;&gt;P")&gt;0,1,0)</f>
        <v>0</v>
      </c>
      <c r="J619">
        <f>IF(COUNTIFS('United Data'!$A$3:$A$2150,J$1,'United Data'!$C$3:$C$2150,$A619,'United Data'!$B$3:$B$2150,"&lt;&gt;P")&gt;0,1,0)</f>
        <v>0</v>
      </c>
      <c r="K619">
        <f>IF(COUNTIFS('United Data'!$A$3:$A$2150,K$1,'United Data'!$C$3:$C$2150,$A619,'United Data'!$B$3:$B$2150,"&lt;&gt;P")&gt;0,1,0)</f>
        <v>0</v>
      </c>
      <c r="L619">
        <f>IF(COUNTIFS('United Data'!$A$3:$A$2150,L$1,'United Data'!$C$3:$C$2150,$A619,'United Data'!$B$3:$B$2150,"&lt;&gt;P")&gt;0,1,0)</f>
        <v>0</v>
      </c>
      <c r="M619">
        <f>IF(COUNTIFS('United Data'!$A$3:$A$2150,M$1,'United Data'!$C$3:$C$2150,$A619,'United Data'!$B$3:$B$2150,"&lt;&gt;P")&gt;0,1,0)</f>
        <v>1</v>
      </c>
      <c r="N619">
        <f>IF(COUNTIFS('United Data'!$A$3:$A$2150,N$1,'United Data'!$C$3:$C$2150,$A619,'United Data'!$B$3:$B$2150,"&lt;&gt;P")&gt;0,1,0)</f>
        <v>0</v>
      </c>
      <c r="O619">
        <f>IF(COUNTIFS('United Data'!$A$3:$A$2150,O$1,'United Data'!$C$3:$C$2150,$A619,'United Data'!$B$3:$B$2150,"&lt;&gt;P")&gt;0,1,0)</f>
        <v>0</v>
      </c>
      <c r="P619">
        <f>IF(COUNTIFS('United Data'!$A$3:$A$2150,P$1,'United Data'!$C$3:$C$2150,$A619,'United Data'!$B$3:$B$2150,"&lt;&gt;P")&gt;0,1,0)</f>
        <v>0</v>
      </c>
      <c r="Q619">
        <f>IF(COUNTIFS('United Data'!$A$3:$A$2150,Q$1,'United Data'!$C$3:$C$2150,$A619,'United Data'!$B$3:$B$2150,"&lt;&gt;P")&gt;0,1,0)</f>
        <v>0</v>
      </c>
      <c r="R619">
        <f>IF(COUNTIFS('United Data'!$A$3:$A$2150,R$1,'United Data'!$C$3:$C$2150,$A619,'United Data'!$B$3:$B$2150,"&lt;&gt;P")&gt;0,1,0)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666</v>
      </c>
      <c r="B620">
        <f>IF(COUNTIFS('United Data'!$A$3:$A$2150,B$1,'United Data'!$C$3:$C$2150,$A620,'United Data'!$B$3:$B$2150,"&lt;&gt;P")&gt;0,1,0)</f>
        <v>0</v>
      </c>
      <c r="C620">
        <f>IF(COUNTIFS('United Data'!$A$3:$A$2150,C$1,'United Data'!$C$3:$C$2150,$A620,'United Data'!$B$3:$B$2150,"&lt;&gt;P")&gt;0,1,0)</f>
        <v>0</v>
      </c>
      <c r="D620">
        <f>IF(COUNTIFS('United Data'!$A$3:$A$2150,D$1,'United Data'!$C$3:$C$2150,$A620,'United Data'!$B$3:$B$2150,"&lt;&gt;P")&gt;0,1,0)</f>
        <v>0</v>
      </c>
      <c r="E620">
        <f>IF(COUNTIFS('United Data'!$A$3:$A$2150,E$1,'United Data'!$C$3:$C$2150,$A620,'United Data'!$B$3:$B$2150,"&lt;&gt;P")&gt;0,1,0)</f>
        <v>0</v>
      </c>
      <c r="F620">
        <f>IF(COUNTIFS('United Data'!$A$3:$A$2150,F$1,'United Data'!$C$3:$C$2150,$A620,'United Data'!$B$3:$B$2150,"&lt;&gt;P")&gt;0,1,0)</f>
        <v>0</v>
      </c>
      <c r="G620">
        <f>IF(COUNTIFS('United Data'!$A$3:$A$2150,G$1,'United Data'!$C$3:$C$2150,$A620,'United Data'!$B$3:$B$2150,"&lt;&gt;P")&gt;0,1,0)</f>
        <v>0</v>
      </c>
      <c r="H620">
        <f>IF(COUNTIFS('United Data'!$A$3:$A$2150,H$1,'United Data'!$C$3:$C$2150,$A620,'United Data'!$B$3:$B$2150,"&lt;&gt;P")&gt;0,1,0)</f>
        <v>0</v>
      </c>
      <c r="I620">
        <f>IF(COUNTIFS('United Data'!$A$3:$A$2150,I$1,'United Data'!$C$3:$C$2150,$A620,'United Data'!$B$3:$B$2150,"&lt;&gt;P")&gt;0,1,0)</f>
        <v>0</v>
      </c>
      <c r="J620">
        <f>IF(COUNTIFS('United Data'!$A$3:$A$2150,J$1,'United Data'!$C$3:$C$2150,$A620,'United Data'!$B$3:$B$2150,"&lt;&gt;P")&gt;0,1,0)</f>
        <v>0</v>
      </c>
      <c r="K620">
        <f>IF(COUNTIFS('United Data'!$A$3:$A$2150,K$1,'United Data'!$C$3:$C$2150,$A620,'United Data'!$B$3:$B$2150,"&lt;&gt;P")&gt;0,1,0)</f>
        <v>0</v>
      </c>
      <c r="L620">
        <f>IF(COUNTIFS('United Data'!$A$3:$A$2150,L$1,'United Data'!$C$3:$C$2150,$A620,'United Data'!$B$3:$B$2150,"&lt;&gt;P")&gt;0,1,0)</f>
        <v>0</v>
      </c>
      <c r="M620">
        <f>IF(COUNTIFS('United Data'!$A$3:$A$2150,M$1,'United Data'!$C$3:$C$2150,$A620,'United Data'!$B$3:$B$2150,"&lt;&gt;P")&gt;0,1,0)</f>
        <v>0</v>
      </c>
      <c r="N620">
        <f>IF(COUNTIFS('United Data'!$A$3:$A$2150,N$1,'United Data'!$C$3:$C$2150,$A620,'United Data'!$B$3:$B$2150,"&lt;&gt;P")&gt;0,1,0)</f>
        <v>1</v>
      </c>
      <c r="O620">
        <f>IF(COUNTIFS('United Data'!$A$3:$A$2150,O$1,'United Data'!$C$3:$C$2150,$A620,'United Data'!$B$3:$B$2150,"&lt;&gt;P")&gt;0,1,0)</f>
        <v>0</v>
      </c>
      <c r="P620">
        <f>IF(COUNTIFS('United Data'!$A$3:$A$2150,P$1,'United Data'!$C$3:$C$2150,$A620,'United Data'!$B$3:$B$2150,"&lt;&gt;P")&gt;0,1,0)</f>
        <v>0</v>
      </c>
      <c r="Q620">
        <f>IF(COUNTIFS('United Data'!$A$3:$A$2150,Q$1,'United Data'!$C$3:$C$2150,$A620,'United Data'!$B$3:$B$2150,"&lt;&gt;P")&gt;0,1,0)</f>
        <v>0</v>
      </c>
      <c r="R620">
        <f>IF(COUNTIFS('United Data'!$A$3:$A$2150,R$1,'United Data'!$C$3:$C$2150,$A620,'United Data'!$B$3:$B$2150,"&lt;&gt;P")&gt;0,1,0)</f>
        <v>0</v>
      </c>
      <c r="S620">
        <f t="shared" si="18"/>
        <v>1</v>
      </c>
      <c r="T620">
        <f t="shared" si="19"/>
        <v>1</v>
      </c>
    </row>
    <row r="621" spans="1:20" x14ac:dyDescent="0.2">
      <c r="A621" t="s">
        <v>667</v>
      </c>
      <c r="B621">
        <f>IF(COUNTIFS('United Data'!$A$3:$A$2150,B$1,'United Data'!$C$3:$C$2150,$A621,'United Data'!$B$3:$B$2150,"&lt;&gt;P")&gt;0,1,0)</f>
        <v>0</v>
      </c>
      <c r="C621">
        <f>IF(COUNTIFS('United Data'!$A$3:$A$2150,C$1,'United Data'!$C$3:$C$2150,$A621,'United Data'!$B$3:$B$2150,"&lt;&gt;P")&gt;0,1,0)</f>
        <v>0</v>
      </c>
      <c r="D621">
        <f>IF(COUNTIFS('United Data'!$A$3:$A$2150,D$1,'United Data'!$C$3:$C$2150,$A621,'United Data'!$B$3:$B$2150,"&lt;&gt;P")&gt;0,1,0)</f>
        <v>0</v>
      </c>
      <c r="E621">
        <f>IF(COUNTIFS('United Data'!$A$3:$A$2150,E$1,'United Data'!$C$3:$C$2150,$A621,'United Data'!$B$3:$B$2150,"&lt;&gt;P")&gt;0,1,0)</f>
        <v>0</v>
      </c>
      <c r="F621">
        <f>IF(COUNTIFS('United Data'!$A$3:$A$2150,F$1,'United Data'!$C$3:$C$2150,$A621,'United Data'!$B$3:$B$2150,"&lt;&gt;P")&gt;0,1,0)</f>
        <v>0</v>
      </c>
      <c r="G621">
        <f>IF(COUNTIFS('United Data'!$A$3:$A$2150,G$1,'United Data'!$C$3:$C$2150,$A621,'United Data'!$B$3:$B$2150,"&lt;&gt;P")&gt;0,1,0)</f>
        <v>0</v>
      </c>
      <c r="H621">
        <f>IF(COUNTIFS('United Data'!$A$3:$A$2150,H$1,'United Data'!$C$3:$C$2150,$A621,'United Data'!$B$3:$B$2150,"&lt;&gt;P")&gt;0,1,0)</f>
        <v>0</v>
      </c>
      <c r="I621">
        <f>IF(COUNTIFS('United Data'!$A$3:$A$2150,I$1,'United Data'!$C$3:$C$2150,$A621,'United Data'!$B$3:$B$2150,"&lt;&gt;P")&gt;0,1,0)</f>
        <v>0</v>
      </c>
      <c r="J621">
        <f>IF(COUNTIFS('United Data'!$A$3:$A$2150,J$1,'United Data'!$C$3:$C$2150,$A621,'United Data'!$B$3:$B$2150,"&lt;&gt;P")&gt;0,1,0)</f>
        <v>0</v>
      </c>
      <c r="K621">
        <f>IF(COUNTIFS('United Data'!$A$3:$A$2150,K$1,'United Data'!$C$3:$C$2150,$A621,'United Data'!$B$3:$B$2150,"&lt;&gt;P")&gt;0,1,0)</f>
        <v>0</v>
      </c>
      <c r="L621">
        <f>IF(COUNTIFS('United Data'!$A$3:$A$2150,L$1,'United Data'!$C$3:$C$2150,$A621,'United Data'!$B$3:$B$2150,"&lt;&gt;P")&gt;0,1,0)</f>
        <v>0</v>
      </c>
      <c r="M621">
        <f>IF(COUNTIFS('United Data'!$A$3:$A$2150,M$1,'United Data'!$C$3:$C$2150,$A621,'United Data'!$B$3:$B$2150,"&lt;&gt;P")&gt;0,1,0)</f>
        <v>0</v>
      </c>
      <c r="N621">
        <f>IF(COUNTIFS('United Data'!$A$3:$A$2150,N$1,'United Data'!$C$3:$C$2150,$A621,'United Data'!$B$3:$B$2150,"&lt;&gt;P")&gt;0,1,0)</f>
        <v>1</v>
      </c>
      <c r="O621">
        <f>IF(COUNTIFS('United Data'!$A$3:$A$2150,O$1,'United Data'!$C$3:$C$2150,$A621,'United Data'!$B$3:$B$2150,"&lt;&gt;P")&gt;0,1,0)</f>
        <v>0</v>
      </c>
      <c r="P621">
        <f>IF(COUNTIFS('United Data'!$A$3:$A$2150,P$1,'United Data'!$C$3:$C$2150,$A621,'United Data'!$B$3:$B$2150,"&lt;&gt;P")&gt;0,1,0)</f>
        <v>0</v>
      </c>
      <c r="Q621">
        <f>IF(COUNTIFS('United Data'!$A$3:$A$2150,Q$1,'United Data'!$C$3:$C$2150,$A621,'United Data'!$B$3:$B$2150,"&lt;&gt;P")&gt;0,1,0)</f>
        <v>0</v>
      </c>
      <c r="R621">
        <f>IF(COUNTIFS('United Data'!$A$3:$A$2150,R$1,'United Data'!$C$3:$C$2150,$A621,'United Data'!$B$3:$B$2150,"&lt;&gt;P")&gt;0,1,0)</f>
        <v>0</v>
      </c>
      <c r="S621">
        <f t="shared" si="18"/>
        <v>1</v>
      </c>
      <c r="T621">
        <f t="shared" si="19"/>
        <v>1</v>
      </c>
    </row>
    <row r="622" spans="1:20" x14ac:dyDescent="0.2">
      <c r="A622" t="s">
        <v>668</v>
      </c>
      <c r="B622">
        <f>IF(COUNTIFS('United Data'!$A$3:$A$2150,B$1,'United Data'!$C$3:$C$2150,$A622,'United Data'!$B$3:$B$2150,"&lt;&gt;P")&gt;0,1,0)</f>
        <v>0</v>
      </c>
      <c r="C622">
        <f>IF(COUNTIFS('United Data'!$A$3:$A$2150,C$1,'United Data'!$C$3:$C$2150,$A622,'United Data'!$B$3:$B$2150,"&lt;&gt;P")&gt;0,1,0)</f>
        <v>0</v>
      </c>
      <c r="D622">
        <f>IF(COUNTIFS('United Data'!$A$3:$A$2150,D$1,'United Data'!$C$3:$C$2150,$A622,'United Data'!$B$3:$B$2150,"&lt;&gt;P")&gt;0,1,0)</f>
        <v>0</v>
      </c>
      <c r="E622">
        <f>IF(COUNTIFS('United Data'!$A$3:$A$2150,E$1,'United Data'!$C$3:$C$2150,$A622,'United Data'!$B$3:$B$2150,"&lt;&gt;P")&gt;0,1,0)</f>
        <v>0</v>
      </c>
      <c r="F622">
        <f>IF(COUNTIFS('United Data'!$A$3:$A$2150,F$1,'United Data'!$C$3:$C$2150,$A622,'United Data'!$B$3:$B$2150,"&lt;&gt;P")&gt;0,1,0)</f>
        <v>0</v>
      </c>
      <c r="G622">
        <f>IF(COUNTIFS('United Data'!$A$3:$A$2150,G$1,'United Data'!$C$3:$C$2150,$A622,'United Data'!$B$3:$B$2150,"&lt;&gt;P")&gt;0,1,0)</f>
        <v>0</v>
      </c>
      <c r="H622">
        <f>IF(COUNTIFS('United Data'!$A$3:$A$2150,H$1,'United Data'!$C$3:$C$2150,$A622,'United Data'!$B$3:$B$2150,"&lt;&gt;P")&gt;0,1,0)</f>
        <v>0</v>
      </c>
      <c r="I622">
        <f>IF(COUNTIFS('United Data'!$A$3:$A$2150,I$1,'United Data'!$C$3:$C$2150,$A622,'United Data'!$B$3:$B$2150,"&lt;&gt;P")&gt;0,1,0)</f>
        <v>0</v>
      </c>
      <c r="J622">
        <f>IF(COUNTIFS('United Data'!$A$3:$A$2150,J$1,'United Data'!$C$3:$C$2150,$A622,'United Data'!$B$3:$B$2150,"&lt;&gt;P")&gt;0,1,0)</f>
        <v>0</v>
      </c>
      <c r="K622">
        <f>IF(COUNTIFS('United Data'!$A$3:$A$2150,K$1,'United Data'!$C$3:$C$2150,$A622,'United Data'!$B$3:$B$2150,"&lt;&gt;P")&gt;0,1,0)</f>
        <v>0</v>
      </c>
      <c r="L622">
        <f>IF(COUNTIFS('United Data'!$A$3:$A$2150,L$1,'United Data'!$C$3:$C$2150,$A622,'United Data'!$B$3:$B$2150,"&lt;&gt;P")&gt;0,1,0)</f>
        <v>0</v>
      </c>
      <c r="M622">
        <f>IF(COUNTIFS('United Data'!$A$3:$A$2150,M$1,'United Data'!$C$3:$C$2150,$A622,'United Data'!$B$3:$B$2150,"&lt;&gt;P")&gt;0,1,0)</f>
        <v>0</v>
      </c>
      <c r="N622">
        <f>IF(COUNTIFS('United Data'!$A$3:$A$2150,N$1,'United Data'!$C$3:$C$2150,$A622,'United Data'!$B$3:$B$2150,"&lt;&gt;P")&gt;0,1,0)</f>
        <v>1</v>
      </c>
      <c r="O622">
        <f>IF(COUNTIFS('United Data'!$A$3:$A$2150,O$1,'United Data'!$C$3:$C$2150,$A622,'United Data'!$B$3:$B$2150,"&lt;&gt;P")&gt;0,1,0)</f>
        <v>1</v>
      </c>
      <c r="P622">
        <f>IF(COUNTIFS('United Data'!$A$3:$A$2150,P$1,'United Data'!$C$3:$C$2150,$A622,'United Data'!$B$3:$B$2150,"&lt;&gt;P")&gt;0,1,0)</f>
        <v>1</v>
      </c>
      <c r="Q622">
        <f>IF(COUNTIFS('United Data'!$A$3:$A$2150,Q$1,'United Data'!$C$3:$C$2150,$A622,'United Data'!$B$3:$B$2150,"&lt;&gt;P")&gt;0,1,0)</f>
        <v>0</v>
      </c>
      <c r="R622">
        <f>IF(COUNTIFS('United Data'!$A$3:$A$2150,R$1,'United Data'!$C$3:$C$2150,$A622,'United Data'!$B$3:$B$2150,"&lt;&gt;P")&gt;0,1,0)</f>
        <v>0</v>
      </c>
      <c r="S622">
        <f t="shared" si="18"/>
        <v>3</v>
      </c>
      <c r="T622">
        <f t="shared" si="19"/>
        <v>1</v>
      </c>
    </row>
    <row r="623" spans="1:20" x14ac:dyDescent="0.2">
      <c r="A623" t="s">
        <v>669</v>
      </c>
      <c r="B623">
        <f>IF(COUNTIFS('United Data'!$A$3:$A$2150,B$1,'United Data'!$C$3:$C$2150,$A623,'United Data'!$B$3:$B$2150,"&lt;&gt;P")&gt;0,1,0)</f>
        <v>0</v>
      </c>
      <c r="C623">
        <f>IF(COUNTIFS('United Data'!$A$3:$A$2150,C$1,'United Data'!$C$3:$C$2150,$A623,'United Data'!$B$3:$B$2150,"&lt;&gt;P")&gt;0,1,0)</f>
        <v>0</v>
      </c>
      <c r="D623">
        <f>IF(COUNTIFS('United Data'!$A$3:$A$2150,D$1,'United Data'!$C$3:$C$2150,$A623,'United Data'!$B$3:$B$2150,"&lt;&gt;P")&gt;0,1,0)</f>
        <v>0</v>
      </c>
      <c r="E623">
        <f>IF(COUNTIFS('United Data'!$A$3:$A$2150,E$1,'United Data'!$C$3:$C$2150,$A623,'United Data'!$B$3:$B$2150,"&lt;&gt;P")&gt;0,1,0)</f>
        <v>0</v>
      </c>
      <c r="F623">
        <f>IF(COUNTIFS('United Data'!$A$3:$A$2150,F$1,'United Data'!$C$3:$C$2150,$A623,'United Data'!$B$3:$B$2150,"&lt;&gt;P")&gt;0,1,0)</f>
        <v>0</v>
      </c>
      <c r="G623">
        <f>IF(COUNTIFS('United Data'!$A$3:$A$2150,G$1,'United Data'!$C$3:$C$2150,$A623,'United Data'!$B$3:$B$2150,"&lt;&gt;P")&gt;0,1,0)</f>
        <v>0</v>
      </c>
      <c r="H623">
        <f>IF(COUNTIFS('United Data'!$A$3:$A$2150,H$1,'United Data'!$C$3:$C$2150,$A623,'United Data'!$B$3:$B$2150,"&lt;&gt;P")&gt;0,1,0)</f>
        <v>0</v>
      </c>
      <c r="I623">
        <f>IF(COUNTIFS('United Data'!$A$3:$A$2150,I$1,'United Data'!$C$3:$C$2150,$A623,'United Data'!$B$3:$B$2150,"&lt;&gt;P")&gt;0,1,0)</f>
        <v>0</v>
      </c>
      <c r="J623">
        <f>IF(COUNTIFS('United Data'!$A$3:$A$2150,J$1,'United Data'!$C$3:$C$2150,$A623,'United Data'!$B$3:$B$2150,"&lt;&gt;P")&gt;0,1,0)</f>
        <v>0</v>
      </c>
      <c r="K623">
        <f>IF(COUNTIFS('United Data'!$A$3:$A$2150,K$1,'United Data'!$C$3:$C$2150,$A623,'United Data'!$B$3:$B$2150,"&lt;&gt;P")&gt;0,1,0)</f>
        <v>0</v>
      </c>
      <c r="L623">
        <f>IF(COUNTIFS('United Data'!$A$3:$A$2150,L$1,'United Data'!$C$3:$C$2150,$A623,'United Data'!$B$3:$B$2150,"&lt;&gt;P")&gt;0,1,0)</f>
        <v>0</v>
      </c>
      <c r="M623">
        <f>IF(COUNTIFS('United Data'!$A$3:$A$2150,M$1,'United Data'!$C$3:$C$2150,$A623,'United Data'!$B$3:$B$2150,"&lt;&gt;P")&gt;0,1,0)</f>
        <v>0</v>
      </c>
      <c r="N623">
        <f>IF(COUNTIFS('United Data'!$A$3:$A$2150,N$1,'United Data'!$C$3:$C$2150,$A623,'United Data'!$B$3:$B$2150,"&lt;&gt;P")&gt;0,1,0)</f>
        <v>0</v>
      </c>
      <c r="O623">
        <f>IF(COUNTIFS('United Data'!$A$3:$A$2150,O$1,'United Data'!$C$3:$C$2150,$A623,'United Data'!$B$3:$B$2150,"&lt;&gt;P")&gt;0,1,0)</f>
        <v>1</v>
      </c>
      <c r="P623">
        <f>IF(COUNTIFS('United Data'!$A$3:$A$2150,P$1,'United Data'!$C$3:$C$2150,$A623,'United Data'!$B$3:$B$2150,"&lt;&gt;P")&gt;0,1,0)</f>
        <v>0</v>
      </c>
      <c r="Q623">
        <f>IF(COUNTIFS('United Data'!$A$3:$A$2150,Q$1,'United Data'!$C$3:$C$2150,$A623,'United Data'!$B$3:$B$2150,"&lt;&gt;P")&gt;0,1,0)</f>
        <v>0</v>
      </c>
      <c r="R623">
        <f>IF(COUNTIFS('United Data'!$A$3:$A$2150,R$1,'United Data'!$C$3:$C$2150,$A623,'United Data'!$B$3:$B$2150,"&lt;&gt;P")&gt;0,1,0)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670</v>
      </c>
      <c r="B624">
        <f>IF(COUNTIFS('United Data'!$A$3:$A$2150,B$1,'United Data'!$C$3:$C$2150,$A624,'United Data'!$B$3:$B$2150,"&lt;&gt;P")&gt;0,1,0)</f>
        <v>0</v>
      </c>
      <c r="C624">
        <f>IF(COUNTIFS('United Data'!$A$3:$A$2150,C$1,'United Data'!$C$3:$C$2150,$A624,'United Data'!$B$3:$B$2150,"&lt;&gt;P")&gt;0,1,0)</f>
        <v>0</v>
      </c>
      <c r="D624">
        <f>IF(COUNTIFS('United Data'!$A$3:$A$2150,D$1,'United Data'!$C$3:$C$2150,$A624,'United Data'!$B$3:$B$2150,"&lt;&gt;P")&gt;0,1,0)</f>
        <v>0</v>
      </c>
      <c r="E624">
        <f>IF(COUNTIFS('United Data'!$A$3:$A$2150,E$1,'United Data'!$C$3:$C$2150,$A624,'United Data'!$B$3:$B$2150,"&lt;&gt;P")&gt;0,1,0)</f>
        <v>0</v>
      </c>
      <c r="F624">
        <f>IF(COUNTIFS('United Data'!$A$3:$A$2150,F$1,'United Data'!$C$3:$C$2150,$A624,'United Data'!$B$3:$B$2150,"&lt;&gt;P")&gt;0,1,0)</f>
        <v>0</v>
      </c>
      <c r="G624">
        <f>IF(COUNTIFS('United Data'!$A$3:$A$2150,G$1,'United Data'!$C$3:$C$2150,$A624,'United Data'!$B$3:$B$2150,"&lt;&gt;P")&gt;0,1,0)</f>
        <v>0</v>
      </c>
      <c r="H624">
        <f>IF(COUNTIFS('United Data'!$A$3:$A$2150,H$1,'United Data'!$C$3:$C$2150,$A624,'United Data'!$B$3:$B$2150,"&lt;&gt;P")&gt;0,1,0)</f>
        <v>0</v>
      </c>
      <c r="I624">
        <f>IF(COUNTIFS('United Data'!$A$3:$A$2150,I$1,'United Data'!$C$3:$C$2150,$A624,'United Data'!$B$3:$B$2150,"&lt;&gt;P")&gt;0,1,0)</f>
        <v>0</v>
      </c>
      <c r="J624">
        <f>IF(COUNTIFS('United Data'!$A$3:$A$2150,J$1,'United Data'!$C$3:$C$2150,$A624,'United Data'!$B$3:$B$2150,"&lt;&gt;P")&gt;0,1,0)</f>
        <v>0</v>
      </c>
      <c r="K624">
        <f>IF(COUNTIFS('United Data'!$A$3:$A$2150,K$1,'United Data'!$C$3:$C$2150,$A624,'United Data'!$B$3:$B$2150,"&lt;&gt;P")&gt;0,1,0)</f>
        <v>0</v>
      </c>
      <c r="L624">
        <f>IF(COUNTIFS('United Data'!$A$3:$A$2150,L$1,'United Data'!$C$3:$C$2150,$A624,'United Data'!$B$3:$B$2150,"&lt;&gt;P")&gt;0,1,0)</f>
        <v>0</v>
      </c>
      <c r="M624">
        <f>IF(COUNTIFS('United Data'!$A$3:$A$2150,M$1,'United Data'!$C$3:$C$2150,$A624,'United Data'!$B$3:$B$2150,"&lt;&gt;P")&gt;0,1,0)</f>
        <v>0</v>
      </c>
      <c r="N624">
        <f>IF(COUNTIFS('United Data'!$A$3:$A$2150,N$1,'United Data'!$C$3:$C$2150,$A624,'United Data'!$B$3:$B$2150,"&lt;&gt;P")&gt;0,1,0)</f>
        <v>0</v>
      </c>
      <c r="O624">
        <f>IF(COUNTIFS('United Data'!$A$3:$A$2150,O$1,'United Data'!$C$3:$C$2150,$A624,'United Data'!$B$3:$B$2150,"&lt;&gt;P")&gt;0,1,0)</f>
        <v>1</v>
      </c>
      <c r="P624">
        <f>IF(COUNTIFS('United Data'!$A$3:$A$2150,P$1,'United Data'!$C$3:$C$2150,$A624,'United Data'!$B$3:$B$2150,"&lt;&gt;P")&gt;0,1,0)</f>
        <v>0</v>
      </c>
      <c r="Q624">
        <f>IF(COUNTIFS('United Data'!$A$3:$A$2150,Q$1,'United Data'!$C$3:$C$2150,$A624,'United Data'!$B$3:$B$2150,"&lt;&gt;P")&gt;0,1,0)</f>
        <v>0</v>
      </c>
      <c r="R624">
        <f>IF(COUNTIFS('United Data'!$A$3:$A$2150,R$1,'United Data'!$C$3:$C$2150,$A624,'United Data'!$B$3:$B$2150,"&lt;&gt;P")&gt;0,1,0)</f>
        <v>0</v>
      </c>
      <c r="S624">
        <f t="shared" si="18"/>
        <v>1</v>
      </c>
      <c r="T624">
        <f t="shared" si="19"/>
        <v>1</v>
      </c>
    </row>
    <row r="625" spans="1:20" x14ac:dyDescent="0.2">
      <c r="A625" t="s">
        <v>671</v>
      </c>
      <c r="B625">
        <f>IF(COUNTIFS('United Data'!$A$3:$A$2150,B$1,'United Data'!$C$3:$C$2150,$A625,'United Data'!$B$3:$B$2150,"&lt;&gt;P")&gt;0,1,0)</f>
        <v>0</v>
      </c>
      <c r="C625">
        <f>IF(COUNTIFS('United Data'!$A$3:$A$2150,C$1,'United Data'!$C$3:$C$2150,$A625,'United Data'!$B$3:$B$2150,"&lt;&gt;P")&gt;0,1,0)</f>
        <v>0</v>
      </c>
      <c r="D625">
        <f>IF(COUNTIFS('United Data'!$A$3:$A$2150,D$1,'United Data'!$C$3:$C$2150,$A625,'United Data'!$B$3:$B$2150,"&lt;&gt;P")&gt;0,1,0)</f>
        <v>0</v>
      </c>
      <c r="E625">
        <f>IF(COUNTIFS('United Data'!$A$3:$A$2150,E$1,'United Data'!$C$3:$C$2150,$A625,'United Data'!$B$3:$B$2150,"&lt;&gt;P")&gt;0,1,0)</f>
        <v>0</v>
      </c>
      <c r="F625">
        <f>IF(COUNTIFS('United Data'!$A$3:$A$2150,F$1,'United Data'!$C$3:$C$2150,$A625,'United Data'!$B$3:$B$2150,"&lt;&gt;P")&gt;0,1,0)</f>
        <v>0</v>
      </c>
      <c r="G625">
        <f>IF(COUNTIFS('United Data'!$A$3:$A$2150,G$1,'United Data'!$C$3:$C$2150,$A625,'United Data'!$B$3:$B$2150,"&lt;&gt;P")&gt;0,1,0)</f>
        <v>0</v>
      </c>
      <c r="H625">
        <f>IF(COUNTIFS('United Data'!$A$3:$A$2150,H$1,'United Data'!$C$3:$C$2150,$A625,'United Data'!$B$3:$B$2150,"&lt;&gt;P")&gt;0,1,0)</f>
        <v>0</v>
      </c>
      <c r="I625">
        <f>IF(COUNTIFS('United Data'!$A$3:$A$2150,I$1,'United Data'!$C$3:$C$2150,$A625,'United Data'!$B$3:$B$2150,"&lt;&gt;P")&gt;0,1,0)</f>
        <v>0</v>
      </c>
      <c r="J625">
        <f>IF(COUNTIFS('United Data'!$A$3:$A$2150,J$1,'United Data'!$C$3:$C$2150,$A625,'United Data'!$B$3:$B$2150,"&lt;&gt;P")&gt;0,1,0)</f>
        <v>0</v>
      </c>
      <c r="K625">
        <f>IF(COUNTIFS('United Data'!$A$3:$A$2150,K$1,'United Data'!$C$3:$C$2150,$A625,'United Data'!$B$3:$B$2150,"&lt;&gt;P")&gt;0,1,0)</f>
        <v>0</v>
      </c>
      <c r="L625">
        <f>IF(COUNTIFS('United Data'!$A$3:$A$2150,L$1,'United Data'!$C$3:$C$2150,$A625,'United Data'!$B$3:$B$2150,"&lt;&gt;P")&gt;0,1,0)</f>
        <v>0</v>
      </c>
      <c r="M625">
        <f>IF(COUNTIFS('United Data'!$A$3:$A$2150,M$1,'United Data'!$C$3:$C$2150,$A625,'United Data'!$B$3:$B$2150,"&lt;&gt;P")&gt;0,1,0)</f>
        <v>0</v>
      </c>
      <c r="N625">
        <f>IF(COUNTIFS('United Data'!$A$3:$A$2150,N$1,'United Data'!$C$3:$C$2150,$A625,'United Data'!$B$3:$B$2150,"&lt;&gt;P")&gt;0,1,0)</f>
        <v>0</v>
      </c>
      <c r="O625">
        <f>IF(COUNTIFS('United Data'!$A$3:$A$2150,O$1,'United Data'!$C$3:$C$2150,$A625,'United Data'!$B$3:$B$2150,"&lt;&gt;P")&gt;0,1,0)</f>
        <v>1</v>
      </c>
      <c r="P625">
        <f>IF(COUNTIFS('United Data'!$A$3:$A$2150,P$1,'United Data'!$C$3:$C$2150,$A625,'United Data'!$B$3:$B$2150,"&lt;&gt;P")&gt;0,1,0)</f>
        <v>0</v>
      </c>
      <c r="Q625">
        <f>IF(COUNTIFS('United Data'!$A$3:$A$2150,Q$1,'United Data'!$C$3:$C$2150,$A625,'United Data'!$B$3:$B$2150,"&lt;&gt;P")&gt;0,1,0)</f>
        <v>0</v>
      </c>
      <c r="R625">
        <f>IF(COUNTIFS('United Data'!$A$3:$A$2150,R$1,'United Data'!$C$3:$C$2150,$A625,'United Data'!$B$3:$B$2150,"&lt;&gt;P")&gt;0,1,0)</f>
        <v>0</v>
      </c>
      <c r="S625">
        <f t="shared" si="18"/>
        <v>1</v>
      </c>
      <c r="T625">
        <f t="shared" si="19"/>
        <v>1</v>
      </c>
    </row>
    <row r="626" spans="1:20" x14ac:dyDescent="0.2">
      <c r="A626" t="s">
        <v>672</v>
      </c>
      <c r="B626">
        <f>IF(COUNTIFS('United Data'!$A$3:$A$2150,B$1,'United Data'!$C$3:$C$2150,$A626,'United Data'!$B$3:$B$2150,"&lt;&gt;P")&gt;0,1,0)</f>
        <v>0</v>
      </c>
      <c r="C626">
        <f>IF(COUNTIFS('United Data'!$A$3:$A$2150,C$1,'United Data'!$C$3:$C$2150,$A626,'United Data'!$B$3:$B$2150,"&lt;&gt;P")&gt;0,1,0)</f>
        <v>0</v>
      </c>
      <c r="D626">
        <f>IF(COUNTIFS('United Data'!$A$3:$A$2150,D$1,'United Data'!$C$3:$C$2150,$A626,'United Data'!$B$3:$B$2150,"&lt;&gt;P")&gt;0,1,0)</f>
        <v>0</v>
      </c>
      <c r="E626">
        <f>IF(COUNTIFS('United Data'!$A$3:$A$2150,E$1,'United Data'!$C$3:$C$2150,$A626,'United Data'!$B$3:$B$2150,"&lt;&gt;P")&gt;0,1,0)</f>
        <v>0</v>
      </c>
      <c r="F626">
        <f>IF(COUNTIFS('United Data'!$A$3:$A$2150,F$1,'United Data'!$C$3:$C$2150,$A626,'United Data'!$B$3:$B$2150,"&lt;&gt;P")&gt;0,1,0)</f>
        <v>0</v>
      </c>
      <c r="G626">
        <f>IF(COUNTIFS('United Data'!$A$3:$A$2150,G$1,'United Data'!$C$3:$C$2150,$A626,'United Data'!$B$3:$B$2150,"&lt;&gt;P")&gt;0,1,0)</f>
        <v>0</v>
      </c>
      <c r="H626">
        <f>IF(COUNTIFS('United Data'!$A$3:$A$2150,H$1,'United Data'!$C$3:$C$2150,$A626,'United Data'!$B$3:$B$2150,"&lt;&gt;P")&gt;0,1,0)</f>
        <v>0</v>
      </c>
      <c r="I626">
        <f>IF(COUNTIFS('United Data'!$A$3:$A$2150,I$1,'United Data'!$C$3:$C$2150,$A626,'United Data'!$B$3:$B$2150,"&lt;&gt;P")&gt;0,1,0)</f>
        <v>0</v>
      </c>
      <c r="J626">
        <f>IF(COUNTIFS('United Data'!$A$3:$A$2150,J$1,'United Data'!$C$3:$C$2150,$A626,'United Data'!$B$3:$B$2150,"&lt;&gt;P")&gt;0,1,0)</f>
        <v>0</v>
      </c>
      <c r="K626">
        <f>IF(COUNTIFS('United Data'!$A$3:$A$2150,K$1,'United Data'!$C$3:$C$2150,$A626,'United Data'!$B$3:$B$2150,"&lt;&gt;P")&gt;0,1,0)</f>
        <v>0</v>
      </c>
      <c r="L626">
        <f>IF(COUNTIFS('United Data'!$A$3:$A$2150,L$1,'United Data'!$C$3:$C$2150,$A626,'United Data'!$B$3:$B$2150,"&lt;&gt;P")&gt;0,1,0)</f>
        <v>0</v>
      </c>
      <c r="M626">
        <f>IF(COUNTIFS('United Data'!$A$3:$A$2150,M$1,'United Data'!$C$3:$C$2150,$A626,'United Data'!$B$3:$B$2150,"&lt;&gt;P")&gt;0,1,0)</f>
        <v>0</v>
      </c>
      <c r="N626">
        <f>IF(COUNTIFS('United Data'!$A$3:$A$2150,N$1,'United Data'!$C$3:$C$2150,$A626,'United Data'!$B$3:$B$2150,"&lt;&gt;P")&gt;0,1,0)</f>
        <v>0</v>
      </c>
      <c r="O626">
        <f>IF(COUNTIFS('United Data'!$A$3:$A$2150,O$1,'United Data'!$C$3:$C$2150,$A626,'United Data'!$B$3:$B$2150,"&lt;&gt;P")&gt;0,1,0)</f>
        <v>0</v>
      </c>
      <c r="P626">
        <f>IF(COUNTIFS('United Data'!$A$3:$A$2150,P$1,'United Data'!$C$3:$C$2150,$A626,'United Data'!$B$3:$B$2150,"&lt;&gt;P")&gt;0,1,0)</f>
        <v>1</v>
      </c>
      <c r="Q626">
        <f>IF(COUNTIFS('United Data'!$A$3:$A$2150,Q$1,'United Data'!$C$3:$C$2150,$A626,'United Data'!$B$3:$B$2150,"&lt;&gt;P")&gt;0,1,0)</f>
        <v>0</v>
      </c>
      <c r="R626">
        <f>IF(COUNTIFS('United Data'!$A$3:$A$2150,R$1,'United Data'!$C$3:$C$2150,$A626,'United Data'!$B$3:$B$2150,"&lt;&gt;P")&gt;0,1,0)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673</v>
      </c>
      <c r="B627">
        <f>IF(COUNTIFS('United Data'!$A$3:$A$2150,B$1,'United Data'!$C$3:$C$2150,$A627,'United Data'!$B$3:$B$2150,"&lt;&gt;P")&gt;0,1,0)</f>
        <v>0</v>
      </c>
      <c r="C627">
        <f>IF(COUNTIFS('United Data'!$A$3:$A$2150,C$1,'United Data'!$C$3:$C$2150,$A627,'United Data'!$B$3:$B$2150,"&lt;&gt;P")&gt;0,1,0)</f>
        <v>0</v>
      </c>
      <c r="D627">
        <f>IF(COUNTIFS('United Data'!$A$3:$A$2150,D$1,'United Data'!$C$3:$C$2150,$A627,'United Data'!$B$3:$B$2150,"&lt;&gt;P")&gt;0,1,0)</f>
        <v>0</v>
      </c>
      <c r="E627">
        <f>IF(COUNTIFS('United Data'!$A$3:$A$2150,E$1,'United Data'!$C$3:$C$2150,$A627,'United Data'!$B$3:$B$2150,"&lt;&gt;P")&gt;0,1,0)</f>
        <v>0</v>
      </c>
      <c r="F627">
        <f>IF(COUNTIFS('United Data'!$A$3:$A$2150,F$1,'United Data'!$C$3:$C$2150,$A627,'United Data'!$B$3:$B$2150,"&lt;&gt;P")&gt;0,1,0)</f>
        <v>0</v>
      </c>
      <c r="G627">
        <f>IF(COUNTIFS('United Data'!$A$3:$A$2150,G$1,'United Data'!$C$3:$C$2150,$A627,'United Data'!$B$3:$B$2150,"&lt;&gt;P")&gt;0,1,0)</f>
        <v>0</v>
      </c>
      <c r="H627">
        <f>IF(COUNTIFS('United Data'!$A$3:$A$2150,H$1,'United Data'!$C$3:$C$2150,$A627,'United Data'!$B$3:$B$2150,"&lt;&gt;P")&gt;0,1,0)</f>
        <v>0</v>
      </c>
      <c r="I627">
        <f>IF(COUNTIFS('United Data'!$A$3:$A$2150,I$1,'United Data'!$C$3:$C$2150,$A627,'United Data'!$B$3:$B$2150,"&lt;&gt;P")&gt;0,1,0)</f>
        <v>0</v>
      </c>
      <c r="J627">
        <f>IF(COUNTIFS('United Data'!$A$3:$A$2150,J$1,'United Data'!$C$3:$C$2150,$A627,'United Data'!$B$3:$B$2150,"&lt;&gt;P")&gt;0,1,0)</f>
        <v>0</v>
      </c>
      <c r="K627">
        <f>IF(COUNTIFS('United Data'!$A$3:$A$2150,K$1,'United Data'!$C$3:$C$2150,$A627,'United Data'!$B$3:$B$2150,"&lt;&gt;P")&gt;0,1,0)</f>
        <v>0</v>
      </c>
      <c r="L627">
        <f>IF(COUNTIFS('United Data'!$A$3:$A$2150,L$1,'United Data'!$C$3:$C$2150,$A627,'United Data'!$B$3:$B$2150,"&lt;&gt;P")&gt;0,1,0)</f>
        <v>0</v>
      </c>
      <c r="M627">
        <f>IF(COUNTIFS('United Data'!$A$3:$A$2150,M$1,'United Data'!$C$3:$C$2150,$A627,'United Data'!$B$3:$B$2150,"&lt;&gt;P")&gt;0,1,0)</f>
        <v>0</v>
      </c>
      <c r="N627">
        <f>IF(COUNTIFS('United Data'!$A$3:$A$2150,N$1,'United Data'!$C$3:$C$2150,$A627,'United Data'!$B$3:$B$2150,"&lt;&gt;P")&gt;0,1,0)</f>
        <v>0</v>
      </c>
      <c r="O627">
        <f>IF(COUNTIFS('United Data'!$A$3:$A$2150,O$1,'United Data'!$C$3:$C$2150,$A627,'United Data'!$B$3:$B$2150,"&lt;&gt;P")&gt;0,1,0)</f>
        <v>0</v>
      </c>
      <c r="P627">
        <f>IF(COUNTIFS('United Data'!$A$3:$A$2150,P$1,'United Data'!$C$3:$C$2150,$A627,'United Data'!$B$3:$B$2150,"&lt;&gt;P")&gt;0,1,0)</f>
        <v>1</v>
      </c>
      <c r="Q627">
        <f>IF(COUNTIFS('United Data'!$A$3:$A$2150,Q$1,'United Data'!$C$3:$C$2150,$A627,'United Data'!$B$3:$B$2150,"&lt;&gt;P")&gt;0,1,0)</f>
        <v>0</v>
      </c>
      <c r="R627">
        <f>IF(COUNTIFS('United Data'!$A$3:$A$2150,R$1,'United Data'!$C$3:$C$2150,$A627,'United Data'!$B$3:$B$2150,"&lt;&gt;P")&gt;0,1,0)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674</v>
      </c>
      <c r="B628">
        <f>IF(COUNTIFS('United Data'!$A$3:$A$2150,B$1,'United Data'!$C$3:$C$2150,$A628,'United Data'!$B$3:$B$2150,"&lt;&gt;P")&gt;0,1,0)</f>
        <v>0</v>
      </c>
      <c r="C628">
        <f>IF(COUNTIFS('United Data'!$A$3:$A$2150,C$1,'United Data'!$C$3:$C$2150,$A628,'United Data'!$B$3:$B$2150,"&lt;&gt;P")&gt;0,1,0)</f>
        <v>0</v>
      </c>
      <c r="D628">
        <f>IF(COUNTIFS('United Data'!$A$3:$A$2150,D$1,'United Data'!$C$3:$C$2150,$A628,'United Data'!$B$3:$B$2150,"&lt;&gt;P")&gt;0,1,0)</f>
        <v>0</v>
      </c>
      <c r="E628">
        <f>IF(COUNTIFS('United Data'!$A$3:$A$2150,E$1,'United Data'!$C$3:$C$2150,$A628,'United Data'!$B$3:$B$2150,"&lt;&gt;P")&gt;0,1,0)</f>
        <v>0</v>
      </c>
      <c r="F628">
        <f>IF(COUNTIFS('United Data'!$A$3:$A$2150,F$1,'United Data'!$C$3:$C$2150,$A628,'United Data'!$B$3:$B$2150,"&lt;&gt;P")&gt;0,1,0)</f>
        <v>0</v>
      </c>
      <c r="G628">
        <f>IF(COUNTIFS('United Data'!$A$3:$A$2150,G$1,'United Data'!$C$3:$C$2150,$A628,'United Data'!$B$3:$B$2150,"&lt;&gt;P")&gt;0,1,0)</f>
        <v>0</v>
      </c>
      <c r="H628">
        <f>IF(COUNTIFS('United Data'!$A$3:$A$2150,H$1,'United Data'!$C$3:$C$2150,$A628,'United Data'!$B$3:$B$2150,"&lt;&gt;P")&gt;0,1,0)</f>
        <v>0</v>
      </c>
      <c r="I628">
        <f>IF(COUNTIFS('United Data'!$A$3:$A$2150,I$1,'United Data'!$C$3:$C$2150,$A628,'United Data'!$B$3:$B$2150,"&lt;&gt;P")&gt;0,1,0)</f>
        <v>0</v>
      </c>
      <c r="J628">
        <f>IF(COUNTIFS('United Data'!$A$3:$A$2150,J$1,'United Data'!$C$3:$C$2150,$A628,'United Data'!$B$3:$B$2150,"&lt;&gt;P")&gt;0,1,0)</f>
        <v>0</v>
      </c>
      <c r="K628">
        <f>IF(COUNTIFS('United Data'!$A$3:$A$2150,K$1,'United Data'!$C$3:$C$2150,$A628,'United Data'!$B$3:$B$2150,"&lt;&gt;P")&gt;0,1,0)</f>
        <v>0</v>
      </c>
      <c r="L628">
        <f>IF(COUNTIFS('United Data'!$A$3:$A$2150,L$1,'United Data'!$C$3:$C$2150,$A628,'United Data'!$B$3:$B$2150,"&lt;&gt;P")&gt;0,1,0)</f>
        <v>0</v>
      </c>
      <c r="M628">
        <f>IF(COUNTIFS('United Data'!$A$3:$A$2150,M$1,'United Data'!$C$3:$C$2150,$A628,'United Data'!$B$3:$B$2150,"&lt;&gt;P")&gt;0,1,0)</f>
        <v>0</v>
      </c>
      <c r="N628">
        <f>IF(COUNTIFS('United Data'!$A$3:$A$2150,N$1,'United Data'!$C$3:$C$2150,$A628,'United Data'!$B$3:$B$2150,"&lt;&gt;P")&gt;0,1,0)</f>
        <v>0</v>
      </c>
      <c r="O628">
        <f>IF(COUNTIFS('United Data'!$A$3:$A$2150,O$1,'United Data'!$C$3:$C$2150,$A628,'United Data'!$B$3:$B$2150,"&lt;&gt;P")&gt;0,1,0)</f>
        <v>0</v>
      </c>
      <c r="P628">
        <f>IF(COUNTIFS('United Data'!$A$3:$A$2150,P$1,'United Data'!$C$3:$C$2150,$A628,'United Data'!$B$3:$B$2150,"&lt;&gt;P")&gt;0,1,0)</f>
        <v>1</v>
      </c>
      <c r="Q628">
        <f>IF(COUNTIFS('United Data'!$A$3:$A$2150,Q$1,'United Data'!$C$3:$C$2150,$A628,'United Data'!$B$3:$B$2150,"&lt;&gt;P")&gt;0,1,0)</f>
        <v>0</v>
      </c>
      <c r="R628">
        <f>IF(COUNTIFS('United Data'!$A$3:$A$2150,R$1,'United Data'!$C$3:$C$2150,$A628,'United Data'!$B$3:$B$2150,"&lt;&gt;P")&gt;0,1,0)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675</v>
      </c>
      <c r="B629">
        <f>IF(COUNTIFS('United Data'!$A$3:$A$2150,B$1,'United Data'!$C$3:$C$2150,$A629,'United Data'!$B$3:$B$2150,"&lt;&gt;P")&gt;0,1,0)</f>
        <v>1</v>
      </c>
      <c r="C629">
        <f>IF(COUNTIFS('United Data'!$A$3:$A$2150,C$1,'United Data'!$C$3:$C$2150,$A629,'United Data'!$B$3:$B$2150,"&lt;&gt;P")&gt;0,1,0)</f>
        <v>0</v>
      </c>
      <c r="D629">
        <f>IF(COUNTIFS('United Data'!$A$3:$A$2150,D$1,'United Data'!$C$3:$C$2150,$A629,'United Data'!$B$3:$B$2150,"&lt;&gt;P")&gt;0,1,0)</f>
        <v>0</v>
      </c>
      <c r="E629">
        <f>IF(COUNTIFS('United Data'!$A$3:$A$2150,E$1,'United Data'!$C$3:$C$2150,$A629,'United Data'!$B$3:$B$2150,"&lt;&gt;P")&gt;0,1,0)</f>
        <v>0</v>
      </c>
      <c r="F629">
        <f>IF(COUNTIFS('United Data'!$A$3:$A$2150,F$1,'United Data'!$C$3:$C$2150,$A629,'United Data'!$B$3:$B$2150,"&lt;&gt;P")&gt;0,1,0)</f>
        <v>0</v>
      </c>
      <c r="G629">
        <f>IF(COUNTIFS('United Data'!$A$3:$A$2150,G$1,'United Data'!$C$3:$C$2150,$A629,'United Data'!$B$3:$B$2150,"&lt;&gt;P")&gt;0,1,0)</f>
        <v>0</v>
      </c>
      <c r="H629">
        <f>IF(COUNTIFS('United Data'!$A$3:$A$2150,H$1,'United Data'!$C$3:$C$2150,$A629,'United Data'!$B$3:$B$2150,"&lt;&gt;P")&gt;0,1,0)</f>
        <v>0</v>
      </c>
      <c r="I629">
        <f>IF(COUNTIFS('United Data'!$A$3:$A$2150,I$1,'United Data'!$C$3:$C$2150,$A629,'United Data'!$B$3:$B$2150,"&lt;&gt;P")&gt;0,1,0)</f>
        <v>0</v>
      </c>
      <c r="J629">
        <f>IF(COUNTIFS('United Data'!$A$3:$A$2150,J$1,'United Data'!$C$3:$C$2150,$A629,'United Data'!$B$3:$B$2150,"&lt;&gt;P")&gt;0,1,0)</f>
        <v>0</v>
      </c>
      <c r="K629">
        <f>IF(COUNTIFS('United Data'!$A$3:$A$2150,K$1,'United Data'!$C$3:$C$2150,$A629,'United Data'!$B$3:$B$2150,"&lt;&gt;P")&gt;0,1,0)</f>
        <v>0</v>
      </c>
      <c r="L629">
        <f>IF(COUNTIFS('United Data'!$A$3:$A$2150,L$1,'United Data'!$C$3:$C$2150,$A629,'United Data'!$B$3:$B$2150,"&lt;&gt;P")&gt;0,1,0)</f>
        <v>0</v>
      </c>
      <c r="M629">
        <f>IF(COUNTIFS('United Data'!$A$3:$A$2150,M$1,'United Data'!$C$3:$C$2150,$A629,'United Data'!$B$3:$B$2150,"&lt;&gt;P")&gt;0,1,0)</f>
        <v>0</v>
      </c>
      <c r="N629">
        <f>IF(COUNTIFS('United Data'!$A$3:$A$2150,N$1,'United Data'!$C$3:$C$2150,$A629,'United Data'!$B$3:$B$2150,"&lt;&gt;P")&gt;0,1,0)</f>
        <v>0</v>
      </c>
      <c r="O629">
        <f>IF(COUNTIFS('United Data'!$A$3:$A$2150,O$1,'United Data'!$C$3:$C$2150,$A629,'United Data'!$B$3:$B$2150,"&lt;&gt;P")&gt;0,1,0)</f>
        <v>0</v>
      </c>
      <c r="P629">
        <f>IF(COUNTIFS('United Data'!$A$3:$A$2150,P$1,'United Data'!$C$3:$C$2150,$A629,'United Data'!$B$3:$B$2150,"&lt;&gt;P")&gt;0,1,0)</f>
        <v>0</v>
      </c>
      <c r="Q629">
        <f>IF(COUNTIFS('United Data'!$A$3:$A$2150,Q$1,'United Data'!$C$3:$C$2150,$A629,'United Data'!$B$3:$B$2150,"&lt;&gt;P")&gt;0,1,0)</f>
        <v>0</v>
      </c>
      <c r="R629">
        <f>IF(COUNTIFS('United Data'!$A$3:$A$2150,R$1,'United Data'!$C$3:$C$2150,$A629,'United Data'!$B$3:$B$2150,"&lt;&gt;P")&gt;0,1,0)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676</v>
      </c>
      <c r="B630">
        <f>IF(COUNTIFS('United Data'!$A$3:$A$2150,B$1,'United Data'!$C$3:$C$2150,$A630,'United Data'!$B$3:$B$2150,"&lt;&gt;P")&gt;0,1,0)</f>
        <v>1</v>
      </c>
      <c r="C630">
        <f>IF(COUNTIFS('United Data'!$A$3:$A$2150,C$1,'United Data'!$C$3:$C$2150,$A630,'United Data'!$B$3:$B$2150,"&lt;&gt;P")&gt;0,1,0)</f>
        <v>0</v>
      </c>
      <c r="D630">
        <f>IF(COUNTIFS('United Data'!$A$3:$A$2150,D$1,'United Data'!$C$3:$C$2150,$A630,'United Data'!$B$3:$B$2150,"&lt;&gt;P")&gt;0,1,0)</f>
        <v>0</v>
      </c>
      <c r="E630">
        <f>IF(COUNTIFS('United Data'!$A$3:$A$2150,E$1,'United Data'!$C$3:$C$2150,$A630,'United Data'!$B$3:$B$2150,"&lt;&gt;P")&gt;0,1,0)</f>
        <v>0</v>
      </c>
      <c r="F630">
        <f>IF(COUNTIFS('United Data'!$A$3:$A$2150,F$1,'United Data'!$C$3:$C$2150,$A630,'United Data'!$B$3:$B$2150,"&lt;&gt;P")&gt;0,1,0)</f>
        <v>0</v>
      </c>
      <c r="G630">
        <f>IF(COUNTIFS('United Data'!$A$3:$A$2150,G$1,'United Data'!$C$3:$C$2150,$A630,'United Data'!$B$3:$B$2150,"&lt;&gt;P")&gt;0,1,0)</f>
        <v>0</v>
      </c>
      <c r="H630">
        <f>IF(COUNTIFS('United Data'!$A$3:$A$2150,H$1,'United Data'!$C$3:$C$2150,$A630,'United Data'!$B$3:$B$2150,"&lt;&gt;P")&gt;0,1,0)</f>
        <v>0</v>
      </c>
      <c r="I630">
        <f>IF(COUNTIFS('United Data'!$A$3:$A$2150,I$1,'United Data'!$C$3:$C$2150,$A630,'United Data'!$B$3:$B$2150,"&lt;&gt;P")&gt;0,1,0)</f>
        <v>0</v>
      </c>
      <c r="J630">
        <f>IF(COUNTIFS('United Data'!$A$3:$A$2150,J$1,'United Data'!$C$3:$C$2150,$A630,'United Data'!$B$3:$B$2150,"&lt;&gt;P")&gt;0,1,0)</f>
        <v>0</v>
      </c>
      <c r="K630">
        <f>IF(COUNTIFS('United Data'!$A$3:$A$2150,K$1,'United Data'!$C$3:$C$2150,$A630,'United Data'!$B$3:$B$2150,"&lt;&gt;P")&gt;0,1,0)</f>
        <v>0</v>
      </c>
      <c r="L630">
        <f>IF(COUNTIFS('United Data'!$A$3:$A$2150,L$1,'United Data'!$C$3:$C$2150,$A630,'United Data'!$B$3:$B$2150,"&lt;&gt;P")&gt;0,1,0)</f>
        <v>0</v>
      </c>
      <c r="M630">
        <f>IF(COUNTIFS('United Data'!$A$3:$A$2150,M$1,'United Data'!$C$3:$C$2150,$A630,'United Data'!$B$3:$B$2150,"&lt;&gt;P")&gt;0,1,0)</f>
        <v>0</v>
      </c>
      <c r="N630">
        <f>IF(COUNTIFS('United Data'!$A$3:$A$2150,N$1,'United Data'!$C$3:$C$2150,$A630,'United Data'!$B$3:$B$2150,"&lt;&gt;P")&gt;0,1,0)</f>
        <v>0</v>
      </c>
      <c r="O630">
        <f>IF(COUNTIFS('United Data'!$A$3:$A$2150,O$1,'United Data'!$C$3:$C$2150,$A630,'United Data'!$B$3:$B$2150,"&lt;&gt;P")&gt;0,1,0)</f>
        <v>0</v>
      </c>
      <c r="P630">
        <f>IF(COUNTIFS('United Data'!$A$3:$A$2150,P$1,'United Data'!$C$3:$C$2150,$A630,'United Data'!$B$3:$B$2150,"&lt;&gt;P")&gt;0,1,0)</f>
        <v>0</v>
      </c>
      <c r="Q630">
        <f>IF(COUNTIFS('United Data'!$A$3:$A$2150,Q$1,'United Data'!$C$3:$C$2150,$A630,'United Data'!$B$3:$B$2150,"&lt;&gt;P")&gt;0,1,0)</f>
        <v>0</v>
      </c>
      <c r="R630">
        <f>IF(COUNTIFS('United Data'!$A$3:$A$2150,R$1,'United Data'!$C$3:$C$2150,$A630,'United Data'!$B$3:$B$2150,"&lt;&gt;P")&gt;0,1,0)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677</v>
      </c>
      <c r="B631">
        <f>IF(COUNTIFS('United Data'!$A$3:$A$2150,B$1,'United Data'!$C$3:$C$2150,$A631,'United Data'!$B$3:$B$2150,"&lt;&gt;P")&gt;0,1,0)</f>
        <v>0</v>
      </c>
      <c r="C631">
        <f>IF(COUNTIFS('United Data'!$A$3:$A$2150,C$1,'United Data'!$C$3:$C$2150,$A631,'United Data'!$B$3:$B$2150,"&lt;&gt;P")&gt;0,1,0)</f>
        <v>0</v>
      </c>
      <c r="D631">
        <f>IF(COUNTIFS('United Data'!$A$3:$A$2150,D$1,'United Data'!$C$3:$C$2150,$A631,'United Data'!$B$3:$B$2150,"&lt;&gt;P")&gt;0,1,0)</f>
        <v>1</v>
      </c>
      <c r="E631">
        <f>IF(COUNTIFS('United Data'!$A$3:$A$2150,E$1,'United Data'!$C$3:$C$2150,$A631,'United Data'!$B$3:$B$2150,"&lt;&gt;P")&gt;0,1,0)</f>
        <v>0</v>
      </c>
      <c r="F631">
        <f>IF(COUNTIFS('United Data'!$A$3:$A$2150,F$1,'United Data'!$C$3:$C$2150,$A631,'United Data'!$B$3:$B$2150,"&lt;&gt;P")&gt;0,1,0)</f>
        <v>0</v>
      </c>
      <c r="G631">
        <f>IF(COUNTIFS('United Data'!$A$3:$A$2150,G$1,'United Data'!$C$3:$C$2150,$A631,'United Data'!$B$3:$B$2150,"&lt;&gt;P")&gt;0,1,0)</f>
        <v>0</v>
      </c>
      <c r="H631">
        <f>IF(COUNTIFS('United Data'!$A$3:$A$2150,H$1,'United Data'!$C$3:$C$2150,$A631,'United Data'!$B$3:$B$2150,"&lt;&gt;P")&gt;0,1,0)</f>
        <v>0</v>
      </c>
      <c r="I631">
        <f>IF(COUNTIFS('United Data'!$A$3:$A$2150,I$1,'United Data'!$C$3:$C$2150,$A631,'United Data'!$B$3:$B$2150,"&lt;&gt;P")&gt;0,1,0)</f>
        <v>0</v>
      </c>
      <c r="J631">
        <f>IF(COUNTIFS('United Data'!$A$3:$A$2150,J$1,'United Data'!$C$3:$C$2150,$A631,'United Data'!$B$3:$B$2150,"&lt;&gt;P")&gt;0,1,0)</f>
        <v>0</v>
      </c>
      <c r="K631">
        <f>IF(COUNTIFS('United Data'!$A$3:$A$2150,K$1,'United Data'!$C$3:$C$2150,$A631,'United Data'!$B$3:$B$2150,"&lt;&gt;P")&gt;0,1,0)</f>
        <v>0</v>
      </c>
      <c r="L631">
        <f>IF(COUNTIFS('United Data'!$A$3:$A$2150,L$1,'United Data'!$C$3:$C$2150,$A631,'United Data'!$B$3:$B$2150,"&lt;&gt;P")&gt;0,1,0)</f>
        <v>0</v>
      </c>
      <c r="M631">
        <f>IF(COUNTIFS('United Data'!$A$3:$A$2150,M$1,'United Data'!$C$3:$C$2150,$A631,'United Data'!$B$3:$B$2150,"&lt;&gt;P")&gt;0,1,0)</f>
        <v>0</v>
      </c>
      <c r="N631">
        <f>IF(COUNTIFS('United Data'!$A$3:$A$2150,N$1,'United Data'!$C$3:$C$2150,$A631,'United Data'!$B$3:$B$2150,"&lt;&gt;P")&gt;0,1,0)</f>
        <v>0</v>
      </c>
      <c r="O631">
        <f>IF(COUNTIFS('United Data'!$A$3:$A$2150,O$1,'United Data'!$C$3:$C$2150,$A631,'United Data'!$B$3:$B$2150,"&lt;&gt;P")&gt;0,1,0)</f>
        <v>0</v>
      </c>
      <c r="P631">
        <f>IF(COUNTIFS('United Data'!$A$3:$A$2150,P$1,'United Data'!$C$3:$C$2150,$A631,'United Data'!$B$3:$B$2150,"&lt;&gt;P")&gt;0,1,0)</f>
        <v>0</v>
      </c>
      <c r="Q631">
        <f>IF(COUNTIFS('United Data'!$A$3:$A$2150,Q$1,'United Data'!$C$3:$C$2150,$A631,'United Data'!$B$3:$B$2150,"&lt;&gt;P")&gt;0,1,0)</f>
        <v>0</v>
      </c>
      <c r="R631">
        <f>IF(COUNTIFS('United Data'!$A$3:$A$2150,R$1,'United Data'!$C$3:$C$2150,$A631,'United Data'!$B$3:$B$2150,"&lt;&gt;P")&gt;0,1,0)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678</v>
      </c>
      <c r="B632">
        <f>IF(COUNTIFS('United Data'!$A$3:$A$2150,B$1,'United Data'!$C$3:$C$2150,$A632,'United Data'!$B$3:$B$2150,"&lt;&gt;P")&gt;0,1,0)</f>
        <v>0</v>
      </c>
      <c r="C632">
        <f>IF(COUNTIFS('United Data'!$A$3:$A$2150,C$1,'United Data'!$C$3:$C$2150,$A632,'United Data'!$B$3:$B$2150,"&lt;&gt;P")&gt;0,1,0)</f>
        <v>0</v>
      </c>
      <c r="D632">
        <f>IF(COUNTIFS('United Data'!$A$3:$A$2150,D$1,'United Data'!$C$3:$C$2150,$A632,'United Data'!$B$3:$B$2150,"&lt;&gt;P")&gt;0,1,0)</f>
        <v>1</v>
      </c>
      <c r="E632">
        <f>IF(COUNTIFS('United Data'!$A$3:$A$2150,E$1,'United Data'!$C$3:$C$2150,$A632,'United Data'!$B$3:$B$2150,"&lt;&gt;P")&gt;0,1,0)</f>
        <v>0</v>
      </c>
      <c r="F632">
        <f>IF(COUNTIFS('United Data'!$A$3:$A$2150,F$1,'United Data'!$C$3:$C$2150,$A632,'United Data'!$B$3:$B$2150,"&lt;&gt;P")&gt;0,1,0)</f>
        <v>0</v>
      </c>
      <c r="G632">
        <f>IF(COUNTIFS('United Data'!$A$3:$A$2150,G$1,'United Data'!$C$3:$C$2150,$A632,'United Data'!$B$3:$B$2150,"&lt;&gt;P")&gt;0,1,0)</f>
        <v>0</v>
      </c>
      <c r="H632">
        <f>IF(COUNTIFS('United Data'!$A$3:$A$2150,H$1,'United Data'!$C$3:$C$2150,$A632,'United Data'!$B$3:$B$2150,"&lt;&gt;P")&gt;0,1,0)</f>
        <v>0</v>
      </c>
      <c r="I632">
        <f>IF(COUNTIFS('United Data'!$A$3:$A$2150,I$1,'United Data'!$C$3:$C$2150,$A632,'United Data'!$B$3:$B$2150,"&lt;&gt;P")&gt;0,1,0)</f>
        <v>0</v>
      </c>
      <c r="J632">
        <f>IF(COUNTIFS('United Data'!$A$3:$A$2150,J$1,'United Data'!$C$3:$C$2150,$A632,'United Data'!$B$3:$B$2150,"&lt;&gt;P")&gt;0,1,0)</f>
        <v>0</v>
      </c>
      <c r="K632">
        <f>IF(COUNTIFS('United Data'!$A$3:$A$2150,K$1,'United Data'!$C$3:$C$2150,$A632,'United Data'!$B$3:$B$2150,"&lt;&gt;P")&gt;0,1,0)</f>
        <v>0</v>
      </c>
      <c r="L632">
        <f>IF(COUNTIFS('United Data'!$A$3:$A$2150,L$1,'United Data'!$C$3:$C$2150,$A632,'United Data'!$B$3:$B$2150,"&lt;&gt;P")&gt;0,1,0)</f>
        <v>0</v>
      </c>
      <c r="M632">
        <f>IF(COUNTIFS('United Data'!$A$3:$A$2150,M$1,'United Data'!$C$3:$C$2150,$A632,'United Data'!$B$3:$B$2150,"&lt;&gt;P")&gt;0,1,0)</f>
        <v>0</v>
      </c>
      <c r="N632">
        <f>IF(COUNTIFS('United Data'!$A$3:$A$2150,N$1,'United Data'!$C$3:$C$2150,$A632,'United Data'!$B$3:$B$2150,"&lt;&gt;P")&gt;0,1,0)</f>
        <v>0</v>
      </c>
      <c r="O632">
        <f>IF(COUNTIFS('United Data'!$A$3:$A$2150,O$1,'United Data'!$C$3:$C$2150,$A632,'United Data'!$B$3:$B$2150,"&lt;&gt;P")&gt;0,1,0)</f>
        <v>0</v>
      </c>
      <c r="P632">
        <f>IF(COUNTIFS('United Data'!$A$3:$A$2150,P$1,'United Data'!$C$3:$C$2150,$A632,'United Data'!$B$3:$B$2150,"&lt;&gt;P")&gt;0,1,0)</f>
        <v>0</v>
      </c>
      <c r="Q632">
        <f>IF(COUNTIFS('United Data'!$A$3:$A$2150,Q$1,'United Data'!$C$3:$C$2150,$A632,'United Data'!$B$3:$B$2150,"&lt;&gt;P")&gt;0,1,0)</f>
        <v>0</v>
      </c>
      <c r="R632">
        <f>IF(COUNTIFS('United Data'!$A$3:$A$2150,R$1,'United Data'!$C$3:$C$2150,$A632,'United Data'!$B$3:$B$2150,"&lt;&gt;P")&gt;0,1,0)</f>
        <v>0</v>
      </c>
      <c r="S632">
        <f t="shared" si="18"/>
        <v>1</v>
      </c>
      <c r="T632">
        <f t="shared" si="19"/>
        <v>1</v>
      </c>
    </row>
    <row r="633" spans="1:20" x14ac:dyDescent="0.2">
      <c r="A633" t="s">
        <v>679</v>
      </c>
      <c r="B633">
        <f>IF(COUNTIFS('United Data'!$A$3:$A$2150,B$1,'United Data'!$C$3:$C$2150,$A633,'United Data'!$B$3:$B$2150,"&lt;&gt;P")&gt;0,1,0)</f>
        <v>0</v>
      </c>
      <c r="C633">
        <f>IF(COUNTIFS('United Data'!$A$3:$A$2150,C$1,'United Data'!$C$3:$C$2150,$A633,'United Data'!$B$3:$B$2150,"&lt;&gt;P")&gt;0,1,0)</f>
        <v>0</v>
      </c>
      <c r="D633">
        <f>IF(COUNTIFS('United Data'!$A$3:$A$2150,D$1,'United Data'!$C$3:$C$2150,$A633,'United Data'!$B$3:$B$2150,"&lt;&gt;P")&gt;0,1,0)</f>
        <v>1</v>
      </c>
      <c r="E633">
        <f>IF(COUNTIFS('United Data'!$A$3:$A$2150,E$1,'United Data'!$C$3:$C$2150,$A633,'United Data'!$B$3:$B$2150,"&lt;&gt;P")&gt;0,1,0)</f>
        <v>1</v>
      </c>
      <c r="F633">
        <f>IF(COUNTIFS('United Data'!$A$3:$A$2150,F$1,'United Data'!$C$3:$C$2150,$A633,'United Data'!$B$3:$B$2150,"&lt;&gt;P")&gt;0,1,0)</f>
        <v>1</v>
      </c>
      <c r="G633">
        <f>IF(COUNTIFS('United Data'!$A$3:$A$2150,G$1,'United Data'!$C$3:$C$2150,$A633,'United Data'!$B$3:$B$2150,"&lt;&gt;P")&gt;0,1,0)</f>
        <v>1</v>
      </c>
      <c r="H633">
        <f>IF(COUNTIFS('United Data'!$A$3:$A$2150,H$1,'United Data'!$C$3:$C$2150,$A633,'United Data'!$B$3:$B$2150,"&lt;&gt;P")&gt;0,1,0)</f>
        <v>0</v>
      </c>
      <c r="I633">
        <f>IF(COUNTIFS('United Data'!$A$3:$A$2150,I$1,'United Data'!$C$3:$C$2150,$A633,'United Data'!$B$3:$B$2150,"&lt;&gt;P")&gt;0,1,0)</f>
        <v>1</v>
      </c>
      <c r="J633">
        <f>IF(COUNTIFS('United Data'!$A$3:$A$2150,J$1,'United Data'!$C$3:$C$2150,$A633,'United Data'!$B$3:$B$2150,"&lt;&gt;P")&gt;0,1,0)</f>
        <v>0</v>
      </c>
      <c r="K633">
        <f>IF(COUNTIFS('United Data'!$A$3:$A$2150,K$1,'United Data'!$C$3:$C$2150,$A633,'United Data'!$B$3:$B$2150,"&lt;&gt;P")&gt;0,1,0)</f>
        <v>1</v>
      </c>
      <c r="L633">
        <f>IF(COUNTIFS('United Data'!$A$3:$A$2150,L$1,'United Data'!$C$3:$C$2150,$A633,'United Data'!$B$3:$B$2150,"&lt;&gt;P")&gt;0,1,0)</f>
        <v>0</v>
      </c>
      <c r="M633">
        <f>IF(COUNTIFS('United Data'!$A$3:$A$2150,M$1,'United Data'!$C$3:$C$2150,$A633,'United Data'!$B$3:$B$2150,"&lt;&gt;P")&gt;0,1,0)</f>
        <v>0</v>
      </c>
      <c r="N633">
        <f>IF(COUNTIFS('United Data'!$A$3:$A$2150,N$1,'United Data'!$C$3:$C$2150,$A633,'United Data'!$B$3:$B$2150,"&lt;&gt;P")&gt;0,1,0)</f>
        <v>0</v>
      </c>
      <c r="O633">
        <f>IF(COUNTIFS('United Data'!$A$3:$A$2150,O$1,'United Data'!$C$3:$C$2150,$A633,'United Data'!$B$3:$B$2150,"&lt;&gt;P")&gt;0,1,0)</f>
        <v>0</v>
      </c>
      <c r="P633">
        <f>IF(COUNTIFS('United Data'!$A$3:$A$2150,P$1,'United Data'!$C$3:$C$2150,$A633,'United Data'!$B$3:$B$2150,"&lt;&gt;P")&gt;0,1,0)</f>
        <v>1</v>
      </c>
      <c r="Q633">
        <f>IF(COUNTIFS('United Data'!$A$3:$A$2150,Q$1,'United Data'!$C$3:$C$2150,$A633,'United Data'!$B$3:$B$2150,"&lt;&gt;P")&gt;0,1,0)</f>
        <v>1</v>
      </c>
      <c r="R633">
        <f>IF(COUNTIFS('United Data'!$A$3:$A$2150,R$1,'United Data'!$C$3:$C$2150,$A633,'United Data'!$B$3:$B$2150,"&lt;&gt;P")&gt;0,1,0)</f>
        <v>0</v>
      </c>
      <c r="S633">
        <f t="shared" si="18"/>
        <v>8</v>
      </c>
      <c r="T633">
        <f t="shared" si="19"/>
        <v>4</v>
      </c>
    </row>
    <row r="634" spans="1:20" x14ac:dyDescent="0.2">
      <c r="A634" t="s">
        <v>680</v>
      </c>
      <c r="B634">
        <f>IF(COUNTIFS('United Data'!$A$3:$A$2150,B$1,'United Data'!$C$3:$C$2150,$A634,'United Data'!$B$3:$B$2150,"&lt;&gt;P")&gt;0,1,0)</f>
        <v>0</v>
      </c>
      <c r="C634">
        <f>IF(COUNTIFS('United Data'!$A$3:$A$2150,C$1,'United Data'!$C$3:$C$2150,$A634,'United Data'!$B$3:$B$2150,"&lt;&gt;P")&gt;0,1,0)</f>
        <v>0</v>
      </c>
      <c r="D634">
        <f>IF(COUNTIFS('United Data'!$A$3:$A$2150,D$1,'United Data'!$C$3:$C$2150,$A634,'United Data'!$B$3:$B$2150,"&lt;&gt;P")&gt;0,1,0)</f>
        <v>0</v>
      </c>
      <c r="E634">
        <f>IF(COUNTIFS('United Data'!$A$3:$A$2150,E$1,'United Data'!$C$3:$C$2150,$A634,'United Data'!$B$3:$B$2150,"&lt;&gt;P")&gt;0,1,0)</f>
        <v>1</v>
      </c>
      <c r="F634">
        <f>IF(COUNTIFS('United Data'!$A$3:$A$2150,F$1,'United Data'!$C$3:$C$2150,$A634,'United Data'!$B$3:$B$2150,"&lt;&gt;P")&gt;0,1,0)</f>
        <v>1</v>
      </c>
      <c r="G634">
        <f>IF(COUNTIFS('United Data'!$A$3:$A$2150,G$1,'United Data'!$C$3:$C$2150,$A634,'United Data'!$B$3:$B$2150,"&lt;&gt;P")&gt;0,1,0)</f>
        <v>1</v>
      </c>
      <c r="H634">
        <f>IF(COUNTIFS('United Data'!$A$3:$A$2150,H$1,'United Data'!$C$3:$C$2150,$A634,'United Data'!$B$3:$B$2150,"&lt;&gt;P")&gt;0,1,0)</f>
        <v>1</v>
      </c>
      <c r="I634">
        <f>IF(COUNTIFS('United Data'!$A$3:$A$2150,I$1,'United Data'!$C$3:$C$2150,$A634,'United Data'!$B$3:$B$2150,"&lt;&gt;P")&gt;0,1,0)</f>
        <v>1</v>
      </c>
      <c r="J634">
        <f>IF(COUNTIFS('United Data'!$A$3:$A$2150,J$1,'United Data'!$C$3:$C$2150,$A634,'United Data'!$B$3:$B$2150,"&lt;&gt;P")&gt;0,1,0)</f>
        <v>1</v>
      </c>
      <c r="K634">
        <f>IF(COUNTIFS('United Data'!$A$3:$A$2150,K$1,'United Data'!$C$3:$C$2150,$A634,'United Data'!$B$3:$B$2150,"&lt;&gt;P")&gt;0,1,0)</f>
        <v>0</v>
      </c>
      <c r="L634">
        <f>IF(COUNTIFS('United Data'!$A$3:$A$2150,L$1,'United Data'!$C$3:$C$2150,$A634,'United Data'!$B$3:$B$2150,"&lt;&gt;P")&gt;0,1,0)</f>
        <v>1</v>
      </c>
      <c r="M634">
        <f>IF(COUNTIFS('United Data'!$A$3:$A$2150,M$1,'United Data'!$C$3:$C$2150,$A634,'United Data'!$B$3:$B$2150,"&lt;&gt;P")&gt;0,1,0)</f>
        <v>0</v>
      </c>
      <c r="N634">
        <f>IF(COUNTIFS('United Data'!$A$3:$A$2150,N$1,'United Data'!$C$3:$C$2150,$A634,'United Data'!$B$3:$B$2150,"&lt;&gt;P")&gt;0,1,0)</f>
        <v>0</v>
      </c>
      <c r="O634">
        <f>IF(COUNTIFS('United Data'!$A$3:$A$2150,O$1,'United Data'!$C$3:$C$2150,$A634,'United Data'!$B$3:$B$2150,"&lt;&gt;P")&gt;0,1,0)</f>
        <v>0</v>
      </c>
      <c r="P634">
        <f>IF(COUNTIFS('United Data'!$A$3:$A$2150,P$1,'United Data'!$C$3:$C$2150,$A634,'United Data'!$B$3:$B$2150,"&lt;&gt;P")&gt;0,1,0)</f>
        <v>0</v>
      </c>
      <c r="Q634">
        <f>IF(COUNTIFS('United Data'!$A$3:$A$2150,Q$1,'United Data'!$C$3:$C$2150,$A634,'United Data'!$B$3:$B$2150,"&lt;&gt;P")&gt;0,1,0)</f>
        <v>0</v>
      </c>
      <c r="R634">
        <f>IF(COUNTIFS('United Data'!$A$3:$A$2150,R$1,'United Data'!$C$3:$C$2150,$A634,'United Data'!$B$3:$B$2150,"&lt;&gt;P")&gt;0,1,0)</f>
        <v>0</v>
      </c>
      <c r="S634">
        <f t="shared" si="18"/>
        <v>7</v>
      </c>
      <c r="T634">
        <f t="shared" si="19"/>
        <v>2</v>
      </c>
    </row>
    <row r="635" spans="1:20" x14ac:dyDescent="0.2">
      <c r="A635" t="s">
        <v>681</v>
      </c>
      <c r="B635">
        <f>IF(COUNTIFS('United Data'!$A$3:$A$2150,B$1,'United Data'!$C$3:$C$2150,$A635,'United Data'!$B$3:$B$2150,"&lt;&gt;P")&gt;0,1,0)</f>
        <v>0</v>
      </c>
      <c r="C635">
        <f>IF(COUNTIFS('United Data'!$A$3:$A$2150,C$1,'United Data'!$C$3:$C$2150,$A635,'United Data'!$B$3:$B$2150,"&lt;&gt;P")&gt;0,1,0)</f>
        <v>0</v>
      </c>
      <c r="D635">
        <f>IF(COUNTIFS('United Data'!$A$3:$A$2150,D$1,'United Data'!$C$3:$C$2150,$A635,'United Data'!$B$3:$B$2150,"&lt;&gt;P")&gt;0,1,0)</f>
        <v>0</v>
      </c>
      <c r="E635">
        <f>IF(COUNTIFS('United Data'!$A$3:$A$2150,E$1,'United Data'!$C$3:$C$2150,$A635,'United Data'!$B$3:$B$2150,"&lt;&gt;P")&gt;0,1,0)</f>
        <v>1</v>
      </c>
      <c r="F635">
        <f>IF(COUNTIFS('United Data'!$A$3:$A$2150,F$1,'United Data'!$C$3:$C$2150,$A635,'United Data'!$B$3:$B$2150,"&lt;&gt;P")&gt;0,1,0)</f>
        <v>1</v>
      </c>
      <c r="G635">
        <f>IF(COUNTIFS('United Data'!$A$3:$A$2150,G$1,'United Data'!$C$3:$C$2150,$A635,'United Data'!$B$3:$B$2150,"&lt;&gt;P")&gt;0,1,0)</f>
        <v>1</v>
      </c>
      <c r="H635">
        <f>IF(COUNTIFS('United Data'!$A$3:$A$2150,H$1,'United Data'!$C$3:$C$2150,$A635,'United Data'!$B$3:$B$2150,"&lt;&gt;P")&gt;0,1,0)</f>
        <v>1</v>
      </c>
      <c r="I635">
        <f>IF(COUNTIFS('United Data'!$A$3:$A$2150,I$1,'United Data'!$C$3:$C$2150,$A635,'United Data'!$B$3:$B$2150,"&lt;&gt;P")&gt;0,1,0)</f>
        <v>0</v>
      </c>
      <c r="J635">
        <f>IF(COUNTIFS('United Data'!$A$3:$A$2150,J$1,'United Data'!$C$3:$C$2150,$A635,'United Data'!$B$3:$B$2150,"&lt;&gt;P")&gt;0,1,0)</f>
        <v>1</v>
      </c>
      <c r="K635">
        <f>IF(COUNTIFS('United Data'!$A$3:$A$2150,K$1,'United Data'!$C$3:$C$2150,$A635,'United Data'!$B$3:$B$2150,"&lt;&gt;P")&gt;0,1,0)</f>
        <v>1</v>
      </c>
      <c r="L635">
        <f>IF(COUNTIFS('United Data'!$A$3:$A$2150,L$1,'United Data'!$C$3:$C$2150,$A635,'United Data'!$B$3:$B$2150,"&lt;&gt;P")&gt;0,1,0)</f>
        <v>1</v>
      </c>
      <c r="M635">
        <f>IF(COUNTIFS('United Data'!$A$3:$A$2150,M$1,'United Data'!$C$3:$C$2150,$A635,'United Data'!$B$3:$B$2150,"&lt;&gt;P")&gt;0,1,0)</f>
        <v>1</v>
      </c>
      <c r="N635">
        <f>IF(COUNTIFS('United Data'!$A$3:$A$2150,N$1,'United Data'!$C$3:$C$2150,$A635,'United Data'!$B$3:$B$2150,"&lt;&gt;P")&gt;0,1,0)</f>
        <v>0</v>
      </c>
      <c r="O635">
        <f>IF(COUNTIFS('United Data'!$A$3:$A$2150,O$1,'United Data'!$C$3:$C$2150,$A635,'United Data'!$B$3:$B$2150,"&lt;&gt;P")&gt;0,1,0)</f>
        <v>0</v>
      </c>
      <c r="P635">
        <f>IF(COUNTIFS('United Data'!$A$3:$A$2150,P$1,'United Data'!$C$3:$C$2150,$A635,'United Data'!$B$3:$B$2150,"&lt;&gt;P")&gt;0,1,0)</f>
        <v>0</v>
      </c>
      <c r="Q635">
        <f>IF(COUNTIFS('United Data'!$A$3:$A$2150,Q$1,'United Data'!$C$3:$C$2150,$A635,'United Data'!$B$3:$B$2150,"&lt;&gt;P")&gt;0,1,0)</f>
        <v>0</v>
      </c>
      <c r="R635">
        <f>IF(COUNTIFS('United Data'!$A$3:$A$2150,R$1,'United Data'!$C$3:$C$2150,$A635,'United Data'!$B$3:$B$2150,"&lt;&gt;P")&gt;0,1,0)</f>
        <v>0</v>
      </c>
      <c r="S635">
        <f t="shared" si="18"/>
        <v>8</v>
      </c>
      <c r="T635">
        <f t="shared" si="19"/>
        <v>2</v>
      </c>
    </row>
    <row r="636" spans="1:20" x14ac:dyDescent="0.2">
      <c r="A636" t="s">
        <v>682</v>
      </c>
      <c r="B636">
        <f>IF(COUNTIFS('United Data'!$A$3:$A$2150,B$1,'United Data'!$C$3:$C$2150,$A636,'United Data'!$B$3:$B$2150,"&lt;&gt;P")&gt;0,1,0)</f>
        <v>0</v>
      </c>
      <c r="C636">
        <f>IF(COUNTIFS('United Data'!$A$3:$A$2150,C$1,'United Data'!$C$3:$C$2150,$A636,'United Data'!$B$3:$B$2150,"&lt;&gt;P")&gt;0,1,0)</f>
        <v>0</v>
      </c>
      <c r="D636">
        <f>IF(COUNTIFS('United Data'!$A$3:$A$2150,D$1,'United Data'!$C$3:$C$2150,$A636,'United Data'!$B$3:$B$2150,"&lt;&gt;P")&gt;0,1,0)</f>
        <v>0</v>
      </c>
      <c r="E636">
        <f>IF(COUNTIFS('United Data'!$A$3:$A$2150,E$1,'United Data'!$C$3:$C$2150,$A636,'United Data'!$B$3:$B$2150,"&lt;&gt;P")&gt;0,1,0)</f>
        <v>1</v>
      </c>
      <c r="F636">
        <f>IF(COUNTIFS('United Data'!$A$3:$A$2150,F$1,'United Data'!$C$3:$C$2150,$A636,'United Data'!$B$3:$B$2150,"&lt;&gt;P")&gt;0,1,0)</f>
        <v>1</v>
      </c>
      <c r="G636">
        <f>IF(COUNTIFS('United Data'!$A$3:$A$2150,G$1,'United Data'!$C$3:$C$2150,$A636,'United Data'!$B$3:$B$2150,"&lt;&gt;P")&gt;0,1,0)</f>
        <v>1</v>
      </c>
      <c r="H636">
        <f>IF(COUNTIFS('United Data'!$A$3:$A$2150,H$1,'United Data'!$C$3:$C$2150,$A636,'United Data'!$B$3:$B$2150,"&lt;&gt;P")&gt;0,1,0)</f>
        <v>1</v>
      </c>
      <c r="I636">
        <f>IF(COUNTIFS('United Data'!$A$3:$A$2150,I$1,'United Data'!$C$3:$C$2150,$A636,'United Data'!$B$3:$B$2150,"&lt;&gt;P")&gt;0,1,0)</f>
        <v>1</v>
      </c>
      <c r="J636">
        <f>IF(COUNTIFS('United Data'!$A$3:$A$2150,J$1,'United Data'!$C$3:$C$2150,$A636,'United Data'!$B$3:$B$2150,"&lt;&gt;P")&gt;0,1,0)</f>
        <v>1</v>
      </c>
      <c r="K636">
        <f>IF(COUNTIFS('United Data'!$A$3:$A$2150,K$1,'United Data'!$C$3:$C$2150,$A636,'United Data'!$B$3:$B$2150,"&lt;&gt;P")&gt;0,1,0)</f>
        <v>1</v>
      </c>
      <c r="L636">
        <f>IF(COUNTIFS('United Data'!$A$3:$A$2150,L$1,'United Data'!$C$3:$C$2150,$A636,'United Data'!$B$3:$B$2150,"&lt;&gt;P")&gt;0,1,0)</f>
        <v>1</v>
      </c>
      <c r="M636">
        <f>IF(COUNTIFS('United Data'!$A$3:$A$2150,M$1,'United Data'!$C$3:$C$2150,$A636,'United Data'!$B$3:$B$2150,"&lt;&gt;P")&gt;0,1,0)</f>
        <v>0</v>
      </c>
      <c r="N636">
        <f>IF(COUNTIFS('United Data'!$A$3:$A$2150,N$1,'United Data'!$C$3:$C$2150,$A636,'United Data'!$B$3:$B$2150,"&lt;&gt;P")&gt;0,1,0)</f>
        <v>0</v>
      </c>
      <c r="O636">
        <f>IF(COUNTIFS('United Data'!$A$3:$A$2150,O$1,'United Data'!$C$3:$C$2150,$A636,'United Data'!$B$3:$B$2150,"&lt;&gt;P")&gt;0,1,0)</f>
        <v>0</v>
      </c>
      <c r="P636">
        <f>IF(COUNTIFS('United Data'!$A$3:$A$2150,P$1,'United Data'!$C$3:$C$2150,$A636,'United Data'!$B$3:$B$2150,"&lt;&gt;P")&gt;0,1,0)</f>
        <v>0</v>
      </c>
      <c r="Q636">
        <f>IF(COUNTIFS('United Data'!$A$3:$A$2150,Q$1,'United Data'!$C$3:$C$2150,$A636,'United Data'!$B$3:$B$2150,"&lt;&gt;P")&gt;0,1,0)</f>
        <v>0</v>
      </c>
      <c r="R636">
        <f>IF(COUNTIFS('United Data'!$A$3:$A$2150,R$1,'United Data'!$C$3:$C$2150,$A636,'United Data'!$B$3:$B$2150,"&lt;&gt;P")&gt;0,1,0)</f>
        <v>0</v>
      </c>
      <c r="S636">
        <f t="shared" si="18"/>
        <v>8</v>
      </c>
      <c r="T636">
        <f t="shared" si="19"/>
        <v>1</v>
      </c>
    </row>
    <row r="637" spans="1:20" x14ac:dyDescent="0.2">
      <c r="A637" t="s">
        <v>683</v>
      </c>
      <c r="B637">
        <f>IF(COUNTIFS('United Data'!$A$3:$A$2150,B$1,'United Data'!$C$3:$C$2150,$A637,'United Data'!$B$3:$B$2150,"&lt;&gt;P")&gt;0,1,0)</f>
        <v>0</v>
      </c>
      <c r="C637">
        <f>IF(COUNTIFS('United Data'!$A$3:$A$2150,C$1,'United Data'!$C$3:$C$2150,$A637,'United Data'!$B$3:$B$2150,"&lt;&gt;P")&gt;0,1,0)</f>
        <v>0</v>
      </c>
      <c r="D637">
        <f>IF(COUNTIFS('United Data'!$A$3:$A$2150,D$1,'United Data'!$C$3:$C$2150,$A637,'United Data'!$B$3:$B$2150,"&lt;&gt;P")&gt;0,1,0)</f>
        <v>0</v>
      </c>
      <c r="E637">
        <f>IF(COUNTIFS('United Data'!$A$3:$A$2150,E$1,'United Data'!$C$3:$C$2150,$A637,'United Data'!$B$3:$B$2150,"&lt;&gt;P")&gt;0,1,0)</f>
        <v>0</v>
      </c>
      <c r="F637">
        <f>IF(COUNTIFS('United Data'!$A$3:$A$2150,F$1,'United Data'!$C$3:$C$2150,$A637,'United Data'!$B$3:$B$2150,"&lt;&gt;P")&gt;0,1,0)</f>
        <v>0</v>
      </c>
      <c r="G637">
        <f>IF(COUNTIFS('United Data'!$A$3:$A$2150,G$1,'United Data'!$C$3:$C$2150,$A637,'United Data'!$B$3:$B$2150,"&lt;&gt;P")&gt;0,1,0)</f>
        <v>0</v>
      </c>
      <c r="H637">
        <f>IF(COUNTIFS('United Data'!$A$3:$A$2150,H$1,'United Data'!$C$3:$C$2150,$A637,'United Data'!$B$3:$B$2150,"&lt;&gt;P")&gt;0,1,0)</f>
        <v>0</v>
      </c>
      <c r="I637">
        <f>IF(COUNTIFS('United Data'!$A$3:$A$2150,I$1,'United Data'!$C$3:$C$2150,$A637,'United Data'!$B$3:$B$2150,"&lt;&gt;P")&gt;0,1,0)</f>
        <v>1</v>
      </c>
      <c r="J637">
        <f>IF(COUNTIFS('United Data'!$A$3:$A$2150,J$1,'United Data'!$C$3:$C$2150,$A637,'United Data'!$B$3:$B$2150,"&lt;&gt;P")&gt;0,1,0)</f>
        <v>0</v>
      </c>
      <c r="K637">
        <f>IF(COUNTIFS('United Data'!$A$3:$A$2150,K$1,'United Data'!$C$3:$C$2150,$A637,'United Data'!$B$3:$B$2150,"&lt;&gt;P")&gt;0,1,0)</f>
        <v>0</v>
      </c>
      <c r="L637">
        <f>IF(COUNTIFS('United Data'!$A$3:$A$2150,L$1,'United Data'!$C$3:$C$2150,$A637,'United Data'!$B$3:$B$2150,"&lt;&gt;P")&gt;0,1,0)</f>
        <v>0</v>
      </c>
      <c r="M637">
        <f>IF(COUNTIFS('United Data'!$A$3:$A$2150,M$1,'United Data'!$C$3:$C$2150,$A637,'United Data'!$B$3:$B$2150,"&lt;&gt;P")&gt;0,1,0)</f>
        <v>0</v>
      </c>
      <c r="N637">
        <f>IF(COUNTIFS('United Data'!$A$3:$A$2150,N$1,'United Data'!$C$3:$C$2150,$A637,'United Data'!$B$3:$B$2150,"&lt;&gt;P")&gt;0,1,0)</f>
        <v>0</v>
      </c>
      <c r="O637">
        <f>IF(COUNTIFS('United Data'!$A$3:$A$2150,O$1,'United Data'!$C$3:$C$2150,$A637,'United Data'!$B$3:$B$2150,"&lt;&gt;P")&gt;0,1,0)</f>
        <v>0</v>
      </c>
      <c r="P637">
        <f>IF(COUNTIFS('United Data'!$A$3:$A$2150,P$1,'United Data'!$C$3:$C$2150,$A637,'United Data'!$B$3:$B$2150,"&lt;&gt;P")&gt;0,1,0)</f>
        <v>0</v>
      </c>
      <c r="Q637">
        <f>IF(COUNTIFS('United Data'!$A$3:$A$2150,Q$1,'United Data'!$C$3:$C$2150,$A637,'United Data'!$B$3:$B$2150,"&lt;&gt;P")&gt;0,1,0)</f>
        <v>0</v>
      </c>
      <c r="R637">
        <f>IF(COUNTIFS('United Data'!$A$3:$A$2150,R$1,'United Data'!$C$3:$C$2150,$A637,'United Data'!$B$3:$B$2150,"&lt;&gt;P")&gt;0,1,0)</f>
        <v>0</v>
      </c>
      <c r="S637">
        <f t="shared" si="18"/>
        <v>1</v>
      </c>
      <c r="T637">
        <f t="shared" si="19"/>
        <v>1</v>
      </c>
    </row>
    <row r="638" spans="1:20" x14ac:dyDescent="0.2">
      <c r="A638" t="s">
        <v>684</v>
      </c>
      <c r="B638">
        <f>IF(COUNTIFS('United Data'!$A$3:$A$2150,B$1,'United Data'!$C$3:$C$2150,$A638,'United Data'!$B$3:$B$2150,"&lt;&gt;P")&gt;0,1,0)</f>
        <v>0</v>
      </c>
      <c r="C638">
        <f>IF(COUNTIFS('United Data'!$A$3:$A$2150,C$1,'United Data'!$C$3:$C$2150,$A638,'United Data'!$B$3:$B$2150,"&lt;&gt;P")&gt;0,1,0)</f>
        <v>0</v>
      </c>
      <c r="D638">
        <f>IF(COUNTIFS('United Data'!$A$3:$A$2150,D$1,'United Data'!$C$3:$C$2150,$A638,'United Data'!$B$3:$B$2150,"&lt;&gt;P")&gt;0,1,0)</f>
        <v>0</v>
      </c>
      <c r="E638">
        <f>IF(COUNTIFS('United Data'!$A$3:$A$2150,E$1,'United Data'!$C$3:$C$2150,$A638,'United Data'!$B$3:$B$2150,"&lt;&gt;P")&gt;0,1,0)</f>
        <v>0</v>
      </c>
      <c r="F638">
        <f>IF(COUNTIFS('United Data'!$A$3:$A$2150,F$1,'United Data'!$C$3:$C$2150,$A638,'United Data'!$B$3:$B$2150,"&lt;&gt;P")&gt;0,1,0)</f>
        <v>0</v>
      </c>
      <c r="G638">
        <f>IF(COUNTIFS('United Data'!$A$3:$A$2150,G$1,'United Data'!$C$3:$C$2150,$A638,'United Data'!$B$3:$B$2150,"&lt;&gt;P")&gt;0,1,0)</f>
        <v>0</v>
      </c>
      <c r="H638">
        <f>IF(COUNTIFS('United Data'!$A$3:$A$2150,H$1,'United Data'!$C$3:$C$2150,$A638,'United Data'!$B$3:$B$2150,"&lt;&gt;P")&gt;0,1,0)</f>
        <v>0</v>
      </c>
      <c r="I638">
        <f>IF(COUNTIFS('United Data'!$A$3:$A$2150,I$1,'United Data'!$C$3:$C$2150,$A638,'United Data'!$B$3:$B$2150,"&lt;&gt;P")&gt;0,1,0)</f>
        <v>0</v>
      </c>
      <c r="J638">
        <f>IF(COUNTIFS('United Data'!$A$3:$A$2150,J$1,'United Data'!$C$3:$C$2150,$A638,'United Data'!$B$3:$B$2150,"&lt;&gt;P")&gt;0,1,0)</f>
        <v>0</v>
      </c>
      <c r="K638">
        <f>IF(COUNTIFS('United Data'!$A$3:$A$2150,K$1,'United Data'!$C$3:$C$2150,$A638,'United Data'!$B$3:$B$2150,"&lt;&gt;P")&gt;0,1,0)</f>
        <v>1</v>
      </c>
      <c r="L638">
        <f>IF(COUNTIFS('United Data'!$A$3:$A$2150,L$1,'United Data'!$C$3:$C$2150,$A638,'United Data'!$B$3:$B$2150,"&lt;&gt;P")&gt;0,1,0)</f>
        <v>0</v>
      </c>
      <c r="M638">
        <f>IF(COUNTIFS('United Data'!$A$3:$A$2150,M$1,'United Data'!$C$3:$C$2150,$A638,'United Data'!$B$3:$B$2150,"&lt;&gt;P")&gt;0,1,0)</f>
        <v>0</v>
      </c>
      <c r="N638">
        <f>IF(COUNTIFS('United Data'!$A$3:$A$2150,N$1,'United Data'!$C$3:$C$2150,$A638,'United Data'!$B$3:$B$2150,"&lt;&gt;P")&gt;0,1,0)</f>
        <v>0</v>
      </c>
      <c r="O638">
        <f>IF(COUNTIFS('United Data'!$A$3:$A$2150,O$1,'United Data'!$C$3:$C$2150,$A638,'United Data'!$B$3:$B$2150,"&lt;&gt;P")&gt;0,1,0)</f>
        <v>0</v>
      </c>
      <c r="P638">
        <f>IF(COUNTIFS('United Data'!$A$3:$A$2150,P$1,'United Data'!$C$3:$C$2150,$A638,'United Data'!$B$3:$B$2150,"&lt;&gt;P")&gt;0,1,0)</f>
        <v>0</v>
      </c>
      <c r="Q638">
        <f>IF(COUNTIFS('United Data'!$A$3:$A$2150,Q$1,'United Data'!$C$3:$C$2150,$A638,'United Data'!$B$3:$B$2150,"&lt;&gt;P")&gt;0,1,0)</f>
        <v>0</v>
      </c>
      <c r="R638">
        <f>IF(COUNTIFS('United Data'!$A$3:$A$2150,R$1,'United Data'!$C$3:$C$2150,$A638,'United Data'!$B$3:$B$2150,"&lt;&gt;P")&gt;0,1,0)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685</v>
      </c>
      <c r="B639">
        <f>IF(COUNTIFS('United Data'!$A$3:$A$2150,B$1,'United Data'!$C$3:$C$2150,$A639,'United Data'!$B$3:$B$2150,"&lt;&gt;P")&gt;0,1,0)</f>
        <v>0</v>
      </c>
      <c r="C639">
        <f>IF(COUNTIFS('United Data'!$A$3:$A$2150,C$1,'United Data'!$C$3:$C$2150,$A639,'United Data'!$B$3:$B$2150,"&lt;&gt;P")&gt;0,1,0)</f>
        <v>0</v>
      </c>
      <c r="D639">
        <f>IF(COUNTIFS('United Data'!$A$3:$A$2150,D$1,'United Data'!$C$3:$C$2150,$A639,'United Data'!$B$3:$B$2150,"&lt;&gt;P")&gt;0,1,0)</f>
        <v>0</v>
      </c>
      <c r="E639">
        <f>IF(COUNTIFS('United Data'!$A$3:$A$2150,E$1,'United Data'!$C$3:$C$2150,$A639,'United Data'!$B$3:$B$2150,"&lt;&gt;P")&gt;0,1,0)</f>
        <v>0</v>
      </c>
      <c r="F639">
        <f>IF(COUNTIFS('United Data'!$A$3:$A$2150,F$1,'United Data'!$C$3:$C$2150,$A639,'United Data'!$B$3:$B$2150,"&lt;&gt;P")&gt;0,1,0)</f>
        <v>0</v>
      </c>
      <c r="G639">
        <f>IF(COUNTIFS('United Data'!$A$3:$A$2150,G$1,'United Data'!$C$3:$C$2150,$A639,'United Data'!$B$3:$B$2150,"&lt;&gt;P")&gt;0,1,0)</f>
        <v>0</v>
      </c>
      <c r="H639">
        <f>IF(COUNTIFS('United Data'!$A$3:$A$2150,H$1,'United Data'!$C$3:$C$2150,$A639,'United Data'!$B$3:$B$2150,"&lt;&gt;P")&gt;0,1,0)</f>
        <v>0</v>
      </c>
      <c r="I639">
        <f>IF(COUNTIFS('United Data'!$A$3:$A$2150,I$1,'United Data'!$C$3:$C$2150,$A639,'United Data'!$B$3:$B$2150,"&lt;&gt;P")&gt;0,1,0)</f>
        <v>0</v>
      </c>
      <c r="J639">
        <f>IF(COUNTIFS('United Data'!$A$3:$A$2150,J$1,'United Data'!$C$3:$C$2150,$A639,'United Data'!$B$3:$B$2150,"&lt;&gt;P")&gt;0,1,0)</f>
        <v>0</v>
      </c>
      <c r="K639">
        <f>IF(COUNTIFS('United Data'!$A$3:$A$2150,K$1,'United Data'!$C$3:$C$2150,$A639,'United Data'!$B$3:$B$2150,"&lt;&gt;P")&gt;0,1,0)</f>
        <v>1</v>
      </c>
      <c r="L639">
        <f>IF(COUNTIFS('United Data'!$A$3:$A$2150,L$1,'United Data'!$C$3:$C$2150,$A639,'United Data'!$B$3:$B$2150,"&lt;&gt;P")&gt;0,1,0)</f>
        <v>0</v>
      </c>
      <c r="M639">
        <f>IF(COUNTIFS('United Data'!$A$3:$A$2150,M$1,'United Data'!$C$3:$C$2150,$A639,'United Data'!$B$3:$B$2150,"&lt;&gt;P")&gt;0,1,0)</f>
        <v>0</v>
      </c>
      <c r="N639">
        <f>IF(COUNTIFS('United Data'!$A$3:$A$2150,N$1,'United Data'!$C$3:$C$2150,$A639,'United Data'!$B$3:$B$2150,"&lt;&gt;P")&gt;0,1,0)</f>
        <v>0</v>
      </c>
      <c r="O639">
        <f>IF(COUNTIFS('United Data'!$A$3:$A$2150,O$1,'United Data'!$C$3:$C$2150,$A639,'United Data'!$B$3:$B$2150,"&lt;&gt;P")&gt;0,1,0)</f>
        <v>0</v>
      </c>
      <c r="P639">
        <f>IF(COUNTIFS('United Data'!$A$3:$A$2150,P$1,'United Data'!$C$3:$C$2150,$A639,'United Data'!$B$3:$B$2150,"&lt;&gt;P")&gt;0,1,0)</f>
        <v>0</v>
      </c>
      <c r="Q639">
        <f>IF(COUNTIFS('United Data'!$A$3:$A$2150,Q$1,'United Data'!$C$3:$C$2150,$A639,'United Data'!$B$3:$B$2150,"&lt;&gt;P")&gt;0,1,0)</f>
        <v>0</v>
      </c>
      <c r="R639">
        <f>IF(COUNTIFS('United Data'!$A$3:$A$2150,R$1,'United Data'!$C$3:$C$2150,$A639,'United Data'!$B$3:$B$2150,"&lt;&gt;P")&gt;0,1,0)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686</v>
      </c>
      <c r="B640">
        <f>IF(COUNTIFS('United Data'!$A$3:$A$2150,B$1,'United Data'!$C$3:$C$2150,$A640,'United Data'!$B$3:$B$2150,"&lt;&gt;P")&gt;0,1,0)</f>
        <v>0</v>
      </c>
      <c r="C640">
        <f>IF(COUNTIFS('United Data'!$A$3:$A$2150,C$1,'United Data'!$C$3:$C$2150,$A640,'United Data'!$B$3:$B$2150,"&lt;&gt;P")&gt;0,1,0)</f>
        <v>0</v>
      </c>
      <c r="D640">
        <f>IF(COUNTIFS('United Data'!$A$3:$A$2150,D$1,'United Data'!$C$3:$C$2150,$A640,'United Data'!$B$3:$B$2150,"&lt;&gt;P")&gt;0,1,0)</f>
        <v>0</v>
      </c>
      <c r="E640">
        <f>IF(COUNTIFS('United Data'!$A$3:$A$2150,E$1,'United Data'!$C$3:$C$2150,$A640,'United Data'!$B$3:$B$2150,"&lt;&gt;P")&gt;0,1,0)</f>
        <v>0</v>
      </c>
      <c r="F640">
        <f>IF(COUNTIFS('United Data'!$A$3:$A$2150,F$1,'United Data'!$C$3:$C$2150,$A640,'United Data'!$B$3:$B$2150,"&lt;&gt;P")&gt;0,1,0)</f>
        <v>0</v>
      </c>
      <c r="G640">
        <f>IF(COUNTIFS('United Data'!$A$3:$A$2150,G$1,'United Data'!$C$3:$C$2150,$A640,'United Data'!$B$3:$B$2150,"&lt;&gt;P")&gt;0,1,0)</f>
        <v>0</v>
      </c>
      <c r="H640">
        <f>IF(COUNTIFS('United Data'!$A$3:$A$2150,H$1,'United Data'!$C$3:$C$2150,$A640,'United Data'!$B$3:$B$2150,"&lt;&gt;P")&gt;0,1,0)</f>
        <v>0</v>
      </c>
      <c r="I640">
        <f>IF(COUNTIFS('United Data'!$A$3:$A$2150,I$1,'United Data'!$C$3:$C$2150,$A640,'United Data'!$B$3:$B$2150,"&lt;&gt;P")&gt;0,1,0)</f>
        <v>0</v>
      </c>
      <c r="J640">
        <f>IF(COUNTIFS('United Data'!$A$3:$A$2150,J$1,'United Data'!$C$3:$C$2150,$A640,'United Data'!$B$3:$B$2150,"&lt;&gt;P")&gt;0,1,0)</f>
        <v>0</v>
      </c>
      <c r="K640">
        <f>IF(COUNTIFS('United Data'!$A$3:$A$2150,K$1,'United Data'!$C$3:$C$2150,$A640,'United Data'!$B$3:$B$2150,"&lt;&gt;P")&gt;0,1,0)</f>
        <v>0</v>
      </c>
      <c r="L640">
        <f>IF(COUNTIFS('United Data'!$A$3:$A$2150,L$1,'United Data'!$C$3:$C$2150,$A640,'United Data'!$B$3:$B$2150,"&lt;&gt;P")&gt;0,1,0)</f>
        <v>0</v>
      </c>
      <c r="M640">
        <f>IF(COUNTIFS('United Data'!$A$3:$A$2150,M$1,'United Data'!$C$3:$C$2150,$A640,'United Data'!$B$3:$B$2150,"&lt;&gt;P")&gt;0,1,0)</f>
        <v>0</v>
      </c>
      <c r="N640">
        <f>IF(COUNTIFS('United Data'!$A$3:$A$2150,N$1,'United Data'!$C$3:$C$2150,$A640,'United Data'!$B$3:$B$2150,"&lt;&gt;P")&gt;0,1,0)</f>
        <v>1</v>
      </c>
      <c r="O640">
        <f>IF(COUNTIFS('United Data'!$A$3:$A$2150,O$1,'United Data'!$C$3:$C$2150,$A640,'United Data'!$B$3:$B$2150,"&lt;&gt;P")&gt;0,1,0)</f>
        <v>0</v>
      </c>
      <c r="P640">
        <f>IF(COUNTIFS('United Data'!$A$3:$A$2150,P$1,'United Data'!$C$3:$C$2150,$A640,'United Data'!$B$3:$B$2150,"&lt;&gt;P")&gt;0,1,0)</f>
        <v>0</v>
      </c>
      <c r="Q640">
        <f>IF(COUNTIFS('United Data'!$A$3:$A$2150,Q$1,'United Data'!$C$3:$C$2150,$A640,'United Data'!$B$3:$B$2150,"&lt;&gt;P")&gt;0,1,0)</f>
        <v>0</v>
      </c>
      <c r="R640">
        <f>IF(COUNTIFS('United Data'!$A$3:$A$2150,R$1,'United Data'!$C$3:$C$2150,$A640,'United Data'!$B$3:$B$2150,"&lt;&gt;P")&gt;0,1,0)</f>
        <v>0</v>
      </c>
      <c r="S640">
        <f t="shared" si="18"/>
        <v>1</v>
      </c>
      <c r="T640">
        <f t="shared" si="19"/>
        <v>1</v>
      </c>
    </row>
    <row r="641" spans="1:20" x14ac:dyDescent="0.2">
      <c r="A641" t="s">
        <v>687</v>
      </c>
      <c r="B641">
        <f>IF(COUNTIFS('United Data'!$A$3:$A$2150,B$1,'United Data'!$C$3:$C$2150,$A641,'United Data'!$B$3:$B$2150,"&lt;&gt;P")&gt;0,1,0)</f>
        <v>0</v>
      </c>
      <c r="C641">
        <f>IF(COUNTIFS('United Data'!$A$3:$A$2150,C$1,'United Data'!$C$3:$C$2150,$A641,'United Data'!$B$3:$B$2150,"&lt;&gt;P")&gt;0,1,0)</f>
        <v>0</v>
      </c>
      <c r="D641">
        <f>IF(COUNTIFS('United Data'!$A$3:$A$2150,D$1,'United Data'!$C$3:$C$2150,$A641,'United Data'!$B$3:$B$2150,"&lt;&gt;P")&gt;0,1,0)</f>
        <v>0</v>
      </c>
      <c r="E641">
        <f>IF(COUNTIFS('United Data'!$A$3:$A$2150,E$1,'United Data'!$C$3:$C$2150,$A641,'United Data'!$B$3:$B$2150,"&lt;&gt;P")&gt;0,1,0)</f>
        <v>0</v>
      </c>
      <c r="F641">
        <f>IF(COUNTIFS('United Data'!$A$3:$A$2150,F$1,'United Data'!$C$3:$C$2150,$A641,'United Data'!$B$3:$B$2150,"&lt;&gt;P")&gt;0,1,0)</f>
        <v>0</v>
      </c>
      <c r="G641">
        <f>IF(COUNTIFS('United Data'!$A$3:$A$2150,G$1,'United Data'!$C$3:$C$2150,$A641,'United Data'!$B$3:$B$2150,"&lt;&gt;P")&gt;0,1,0)</f>
        <v>0</v>
      </c>
      <c r="H641">
        <f>IF(COUNTIFS('United Data'!$A$3:$A$2150,H$1,'United Data'!$C$3:$C$2150,$A641,'United Data'!$B$3:$B$2150,"&lt;&gt;P")&gt;0,1,0)</f>
        <v>0</v>
      </c>
      <c r="I641">
        <f>IF(COUNTIFS('United Data'!$A$3:$A$2150,I$1,'United Data'!$C$3:$C$2150,$A641,'United Data'!$B$3:$B$2150,"&lt;&gt;P")&gt;0,1,0)</f>
        <v>0</v>
      </c>
      <c r="J641">
        <f>IF(COUNTIFS('United Data'!$A$3:$A$2150,J$1,'United Data'!$C$3:$C$2150,$A641,'United Data'!$B$3:$B$2150,"&lt;&gt;P")&gt;0,1,0)</f>
        <v>0</v>
      </c>
      <c r="K641">
        <f>IF(COUNTIFS('United Data'!$A$3:$A$2150,K$1,'United Data'!$C$3:$C$2150,$A641,'United Data'!$B$3:$B$2150,"&lt;&gt;P")&gt;0,1,0)</f>
        <v>0</v>
      </c>
      <c r="L641">
        <f>IF(COUNTIFS('United Data'!$A$3:$A$2150,L$1,'United Data'!$C$3:$C$2150,$A641,'United Data'!$B$3:$B$2150,"&lt;&gt;P")&gt;0,1,0)</f>
        <v>0</v>
      </c>
      <c r="M641">
        <f>IF(COUNTIFS('United Data'!$A$3:$A$2150,M$1,'United Data'!$C$3:$C$2150,$A641,'United Data'!$B$3:$B$2150,"&lt;&gt;P")&gt;0,1,0)</f>
        <v>0</v>
      </c>
      <c r="N641">
        <f>IF(COUNTIFS('United Data'!$A$3:$A$2150,N$1,'United Data'!$C$3:$C$2150,$A641,'United Data'!$B$3:$B$2150,"&lt;&gt;P")&gt;0,1,0)</f>
        <v>1</v>
      </c>
      <c r="O641">
        <f>IF(COUNTIFS('United Data'!$A$3:$A$2150,O$1,'United Data'!$C$3:$C$2150,$A641,'United Data'!$B$3:$B$2150,"&lt;&gt;P")&gt;0,1,0)</f>
        <v>0</v>
      </c>
      <c r="P641">
        <f>IF(COUNTIFS('United Data'!$A$3:$A$2150,P$1,'United Data'!$C$3:$C$2150,$A641,'United Data'!$B$3:$B$2150,"&lt;&gt;P")&gt;0,1,0)</f>
        <v>0</v>
      </c>
      <c r="Q641">
        <f>IF(COUNTIFS('United Data'!$A$3:$A$2150,Q$1,'United Data'!$C$3:$C$2150,$A641,'United Data'!$B$3:$B$2150,"&lt;&gt;P")&gt;0,1,0)</f>
        <v>0</v>
      </c>
      <c r="R641">
        <f>IF(COUNTIFS('United Data'!$A$3:$A$2150,R$1,'United Data'!$C$3:$C$2150,$A641,'United Data'!$B$3:$B$2150,"&lt;&gt;P")&gt;0,1,0)</f>
        <v>0</v>
      </c>
      <c r="S641">
        <f t="shared" si="18"/>
        <v>1</v>
      </c>
      <c r="T641">
        <f t="shared" si="19"/>
        <v>1</v>
      </c>
    </row>
    <row r="642" spans="1:20" x14ac:dyDescent="0.2">
      <c r="A642" t="s">
        <v>688</v>
      </c>
      <c r="B642">
        <f>IF(COUNTIFS('United Data'!$A$3:$A$2150,B$1,'United Data'!$C$3:$C$2150,$A642,'United Data'!$B$3:$B$2150,"&lt;&gt;P")&gt;0,1,0)</f>
        <v>0</v>
      </c>
      <c r="C642">
        <f>IF(COUNTIFS('United Data'!$A$3:$A$2150,C$1,'United Data'!$C$3:$C$2150,$A642,'United Data'!$B$3:$B$2150,"&lt;&gt;P")&gt;0,1,0)</f>
        <v>0</v>
      </c>
      <c r="D642">
        <f>IF(COUNTIFS('United Data'!$A$3:$A$2150,D$1,'United Data'!$C$3:$C$2150,$A642,'United Data'!$B$3:$B$2150,"&lt;&gt;P")&gt;0,1,0)</f>
        <v>0</v>
      </c>
      <c r="E642">
        <f>IF(COUNTIFS('United Data'!$A$3:$A$2150,E$1,'United Data'!$C$3:$C$2150,$A642,'United Data'!$B$3:$B$2150,"&lt;&gt;P")&gt;0,1,0)</f>
        <v>0</v>
      </c>
      <c r="F642">
        <f>IF(COUNTIFS('United Data'!$A$3:$A$2150,F$1,'United Data'!$C$3:$C$2150,$A642,'United Data'!$B$3:$B$2150,"&lt;&gt;P")&gt;0,1,0)</f>
        <v>0</v>
      </c>
      <c r="G642">
        <f>IF(COUNTIFS('United Data'!$A$3:$A$2150,G$1,'United Data'!$C$3:$C$2150,$A642,'United Data'!$B$3:$B$2150,"&lt;&gt;P")&gt;0,1,0)</f>
        <v>0</v>
      </c>
      <c r="H642">
        <f>IF(COUNTIFS('United Data'!$A$3:$A$2150,H$1,'United Data'!$C$3:$C$2150,$A642,'United Data'!$B$3:$B$2150,"&lt;&gt;P")&gt;0,1,0)</f>
        <v>0</v>
      </c>
      <c r="I642">
        <f>IF(COUNTIFS('United Data'!$A$3:$A$2150,I$1,'United Data'!$C$3:$C$2150,$A642,'United Data'!$B$3:$B$2150,"&lt;&gt;P")&gt;0,1,0)</f>
        <v>0</v>
      </c>
      <c r="J642">
        <f>IF(COUNTIFS('United Data'!$A$3:$A$2150,J$1,'United Data'!$C$3:$C$2150,$A642,'United Data'!$B$3:$B$2150,"&lt;&gt;P")&gt;0,1,0)</f>
        <v>0</v>
      </c>
      <c r="K642">
        <f>IF(COUNTIFS('United Data'!$A$3:$A$2150,K$1,'United Data'!$C$3:$C$2150,$A642,'United Data'!$B$3:$B$2150,"&lt;&gt;P")&gt;0,1,0)</f>
        <v>0</v>
      </c>
      <c r="L642">
        <f>IF(COUNTIFS('United Data'!$A$3:$A$2150,L$1,'United Data'!$C$3:$C$2150,$A642,'United Data'!$B$3:$B$2150,"&lt;&gt;P")&gt;0,1,0)</f>
        <v>0</v>
      </c>
      <c r="M642">
        <f>IF(COUNTIFS('United Data'!$A$3:$A$2150,M$1,'United Data'!$C$3:$C$2150,$A642,'United Data'!$B$3:$B$2150,"&lt;&gt;P")&gt;0,1,0)</f>
        <v>0</v>
      </c>
      <c r="N642">
        <f>IF(COUNTIFS('United Data'!$A$3:$A$2150,N$1,'United Data'!$C$3:$C$2150,$A642,'United Data'!$B$3:$B$2150,"&lt;&gt;P")&gt;0,1,0)</f>
        <v>0</v>
      </c>
      <c r="O642">
        <f>IF(COUNTIFS('United Data'!$A$3:$A$2150,O$1,'United Data'!$C$3:$C$2150,$A642,'United Data'!$B$3:$B$2150,"&lt;&gt;P")&gt;0,1,0)</f>
        <v>0</v>
      </c>
      <c r="P642">
        <f>IF(COUNTIFS('United Data'!$A$3:$A$2150,P$1,'United Data'!$C$3:$C$2150,$A642,'United Data'!$B$3:$B$2150,"&lt;&gt;P")&gt;0,1,0)</f>
        <v>1</v>
      </c>
      <c r="Q642">
        <f>IF(COUNTIFS('United Data'!$A$3:$A$2150,Q$1,'United Data'!$C$3:$C$2150,$A642,'United Data'!$B$3:$B$2150,"&lt;&gt;P")&gt;0,1,0)</f>
        <v>0</v>
      </c>
      <c r="R642">
        <f>IF(COUNTIFS('United Data'!$A$3:$A$2150,R$1,'United Data'!$C$3:$C$2150,$A642,'United Data'!$B$3:$B$2150,"&lt;&gt;P")&gt;0,1,0)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689</v>
      </c>
      <c r="B643">
        <f>IF(COUNTIFS('United Data'!$A$3:$A$2150,B$1,'United Data'!$C$3:$C$2150,$A643,'United Data'!$B$3:$B$2150,"&lt;&gt;P")&gt;0,1,0)</f>
        <v>0</v>
      </c>
      <c r="C643">
        <f>IF(COUNTIFS('United Data'!$A$3:$A$2150,C$1,'United Data'!$C$3:$C$2150,$A643,'United Data'!$B$3:$B$2150,"&lt;&gt;P")&gt;0,1,0)</f>
        <v>0</v>
      </c>
      <c r="D643">
        <f>IF(COUNTIFS('United Data'!$A$3:$A$2150,D$1,'United Data'!$C$3:$C$2150,$A643,'United Data'!$B$3:$B$2150,"&lt;&gt;P")&gt;0,1,0)</f>
        <v>0</v>
      </c>
      <c r="E643">
        <f>IF(COUNTIFS('United Data'!$A$3:$A$2150,E$1,'United Data'!$C$3:$C$2150,$A643,'United Data'!$B$3:$B$2150,"&lt;&gt;P")&gt;0,1,0)</f>
        <v>0</v>
      </c>
      <c r="F643">
        <f>IF(COUNTIFS('United Data'!$A$3:$A$2150,F$1,'United Data'!$C$3:$C$2150,$A643,'United Data'!$B$3:$B$2150,"&lt;&gt;P")&gt;0,1,0)</f>
        <v>0</v>
      </c>
      <c r="G643">
        <f>IF(COUNTIFS('United Data'!$A$3:$A$2150,G$1,'United Data'!$C$3:$C$2150,$A643,'United Data'!$B$3:$B$2150,"&lt;&gt;P")&gt;0,1,0)</f>
        <v>0</v>
      </c>
      <c r="H643">
        <f>IF(COUNTIFS('United Data'!$A$3:$A$2150,H$1,'United Data'!$C$3:$C$2150,$A643,'United Data'!$B$3:$B$2150,"&lt;&gt;P")&gt;0,1,0)</f>
        <v>0</v>
      </c>
      <c r="I643">
        <f>IF(COUNTIFS('United Data'!$A$3:$A$2150,I$1,'United Data'!$C$3:$C$2150,$A643,'United Data'!$B$3:$B$2150,"&lt;&gt;P")&gt;0,1,0)</f>
        <v>0</v>
      </c>
      <c r="J643">
        <f>IF(COUNTIFS('United Data'!$A$3:$A$2150,J$1,'United Data'!$C$3:$C$2150,$A643,'United Data'!$B$3:$B$2150,"&lt;&gt;P")&gt;0,1,0)</f>
        <v>0</v>
      </c>
      <c r="K643">
        <f>IF(COUNTIFS('United Data'!$A$3:$A$2150,K$1,'United Data'!$C$3:$C$2150,$A643,'United Data'!$B$3:$B$2150,"&lt;&gt;P")&gt;0,1,0)</f>
        <v>0</v>
      </c>
      <c r="L643">
        <f>IF(COUNTIFS('United Data'!$A$3:$A$2150,L$1,'United Data'!$C$3:$C$2150,$A643,'United Data'!$B$3:$B$2150,"&lt;&gt;P")&gt;0,1,0)</f>
        <v>0</v>
      </c>
      <c r="M643">
        <f>IF(COUNTIFS('United Data'!$A$3:$A$2150,M$1,'United Data'!$C$3:$C$2150,$A643,'United Data'!$B$3:$B$2150,"&lt;&gt;P")&gt;0,1,0)</f>
        <v>0</v>
      </c>
      <c r="N643">
        <f>IF(COUNTIFS('United Data'!$A$3:$A$2150,N$1,'United Data'!$C$3:$C$2150,$A643,'United Data'!$B$3:$B$2150,"&lt;&gt;P")&gt;0,1,0)</f>
        <v>0</v>
      </c>
      <c r="O643">
        <f>IF(COUNTIFS('United Data'!$A$3:$A$2150,O$1,'United Data'!$C$3:$C$2150,$A643,'United Data'!$B$3:$B$2150,"&lt;&gt;P")&gt;0,1,0)</f>
        <v>0</v>
      </c>
      <c r="P643">
        <f>IF(COUNTIFS('United Data'!$A$3:$A$2150,P$1,'United Data'!$C$3:$C$2150,$A643,'United Data'!$B$3:$B$2150,"&lt;&gt;P")&gt;0,1,0)</f>
        <v>1</v>
      </c>
      <c r="Q643">
        <f>IF(COUNTIFS('United Data'!$A$3:$A$2150,Q$1,'United Data'!$C$3:$C$2150,$A643,'United Data'!$B$3:$B$2150,"&lt;&gt;P")&gt;0,1,0)</f>
        <v>0</v>
      </c>
      <c r="R643">
        <f>IF(COUNTIFS('United Data'!$A$3:$A$2150,R$1,'United Data'!$C$3:$C$2150,$A643,'United Data'!$B$3:$B$2150,"&lt;&gt;P")&gt;0,1,0)</f>
        <v>0</v>
      </c>
      <c r="S643">
        <f t="shared" si="20"/>
        <v>1</v>
      </c>
      <c r="T643">
        <f t="shared" si="21"/>
        <v>1</v>
      </c>
    </row>
    <row r="644" spans="1:20" x14ac:dyDescent="0.2">
      <c r="A644" t="s">
        <v>690</v>
      </c>
      <c r="B644">
        <f>IF(COUNTIFS('United Data'!$A$3:$A$2150,B$1,'United Data'!$C$3:$C$2150,$A644,'United Data'!$B$3:$B$2150,"&lt;&gt;P")&gt;0,1,0)</f>
        <v>0</v>
      </c>
      <c r="C644">
        <f>IF(COUNTIFS('United Data'!$A$3:$A$2150,C$1,'United Data'!$C$3:$C$2150,$A644,'United Data'!$B$3:$B$2150,"&lt;&gt;P")&gt;0,1,0)</f>
        <v>0</v>
      </c>
      <c r="D644">
        <f>IF(COUNTIFS('United Data'!$A$3:$A$2150,D$1,'United Data'!$C$3:$C$2150,$A644,'United Data'!$B$3:$B$2150,"&lt;&gt;P")&gt;0,1,0)</f>
        <v>0</v>
      </c>
      <c r="E644">
        <f>IF(COUNTIFS('United Data'!$A$3:$A$2150,E$1,'United Data'!$C$3:$C$2150,$A644,'United Data'!$B$3:$B$2150,"&lt;&gt;P")&gt;0,1,0)</f>
        <v>0</v>
      </c>
      <c r="F644">
        <f>IF(COUNTIFS('United Data'!$A$3:$A$2150,F$1,'United Data'!$C$3:$C$2150,$A644,'United Data'!$B$3:$B$2150,"&lt;&gt;P")&gt;0,1,0)</f>
        <v>0</v>
      </c>
      <c r="G644">
        <f>IF(COUNTIFS('United Data'!$A$3:$A$2150,G$1,'United Data'!$C$3:$C$2150,$A644,'United Data'!$B$3:$B$2150,"&lt;&gt;P")&gt;0,1,0)</f>
        <v>0</v>
      </c>
      <c r="H644">
        <f>IF(COUNTIFS('United Data'!$A$3:$A$2150,H$1,'United Data'!$C$3:$C$2150,$A644,'United Data'!$B$3:$B$2150,"&lt;&gt;P")&gt;0,1,0)</f>
        <v>0</v>
      </c>
      <c r="I644">
        <f>IF(COUNTIFS('United Data'!$A$3:$A$2150,I$1,'United Data'!$C$3:$C$2150,$A644,'United Data'!$B$3:$B$2150,"&lt;&gt;P")&gt;0,1,0)</f>
        <v>0</v>
      </c>
      <c r="J644">
        <f>IF(COUNTIFS('United Data'!$A$3:$A$2150,J$1,'United Data'!$C$3:$C$2150,$A644,'United Data'!$B$3:$B$2150,"&lt;&gt;P")&gt;0,1,0)</f>
        <v>0</v>
      </c>
      <c r="K644">
        <f>IF(COUNTIFS('United Data'!$A$3:$A$2150,K$1,'United Data'!$C$3:$C$2150,$A644,'United Data'!$B$3:$B$2150,"&lt;&gt;P")&gt;0,1,0)</f>
        <v>0</v>
      </c>
      <c r="L644">
        <f>IF(COUNTIFS('United Data'!$A$3:$A$2150,L$1,'United Data'!$C$3:$C$2150,$A644,'United Data'!$B$3:$B$2150,"&lt;&gt;P")&gt;0,1,0)</f>
        <v>0</v>
      </c>
      <c r="M644">
        <f>IF(COUNTIFS('United Data'!$A$3:$A$2150,M$1,'United Data'!$C$3:$C$2150,$A644,'United Data'!$B$3:$B$2150,"&lt;&gt;P")&gt;0,1,0)</f>
        <v>0</v>
      </c>
      <c r="N644">
        <f>IF(COUNTIFS('United Data'!$A$3:$A$2150,N$1,'United Data'!$C$3:$C$2150,$A644,'United Data'!$B$3:$B$2150,"&lt;&gt;P")&gt;0,1,0)</f>
        <v>0</v>
      </c>
      <c r="O644">
        <f>IF(COUNTIFS('United Data'!$A$3:$A$2150,O$1,'United Data'!$C$3:$C$2150,$A644,'United Data'!$B$3:$B$2150,"&lt;&gt;P")&gt;0,1,0)</f>
        <v>0</v>
      </c>
      <c r="P644">
        <f>IF(COUNTIFS('United Data'!$A$3:$A$2150,P$1,'United Data'!$C$3:$C$2150,$A644,'United Data'!$B$3:$B$2150,"&lt;&gt;P")&gt;0,1,0)</f>
        <v>1</v>
      </c>
      <c r="Q644">
        <f>IF(COUNTIFS('United Data'!$A$3:$A$2150,Q$1,'United Data'!$C$3:$C$2150,$A644,'United Data'!$B$3:$B$2150,"&lt;&gt;P")&gt;0,1,0)</f>
        <v>0</v>
      </c>
      <c r="R644">
        <f>IF(COUNTIFS('United Data'!$A$3:$A$2150,R$1,'United Data'!$C$3:$C$2150,$A644,'United Data'!$B$3:$B$2150,"&lt;&gt;P")&gt;0,1,0)</f>
        <v>0</v>
      </c>
      <c r="S644">
        <f t="shared" si="20"/>
        <v>1</v>
      </c>
      <c r="T644">
        <f t="shared" si="21"/>
        <v>1</v>
      </c>
    </row>
    <row r="645" spans="1:20" x14ac:dyDescent="0.2">
      <c r="A645" t="s">
        <v>691</v>
      </c>
      <c r="B645">
        <f>IF(COUNTIFS('United Data'!$A$3:$A$2150,B$1,'United Data'!$C$3:$C$2150,$A645,'United Data'!$B$3:$B$2150,"&lt;&gt;P")&gt;0,1,0)</f>
        <v>0</v>
      </c>
      <c r="C645">
        <f>IF(COUNTIFS('United Data'!$A$3:$A$2150,C$1,'United Data'!$C$3:$C$2150,$A645,'United Data'!$B$3:$B$2150,"&lt;&gt;P")&gt;0,1,0)</f>
        <v>0</v>
      </c>
      <c r="D645">
        <f>IF(COUNTIFS('United Data'!$A$3:$A$2150,D$1,'United Data'!$C$3:$C$2150,$A645,'United Data'!$B$3:$B$2150,"&lt;&gt;P")&gt;0,1,0)</f>
        <v>0</v>
      </c>
      <c r="E645">
        <f>IF(COUNTIFS('United Data'!$A$3:$A$2150,E$1,'United Data'!$C$3:$C$2150,$A645,'United Data'!$B$3:$B$2150,"&lt;&gt;P")&gt;0,1,0)</f>
        <v>0</v>
      </c>
      <c r="F645">
        <f>IF(COUNTIFS('United Data'!$A$3:$A$2150,F$1,'United Data'!$C$3:$C$2150,$A645,'United Data'!$B$3:$B$2150,"&lt;&gt;P")&gt;0,1,0)</f>
        <v>0</v>
      </c>
      <c r="G645">
        <f>IF(COUNTIFS('United Data'!$A$3:$A$2150,G$1,'United Data'!$C$3:$C$2150,$A645,'United Data'!$B$3:$B$2150,"&lt;&gt;P")&gt;0,1,0)</f>
        <v>0</v>
      </c>
      <c r="H645">
        <f>IF(COUNTIFS('United Data'!$A$3:$A$2150,H$1,'United Data'!$C$3:$C$2150,$A645,'United Data'!$B$3:$B$2150,"&lt;&gt;P")&gt;0,1,0)</f>
        <v>0</v>
      </c>
      <c r="I645">
        <f>IF(COUNTIFS('United Data'!$A$3:$A$2150,I$1,'United Data'!$C$3:$C$2150,$A645,'United Data'!$B$3:$B$2150,"&lt;&gt;P")&gt;0,1,0)</f>
        <v>0</v>
      </c>
      <c r="J645">
        <f>IF(COUNTIFS('United Data'!$A$3:$A$2150,J$1,'United Data'!$C$3:$C$2150,$A645,'United Data'!$B$3:$B$2150,"&lt;&gt;P")&gt;0,1,0)</f>
        <v>0</v>
      </c>
      <c r="K645">
        <f>IF(COUNTIFS('United Data'!$A$3:$A$2150,K$1,'United Data'!$C$3:$C$2150,$A645,'United Data'!$B$3:$B$2150,"&lt;&gt;P")&gt;0,1,0)</f>
        <v>0</v>
      </c>
      <c r="L645">
        <f>IF(COUNTIFS('United Data'!$A$3:$A$2150,L$1,'United Data'!$C$3:$C$2150,$A645,'United Data'!$B$3:$B$2150,"&lt;&gt;P")&gt;0,1,0)</f>
        <v>0</v>
      </c>
      <c r="M645">
        <f>IF(COUNTIFS('United Data'!$A$3:$A$2150,M$1,'United Data'!$C$3:$C$2150,$A645,'United Data'!$B$3:$B$2150,"&lt;&gt;P")&gt;0,1,0)</f>
        <v>0</v>
      </c>
      <c r="N645">
        <f>IF(COUNTIFS('United Data'!$A$3:$A$2150,N$1,'United Data'!$C$3:$C$2150,$A645,'United Data'!$B$3:$B$2150,"&lt;&gt;P")&gt;0,1,0)</f>
        <v>0</v>
      </c>
      <c r="O645">
        <f>IF(COUNTIFS('United Data'!$A$3:$A$2150,O$1,'United Data'!$C$3:$C$2150,$A645,'United Data'!$B$3:$B$2150,"&lt;&gt;P")&gt;0,1,0)</f>
        <v>0</v>
      </c>
      <c r="P645">
        <f>IF(COUNTIFS('United Data'!$A$3:$A$2150,P$1,'United Data'!$C$3:$C$2150,$A645,'United Data'!$B$3:$B$2150,"&lt;&gt;P")&gt;0,1,0)</f>
        <v>1</v>
      </c>
      <c r="Q645">
        <f>IF(COUNTIFS('United Data'!$A$3:$A$2150,Q$1,'United Data'!$C$3:$C$2150,$A645,'United Data'!$B$3:$B$2150,"&lt;&gt;P")&gt;0,1,0)</f>
        <v>0</v>
      </c>
      <c r="R645">
        <f>IF(COUNTIFS('United Data'!$A$3:$A$2150,R$1,'United Data'!$C$3:$C$2150,$A645,'United Data'!$B$3:$B$2150,"&lt;&gt;P")&gt;0,1,0)</f>
        <v>0</v>
      </c>
      <c r="S645">
        <f t="shared" si="20"/>
        <v>1</v>
      </c>
      <c r="T645">
        <f t="shared" si="21"/>
        <v>1</v>
      </c>
    </row>
    <row r="646" spans="1:20" x14ac:dyDescent="0.2">
      <c r="A646" t="s">
        <v>692</v>
      </c>
      <c r="B646">
        <f>IF(COUNTIFS('United Data'!$A$3:$A$2150,B$1,'United Data'!$C$3:$C$2150,$A646,'United Data'!$B$3:$B$2150,"&lt;&gt;P")&gt;0,1,0)</f>
        <v>0</v>
      </c>
      <c r="C646">
        <f>IF(COUNTIFS('United Data'!$A$3:$A$2150,C$1,'United Data'!$C$3:$C$2150,$A646,'United Data'!$B$3:$B$2150,"&lt;&gt;P")&gt;0,1,0)</f>
        <v>0</v>
      </c>
      <c r="D646">
        <f>IF(COUNTIFS('United Data'!$A$3:$A$2150,D$1,'United Data'!$C$3:$C$2150,$A646,'United Data'!$B$3:$B$2150,"&lt;&gt;P")&gt;0,1,0)</f>
        <v>0</v>
      </c>
      <c r="E646">
        <f>IF(COUNTIFS('United Data'!$A$3:$A$2150,E$1,'United Data'!$C$3:$C$2150,$A646,'United Data'!$B$3:$B$2150,"&lt;&gt;P")&gt;0,1,0)</f>
        <v>0</v>
      </c>
      <c r="F646">
        <f>IF(COUNTIFS('United Data'!$A$3:$A$2150,F$1,'United Data'!$C$3:$C$2150,$A646,'United Data'!$B$3:$B$2150,"&lt;&gt;P")&gt;0,1,0)</f>
        <v>0</v>
      </c>
      <c r="G646">
        <f>IF(COUNTIFS('United Data'!$A$3:$A$2150,G$1,'United Data'!$C$3:$C$2150,$A646,'United Data'!$B$3:$B$2150,"&lt;&gt;P")&gt;0,1,0)</f>
        <v>0</v>
      </c>
      <c r="H646">
        <f>IF(COUNTIFS('United Data'!$A$3:$A$2150,H$1,'United Data'!$C$3:$C$2150,$A646,'United Data'!$B$3:$B$2150,"&lt;&gt;P")&gt;0,1,0)</f>
        <v>0</v>
      </c>
      <c r="I646">
        <f>IF(COUNTIFS('United Data'!$A$3:$A$2150,I$1,'United Data'!$C$3:$C$2150,$A646,'United Data'!$B$3:$B$2150,"&lt;&gt;P")&gt;0,1,0)</f>
        <v>0</v>
      </c>
      <c r="J646">
        <f>IF(COUNTIFS('United Data'!$A$3:$A$2150,J$1,'United Data'!$C$3:$C$2150,$A646,'United Data'!$B$3:$B$2150,"&lt;&gt;P")&gt;0,1,0)</f>
        <v>0</v>
      </c>
      <c r="K646">
        <f>IF(COUNTIFS('United Data'!$A$3:$A$2150,K$1,'United Data'!$C$3:$C$2150,$A646,'United Data'!$B$3:$B$2150,"&lt;&gt;P")&gt;0,1,0)</f>
        <v>0</v>
      </c>
      <c r="L646">
        <f>IF(COUNTIFS('United Data'!$A$3:$A$2150,L$1,'United Data'!$C$3:$C$2150,$A646,'United Data'!$B$3:$B$2150,"&lt;&gt;P")&gt;0,1,0)</f>
        <v>0</v>
      </c>
      <c r="M646">
        <f>IF(COUNTIFS('United Data'!$A$3:$A$2150,M$1,'United Data'!$C$3:$C$2150,$A646,'United Data'!$B$3:$B$2150,"&lt;&gt;P")&gt;0,1,0)</f>
        <v>1</v>
      </c>
      <c r="N646">
        <f>IF(COUNTIFS('United Data'!$A$3:$A$2150,N$1,'United Data'!$C$3:$C$2150,$A646,'United Data'!$B$3:$B$2150,"&lt;&gt;P")&gt;0,1,0)</f>
        <v>0</v>
      </c>
      <c r="O646">
        <f>IF(COUNTIFS('United Data'!$A$3:$A$2150,O$1,'United Data'!$C$3:$C$2150,$A646,'United Data'!$B$3:$B$2150,"&lt;&gt;P")&gt;0,1,0)</f>
        <v>1</v>
      </c>
      <c r="P646">
        <f>IF(COUNTIFS('United Data'!$A$3:$A$2150,P$1,'United Data'!$C$3:$C$2150,$A646,'United Data'!$B$3:$B$2150,"&lt;&gt;P")&gt;0,1,0)</f>
        <v>1</v>
      </c>
      <c r="Q646">
        <f>IF(COUNTIFS('United Data'!$A$3:$A$2150,Q$1,'United Data'!$C$3:$C$2150,$A646,'United Data'!$B$3:$B$2150,"&lt;&gt;P")&gt;0,1,0)</f>
        <v>0</v>
      </c>
      <c r="R646">
        <f>IF(COUNTIFS('United Data'!$A$3:$A$2150,R$1,'United Data'!$C$3:$C$2150,$A646,'United Data'!$B$3:$B$2150,"&lt;&gt;P")&gt;0,1,0)</f>
        <v>0</v>
      </c>
      <c r="S646">
        <f t="shared" si="20"/>
        <v>3</v>
      </c>
      <c r="T646">
        <f t="shared" si="21"/>
        <v>2</v>
      </c>
    </row>
    <row r="647" spans="1:20" x14ac:dyDescent="0.2">
      <c r="A647" t="s">
        <v>693</v>
      </c>
      <c r="B647">
        <f>IF(COUNTIFS('United Data'!$A$3:$A$2150,B$1,'United Data'!$C$3:$C$2150,$A647,'United Data'!$B$3:$B$2150,"&lt;&gt;P")&gt;0,1,0)</f>
        <v>0</v>
      </c>
      <c r="C647">
        <f>IF(COUNTIFS('United Data'!$A$3:$A$2150,C$1,'United Data'!$C$3:$C$2150,$A647,'United Data'!$B$3:$B$2150,"&lt;&gt;P")&gt;0,1,0)</f>
        <v>0</v>
      </c>
      <c r="D647">
        <f>IF(COUNTIFS('United Data'!$A$3:$A$2150,D$1,'United Data'!$C$3:$C$2150,$A647,'United Data'!$B$3:$B$2150,"&lt;&gt;P")&gt;0,1,0)</f>
        <v>0</v>
      </c>
      <c r="E647">
        <f>IF(COUNTIFS('United Data'!$A$3:$A$2150,E$1,'United Data'!$C$3:$C$2150,$A647,'United Data'!$B$3:$B$2150,"&lt;&gt;P")&gt;0,1,0)</f>
        <v>0</v>
      </c>
      <c r="F647">
        <f>IF(COUNTIFS('United Data'!$A$3:$A$2150,F$1,'United Data'!$C$3:$C$2150,$A647,'United Data'!$B$3:$B$2150,"&lt;&gt;P")&gt;0,1,0)</f>
        <v>0</v>
      </c>
      <c r="G647">
        <f>IF(COUNTIFS('United Data'!$A$3:$A$2150,G$1,'United Data'!$C$3:$C$2150,$A647,'United Data'!$B$3:$B$2150,"&lt;&gt;P")&gt;0,1,0)</f>
        <v>0</v>
      </c>
      <c r="H647">
        <f>IF(COUNTIFS('United Data'!$A$3:$A$2150,H$1,'United Data'!$C$3:$C$2150,$A647,'United Data'!$B$3:$B$2150,"&lt;&gt;P")&gt;0,1,0)</f>
        <v>0</v>
      </c>
      <c r="I647">
        <f>IF(COUNTIFS('United Data'!$A$3:$A$2150,I$1,'United Data'!$C$3:$C$2150,$A647,'United Data'!$B$3:$B$2150,"&lt;&gt;P")&gt;0,1,0)</f>
        <v>0</v>
      </c>
      <c r="J647">
        <f>IF(COUNTIFS('United Data'!$A$3:$A$2150,J$1,'United Data'!$C$3:$C$2150,$A647,'United Data'!$B$3:$B$2150,"&lt;&gt;P")&gt;0,1,0)</f>
        <v>0</v>
      </c>
      <c r="K647">
        <f>IF(COUNTIFS('United Data'!$A$3:$A$2150,K$1,'United Data'!$C$3:$C$2150,$A647,'United Data'!$B$3:$B$2150,"&lt;&gt;P")&gt;0,1,0)</f>
        <v>0</v>
      </c>
      <c r="L647">
        <f>IF(COUNTIFS('United Data'!$A$3:$A$2150,L$1,'United Data'!$C$3:$C$2150,$A647,'United Data'!$B$3:$B$2150,"&lt;&gt;P")&gt;0,1,0)</f>
        <v>0</v>
      </c>
      <c r="M647">
        <f>IF(COUNTIFS('United Data'!$A$3:$A$2150,M$1,'United Data'!$C$3:$C$2150,$A647,'United Data'!$B$3:$B$2150,"&lt;&gt;P")&gt;0,1,0)</f>
        <v>0</v>
      </c>
      <c r="N647">
        <f>IF(COUNTIFS('United Data'!$A$3:$A$2150,N$1,'United Data'!$C$3:$C$2150,$A647,'United Data'!$B$3:$B$2150,"&lt;&gt;P")&gt;0,1,0)</f>
        <v>0</v>
      </c>
      <c r="O647">
        <f>IF(COUNTIFS('United Data'!$A$3:$A$2150,O$1,'United Data'!$C$3:$C$2150,$A647,'United Data'!$B$3:$B$2150,"&lt;&gt;P")&gt;0,1,0)</f>
        <v>0</v>
      </c>
      <c r="P647">
        <f>IF(COUNTIFS('United Data'!$A$3:$A$2150,P$1,'United Data'!$C$3:$C$2150,$A647,'United Data'!$B$3:$B$2150,"&lt;&gt;P")&gt;0,1,0)</f>
        <v>1</v>
      </c>
      <c r="Q647">
        <f>IF(COUNTIFS('United Data'!$A$3:$A$2150,Q$1,'United Data'!$C$3:$C$2150,$A647,'United Data'!$B$3:$B$2150,"&lt;&gt;P")&gt;0,1,0)</f>
        <v>0</v>
      </c>
      <c r="R647">
        <f>IF(COUNTIFS('United Data'!$A$3:$A$2150,R$1,'United Data'!$C$3:$C$2150,$A647,'United Data'!$B$3:$B$2150,"&lt;&gt;P")&gt;0,1,0)</f>
        <v>0</v>
      </c>
      <c r="S647">
        <f t="shared" si="20"/>
        <v>1</v>
      </c>
      <c r="T647">
        <f t="shared" si="21"/>
        <v>1</v>
      </c>
    </row>
    <row r="648" spans="1:20" x14ac:dyDescent="0.2">
      <c r="A648" t="s">
        <v>694</v>
      </c>
      <c r="B648">
        <f>IF(COUNTIFS('United Data'!$A$3:$A$2150,B$1,'United Data'!$C$3:$C$2150,$A648,'United Data'!$B$3:$B$2150,"&lt;&gt;P")&gt;0,1,0)</f>
        <v>0</v>
      </c>
      <c r="C648">
        <f>IF(COUNTIFS('United Data'!$A$3:$A$2150,C$1,'United Data'!$C$3:$C$2150,$A648,'United Data'!$B$3:$B$2150,"&lt;&gt;P")&gt;0,1,0)</f>
        <v>0</v>
      </c>
      <c r="D648">
        <f>IF(COUNTIFS('United Data'!$A$3:$A$2150,D$1,'United Data'!$C$3:$C$2150,$A648,'United Data'!$B$3:$B$2150,"&lt;&gt;P")&gt;0,1,0)</f>
        <v>0</v>
      </c>
      <c r="E648">
        <f>IF(COUNTIFS('United Data'!$A$3:$A$2150,E$1,'United Data'!$C$3:$C$2150,$A648,'United Data'!$B$3:$B$2150,"&lt;&gt;P")&gt;0,1,0)</f>
        <v>0</v>
      </c>
      <c r="F648">
        <f>IF(COUNTIFS('United Data'!$A$3:$A$2150,F$1,'United Data'!$C$3:$C$2150,$A648,'United Data'!$B$3:$B$2150,"&lt;&gt;P")&gt;0,1,0)</f>
        <v>0</v>
      </c>
      <c r="G648">
        <f>IF(COUNTIFS('United Data'!$A$3:$A$2150,G$1,'United Data'!$C$3:$C$2150,$A648,'United Data'!$B$3:$B$2150,"&lt;&gt;P")&gt;0,1,0)</f>
        <v>0</v>
      </c>
      <c r="H648">
        <f>IF(COUNTIFS('United Data'!$A$3:$A$2150,H$1,'United Data'!$C$3:$C$2150,$A648,'United Data'!$B$3:$B$2150,"&lt;&gt;P")&gt;0,1,0)</f>
        <v>0</v>
      </c>
      <c r="I648">
        <f>IF(COUNTIFS('United Data'!$A$3:$A$2150,I$1,'United Data'!$C$3:$C$2150,$A648,'United Data'!$B$3:$B$2150,"&lt;&gt;P")&gt;0,1,0)</f>
        <v>0</v>
      </c>
      <c r="J648">
        <f>IF(COUNTIFS('United Data'!$A$3:$A$2150,J$1,'United Data'!$C$3:$C$2150,$A648,'United Data'!$B$3:$B$2150,"&lt;&gt;P")&gt;0,1,0)</f>
        <v>0</v>
      </c>
      <c r="K648">
        <f>IF(COUNTIFS('United Data'!$A$3:$A$2150,K$1,'United Data'!$C$3:$C$2150,$A648,'United Data'!$B$3:$B$2150,"&lt;&gt;P")&gt;0,1,0)</f>
        <v>0</v>
      </c>
      <c r="L648">
        <f>IF(COUNTIFS('United Data'!$A$3:$A$2150,L$1,'United Data'!$C$3:$C$2150,$A648,'United Data'!$B$3:$B$2150,"&lt;&gt;P")&gt;0,1,0)</f>
        <v>0</v>
      </c>
      <c r="M648">
        <f>IF(COUNTIFS('United Data'!$A$3:$A$2150,M$1,'United Data'!$C$3:$C$2150,$A648,'United Data'!$B$3:$B$2150,"&lt;&gt;P")&gt;0,1,0)</f>
        <v>0</v>
      </c>
      <c r="N648">
        <f>IF(COUNTIFS('United Data'!$A$3:$A$2150,N$1,'United Data'!$C$3:$C$2150,$A648,'United Data'!$B$3:$B$2150,"&lt;&gt;P")&gt;0,1,0)</f>
        <v>0</v>
      </c>
      <c r="O648">
        <f>IF(COUNTIFS('United Data'!$A$3:$A$2150,O$1,'United Data'!$C$3:$C$2150,$A648,'United Data'!$B$3:$B$2150,"&lt;&gt;P")&gt;0,1,0)</f>
        <v>0</v>
      </c>
      <c r="P648">
        <f>IF(COUNTIFS('United Data'!$A$3:$A$2150,P$1,'United Data'!$C$3:$C$2150,$A648,'United Data'!$B$3:$B$2150,"&lt;&gt;P")&gt;0,1,0)</f>
        <v>0</v>
      </c>
      <c r="Q648">
        <f>IF(COUNTIFS('United Data'!$A$3:$A$2150,Q$1,'United Data'!$C$3:$C$2150,$A648,'United Data'!$B$3:$B$2150,"&lt;&gt;P")&gt;0,1,0)</f>
        <v>1</v>
      </c>
      <c r="R648">
        <f>IF(COUNTIFS('United Data'!$A$3:$A$2150,R$1,'United Data'!$C$3:$C$2150,$A648,'United Data'!$B$3:$B$2150,"&lt;&gt;P")&gt;0,1,0)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695</v>
      </c>
      <c r="B649">
        <f>IF(COUNTIFS('United Data'!$A$3:$A$2150,B$1,'United Data'!$C$3:$C$2150,$A649,'United Data'!$B$3:$B$2150,"&lt;&gt;P")&gt;0,1,0)</f>
        <v>1</v>
      </c>
      <c r="C649">
        <f>IF(COUNTIFS('United Data'!$A$3:$A$2150,C$1,'United Data'!$C$3:$C$2150,$A649,'United Data'!$B$3:$B$2150,"&lt;&gt;P")&gt;0,1,0)</f>
        <v>0</v>
      </c>
      <c r="D649">
        <f>IF(COUNTIFS('United Data'!$A$3:$A$2150,D$1,'United Data'!$C$3:$C$2150,$A649,'United Data'!$B$3:$B$2150,"&lt;&gt;P")&gt;0,1,0)</f>
        <v>0</v>
      </c>
      <c r="E649">
        <f>IF(COUNTIFS('United Data'!$A$3:$A$2150,E$1,'United Data'!$C$3:$C$2150,$A649,'United Data'!$B$3:$B$2150,"&lt;&gt;P")&gt;0,1,0)</f>
        <v>0</v>
      </c>
      <c r="F649">
        <f>IF(COUNTIFS('United Data'!$A$3:$A$2150,F$1,'United Data'!$C$3:$C$2150,$A649,'United Data'!$B$3:$B$2150,"&lt;&gt;P")&gt;0,1,0)</f>
        <v>0</v>
      </c>
      <c r="G649">
        <f>IF(COUNTIFS('United Data'!$A$3:$A$2150,G$1,'United Data'!$C$3:$C$2150,$A649,'United Data'!$B$3:$B$2150,"&lt;&gt;P")&gt;0,1,0)</f>
        <v>0</v>
      </c>
      <c r="H649">
        <f>IF(COUNTIFS('United Data'!$A$3:$A$2150,H$1,'United Data'!$C$3:$C$2150,$A649,'United Data'!$B$3:$B$2150,"&lt;&gt;P")&gt;0,1,0)</f>
        <v>0</v>
      </c>
      <c r="I649">
        <f>IF(COUNTIFS('United Data'!$A$3:$A$2150,I$1,'United Data'!$C$3:$C$2150,$A649,'United Data'!$B$3:$B$2150,"&lt;&gt;P")&gt;0,1,0)</f>
        <v>0</v>
      </c>
      <c r="J649">
        <f>IF(COUNTIFS('United Data'!$A$3:$A$2150,J$1,'United Data'!$C$3:$C$2150,$A649,'United Data'!$B$3:$B$2150,"&lt;&gt;P")&gt;0,1,0)</f>
        <v>0</v>
      </c>
      <c r="K649">
        <f>IF(COUNTIFS('United Data'!$A$3:$A$2150,K$1,'United Data'!$C$3:$C$2150,$A649,'United Data'!$B$3:$B$2150,"&lt;&gt;P")&gt;0,1,0)</f>
        <v>0</v>
      </c>
      <c r="L649">
        <f>IF(COUNTIFS('United Data'!$A$3:$A$2150,L$1,'United Data'!$C$3:$C$2150,$A649,'United Data'!$B$3:$B$2150,"&lt;&gt;P")&gt;0,1,0)</f>
        <v>0</v>
      </c>
      <c r="M649">
        <f>IF(COUNTIFS('United Data'!$A$3:$A$2150,M$1,'United Data'!$C$3:$C$2150,$A649,'United Data'!$B$3:$B$2150,"&lt;&gt;P")&gt;0,1,0)</f>
        <v>0</v>
      </c>
      <c r="N649">
        <f>IF(COUNTIFS('United Data'!$A$3:$A$2150,N$1,'United Data'!$C$3:$C$2150,$A649,'United Data'!$B$3:$B$2150,"&lt;&gt;P")&gt;0,1,0)</f>
        <v>0</v>
      </c>
      <c r="O649">
        <f>IF(COUNTIFS('United Data'!$A$3:$A$2150,O$1,'United Data'!$C$3:$C$2150,$A649,'United Data'!$B$3:$B$2150,"&lt;&gt;P")&gt;0,1,0)</f>
        <v>0</v>
      </c>
      <c r="P649">
        <f>IF(COUNTIFS('United Data'!$A$3:$A$2150,P$1,'United Data'!$C$3:$C$2150,$A649,'United Data'!$B$3:$B$2150,"&lt;&gt;P")&gt;0,1,0)</f>
        <v>0</v>
      </c>
      <c r="Q649">
        <f>IF(COUNTIFS('United Data'!$A$3:$A$2150,Q$1,'United Data'!$C$3:$C$2150,$A649,'United Data'!$B$3:$B$2150,"&lt;&gt;P")&gt;0,1,0)</f>
        <v>0</v>
      </c>
      <c r="R649">
        <f>IF(COUNTIFS('United Data'!$A$3:$A$2150,R$1,'United Data'!$C$3:$C$2150,$A649,'United Data'!$B$3:$B$2150,"&lt;&gt;P")&gt;0,1,0)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696</v>
      </c>
      <c r="B650">
        <f>IF(COUNTIFS('United Data'!$A$3:$A$2150,B$1,'United Data'!$C$3:$C$2150,$A650,'United Data'!$B$3:$B$2150,"&lt;&gt;P")&gt;0,1,0)</f>
        <v>1</v>
      </c>
      <c r="C650">
        <f>IF(COUNTIFS('United Data'!$A$3:$A$2150,C$1,'United Data'!$C$3:$C$2150,$A650,'United Data'!$B$3:$B$2150,"&lt;&gt;P")&gt;0,1,0)</f>
        <v>0</v>
      </c>
      <c r="D650">
        <f>IF(COUNTIFS('United Data'!$A$3:$A$2150,D$1,'United Data'!$C$3:$C$2150,$A650,'United Data'!$B$3:$B$2150,"&lt;&gt;P")&gt;0,1,0)</f>
        <v>0</v>
      </c>
      <c r="E650">
        <f>IF(COUNTIFS('United Data'!$A$3:$A$2150,E$1,'United Data'!$C$3:$C$2150,$A650,'United Data'!$B$3:$B$2150,"&lt;&gt;P")&gt;0,1,0)</f>
        <v>0</v>
      </c>
      <c r="F650">
        <f>IF(COUNTIFS('United Data'!$A$3:$A$2150,F$1,'United Data'!$C$3:$C$2150,$A650,'United Data'!$B$3:$B$2150,"&lt;&gt;P")&gt;0,1,0)</f>
        <v>0</v>
      </c>
      <c r="G650">
        <f>IF(COUNTIFS('United Data'!$A$3:$A$2150,G$1,'United Data'!$C$3:$C$2150,$A650,'United Data'!$B$3:$B$2150,"&lt;&gt;P")&gt;0,1,0)</f>
        <v>0</v>
      </c>
      <c r="H650">
        <f>IF(COUNTIFS('United Data'!$A$3:$A$2150,H$1,'United Data'!$C$3:$C$2150,$A650,'United Data'!$B$3:$B$2150,"&lt;&gt;P")&gt;0,1,0)</f>
        <v>0</v>
      </c>
      <c r="I650">
        <f>IF(COUNTIFS('United Data'!$A$3:$A$2150,I$1,'United Data'!$C$3:$C$2150,$A650,'United Data'!$B$3:$B$2150,"&lt;&gt;P")&gt;0,1,0)</f>
        <v>0</v>
      </c>
      <c r="J650">
        <f>IF(COUNTIFS('United Data'!$A$3:$A$2150,J$1,'United Data'!$C$3:$C$2150,$A650,'United Data'!$B$3:$B$2150,"&lt;&gt;P")&gt;0,1,0)</f>
        <v>0</v>
      </c>
      <c r="K650">
        <f>IF(COUNTIFS('United Data'!$A$3:$A$2150,K$1,'United Data'!$C$3:$C$2150,$A650,'United Data'!$B$3:$B$2150,"&lt;&gt;P")&gt;0,1,0)</f>
        <v>0</v>
      </c>
      <c r="L650">
        <f>IF(COUNTIFS('United Data'!$A$3:$A$2150,L$1,'United Data'!$C$3:$C$2150,$A650,'United Data'!$B$3:$B$2150,"&lt;&gt;P")&gt;0,1,0)</f>
        <v>0</v>
      </c>
      <c r="M650">
        <f>IF(COUNTIFS('United Data'!$A$3:$A$2150,M$1,'United Data'!$C$3:$C$2150,$A650,'United Data'!$B$3:$B$2150,"&lt;&gt;P")&gt;0,1,0)</f>
        <v>0</v>
      </c>
      <c r="N650">
        <f>IF(COUNTIFS('United Data'!$A$3:$A$2150,N$1,'United Data'!$C$3:$C$2150,$A650,'United Data'!$B$3:$B$2150,"&lt;&gt;P")&gt;0,1,0)</f>
        <v>0</v>
      </c>
      <c r="O650">
        <f>IF(COUNTIFS('United Data'!$A$3:$A$2150,O$1,'United Data'!$C$3:$C$2150,$A650,'United Data'!$B$3:$B$2150,"&lt;&gt;P")&gt;0,1,0)</f>
        <v>0</v>
      </c>
      <c r="P650">
        <f>IF(COUNTIFS('United Data'!$A$3:$A$2150,P$1,'United Data'!$C$3:$C$2150,$A650,'United Data'!$B$3:$B$2150,"&lt;&gt;P")&gt;0,1,0)</f>
        <v>0</v>
      </c>
      <c r="Q650">
        <f>IF(COUNTIFS('United Data'!$A$3:$A$2150,Q$1,'United Data'!$C$3:$C$2150,$A650,'United Data'!$B$3:$B$2150,"&lt;&gt;P")&gt;0,1,0)</f>
        <v>0</v>
      </c>
      <c r="R650">
        <f>IF(COUNTIFS('United Data'!$A$3:$A$2150,R$1,'United Data'!$C$3:$C$2150,$A650,'United Data'!$B$3:$B$2150,"&lt;&gt;P")&gt;0,1,0)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697</v>
      </c>
      <c r="B651">
        <f>IF(COUNTIFS('United Data'!$A$3:$A$2150,B$1,'United Data'!$C$3:$C$2150,$A651,'United Data'!$B$3:$B$2150,"&lt;&gt;P")&gt;0,1,0)</f>
        <v>1</v>
      </c>
      <c r="C651">
        <f>IF(COUNTIFS('United Data'!$A$3:$A$2150,C$1,'United Data'!$C$3:$C$2150,$A651,'United Data'!$B$3:$B$2150,"&lt;&gt;P")&gt;0,1,0)</f>
        <v>0</v>
      </c>
      <c r="D651">
        <f>IF(COUNTIFS('United Data'!$A$3:$A$2150,D$1,'United Data'!$C$3:$C$2150,$A651,'United Data'!$B$3:$B$2150,"&lt;&gt;P")&gt;0,1,0)</f>
        <v>0</v>
      </c>
      <c r="E651">
        <f>IF(COUNTIFS('United Data'!$A$3:$A$2150,E$1,'United Data'!$C$3:$C$2150,$A651,'United Data'!$B$3:$B$2150,"&lt;&gt;P")&gt;0,1,0)</f>
        <v>0</v>
      </c>
      <c r="F651">
        <f>IF(COUNTIFS('United Data'!$A$3:$A$2150,F$1,'United Data'!$C$3:$C$2150,$A651,'United Data'!$B$3:$B$2150,"&lt;&gt;P")&gt;0,1,0)</f>
        <v>0</v>
      </c>
      <c r="G651">
        <f>IF(COUNTIFS('United Data'!$A$3:$A$2150,G$1,'United Data'!$C$3:$C$2150,$A651,'United Data'!$B$3:$B$2150,"&lt;&gt;P")&gt;0,1,0)</f>
        <v>0</v>
      </c>
      <c r="H651">
        <f>IF(COUNTIFS('United Data'!$A$3:$A$2150,H$1,'United Data'!$C$3:$C$2150,$A651,'United Data'!$B$3:$B$2150,"&lt;&gt;P")&gt;0,1,0)</f>
        <v>0</v>
      </c>
      <c r="I651">
        <f>IF(COUNTIFS('United Data'!$A$3:$A$2150,I$1,'United Data'!$C$3:$C$2150,$A651,'United Data'!$B$3:$B$2150,"&lt;&gt;P")&gt;0,1,0)</f>
        <v>0</v>
      </c>
      <c r="J651">
        <f>IF(COUNTIFS('United Data'!$A$3:$A$2150,J$1,'United Data'!$C$3:$C$2150,$A651,'United Data'!$B$3:$B$2150,"&lt;&gt;P")&gt;0,1,0)</f>
        <v>0</v>
      </c>
      <c r="K651">
        <f>IF(COUNTIFS('United Data'!$A$3:$A$2150,K$1,'United Data'!$C$3:$C$2150,$A651,'United Data'!$B$3:$B$2150,"&lt;&gt;P")&gt;0,1,0)</f>
        <v>0</v>
      </c>
      <c r="L651">
        <f>IF(COUNTIFS('United Data'!$A$3:$A$2150,L$1,'United Data'!$C$3:$C$2150,$A651,'United Data'!$B$3:$B$2150,"&lt;&gt;P")&gt;0,1,0)</f>
        <v>0</v>
      </c>
      <c r="M651">
        <f>IF(COUNTIFS('United Data'!$A$3:$A$2150,M$1,'United Data'!$C$3:$C$2150,$A651,'United Data'!$B$3:$B$2150,"&lt;&gt;P")&gt;0,1,0)</f>
        <v>0</v>
      </c>
      <c r="N651">
        <f>IF(COUNTIFS('United Data'!$A$3:$A$2150,N$1,'United Data'!$C$3:$C$2150,$A651,'United Data'!$B$3:$B$2150,"&lt;&gt;P")&gt;0,1,0)</f>
        <v>0</v>
      </c>
      <c r="O651">
        <f>IF(COUNTIFS('United Data'!$A$3:$A$2150,O$1,'United Data'!$C$3:$C$2150,$A651,'United Data'!$B$3:$B$2150,"&lt;&gt;P")&gt;0,1,0)</f>
        <v>0</v>
      </c>
      <c r="P651">
        <f>IF(COUNTIFS('United Data'!$A$3:$A$2150,P$1,'United Data'!$C$3:$C$2150,$A651,'United Data'!$B$3:$B$2150,"&lt;&gt;P")&gt;0,1,0)</f>
        <v>0</v>
      </c>
      <c r="Q651">
        <f>IF(COUNTIFS('United Data'!$A$3:$A$2150,Q$1,'United Data'!$C$3:$C$2150,$A651,'United Data'!$B$3:$B$2150,"&lt;&gt;P")&gt;0,1,0)</f>
        <v>0</v>
      </c>
      <c r="R651">
        <f>IF(COUNTIFS('United Data'!$A$3:$A$2150,R$1,'United Data'!$C$3:$C$2150,$A651,'United Data'!$B$3:$B$2150,"&lt;&gt;P")&gt;0,1,0)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698</v>
      </c>
      <c r="B652">
        <f>IF(COUNTIFS('United Data'!$A$3:$A$2150,B$1,'United Data'!$C$3:$C$2150,$A652,'United Data'!$B$3:$B$2150,"&lt;&gt;P")&gt;0,1,0)</f>
        <v>0</v>
      </c>
      <c r="C652">
        <f>IF(COUNTIFS('United Data'!$A$3:$A$2150,C$1,'United Data'!$C$3:$C$2150,$A652,'United Data'!$B$3:$B$2150,"&lt;&gt;P")&gt;0,1,0)</f>
        <v>1</v>
      </c>
      <c r="D652">
        <f>IF(COUNTIFS('United Data'!$A$3:$A$2150,D$1,'United Data'!$C$3:$C$2150,$A652,'United Data'!$B$3:$B$2150,"&lt;&gt;P")&gt;0,1,0)</f>
        <v>0</v>
      </c>
      <c r="E652">
        <f>IF(COUNTIFS('United Data'!$A$3:$A$2150,E$1,'United Data'!$C$3:$C$2150,$A652,'United Data'!$B$3:$B$2150,"&lt;&gt;P")&gt;0,1,0)</f>
        <v>0</v>
      </c>
      <c r="F652">
        <f>IF(COUNTIFS('United Data'!$A$3:$A$2150,F$1,'United Data'!$C$3:$C$2150,$A652,'United Data'!$B$3:$B$2150,"&lt;&gt;P")&gt;0,1,0)</f>
        <v>0</v>
      </c>
      <c r="G652">
        <f>IF(COUNTIFS('United Data'!$A$3:$A$2150,G$1,'United Data'!$C$3:$C$2150,$A652,'United Data'!$B$3:$B$2150,"&lt;&gt;P")&gt;0,1,0)</f>
        <v>0</v>
      </c>
      <c r="H652">
        <f>IF(COUNTIFS('United Data'!$A$3:$A$2150,H$1,'United Data'!$C$3:$C$2150,$A652,'United Data'!$B$3:$B$2150,"&lt;&gt;P")&gt;0,1,0)</f>
        <v>0</v>
      </c>
      <c r="I652">
        <f>IF(COUNTIFS('United Data'!$A$3:$A$2150,I$1,'United Data'!$C$3:$C$2150,$A652,'United Data'!$B$3:$B$2150,"&lt;&gt;P")&gt;0,1,0)</f>
        <v>0</v>
      </c>
      <c r="J652">
        <f>IF(COUNTIFS('United Data'!$A$3:$A$2150,J$1,'United Data'!$C$3:$C$2150,$A652,'United Data'!$B$3:$B$2150,"&lt;&gt;P")&gt;0,1,0)</f>
        <v>0</v>
      </c>
      <c r="K652">
        <f>IF(COUNTIFS('United Data'!$A$3:$A$2150,K$1,'United Data'!$C$3:$C$2150,$A652,'United Data'!$B$3:$B$2150,"&lt;&gt;P")&gt;0,1,0)</f>
        <v>0</v>
      </c>
      <c r="L652">
        <f>IF(COUNTIFS('United Data'!$A$3:$A$2150,L$1,'United Data'!$C$3:$C$2150,$A652,'United Data'!$B$3:$B$2150,"&lt;&gt;P")&gt;0,1,0)</f>
        <v>0</v>
      </c>
      <c r="M652">
        <f>IF(COUNTIFS('United Data'!$A$3:$A$2150,M$1,'United Data'!$C$3:$C$2150,$A652,'United Data'!$B$3:$B$2150,"&lt;&gt;P")&gt;0,1,0)</f>
        <v>0</v>
      </c>
      <c r="N652">
        <f>IF(COUNTIFS('United Data'!$A$3:$A$2150,N$1,'United Data'!$C$3:$C$2150,$A652,'United Data'!$B$3:$B$2150,"&lt;&gt;P")&gt;0,1,0)</f>
        <v>0</v>
      </c>
      <c r="O652">
        <f>IF(COUNTIFS('United Data'!$A$3:$A$2150,O$1,'United Data'!$C$3:$C$2150,$A652,'United Data'!$B$3:$B$2150,"&lt;&gt;P")&gt;0,1,0)</f>
        <v>0</v>
      </c>
      <c r="P652">
        <f>IF(COUNTIFS('United Data'!$A$3:$A$2150,P$1,'United Data'!$C$3:$C$2150,$A652,'United Data'!$B$3:$B$2150,"&lt;&gt;P")&gt;0,1,0)</f>
        <v>0</v>
      </c>
      <c r="Q652">
        <f>IF(COUNTIFS('United Data'!$A$3:$A$2150,Q$1,'United Data'!$C$3:$C$2150,$A652,'United Data'!$B$3:$B$2150,"&lt;&gt;P")&gt;0,1,0)</f>
        <v>0</v>
      </c>
      <c r="R652">
        <f>IF(COUNTIFS('United Data'!$A$3:$A$2150,R$1,'United Data'!$C$3:$C$2150,$A652,'United Data'!$B$3:$B$2150,"&lt;&gt;P")&gt;0,1,0)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699</v>
      </c>
      <c r="B653">
        <f>IF(COUNTIFS('United Data'!$A$3:$A$2150,B$1,'United Data'!$C$3:$C$2150,$A653,'United Data'!$B$3:$B$2150,"&lt;&gt;P")&gt;0,1,0)</f>
        <v>0</v>
      </c>
      <c r="C653">
        <f>IF(COUNTIFS('United Data'!$A$3:$A$2150,C$1,'United Data'!$C$3:$C$2150,$A653,'United Data'!$B$3:$B$2150,"&lt;&gt;P")&gt;0,1,0)</f>
        <v>1</v>
      </c>
      <c r="D653">
        <f>IF(COUNTIFS('United Data'!$A$3:$A$2150,D$1,'United Data'!$C$3:$C$2150,$A653,'United Data'!$B$3:$B$2150,"&lt;&gt;P")&gt;0,1,0)</f>
        <v>0</v>
      </c>
      <c r="E653">
        <f>IF(COUNTIFS('United Data'!$A$3:$A$2150,E$1,'United Data'!$C$3:$C$2150,$A653,'United Data'!$B$3:$B$2150,"&lt;&gt;P")&gt;0,1,0)</f>
        <v>0</v>
      </c>
      <c r="F653">
        <f>IF(COUNTIFS('United Data'!$A$3:$A$2150,F$1,'United Data'!$C$3:$C$2150,$A653,'United Data'!$B$3:$B$2150,"&lt;&gt;P")&gt;0,1,0)</f>
        <v>0</v>
      </c>
      <c r="G653">
        <f>IF(COUNTIFS('United Data'!$A$3:$A$2150,G$1,'United Data'!$C$3:$C$2150,$A653,'United Data'!$B$3:$B$2150,"&lt;&gt;P")&gt;0,1,0)</f>
        <v>0</v>
      </c>
      <c r="H653">
        <f>IF(COUNTIFS('United Data'!$A$3:$A$2150,H$1,'United Data'!$C$3:$C$2150,$A653,'United Data'!$B$3:$B$2150,"&lt;&gt;P")&gt;0,1,0)</f>
        <v>0</v>
      </c>
      <c r="I653">
        <f>IF(COUNTIFS('United Data'!$A$3:$A$2150,I$1,'United Data'!$C$3:$C$2150,$A653,'United Data'!$B$3:$B$2150,"&lt;&gt;P")&gt;0,1,0)</f>
        <v>0</v>
      </c>
      <c r="J653">
        <f>IF(COUNTIFS('United Data'!$A$3:$A$2150,J$1,'United Data'!$C$3:$C$2150,$A653,'United Data'!$B$3:$B$2150,"&lt;&gt;P")&gt;0,1,0)</f>
        <v>0</v>
      </c>
      <c r="K653">
        <f>IF(COUNTIFS('United Data'!$A$3:$A$2150,K$1,'United Data'!$C$3:$C$2150,$A653,'United Data'!$B$3:$B$2150,"&lt;&gt;P")&gt;0,1,0)</f>
        <v>0</v>
      </c>
      <c r="L653">
        <f>IF(COUNTIFS('United Data'!$A$3:$A$2150,L$1,'United Data'!$C$3:$C$2150,$A653,'United Data'!$B$3:$B$2150,"&lt;&gt;P")&gt;0,1,0)</f>
        <v>0</v>
      </c>
      <c r="M653">
        <f>IF(COUNTIFS('United Data'!$A$3:$A$2150,M$1,'United Data'!$C$3:$C$2150,$A653,'United Data'!$B$3:$B$2150,"&lt;&gt;P")&gt;0,1,0)</f>
        <v>0</v>
      </c>
      <c r="N653">
        <f>IF(COUNTIFS('United Data'!$A$3:$A$2150,N$1,'United Data'!$C$3:$C$2150,$A653,'United Data'!$B$3:$B$2150,"&lt;&gt;P")&gt;0,1,0)</f>
        <v>0</v>
      </c>
      <c r="O653">
        <f>IF(COUNTIFS('United Data'!$A$3:$A$2150,O$1,'United Data'!$C$3:$C$2150,$A653,'United Data'!$B$3:$B$2150,"&lt;&gt;P")&gt;0,1,0)</f>
        <v>0</v>
      </c>
      <c r="P653">
        <f>IF(COUNTIFS('United Data'!$A$3:$A$2150,P$1,'United Data'!$C$3:$C$2150,$A653,'United Data'!$B$3:$B$2150,"&lt;&gt;P")&gt;0,1,0)</f>
        <v>0</v>
      </c>
      <c r="Q653">
        <f>IF(COUNTIFS('United Data'!$A$3:$A$2150,Q$1,'United Data'!$C$3:$C$2150,$A653,'United Data'!$B$3:$B$2150,"&lt;&gt;P")&gt;0,1,0)</f>
        <v>0</v>
      </c>
      <c r="R653">
        <f>IF(COUNTIFS('United Data'!$A$3:$A$2150,R$1,'United Data'!$C$3:$C$2150,$A653,'United Data'!$B$3:$B$2150,"&lt;&gt;P")&gt;0,1,0)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700</v>
      </c>
      <c r="B654">
        <f>IF(COUNTIFS('United Data'!$A$3:$A$2150,B$1,'United Data'!$C$3:$C$2150,$A654,'United Data'!$B$3:$B$2150,"&lt;&gt;P")&gt;0,1,0)</f>
        <v>0</v>
      </c>
      <c r="C654">
        <f>IF(COUNTIFS('United Data'!$A$3:$A$2150,C$1,'United Data'!$C$3:$C$2150,$A654,'United Data'!$B$3:$B$2150,"&lt;&gt;P")&gt;0,1,0)</f>
        <v>1</v>
      </c>
      <c r="D654">
        <f>IF(COUNTIFS('United Data'!$A$3:$A$2150,D$1,'United Data'!$C$3:$C$2150,$A654,'United Data'!$B$3:$B$2150,"&lt;&gt;P")&gt;0,1,0)</f>
        <v>0</v>
      </c>
      <c r="E654">
        <f>IF(COUNTIFS('United Data'!$A$3:$A$2150,E$1,'United Data'!$C$3:$C$2150,$A654,'United Data'!$B$3:$B$2150,"&lt;&gt;P")&gt;0,1,0)</f>
        <v>0</v>
      </c>
      <c r="F654">
        <f>IF(COUNTIFS('United Data'!$A$3:$A$2150,F$1,'United Data'!$C$3:$C$2150,$A654,'United Data'!$B$3:$B$2150,"&lt;&gt;P")&gt;0,1,0)</f>
        <v>0</v>
      </c>
      <c r="G654">
        <f>IF(COUNTIFS('United Data'!$A$3:$A$2150,G$1,'United Data'!$C$3:$C$2150,$A654,'United Data'!$B$3:$B$2150,"&lt;&gt;P")&gt;0,1,0)</f>
        <v>0</v>
      </c>
      <c r="H654">
        <f>IF(COUNTIFS('United Data'!$A$3:$A$2150,H$1,'United Data'!$C$3:$C$2150,$A654,'United Data'!$B$3:$B$2150,"&lt;&gt;P")&gt;0,1,0)</f>
        <v>0</v>
      </c>
      <c r="I654">
        <f>IF(COUNTIFS('United Data'!$A$3:$A$2150,I$1,'United Data'!$C$3:$C$2150,$A654,'United Data'!$B$3:$B$2150,"&lt;&gt;P")&gt;0,1,0)</f>
        <v>0</v>
      </c>
      <c r="J654">
        <f>IF(COUNTIFS('United Data'!$A$3:$A$2150,J$1,'United Data'!$C$3:$C$2150,$A654,'United Data'!$B$3:$B$2150,"&lt;&gt;P")&gt;0,1,0)</f>
        <v>0</v>
      </c>
      <c r="K654">
        <f>IF(COUNTIFS('United Data'!$A$3:$A$2150,K$1,'United Data'!$C$3:$C$2150,$A654,'United Data'!$B$3:$B$2150,"&lt;&gt;P")&gt;0,1,0)</f>
        <v>0</v>
      </c>
      <c r="L654">
        <f>IF(COUNTIFS('United Data'!$A$3:$A$2150,L$1,'United Data'!$C$3:$C$2150,$A654,'United Data'!$B$3:$B$2150,"&lt;&gt;P")&gt;0,1,0)</f>
        <v>0</v>
      </c>
      <c r="M654">
        <f>IF(COUNTIFS('United Data'!$A$3:$A$2150,M$1,'United Data'!$C$3:$C$2150,$A654,'United Data'!$B$3:$B$2150,"&lt;&gt;P")&gt;0,1,0)</f>
        <v>0</v>
      </c>
      <c r="N654">
        <f>IF(COUNTIFS('United Data'!$A$3:$A$2150,N$1,'United Data'!$C$3:$C$2150,$A654,'United Data'!$B$3:$B$2150,"&lt;&gt;P")&gt;0,1,0)</f>
        <v>0</v>
      </c>
      <c r="O654">
        <f>IF(COUNTIFS('United Data'!$A$3:$A$2150,O$1,'United Data'!$C$3:$C$2150,$A654,'United Data'!$B$3:$B$2150,"&lt;&gt;P")&gt;0,1,0)</f>
        <v>0</v>
      </c>
      <c r="P654">
        <f>IF(COUNTIFS('United Data'!$A$3:$A$2150,P$1,'United Data'!$C$3:$C$2150,$A654,'United Data'!$B$3:$B$2150,"&lt;&gt;P")&gt;0,1,0)</f>
        <v>0</v>
      </c>
      <c r="Q654">
        <f>IF(COUNTIFS('United Data'!$A$3:$A$2150,Q$1,'United Data'!$C$3:$C$2150,$A654,'United Data'!$B$3:$B$2150,"&lt;&gt;P")&gt;0,1,0)</f>
        <v>0</v>
      </c>
      <c r="R654">
        <f>IF(COUNTIFS('United Data'!$A$3:$A$2150,R$1,'United Data'!$C$3:$C$2150,$A654,'United Data'!$B$3:$B$2150,"&lt;&gt;P")&gt;0,1,0)</f>
        <v>0</v>
      </c>
      <c r="S654">
        <f t="shared" si="20"/>
        <v>1</v>
      </c>
      <c r="T654">
        <f t="shared" si="21"/>
        <v>1</v>
      </c>
    </row>
    <row r="655" spans="1:20" x14ac:dyDescent="0.2">
      <c r="A655" t="s">
        <v>701</v>
      </c>
      <c r="B655">
        <f>IF(COUNTIFS('United Data'!$A$3:$A$2150,B$1,'United Data'!$C$3:$C$2150,$A655,'United Data'!$B$3:$B$2150,"&lt;&gt;P")&gt;0,1,0)</f>
        <v>0</v>
      </c>
      <c r="C655">
        <f>IF(COUNTIFS('United Data'!$A$3:$A$2150,C$1,'United Data'!$C$3:$C$2150,$A655,'United Data'!$B$3:$B$2150,"&lt;&gt;P")&gt;0,1,0)</f>
        <v>1</v>
      </c>
      <c r="D655">
        <f>IF(COUNTIFS('United Data'!$A$3:$A$2150,D$1,'United Data'!$C$3:$C$2150,$A655,'United Data'!$B$3:$B$2150,"&lt;&gt;P")&gt;0,1,0)</f>
        <v>0</v>
      </c>
      <c r="E655">
        <f>IF(COUNTIFS('United Data'!$A$3:$A$2150,E$1,'United Data'!$C$3:$C$2150,$A655,'United Data'!$B$3:$B$2150,"&lt;&gt;P")&gt;0,1,0)</f>
        <v>0</v>
      </c>
      <c r="F655">
        <f>IF(COUNTIFS('United Data'!$A$3:$A$2150,F$1,'United Data'!$C$3:$C$2150,$A655,'United Data'!$B$3:$B$2150,"&lt;&gt;P")&gt;0,1,0)</f>
        <v>0</v>
      </c>
      <c r="G655">
        <f>IF(COUNTIFS('United Data'!$A$3:$A$2150,G$1,'United Data'!$C$3:$C$2150,$A655,'United Data'!$B$3:$B$2150,"&lt;&gt;P")&gt;0,1,0)</f>
        <v>0</v>
      </c>
      <c r="H655">
        <f>IF(COUNTIFS('United Data'!$A$3:$A$2150,H$1,'United Data'!$C$3:$C$2150,$A655,'United Data'!$B$3:$B$2150,"&lt;&gt;P")&gt;0,1,0)</f>
        <v>0</v>
      </c>
      <c r="I655">
        <f>IF(COUNTIFS('United Data'!$A$3:$A$2150,I$1,'United Data'!$C$3:$C$2150,$A655,'United Data'!$B$3:$B$2150,"&lt;&gt;P")&gt;0,1,0)</f>
        <v>0</v>
      </c>
      <c r="J655">
        <f>IF(COUNTIFS('United Data'!$A$3:$A$2150,J$1,'United Data'!$C$3:$C$2150,$A655,'United Data'!$B$3:$B$2150,"&lt;&gt;P")&gt;0,1,0)</f>
        <v>0</v>
      </c>
      <c r="K655">
        <f>IF(COUNTIFS('United Data'!$A$3:$A$2150,K$1,'United Data'!$C$3:$C$2150,$A655,'United Data'!$B$3:$B$2150,"&lt;&gt;P")&gt;0,1,0)</f>
        <v>0</v>
      </c>
      <c r="L655">
        <f>IF(COUNTIFS('United Data'!$A$3:$A$2150,L$1,'United Data'!$C$3:$C$2150,$A655,'United Data'!$B$3:$B$2150,"&lt;&gt;P")&gt;0,1,0)</f>
        <v>0</v>
      </c>
      <c r="M655">
        <f>IF(COUNTIFS('United Data'!$A$3:$A$2150,M$1,'United Data'!$C$3:$C$2150,$A655,'United Data'!$B$3:$B$2150,"&lt;&gt;P")&gt;0,1,0)</f>
        <v>0</v>
      </c>
      <c r="N655">
        <f>IF(COUNTIFS('United Data'!$A$3:$A$2150,N$1,'United Data'!$C$3:$C$2150,$A655,'United Data'!$B$3:$B$2150,"&lt;&gt;P")&gt;0,1,0)</f>
        <v>0</v>
      </c>
      <c r="O655">
        <f>IF(COUNTIFS('United Data'!$A$3:$A$2150,O$1,'United Data'!$C$3:$C$2150,$A655,'United Data'!$B$3:$B$2150,"&lt;&gt;P")&gt;0,1,0)</f>
        <v>0</v>
      </c>
      <c r="P655">
        <f>IF(COUNTIFS('United Data'!$A$3:$A$2150,P$1,'United Data'!$C$3:$C$2150,$A655,'United Data'!$B$3:$B$2150,"&lt;&gt;P")&gt;0,1,0)</f>
        <v>0</v>
      </c>
      <c r="Q655">
        <f>IF(COUNTIFS('United Data'!$A$3:$A$2150,Q$1,'United Data'!$C$3:$C$2150,$A655,'United Data'!$B$3:$B$2150,"&lt;&gt;P")&gt;0,1,0)</f>
        <v>0</v>
      </c>
      <c r="R655">
        <f>IF(COUNTIFS('United Data'!$A$3:$A$2150,R$1,'United Data'!$C$3:$C$2150,$A655,'United Data'!$B$3:$B$2150,"&lt;&gt;P")&gt;0,1,0)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702</v>
      </c>
      <c r="B656">
        <f>IF(COUNTIFS('United Data'!$A$3:$A$2150,B$1,'United Data'!$C$3:$C$2150,$A656,'United Data'!$B$3:$B$2150,"&lt;&gt;P")&gt;0,1,0)</f>
        <v>0</v>
      </c>
      <c r="C656">
        <f>IF(COUNTIFS('United Data'!$A$3:$A$2150,C$1,'United Data'!$C$3:$C$2150,$A656,'United Data'!$B$3:$B$2150,"&lt;&gt;P")&gt;0,1,0)</f>
        <v>1</v>
      </c>
      <c r="D656">
        <f>IF(COUNTIFS('United Data'!$A$3:$A$2150,D$1,'United Data'!$C$3:$C$2150,$A656,'United Data'!$B$3:$B$2150,"&lt;&gt;P")&gt;0,1,0)</f>
        <v>0</v>
      </c>
      <c r="E656">
        <f>IF(COUNTIFS('United Data'!$A$3:$A$2150,E$1,'United Data'!$C$3:$C$2150,$A656,'United Data'!$B$3:$B$2150,"&lt;&gt;P")&gt;0,1,0)</f>
        <v>0</v>
      </c>
      <c r="F656">
        <f>IF(COUNTIFS('United Data'!$A$3:$A$2150,F$1,'United Data'!$C$3:$C$2150,$A656,'United Data'!$B$3:$B$2150,"&lt;&gt;P")&gt;0,1,0)</f>
        <v>0</v>
      </c>
      <c r="G656">
        <f>IF(COUNTIFS('United Data'!$A$3:$A$2150,G$1,'United Data'!$C$3:$C$2150,$A656,'United Data'!$B$3:$B$2150,"&lt;&gt;P")&gt;0,1,0)</f>
        <v>0</v>
      </c>
      <c r="H656">
        <f>IF(COUNTIFS('United Data'!$A$3:$A$2150,H$1,'United Data'!$C$3:$C$2150,$A656,'United Data'!$B$3:$B$2150,"&lt;&gt;P")&gt;0,1,0)</f>
        <v>0</v>
      </c>
      <c r="I656">
        <f>IF(COUNTIFS('United Data'!$A$3:$A$2150,I$1,'United Data'!$C$3:$C$2150,$A656,'United Data'!$B$3:$B$2150,"&lt;&gt;P")&gt;0,1,0)</f>
        <v>0</v>
      </c>
      <c r="J656">
        <f>IF(COUNTIFS('United Data'!$A$3:$A$2150,J$1,'United Data'!$C$3:$C$2150,$A656,'United Data'!$B$3:$B$2150,"&lt;&gt;P")&gt;0,1,0)</f>
        <v>0</v>
      </c>
      <c r="K656">
        <f>IF(COUNTIFS('United Data'!$A$3:$A$2150,K$1,'United Data'!$C$3:$C$2150,$A656,'United Data'!$B$3:$B$2150,"&lt;&gt;P")&gt;0,1,0)</f>
        <v>0</v>
      </c>
      <c r="L656">
        <f>IF(COUNTIFS('United Data'!$A$3:$A$2150,L$1,'United Data'!$C$3:$C$2150,$A656,'United Data'!$B$3:$B$2150,"&lt;&gt;P")&gt;0,1,0)</f>
        <v>0</v>
      </c>
      <c r="M656">
        <f>IF(COUNTIFS('United Data'!$A$3:$A$2150,M$1,'United Data'!$C$3:$C$2150,$A656,'United Data'!$B$3:$B$2150,"&lt;&gt;P")&gt;0,1,0)</f>
        <v>0</v>
      </c>
      <c r="N656">
        <f>IF(COUNTIFS('United Data'!$A$3:$A$2150,N$1,'United Data'!$C$3:$C$2150,$A656,'United Data'!$B$3:$B$2150,"&lt;&gt;P")&gt;0,1,0)</f>
        <v>0</v>
      </c>
      <c r="O656">
        <f>IF(COUNTIFS('United Data'!$A$3:$A$2150,O$1,'United Data'!$C$3:$C$2150,$A656,'United Data'!$B$3:$B$2150,"&lt;&gt;P")&gt;0,1,0)</f>
        <v>0</v>
      </c>
      <c r="P656">
        <f>IF(COUNTIFS('United Data'!$A$3:$A$2150,P$1,'United Data'!$C$3:$C$2150,$A656,'United Data'!$B$3:$B$2150,"&lt;&gt;P")&gt;0,1,0)</f>
        <v>0</v>
      </c>
      <c r="Q656">
        <f>IF(COUNTIFS('United Data'!$A$3:$A$2150,Q$1,'United Data'!$C$3:$C$2150,$A656,'United Data'!$B$3:$B$2150,"&lt;&gt;P")&gt;0,1,0)</f>
        <v>0</v>
      </c>
      <c r="R656">
        <f>IF(COUNTIFS('United Data'!$A$3:$A$2150,R$1,'United Data'!$C$3:$C$2150,$A656,'United Data'!$B$3:$B$2150,"&lt;&gt;P")&gt;0,1,0)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703</v>
      </c>
      <c r="B657">
        <f>IF(COUNTIFS('United Data'!$A$3:$A$2150,B$1,'United Data'!$C$3:$C$2150,$A657,'United Data'!$B$3:$B$2150,"&lt;&gt;P")&gt;0,1,0)</f>
        <v>0</v>
      </c>
      <c r="C657">
        <f>IF(COUNTIFS('United Data'!$A$3:$A$2150,C$1,'United Data'!$C$3:$C$2150,$A657,'United Data'!$B$3:$B$2150,"&lt;&gt;P")&gt;0,1,0)</f>
        <v>1</v>
      </c>
      <c r="D657">
        <f>IF(COUNTIFS('United Data'!$A$3:$A$2150,D$1,'United Data'!$C$3:$C$2150,$A657,'United Data'!$B$3:$B$2150,"&lt;&gt;P")&gt;0,1,0)</f>
        <v>0</v>
      </c>
      <c r="E657">
        <f>IF(COUNTIFS('United Data'!$A$3:$A$2150,E$1,'United Data'!$C$3:$C$2150,$A657,'United Data'!$B$3:$B$2150,"&lt;&gt;P")&gt;0,1,0)</f>
        <v>0</v>
      </c>
      <c r="F657">
        <f>IF(COUNTIFS('United Data'!$A$3:$A$2150,F$1,'United Data'!$C$3:$C$2150,$A657,'United Data'!$B$3:$B$2150,"&lt;&gt;P")&gt;0,1,0)</f>
        <v>0</v>
      </c>
      <c r="G657">
        <f>IF(COUNTIFS('United Data'!$A$3:$A$2150,G$1,'United Data'!$C$3:$C$2150,$A657,'United Data'!$B$3:$B$2150,"&lt;&gt;P")&gt;0,1,0)</f>
        <v>0</v>
      </c>
      <c r="H657">
        <f>IF(COUNTIFS('United Data'!$A$3:$A$2150,H$1,'United Data'!$C$3:$C$2150,$A657,'United Data'!$B$3:$B$2150,"&lt;&gt;P")&gt;0,1,0)</f>
        <v>0</v>
      </c>
      <c r="I657">
        <f>IF(COUNTIFS('United Data'!$A$3:$A$2150,I$1,'United Data'!$C$3:$C$2150,$A657,'United Data'!$B$3:$B$2150,"&lt;&gt;P")&gt;0,1,0)</f>
        <v>0</v>
      </c>
      <c r="J657">
        <f>IF(COUNTIFS('United Data'!$A$3:$A$2150,J$1,'United Data'!$C$3:$C$2150,$A657,'United Data'!$B$3:$B$2150,"&lt;&gt;P")&gt;0,1,0)</f>
        <v>0</v>
      </c>
      <c r="K657">
        <f>IF(COUNTIFS('United Data'!$A$3:$A$2150,K$1,'United Data'!$C$3:$C$2150,$A657,'United Data'!$B$3:$B$2150,"&lt;&gt;P")&gt;0,1,0)</f>
        <v>0</v>
      </c>
      <c r="L657">
        <f>IF(COUNTIFS('United Data'!$A$3:$A$2150,L$1,'United Data'!$C$3:$C$2150,$A657,'United Data'!$B$3:$B$2150,"&lt;&gt;P")&gt;0,1,0)</f>
        <v>0</v>
      </c>
      <c r="M657">
        <f>IF(COUNTIFS('United Data'!$A$3:$A$2150,M$1,'United Data'!$C$3:$C$2150,$A657,'United Data'!$B$3:$B$2150,"&lt;&gt;P")&gt;0,1,0)</f>
        <v>0</v>
      </c>
      <c r="N657">
        <f>IF(COUNTIFS('United Data'!$A$3:$A$2150,N$1,'United Data'!$C$3:$C$2150,$A657,'United Data'!$B$3:$B$2150,"&lt;&gt;P")&gt;0,1,0)</f>
        <v>0</v>
      </c>
      <c r="O657">
        <f>IF(COUNTIFS('United Data'!$A$3:$A$2150,O$1,'United Data'!$C$3:$C$2150,$A657,'United Data'!$B$3:$B$2150,"&lt;&gt;P")&gt;0,1,0)</f>
        <v>0</v>
      </c>
      <c r="P657">
        <f>IF(COUNTIFS('United Data'!$A$3:$A$2150,P$1,'United Data'!$C$3:$C$2150,$A657,'United Data'!$B$3:$B$2150,"&lt;&gt;P")&gt;0,1,0)</f>
        <v>0</v>
      </c>
      <c r="Q657">
        <f>IF(COUNTIFS('United Data'!$A$3:$A$2150,Q$1,'United Data'!$C$3:$C$2150,$A657,'United Data'!$B$3:$B$2150,"&lt;&gt;P")&gt;0,1,0)</f>
        <v>0</v>
      </c>
      <c r="R657">
        <f>IF(COUNTIFS('United Data'!$A$3:$A$2150,R$1,'United Data'!$C$3:$C$2150,$A657,'United Data'!$B$3:$B$2150,"&lt;&gt;P")&gt;0,1,0)</f>
        <v>0</v>
      </c>
      <c r="S657">
        <f t="shared" si="20"/>
        <v>1</v>
      </c>
      <c r="T657">
        <f t="shared" si="21"/>
        <v>1</v>
      </c>
    </row>
    <row r="658" spans="1:20" x14ac:dyDescent="0.2">
      <c r="A658" t="s">
        <v>704</v>
      </c>
      <c r="B658">
        <f>IF(COUNTIFS('United Data'!$A$3:$A$2150,B$1,'United Data'!$C$3:$C$2150,$A658,'United Data'!$B$3:$B$2150,"&lt;&gt;P")&gt;0,1,0)</f>
        <v>0</v>
      </c>
      <c r="C658">
        <f>IF(COUNTIFS('United Data'!$A$3:$A$2150,C$1,'United Data'!$C$3:$C$2150,$A658,'United Data'!$B$3:$B$2150,"&lt;&gt;P")&gt;0,1,0)</f>
        <v>1</v>
      </c>
      <c r="D658">
        <f>IF(COUNTIFS('United Data'!$A$3:$A$2150,D$1,'United Data'!$C$3:$C$2150,$A658,'United Data'!$B$3:$B$2150,"&lt;&gt;P")&gt;0,1,0)</f>
        <v>1</v>
      </c>
      <c r="E658">
        <f>IF(COUNTIFS('United Data'!$A$3:$A$2150,E$1,'United Data'!$C$3:$C$2150,$A658,'United Data'!$B$3:$B$2150,"&lt;&gt;P")&gt;0,1,0)</f>
        <v>1</v>
      </c>
      <c r="F658">
        <f>IF(COUNTIFS('United Data'!$A$3:$A$2150,F$1,'United Data'!$C$3:$C$2150,$A658,'United Data'!$B$3:$B$2150,"&lt;&gt;P")&gt;0,1,0)</f>
        <v>1</v>
      </c>
      <c r="G658">
        <f>IF(COUNTIFS('United Data'!$A$3:$A$2150,G$1,'United Data'!$C$3:$C$2150,$A658,'United Data'!$B$3:$B$2150,"&lt;&gt;P")&gt;0,1,0)</f>
        <v>1</v>
      </c>
      <c r="H658">
        <f>IF(COUNTIFS('United Data'!$A$3:$A$2150,H$1,'United Data'!$C$3:$C$2150,$A658,'United Data'!$B$3:$B$2150,"&lt;&gt;P")&gt;0,1,0)</f>
        <v>1</v>
      </c>
      <c r="I658">
        <f>IF(COUNTIFS('United Data'!$A$3:$A$2150,I$1,'United Data'!$C$3:$C$2150,$A658,'United Data'!$B$3:$B$2150,"&lt;&gt;P")&gt;0,1,0)</f>
        <v>1</v>
      </c>
      <c r="J658">
        <f>IF(COUNTIFS('United Data'!$A$3:$A$2150,J$1,'United Data'!$C$3:$C$2150,$A658,'United Data'!$B$3:$B$2150,"&lt;&gt;P")&gt;0,1,0)</f>
        <v>1</v>
      </c>
      <c r="K658">
        <f>IF(COUNTIFS('United Data'!$A$3:$A$2150,K$1,'United Data'!$C$3:$C$2150,$A658,'United Data'!$B$3:$B$2150,"&lt;&gt;P")&gt;0,1,0)</f>
        <v>1</v>
      </c>
      <c r="L658">
        <f>IF(COUNTIFS('United Data'!$A$3:$A$2150,L$1,'United Data'!$C$3:$C$2150,$A658,'United Data'!$B$3:$B$2150,"&lt;&gt;P")&gt;0,1,0)</f>
        <v>1</v>
      </c>
      <c r="M658">
        <f>IF(COUNTIFS('United Data'!$A$3:$A$2150,M$1,'United Data'!$C$3:$C$2150,$A658,'United Data'!$B$3:$B$2150,"&lt;&gt;P")&gt;0,1,0)</f>
        <v>1</v>
      </c>
      <c r="N658">
        <f>IF(COUNTIFS('United Data'!$A$3:$A$2150,N$1,'United Data'!$C$3:$C$2150,$A658,'United Data'!$B$3:$B$2150,"&lt;&gt;P")&gt;0,1,0)</f>
        <v>1</v>
      </c>
      <c r="O658">
        <f>IF(COUNTIFS('United Data'!$A$3:$A$2150,O$1,'United Data'!$C$3:$C$2150,$A658,'United Data'!$B$3:$B$2150,"&lt;&gt;P")&gt;0,1,0)</f>
        <v>0</v>
      </c>
      <c r="P658">
        <f>IF(COUNTIFS('United Data'!$A$3:$A$2150,P$1,'United Data'!$C$3:$C$2150,$A658,'United Data'!$B$3:$B$2150,"&lt;&gt;P")&gt;0,1,0)</f>
        <v>0</v>
      </c>
      <c r="Q658">
        <f>IF(COUNTIFS('United Data'!$A$3:$A$2150,Q$1,'United Data'!$C$3:$C$2150,$A658,'United Data'!$B$3:$B$2150,"&lt;&gt;P")&gt;0,1,0)</f>
        <v>0</v>
      </c>
      <c r="R658">
        <f>IF(COUNTIFS('United Data'!$A$3:$A$2150,R$1,'United Data'!$C$3:$C$2150,$A658,'United Data'!$B$3:$B$2150,"&lt;&gt;P")&gt;0,1,0)</f>
        <v>0</v>
      </c>
      <c r="S658">
        <f t="shared" si="20"/>
        <v>12</v>
      </c>
      <c r="T658">
        <f t="shared" si="21"/>
        <v>1</v>
      </c>
    </row>
    <row r="659" spans="1:20" x14ac:dyDescent="0.2">
      <c r="A659" t="s">
        <v>705</v>
      </c>
      <c r="B659">
        <f>IF(COUNTIFS('United Data'!$A$3:$A$2150,B$1,'United Data'!$C$3:$C$2150,$A659,'United Data'!$B$3:$B$2150,"&lt;&gt;P")&gt;0,1,0)</f>
        <v>0</v>
      </c>
      <c r="C659">
        <f>IF(COUNTIFS('United Data'!$A$3:$A$2150,C$1,'United Data'!$C$3:$C$2150,$A659,'United Data'!$B$3:$B$2150,"&lt;&gt;P")&gt;0,1,0)</f>
        <v>0</v>
      </c>
      <c r="D659">
        <f>IF(COUNTIFS('United Data'!$A$3:$A$2150,D$1,'United Data'!$C$3:$C$2150,$A659,'United Data'!$B$3:$B$2150,"&lt;&gt;P")&gt;0,1,0)</f>
        <v>1</v>
      </c>
      <c r="E659">
        <f>IF(COUNTIFS('United Data'!$A$3:$A$2150,E$1,'United Data'!$C$3:$C$2150,$A659,'United Data'!$B$3:$B$2150,"&lt;&gt;P")&gt;0,1,0)</f>
        <v>0</v>
      </c>
      <c r="F659">
        <f>IF(COUNTIFS('United Data'!$A$3:$A$2150,F$1,'United Data'!$C$3:$C$2150,$A659,'United Data'!$B$3:$B$2150,"&lt;&gt;P")&gt;0,1,0)</f>
        <v>0</v>
      </c>
      <c r="G659">
        <f>IF(COUNTIFS('United Data'!$A$3:$A$2150,G$1,'United Data'!$C$3:$C$2150,$A659,'United Data'!$B$3:$B$2150,"&lt;&gt;P")&gt;0,1,0)</f>
        <v>0</v>
      </c>
      <c r="H659">
        <f>IF(COUNTIFS('United Data'!$A$3:$A$2150,H$1,'United Data'!$C$3:$C$2150,$A659,'United Data'!$B$3:$B$2150,"&lt;&gt;P")&gt;0,1,0)</f>
        <v>0</v>
      </c>
      <c r="I659">
        <f>IF(COUNTIFS('United Data'!$A$3:$A$2150,I$1,'United Data'!$C$3:$C$2150,$A659,'United Data'!$B$3:$B$2150,"&lt;&gt;P")&gt;0,1,0)</f>
        <v>0</v>
      </c>
      <c r="J659">
        <f>IF(COUNTIFS('United Data'!$A$3:$A$2150,J$1,'United Data'!$C$3:$C$2150,$A659,'United Data'!$B$3:$B$2150,"&lt;&gt;P")&gt;0,1,0)</f>
        <v>0</v>
      </c>
      <c r="K659">
        <f>IF(COUNTIFS('United Data'!$A$3:$A$2150,K$1,'United Data'!$C$3:$C$2150,$A659,'United Data'!$B$3:$B$2150,"&lt;&gt;P")&gt;0,1,0)</f>
        <v>0</v>
      </c>
      <c r="L659">
        <f>IF(COUNTIFS('United Data'!$A$3:$A$2150,L$1,'United Data'!$C$3:$C$2150,$A659,'United Data'!$B$3:$B$2150,"&lt;&gt;P")&gt;0,1,0)</f>
        <v>1</v>
      </c>
      <c r="M659">
        <f>IF(COUNTIFS('United Data'!$A$3:$A$2150,M$1,'United Data'!$C$3:$C$2150,$A659,'United Data'!$B$3:$B$2150,"&lt;&gt;P")&gt;0,1,0)</f>
        <v>0</v>
      </c>
      <c r="N659">
        <f>IF(COUNTIFS('United Data'!$A$3:$A$2150,N$1,'United Data'!$C$3:$C$2150,$A659,'United Data'!$B$3:$B$2150,"&lt;&gt;P")&gt;0,1,0)</f>
        <v>0</v>
      </c>
      <c r="O659">
        <f>IF(COUNTIFS('United Data'!$A$3:$A$2150,O$1,'United Data'!$C$3:$C$2150,$A659,'United Data'!$B$3:$B$2150,"&lt;&gt;P")&gt;0,1,0)</f>
        <v>0</v>
      </c>
      <c r="P659">
        <f>IF(COUNTIFS('United Data'!$A$3:$A$2150,P$1,'United Data'!$C$3:$C$2150,$A659,'United Data'!$B$3:$B$2150,"&lt;&gt;P")&gt;0,1,0)</f>
        <v>0</v>
      </c>
      <c r="Q659">
        <f>IF(COUNTIFS('United Data'!$A$3:$A$2150,Q$1,'United Data'!$C$3:$C$2150,$A659,'United Data'!$B$3:$B$2150,"&lt;&gt;P")&gt;0,1,0)</f>
        <v>0</v>
      </c>
      <c r="R659">
        <f>IF(COUNTIFS('United Data'!$A$3:$A$2150,R$1,'United Data'!$C$3:$C$2150,$A659,'United Data'!$B$3:$B$2150,"&lt;&gt;P")&gt;0,1,0)</f>
        <v>0</v>
      </c>
      <c r="S659">
        <f t="shared" si="20"/>
        <v>2</v>
      </c>
      <c r="T659">
        <f t="shared" si="21"/>
        <v>2</v>
      </c>
    </row>
    <row r="660" spans="1:20" x14ac:dyDescent="0.2">
      <c r="A660" t="s">
        <v>706</v>
      </c>
      <c r="B660">
        <f>IF(COUNTIFS('United Data'!$A$3:$A$2150,B$1,'United Data'!$C$3:$C$2150,$A660,'United Data'!$B$3:$B$2150,"&lt;&gt;P")&gt;0,1,0)</f>
        <v>0</v>
      </c>
      <c r="C660">
        <f>IF(COUNTIFS('United Data'!$A$3:$A$2150,C$1,'United Data'!$C$3:$C$2150,$A660,'United Data'!$B$3:$B$2150,"&lt;&gt;P")&gt;0,1,0)</f>
        <v>0</v>
      </c>
      <c r="D660">
        <f>IF(COUNTIFS('United Data'!$A$3:$A$2150,D$1,'United Data'!$C$3:$C$2150,$A660,'United Data'!$B$3:$B$2150,"&lt;&gt;P")&gt;0,1,0)</f>
        <v>1</v>
      </c>
      <c r="E660">
        <f>IF(COUNTIFS('United Data'!$A$3:$A$2150,E$1,'United Data'!$C$3:$C$2150,$A660,'United Data'!$B$3:$B$2150,"&lt;&gt;P")&gt;0,1,0)</f>
        <v>1</v>
      </c>
      <c r="F660">
        <f>IF(COUNTIFS('United Data'!$A$3:$A$2150,F$1,'United Data'!$C$3:$C$2150,$A660,'United Data'!$B$3:$B$2150,"&lt;&gt;P")&gt;0,1,0)</f>
        <v>1</v>
      </c>
      <c r="G660">
        <f>IF(COUNTIFS('United Data'!$A$3:$A$2150,G$1,'United Data'!$C$3:$C$2150,$A660,'United Data'!$B$3:$B$2150,"&lt;&gt;P")&gt;0,1,0)</f>
        <v>0</v>
      </c>
      <c r="H660">
        <f>IF(COUNTIFS('United Data'!$A$3:$A$2150,H$1,'United Data'!$C$3:$C$2150,$A660,'United Data'!$B$3:$B$2150,"&lt;&gt;P")&gt;0,1,0)</f>
        <v>0</v>
      </c>
      <c r="I660">
        <f>IF(COUNTIFS('United Data'!$A$3:$A$2150,I$1,'United Data'!$C$3:$C$2150,$A660,'United Data'!$B$3:$B$2150,"&lt;&gt;P")&gt;0,1,0)</f>
        <v>0</v>
      </c>
      <c r="J660">
        <f>IF(COUNTIFS('United Data'!$A$3:$A$2150,J$1,'United Data'!$C$3:$C$2150,$A660,'United Data'!$B$3:$B$2150,"&lt;&gt;P")&gt;0,1,0)</f>
        <v>0</v>
      </c>
      <c r="K660">
        <f>IF(COUNTIFS('United Data'!$A$3:$A$2150,K$1,'United Data'!$C$3:$C$2150,$A660,'United Data'!$B$3:$B$2150,"&lt;&gt;P")&gt;0,1,0)</f>
        <v>0</v>
      </c>
      <c r="L660">
        <f>IF(COUNTIFS('United Data'!$A$3:$A$2150,L$1,'United Data'!$C$3:$C$2150,$A660,'United Data'!$B$3:$B$2150,"&lt;&gt;P")&gt;0,1,0)</f>
        <v>0</v>
      </c>
      <c r="M660">
        <f>IF(COUNTIFS('United Data'!$A$3:$A$2150,M$1,'United Data'!$C$3:$C$2150,$A660,'United Data'!$B$3:$B$2150,"&lt;&gt;P")&gt;0,1,0)</f>
        <v>0</v>
      </c>
      <c r="N660">
        <f>IF(COUNTIFS('United Data'!$A$3:$A$2150,N$1,'United Data'!$C$3:$C$2150,$A660,'United Data'!$B$3:$B$2150,"&lt;&gt;P")&gt;0,1,0)</f>
        <v>0</v>
      </c>
      <c r="O660">
        <f>IF(COUNTIFS('United Data'!$A$3:$A$2150,O$1,'United Data'!$C$3:$C$2150,$A660,'United Data'!$B$3:$B$2150,"&lt;&gt;P")&gt;0,1,0)</f>
        <v>0</v>
      </c>
      <c r="P660">
        <f>IF(COUNTIFS('United Data'!$A$3:$A$2150,P$1,'United Data'!$C$3:$C$2150,$A660,'United Data'!$B$3:$B$2150,"&lt;&gt;P")&gt;0,1,0)</f>
        <v>0</v>
      </c>
      <c r="Q660">
        <f>IF(COUNTIFS('United Data'!$A$3:$A$2150,Q$1,'United Data'!$C$3:$C$2150,$A660,'United Data'!$B$3:$B$2150,"&lt;&gt;P")&gt;0,1,0)</f>
        <v>0</v>
      </c>
      <c r="R660">
        <f>IF(COUNTIFS('United Data'!$A$3:$A$2150,R$1,'United Data'!$C$3:$C$2150,$A660,'United Data'!$B$3:$B$2150,"&lt;&gt;P")&gt;0,1,0)</f>
        <v>0</v>
      </c>
      <c r="S660">
        <f t="shared" si="20"/>
        <v>3</v>
      </c>
      <c r="T660">
        <f t="shared" si="21"/>
        <v>1</v>
      </c>
    </row>
    <row r="661" spans="1:20" x14ac:dyDescent="0.2">
      <c r="A661" t="s">
        <v>707</v>
      </c>
      <c r="B661">
        <f>IF(COUNTIFS('United Data'!$A$3:$A$2150,B$1,'United Data'!$C$3:$C$2150,$A661,'United Data'!$B$3:$B$2150,"&lt;&gt;P")&gt;0,1,0)</f>
        <v>0</v>
      </c>
      <c r="C661">
        <f>IF(COUNTIFS('United Data'!$A$3:$A$2150,C$1,'United Data'!$C$3:$C$2150,$A661,'United Data'!$B$3:$B$2150,"&lt;&gt;P")&gt;0,1,0)</f>
        <v>0</v>
      </c>
      <c r="D661">
        <f>IF(COUNTIFS('United Data'!$A$3:$A$2150,D$1,'United Data'!$C$3:$C$2150,$A661,'United Data'!$B$3:$B$2150,"&lt;&gt;P")&gt;0,1,0)</f>
        <v>1</v>
      </c>
      <c r="E661">
        <f>IF(COUNTIFS('United Data'!$A$3:$A$2150,E$1,'United Data'!$C$3:$C$2150,$A661,'United Data'!$B$3:$B$2150,"&lt;&gt;P")&gt;0,1,0)</f>
        <v>0</v>
      </c>
      <c r="F661">
        <f>IF(COUNTIFS('United Data'!$A$3:$A$2150,F$1,'United Data'!$C$3:$C$2150,$A661,'United Data'!$B$3:$B$2150,"&lt;&gt;P")&gt;0,1,0)</f>
        <v>0</v>
      </c>
      <c r="G661">
        <f>IF(COUNTIFS('United Data'!$A$3:$A$2150,G$1,'United Data'!$C$3:$C$2150,$A661,'United Data'!$B$3:$B$2150,"&lt;&gt;P")&gt;0,1,0)</f>
        <v>0</v>
      </c>
      <c r="H661">
        <f>IF(COUNTIFS('United Data'!$A$3:$A$2150,H$1,'United Data'!$C$3:$C$2150,$A661,'United Data'!$B$3:$B$2150,"&lt;&gt;P")&gt;0,1,0)</f>
        <v>0</v>
      </c>
      <c r="I661">
        <f>IF(COUNTIFS('United Data'!$A$3:$A$2150,I$1,'United Data'!$C$3:$C$2150,$A661,'United Data'!$B$3:$B$2150,"&lt;&gt;P")&gt;0,1,0)</f>
        <v>0</v>
      </c>
      <c r="J661">
        <f>IF(COUNTIFS('United Data'!$A$3:$A$2150,J$1,'United Data'!$C$3:$C$2150,$A661,'United Data'!$B$3:$B$2150,"&lt;&gt;P")&gt;0,1,0)</f>
        <v>0</v>
      </c>
      <c r="K661">
        <f>IF(COUNTIFS('United Data'!$A$3:$A$2150,K$1,'United Data'!$C$3:$C$2150,$A661,'United Data'!$B$3:$B$2150,"&lt;&gt;P")&gt;0,1,0)</f>
        <v>0</v>
      </c>
      <c r="L661">
        <f>IF(COUNTIFS('United Data'!$A$3:$A$2150,L$1,'United Data'!$C$3:$C$2150,$A661,'United Data'!$B$3:$B$2150,"&lt;&gt;P")&gt;0,1,0)</f>
        <v>0</v>
      </c>
      <c r="M661">
        <f>IF(COUNTIFS('United Data'!$A$3:$A$2150,M$1,'United Data'!$C$3:$C$2150,$A661,'United Data'!$B$3:$B$2150,"&lt;&gt;P")&gt;0,1,0)</f>
        <v>0</v>
      </c>
      <c r="N661">
        <f>IF(COUNTIFS('United Data'!$A$3:$A$2150,N$1,'United Data'!$C$3:$C$2150,$A661,'United Data'!$B$3:$B$2150,"&lt;&gt;P")&gt;0,1,0)</f>
        <v>0</v>
      </c>
      <c r="O661">
        <f>IF(COUNTIFS('United Data'!$A$3:$A$2150,O$1,'United Data'!$C$3:$C$2150,$A661,'United Data'!$B$3:$B$2150,"&lt;&gt;P")&gt;0,1,0)</f>
        <v>0</v>
      </c>
      <c r="P661">
        <f>IF(COUNTIFS('United Data'!$A$3:$A$2150,P$1,'United Data'!$C$3:$C$2150,$A661,'United Data'!$B$3:$B$2150,"&lt;&gt;P")&gt;0,1,0)</f>
        <v>0</v>
      </c>
      <c r="Q661">
        <f>IF(COUNTIFS('United Data'!$A$3:$A$2150,Q$1,'United Data'!$C$3:$C$2150,$A661,'United Data'!$B$3:$B$2150,"&lt;&gt;P")&gt;0,1,0)</f>
        <v>0</v>
      </c>
      <c r="R661">
        <f>IF(COUNTIFS('United Data'!$A$3:$A$2150,R$1,'United Data'!$C$3:$C$2150,$A661,'United Data'!$B$3:$B$2150,"&lt;&gt;P")&gt;0,1,0)</f>
        <v>0</v>
      </c>
      <c r="S661">
        <f t="shared" si="20"/>
        <v>1</v>
      </c>
      <c r="T661">
        <f t="shared" si="21"/>
        <v>1</v>
      </c>
    </row>
    <row r="662" spans="1:20" x14ac:dyDescent="0.2">
      <c r="A662" t="s">
        <v>708</v>
      </c>
      <c r="B662">
        <f>IF(COUNTIFS('United Data'!$A$3:$A$2150,B$1,'United Data'!$C$3:$C$2150,$A662,'United Data'!$B$3:$B$2150,"&lt;&gt;P")&gt;0,1,0)</f>
        <v>0</v>
      </c>
      <c r="C662">
        <f>IF(COUNTIFS('United Data'!$A$3:$A$2150,C$1,'United Data'!$C$3:$C$2150,$A662,'United Data'!$B$3:$B$2150,"&lt;&gt;P")&gt;0,1,0)</f>
        <v>0</v>
      </c>
      <c r="D662">
        <f>IF(COUNTIFS('United Data'!$A$3:$A$2150,D$1,'United Data'!$C$3:$C$2150,$A662,'United Data'!$B$3:$B$2150,"&lt;&gt;P")&gt;0,1,0)</f>
        <v>1</v>
      </c>
      <c r="E662">
        <f>IF(COUNTIFS('United Data'!$A$3:$A$2150,E$1,'United Data'!$C$3:$C$2150,$A662,'United Data'!$B$3:$B$2150,"&lt;&gt;P")&gt;0,1,0)</f>
        <v>0</v>
      </c>
      <c r="F662">
        <f>IF(COUNTIFS('United Data'!$A$3:$A$2150,F$1,'United Data'!$C$3:$C$2150,$A662,'United Data'!$B$3:$B$2150,"&lt;&gt;P")&gt;0,1,0)</f>
        <v>0</v>
      </c>
      <c r="G662">
        <f>IF(COUNTIFS('United Data'!$A$3:$A$2150,G$1,'United Data'!$C$3:$C$2150,$A662,'United Data'!$B$3:$B$2150,"&lt;&gt;P")&gt;0,1,0)</f>
        <v>0</v>
      </c>
      <c r="H662">
        <f>IF(COUNTIFS('United Data'!$A$3:$A$2150,H$1,'United Data'!$C$3:$C$2150,$A662,'United Data'!$B$3:$B$2150,"&lt;&gt;P")&gt;0,1,0)</f>
        <v>0</v>
      </c>
      <c r="I662">
        <f>IF(COUNTIFS('United Data'!$A$3:$A$2150,I$1,'United Data'!$C$3:$C$2150,$A662,'United Data'!$B$3:$B$2150,"&lt;&gt;P")&gt;0,1,0)</f>
        <v>0</v>
      </c>
      <c r="J662">
        <f>IF(COUNTIFS('United Data'!$A$3:$A$2150,J$1,'United Data'!$C$3:$C$2150,$A662,'United Data'!$B$3:$B$2150,"&lt;&gt;P")&gt;0,1,0)</f>
        <v>0</v>
      </c>
      <c r="K662">
        <f>IF(COUNTIFS('United Data'!$A$3:$A$2150,K$1,'United Data'!$C$3:$C$2150,$A662,'United Data'!$B$3:$B$2150,"&lt;&gt;P")&gt;0,1,0)</f>
        <v>0</v>
      </c>
      <c r="L662">
        <f>IF(COUNTIFS('United Data'!$A$3:$A$2150,L$1,'United Data'!$C$3:$C$2150,$A662,'United Data'!$B$3:$B$2150,"&lt;&gt;P")&gt;0,1,0)</f>
        <v>0</v>
      </c>
      <c r="M662">
        <f>IF(COUNTIFS('United Data'!$A$3:$A$2150,M$1,'United Data'!$C$3:$C$2150,$A662,'United Data'!$B$3:$B$2150,"&lt;&gt;P")&gt;0,1,0)</f>
        <v>0</v>
      </c>
      <c r="N662">
        <f>IF(COUNTIFS('United Data'!$A$3:$A$2150,N$1,'United Data'!$C$3:$C$2150,$A662,'United Data'!$B$3:$B$2150,"&lt;&gt;P")&gt;0,1,0)</f>
        <v>0</v>
      </c>
      <c r="O662">
        <f>IF(COUNTIFS('United Data'!$A$3:$A$2150,O$1,'United Data'!$C$3:$C$2150,$A662,'United Data'!$B$3:$B$2150,"&lt;&gt;P")&gt;0,1,0)</f>
        <v>0</v>
      </c>
      <c r="P662">
        <f>IF(COUNTIFS('United Data'!$A$3:$A$2150,P$1,'United Data'!$C$3:$C$2150,$A662,'United Data'!$B$3:$B$2150,"&lt;&gt;P")&gt;0,1,0)</f>
        <v>0</v>
      </c>
      <c r="Q662">
        <f>IF(COUNTIFS('United Data'!$A$3:$A$2150,Q$1,'United Data'!$C$3:$C$2150,$A662,'United Data'!$B$3:$B$2150,"&lt;&gt;P")&gt;0,1,0)</f>
        <v>0</v>
      </c>
      <c r="R662">
        <f>IF(COUNTIFS('United Data'!$A$3:$A$2150,R$1,'United Data'!$C$3:$C$2150,$A662,'United Data'!$B$3:$B$2150,"&lt;&gt;P")&gt;0,1,0)</f>
        <v>0</v>
      </c>
      <c r="S662">
        <f t="shared" si="20"/>
        <v>1</v>
      </c>
      <c r="T662">
        <f t="shared" si="21"/>
        <v>1</v>
      </c>
    </row>
    <row r="663" spans="1:20" x14ac:dyDescent="0.2">
      <c r="A663" t="s">
        <v>709</v>
      </c>
      <c r="B663">
        <f>IF(COUNTIFS('United Data'!$A$3:$A$2150,B$1,'United Data'!$C$3:$C$2150,$A663,'United Data'!$B$3:$B$2150,"&lt;&gt;P")&gt;0,1,0)</f>
        <v>0</v>
      </c>
      <c r="C663">
        <f>IF(COUNTIFS('United Data'!$A$3:$A$2150,C$1,'United Data'!$C$3:$C$2150,$A663,'United Data'!$B$3:$B$2150,"&lt;&gt;P")&gt;0,1,0)</f>
        <v>0</v>
      </c>
      <c r="D663">
        <f>IF(COUNTIFS('United Data'!$A$3:$A$2150,D$1,'United Data'!$C$3:$C$2150,$A663,'United Data'!$B$3:$B$2150,"&lt;&gt;P")&gt;0,1,0)</f>
        <v>1</v>
      </c>
      <c r="E663">
        <f>IF(COUNTIFS('United Data'!$A$3:$A$2150,E$1,'United Data'!$C$3:$C$2150,$A663,'United Data'!$B$3:$B$2150,"&lt;&gt;P")&gt;0,1,0)</f>
        <v>0</v>
      </c>
      <c r="F663">
        <f>IF(COUNTIFS('United Data'!$A$3:$A$2150,F$1,'United Data'!$C$3:$C$2150,$A663,'United Data'!$B$3:$B$2150,"&lt;&gt;P")&gt;0,1,0)</f>
        <v>0</v>
      </c>
      <c r="G663">
        <f>IF(COUNTIFS('United Data'!$A$3:$A$2150,G$1,'United Data'!$C$3:$C$2150,$A663,'United Data'!$B$3:$B$2150,"&lt;&gt;P")&gt;0,1,0)</f>
        <v>0</v>
      </c>
      <c r="H663">
        <f>IF(COUNTIFS('United Data'!$A$3:$A$2150,H$1,'United Data'!$C$3:$C$2150,$A663,'United Data'!$B$3:$B$2150,"&lt;&gt;P")&gt;0,1,0)</f>
        <v>0</v>
      </c>
      <c r="I663">
        <f>IF(COUNTIFS('United Data'!$A$3:$A$2150,I$1,'United Data'!$C$3:$C$2150,$A663,'United Data'!$B$3:$B$2150,"&lt;&gt;P")&gt;0,1,0)</f>
        <v>0</v>
      </c>
      <c r="J663">
        <f>IF(COUNTIFS('United Data'!$A$3:$A$2150,J$1,'United Data'!$C$3:$C$2150,$A663,'United Data'!$B$3:$B$2150,"&lt;&gt;P")&gt;0,1,0)</f>
        <v>0</v>
      </c>
      <c r="K663">
        <f>IF(COUNTIFS('United Data'!$A$3:$A$2150,K$1,'United Data'!$C$3:$C$2150,$A663,'United Data'!$B$3:$B$2150,"&lt;&gt;P")&gt;0,1,0)</f>
        <v>0</v>
      </c>
      <c r="L663">
        <f>IF(COUNTIFS('United Data'!$A$3:$A$2150,L$1,'United Data'!$C$3:$C$2150,$A663,'United Data'!$B$3:$B$2150,"&lt;&gt;P")&gt;0,1,0)</f>
        <v>0</v>
      </c>
      <c r="M663">
        <f>IF(COUNTIFS('United Data'!$A$3:$A$2150,M$1,'United Data'!$C$3:$C$2150,$A663,'United Data'!$B$3:$B$2150,"&lt;&gt;P")&gt;0,1,0)</f>
        <v>0</v>
      </c>
      <c r="N663">
        <f>IF(COUNTIFS('United Data'!$A$3:$A$2150,N$1,'United Data'!$C$3:$C$2150,$A663,'United Data'!$B$3:$B$2150,"&lt;&gt;P")&gt;0,1,0)</f>
        <v>0</v>
      </c>
      <c r="O663">
        <f>IF(COUNTIFS('United Data'!$A$3:$A$2150,O$1,'United Data'!$C$3:$C$2150,$A663,'United Data'!$B$3:$B$2150,"&lt;&gt;P")&gt;0,1,0)</f>
        <v>0</v>
      </c>
      <c r="P663">
        <f>IF(COUNTIFS('United Data'!$A$3:$A$2150,P$1,'United Data'!$C$3:$C$2150,$A663,'United Data'!$B$3:$B$2150,"&lt;&gt;P")&gt;0,1,0)</f>
        <v>0</v>
      </c>
      <c r="Q663">
        <f>IF(COUNTIFS('United Data'!$A$3:$A$2150,Q$1,'United Data'!$C$3:$C$2150,$A663,'United Data'!$B$3:$B$2150,"&lt;&gt;P")&gt;0,1,0)</f>
        <v>0</v>
      </c>
      <c r="R663">
        <f>IF(COUNTIFS('United Data'!$A$3:$A$2150,R$1,'United Data'!$C$3:$C$2150,$A663,'United Data'!$B$3:$B$2150,"&lt;&gt;P")&gt;0,1,0)</f>
        <v>0</v>
      </c>
      <c r="S663">
        <f t="shared" si="20"/>
        <v>1</v>
      </c>
      <c r="T663">
        <f t="shared" si="21"/>
        <v>1</v>
      </c>
    </row>
    <row r="664" spans="1:20" x14ac:dyDescent="0.2">
      <c r="A664" t="s">
        <v>710</v>
      </c>
      <c r="B664">
        <f>IF(COUNTIFS('United Data'!$A$3:$A$2150,B$1,'United Data'!$C$3:$C$2150,$A664,'United Data'!$B$3:$B$2150,"&lt;&gt;P")&gt;0,1,0)</f>
        <v>0</v>
      </c>
      <c r="C664">
        <f>IF(COUNTIFS('United Data'!$A$3:$A$2150,C$1,'United Data'!$C$3:$C$2150,$A664,'United Data'!$B$3:$B$2150,"&lt;&gt;P")&gt;0,1,0)</f>
        <v>0</v>
      </c>
      <c r="D664">
        <f>IF(COUNTIFS('United Data'!$A$3:$A$2150,D$1,'United Data'!$C$3:$C$2150,$A664,'United Data'!$B$3:$B$2150,"&lt;&gt;P")&gt;0,1,0)</f>
        <v>1</v>
      </c>
      <c r="E664">
        <f>IF(COUNTIFS('United Data'!$A$3:$A$2150,E$1,'United Data'!$C$3:$C$2150,$A664,'United Data'!$B$3:$B$2150,"&lt;&gt;P")&gt;0,1,0)</f>
        <v>1</v>
      </c>
      <c r="F664">
        <f>IF(COUNTIFS('United Data'!$A$3:$A$2150,F$1,'United Data'!$C$3:$C$2150,$A664,'United Data'!$B$3:$B$2150,"&lt;&gt;P")&gt;0,1,0)</f>
        <v>1</v>
      </c>
      <c r="G664">
        <f>IF(COUNTIFS('United Data'!$A$3:$A$2150,G$1,'United Data'!$C$3:$C$2150,$A664,'United Data'!$B$3:$B$2150,"&lt;&gt;P")&gt;0,1,0)</f>
        <v>1</v>
      </c>
      <c r="H664">
        <f>IF(COUNTIFS('United Data'!$A$3:$A$2150,H$1,'United Data'!$C$3:$C$2150,$A664,'United Data'!$B$3:$B$2150,"&lt;&gt;P")&gt;0,1,0)</f>
        <v>1</v>
      </c>
      <c r="I664">
        <f>IF(COUNTIFS('United Data'!$A$3:$A$2150,I$1,'United Data'!$C$3:$C$2150,$A664,'United Data'!$B$3:$B$2150,"&lt;&gt;P")&gt;0,1,0)</f>
        <v>0</v>
      </c>
      <c r="J664">
        <f>IF(COUNTIFS('United Data'!$A$3:$A$2150,J$1,'United Data'!$C$3:$C$2150,$A664,'United Data'!$B$3:$B$2150,"&lt;&gt;P")&gt;0,1,0)</f>
        <v>0</v>
      </c>
      <c r="K664">
        <f>IF(COUNTIFS('United Data'!$A$3:$A$2150,K$1,'United Data'!$C$3:$C$2150,$A664,'United Data'!$B$3:$B$2150,"&lt;&gt;P")&gt;0,1,0)</f>
        <v>0</v>
      </c>
      <c r="L664">
        <f>IF(COUNTIFS('United Data'!$A$3:$A$2150,L$1,'United Data'!$C$3:$C$2150,$A664,'United Data'!$B$3:$B$2150,"&lt;&gt;P")&gt;0,1,0)</f>
        <v>0</v>
      </c>
      <c r="M664">
        <f>IF(COUNTIFS('United Data'!$A$3:$A$2150,M$1,'United Data'!$C$3:$C$2150,$A664,'United Data'!$B$3:$B$2150,"&lt;&gt;P")&gt;0,1,0)</f>
        <v>1</v>
      </c>
      <c r="N664">
        <f>IF(COUNTIFS('United Data'!$A$3:$A$2150,N$1,'United Data'!$C$3:$C$2150,$A664,'United Data'!$B$3:$B$2150,"&lt;&gt;P")&gt;0,1,0)</f>
        <v>0</v>
      </c>
      <c r="O664">
        <f>IF(COUNTIFS('United Data'!$A$3:$A$2150,O$1,'United Data'!$C$3:$C$2150,$A664,'United Data'!$B$3:$B$2150,"&lt;&gt;P")&gt;0,1,0)</f>
        <v>0</v>
      </c>
      <c r="P664">
        <f>IF(COUNTIFS('United Data'!$A$3:$A$2150,P$1,'United Data'!$C$3:$C$2150,$A664,'United Data'!$B$3:$B$2150,"&lt;&gt;P")&gt;0,1,0)</f>
        <v>0</v>
      </c>
      <c r="Q664">
        <f>IF(COUNTIFS('United Data'!$A$3:$A$2150,Q$1,'United Data'!$C$3:$C$2150,$A664,'United Data'!$B$3:$B$2150,"&lt;&gt;P")&gt;0,1,0)</f>
        <v>0</v>
      </c>
      <c r="R664">
        <f>IF(COUNTIFS('United Data'!$A$3:$A$2150,R$1,'United Data'!$C$3:$C$2150,$A664,'United Data'!$B$3:$B$2150,"&lt;&gt;P")&gt;0,1,0)</f>
        <v>0</v>
      </c>
      <c r="S664">
        <f t="shared" si="20"/>
        <v>6</v>
      </c>
      <c r="T664">
        <f t="shared" si="21"/>
        <v>2</v>
      </c>
    </row>
    <row r="665" spans="1:20" x14ac:dyDescent="0.2">
      <c r="A665" t="s">
        <v>711</v>
      </c>
      <c r="B665">
        <f>IF(COUNTIFS('United Data'!$A$3:$A$2150,B$1,'United Data'!$C$3:$C$2150,$A665,'United Data'!$B$3:$B$2150,"&lt;&gt;P")&gt;0,1,0)</f>
        <v>0</v>
      </c>
      <c r="C665">
        <f>IF(COUNTIFS('United Data'!$A$3:$A$2150,C$1,'United Data'!$C$3:$C$2150,$A665,'United Data'!$B$3:$B$2150,"&lt;&gt;P")&gt;0,1,0)</f>
        <v>0</v>
      </c>
      <c r="D665">
        <f>IF(COUNTIFS('United Data'!$A$3:$A$2150,D$1,'United Data'!$C$3:$C$2150,$A665,'United Data'!$B$3:$B$2150,"&lt;&gt;P")&gt;0,1,0)</f>
        <v>1</v>
      </c>
      <c r="E665">
        <f>IF(COUNTIFS('United Data'!$A$3:$A$2150,E$1,'United Data'!$C$3:$C$2150,$A665,'United Data'!$B$3:$B$2150,"&lt;&gt;P")&gt;0,1,0)</f>
        <v>1</v>
      </c>
      <c r="F665">
        <f>IF(COUNTIFS('United Data'!$A$3:$A$2150,F$1,'United Data'!$C$3:$C$2150,$A665,'United Data'!$B$3:$B$2150,"&lt;&gt;P")&gt;0,1,0)</f>
        <v>1</v>
      </c>
      <c r="G665">
        <f>IF(COUNTIFS('United Data'!$A$3:$A$2150,G$1,'United Data'!$C$3:$C$2150,$A665,'United Data'!$B$3:$B$2150,"&lt;&gt;P")&gt;0,1,0)</f>
        <v>1</v>
      </c>
      <c r="H665">
        <f>IF(COUNTIFS('United Data'!$A$3:$A$2150,H$1,'United Data'!$C$3:$C$2150,$A665,'United Data'!$B$3:$B$2150,"&lt;&gt;P")&gt;0,1,0)</f>
        <v>1</v>
      </c>
      <c r="I665">
        <f>IF(COUNTIFS('United Data'!$A$3:$A$2150,I$1,'United Data'!$C$3:$C$2150,$A665,'United Data'!$B$3:$B$2150,"&lt;&gt;P")&gt;0,1,0)</f>
        <v>1</v>
      </c>
      <c r="J665">
        <f>IF(COUNTIFS('United Data'!$A$3:$A$2150,J$1,'United Data'!$C$3:$C$2150,$A665,'United Data'!$B$3:$B$2150,"&lt;&gt;P")&gt;0,1,0)</f>
        <v>1</v>
      </c>
      <c r="K665">
        <f>IF(COUNTIFS('United Data'!$A$3:$A$2150,K$1,'United Data'!$C$3:$C$2150,$A665,'United Data'!$B$3:$B$2150,"&lt;&gt;P")&gt;0,1,0)</f>
        <v>1</v>
      </c>
      <c r="L665">
        <f>IF(COUNTIFS('United Data'!$A$3:$A$2150,L$1,'United Data'!$C$3:$C$2150,$A665,'United Data'!$B$3:$B$2150,"&lt;&gt;P")&gt;0,1,0)</f>
        <v>1</v>
      </c>
      <c r="M665">
        <f>IF(COUNTIFS('United Data'!$A$3:$A$2150,M$1,'United Data'!$C$3:$C$2150,$A665,'United Data'!$B$3:$B$2150,"&lt;&gt;P")&gt;0,1,0)</f>
        <v>0</v>
      </c>
      <c r="N665">
        <f>IF(COUNTIFS('United Data'!$A$3:$A$2150,N$1,'United Data'!$C$3:$C$2150,$A665,'United Data'!$B$3:$B$2150,"&lt;&gt;P")&gt;0,1,0)</f>
        <v>0</v>
      </c>
      <c r="O665">
        <f>IF(COUNTIFS('United Data'!$A$3:$A$2150,O$1,'United Data'!$C$3:$C$2150,$A665,'United Data'!$B$3:$B$2150,"&lt;&gt;P")&gt;0,1,0)</f>
        <v>0</v>
      </c>
      <c r="P665">
        <f>IF(COUNTIFS('United Data'!$A$3:$A$2150,P$1,'United Data'!$C$3:$C$2150,$A665,'United Data'!$B$3:$B$2150,"&lt;&gt;P")&gt;0,1,0)</f>
        <v>0</v>
      </c>
      <c r="Q665">
        <f>IF(COUNTIFS('United Data'!$A$3:$A$2150,Q$1,'United Data'!$C$3:$C$2150,$A665,'United Data'!$B$3:$B$2150,"&lt;&gt;P")&gt;0,1,0)</f>
        <v>0</v>
      </c>
      <c r="R665">
        <f>IF(COUNTIFS('United Data'!$A$3:$A$2150,R$1,'United Data'!$C$3:$C$2150,$A665,'United Data'!$B$3:$B$2150,"&lt;&gt;P")&gt;0,1,0)</f>
        <v>0</v>
      </c>
      <c r="S665">
        <f t="shared" si="20"/>
        <v>9</v>
      </c>
      <c r="T665">
        <f t="shared" si="21"/>
        <v>1</v>
      </c>
    </row>
    <row r="666" spans="1:20" x14ac:dyDescent="0.2">
      <c r="A666" t="s">
        <v>712</v>
      </c>
      <c r="B666">
        <f>IF(COUNTIFS('United Data'!$A$3:$A$2150,B$1,'United Data'!$C$3:$C$2150,$A666,'United Data'!$B$3:$B$2150,"&lt;&gt;P")&gt;0,1,0)</f>
        <v>0</v>
      </c>
      <c r="C666">
        <f>IF(COUNTIFS('United Data'!$A$3:$A$2150,C$1,'United Data'!$C$3:$C$2150,$A666,'United Data'!$B$3:$B$2150,"&lt;&gt;P")&gt;0,1,0)</f>
        <v>0</v>
      </c>
      <c r="D666">
        <f>IF(COUNTIFS('United Data'!$A$3:$A$2150,D$1,'United Data'!$C$3:$C$2150,$A666,'United Data'!$B$3:$B$2150,"&lt;&gt;P")&gt;0,1,0)</f>
        <v>1</v>
      </c>
      <c r="E666">
        <f>IF(COUNTIFS('United Data'!$A$3:$A$2150,E$1,'United Data'!$C$3:$C$2150,$A666,'United Data'!$B$3:$B$2150,"&lt;&gt;P")&gt;0,1,0)</f>
        <v>0</v>
      </c>
      <c r="F666">
        <f>IF(COUNTIFS('United Data'!$A$3:$A$2150,F$1,'United Data'!$C$3:$C$2150,$A666,'United Data'!$B$3:$B$2150,"&lt;&gt;P")&gt;0,1,0)</f>
        <v>0</v>
      </c>
      <c r="G666">
        <f>IF(COUNTIFS('United Data'!$A$3:$A$2150,G$1,'United Data'!$C$3:$C$2150,$A666,'United Data'!$B$3:$B$2150,"&lt;&gt;P")&gt;0,1,0)</f>
        <v>1</v>
      </c>
      <c r="H666">
        <f>IF(COUNTIFS('United Data'!$A$3:$A$2150,H$1,'United Data'!$C$3:$C$2150,$A666,'United Data'!$B$3:$B$2150,"&lt;&gt;P")&gt;0,1,0)</f>
        <v>1</v>
      </c>
      <c r="I666">
        <f>IF(COUNTIFS('United Data'!$A$3:$A$2150,I$1,'United Data'!$C$3:$C$2150,$A666,'United Data'!$B$3:$B$2150,"&lt;&gt;P")&gt;0,1,0)</f>
        <v>1</v>
      </c>
      <c r="J666">
        <f>IF(COUNTIFS('United Data'!$A$3:$A$2150,J$1,'United Data'!$C$3:$C$2150,$A666,'United Data'!$B$3:$B$2150,"&lt;&gt;P")&gt;0,1,0)</f>
        <v>1</v>
      </c>
      <c r="K666">
        <f>IF(COUNTIFS('United Data'!$A$3:$A$2150,K$1,'United Data'!$C$3:$C$2150,$A666,'United Data'!$B$3:$B$2150,"&lt;&gt;P")&gt;0,1,0)</f>
        <v>1</v>
      </c>
      <c r="L666">
        <f>IF(COUNTIFS('United Data'!$A$3:$A$2150,L$1,'United Data'!$C$3:$C$2150,$A666,'United Data'!$B$3:$B$2150,"&lt;&gt;P")&gt;0,1,0)</f>
        <v>1</v>
      </c>
      <c r="M666">
        <f>IF(COUNTIFS('United Data'!$A$3:$A$2150,M$1,'United Data'!$C$3:$C$2150,$A666,'United Data'!$B$3:$B$2150,"&lt;&gt;P")&gt;0,1,0)</f>
        <v>0</v>
      </c>
      <c r="N666">
        <f>IF(COUNTIFS('United Data'!$A$3:$A$2150,N$1,'United Data'!$C$3:$C$2150,$A666,'United Data'!$B$3:$B$2150,"&lt;&gt;P")&gt;0,1,0)</f>
        <v>0</v>
      </c>
      <c r="O666">
        <f>IF(COUNTIFS('United Data'!$A$3:$A$2150,O$1,'United Data'!$C$3:$C$2150,$A666,'United Data'!$B$3:$B$2150,"&lt;&gt;P")&gt;0,1,0)</f>
        <v>0</v>
      </c>
      <c r="P666">
        <f>IF(COUNTIFS('United Data'!$A$3:$A$2150,P$1,'United Data'!$C$3:$C$2150,$A666,'United Data'!$B$3:$B$2150,"&lt;&gt;P")&gt;0,1,0)</f>
        <v>0</v>
      </c>
      <c r="Q666">
        <f>IF(COUNTIFS('United Data'!$A$3:$A$2150,Q$1,'United Data'!$C$3:$C$2150,$A666,'United Data'!$B$3:$B$2150,"&lt;&gt;P")&gt;0,1,0)</f>
        <v>0</v>
      </c>
      <c r="R666">
        <f>IF(COUNTIFS('United Data'!$A$3:$A$2150,R$1,'United Data'!$C$3:$C$2150,$A666,'United Data'!$B$3:$B$2150,"&lt;&gt;P")&gt;0,1,0)</f>
        <v>0</v>
      </c>
      <c r="S666">
        <f t="shared" si="20"/>
        <v>7</v>
      </c>
      <c r="T666">
        <f t="shared" si="21"/>
        <v>2</v>
      </c>
    </row>
    <row r="667" spans="1:20" x14ac:dyDescent="0.2">
      <c r="A667" t="s">
        <v>713</v>
      </c>
      <c r="B667">
        <f>IF(COUNTIFS('United Data'!$A$3:$A$2150,B$1,'United Data'!$C$3:$C$2150,$A667,'United Data'!$B$3:$B$2150,"&lt;&gt;P")&gt;0,1,0)</f>
        <v>0</v>
      </c>
      <c r="C667">
        <f>IF(COUNTIFS('United Data'!$A$3:$A$2150,C$1,'United Data'!$C$3:$C$2150,$A667,'United Data'!$B$3:$B$2150,"&lt;&gt;P")&gt;0,1,0)</f>
        <v>0</v>
      </c>
      <c r="D667">
        <f>IF(COUNTIFS('United Data'!$A$3:$A$2150,D$1,'United Data'!$C$3:$C$2150,$A667,'United Data'!$B$3:$B$2150,"&lt;&gt;P")&gt;0,1,0)</f>
        <v>1</v>
      </c>
      <c r="E667">
        <f>IF(COUNTIFS('United Data'!$A$3:$A$2150,E$1,'United Data'!$C$3:$C$2150,$A667,'United Data'!$B$3:$B$2150,"&lt;&gt;P")&gt;0,1,0)</f>
        <v>1</v>
      </c>
      <c r="F667">
        <f>IF(COUNTIFS('United Data'!$A$3:$A$2150,F$1,'United Data'!$C$3:$C$2150,$A667,'United Data'!$B$3:$B$2150,"&lt;&gt;P")&gt;0,1,0)</f>
        <v>1</v>
      </c>
      <c r="G667">
        <f>IF(COUNTIFS('United Data'!$A$3:$A$2150,G$1,'United Data'!$C$3:$C$2150,$A667,'United Data'!$B$3:$B$2150,"&lt;&gt;P")&gt;0,1,0)</f>
        <v>1</v>
      </c>
      <c r="H667">
        <f>IF(COUNTIFS('United Data'!$A$3:$A$2150,H$1,'United Data'!$C$3:$C$2150,$A667,'United Data'!$B$3:$B$2150,"&lt;&gt;P")&gt;0,1,0)</f>
        <v>0</v>
      </c>
      <c r="I667">
        <f>IF(COUNTIFS('United Data'!$A$3:$A$2150,I$1,'United Data'!$C$3:$C$2150,$A667,'United Data'!$B$3:$B$2150,"&lt;&gt;P")&gt;0,1,0)</f>
        <v>0</v>
      </c>
      <c r="J667">
        <f>IF(COUNTIFS('United Data'!$A$3:$A$2150,J$1,'United Data'!$C$3:$C$2150,$A667,'United Data'!$B$3:$B$2150,"&lt;&gt;P")&gt;0,1,0)</f>
        <v>0</v>
      </c>
      <c r="K667">
        <f>IF(COUNTIFS('United Data'!$A$3:$A$2150,K$1,'United Data'!$C$3:$C$2150,$A667,'United Data'!$B$3:$B$2150,"&lt;&gt;P")&gt;0,1,0)</f>
        <v>0</v>
      </c>
      <c r="L667">
        <f>IF(COUNTIFS('United Data'!$A$3:$A$2150,L$1,'United Data'!$C$3:$C$2150,$A667,'United Data'!$B$3:$B$2150,"&lt;&gt;P")&gt;0,1,0)</f>
        <v>0</v>
      </c>
      <c r="M667">
        <f>IF(COUNTIFS('United Data'!$A$3:$A$2150,M$1,'United Data'!$C$3:$C$2150,$A667,'United Data'!$B$3:$B$2150,"&lt;&gt;P")&gt;0,1,0)</f>
        <v>0</v>
      </c>
      <c r="N667">
        <f>IF(COUNTIFS('United Data'!$A$3:$A$2150,N$1,'United Data'!$C$3:$C$2150,$A667,'United Data'!$B$3:$B$2150,"&lt;&gt;P")&gt;0,1,0)</f>
        <v>0</v>
      </c>
      <c r="O667">
        <f>IF(COUNTIFS('United Data'!$A$3:$A$2150,O$1,'United Data'!$C$3:$C$2150,$A667,'United Data'!$B$3:$B$2150,"&lt;&gt;P")&gt;0,1,0)</f>
        <v>0</v>
      </c>
      <c r="P667">
        <f>IF(COUNTIFS('United Data'!$A$3:$A$2150,P$1,'United Data'!$C$3:$C$2150,$A667,'United Data'!$B$3:$B$2150,"&lt;&gt;P")&gt;0,1,0)</f>
        <v>0</v>
      </c>
      <c r="Q667">
        <f>IF(COUNTIFS('United Data'!$A$3:$A$2150,Q$1,'United Data'!$C$3:$C$2150,$A667,'United Data'!$B$3:$B$2150,"&lt;&gt;P")&gt;0,1,0)</f>
        <v>0</v>
      </c>
      <c r="R667">
        <f>IF(COUNTIFS('United Data'!$A$3:$A$2150,R$1,'United Data'!$C$3:$C$2150,$A667,'United Data'!$B$3:$B$2150,"&lt;&gt;P")&gt;0,1,0)</f>
        <v>0</v>
      </c>
      <c r="S667">
        <f t="shared" si="20"/>
        <v>4</v>
      </c>
      <c r="T667">
        <f t="shared" si="21"/>
        <v>1</v>
      </c>
    </row>
    <row r="668" spans="1:20" x14ac:dyDescent="0.2">
      <c r="A668" t="s">
        <v>714</v>
      </c>
      <c r="B668">
        <f>IF(COUNTIFS('United Data'!$A$3:$A$2150,B$1,'United Data'!$C$3:$C$2150,$A668,'United Data'!$B$3:$B$2150,"&lt;&gt;P")&gt;0,1,0)</f>
        <v>0</v>
      </c>
      <c r="C668">
        <f>IF(COUNTIFS('United Data'!$A$3:$A$2150,C$1,'United Data'!$C$3:$C$2150,$A668,'United Data'!$B$3:$B$2150,"&lt;&gt;P")&gt;0,1,0)</f>
        <v>0</v>
      </c>
      <c r="D668">
        <f>IF(COUNTIFS('United Data'!$A$3:$A$2150,D$1,'United Data'!$C$3:$C$2150,$A668,'United Data'!$B$3:$B$2150,"&lt;&gt;P")&gt;0,1,0)</f>
        <v>0</v>
      </c>
      <c r="E668">
        <f>IF(COUNTIFS('United Data'!$A$3:$A$2150,E$1,'United Data'!$C$3:$C$2150,$A668,'United Data'!$B$3:$B$2150,"&lt;&gt;P")&gt;0,1,0)</f>
        <v>1</v>
      </c>
      <c r="F668">
        <f>IF(COUNTIFS('United Data'!$A$3:$A$2150,F$1,'United Data'!$C$3:$C$2150,$A668,'United Data'!$B$3:$B$2150,"&lt;&gt;P")&gt;0,1,0)</f>
        <v>1</v>
      </c>
      <c r="G668">
        <f>IF(COUNTIFS('United Data'!$A$3:$A$2150,G$1,'United Data'!$C$3:$C$2150,$A668,'United Data'!$B$3:$B$2150,"&lt;&gt;P")&gt;0,1,0)</f>
        <v>0</v>
      </c>
      <c r="H668">
        <f>IF(COUNTIFS('United Data'!$A$3:$A$2150,H$1,'United Data'!$C$3:$C$2150,$A668,'United Data'!$B$3:$B$2150,"&lt;&gt;P")&gt;0,1,0)</f>
        <v>0</v>
      </c>
      <c r="I668">
        <f>IF(COUNTIFS('United Data'!$A$3:$A$2150,I$1,'United Data'!$C$3:$C$2150,$A668,'United Data'!$B$3:$B$2150,"&lt;&gt;P")&gt;0,1,0)</f>
        <v>0</v>
      </c>
      <c r="J668">
        <f>IF(COUNTIFS('United Data'!$A$3:$A$2150,J$1,'United Data'!$C$3:$C$2150,$A668,'United Data'!$B$3:$B$2150,"&lt;&gt;P")&gt;0,1,0)</f>
        <v>0</v>
      </c>
      <c r="K668">
        <f>IF(COUNTIFS('United Data'!$A$3:$A$2150,K$1,'United Data'!$C$3:$C$2150,$A668,'United Data'!$B$3:$B$2150,"&lt;&gt;P")&gt;0,1,0)</f>
        <v>0</v>
      </c>
      <c r="L668">
        <f>IF(COUNTIFS('United Data'!$A$3:$A$2150,L$1,'United Data'!$C$3:$C$2150,$A668,'United Data'!$B$3:$B$2150,"&lt;&gt;P")&gt;0,1,0)</f>
        <v>0</v>
      </c>
      <c r="M668">
        <f>IF(COUNTIFS('United Data'!$A$3:$A$2150,M$1,'United Data'!$C$3:$C$2150,$A668,'United Data'!$B$3:$B$2150,"&lt;&gt;P")&gt;0,1,0)</f>
        <v>0</v>
      </c>
      <c r="N668">
        <f>IF(COUNTIFS('United Data'!$A$3:$A$2150,N$1,'United Data'!$C$3:$C$2150,$A668,'United Data'!$B$3:$B$2150,"&lt;&gt;P")&gt;0,1,0)</f>
        <v>0</v>
      </c>
      <c r="O668">
        <f>IF(COUNTIFS('United Data'!$A$3:$A$2150,O$1,'United Data'!$C$3:$C$2150,$A668,'United Data'!$B$3:$B$2150,"&lt;&gt;P")&gt;0,1,0)</f>
        <v>0</v>
      </c>
      <c r="P668">
        <f>IF(COUNTIFS('United Data'!$A$3:$A$2150,P$1,'United Data'!$C$3:$C$2150,$A668,'United Data'!$B$3:$B$2150,"&lt;&gt;P")&gt;0,1,0)</f>
        <v>0</v>
      </c>
      <c r="Q668">
        <f>IF(COUNTIFS('United Data'!$A$3:$A$2150,Q$1,'United Data'!$C$3:$C$2150,$A668,'United Data'!$B$3:$B$2150,"&lt;&gt;P")&gt;0,1,0)</f>
        <v>0</v>
      </c>
      <c r="R668">
        <f>IF(COUNTIFS('United Data'!$A$3:$A$2150,R$1,'United Data'!$C$3:$C$2150,$A668,'United Data'!$B$3:$B$2150,"&lt;&gt;P")&gt;0,1,0)</f>
        <v>0</v>
      </c>
      <c r="S668">
        <f t="shared" si="20"/>
        <v>2</v>
      </c>
      <c r="T668">
        <f t="shared" si="21"/>
        <v>1</v>
      </c>
    </row>
    <row r="669" spans="1:20" x14ac:dyDescent="0.2">
      <c r="A669" t="s">
        <v>715</v>
      </c>
      <c r="B669">
        <f>IF(COUNTIFS('United Data'!$A$3:$A$2150,B$1,'United Data'!$C$3:$C$2150,$A669,'United Data'!$B$3:$B$2150,"&lt;&gt;P")&gt;0,1,0)</f>
        <v>0</v>
      </c>
      <c r="C669">
        <f>IF(COUNTIFS('United Data'!$A$3:$A$2150,C$1,'United Data'!$C$3:$C$2150,$A669,'United Data'!$B$3:$B$2150,"&lt;&gt;P")&gt;0,1,0)</f>
        <v>0</v>
      </c>
      <c r="D669">
        <f>IF(COUNTIFS('United Data'!$A$3:$A$2150,D$1,'United Data'!$C$3:$C$2150,$A669,'United Data'!$B$3:$B$2150,"&lt;&gt;P")&gt;0,1,0)</f>
        <v>0</v>
      </c>
      <c r="E669">
        <f>IF(COUNTIFS('United Data'!$A$3:$A$2150,E$1,'United Data'!$C$3:$C$2150,$A669,'United Data'!$B$3:$B$2150,"&lt;&gt;P")&gt;0,1,0)</f>
        <v>1</v>
      </c>
      <c r="F669">
        <f>IF(COUNTIFS('United Data'!$A$3:$A$2150,F$1,'United Data'!$C$3:$C$2150,$A669,'United Data'!$B$3:$B$2150,"&lt;&gt;P")&gt;0,1,0)</f>
        <v>1</v>
      </c>
      <c r="G669">
        <f>IF(COUNTIFS('United Data'!$A$3:$A$2150,G$1,'United Data'!$C$3:$C$2150,$A669,'United Data'!$B$3:$B$2150,"&lt;&gt;P")&gt;0,1,0)</f>
        <v>1</v>
      </c>
      <c r="H669">
        <f>IF(COUNTIFS('United Data'!$A$3:$A$2150,H$1,'United Data'!$C$3:$C$2150,$A669,'United Data'!$B$3:$B$2150,"&lt;&gt;P")&gt;0,1,0)</f>
        <v>0</v>
      </c>
      <c r="I669">
        <f>IF(COUNTIFS('United Data'!$A$3:$A$2150,I$1,'United Data'!$C$3:$C$2150,$A669,'United Data'!$B$3:$B$2150,"&lt;&gt;P")&gt;0,1,0)</f>
        <v>1</v>
      </c>
      <c r="J669">
        <f>IF(COUNTIFS('United Data'!$A$3:$A$2150,J$1,'United Data'!$C$3:$C$2150,$A669,'United Data'!$B$3:$B$2150,"&lt;&gt;P")&gt;0,1,0)</f>
        <v>1</v>
      </c>
      <c r="K669">
        <f>IF(COUNTIFS('United Data'!$A$3:$A$2150,K$1,'United Data'!$C$3:$C$2150,$A669,'United Data'!$B$3:$B$2150,"&lt;&gt;P")&gt;0,1,0)</f>
        <v>0</v>
      </c>
      <c r="L669">
        <f>IF(COUNTIFS('United Data'!$A$3:$A$2150,L$1,'United Data'!$C$3:$C$2150,$A669,'United Data'!$B$3:$B$2150,"&lt;&gt;P")&gt;0,1,0)</f>
        <v>1</v>
      </c>
      <c r="M669">
        <f>IF(COUNTIFS('United Data'!$A$3:$A$2150,M$1,'United Data'!$C$3:$C$2150,$A669,'United Data'!$B$3:$B$2150,"&lt;&gt;P")&gt;0,1,0)</f>
        <v>1</v>
      </c>
      <c r="N669">
        <f>IF(COUNTIFS('United Data'!$A$3:$A$2150,N$1,'United Data'!$C$3:$C$2150,$A669,'United Data'!$B$3:$B$2150,"&lt;&gt;P")&gt;0,1,0)</f>
        <v>1</v>
      </c>
      <c r="O669">
        <f>IF(COUNTIFS('United Data'!$A$3:$A$2150,O$1,'United Data'!$C$3:$C$2150,$A669,'United Data'!$B$3:$B$2150,"&lt;&gt;P")&gt;0,1,0)</f>
        <v>1</v>
      </c>
      <c r="P669">
        <f>IF(COUNTIFS('United Data'!$A$3:$A$2150,P$1,'United Data'!$C$3:$C$2150,$A669,'United Data'!$B$3:$B$2150,"&lt;&gt;P")&gt;0,1,0)</f>
        <v>0</v>
      </c>
      <c r="Q669">
        <f>IF(COUNTIFS('United Data'!$A$3:$A$2150,Q$1,'United Data'!$C$3:$C$2150,$A669,'United Data'!$B$3:$B$2150,"&lt;&gt;P")&gt;0,1,0)</f>
        <v>0</v>
      </c>
      <c r="R669">
        <f>IF(COUNTIFS('United Data'!$A$3:$A$2150,R$1,'United Data'!$C$3:$C$2150,$A669,'United Data'!$B$3:$B$2150,"&lt;&gt;P")&gt;0,1,0)</f>
        <v>0</v>
      </c>
      <c r="S669">
        <f t="shared" si="20"/>
        <v>9</v>
      </c>
      <c r="T669">
        <f t="shared" si="21"/>
        <v>3</v>
      </c>
    </row>
    <row r="670" spans="1:20" x14ac:dyDescent="0.2">
      <c r="A670" t="s">
        <v>716</v>
      </c>
      <c r="B670">
        <f>IF(COUNTIFS('United Data'!$A$3:$A$2150,B$1,'United Data'!$C$3:$C$2150,$A670,'United Data'!$B$3:$B$2150,"&lt;&gt;P")&gt;0,1,0)</f>
        <v>0</v>
      </c>
      <c r="C670">
        <f>IF(COUNTIFS('United Data'!$A$3:$A$2150,C$1,'United Data'!$C$3:$C$2150,$A670,'United Data'!$B$3:$B$2150,"&lt;&gt;P")&gt;0,1,0)</f>
        <v>0</v>
      </c>
      <c r="D670">
        <f>IF(COUNTIFS('United Data'!$A$3:$A$2150,D$1,'United Data'!$C$3:$C$2150,$A670,'United Data'!$B$3:$B$2150,"&lt;&gt;P")&gt;0,1,0)</f>
        <v>0</v>
      </c>
      <c r="E670">
        <f>IF(COUNTIFS('United Data'!$A$3:$A$2150,E$1,'United Data'!$C$3:$C$2150,$A670,'United Data'!$B$3:$B$2150,"&lt;&gt;P")&gt;0,1,0)</f>
        <v>1</v>
      </c>
      <c r="F670">
        <f>IF(COUNTIFS('United Data'!$A$3:$A$2150,F$1,'United Data'!$C$3:$C$2150,$A670,'United Data'!$B$3:$B$2150,"&lt;&gt;P")&gt;0,1,0)</f>
        <v>1</v>
      </c>
      <c r="G670">
        <f>IF(COUNTIFS('United Data'!$A$3:$A$2150,G$1,'United Data'!$C$3:$C$2150,$A670,'United Data'!$B$3:$B$2150,"&lt;&gt;P")&gt;0,1,0)</f>
        <v>0</v>
      </c>
      <c r="H670">
        <f>IF(COUNTIFS('United Data'!$A$3:$A$2150,H$1,'United Data'!$C$3:$C$2150,$A670,'United Data'!$B$3:$B$2150,"&lt;&gt;P")&gt;0,1,0)</f>
        <v>0</v>
      </c>
      <c r="I670">
        <f>IF(COUNTIFS('United Data'!$A$3:$A$2150,I$1,'United Data'!$C$3:$C$2150,$A670,'United Data'!$B$3:$B$2150,"&lt;&gt;P")&gt;0,1,0)</f>
        <v>0</v>
      </c>
      <c r="J670">
        <f>IF(COUNTIFS('United Data'!$A$3:$A$2150,J$1,'United Data'!$C$3:$C$2150,$A670,'United Data'!$B$3:$B$2150,"&lt;&gt;P")&gt;0,1,0)</f>
        <v>0</v>
      </c>
      <c r="K670">
        <f>IF(COUNTIFS('United Data'!$A$3:$A$2150,K$1,'United Data'!$C$3:$C$2150,$A670,'United Data'!$B$3:$B$2150,"&lt;&gt;P")&gt;0,1,0)</f>
        <v>0</v>
      </c>
      <c r="L670">
        <f>IF(COUNTIFS('United Data'!$A$3:$A$2150,L$1,'United Data'!$C$3:$C$2150,$A670,'United Data'!$B$3:$B$2150,"&lt;&gt;P")&gt;0,1,0)</f>
        <v>0</v>
      </c>
      <c r="M670">
        <f>IF(COUNTIFS('United Data'!$A$3:$A$2150,M$1,'United Data'!$C$3:$C$2150,$A670,'United Data'!$B$3:$B$2150,"&lt;&gt;P")&gt;0,1,0)</f>
        <v>0</v>
      </c>
      <c r="N670">
        <f>IF(COUNTIFS('United Data'!$A$3:$A$2150,N$1,'United Data'!$C$3:$C$2150,$A670,'United Data'!$B$3:$B$2150,"&lt;&gt;P")&gt;0,1,0)</f>
        <v>0</v>
      </c>
      <c r="O670">
        <f>IF(COUNTIFS('United Data'!$A$3:$A$2150,O$1,'United Data'!$C$3:$C$2150,$A670,'United Data'!$B$3:$B$2150,"&lt;&gt;P")&gt;0,1,0)</f>
        <v>0</v>
      </c>
      <c r="P670">
        <f>IF(COUNTIFS('United Data'!$A$3:$A$2150,P$1,'United Data'!$C$3:$C$2150,$A670,'United Data'!$B$3:$B$2150,"&lt;&gt;P")&gt;0,1,0)</f>
        <v>0</v>
      </c>
      <c r="Q670">
        <f>IF(COUNTIFS('United Data'!$A$3:$A$2150,Q$1,'United Data'!$C$3:$C$2150,$A670,'United Data'!$B$3:$B$2150,"&lt;&gt;P")&gt;0,1,0)</f>
        <v>0</v>
      </c>
      <c r="R670">
        <f>IF(COUNTIFS('United Data'!$A$3:$A$2150,R$1,'United Data'!$C$3:$C$2150,$A670,'United Data'!$B$3:$B$2150,"&lt;&gt;P")&gt;0,1,0)</f>
        <v>0</v>
      </c>
      <c r="S670">
        <f t="shared" si="20"/>
        <v>2</v>
      </c>
      <c r="T670">
        <f t="shared" si="21"/>
        <v>1</v>
      </c>
    </row>
    <row r="671" spans="1:20" x14ac:dyDescent="0.2">
      <c r="A671" t="s">
        <v>717</v>
      </c>
      <c r="B671">
        <f>IF(COUNTIFS('United Data'!$A$3:$A$2150,B$1,'United Data'!$C$3:$C$2150,$A671,'United Data'!$B$3:$B$2150,"&lt;&gt;P")&gt;0,1,0)</f>
        <v>0</v>
      </c>
      <c r="C671">
        <f>IF(COUNTIFS('United Data'!$A$3:$A$2150,C$1,'United Data'!$C$3:$C$2150,$A671,'United Data'!$B$3:$B$2150,"&lt;&gt;P")&gt;0,1,0)</f>
        <v>0</v>
      </c>
      <c r="D671">
        <f>IF(COUNTIFS('United Data'!$A$3:$A$2150,D$1,'United Data'!$C$3:$C$2150,$A671,'United Data'!$B$3:$B$2150,"&lt;&gt;P")&gt;0,1,0)</f>
        <v>0</v>
      </c>
      <c r="E671">
        <f>IF(COUNTIFS('United Data'!$A$3:$A$2150,E$1,'United Data'!$C$3:$C$2150,$A671,'United Data'!$B$3:$B$2150,"&lt;&gt;P")&gt;0,1,0)</f>
        <v>1</v>
      </c>
      <c r="F671">
        <f>IF(COUNTIFS('United Data'!$A$3:$A$2150,F$1,'United Data'!$C$3:$C$2150,$A671,'United Data'!$B$3:$B$2150,"&lt;&gt;P")&gt;0,1,0)</f>
        <v>1</v>
      </c>
      <c r="G671">
        <f>IF(COUNTIFS('United Data'!$A$3:$A$2150,G$1,'United Data'!$C$3:$C$2150,$A671,'United Data'!$B$3:$B$2150,"&lt;&gt;P")&gt;0,1,0)</f>
        <v>0</v>
      </c>
      <c r="H671">
        <f>IF(COUNTIFS('United Data'!$A$3:$A$2150,H$1,'United Data'!$C$3:$C$2150,$A671,'United Data'!$B$3:$B$2150,"&lt;&gt;P")&gt;0,1,0)</f>
        <v>0</v>
      </c>
      <c r="I671">
        <f>IF(COUNTIFS('United Data'!$A$3:$A$2150,I$1,'United Data'!$C$3:$C$2150,$A671,'United Data'!$B$3:$B$2150,"&lt;&gt;P")&gt;0,1,0)</f>
        <v>0</v>
      </c>
      <c r="J671">
        <f>IF(COUNTIFS('United Data'!$A$3:$A$2150,J$1,'United Data'!$C$3:$C$2150,$A671,'United Data'!$B$3:$B$2150,"&lt;&gt;P")&gt;0,1,0)</f>
        <v>0</v>
      </c>
      <c r="K671">
        <f>IF(COUNTIFS('United Data'!$A$3:$A$2150,K$1,'United Data'!$C$3:$C$2150,$A671,'United Data'!$B$3:$B$2150,"&lt;&gt;P")&gt;0,1,0)</f>
        <v>0</v>
      </c>
      <c r="L671">
        <f>IF(COUNTIFS('United Data'!$A$3:$A$2150,L$1,'United Data'!$C$3:$C$2150,$A671,'United Data'!$B$3:$B$2150,"&lt;&gt;P")&gt;0,1,0)</f>
        <v>0</v>
      </c>
      <c r="M671">
        <f>IF(COUNTIFS('United Data'!$A$3:$A$2150,M$1,'United Data'!$C$3:$C$2150,$A671,'United Data'!$B$3:$B$2150,"&lt;&gt;P")&gt;0,1,0)</f>
        <v>0</v>
      </c>
      <c r="N671">
        <f>IF(COUNTIFS('United Data'!$A$3:$A$2150,N$1,'United Data'!$C$3:$C$2150,$A671,'United Data'!$B$3:$B$2150,"&lt;&gt;P")&gt;0,1,0)</f>
        <v>0</v>
      </c>
      <c r="O671">
        <f>IF(COUNTIFS('United Data'!$A$3:$A$2150,O$1,'United Data'!$C$3:$C$2150,$A671,'United Data'!$B$3:$B$2150,"&lt;&gt;P")&gt;0,1,0)</f>
        <v>0</v>
      </c>
      <c r="P671">
        <f>IF(COUNTIFS('United Data'!$A$3:$A$2150,P$1,'United Data'!$C$3:$C$2150,$A671,'United Data'!$B$3:$B$2150,"&lt;&gt;P")&gt;0,1,0)</f>
        <v>0</v>
      </c>
      <c r="Q671">
        <f>IF(COUNTIFS('United Data'!$A$3:$A$2150,Q$1,'United Data'!$C$3:$C$2150,$A671,'United Data'!$B$3:$B$2150,"&lt;&gt;P")&gt;0,1,0)</f>
        <v>0</v>
      </c>
      <c r="R671">
        <f>IF(COUNTIFS('United Data'!$A$3:$A$2150,R$1,'United Data'!$C$3:$C$2150,$A671,'United Data'!$B$3:$B$2150,"&lt;&gt;P")&gt;0,1,0)</f>
        <v>0</v>
      </c>
      <c r="S671">
        <f t="shared" si="20"/>
        <v>2</v>
      </c>
      <c r="T671">
        <f t="shared" si="21"/>
        <v>1</v>
      </c>
    </row>
    <row r="672" spans="1:20" x14ac:dyDescent="0.2">
      <c r="A672" t="s">
        <v>718</v>
      </c>
      <c r="B672">
        <f>IF(COUNTIFS('United Data'!$A$3:$A$2150,B$1,'United Data'!$C$3:$C$2150,$A672,'United Data'!$B$3:$B$2150,"&lt;&gt;P")&gt;0,1,0)</f>
        <v>0</v>
      </c>
      <c r="C672">
        <f>IF(COUNTIFS('United Data'!$A$3:$A$2150,C$1,'United Data'!$C$3:$C$2150,$A672,'United Data'!$B$3:$B$2150,"&lt;&gt;P")&gt;0,1,0)</f>
        <v>0</v>
      </c>
      <c r="D672">
        <f>IF(COUNTIFS('United Data'!$A$3:$A$2150,D$1,'United Data'!$C$3:$C$2150,$A672,'United Data'!$B$3:$B$2150,"&lt;&gt;P")&gt;0,1,0)</f>
        <v>0</v>
      </c>
      <c r="E672">
        <f>IF(COUNTIFS('United Data'!$A$3:$A$2150,E$1,'United Data'!$C$3:$C$2150,$A672,'United Data'!$B$3:$B$2150,"&lt;&gt;P")&gt;0,1,0)</f>
        <v>1</v>
      </c>
      <c r="F672">
        <f>IF(COUNTIFS('United Data'!$A$3:$A$2150,F$1,'United Data'!$C$3:$C$2150,$A672,'United Data'!$B$3:$B$2150,"&lt;&gt;P")&gt;0,1,0)</f>
        <v>1</v>
      </c>
      <c r="G672">
        <f>IF(COUNTIFS('United Data'!$A$3:$A$2150,G$1,'United Data'!$C$3:$C$2150,$A672,'United Data'!$B$3:$B$2150,"&lt;&gt;P")&gt;0,1,0)</f>
        <v>0</v>
      </c>
      <c r="H672">
        <f>IF(COUNTIFS('United Data'!$A$3:$A$2150,H$1,'United Data'!$C$3:$C$2150,$A672,'United Data'!$B$3:$B$2150,"&lt;&gt;P")&gt;0,1,0)</f>
        <v>0</v>
      </c>
      <c r="I672">
        <f>IF(COUNTIFS('United Data'!$A$3:$A$2150,I$1,'United Data'!$C$3:$C$2150,$A672,'United Data'!$B$3:$B$2150,"&lt;&gt;P")&gt;0,1,0)</f>
        <v>0</v>
      </c>
      <c r="J672">
        <f>IF(COUNTIFS('United Data'!$A$3:$A$2150,J$1,'United Data'!$C$3:$C$2150,$A672,'United Data'!$B$3:$B$2150,"&lt;&gt;P")&gt;0,1,0)</f>
        <v>0</v>
      </c>
      <c r="K672">
        <f>IF(COUNTIFS('United Data'!$A$3:$A$2150,K$1,'United Data'!$C$3:$C$2150,$A672,'United Data'!$B$3:$B$2150,"&lt;&gt;P")&gt;0,1,0)</f>
        <v>0</v>
      </c>
      <c r="L672">
        <f>IF(COUNTIFS('United Data'!$A$3:$A$2150,L$1,'United Data'!$C$3:$C$2150,$A672,'United Data'!$B$3:$B$2150,"&lt;&gt;P")&gt;0,1,0)</f>
        <v>0</v>
      </c>
      <c r="M672">
        <f>IF(COUNTIFS('United Data'!$A$3:$A$2150,M$1,'United Data'!$C$3:$C$2150,$A672,'United Data'!$B$3:$B$2150,"&lt;&gt;P")&gt;0,1,0)</f>
        <v>0</v>
      </c>
      <c r="N672">
        <f>IF(COUNTIFS('United Data'!$A$3:$A$2150,N$1,'United Data'!$C$3:$C$2150,$A672,'United Data'!$B$3:$B$2150,"&lt;&gt;P")&gt;0,1,0)</f>
        <v>0</v>
      </c>
      <c r="O672">
        <f>IF(COUNTIFS('United Data'!$A$3:$A$2150,O$1,'United Data'!$C$3:$C$2150,$A672,'United Data'!$B$3:$B$2150,"&lt;&gt;P")&gt;0,1,0)</f>
        <v>0</v>
      </c>
      <c r="P672">
        <f>IF(COUNTIFS('United Data'!$A$3:$A$2150,P$1,'United Data'!$C$3:$C$2150,$A672,'United Data'!$B$3:$B$2150,"&lt;&gt;P")&gt;0,1,0)</f>
        <v>0</v>
      </c>
      <c r="Q672">
        <f>IF(COUNTIFS('United Data'!$A$3:$A$2150,Q$1,'United Data'!$C$3:$C$2150,$A672,'United Data'!$B$3:$B$2150,"&lt;&gt;P")&gt;0,1,0)</f>
        <v>0</v>
      </c>
      <c r="R672">
        <f>IF(COUNTIFS('United Data'!$A$3:$A$2150,R$1,'United Data'!$C$3:$C$2150,$A672,'United Data'!$B$3:$B$2150,"&lt;&gt;P")&gt;0,1,0)</f>
        <v>0</v>
      </c>
      <c r="S672">
        <f t="shared" si="20"/>
        <v>2</v>
      </c>
      <c r="T672">
        <f t="shared" si="21"/>
        <v>1</v>
      </c>
    </row>
    <row r="673" spans="1:20" x14ac:dyDescent="0.2">
      <c r="A673" t="s">
        <v>719</v>
      </c>
      <c r="B673">
        <f>IF(COUNTIFS('United Data'!$A$3:$A$2150,B$1,'United Data'!$C$3:$C$2150,$A673,'United Data'!$B$3:$B$2150,"&lt;&gt;P")&gt;0,1,0)</f>
        <v>0</v>
      </c>
      <c r="C673">
        <f>IF(COUNTIFS('United Data'!$A$3:$A$2150,C$1,'United Data'!$C$3:$C$2150,$A673,'United Data'!$B$3:$B$2150,"&lt;&gt;P")&gt;0,1,0)</f>
        <v>0</v>
      </c>
      <c r="D673">
        <f>IF(COUNTIFS('United Data'!$A$3:$A$2150,D$1,'United Data'!$C$3:$C$2150,$A673,'United Data'!$B$3:$B$2150,"&lt;&gt;P")&gt;0,1,0)</f>
        <v>0</v>
      </c>
      <c r="E673">
        <f>IF(COUNTIFS('United Data'!$A$3:$A$2150,E$1,'United Data'!$C$3:$C$2150,$A673,'United Data'!$B$3:$B$2150,"&lt;&gt;P")&gt;0,1,0)</f>
        <v>1</v>
      </c>
      <c r="F673">
        <f>IF(COUNTIFS('United Data'!$A$3:$A$2150,F$1,'United Data'!$C$3:$C$2150,$A673,'United Data'!$B$3:$B$2150,"&lt;&gt;P")&gt;0,1,0)</f>
        <v>1</v>
      </c>
      <c r="G673">
        <f>IF(COUNTIFS('United Data'!$A$3:$A$2150,G$1,'United Data'!$C$3:$C$2150,$A673,'United Data'!$B$3:$B$2150,"&lt;&gt;P")&gt;0,1,0)</f>
        <v>0</v>
      </c>
      <c r="H673">
        <f>IF(COUNTIFS('United Data'!$A$3:$A$2150,H$1,'United Data'!$C$3:$C$2150,$A673,'United Data'!$B$3:$B$2150,"&lt;&gt;P")&gt;0,1,0)</f>
        <v>0</v>
      </c>
      <c r="I673">
        <f>IF(COUNTIFS('United Data'!$A$3:$A$2150,I$1,'United Data'!$C$3:$C$2150,$A673,'United Data'!$B$3:$B$2150,"&lt;&gt;P")&gt;0,1,0)</f>
        <v>0</v>
      </c>
      <c r="J673">
        <f>IF(COUNTIFS('United Data'!$A$3:$A$2150,J$1,'United Data'!$C$3:$C$2150,$A673,'United Data'!$B$3:$B$2150,"&lt;&gt;P")&gt;0,1,0)</f>
        <v>0</v>
      </c>
      <c r="K673">
        <f>IF(COUNTIFS('United Data'!$A$3:$A$2150,K$1,'United Data'!$C$3:$C$2150,$A673,'United Data'!$B$3:$B$2150,"&lt;&gt;P")&gt;0,1,0)</f>
        <v>0</v>
      </c>
      <c r="L673">
        <f>IF(COUNTIFS('United Data'!$A$3:$A$2150,L$1,'United Data'!$C$3:$C$2150,$A673,'United Data'!$B$3:$B$2150,"&lt;&gt;P")&gt;0,1,0)</f>
        <v>0</v>
      </c>
      <c r="M673">
        <f>IF(COUNTIFS('United Data'!$A$3:$A$2150,M$1,'United Data'!$C$3:$C$2150,$A673,'United Data'!$B$3:$B$2150,"&lt;&gt;P")&gt;0,1,0)</f>
        <v>0</v>
      </c>
      <c r="N673">
        <f>IF(COUNTIFS('United Data'!$A$3:$A$2150,N$1,'United Data'!$C$3:$C$2150,$A673,'United Data'!$B$3:$B$2150,"&lt;&gt;P")&gt;0,1,0)</f>
        <v>0</v>
      </c>
      <c r="O673">
        <f>IF(COUNTIFS('United Data'!$A$3:$A$2150,O$1,'United Data'!$C$3:$C$2150,$A673,'United Data'!$B$3:$B$2150,"&lt;&gt;P")&gt;0,1,0)</f>
        <v>0</v>
      </c>
      <c r="P673">
        <f>IF(COUNTIFS('United Data'!$A$3:$A$2150,P$1,'United Data'!$C$3:$C$2150,$A673,'United Data'!$B$3:$B$2150,"&lt;&gt;P")&gt;0,1,0)</f>
        <v>0</v>
      </c>
      <c r="Q673">
        <f>IF(COUNTIFS('United Data'!$A$3:$A$2150,Q$1,'United Data'!$C$3:$C$2150,$A673,'United Data'!$B$3:$B$2150,"&lt;&gt;P")&gt;0,1,0)</f>
        <v>0</v>
      </c>
      <c r="R673">
        <f>IF(COUNTIFS('United Data'!$A$3:$A$2150,R$1,'United Data'!$C$3:$C$2150,$A673,'United Data'!$B$3:$B$2150,"&lt;&gt;P")&gt;0,1,0)</f>
        <v>0</v>
      </c>
      <c r="S673">
        <f t="shared" si="20"/>
        <v>2</v>
      </c>
      <c r="T673">
        <f t="shared" si="21"/>
        <v>1</v>
      </c>
    </row>
    <row r="674" spans="1:20" x14ac:dyDescent="0.2">
      <c r="A674" t="s">
        <v>720</v>
      </c>
      <c r="B674">
        <f>IF(COUNTIFS('United Data'!$A$3:$A$2150,B$1,'United Data'!$C$3:$C$2150,$A674,'United Data'!$B$3:$B$2150,"&lt;&gt;P")&gt;0,1,0)</f>
        <v>0</v>
      </c>
      <c r="C674">
        <f>IF(COUNTIFS('United Data'!$A$3:$A$2150,C$1,'United Data'!$C$3:$C$2150,$A674,'United Data'!$B$3:$B$2150,"&lt;&gt;P")&gt;0,1,0)</f>
        <v>0</v>
      </c>
      <c r="D674">
        <f>IF(COUNTIFS('United Data'!$A$3:$A$2150,D$1,'United Data'!$C$3:$C$2150,$A674,'United Data'!$B$3:$B$2150,"&lt;&gt;P")&gt;0,1,0)</f>
        <v>0</v>
      </c>
      <c r="E674">
        <f>IF(COUNTIFS('United Data'!$A$3:$A$2150,E$1,'United Data'!$C$3:$C$2150,$A674,'United Data'!$B$3:$B$2150,"&lt;&gt;P")&gt;0,1,0)</f>
        <v>1</v>
      </c>
      <c r="F674">
        <f>IF(COUNTIFS('United Data'!$A$3:$A$2150,F$1,'United Data'!$C$3:$C$2150,$A674,'United Data'!$B$3:$B$2150,"&lt;&gt;P")&gt;0,1,0)</f>
        <v>1</v>
      </c>
      <c r="G674">
        <f>IF(COUNTIFS('United Data'!$A$3:$A$2150,G$1,'United Data'!$C$3:$C$2150,$A674,'United Data'!$B$3:$B$2150,"&lt;&gt;P")&gt;0,1,0)</f>
        <v>0</v>
      </c>
      <c r="H674">
        <f>IF(COUNTIFS('United Data'!$A$3:$A$2150,H$1,'United Data'!$C$3:$C$2150,$A674,'United Data'!$B$3:$B$2150,"&lt;&gt;P")&gt;0,1,0)</f>
        <v>0</v>
      </c>
      <c r="I674">
        <f>IF(COUNTIFS('United Data'!$A$3:$A$2150,I$1,'United Data'!$C$3:$C$2150,$A674,'United Data'!$B$3:$B$2150,"&lt;&gt;P")&gt;0,1,0)</f>
        <v>0</v>
      </c>
      <c r="J674">
        <f>IF(COUNTIFS('United Data'!$A$3:$A$2150,J$1,'United Data'!$C$3:$C$2150,$A674,'United Data'!$B$3:$B$2150,"&lt;&gt;P")&gt;0,1,0)</f>
        <v>0</v>
      </c>
      <c r="K674">
        <f>IF(COUNTIFS('United Data'!$A$3:$A$2150,K$1,'United Data'!$C$3:$C$2150,$A674,'United Data'!$B$3:$B$2150,"&lt;&gt;P")&gt;0,1,0)</f>
        <v>0</v>
      </c>
      <c r="L674">
        <f>IF(COUNTIFS('United Data'!$A$3:$A$2150,L$1,'United Data'!$C$3:$C$2150,$A674,'United Data'!$B$3:$B$2150,"&lt;&gt;P")&gt;0,1,0)</f>
        <v>0</v>
      </c>
      <c r="M674">
        <f>IF(COUNTIFS('United Data'!$A$3:$A$2150,M$1,'United Data'!$C$3:$C$2150,$A674,'United Data'!$B$3:$B$2150,"&lt;&gt;P")&gt;0,1,0)</f>
        <v>0</v>
      </c>
      <c r="N674">
        <f>IF(COUNTIFS('United Data'!$A$3:$A$2150,N$1,'United Data'!$C$3:$C$2150,$A674,'United Data'!$B$3:$B$2150,"&lt;&gt;P")&gt;0,1,0)</f>
        <v>0</v>
      </c>
      <c r="O674">
        <f>IF(COUNTIFS('United Data'!$A$3:$A$2150,O$1,'United Data'!$C$3:$C$2150,$A674,'United Data'!$B$3:$B$2150,"&lt;&gt;P")&gt;0,1,0)</f>
        <v>0</v>
      </c>
      <c r="P674">
        <f>IF(COUNTIFS('United Data'!$A$3:$A$2150,P$1,'United Data'!$C$3:$C$2150,$A674,'United Data'!$B$3:$B$2150,"&lt;&gt;P")&gt;0,1,0)</f>
        <v>0</v>
      </c>
      <c r="Q674">
        <f>IF(COUNTIFS('United Data'!$A$3:$A$2150,Q$1,'United Data'!$C$3:$C$2150,$A674,'United Data'!$B$3:$B$2150,"&lt;&gt;P")&gt;0,1,0)</f>
        <v>0</v>
      </c>
      <c r="R674">
        <f>IF(COUNTIFS('United Data'!$A$3:$A$2150,R$1,'United Data'!$C$3:$C$2150,$A674,'United Data'!$B$3:$B$2150,"&lt;&gt;P")&gt;0,1,0)</f>
        <v>0</v>
      </c>
      <c r="S674">
        <f t="shared" si="20"/>
        <v>2</v>
      </c>
      <c r="T674">
        <f t="shared" si="21"/>
        <v>1</v>
      </c>
    </row>
    <row r="675" spans="1:20" x14ac:dyDescent="0.2">
      <c r="A675" t="s">
        <v>721</v>
      </c>
      <c r="B675">
        <f>IF(COUNTIFS('United Data'!$A$3:$A$2150,B$1,'United Data'!$C$3:$C$2150,$A675,'United Data'!$B$3:$B$2150,"&lt;&gt;P")&gt;0,1,0)</f>
        <v>0</v>
      </c>
      <c r="C675">
        <f>IF(COUNTIFS('United Data'!$A$3:$A$2150,C$1,'United Data'!$C$3:$C$2150,$A675,'United Data'!$B$3:$B$2150,"&lt;&gt;P")&gt;0,1,0)</f>
        <v>0</v>
      </c>
      <c r="D675">
        <f>IF(COUNTIFS('United Data'!$A$3:$A$2150,D$1,'United Data'!$C$3:$C$2150,$A675,'United Data'!$B$3:$B$2150,"&lt;&gt;P")&gt;0,1,0)</f>
        <v>0</v>
      </c>
      <c r="E675">
        <f>IF(COUNTIFS('United Data'!$A$3:$A$2150,E$1,'United Data'!$C$3:$C$2150,$A675,'United Data'!$B$3:$B$2150,"&lt;&gt;P")&gt;0,1,0)</f>
        <v>0</v>
      </c>
      <c r="F675">
        <f>IF(COUNTIFS('United Data'!$A$3:$A$2150,F$1,'United Data'!$C$3:$C$2150,$A675,'United Data'!$B$3:$B$2150,"&lt;&gt;P")&gt;0,1,0)</f>
        <v>0</v>
      </c>
      <c r="G675">
        <f>IF(COUNTIFS('United Data'!$A$3:$A$2150,G$1,'United Data'!$C$3:$C$2150,$A675,'United Data'!$B$3:$B$2150,"&lt;&gt;P")&gt;0,1,0)</f>
        <v>1</v>
      </c>
      <c r="H675">
        <f>IF(COUNTIFS('United Data'!$A$3:$A$2150,H$1,'United Data'!$C$3:$C$2150,$A675,'United Data'!$B$3:$B$2150,"&lt;&gt;P")&gt;0,1,0)</f>
        <v>0</v>
      </c>
      <c r="I675">
        <f>IF(COUNTIFS('United Data'!$A$3:$A$2150,I$1,'United Data'!$C$3:$C$2150,$A675,'United Data'!$B$3:$B$2150,"&lt;&gt;P")&gt;0,1,0)</f>
        <v>0</v>
      </c>
      <c r="J675">
        <f>IF(COUNTIFS('United Data'!$A$3:$A$2150,J$1,'United Data'!$C$3:$C$2150,$A675,'United Data'!$B$3:$B$2150,"&lt;&gt;P")&gt;0,1,0)</f>
        <v>0</v>
      </c>
      <c r="K675">
        <f>IF(COUNTIFS('United Data'!$A$3:$A$2150,K$1,'United Data'!$C$3:$C$2150,$A675,'United Data'!$B$3:$B$2150,"&lt;&gt;P")&gt;0,1,0)</f>
        <v>0</v>
      </c>
      <c r="L675">
        <f>IF(COUNTIFS('United Data'!$A$3:$A$2150,L$1,'United Data'!$C$3:$C$2150,$A675,'United Data'!$B$3:$B$2150,"&lt;&gt;P")&gt;0,1,0)</f>
        <v>0</v>
      </c>
      <c r="M675">
        <f>IF(COUNTIFS('United Data'!$A$3:$A$2150,M$1,'United Data'!$C$3:$C$2150,$A675,'United Data'!$B$3:$B$2150,"&lt;&gt;P")&gt;0,1,0)</f>
        <v>0</v>
      </c>
      <c r="N675">
        <f>IF(COUNTIFS('United Data'!$A$3:$A$2150,N$1,'United Data'!$C$3:$C$2150,$A675,'United Data'!$B$3:$B$2150,"&lt;&gt;P")&gt;0,1,0)</f>
        <v>0</v>
      </c>
      <c r="O675">
        <f>IF(COUNTIFS('United Data'!$A$3:$A$2150,O$1,'United Data'!$C$3:$C$2150,$A675,'United Data'!$B$3:$B$2150,"&lt;&gt;P")&gt;0,1,0)</f>
        <v>0</v>
      </c>
      <c r="P675">
        <f>IF(COUNTIFS('United Data'!$A$3:$A$2150,P$1,'United Data'!$C$3:$C$2150,$A675,'United Data'!$B$3:$B$2150,"&lt;&gt;P")&gt;0,1,0)</f>
        <v>0</v>
      </c>
      <c r="Q675">
        <f>IF(COUNTIFS('United Data'!$A$3:$A$2150,Q$1,'United Data'!$C$3:$C$2150,$A675,'United Data'!$B$3:$B$2150,"&lt;&gt;P")&gt;0,1,0)</f>
        <v>0</v>
      </c>
      <c r="R675">
        <f>IF(COUNTIFS('United Data'!$A$3:$A$2150,R$1,'United Data'!$C$3:$C$2150,$A675,'United Data'!$B$3:$B$2150,"&lt;&gt;P")&gt;0,1,0)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722</v>
      </c>
      <c r="B676">
        <f>IF(COUNTIFS('United Data'!$A$3:$A$2150,B$1,'United Data'!$C$3:$C$2150,$A676,'United Data'!$B$3:$B$2150,"&lt;&gt;P")&gt;0,1,0)</f>
        <v>0</v>
      </c>
      <c r="C676">
        <f>IF(COUNTIFS('United Data'!$A$3:$A$2150,C$1,'United Data'!$C$3:$C$2150,$A676,'United Data'!$B$3:$B$2150,"&lt;&gt;P")&gt;0,1,0)</f>
        <v>0</v>
      </c>
      <c r="D676">
        <f>IF(COUNTIFS('United Data'!$A$3:$A$2150,D$1,'United Data'!$C$3:$C$2150,$A676,'United Data'!$B$3:$B$2150,"&lt;&gt;P")&gt;0,1,0)</f>
        <v>0</v>
      </c>
      <c r="E676">
        <f>IF(COUNTIFS('United Data'!$A$3:$A$2150,E$1,'United Data'!$C$3:$C$2150,$A676,'United Data'!$B$3:$B$2150,"&lt;&gt;P")&gt;0,1,0)</f>
        <v>0</v>
      </c>
      <c r="F676">
        <f>IF(COUNTIFS('United Data'!$A$3:$A$2150,F$1,'United Data'!$C$3:$C$2150,$A676,'United Data'!$B$3:$B$2150,"&lt;&gt;P")&gt;0,1,0)</f>
        <v>0</v>
      </c>
      <c r="G676">
        <f>IF(COUNTIFS('United Data'!$A$3:$A$2150,G$1,'United Data'!$C$3:$C$2150,$A676,'United Data'!$B$3:$B$2150,"&lt;&gt;P")&gt;0,1,0)</f>
        <v>1</v>
      </c>
      <c r="H676">
        <f>IF(COUNTIFS('United Data'!$A$3:$A$2150,H$1,'United Data'!$C$3:$C$2150,$A676,'United Data'!$B$3:$B$2150,"&lt;&gt;P")&gt;0,1,0)</f>
        <v>0</v>
      </c>
      <c r="I676">
        <f>IF(COUNTIFS('United Data'!$A$3:$A$2150,I$1,'United Data'!$C$3:$C$2150,$A676,'United Data'!$B$3:$B$2150,"&lt;&gt;P")&gt;0,1,0)</f>
        <v>0</v>
      </c>
      <c r="J676">
        <f>IF(COUNTIFS('United Data'!$A$3:$A$2150,J$1,'United Data'!$C$3:$C$2150,$A676,'United Data'!$B$3:$B$2150,"&lt;&gt;P")&gt;0,1,0)</f>
        <v>0</v>
      </c>
      <c r="K676">
        <f>IF(COUNTIFS('United Data'!$A$3:$A$2150,K$1,'United Data'!$C$3:$C$2150,$A676,'United Data'!$B$3:$B$2150,"&lt;&gt;P")&gt;0,1,0)</f>
        <v>0</v>
      </c>
      <c r="L676">
        <f>IF(COUNTIFS('United Data'!$A$3:$A$2150,L$1,'United Data'!$C$3:$C$2150,$A676,'United Data'!$B$3:$B$2150,"&lt;&gt;P")&gt;0,1,0)</f>
        <v>0</v>
      </c>
      <c r="M676">
        <f>IF(COUNTIFS('United Data'!$A$3:$A$2150,M$1,'United Data'!$C$3:$C$2150,$A676,'United Data'!$B$3:$B$2150,"&lt;&gt;P")&gt;0,1,0)</f>
        <v>0</v>
      </c>
      <c r="N676">
        <f>IF(COUNTIFS('United Data'!$A$3:$A$2150,N$1,'United Data'!$C$3:$C$2150,$A676,'United Data'!$B$3:$B$2150,"&lt;&gt;P")&gt;0,1,0)</f>
        <v>0</v>
      </c>
      <c r="O676">
        <f>IF(COUNTIFS('United Data'!$A$3:$A$2150,O$1,'United Data'!$C$3:$C$2150,$A676,'United Data'!$B$3:$B$2150,"&lt;&gt;P")&gt;0,1,0)</f>
        <v>0</v>
      </c>
      <c r="P676">
        <f>IF(COUNTIFS('United Data'!$A$3:$A$2150,P$1,'United Data'!$C$3:$C$2150,$A676,'United Data'!$B$3:$B$2150,"&lt;&gt;P")&gt;0,1,0)</f>
        <v>0</v>
      </c>
      <c r="Q676">
        <f>IF(COUNTIFS('United Data'!$A$3:$A$2150,Q$1,'United Data'!$C$3:$C$2150,$A676,'United Data'!$B$3:$B$2150,"&lt;&gt;P")&gt;0,1,0)</f>
        <v>0</v>
      </c>
      <c r="R676">
        <f>IF(COUNTIFS('United Data'!$A$3:$A$2150,R$1,'United Data'!$C$3:$C$2150,$A676,'United Data'!$B$3:$B$2150,"&lt;&gt;P")&gt;0,1,0)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723</v>
      </c>
      <c r="B677">
        <f>IF(COUNTIFS('United Data'!$A$3:$A$2150,B$1,'United Data'!$C$3:$C$2150,$A677,'United Data'!$B$3:$B$2150,"&lt;&gt;P")&gt;0,1,0)</f>
        <v>0</v>
      </c>
      <c r="C677">
        <f>IF(COUNTIFS('United Data'!$A$3:$A$2150,C$1,'United Data'!$C$3:$C$2150,$A677,'United Data'!$B$3:$B$2150,"&lt;&gt;P")&gt;0,1,0)</f>
        <v>0</v>
      </c>
      <c r="D677">
        <f>IF(COUNTIFS('United Data'!$A$3:$A$2150,D$1,'United Data'!$C$3:$C$2150,$A677,'United Data'!$B$3:$B$2150,"&lt;&gt;P")&gt;0,1,0)</f>
        <v>0</v>
      </c>
      <c r="E677">
        <f>IF(COUNTIFS('United Data'!$A$3:$A$2150,E$1,'United Data'!$C$3:$C$2150,$A677,'United Data'!$B$3:$B$2150,"&lt;&gt;P")&gt;0,1,0)</f>
        <v>0</v>
      </c>
      <c r="F677">
        <f>IF(COUNTIFS('United Data'!$A$3:$A$2150,F$1,'United Data'!$C$3:$C$2150,$A677,'United Data'!$B$3:$B$2150,"&lt;&gt;P")&gt;0,1,0)</f>
        <v>0</v>
      </c>
      <c r="G677">
        <f>IF(COUNTIFS('United Data'!$A$3:$A$2150,G$1,'United Data'!$C$3:$C$2150,$A677,'United Data'!$B$3:$B$2150,"&lt;&gt;P")&gt;0,1,0)</f>
        <v>1</v>
      </c>
      <c r="H677">
        <f>IF(COUNTIFS('United Data'!$A$3:$A$2150,H$1,'United Data'!$C$3:$C$2150,$A677,'United Data'!$B$3:$B$2150,"&lt;&gt;P")&gt;0,1,0)</f>
        <v>1</v>
      </c>
      <c r="I677">
        <f>IF(COUNTIFS('United Data'!$A$3:$A$2150,I$1,'United Data'!$C$3:$C$2150,$A677,'United Data'!$B$3:$B$2150,"&lt;&gt;P")&gt;0,1,0)</f>
        <v>1</v>
      </c>
      <c r="J677">
        <f>IF(COUNTIFS('United Data'!$A$3:$A$2150,J$1,'United Data'!$C$3:$C$2150,$A677,'United Data'!$B$3:$B$2150,"&lt;&gt;P")&gt;0,1,0)</f>
        <v>1</v>
      </c>
      <c r="K677">
        <f>IF(COUNTIFS('United Data'!$A$3:$A$2150,K$1,'United Data'!$C$3:$C$2150,$A677,'United Data'!$B$3:$B$2150,"&lt;&gt;P")&gt;0,1,0)</f>
        <v>1</v>
      </c>
      <c r="L677">
        <f>IF(COUNTIFS('United Data'!$A$3:$A$2150,L$1,'United Data'!$C$3:$C$2150,$A677,'United Data'!$B$3:$B$2150,"&lt;&gt;P")&gt;0,1,0)</f>
        <v>1</v>
      </c>
      <c r="M677">
        <f>IF(COUNTIFS('United Data'!$A$3:$A$2150,M$1,'United Data'!$C$3:$C$2150,$A677,'United Data'!$B$3:$B$2150,"&lt;&gt;P")&gt;0,1,0)</f>
        <v>0</v>
      </c>
      <c r="N677">
        <f>IF(COUNTIFS('United Data'!$A$3:$A$2150,N$1,'United Data'!$C$3:$C$2150,$A677,'United Data'!$B$3:$B$2150,"&lt;&gt;P")&gt;0,1,0)</f>
        <v>0</v>
      </c>
      <c r="O677">
        <f>IF(COUNTIFS('United Data'!$A$3:$A$2150,O$1,'United Data'!$C$3:$C$2150,$A677,'United Data'!$B$3:$B$2150,"&lt;&gt;P")&gt;0,1,0)</f>
        <v>0</v>
      </c>
      <c r="P677">
        <f>IF(COUNTIFS('United Data'!$A$3:$A$2150,P$1,'United Data'!$C$3:$C$2150,$A677,'United Data'!$B$3:$B$2150,"&lt;&gt;P")&gt;0,1,0)</f>
        <v>0</v>
      </c>
      <c r="Q677">
        <f>IF(COUNTIFS('United Data'!$A$3:$A$2150,Q$1,'United Data'!$C$3:$C$2150,$A677,'United Data'!$B$3:$B$2150,"&lt;&gt;P")&gt;0,1,0)</f>
        <v>0</v>
      </c>
      <c r="R677">
        <f>IF(COUNTIFS('United Data'!$A$3:$A$2150,R$1,'United Data'!$C$3:$C$2150,$A677,'United Data'!$B$3:$B$2150,"&lt;&gt;P")&gt;0,1,0)</f>
        <v>0</v>
      </c>
      <c r="S677">
        <f t="shared" si="20"/>
        <v>6</v>
      </c>
      <c r="T677">
        <f t="shared" si="21"/>
        <v>1</v>
      </c>
    </row>
    <row r="678" spans="1:20" x14ac:dyDescent="0.2">
      <c r="A678" t="s">
        <v>724</v>
      </c>
      <c r="B678">
        <f>IF(COUNTIFS('United Data'!$A$3:$A$2150,B$1,'United Data'!$C$3:$C$2150,$A678,'United Data'!$B$3:$B$2150,"&lt;&gt;P")&gt;0,1,0)</f>
        <v>0</v>
      </c>
      <c r="C678">
        <f>IF(COUNTIFS('United Data'!$A$3:$A$2150,C$1,'United Data'!$C$3:$C$2150,$A678,'United Data'!$B$3:$B$2150,"&lt;&gt;P")&gt;0,1,0)</f>
        <v>0</v>
      </c>
      <c r="D678">
        <f>IF(COUNTIFS('United Data'!$A$3:$A$2150,D$1,'United Data'!$C$3:$C$2150,$A678,'United Data'!$B$3:$B$2150,"&lt;&gt;P")&gt;0,1,0)</f>
        <v>0</v>
      </c>
      <c r="E678">
        <f>IF(COUNTIFS('United Data'!$A$3:$A$2150,E$1,'United Data'!$C$3:$C$2150,$A678,'United Data'!$B$3:$B$2150,"&lt;&gt;P")&gt;0,1,0)</f>
        <v>0</v>
      </c>
      <c r="F678">
        <f>IF(COUNTIFS('United Data'!$A$3:$A$2150,F$1,'United Data'!$C$3:$C$2150,$A678,'United Data'!$B$3:$B$2150,"&lt;&gt;P")&gt;0,1,0)</f>
        <v>0</v>
      </c>
      <c r="G678">
        <f>IF(COUNTIFS('United Data'!$A$3:$A$2150,G$1,'United Data'!$C$3:$C$2150,$A678,'United Data'!$B$3:$B$2150,"&lt;&gt;P")&gt;0,1,0)</f>
        <v>1</v>
      </c>
      <c r="H678">
        <f>IF(COUNTIFS('United Data'!$A$3:$A$2150,H$1,'United Data'!$C$3:$C$2150,$A678,'United Data'!$B$3:$B$2150,"&lt;&gt;P")&gt;0,1,0)</f>
        <v>1</v>
      </c>
      <c r="I678">
        <f>IF(COUNTIFS('United Data'!$A$3:$A$2150,I$1,'United Data'!$C$3:$C$2150,$A678,'United Data'!$B$3:$B$2150,"&lt;&gt;P")&gt;0,1,0)</f>
        <v>1</v>
      </c>
      <c r="J678">
        <f>IF(COUNTIFS('United Data'!$A$3:$A$2150,J$1,'United Data'!$C$3:$C$2150,$A678,'United Data'!$B$3:$B$2150,"&lt;&gt;P")&gt;0,1,0)</f>
        <v>0</v>
      </c>
      <c r="K678">
        <f>IF(COUNTIFS('United Data'!$A$3:$A$2150,K$1,'United Data'!$C$3:$C$2150,$A678,'United Data'!$B$3:$B$2150,"&lt;&gt;P")&gt;0,1,0)</f>
        <v>0</v>
      </c>
      <c r="L678">
        <f>IF(COUNTIFS('United Data'!$A$3:$A$2150,L$1,'United Data'!$C$3:$C$2150,$A678,'United Data'!$B$3:$B$2150,"&lt;&gt;P")&gt;0,1,0)</f>
        <v>0</v>
      </c>
      <c r="M678">
        <f>IF(COUNTIFS('United Data'!$A$3:$A$2150,M$1,'United Data'!$C$3:$C$2150,$A678,'United Data'!$B$3:$B$2150,"&lt;&gt;P")&gt;0,1,0)</f>
        <v>0</v>
      </c>
      <c r="N678">
        <f>IF(COUNTIFS('United Data'!$A$3:$A$2150,N$1,'United Data'!$C$3:$C$2150,$A678,'United Data'!$B$3:$B$2150,"&lt;&gt;P")&gt;0,1,0)</f>
        <v>0</v>
      </c>
      <c r="O678">
        <f>IF(COUNTIFS('United Data'!$A$3:$A$2150,O$1,'United Data'!$C$3:$C$2150,$A678,'United Data'!$B$3:$B$2150,"&lt;&gt;P")&gt;0,1,0)</f>
        <v>0</v>
      </c>
      <c r="P678">
        <f>IF(COUNTIFS('United Data'!$A$3:$A$2150,P$1,'United Data'!$C$3:$C$2150,$A678,'United Data'!$B$3:$B$2150,"&lt;&gt;P")&gt;0,1,0)</f>
        <v>0</v>
      </c>
      <c r="Q678">
        <f>IF(COUNTIFS('United Data'!$A$3:$A$2150,Q$1,'United Data'!$C$3:$C$2150,$A678,'United Data'!$B$3:$B$2150,"&lt;&gt;P")&gt;0,1,0)</f>
        <v>0</v>
      </c>
      <c r="R678">
        <f>IF(COUNTIFS('United Data'!$A$3:$A$2150,R$1,'United Data'!$C$3:$C$2150,$A678,'United Data'!$B$3:$B$2150,"&lt;&gt;P")&gt;0,1,0)</f>
        <v>0</v>
      </c>
      <c r="S678">
        <f t="shared" si="20"/>
        <v>3</v>
      </c>
      <c r="T678">
        <f t="shared" si="21"/>
        <v>1</v>
      </c>
    </row>
    <row r="679" spans="1:20" x14ac:dyDescent="0.2">
      <c r="A679" t="s">
        <v>725</v>
      </c>
      <c r="B679">
        <f>IF(COUNTIFS('United Data'!$A$3:$A$2150,B$1,'United Data'!$C$3:$C$2150,$A679,'United Data'!$B$3:$B$2150,"&lt;&gt;P")&gt;0,1,0)</f>
        <v>0</v>
      </c>
      <c r="C679">
        <f>IF(COUNTIFS('United Data'!$A$3:$A$2150,C$1,'United Data'!$C$3:$C$2150,$A679,'United Data'!$B$3:$B$2150,"&lt;&gt;P")&gt;0,1,0)</f>
        <v>0</v>
      </c>
      <c r="D679">
        <f>IF(COUNTIFS('United Data'!$A$3:$A$2150,D$1,'United Data'!$C$3:$C$2150,$A679,'United Data'!$B$3:$B$2150,"&lt;&gt;P")&gt;0,1,0)</f>
        <v>0</v>
      </c>
      <c r="E679">
        <f>IF(COUNTIFS('United Data'!$A$3:$A$2150,E$1,'United Data'!$C$3:$C$2150,$A679,'United Data'!$B$3:$B$2150,"&lt;&gt;P")&gt;0,1,0)</f>
        <v>0</v>
      </c>
      <c r="F679">
        <f>IF(COUNTIFS('United Data'!$A$3:$A$2150,F$1,'United Data'!$C$3:$C$2150,$A679,'United Data'!$B$3:$B$2150,"&lt;&gt;P")&gt;0,1,0)</f>
        <v>0</v>
      </c>
      <c r="G679">
        <f>IF(COUNTIFS('United Data'!$A$3:$A$2150,G$1,'United Data'!$C$3:$C$2150,$A679,'United Data'!$B$3:$B$2150,"&lt;&gt;P")&gt;0,1,0)</f>
        <v>0</v>
      </c>
      <c r="H679">
        <f>IF(COUNTIFS('United Data'!$A$3:$A$2150,H$1,'United Data'!$C$3:$C$2150,$A679,'United Data'!$B$3:$B$2150,"&lt;&gt;P")&gt;0,1,0)</f>
        <v>1</v>
      </c>
      <c r="I679">
        <f>IF(COUNTIFS('United Data'!$A$3:$A$2150,I$1,'United Data'!$C$3:$C$2150,$A679,'United Data'!$B$3:$B$2150,"&lt;&gt;P")&gt;0,1,0)</f>
        <v>0</v>
      </c>
      <c r="J679">
        <f>IF(COUNTIFS('United Data'!$A$3:$A$2150,J$1,'United Data'!$C$3:$C$2150,$A679,'United Data'!$B$3:$B$2150,"&lt;&gt;P")&gt;0,1,0)</f>
        <v>0</v>
      </c>
      <c r="K679">
        <f>IF(COUNTIFS('United Data'!$A$3:$A$2150,K$1,'United Data'!$C$3:$C$2150,$A679,'United Data'!$B$3:$B$2150,"&lt;&gt;P")&gt;0,1,0)</f>
        <v>0</v>
      </c>
      <c r="L679">
        <f>IF(COUNTIFS('United Data'!$A$3:$A$2150,L$1,'United Data'!$C$3:$C$2150,$A679,'United Data'!$B$3:$B$2150,"&lt;&gt;P")&gt;0,1,0)</f>
        <v>0</v>
      </c>
      <c r="M679">
        <f>IF(COUNTIFS('United Data'!$A$3:$A$2150,M$1,'United Data'!$C$3:$C$2150,$A679,'United Data'!$B$3:$B$2150,"&lt;&gt;P")&gt;0,1,0)</f>
        <v>0</v>
      </c>
      <c r="N679">
        <f>IF(COUNTIFS('United Data'!$A$3:$A$2150,N$1,'United Data'!$C$3:$C$2150,$A679,'United Data'!$B$3:$B$2150,"&lt;&gt;P")&gt;0,1,0)</f>
        <v>0</v>
      </c>
      <c r="O679">
        <f>IF(COUNTIFS('United Data'!$A$3:$A$2150,O$1,'United Data'!$C$3:$C$2150,$A679,'United Data'!$B$3:$B$2150,"&lt;&gt;P")&gt;0,1,0)</f>
        <v>0</v>
      </c>
      <c r="P679">
        <f>IF(COUNTIFS('United Data'!$A$3:$A$2150,P$1,'United Data'!$C$3:$C$2150,$A679,'United Data'!$B$3:$B$2150,"&lt;&gt;P")&gt;0,1,0)</f>
        <v>0</v>
      </c>
      <c r="Q679">
        <f>IF(COUNTIFS('United Data'!$A$3:$A$2150,Q$1,'United Data'!$C$3:$C$2150,$A679,'United Data'!$B$3:$B$2150,"&lt;&gt;P")&gt;0,1,0)</f>
        <v>0</v>
      </c>
      <c r="R679">
        <f>IF(COUNTIFS('United Data'!$A$3:$A$2150,R$1,'United Data'!$C$3:$C$2150,$A679,'United Data'!$B$3:$B$2150,"&lt;&gt;P")&gt;0,1,0)</f>
        <v>0</v>
      </c>
      <c r="S679">
        <f t="shared" si="20"/>
        <v>1</v>
      </c>
      <c r="T679">
        <f t="shared" si="21"/>
        <v>1</v>
      </c>
    </row>
    <row r="680" spans="1:20" x14ac:dyDescent="0.2">
      <c r="A680" t="s">
        <v>726</v>
      </c>
      <c r="B680">
        <f>IF(COUNTIFS('United Data'!$A$3:$A$2150,B$1,'United Data'!$C$3:$C$2150,$A680,'United Data'!$B$3:$B$2150,"&lt;&gt;P")&gt;0,1,0)</f>
        <v>0</v>
      </c>
      <c r="C680">
        <f>IF(COUNTIFS('United Data'!$A$3:$A$2150,C$1,'United Data'!$C$3:$C$2150,$A680,'United Data'!$B$3:$B$2150,"&lt;&gt;P")&gt;0,1,0)</f>
        <v>0</v>
      </c>
      <c r="D680">
        <f>IF(COUNTIFS('United Data'!$A$3:$A$2150,D$1,'United Data'!$C$3:$C$2150,$A680,'United Data'!$B$3:$B$2150,"&lt;&gt;P")&gt;0,1,0)</f>
        <v>0</v>
      </c>
      <c r="E680">
        <f>IF(COUNTIFS('United Data'!$A$3:$A$2150,E$1,'United Data'!$C$3:$C$2150,$A680,'United Data'!$B$3:$B$2150,"&lt;&gt;P")&gt;0,1,0)</f>
        <v>0</v>
      </c>
      <c r="F680">
        <f>IF(COUNTIFS('United Data'!$A$3:$A$2150,F$1,'United Data'!$C$3:$C$2150,$A680,'United Data'!$B$3:$B$2150,"&lt;&gt;P")&gt;0,1,0)</f>
        <v>0</v>
      </c>
      <c r="G680">
        <f>IF(COUNTIFS('United Data'!$A$3:$A$2150,G$1,'United Data'!$C$3:$C$2150,$A680,'United Data'!$B$3:$B$2150,"&lt;&gt;P")&gt;0,1,0)</f>
        <v>0</v>
      </c>
      <c r="H680">
        <f>IF(COUNTIFS('United Data'!$A$3:$A$2150,H$1,'United Data'!$C$3:$C$2150,$A680,'United Data'!$B$3:$B$2150,"&lt;&gt;P")&gt;0,1,0)</f>
        <v>1</v>
      </c>
      <c r="I680">
        <f>IF(COUNTIFS('United Data'!$A$3:$A$2150,I$1,'United Data'!$C$3:$C$2150,$A680,'United Data'!$B$3:$B$2150,"&lt;&gt;P")&gt;0,1,0)</f>
        <v>0</v>
      </c>
      <c r="J680">
        <f>IF(COUNTIFS('United Data'!$A$3:$A$2150,J$1,'United Data'!$C$3:$C$2150,$A680,'United Data'!$B$3:$B$2150,"&lt;&gt;P")&gt;0,1,0)</f>
        <v>0</v>
      </c>
      <c r="K680">
        <f>IF(COUNTIFS('United Data'!$A$3:$A$2150,K$1,'United Data'!$C$3:$C$2150,$A680,'United Data'!$B$3:$B$2150,"&lt;&gt;P")&gt;0,1,0)</f>
        <v>0</v>
      </c>
      <c r="L680">
        <f>IF(COUNTIFS('United Data'!$A$3:$A$2150,L$1,'United Data'!$C$3:$C$2150,$A680,'United Data'!$B$3:$B$2150,"&lt;&gt;P")&gt;0,1,0)</f>
        <v>0</v>
      </c>
      <c r="M680">
        <f>IF(COUNTIFS('United Data'!$A$3:$A$2150,M$1,'United Data'!$C$3:$C$2150,$A680,'United Data'!$B$3:$B$2150,"&lt;&gt;P")&gt;0,1,0)</f>
        <v>0</v>
      </c>
      <c r="N680">
        <f>IF(COUNTIFS('United Data'!$A$3:$A$2150,N$1,'United Data'!$C$3:$C$2150,$A680,'United Data'!$B$3:$B$2150,"&lt;&gt;P")&gt;0,1,0)</f>
        <v>0</v>
      </c>
      <c r="O680">
        <f>IF(COUNTIFS('United Data'!$A$3:$A$2150,O$1,'United Data'!$C$3:$C$2150,$A680,'United Data'!$B$3:$B$2150,"&lt;&gt;P")&gt;0,1,0)</f>
        <v>0</v>
      </c>
      <c r="P680">
        <f>IF(COUNTIFS('United Data'!$A$3:$A$2150,P$1,'United Data'!$C$3:$C$2150,$A680,'United Data'!$B$3:$B$2150,"&lt;&gt;P")&gt;0,1,0)</f>
        <v>0</v>
      </c>
      <c r="Q680">
        <f>IF(COUNTIFS('United Data'!$A$3:$A$2150,Q$1,'United Data'!$C$3:$C$2150,$A680,'United Data'!$B$3:$B$2150,"&lt;&gt;P")&gt;0,1,0)</f>
        <v>0</v>
      </c>
      <c r="R680">
        <f>IF(COUNTIFS('United Data'!$A$3:$A$2150,R$1,'United Data'!$C$3:$C$2150,$A680,'United Data'!$B$3:$B$2150,"&lt;&gt;P")&gt;0,1,0)</f>
        <v>0</v>
      </c>
      <c r="S680">
        <f t="shared" si="20"/>
        <v>1</v>
      </c>
      <c r="T680">
        <f t="shared" si="21"/>
        <v>1</v>
      </c>
    </row>
    <row r="681" spans="1:20" x14ac:dyDescent="0.2">
      <c r="A681" t="s">
        <v>727</v>
      </c>
      <c r="B681">
        <f>IF(COUNTIFS('United Data'!$A$3:$A$2150,B$1,'United Data'!$C$3:$C$2150,$A681,'United Data'!$B$3:$B$2150,"&lt;&gt;P")&gt;0,1,0)</f>
        <v>0</v>
      </c>
      <c r="C681">
        <f>IF(COUNTIFS('United Data'!$A$3:$A$2150,C$1,'United Data'!$C$3:$C$2150,$A681,'United Data'!$B$3:$B$2150,"&lt;&gt;P")&gt;0,1,0)</f>
        <v>0</v>
      </c>
      <c r="D681">
        <f>IF(COUNTIFS('United Data'!$A$3:$A$2150,D$1,'United Data'!$C$3:$C$2150,$A681,'United Data'!$B$3:$B$2150,"&lt;&gt;P")&gt;0,1,0)</f>
        <v>0</v>
      </c>
      <c r="E681">
        <f>IF(COUNTIFS('United Data'!$A$3:$A$2150,E$1,'United Data'!$C$3:$C$2150,$A681,'United Data'!$B$3:$B$2150,"&lt;&gt;P")&gt;0,1,0)</f>
        <v>0</v>
      </c>
      <c r="F681">
        <f>IF(COUNTIFS('United Data'!$A$3:$A$2150,F$1,'United Data'!$C$3:$C$2150,$A681,'United Data'!$B$3:$B$2150,"&lt;&gt;P")&gt;0,1,0)</f>
        <v>0</v>
      </c>
      <c r="G681">
        <f>IF(COUNTIFS('United Data'!$A$3:$A$2150,G$1,'United Data'!$C$3:$C$2150,$A681,'United Data'!$B$3:$B$2150,"&lt;&gt;P")&gt;0,1,0)</f>
        <v>0</v>
      </c>
      <c r="H681">
        <f>IF(COUNTIFS('United Data'!$A$3:$A$2150,H$1,'United Data'!$C$3:$C$2150,$A681,'United Data'!$B$3:$B$2150,"&lt;&gt;P")&gt;0,1,0)</f>
        <v>1</v>
      </c>
      <c r="I681">
        <f>IF(COUNTIFS('United Data'!$A$3:$A$2150,I$1,'United Data'!$C$3:$C$2150,$A681,'United Data'!$B$3:$B$2150,"&lt;&gt;P")&gt;0,1,0)</f>
        <v>0</v>
      </c>
      <c r="J681">
        <f>IF(COUNTIFS('United Data'!$A$3:$A$2150,J$1,'United Data'!$C$3:$C$2150,$A681,'United Data'!$B$3:$B$2150,"&lt;&gt;P")&gt;0,1,0)</f>
        <v>0</v>
      </c>
      <c r="K681">
        <f>IF(COUNTIFS('United Data'!$A$3:$A$2150,K$1,'United Data'!$C$3:$C$2150,$A681,'United Data'!$B$3:$B$2150,"&lt;&gt;P")&gt;0,1,0)</f>
        <v>0</v>
      </c>
      <c r="L681">
        <f>IF(COUNTIFS('United Data'!$A$3:$A$2150,L$1,'United Data'!$C$3:$C$2150,$A681,'United Data'!$B$3:$B$2150,"&lt;&gt;P")&gt;0,1,0)</f>
        <v>0</v>
      </c>
      <c r="M681">
        <f>IF(COUNTIFS('United Data'!$A$3:$A$2150,M$1,'United Data'!$C$3:$C$2150,$A681,'United Data'!$B$3:$B$2150,"&lt;&gt;P")&gt;0,1,0)</f>
        <v>0</v>
      </c>
      <c r="N681">
        <f>IF(COUNTIFS('United Data'!$A$3:$A$2150,N$1,'United Data'!$C$3:$C$2150,$A681,'United Data'!$B$3:$B$2150,"&lt;&gt;P")&gt;0,1,0)</f>
        <v>0</v>
      </c>
      <c r="O681">
        <f>IF(COUNTIFS('United Data'!$A$3:$A$2150,O$1,'United Data'!$C$3:$C$2150,$A681,'United Data'!$B$3:$B$2150,"&lt;&gt;P")&gt;0,1,0)</f>
        <v>0</v>
      </c>
      <c r="P681">
        <f>IF(COUNTIFS('United Data'!$A$3:$A$2150,P$1,'United Data'!$C$3:$C$2150,$A681,'United Data'!$B$3:$B$2150,"&lt;&gt;P")&gt;0,1,0)</f>
        <v>0</v>
      </c>
      <c r="Q681">
        <f>IF(COUNTIFS('United Data'!$A$3:$A$2150,Q$1,'United Data'!$C$3:$C$2150,$A681,'United Data'!$B$3:$B$2150,"&lt;&gt;P")&gt;0,1,0)</f>
        <v>0</v>
      </c>
      <c r="R681">
        <f>IF(COUNTIFS('United Data'!$A$3:$A$2150,R$1,'United Data'!$C$3:$C$2150,$A681,'United Data'!$B$3:$B$2150,"&lt;&gt;P")&gt;0,1,0)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728</v>
      </c>
      <c r="B682">
        <f>IF(COUNTIFS('United Data'!$A$3:$A$2150,B$1,'United Data'!$C$3:$C$2150,$A682,'United Data'!$B$3:$B$2150,"&lt;&gt;P")&gt;0,1,0)</f>
        <v>0</v>
      </c>
      <c r="C682">
        <f>IF(COUNTIFS('United Data'!$A$3:$A$2150,C$1,'United Data'!$C$3:$C$2150,$A682,'United Data'!$B$3:$B$2150,"&lt;&gt;P")&gt;0,1,0)</f>
        <v>0</v>
      </c>
      <c r="D682">
        <f>IF(COUNTIFS('United Data'!$A$3:$A$2150,D$1,'United Data'!$C$3:$C$2150,$A682,'United Data'!$B$3:$B$2150,"&lt;&gt;P")&gt;0,1,0)</f>
        <v>0</v>
      </c>
      <c r="E682">
        <f>IF(COUNTIFS('United Data'!$A$3:$A$2150,E$1,'United Data'!$C$3:$C$2150,$A682,'United Data'!$B$3:$B$2150,"&lt;&gt;P")&gt;0,1,0)</f>
        <v>0</v>
      </c>
      <c r="F682">
        <f>IF(COUNTIFS('United Data'!$A$3:$A$2150,F$1,'United Data'!$C$3:$C$2150,$A682,'United Data'!$B$3:$B$2150,"&lt;&gt;P")&gt;0,1,0)</f>
        <v>0</v>
      </c>
      <c r="G682">
        <f>IF(COUNTIFS('United Data'!$A$3:$A$2150,G$1,'United Data'!$C$3:$C$2150,$A682,'United Data'!$B$3:$B$2150,"&lt;&gt;P")&gt;0,1,0)</f>
        <v>0</v>
      </c>
      <c r="H682">
        <f>IF(COUNTIFS('United Data'!$A$3:$A$2150,H$1,'United Data'!$C$3:$C$2150,$A682,'United Data'!$B$3:$B$2150,"&lt;&gt;P")&gt;0,1,0)</f>
        <v>1</v>
      </c>
      <c r="I682">
        <f>IF(COUNTIFS('United Data'!$A$3:$A$2150,I$1,'United Data'!$C$3:$C$2150,$A682,'United Data'!$B$3:$B$2150,"&lt;&gt;P")&gt;0,1,0)</f>
        <v>0</v>
      </c>
      <c r="J682">
        <f>IF(COUNTIFS('United Data'!$A$3:$A$2150,J$1,'United Data'!$C$3:$C$2150,$A682,'United Data'!$B$3:$B$2150,"&lt;&gt;P")&gt;0,1,0)</f>
        <v>0</v>
      </c>
      <c r="K682">
        <f>IF(COUNTIFS('United Data'!$A$3:$A$2150,K$1,'United Data'!$C$3:$C$2150,$A682,'United Data'!$B$3:$B$2150,"&lt;&gt;P")&gt;0,1,0)</f>
        <v>0</v>
      </c>
      <c r="L682">
        <f>IF(COUNTIFS('United Data'!$A$3:$A$2150,L$1,'United Data'!$C$3:$C$2150,$A682,'United Data'!$B$3:$B$2150,"&lt;&gt;P")&gt;0,1,0)</f>
        <v>0</v>
      </c>
      <c r="M682">
        <f>IF(COUNTIFS('United Data'!$A$3:$A$2150,M$1,'United Data'!$C$3:$C$2150,$A682,'United Data'!$B$3:$B$2150,"&lt;&gt;P")&gt;0,1,0)</f>
        <v>0</v>
      </c>
      <c r="N682">
        <f>IF(COUNTIFS('United Data'!$A$3:$A$2150,N$1,'United Data'!$C$3:$C$2150,$A682,'United Data'!$B$3:$B$2150,"&lt;&gt;P")&gt;0,1,0)</f>
        <v>0</v>
      </c>
      <c r="O682">
        <f>IF(COUNTIFS('United Data'!$A$3:$A$2150,O$1,'United Data'!$C$3:$C$2150,$A682,'United Data'!$B$3:$B$2150,"&lt;&gt;P")&gt;0,1,0)</f>
        <v>0</v>
      </c>
      <c r="P682">
        <f>IF(COUNTIFS('United Data'!$A$3:$A$2150,P$1,'United Data'!$C$3:$C$2150,$A682,'United Data'!$B$3:$B$2150,"&lt;&gt;P")&gt;0,1,0)</f>
        <v>0</v>
      </c>
      <c r="Q682">
        <f>IF(COUNTIFS('United Data'!$A$3:$A$2150,Q$1,'United Data'!$C$3:$C$2150,$A682,'United Data'!$B$3:$B$2150,"&lt;&gt;P")&gt;0,1,0)</f>
        <v>0</v>
      </c>
      <c r="R682">
        <f>IF(COUNTIFS('United Data'!$A$3:$A$2150,R$1,'United Data'!$C$3:$C$2150,$A682,'United Data'!$B$3:$B$2150,"&lt;&gt;P")&gt;0,1,0)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729</v>
      </c>
      <c r="B683">
        <f>IF(COUNTIFS('United Data'!$A$3:$A$2150,B$1,'United Data'!$C$3:$C$2150,$A683,'United Data'!$B$3:$B$2150,"&lt;&gt;P")&gt;0,1,0)</f>
        <v>0</v>
      </c>
      <c r="C683">
        <f>IF(COUNTIFS('United Data'!$A$3:$A$2150,C$1,'United Data'!$C$3:$C$2150,$A683,'United Data'!$B$3:$B$2150,"&lt;&gt;P")&gt;0,1,0)</f>
        <v>0</v>
      </c>
      <c r="D683">
        <f>IF(COUNTIFS('United Data'!$A$3:$A$2150,D$1,'United Data'!$C$3:$C$2150,$A683,'United Data'!$B$3:$B$2150,"&lt;&gt;P")&gt;0,1,0)</f>
        <v>0</v>
      </c>
      <c r="E683">
        <f>IF(COUNTIFS('United Data'!$A$3:$A$2150,E$1,'United Data'!$C$3:$C$2150,$A683,'United Data'!$B$3:$B$2150,"&lt;&gt;P")&gt;0,1,0)</f>
        <v>0</v>
      </c>
      <c r="F683">
        <f>IF(COUNTIFS('United Data'!$A$3:$A$2150,F$1,'United Data'!$C$3:$C$2150,$A683,'United Data'!$B$3:$B$2150,"&lt;&gt;P")&gt;0,1,0)</f>
        <v>0</v>
      </c>
      <c r="G683">
        <f>IF(COUNTIFS('United Data'!$A$3:$A$2150,G$1,'United Data'!$C$3:$C$2150,$A683,'United Data'!$B$3:$B$2150,"&lt;&gt;P")&gt;0,1,0)</f>
        <v>0</v>
      </c>
      <c r="H683">
        <f>IF(COUNTIFS('United Data'!$A$3:$A$2150,H$1,'United Data'!$C$3:$C$2150,$A683,'United Data'!$B$3:$B$2150,"&lt;&gt;P")&gt;0,1,0)</f>
        <v>1</v>
      </c>
      <c r="I683">
        <f>IF(COUNTIFS('United Data'!$A$3:$A$2150,I$1,'United Data'!$C$3:$C$2150,$A683,'United Data'!$B$3:$B$2150,"&lt;&gt;P")&gt;0,1,0)</f>
        <v>0</v>
      </c>
      <c r="J683">
        <f>IF(COUNTIFS('United Data'!$A$3:$A$2150,J$1,'United Data'!$C$3:$C$2150,$A683,'United Data'!$B$3:$B$2150,"&lt;&gt;P")&gt;0,1,0)</f>
        <v>0</v>
      </c>
      <c r="K683">
        <f>IF(COUNTIFS('United Data'!$A$3:$A$2150,K$1,'United Data'!$C$3:$C$2150,$A683,'United Data'!$B$3:$B$2150,"&lt;&gt;P")&gt;0,1,0)</f>
        <v>0</v>
      </c>
      <c r="L683">
        <f>IF(COUNTIFS('United Data'!$A$3:$A$2150,L$1,'United Data'!$C$3:$C$2150,$A683,'United Data'!$B$3:$B$2150,"&lt;&gt;P")&gt;0,1,0)</f>
        <v>0</v>
      </c>
      <c r="M683">
        <f>IF(COUNTIFS('United Data'!$A$3:$A$2150,M$1,'United Data'!$C$3:$C$2150,$A683,'United Data'!$B$3:$B$2150,"&lt;&gt;P")&gt;0,1,0)</f>
        <v>0</v>
      </c>
      <c r="N683">
        <f>IF(COUNTIFS('United Data'!$A$3:$A$2150,N$1,'United Data'!$C$3:$C$2150,$A683,'United Data'!$B$3:$B$2150,"&lt;&gt;P")&gt;0,1,0)</f>
        <v>0</v>
      </c>
      <c r="O683">
        <f>IF(COUNTIFS('United Data'!$A$3:$A$2150,O$1,'United Data'!$C$3:$C$2150,$A683,'United Data'!$B$3:$B$2150,"&lt;&gt;P")&gt;0,1,0)</f>
        <v>0</v>
      </c>
      <c r="P683">
        <f>IF(COUNTIFS('United Data'!$A$3:$A$2150,P$1,'United Data'!$C$3:$C$2150,$A683,'United Data'!$B$3:$B$2150,"&lt;&gt;P")&gt;0,1,0)</f>
        <v>0</v>
      </c>
      <c r="Q683">
        <f>IF(COUNTIFS('United Data'!$A$3:$A$2150,Q$1,'United Data'!$C$3:$C$2150,$A683,'United Data'!$B$3:$B$2150,"&lt;&gt;P")&gt;0,1,0)</f>
        <v>0</v>
      </c>
      <c r="R683">
        <f>IF(COUNTIFS('United Data'!$A$3:$A$2150,R$1,'United Data'!$C$3:$C$2150,$A683,'United Data'!$B$3:$B$2150,"&lt;&gt;P")&gt;0,1,0)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730</v>
      </c>
      <c r="B684">
        <f>IF(COUNTIFS('United Data'!$A$3:$A$2150,B$1,'United Data'!$C$3:$C$2150,$A684,'United Data'!$B$3:$B$2150,"&lt;&gt;P")&gt;0,1,0)</f>
        <v>0</v>
      </c>
      <c r="C684">
        <f>IF(COUNTIFS('United Data'!$A$3:$A$2150,C$1,'United Data'!$C$3:$C$2150,$A684,'United Data'!$B$3:$B$2150,"&lt;&gt;P")&gt;0,1,0)</f>
        <v>0</v>
      </c>
      <c r="D684">
        <f>IF(COUNTIFS('United Data'!$A$3:$A$2150,D$1,'United Data'!$C$3:$C$2150,$A684,'United Data'!$B$3:$B$2150,"&lt;&gt;P")&gt;0,1,0)</f>
        <v>0</v>
      </c>
      <c r="E684">
        <f>IF(COUNTIFS('United Data'!$A$3:$A$2150,E$1,'United Data'!$C$3:$C$2150,$A684,'United Data'!$B$3:$B$2150,"&lt;&gt;P")&gt;0,1,0)</f>
        <v>0</v>
      </c>
      <c r="F684">
        <f>IF(COUNTIFS('United Data'!$A$3:$A$2150,F$1,'United Data'!$C$3:$C$2150,$A684,'United Data'!$B$3:$B$2150,"&lt;&gt;P")&gt;0,1,0)</f>
        <v>0</v>
      </c>
      <c r="G684">
        <f>IF(COUNTIFS('United Data'!$A$3:$A$2150,G$1,'United Data'!$C$3:$C$2150,$A684,'United Data'!$B$3:$B$2150,"&lt;&gt;P")&gt;0,1,0)</f>
        <v>0</v>
      </c>
      <c r="H684">
        <f>IF(COUNTIFS('United Data'!$A$3:$A$2150,H$1,'United Data'!$C$3:$C$2150,$A684,'United Data'!$B$3:$B$2150,"&lt;&gt;P")&gt;0,1,0)</f>
        <v>1</v>
      </c>
      <c r="I684">
        <f>IF(COUNTIFS('United Data'!$A$3:$A$2150,I$1,'United Data'!$C$3:$C$2150,$A684,'United Data'!$B$3:$B$2150,"&lt;&gt;P")&gt;0,1,0)</f>
        <v>0</v>
      </c>
      <c r="J684">
        <f>IF(COUNTIFS('United Data'!$A$3:$A$2150,J$1,'United Data'!$C$3:$C$2150,$A684,'United Data'!$B$3:$B$2150,"&lt;&gt;P")&gt;0,1,0)</f>
        <v>0</v>
      </c>
      <c r="K684">
        <f>IF(COUNTIFS('United Data'!$A$3:$A$2150,K$1,'United Data'!$C$3:$C$2150,$A684,'United Data'!$B$3:$B$2150,"&lt;&gt;P")&gt;0,1,0)</f>
        <v>0</v>
      </c>
      <c r="L684">
        <f>IF(COUNTIFS('United Data'!$A$3:$A$2150,L$1,'United Data'!$C$3:$C$2150,$A684,'United Data'!$B$3:$B$2150,"&lt;&gt;P")&gt;0,1,0)</f>
        <v>0</v>
      </c>
      <c r="M684">
        <f>IF(COUNTIFS('United Data'!$A$3:$A$2150,M$1,'United Data'!$C$3:$C$2150,$A684,'United Data'!$B$3:$B$2150,"&lt;&gt;P")&gt;0,1,0)</f>
        <v>0</v>
      </c>
      <c r="N684">
        <f>IF(COUNTIFS('United Data'!$A$3:$A$2150,N$1,'United Data'!$C$3:$C$2150,$A684,'United Data'!$B$3:$B$2150,"&lt;&gt;P")&gt;0,1,0)</f>
        <v>0</v>
      </c>
      <c r="O684">
        <f>IF(COUNTIFS('United Data'!$A$3:$A$2150,O$1,'United Data'!$C$3:$C$2150,$A684,'United Data'!$B$3:$B$2150,"&lt;&gt;P")&gt;0,1,0)</f>
        <v>0</v>
      </c>
      <c r="P684">
        <f>IF(COUNTIFS('United Data'!$A$3:$A$2150,P$1,'United Data'!$C$3:$C$2150,$A684,'United Data'!$B$3:$B$2150,"&lt;&gt;P")&gt;0,1,0)</f>
        <v>0</v>
      </c>
      <c r="Q684">
        <f>IF(COUNTIFS('United Data'!$A$3:$A$2150,Q$1,'United Data'!$C$3:$C$2150,$A684,'United Data'!$B$3:$B$2150,"&lt;&gt;P")&gt;0,1,0)</f>
        <v>0</v>
      </c>
      <c r="R684">
        <f>IF(COUNTIFS('United Data'!$A$3:$A$2150,R$1,'United Data'!$C$3:$C$2150,$A684,'United Data'!$B$3:$B$2150,"&lt;&gt;P")&gt;0,1,0)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731</v>
      </c>
      <c r="B685">
        <f>IF(COUNTIFS('United Data'!$A$3:$A$2150,B$1,'United Data'!$C$3:$C$2150,$A685,'United Data'!$B$3:$B$2150,"&lt;&gt;P")&gt;0,1,0)</f>
        <v>0</v>
      </c>
      <c r="C685">
        <f>IF(COUNTIFS('United Data'!$A$3:$A$2150,C$1,'United Data'!$C$3:$C$2150,$A685,'United Data'!$B$3:$B$2150,"&lt;&gt;P")&gt;0,1,0)</f>
        <v>0</v>
      </c>
      <c r="D685">
        <f>IF(COUNTIFS('United Data'!$A$3:$A$2150,D$1,'United Data'!$C$3:$C$2150,$A685,'United Data'!$B$3:$B$2150,"&lt;&gt;P")&gt;0,1,0)</f>
        <v>0</v>
      </c>
      <c r="E685">
        <f>IF(COUNTIFS('United Data'!$A$3:$A$2150,E$1,'United Data'!$C$3:$C$2150,$A685,'United Data'!$B$3:$B$2150,"&lt;&gt;P")&gt;0,1,0)</f>
        <v>0</v>
      </c>
      <c r="F685">
        <f>IF(COUNTIFS('United Data'!$A$3:$A$2150,F$1,'United Data'!$C$3:$C$2150,$A685,'United Data'!$B$3:$B$2150,"&lt;&gt;P")&gt;0,1,0)</f>
        <v>0</v>
      </c>
      <c r="G685">
        <f>IF(COUNTIFS('United Data'!$A$3:$A$2150,G$1,'United Data'!$C$3:$C$2150,$A685,'United Data'!$B$3:$B$2150,"&lt;&gt;P")&gt;0,1,0)</f>
        <v>0</v>
      </c>
      <c r="H685">
        <f>IF(COUNTIFS('United Data'!$A$3:$A$2150,H$1,'United Data'!$C$3:$C$2150,$A685,'United Data'!$B$3:$B$2150,"&lt;&gt;P")&gt;0,1,0)</f>
        <v>0</v>
      </c>
      <c r="I685">
        <f>IF(COUNTIFS('United Data'!$A$3:$A$2150,I$1,'United Data'!$C$3:$C$2150,$A685,'United Data'!$B$3:$B$2150,"&lt;&gt;P")&gt;0,1,0)</f>
        <v>1</v>
      </c>
      <c r="J685">
        <f>IF(COUNTIFS('United Data'!$A$3:$A$2150,J$1,'United Data'!$C$3:$C$2150,$A685,'United Data'!$B$3:$B$2150,"&lt;&gt;P")&gt;0,1,0)</f>
        <v>0</v>
      </c>
      <c r="K685">
        <f>IF(COUNTIFS('United Data'!$A$3:$A$2150,K$1,'United Data'!$C$3:$C$2150,$A685,'United Data'!$B$3:$B$2150,"&lt;&gt;P")&gt;0,1,0)</f>
        <v>0</v>
      </c>
      <c r="L685">
        <f>IF(COUNTIFS('United Data'!$A$3:$A$2150,L$1,'United Data'!$C$3:$C$2150,$A685,'United Data'!$B$3:$B$2150,"&lt;&gt;P")&gt;0,1,0)</f>
        <v>0</v>
      </c>
      <c r="M685">
        <f>IF(COUNTIFS('United Data'!$A$3:$A$2150,M$1,'United Data'!$C$3:$C$2150,$A685,'United Data'!$B$3:$B$2150,"&lt;&gt;P")&gt;0,1,0)</f>
        <v>0</v>
      </c>
      <c r="N685">
        <f>IF(COUNTIFS('United Data'!$A$3:$A$2150,N$1,'United Data'!$C$3:$C$2150,$A685,'United Data'!$B$3:$B$2150,"&lt;&gt;P")&gt;0,1,0)</f>
        <v>0</v>
      </c>
      <c r="O685">
        <f>IF(COUNTIFS('United Data'!$A$3:$A$2150,O$1,'United Data'!$C$3:$C$2150,$A685,'United Data'!$B$3:$B$2150,"&lt;&gt;P")&gt;0,1,0)</f>
        <v>0</v>
      </c>
      <c r="P685">
        <f>IF(COUNTIFS('United Data'!$A$3:$A$2150,P$1,'United Data'!$C$3:$C$2150,$A685,'United Data'!$B$3:$B$2150,"&lt;&gt;P")&gt;0,1,0)</f>
        <v>0</v>
      </c>
      <c r="Q685">
        <f>IF(COUNTIFS('United Data'!$A$3:$A$2150,Q$1,'United Data'!$C$3:$C$2150,$A685,'United Data'!$B$3:$B$2150,"&lt;&gt;P")&gt;0,1,0)</f>
        <v>0</v>
      </c>
      <c r="R685">
        <f>IF(COUNTIFS('United Data'!$A$3:$A$2150,R$1,'United Data'!$C$3:$C$2150,$A685,'United Data'!$B$3:$B$2150,"&lt;&gt;P")&gt;0,1,0)</f>
        <v>0</v>
      </c>
      <c r="S685">
        <f t="shared" si="20"/>
        <v>1</v>
      </c>
      <c r="T685">
        <f t="shared" si="21"/>
        <v>1</v>
      </c>
    </row>
    <row r="686" spans="1:20" x14ac:dyDescent="0.2">
      <c r="A686" t="s">
        <v>732</v>
      </c>
      <c r="B686">
        <f>IF(COUNTIFS('United Data'!$A$3:$A$2150,B$1,'United Data'!$C$3:$C$2150,$A686,'United Data'!$B$3:$B$2150,"&lt;&gt;P")&gt;0,1,0)</f>
        <v>0</v>
      </c>
      <c r="C686">
        <f>IF(COUNTIFS('United Data'!$A$3:$A$2150,C$1,'United Data'!$C$3:$C$2150,$A686,'United Data'!$B$3:$B$2150,"&lt;&gt;P")&gt;0,1,0)</f>
        <v>0</v>
      </c>
      <c r="D686">
        <f>IF(COUNTIFS('United Data'!$A$3:$A$2150,D$1,'United Data'!$C$3:$C$2150,$A686,'United Data'!$B$3:$B$2150,"&lt;&gt;P")&gt;0,1,0)</f>
        <v>0</v>
      </c>
      <c r="E686">
        <f>IF(COUNTIFS('United Data'!$A$3:$A$2150,E$1,'United Data'!$C$3:$C$2150,$A686,'United Data'!$B$3:$B$2150,"&lt;&gt;P")&gt;0,1,0)</f>
        <v>0</v>
      </c>
      <c r="F686">
        <f>IF(COUNTIFS('United Data'!$A$3:$A$2150,F$1,'United Data'!$C$3:$C$2150,$A686,'United Data'!$B$3:$B$2150,"&lt;&gt;P")&gt;0,1,0)</f>
        <v>0</v>
      </c>
      <c r="G686">
        <f>IF(COUNTIFS('United Data'!$A$3:$A$2150,G$1,'United Data'!$C$3:$C$2150,$A686,'United Data'!$B$3:$B$2150,"&lt;&gt;P")&gt;0,1,0)</f>
        <v>0</v>
      </c>
      <c r="H686">
        <f>IF(COUNTIFS('United Data'!$A$3:$A$2150,H$1,'United Data'!$C$3:$C$2150,$A686,'United Data'!$B$3:$B$2150,"&lt;&gt;P")&gt;0,1,0)</f>
        <v>0</v>
      </c>
      <c r="I686">
        <f>IF(COUNTIFS('United Data'!$A$3:$A$2150,I$1,'United Data'!$C$3:$C$2150,$A686,'United Data'!$B$3:$B$2150,"&lt;&gt;P")&gt;0,1,0)</f>
        <v>1</v>
      </c>
      <c r="J686">
        <f>IF(COUNTIFS('United Data'!$A$3:$A$2150,J$1,'United Data'!$C$3:$C$2150,$A686,'United Data'!$B$3:$B$2150,"&lt;&gt;P")&gt;0,1,0)</f>
        <v>0</v>
      </c>
      <c r="K686">
        <f>IF(COUNTIFS('United Data'!$A$3:$A$2150,K$1,'United Data'!$C$3:$C$2150,$A686,'United Data'!$B$3:$B$2150,"&lt;&gt;P")&gt;0,1,0)</f>
        <v>0</v>
      </c>
      <c r="L686">
        <f>IF(COUNTIFS('United Data'!$A$3:$A$2150,L$1,'United Data'!$C$3:$C$2150,$A686,'United Data'!$B$3:$B$2150,"&lt;&gt;P")&gt;0,1,0)</f>
        <v>0</v>
      </c>
      <c r="M686">
        <f>IF(COUNTIFS('United Data'!$A$3:$A$2150,M$1,'United Data'!$C$3:$C$2150,$A686,'United Data'!$B$3:$B$2150,"&lt;&gt;P")&gt;0,1,0)</f>
        <v>0</v>
      </c>
      <c r="N686">
        <f>IF(COUNTIFS('United Data'!$A$3:$A$2150,N$1,'United Data'!$C$3:$C$2150,$A686,'United Data'!$B$3:$B$2150,"&lt;&gt;P")&gt;0,1,0)</f>
        <v>0</v>
      </c>
      <c r="O686">
        <f>IF(COUNTIFS('United Data'!$A$3:$A$2150,O$1,'United Data'!$C$3:$C$2150,$A686,'United Data'!$B$3:$B$2150,"&lt;&gt;P")&gt;0,1,0)</f>
        <v>0</v>
      </c>
      <c r="P686">
        <f>IF(COUNTIFS('United Data'!$A$3:$A$2150,P$1,'United Data'!$C$3:$C$2150,$A686,'United Data'!$B$3:$B$2150,"&lt;&gt;P")&gt;0,1,0)</f>
        <v>0</v>
      </c>
      <c r="Q686">
        <f>IF(COUNTIFS('United Data'!$A$3:$A$2150,Q$1,'United Data'!$C$3:$C$2150,$A686,'United Data'!$B$3:$B$2150,"&lt;&gt;P")&gt;0,1,0)</f>
        <v>0</v>
      </c>
      <c r="R686">
        <f>IF(COUNTIFS('United Data'!$A$3:$A$2150,R$1,'United Data'!$C$3:$C$2150,$A686,'United Data'!$B$3:$B$2150,"&lt;&gt;P")&gt;0,1,0)</f>
        <v>0</v>
      </c>
      <c r="S686">
        <f t="shared" si="20"/>
        <v>1</v>
      </c>
      <c r="T686">
        <f t="shared" si="21"/>
        <v>1</v>
      </c>
    </row>
    <row r="687" spans="1:20" x14ac:dyDescent="0.2">
      <c r="A687" t="s">
        <v>733</v>
      </c>
      <c r="B687">
        <f>IF(COUNTIFS('United Data'!$A$3:$A$2150,B$1,'United Data'!$C$3:$C$2150,$A687,'United Data'!$B$3:$B$2150,"&lt;&gt;P")&gt;0,1,0)</f>
        <v>0</v>
      </c>
      <c r="C687">
        <f>IF(COUNTIFS('United Data'!$A$3:$A$2150,C$1,'United Data'!$C$3:$C$2150,$A687,'United Data'!$B$3:$B$2150,"&lt;&gt;P")&gt;0,1,0)</f>
        <v>0</v>
      </c>
      <c r="D687">
        <f>IF(COUNTIFS('United Data'!$A$3:$A$2150,D$1,'United Data'!$C$3:$C$2150,$A687,'United Data'!$B$3:$B$2150,"&lt;&gt;P")&gt;0,1,0)</f>
        <v>0</v>
      </c>
      <c r="E687">
        <f>IF(COUNTIFS('United Data'!$A$3:$A$2150,E$1,'United Data'!$C$3:$C$2150,$A687,'United Data'!$B$3:$B$2150,"&lt;&gt;P")&gt;0,1,0)</f>
        <v>0</v>
      </c>
      <c r="F687">
        <f>IF(COUNTIFS('United Data'!$A$3:$A$2150,F$1,'United Data'!$C$3:$C$2150,$A687,'United Data'!$B$3:$B$2150,"&lt;&gt;P")&gt;0,1,0)</f>
        <v>0</v>
      </c>
      <c r="G687">
        <f>IF(COUNTIFS('United Data'!$A$3:$A$2150,G$1,'United Data'!$C$3:$C$2150,$A687,'United Data'!$B$3:$B$2150,"&lt;&gt;P")&gt;0,1,0)</f>
        <v>0</v>
      </c>
      <c r="H687">
        <f>IF(COUNTIFS('United Data'!$A$3:$A$2150,H$1,'United Data'!$C$3:$C$2150,$A687,'United Data'!$B$3:$B$2150,"&lt;&gt;P")&gt;0,1,0)</f>
        <v>0</v>
      </c>
      <c r="I687">
        <f>IF(COUNTIFS('United Data'!$A$3:$A$2150,I$1,'United Data'!$C$3:$C$2150,$A687,'United Data'!$B$3:$B$2150,"&lt;&gt;P")&gt;0,1,0)</f>
        <v>1</v>
      </c>
      <c r="J687">
        <f>IF(COUNTIFS('United Data'!$A$3:$A$2150,J$1,'United Data'!$C$3:$C$2150,$A687,'United Data'!$B$3:$B$2150,"&lt;&gt;P")&gt;0,1,0)</f>
        <v>0</v>
      </c>
      <c r="K687">
        <f>IF(COUNTIFS('United Data'!$A$3:$A$2150,K$1,'United Data'!$C$3:$C$2150,$A687,'United Data'!$B$3:$B$2150,"&lt;&gt;P")&gt;0,1,0)</f>
        <v>0</v>
      </c>
      <c r="L687">
        <f>IF(COUNTIFS('United Data'!$A$3:$A$2150,L$1,'United Data'!$C$3:$C$2150,$A687,'United Data'!$B$3:$B$2150,"&lt;&gt;P")&gt;0,1,0)</f>
        <v>0</v>
      </c>
      <c r="M687">
        <f>IF(COUNTIFS('United Data'!$A$3:$A$2150,M$1,'United Data'!$C$3:$C$2150,$A687,'United Data'!$B$3:$B$2150,"&lt;&gt;P")&gt;0,1,0)</f>
        <v>0</v>
      </c>
      <c r="N687">
        <f>IF(COUNTIFS('United Data'!$A$3:$A$2150,N$1,'United Data'!$C$3:$C$2150,$A687,'United Data'!$B$3:$B$2150,"&lt;&gt;P")&gt;0,1,0)</f>
        <v>0</v>
      </c>
      <c r="O687">
        <f>IF(COUNTIFS('United Data'!$A$3:$A$2150,O$1,'United Data'!$C$3:$C$2150,$A687,'United Data'!$B$3:$B$2150,"&lt;&gt;P")&gt;0,1,0)</f>
        <v>0</v>
      </c>
      <c r="P687">
        <f>IF(COUNTIFS('United Data'!$A$3:$A$2150,P$1,'United Data'!$C$3:$C$2150,$A687,'United Data'!$B$3:$B$2150,"&lt;&gt;P")&gt;0,1,0)</f>
        <v>0</v>
      </c>
      <c r="Q687">
        <f>IF(COUNTIFS('United Data'!$A$3:$A$2150,Q$1,'United Data'!$C$3:$C$2150,$A687,'United Data'!$B$3:$B$2150,"&lt;&gt;P")&gt;0,1,0)</f>
        <v>0</v>
      </c>
      <c r="R687">
        <f>IF(COUNTIFS('United Data'!$A$3:$A$2150,R$1,'United Data'!$C$3:$C$2150,$A687,'United Data'!$B$3:$B$2150,"&lt;&gt;P")&gt;0,1,0)</f>
        <v>0</v>
      </c>
      <c r="S687">
        <f t="shared" si="20"/>
        <v>1</v>
      </c>
      <c r="T687">
        <f t="shared" si="21"/>
        <v>1</v>
      </c>
    </row>
    <row r="688" spans="1:20" x14ac:dyDescent="0.2">
      <c r="A688" t="s">
        <v>734</v>
      </c>
      <c r="B688">
        <f>IF(COUNTIFS('United Data'!$A$3:$A$2150,B$1,'United Data'!$C$3:$C$2150,$A688,'United Data'!$B$3:$B$2150,"&lt;&gt;P")&gt;0,1,0)</f>
        <v>0</v>
      </c>
      <c r="C688">
        <f>IF(COUNTIFS('United Data'!$A$3:$A$2150,C$1,'United Data'!$C$3:$C$2150,$A688,'United Data'!$B$3:$B$2150,"&lt;&gt;P")&gt;0,1,0)</f>
        <v>0</v>
      </c>
      <c r="D688">
        <f>IF(COUNTIFS('United Data'!$A$3:$A$2150,D$1,'United Data'!$C$3:$C$2150,$A688,'United Data'!$B$3:$B$2150,"&lt;&gt;P")&gt;0,1,0)</f>
        <v>0</v>
      </c>
      <c r="E688">
        <f>IF(COUNTIFS('United Data'!$A$3:$A$2150,E$1,'United Data'!$C$3:$C$2150,$A688,'United Data'!$B$3:$B$2150,"&lt;&gt;P")&gt;0,1,0)</f>
        <v>0</v>
      </c>
      <c r="F688">
        <f>IF(COUNTIFS('United Data'!$A$3:$A$2150,F$1,'United Data'!$C$3:$C$2150,$A688,'United Data'!$B$3:$B$2150,"&lt;&gt;P")&gt;0,1,0)</f>
        <v>0</v>
      </c>
      <c r="G688">
        <f>IF(COUNTIFS('United Data'!$A$3:$A$2150,G$1,'United Data'!$C$3:$C$2150,$A688,'United Data'!$B$3:$B$2150,"&lt;&gt;P")&gt;0,1,0)</f>
        <v>0</v>
      </c>
      <c r="H688">
        <f>IF(COUNTIFS('United Data'!$A$3:$A$2150,H$1,'United Data'!$C$3:$C$2150,$A688,'United Data'!$B$3:$B$2150,"&lt;&gt;P")&gt;0,1,0)</f>
        <v>0</v>
      </c>
      <c r="I688">
        <f>IF(COUNTIFS('United Data'!$A$3:$A$2150,I$1,'United Data'!$C$3:$C$2150,$A688,'United Data'!$B$3:$B$2150,"&lt;&gt;P")&gt;0,1,0)</f>
        <v>1</v>
      </c>
      <c r="J688">
        <f>IF(COUNTIFS('United Data'!$A$3:$A$2150,J$1,'United Data'!$C$3:$C$2150,$A688,'United Data'!$B$3:$B$2150,"&lt;&gt;P")&gt;0,1,0)</f>
        <v>1</v>
      </c>
      <c r="K688">
        <f>IF(COUNTIFS('United Data'!$A$3:$A$2150,K$1,'United Data'!$C$3:$C$2150,$A688,'United Data'!$B$3:$B$2150,"&lt;&gt;P")&gt;0,1,0)</f>
        <v>0</v>
      </c>
      <c r="L688">
        <f>IF(COUNTIFS('United Data'!$A$3:$A$2150,L$1,'United Data'!$C$3:$C$2150,$A688,'United Data'!$B$3:$B$2150,"&lt;&gt;P")&gt;0,1,0)</f>
        <v>0</v>
      </c>
      <c r="M688">
        <f>IF(COUNTIFS('United Data'!$A$3:$A$2150,M$1,'United Data'!$C$3:$C$2150,$A688,'United Data'!$B$3:$B$2150,"&lt;&gt;P")&gt;0,1,0)</f>
        <v>0</v>
      </c>
      <c r="N688">
        <f>IF(COUNTIFS('United Data'!$A$3:$A$2150,N$1,'United Data'!$C$3:$C$2150,$A688,'United Data'!$B$3:$B$2150,"&lt;&gt;P")&gt;0,1,0)</f>
        <v>0</v>
      </c>
      <c r="O688">
        <f>IF(COUNTIFS('United Data'!$A$3:$A$2150,O$1,'United Data'!$C$3:$C$2150,$A688,'United Data'!$B$3:$B$2150,"&lt;&gt;P")&gt;0,1,0)</f>
        <v>0</v>
      </c>
      <c r="P688">
        <f>IF(COUNTIFS('United Data'!$A$3:$A$2150,P$1,'United Data'!$C$3:$C$2150,$A688,'United Data'!$B$3:$B$2150,"&lt;&gt;P")&gt;0,1,0)</f>
        <v>0</v>
      </c>
      <c r="Q688">
        <f>IF(COUNTIFS('United Data'!$A$3:$A$2150,Q$1,'United Data'!$C$3:$C$2150,$A688,'United Data'!$B$3:$B$2150,"&lt;&gt;P")&gt;0,1,0)</f>
        <v>0</v>
      </c>
      <c r="R688">
        <f>IF(COUNTIFS('United Data'!$A$3:$A$2150,R$1,'United Data'!$C$3:$C$2150,$A688,'United Data'!$B$3:$B$2150,"&lt;&gt;P")&gt;0,1,0)</f>
        <v>0</v>
      </c>
      <c r="S688">
        <f t="shared" si="20"/>
        <v>2</v>
      </c>
      <c r="T688">
        <f t="shared" si="21"/>
        <v>1</v>
      </c>
    </row>
    <row r="689" spans="1:20" x14ac:dyDescent="0.2">
      <c r="A689" t="s">
        <v>735</v>
      </c>
      <c r="B689">
        <f>IF(COUNTIFS('United Data'!$A$3:$A$2150,B$1,'United Data'!$C$3:$C$2150,$A689,'United Data'!$B$3:$B$2150,"&lt;&gt;P")&gt;0,1,0)</f>
        <v>0</v>
      </c>
      <c r="C689">
        <f>IF(COUNTIFS('United Data'!$A$3:$A$2150,C$1,'United Data'!$C$3:$C$2150,$A689,'United Data'!$B$3:$B$2150,"&lt;&gt;P")&gt;0,1,0)</f>
        <v>0</v>
      </c>
      <c r="D689">
        <f>IF(COUNTIFS('United Data'!$A$3:$A$2150,D$1,'United Data'!$C$3:$C$2150,$A689,'United Data'!$B$3:$B$2150,"&lt;&gt;P")&gt;0,1,0)</f>
        <v>0</v>
      </c>
      <c r="E689">
        <f>IF(COUNTIFS('United Data'!$A$3:$A$2150,E$1,'United Data'!$C$3:$C$2150,$A689,'United Data'!$B$3:$B$2150,"&lt;&gt;P")&gt;0,1,0)</f>
        <v>0</v>
      </c>
      <c r="F689">
        <f>IF(COUNTIFS('United Data'!$A$3:$A$2150,F$1,'United Data'!$C$3:$C$2150,$A689,'United Data'!$B$3:$B$2150,"&lt;&gt;P")&gt;0,1,0)</f>
        <v>0</v>
      </c>
      <c r="G689">
        <f>IF(COUNTIFS('United Data'!$A$3:$A$2150,G$1,'United Data'!$C$3:$C$2150,$A689,'United Data'!$B$3:$B$2150,"&lt;&gt;P")&gt;0,1,0)</f>
        <v>0</v>
      </c>
      <c r="H689">
        <f>IF(COUNTIFS('United Data'!$A$3:$A$2150,H$1,'United Data'!$C$3:$C$2150,$A689,'United Data'!$B$3:$B$2150,"&lt;&gt;P")&gt;0,1,0)</f>
        <v>0</v>
      </c>
      <c r="I689">
        <f>IF(COUNTIFS('United Data'!$A$3:$A$2150,I$1,'United Data'!$C$3:$C$2150,$A689,'United Data'!$B$3:$B$2150,"&lt;&gt;P")&gt;0,1,0)</f>
        <v>1</v>
      </c>
      <c r="J689">
        <f>IF(COUNTIFS('United Data'!$A$3:$A$2150,J$1,'United Data'!$C$3:$C$2150,$A689,'United Data'!$B$3:$B$2150,"&lt;&gt;P")&gt;0,1,0)</f>
        <v>0</v>
      </c>
      <c r="K689">
        <f>IF(COUNTIFS('United Data'!$A$3:$A$2150,K$1,'United Data'!$C$3:$C$2150,$A689,'United Data'!$B$3:$B$2150,"&lt;&gt;P")&gt;0,1,0)</f>
        <v>0</v>
      </c>
      <c r="L689">
        <f>IF(COUNTIFS('United Data'!$A$3:$A$2150,L$1,'United Data'!$C$3:$C$2150,$A689,'United Data'!$B$3:$B$2150,"&lt;&gt;P")&gt;0,1,0)</f>
        <v>0</v>
      </c>
      <c r="M689">
        <f>IF(COUNTIFS('United Data'!$A$3:$A$2150,M$1,'United Data'!$C$3:$C$2150,$A689,'United Data'!$B$3:$B$2150,"&lt;&gt;P")&gt;0,1,0)</f>
        <v>0</v>
      </c>
      <c r="N689">
        <f>IF(COUNTIFS('United Data'!$A$3:$A$2150,N$1,'United Data'!$C$3:$C$2150,$A689,'United Data'!$B$3:$B$2150,"&lt;&gt;P")&gt;0,1,0)</f>
        <v>0</v>
      </c>
      <c r="O689">
        <f>IF(COUNTIFS('United Data'!$A$3:$A$2150,O$1,'United Data'!$C$3:$C$2150,$A689,'United Data'!$B$3:$B$2150,"&lt;&gt;P")&gt;0,1,0)</f>
        <v>0</v>
      </c>
      <c r="P689">
        <f>IF(COUNTIFS('United Data'!$A$3:$A$2150,P$1,'United Data'!$C$3:$C$2150,$A689,'United Data'!$B$3:$B$2150,"&lt;&gt;P")&gt;0,1,0)</f>
        <v>0</v>
      </c>
      <c r="Q689">
        <f>IF(COUNTIFS('United Data'!$A$3:$A$2150,Q$1,'United Data'!$C$3:$C$2150,$A689,'United Data'!$B$3:$B$2150,"&lt;&gt;P")&gt;0,1,0)</f>
        <v>0</v>
      </c>
      <c r="R689">
        <f>IF(COUNTIFS('United Data'!$A$3:$A$2150,R$1,'United Data'!$C$3:$C$2150,$A689,'United Data'!$B$3:$B$2150,"&lt;&gt;P")&gt;0,1,0)</f>
        <v>0</v>
      </c>
      <c r="S689">
        <f t="shared" si="20"/>
        <v>1</v>
      </c>
      <c r="T689">
        <f t="shared" si="21"/>
        <v>1</v>
      </c>
    </row>
    <row r="690" spans="1:20" x14ac:dyDescent="0.2">
      <c r="A690" t="s">
        <v>736</v>
      </c>
      <c r="B690">
        <f>IF(COUNTIFS('United Data'!$A$3:$A$2150,B$1,'United Data'!$C$3:$C$2150,$A690,'United Data'!$B$3:$B$2150,"&lt;&gt;P")&gt;0,1,0)</f>
        <v>0</v>
      </c>
      <c r="C690">
        <f>IF(COUNTIFS('United Data'!$A$3:$A$2150,C$1,'United Data'!$C$3:$C$2150,$A690,'United Data'!$B$3:$B$2150,"&lt;&gt;P")&gt;0,1,0)</f>
        <v>0</v>
      </c>
      <c r="D690">
        <f>IF(COUNTIFS('United Data'!$A$3:$A$2150,D$1,'United Data'!$C$3:$C$2150,$A690,'United Data'!$B$3:$B$2150,"&lt;&gt;P")&gt;0,1,0)</f>
        <v>0</v>
      </c>
      <c r="E690">
        <f>IF(COUNTIFS('United Data'!$A$3:$A$2150,E$1,'United Data'!$C$3:$C$2150,$A690,'United Data'!$B$3:$B$2150,"&lt;&gt;P")&gt;0,1,0)</f>
        <v>0</v>
      </c>
      <c r="F690">
        <f>IF(COUNTIFS('United Data'!$A$3:$A$2150,F$1,'United Data'!$C$3:$C$2150,$A690,'United Data'!$B$3:$B$2150,"&lt;&gt;P")&gt;0,1,0)</f>
        <v>0</v>
      </c>
      <c r="G690">
        <f>IF(COUNTIFS('United Data'!$A$3:$A$2150,G$1,'United Data'!$C$3:$C$2150,$A690,'United Data'!$B$3:$B$2150,"&lt;&gt;P")&gt;0,1,0)</f>
        <v>0</v>
      </c>
      <c r="H690">
        <f>IF(COUNTIFS('United Data'!$A$3:$A$2150,H$1,'United Data'!$C$3:$C$2150,$A690,'United Data'!$B$3:$B$2150,"&lt;&gt;P")&gt;0,1,0)</f>
        <v>0</v>
      </c>
      <c r="I690">
        <f>IF(COUNTIFS('United Data'!$A$3:$A$2150,I$1,'United Data'!$C$3:$C$2150,$A690,'United Data'!$B$3:$B$2150,"&lt;&gt;P")&gt;0,1,0)</f>
        <v>0</v>
      </c>
      <c r="J690">
        <f>IF(COUNTIFS('United Data'!$A$3:$A$2150,J$1,'United Data'!$C$3:$C$2150,$A690,'United Data'!$B$3:$B$2150,"&lt;&gt;P")&gt;0,1,0)</f>
        <v>1</v>
      </c>
      <c r="K690">
        <f>IF(COUNTIFS('United Data'!$A$3:$A$2150,K$1,'United Data'!$C$3:$C$2150,$A690,'United Data'!$B$3:$B$2150,"&lt;&gt;P")&gt;0,1,0)</f>
        <v>0</v>
      </c>
      <c r="L690">
        <f>IF(COUNTIFS('United Data'!$A$3:$A$2150,L$1,'United Data'!$C$3:$C$2150,$A690,'United Data'!$B$3:$B$2150,"&lt;&gt;P")&gt;0,1,0)</f>
        <v>0</v>
      </c>
      <c r="M690">
        <f>IF(COUNTIFS('United Data'!$A$3:$A$2150,M$1,'United Data'!$C$3:$C$2150,$A690,'United Data'!$B$3:$B$2150,"&lt;&gt;P")&gt;0,1,0)</f>
        <v>0</v>
      </c>
      <c r="N690">
        <f>IF(COUNTIFS('United Data'!$A$3:$A$2150,N$1,'United Data'!$C$3:$C$2150,$A690,'United Data'!$B$3:$B$2150,"&lt;&gt;P")&gt;0,1,0)</f>
        <v>0</v>
      </c>
      <c r="O690">
        <f>IF(COUNTIFS('United Data'!$A$3:$A$2150,O$1,'United Data'!$C$3:$C$2150,$A690,'United Data'!$B$3:$B$2150,"&lt;&gt;P")&gt;0,1,0)</f>
        <v>0</v>
      </c>
      <c r="P690">
        <f>IF(COUNTIFS('United Data'!$A$3:$A$2150,P$1,'United Data'!$C$3:$C$2150,$A690,'United Data'!$B$3:$B$2150,"&lt;&gt;P")&gt;0,1,0)</f>
        <v>0</v>
      </c>
      <c r="Q690">
        <f>IF(COUNTIFS('United Data'!$A$3:$A$2150,Q$1,'United Data'!$C$3:$C$2150,$A690,'United Data'!$B$3:$B$2150,"&lt;&gt;P")&gt;0,1,0)</f>
        <v>0</v>
      </c>
      <c r="R690">
        <f>IF(COUNTIFS('United Data'!$A$3:$A$2150,R$1,'United Data'!$C$3:$C$2150,$A690,'United Data'!$B$3:$B$2150,"&lt;&gt;P")&gt;0,1,0)</f>
        <v>0</v>
      </c>
      <c r="S690">
        <f t="shared" si="20"/>
        <v>1</v>
      </c>
      <c r="T690">
        <f t="shared" si="21"/>
        <v>1</v>
      </c>
    </row>
    <row r="691" spans="1:20" x14ac:dyDescent="0.2">
      <c r="A691" t="s">
        <v>737</v>
      </c>
      <c r="B691">
        <f>IF(COUNTIFS('United Data'!$A$3:$A$2150,B$1,'United Data'!$C$3:$C$2150,$A691,'United Data'!$B$3:$B$2150,"&lt;&gt;P")&gt;0,1,0)</f>
        <v>0</v>
      </c>
      <c r="C691">
        <f>IF(COUNTIFS('United Data'!$A$3:$A$2150,C$1,'United Data'!$C$3:$C$2150,$A691,'United Data'!$B$3:$B$2150,"&lt;&gt;P")&gt;0,1,0)</f>
        <v>0</v>
      </c>
      <c r="D691">
        <f>IF(COUNTIFS('United Data'!$A$3:$A$2150,D$1,'United Data'!$C$3:$C$2150,$A691,'United Data'!$B$3:$B$2150,"&lt;&gt;P")&gt;0,1,0)</f>
        <v>0</v>
      </c>
      <c r="E691">
        <f>IF(COUNTIFS('United Data'!$A$3:$A$2150,E$1,'United Data'!$C$3:$C$2150,$A691,'United Data'!$B$3:$B$2150,"&lt;&gt;P")&gt;0,1,0)</f>
        <v>0</v>
      </c>
      <c r="F691">
        <f>IF(COUNTIFS('United Data'!$A$3:$A$2150,F$1,'United Data'!$C$3:$C$2150,$A691,'United Data'!$B$3:$B$2150,"&lt;&gt;P")&gt;0,1,0)</f>
        <v>0</v>
      </c>
      <c r="G691">
        <f>IF(COUNTIFS('United Data'!$A$3:$A$2150,G$1,'United Data'!$C$3:$C$2150,$A691,'United Data'!$B$3:$B$2150,"&lt;&gt;P")&gt;0,1,0)</f>
        <v>0</v>
      </c>
      <c r="H691">
        <f>IF(COUNTIFS('United Data'!$A$3:$A$2150,H$1,'United Data'!$C$3:$C$2150,$A691,'United Data'!$B$3:$B$2150,"&lt;&gt;P")&gt;0,1,0)</f>
        <v>0</v>
      </c>
      <c r="I691">
        <f>IF(COUNTIFS('United Data'!$A$3:$A$2150,I$1,'United Data'!$C$3:$C$2150,$A691,'United Data'!$B$3:$B$2150,"&lt;&gt;P")&gt;0,1,0)</f>
        <v>0</v>
      </c>
      <c r="J691">
        <f>IF(COUNTIFS('United Data'!$A$3:$A$2150,J$1,'United Data'!$C$3:$C$2150,$A691,'United Data'!$B$3:$B$2150,"&lt;&gt;P")&gt;0,1,0)</f>
        <v>1</v>
      </c>
      <c r="K691">
        <f>IF(COUNTIFS('United Data'!$A$3:$A$2150,K$1,'United Data'!$C$3:$C$2150,$A691,'United Data'!$B$3:$B$2150,"&lt;&gt;P")&gt;0,1,0)</f>
        <v>0</v>
      </c>
      <c r="L691">
        <f>IF(COUNTIFS('United Data'!$A$3:$A$2150,L$1,'United Data'!$C$3:$C$2150,$A691,'United Data'!$B$3:$B$2150,"&lt;&gt;P")&gt;0,1,0)</f>
        <v>0</v>
      </c>
      <c r="M691">
        <f>IF(COUNTIFS('United Data'!$A$3:$A$2150,M$1,'United Data'!$C$3:$C$2150,$A691,'United Data'!$B$3:$B$2150,"&lt;&gt;P")&gt;0,1,0)</f>
        <v>0</v>
      </c>
      <c r="N691">
        <f>IF(COUNTIFS('United Data'!$A$3:$A$2150,N$1,'United Data'!$C$3:$C$2150,$A691,'United Data'!$B$3:$B$2150,"&lt;&gt;P")&gt;0,1,0)</f>
        <v>0</v>
      </c>
      <c r="O691">
        <f>IF(COUNTIFS('United Data'!$A$3:$A$2150,O$1,'United Data'!$C$3:$C$2150,$A691,'United Data'!$B$3:$B$2150,"&lt;&gt;P")&gt;0,1,0)</f>
        <v>0</v>
      </c>
      <c r="P691">
        <f>IF(COUNTIFS('United Data'!$A$3:$A$2150,P$1,'United Data'!$C$3:$C$2150,$A691,'United Data'!$B$3:$B$2150,"&lt;&gt;P")&gt;0,1,0)</f>
        <v>0</v>
      </c>
      <c r="Q691">
        <f>IF(COUNTIFS('United Data'!$A$3:$A$2150,Q$1,'United Data'!$C$3:$C$2150,$A691,'United Data'!$B$3:$B$2150,"&lt;&gt;P")&gt;0,1,0)</f>
        <v>0</v>
      </c>
      <c r="R691">
        <f>IF(COUNTIFS('United Data'!$A$3:$A$2150,R$1,'United Data'!$C$3:$C$2150,$A691,'United Data'!$B$3:$B$2150,"&lt;&gt;P")&gt;0,1,0)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738</v>
      </c>
      <c r="B692">
        <f>IF(COUNTIFS('United Data'!$A$3:$A$2150,B$1,'United Data'!$C$3:$C$2150,$A692,'United Data'!$B$3:$B$2150,"&lt;&gt;P")&gt;0,1,0)</f>
        <v>0</v>
      </c>
      <c r="C692">
        <f>IF(COUNTIFS('United Data'!$A$3:$A$2150,C$1,'United Data'!$C$3:$C$2150,$A692,'United Data'!$B$3:$B$2150,"&lt;&gt;P")&gt;0,1,0)</f>
        <v>0</v>
      </c>
      <c r="D692">
        <f>IF(COUNTIFS('United Data'!$A$3:$A$2150,D$1,'United Data'!$C$3:$C$2150,$A692,'United Data'!$B$3:$B$2150,"&lt;&gt;P")&gt;0,1,0)</f>
        <v>0</v>
      </c>
      <c r="E692">
        <f>IF(COUNTIFS('United Data'!$A$3:$A$2150,E$1,'United Data'!$C$3:$C$2150,$A692,'United Data'!$B$3:$B$2150,"&lt;&gt;P")&gt;0,1,0)</f>
        <v>0</v>
      </c>
      <c r="F692">
        <f>IF(COUNTIFS('United Data'!$A$3:$A$2150,F$1,'United Data'!$C$3:$C$2150,$A692,'United Data'!$B$3:$B$2150,"&lt;&gt;P")&gt;0,1,0)</f>
        <v>0</v>
      </c>
      <c r="G692">
        <f>IF(COUNTIFS('United Data'!$A$3:$A$2150,G$1,'United Data'!$C$3:$C$2150,$A692,'United Data'!$B$3:$B$2150,"&lt;&gt;P")&gt;0,1,0)</f>
        <v>0</v>
      </c>
      <c r="H692">
        <f>IF(COUNTIFS('United Data'!$A$3:$A$2150,H$1,'United Data'!$C$3:$C$2150,$A692,'United Data'!$B$3:$B$2150,"&lt;&gt;P")&gt;0,1,0)</f>
        <v>0</v>
      </c>
      <c r="I692">
        <f>IF(COUNTIFS('United Data'!$A$3:$A$2150,I$1,'United Data'!$C$3:$C$2150,$A692,'United Data'!$B$3:$B$2150,"&lt;&gt;P")&gt;0,1,0)</f>
        <v>0</v>
      </c>
      <c r="J692">
        <f>IF(COUNTIFS('United Data'!$A$3:$A$2150,J$1,'United Data'!$C$3:$C$2150,$A692,'United Data'!$B$3:$B$2150,"&lt;&gt;P")&gt;0,1,0)</f>
        <v>1</v>
      </c>
      <c r="K692">
        <f>IF(COUNTIFS('United Data'!$A$3:$A$2150,K$1,'United Data'!$C$3:$C$2150,$A692,'United Data'!$B$3:$B$2150,"&lt;&gt;P")&gt;0,1,0)</f>
        <v>0</v>
      </c>
      <c r="L692">
        <f>IF(COUNTIFS('United Data'!$A$3:$A$2150,L$1,'United Data'!$C$3:$C$2150,$A692,'United Data'!$B$3:$B$2150,"&lt;&gt;P")&gt;0,1,0)</f>
        <v>0</v>
      </c>
      <c r="M692">
        <f>IF(COUNTIFS('United Data'!$A$3:$A$2150,M$1,'United Data'!$C$3:$C$2150,$A692,'United Data'!$B$3:$B$2150,"&lt;&gt;P")&gt;0,1,0)</f>
        <v>0</v>
      </c>
      <c r="N692">
        <f>IF(COUNTIFS('United Data'!$A$3:$A$2150,N$1,'United Data'!$C$3:$C$2150,$A692,'United Data'!$B$3:$B$2150,"&lt;&gt;P")&gt;0,1,0)</f>
        <v>0</v>
      </c>
      <c r="O692">
        <f>IF(COUNTIFS('United Data'!$A$3:$A$2150,O$1,'United Data'!$C$3:$C$2150,$A692,'United Data'!$B$3:$B$2150,"&lt;&gt;P")&gt;0,1,0)</f>
        <v>0</v>
      </c>
      <c r="P692">
        <f>IF(COUNTIFS('United Data'!$A$3:$A$2150,P$1,'United Data'!$C$3:$C$2150,$A692,'United Data'!$B$3:$B$2150,"&lt;&gt;P")&gt;0,1,0)</f>
        <v>0</v>
      </c>
      <c r="Q692">
        <f>IF(COUNTIFS('United Data'!$A$3:$A$2150,Q$1,'United Data'!$C$3:$C$2150,$A692,'United Data'!$B$3:$B$2150,"&lt;&gt;P")&gt;0,1,0)</f>
        <v>0</v>
      </c>
      <c r="R692">
        <f>IF(COUNTIFS('United Data'!$A$3:$A$2150,R$1,'United Data'!$C$3:$C$2150,$A692,'United Data'!$B$3:$B$2150,"&lt;&gt;P")&gt;0,1,0)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739</v>
      </c>
      <c r="B693">
        <f>IF(COUNTIFS('United Data'!$A$3:$A$2150,B$1,'United Data'!$C$3:$C$2150,$A693,'United Data'!$B$3:$B$2150,"&lt;&gt;P")&gt;0,1,0)</f>
        <v>0</v>
      </c>
      <c r="C693">
        <f>IF(COUNTIFS('United Data'!$A$3:$A$2150,C$1,'United Data'!$C$3:$C$2150,$A693,'United Data'!$B$3:$B$2150,"&lt;&gt;P")&gt;0,1,0)</f>
        <v>0</v>
      </c>
      <c r="D693">
        <f>IF(COUNTIFS('United Data'!$A$3:$A$2150,D$1,'United Data'!$C$3:$C$2150,$A693,'United Data'!$B$3:$B$2150,"&lt;&gt;P")&gt;0,1,0)</f>
        <v>0</v>
      </c>
      <c r="E693">
        <f>IF(COUNTIFS('United Data'!$A$3:$A$2150,E$1,'United Data'!$C$3:$C$2150,$A693,'United Data'!$B$3:$B$2150,"&lt;&gt;P")&gt;0,1,0)</f>
        <v>0</v>
      </c>
      <c r="F693">
        <f>IF(COUNTIFS('United Data'!$A$3:$A$2150,F$1,'United Data'!$C$3:$C$2150,$A693,'United Data'!$B$3:$B$2150,"&lt;&gt;P")&gt;0,1,0)</f>
        <v>0</v>
      </c>
      <c r="G693">
        <f>IF(COUNTIFS('United Data'!$A$3:$A$2150,G$1,'United Data'!$C$3:$C$2150,$A693,'United Data'!$B$3:$B$2150,"&lt;&gt;P")&gt;0,1,0)</f>
        <v>0</v>
      </c>
      <c r="H693">
        <f>IF(COUNTIFS('United Data'!$A$3:$A$2150,H$1,'United Data'!$C$3:$C$2150,$A693,'United Data'!$B$3:$B$2150,"&lt;&gt;P")&gt;0,1,0)</f>
        <v>0</v>
      </c>
      <c r="I693">
        <f>IF(COUNTIFS('United Data'!$A$3:$A$2150,I$1,'United Data'!$C$3:$C$2150,$A693,'United Data'!$B$3:$B$2150,"&lt;&gt;P")&gt;0,1,0)</f>
        <v>0</v>
      </c>
      <c r="J693">
        <f>IF(COUNTIFS('United Data'!$A$3:$A$2150,J$1,'United Data'!$C$3:$C$2150,$A693,'United Data'!$B$3:$B$2150,"&lt;&gt;P")&gt;0,1,0)</f>
        <v>1</v>
      </c>
      <c r="K693">
        <f>IF(COUNTIFS('United Data'!$A$3:$A$2150,K$1,'United Data'!$C$3:$C$2150,$A693,'United Data'!$B$3:$B$2150,"&lt;&gt;P")&gt;0,1,0)</f>
        <v>0</v>
      </c>
      <c r="L693">
        <f>IF(COUNTIFS('United Data'!$A$3:$A$2150,L$1,'United Data'!$C$3:$C$2150,$A693,'United Data'!$B$3:$B$2150,"&lt;&gt;P")&gt;0,1,0)</f>
        <v>0</v>
      </c>
      <c r="M693">
        <f>IF(COUNTIFS('United Data'!$A$3:$A$2150,M$1,'United Data'!$C$3:$C$2150,$A693,'United Data'!$B$3:$B$2150,"&lt;&gt;P")&gt;0,1,0)</f>
        <v>0</v>
      </c>
      <c r="N693">
        <f>IF(COUNTIFS('United Data'!$A$3:$A$2150,N$1,'United Data'!$C$3:$C$2150,$A693,'United Data'!$B$3:$B$2150,"&lt;&gt;P")&gt;0,1,0)</f>
        <v>0</v>
      </c>
      <c r="O693">
        <f>IF(COUNTIFS('United Data'!$A$3:$A$2150,O$1,'United Data'!$C$3:$C$2150,$A693,'United Data'!$B$3:$B$2150,"&lt;&gt;P")&gt;0,1,0)</f>
        <v>0</v>
      </c>
      <c r="P693">
        <f>IF(COUNTIFS('United Data'!$A$3:$A$2150,P$1,'United Data'!$C$3:$C$2150,$A693,'United Data'!$B$3:$B$2150,"&lt;&gt;P")&gt;0,1,0)</f>
        <v>0</v>
      </c>
      <c r="Q693">
        <f>IF(COUNTIFS('United Data'!$A$3:$A$2150,Q$1,'United Data'!$C$3:$C$2150,$A693,'United Data'!$B$3:$B$2150,"&lt;&gt;P")&gt;0,1,0)</f>
        <v>0</v>
      </c>
      <c r="R693">
        <f>IF(COUNTIFS('United Data'!$A$3:$A$2150,R$1,'United Data'!$C$3:$C$2150,$A693,'United Data'!$B$3:$B$2150,"&lt;&gt;P")&gt;0,1,0)</f>
        <v>0</v>
      </c>
      <c r="S693">
        <f t="shared" si="20"/>
        <v>1</v>
      </c>
      <c r="T693">
        <f t="shared" si="21"/>
        <v>1</v>
      </c>
    </row>
    <row r="694" spans="1:20" x14ac:dyDescent="0.2">
      <c r="A694" t="s">
        <v>740</v>
      </c>
      <c r="B694">
        <f>IF(COUNTIFS('United Data'!$A$3:$A$2150,B$1,'United Data'!$C$3:$C$2150,$A694,'United Data'!$B$3:$B$2150,"&lt;&gt;P")&gt;0,1,0)</f>
        <v>0</v>
      </c>
      <c r="C694">
        <f>IF(COUNTIFS('United Data'!$A$3:$A$2150,C$1,'United Data'!$C$3:$C$2150,$A694,'United Data'!$B$3:$B$2150,"&lt;&gt;P")&gt;0,1,0)</f>
        <v>0</v>
      </c>
      <c r="D694">
        <f>IF(COUNTIFS('United Data'!$A$3:$A$2150,D$1,'United Data'!$C$3:$C$2150,$A694,'United Data'!$B$3:$B$2150,"&lt;&gt;P")&gt;0,1,0)</f>
        <v>0</v>
      </c>
      <c r="E694">
        <f>IF(COUNTIFS('United Data'!$A$3:$A$2150,E$1,'United Data'!$C$3:$C$2150,$A694,'United Data'!$B$3:$B$2150,"&lt;&gt;P")&gt;0,1,0)</f>
        <v>0</v>
      </c>
      <c r="F694">
        <f>IF(COUNTIFS('United Data'!$A$3:$A$2150,F$1,'United Data'!$C$3:$C$2150,$A694,'United Data'!$B$3:$B$2150,"&lt;&gt;P")&gt;0,1,0)</f>
        <v>0</v>
      </c>
      <c r="G694">
        <f>IF(COUNTIFS('United Data'!$A$3:$A$2150,G$1,'United Data'!$C$3:$C$2150,$A694,'United Data'!$B$3:$B$2150,"&lt;&gt;P")&gt;0,1,0)</f>
        <v>0</v>
      </c>
      <c r="H694">
        <f>IF(COUNTIFS('United Data'!$A$3:$A$2150,H$1,'United Data'!$C$3:$C$2150,$A694,'United Data'!$B$3:$B$2150,"&lt;&gt;P")&gt;0,1,0)</f>
        <v>0</v>
      </c>
      <c r="I694">
        <f>IF(COUNTIFS('United Data'!$A$3:$A$2150,I$1,'United Data'!$C$3:$C$2150,$A694,'United Data'!$B$3:$B$2150,"&lt;&gt;P")&gt;0,1,0)</f>
        <v>0</v>
      </c>
      <c r="J694">
        <f>IF(COUNTIFS('United Data'!$A$3:$A$2150,J$1,'United Data'!$C$3:$C$2150,$A694,'United Data'!$B$3:$B$2150,"&lt;&gt;P")&gt;0,1,0)</f>
        <v>1</v>
      </c>
      <c r="K694">
        <f>IF(COUNTIFS('United Data'!$A$3:$A$2150,K$1,'United Data'!$C$3:$C$2150,$A694,'United Data'!$B$3:$B$2150,"&lt;&gt;P")&gt;0,1,0)</f>
        <v>0</v>
      </c>
      <c r="L694">
        <f>IF(COUNTIFS('United Data'!$A$3:$A$2150,L$1,'United Data'!$C$3:$C$2150,$A694,'United Data'!$B$3:$B$2150,"&lt;&gt;P")&gt;0,1,0)</f>
        <v>0</v>
      </c>
      <c r="M694">
        <f>IF(COUNTIFS('United Data'!$A$3:$A$2150,M$1,'United Data'!$C$3:$C$2150,$A694,'United Data'!$B$3:$B$2150,"&lt;&gt;P")&gt;0,1,0)</f>
        <v>0</v>
      </c>
      <c r="N694">
        <f>IF(COUNTIFS('United Data'!$A$3:$A$2150,N$1,'United Data'!$C$3:$C$2150,$A694,'United Data'!$B$3:$B$2150,"&lt;&gt;P")&gt;0,1,0)</f>
        <v>0</v>
      </c>
      <c r="O694">
        <f>IF(COUNTIFS('United Data'!$A$3:$A$2150,O$1,'United Data'!$C$3:$C$2150,$A694,'United Data'!$B$3:$B$2150,"&lt;&gt;P")&gt;0,1,0)</f>
        <v>0</v>
      </c>
      <c r="P694">
        <f>IF(COUNTIFS('United Data'!$A$3:$A$2150,P$1,'United Data'!$C$3:$C$2150,$A694,'United Data'!$B$3:$B$2150,"&lt;&gt;P")&gt;0,1,0)</f>
        <v>0</v>
      </c>
      <c r="Q694">
        <f>IF(COUNTIFS('United Data'!$A$3:$A$2150,Q$1,'United Data'!$C$3:$C$2150,$A694,'United Data'!$B$3:$B$2150,"&lt;&gt;P")&gt;0,1,0)</f>
        <v>0</v>
      </c>
      <c r="R694">
        <f>IF(COUNTIFS('United Data'!$A$3:$A$2150,R$1,'United Data'!$C$3:$C$2150,$A694,'United Data'!$B$3:$B$2150,"&lt;&gt;P")&gt;0,1,0)</f>
        <v>0</v>
      </c>
      <c r="S694">
        <f t="shared" si="20"/>
        <v>1</v>
      </c>
      <c r="T694">
        <f t="shared" si="21"/>
        <v>1</v>
      </c>
    </row>
    <row r="695" spans="1:20" x14ac:dyDescent="0.2">
      <c r="A695" t="s">
        <v>741</v>
      </c>
      <c r="B695">
        <f>IF(COUNTIFS('United Data'!$A$3:$A$2150,B$1,'United Data'!$C$3:$C$2150,$A695,'United Data'!$B$3:$B$2150,"&lt;&gt;P")&gt;0,1,0)</f>
        <v>0</v>
      </c>
      <c r="C695">
        <f>IF(COUNTIFS('United Data'!$A$3:$A$2150,C$1,'United Data'!$C$3:$C$2150,$A695,'United Data'!$B$3:$B$2150,"&lt;&gt;P")&gt;0,1,0)</f>
        <v>0</v>
      </c>
      <c r="D695">
        <f>IF(COUNTIFS('United Data'!$A$3:$A$2150,D$1,'United Data'!$C$3:$C$2150,$A695,'United Data'!$B$3:$B$2150,"&lt;&gt;P")&gt;0,1,0)</f>
        <v>0</v>
      </c>
      <c r="E695">
        <f>IF(COUNTIFS('United Data'!$A$3:$A$2150,E$1,'United Data'!$C$3:$C$2150,$A695,'United Data'!$B$3:$B$2150,"&lt;&gt;P")&gt;0,1,0)</f>
        <v>0</v>
      </c>
      <c r="F695">
        <f>IF(COUNTIFS('United Data'!$A$3:$A$2150,F$1,'United Data'!$C$3:$C$2150,$A695,'United Data'!$B$3:$B$2150,"&lt;&gt;P")&gt;0,1,0)</f>
        <v>0</v>
      </c>
      <c r="G695">
        <f>IF(COUNTIFS('United Data'!$A$3:$A$2150,G$1,'United Data'!$C$3:$C$2150,$A695,'United Data'!$B$3:$B$2150,"&lt;&gt;P")&gt;0,1,0)</f>
        <v>0</v>
      </c>
      <c r="H695">
        <f>IF(COUNTIFS('United Data'!$A$3:$A$2150,H$1,'United Data'!$C$3:$C$2150,$A695,'United Data'!$B$3:$B$2150,"&lt;&gt;P")&gt;0,1,0)</f>
        <v>0</v>
      </c>
      <c r="I695">
        <f>IF(COUNTIFS('United Data'!$A$3:$A$2150,I$1,'United Data'!$C$3:$C$2150,$A695,'United Data'!$B$3:$B$2150,"&lt;&gt;P")&gt;0,1,0)</f>
        <v>0</v>
      </c>
      <c r="J695">
        <f>IF(COUNTIFS('United Data'!$A$3:$A$2150,J$1,'United Data'!$C$3:$C$2150,$A695,'United Data'!$B$3:$B$2150,"&lt;&gt;P")&gt;0,1,0)</f>
        <v>0</v>
      </c>
      <c r="K695">
        <f>IF(COUNTIFS('United Data'!$A$3:$A$2150,K$1,'United Data'!$C$3:$C$2150,$A695,'United Data'!$B$3:$B$2150,"&lt;&gt;P")&gt;0,1,0)</f>
        <v>1</v>
      </c>
      <c r="L695">
        <f>IF(COUNTIFS('United Data'!$A$3:$A$2150,L$1,'United Data'!$C$3:$C$2150,$A695,'United Data'!$B$3:$B$2150,"&lt;&gt;P")&gt;0,1,0)</f>
        <v>1</v>
      </c>
      <c r="M695">
        <f>IF(COUNTIFS('United Data'!$A$3:$A$2150,M$1,'United Data'!$C$3:$C$2150,$A695,'United Data'!$B$3:$B$2150,"&lt;&gt;P")&gt;0,1,0)</f>
        <v>0</v>
      </c>
      <c r="N695">
        <f>IF(COUNTIFS('United Data'!$A$3:$A$2150,N$1,'United Data'!$C$3:$C$2150,$A695,'United Data'!$B$3:$B$2150,"&lt;&gt;P")&gt;0,1,0)</f>
        <v>0</v>
      </c>
      <c r="O695">
        <f>IF(COUNTIFS('United Data'!$A$3:$A$2150,O$1,'United Data'!$C$3:$C$2150,$A695,'United Data'!$B$3:$B$2150,"&lt;&gt;P")&gt;0,1,0)</f>
        <v>0</v>
      </c>
      <c r="P695">
        <f>IF(COUNTIFS('United Data'!$A$3:$A$2150,P$1,'United Data'!$C$3:$C$2150,$A695,'United Data'!$B$3:$B$2150,"&lt;&gt;P")&gt;0,1,0)</f>
        <v>0</v>
      </c>
      <c r="Q695">
        <f>IF(COUNTIFS('United Data'!$A$3:$A$2150,Q$1,'United Data'!$C$3:$C$2150,$A695,'United Data'!$B$3:$B$2150,"&lt;&gt;P")&gt;0,1,0)</f>
        <v>0</v>
      </c>
      <c r="R695">
        <f>IF(COUNTIFS('United Data'!$A$3:$A$2150,R$1,'United Data'!$C$3:$C$2150,$A695,'United Data'!$B$3:$B$2150,"&lt;&gt;P")&gt;0,1,0)</f>
        <v>0</v>
      </c>
      <c r="S695">
        <f t="shared" si="20"/>
        <v>2</v>
      </c>
      <c r="T695">
        <f t="shared" si="21"/>
        <v>1</v>
      </c>
    </row>
    <row r="696" spans="1:20" x14ac:dyDescent="0.2">
      <c r="A696" t="s">
        <v>742</v>
      </c>
      <c r="B696">
        <f>IF(COUNTIFS('United Data'!$A$3:$A$2150,B$1,'United Data'!$C$3:$C$2150,$A696,'United Data'!$B$3:$B$2150,"&lt;&gt;P")&gt;0,1,0)</f>
        <v>0</v>
      </c>
      <c r="C696">
        <f>IF(COUNTIFS('United Data'!$A$3:$A$2150,C$1,'United Data'!$C$3:$C$2150,$A696,'United Data'!$B$3:$B$2150,"&lt;&gt;P")&gt;0,1,0)</f>
        <v>0</v>
      </c>
      <c r="D696">
        <f>IF(COUNTIFS('United Data'!$A$3:$A$2150,D$1,'United Data'!$C$3:$C$2150,$A696,'United Data'!$B$3:$B$2150,"&lt;&gt;P")&gt;0,1,0)</f>
        <v>0</v>
      </c>
      <c r="E696">
        <f>IF(COUNTIFS('United Data'!$A$3:$A$2150,E$1,'United Data'!$C$3:$C$2150,$A696,'United Data'!$B$3:$B$2150,"&lt;&gt;P")&gt;0,1,0)</f>
        <v>0</v>
      </c>
      <c r="F696">
        <f>IF(COUNTIFS('United Data'!$A$3:$A$2150,F$1,'United Data'!$C$3:$C$2150,$A696,'United Data'!$B$3:$B$2150,"&lt;&gt;P")&gt;0,1,0)</f>
        <v>0</v>
      </c>
      <c r="G696">
        <f>IF(COUNTIFS('United Data'!$A$3:$A$2150,G$1,'United Data'!$C$3:$C$2150,$A696,'United Data'!$B$3:$B$2150,"&lt;&gt;P")&gt;0,1,0)</f>
        <v>0</v>
      </c>
      <c r="H696">
        <f>IF(COUNTIFS('United Data'!$A$3:$A$2150,H$1,'United Data'!$C$3:$C$2150,$A696,'United Data'!$B$3:$B$2150,"&lt;&gt;P")&gt;0,1,0)</f>
        <v>0</v>
      </c>
      <c r="I696">
        <f>IF(COUNTIFS('United Data'!$A$3:$A$2150,I$1,'United Data'!$C$3:$C$2150,$A696,'United Data'!$B$3:$B$2150,"&lt;&gt;P")&gt;0,1,0)</f>
        <v>0</v>
      </c>
      <c r="J696">
        <f>IF(COUNTIFS('United Data'!$A$3:$A$2150,J$1,'United Data'!$C$3:$C$2150,$A696,'United Data'!$B$3:$B$2150,"&lt;&gt;P")&gt;0,1,0)</f>
        <v>0</v>
      </c>
      <c r="K696">
        <f>IF(COUNTIFS('United Data'!$A$3:$A$2150,K$1,'United Data'!$C$3:$C$2150,$A696,'United Data'!$B$3:$B$2150,"&lt;&gt;P")&gt;0,1,0)</f>
        <v>1</v>
      </c>
      <c r="L696">
        <f>IF(COUNTIFS('United Data'!$A$3:$A$2150,L$1,'United Data'!$C$3:$C$2150,$A696,'United Data'!$B$3:$B$2150,"&lt;&gt;P")&gt;0,1,0)</f>
        <v>0</v>
      </c>
      <c r="M696">
        <f>IF(COUNTIFS('United Data'!$A$3:$A$2150,M$1,'United Data'!$C$3:$C$2150,$A696,'United Data'!$B$3:$B$2150,"&lt;&gt;P")&gt;0,1,0)</f>
        <v>0</v>
      </c>
      <c r="N696">
        <f>IF(COUNTIFS('United Data'!$A$3:$A$2150,N$1,'United Data'!$C$3:$C$2150,$A696,'United Data'!$B$3:$B$2150,"&lt;&gt;P")&gt;0,1,0)</f>
        <v>0</v>
      </c>
      <c r="O696">
        <f>IF(COUNTIFS('United Data'!$A$3:$A$2150,O$1,'United Data'!$C$3:$C$2150,$A696,'United Data'!$B$3:$B$2150,"&lt;&gt;P")&gt;0,1,0)</f>
        <v>0</v>
      </c>
      <c r="P696">
        <f>IF(COUNTIFS('United Data'!$A$3:$A$2150,P$1,'United Data'!$C$3:$C$2150,$A696,'United Data'!$B$3:$B$2150,"&lt;&gt;P")&gt;0,1,0)</f>
        <v>0</v>
      </c>
      <c r="Q696">
        <f>IF(COUNTIFS('United Data'!$A$3:$A$2150,Q$1,'United Data'!$C$3:$C$2150,$A696,'United Data'!$B$3:$B$2150,"&lt;&gt;P")&gt;0,1,0)</f>
        <v>0</v>
      </c>
      <c r="R696">
        <f>IF(COUNTIFS('United Data'!$A$3:$A$2150,R$1,'United Data'!$C$3:$C$2150,$A696,'United Data'!$B$3:$B$2150,"&lt;&gt;P")&gt;0,1,0)</f>
        <v>0</v>
      </c>
      <c r="S696">
        <f t="shared" si="20"/>
        <v>1</v>
      </c>
      <c r="T696">
        <f t="shared" si="21"/>
        <v>1</v>
      </c>
    </row>
    <row r="697" spans="1:20" x14ac:dyDescent="0.2">
      <c r="A697" t="s">
        <v>743</v>
      </c>
      <c r="B697">
        <f>IF(COUNTIFS('United Data'!$A$3:$A$2150,B$1,'United Data'!$C$3:$C$2150,$A697,'United Data'!$B$3:$B$2150,"&lt;&gt;P")&gt;0,1,0)</f>
        <v>0</v>
      </c>
      <c r="C697">
        <f>IF(COUNTIFS('United Data'!$A$3:$A$2150,C$1,'United Data'!$C$3:$C$2150,$A697,'United Data'!$B$3:$B$2150,"&lt;&gt;P")&gt;0,1,0)</f>
        <v>0</v>
      </c>
      <c r="D697">
        <f>IF(COUNTIFS('United Data'!$A$3:$A$2150,D$1,'United Data'!$C$3:$C$2150,$A697,'United Data'!$B$3:$B$2150,"&lt;&gt;P")&gt;0,1,0)</f>
        <v>0</v>
      </c>
      <c r="E697">
        <f>IF(COUNTIFS('United Data'!$A$3:$A$2150,E$1,'United Data'!$C$3:$C$2150,$A697,'United Data'!$B$3:$B$2150,"&lt;&gt;P")&gt;0,1,0)</f>
        <v>0</v>
      </c>
      <c r="F697">
        <f>IF(COUNTIFS('United Data'!$A$3:$A$2150,F$1,'United Data'!$C$3:$C$2150,$A697,'United Data'!$B$3:$B$2150,"&lt;&gt;P")&gt;0,1,0)</f>
        <v>0</v>
      </c>
      <c r="G697">
        <f>IF(COUNTIFS('United Data'!$A$3:$A$2150,G$1,'United Data'!$C$3:$C$2150,$A697,'United Data'!$B$3:$B$2150,"&lt;&gt;P")&gt;0,1,0)</f>
        <v>0</v>
      </c>
      <c r="H697">
        <f>IF(COUNTIFS('United Data'!$A$3:$A$2150,H$1,'United Data'!$C$3:$C$2150,$A697,'United Data'!$B$3:$B$2150,"&lt;&gt;P")&gt;0,1,0)</f>
        <v>0</v>
      </c>
      <c r="I697">
        <f>IF(COUNTIFS('United Data'!$A$3:$A$2150,I$1,'United Data'!$C$3:$C$2150,$A697,'United Data'!$B$3:$B$2150,"&lt;&gt;P")&gt;0,1,0)</f>
        <v>0</v>
      </c>
      <c r="J697">
        <f>IF(COUNTIFS('United Data'!$A$3:$A$2150,J$1,'United Data'!$C$3:$C$2150,$A697,'United Data'!$B$3:$B$2150,"&lt;&gt;P")&gt;0,1,0)</f>
        <v>0</v>
      </c>
      <c r="K697">
        <f>IF(COUNTIFS('United Data'!$A$3:$A$2150,K$1,'United Data'!$C$3:$C$2150,$A697,'United Data'!$B$3:$B$2150,"&lt;&gt;P")&gt;0,1,0)</f>
        <v>1</v>
      </c>
      <c r="L697">
        <f>IF(COUNTIFS('United Data'!$A$3:$A$2150,L$1,'United Data'!$C$3:$C$2150,$A697,'United Data'!$B$3:$B$2150,"&lt;&gt;P")&gt;0,1,0)</f>
        <v>0</v>
      </c>
      <c r="M697">
        <f>IF(COUNTIFS('United Data'!$A$3:$A$2150,M$1,'United Data'!$C$3:$C$2150,$A697,'United Data'!$B$3:$B$2150,"&lt;&gt;P")&gt;0,1,0)</f>
        <v>0</v>
      </c>
      <c r="N697">
        <f>IF(COUNTIFS('United Data'!$A$3:$A$2150,N$1,'United Data'!$C$3:$C$2150,$A697,'United Data'!$B$3:$B$2150,"&lt;&gt;P")&gt;0,1,0)</f>
        <v>0</v>
      </c>
      <c r="O697">
        <f>IF(COUNTIFS('United Data'!$A$3:$A$2150,O$1,'United Data'!$C$3:$C$2150,$A697,'United Data'!$B$3:$B$2150,"&lt;&gt;P")&gt;0,1,0)</f>
        <v>0</v>
      </c>
      <c r="P697">
        <f>IF(COUNTIFS('United Data'!$A$3:$A$2150,P$1,'United Data'!$C$3:$C$2150,$A697,'United Data'!$B$3:$B$2150,"&lt;&gt;P")&gt;0,1,0)</f>
        <v>0</v>
      </c>
      <c r="Q697">
        <f>IF(COUNTIFS('United Data'!$A$3:$A$2150,Q$1,'United Data'!$C$3:$C$2150,$A697,'United Data'!$B$3:$B$2150,"&lt;&gt;P")&gt;0,1,0)</f>
        <v>0</v>
      </c>
      <c r="R697">
        <f>IF(COUNTIFS('United Data'!$A$3:$A$2150,R$1,'United Data'!$C$3:$C$2150,$A697,'United Data'!$B$3:$B$2150,"&lt;&gt;P")&gt;0,1,0)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744</v>
      </c>
      <c r="B698">
        <f>IF(COUNTIFS('United Data'!$A$3:$A$2150,B$1,'United Data'!$C$3:$C$2150,$A698,'United Data'!$B$3:$B$2150,"&lt;&gt;P")&gt;0,1,0)</f>
        <v>0</v>
      </c>
      <c r="C698">
        <f>IF(COUNTIFS('United Data'!$A$3:$A$2150,C$1,'United Data'!$C$3:$C$2150,$A698,'United Data'!$B$3:$B$2150,"&lt;&gt;P")&gt;0,1,0)</f>
        <v>0</v>
      </c>
      <c r="D698">
        <f>IF(COUNTIFS('United Data'!$A$3:$A$2150,D$1,'United Data'!$C$3:$C$2150,$A698,'United Data'!$B$3:$B$2150,"&lt;&gt;P")&gt;0,1,0)</f>
        <v>0</v>
      </c>
      <c r="E698">
        <f>IF(COUNTIFS('United Data'!$A$3:$A$2150,E$1,'United Data'!$C$3:$C$2150,$A698,'United Data'!$B$3:$B$2150,"&lt;&gt;P")&gt;0,1,0)</f>
        <v>0</v>
      </c>
      <c r="F698">
        <f>IF(COUNTIFS('United Data'!$A$3:$A$2150,F$1,'United Data'!$C$3:$C$2150,$A698,'United Data'!$B$3:$B$2150,"&lt;&gt;P")&gt;0,1,0)</f>
        <v>0</v>
      </c>
      <c r="G698">
        <f>IF(COUNTIFS('United Data'!$A$3:$A$2150,G$1,'United Data'!$C$3:$C$2150,$A698,'United Data'!$B$3:$B$2150,"&lt;&gt;P")&gt;0,1,0)</f>
        <v>0</v>
      </c>
      <c r="H698">
        <f>IF(COUNTIFS('United Data'!$A$3:$A$2150,H$1,'United Data'!$C$3:$C$2150,$A698,'United Data'!$B$3:$B$2150,"&lt;&gt;P")&gt;0,1,0)</f>
        <v>0</v>
      </c>
      <c r="I698">
        <f>IF(COUNTIFS('United Data'!$A$3:$A$2150,I$1,'United Data'!$C$3:$C$2150,$A698,'United Data'!$B$3:$B$2150,"&lt;&gt;P")&gt;0,1,0)</f>
        <v>0</v>
      </c>
      <c r="J698">
        <f>IF(COUNTIFS('United Data'!$A$3:$A$2150,J$1,'United Data'!$C$3:$C$2150,$A698,'United Data'!$B$3:$B$2150,"&lt;&gt;P")&gt;0,1,0)</f>
        <v>0</v>
      </c>
      <c r="K698">
        <f>IF(COUNTIFS('United Data'!$A$3:$A$2150,K$1,'United Data'!$C$3:$C$2150,$A698,'United Data'!$B$3:$B$2150,"&lt;&gt;P")&gt;0,1,0)</f>
        <v>1</v>
      </c>
      <c r="L698">
        <f>IF(COUNTIFS('United Data'!$A$3:$A$2150,L$1,'United Data'!$C$3:$C$2150,$A698,'United Data'!$B$3:$B$2150,"&lt;&gt;P")&gt;0,1,0)</f>
        <v>1</v>
      </c>
      <c r="M698">
        <f>IF(COUNTIFS('United Data'!$A$3:$A$2150,M$1,'United Data'!$C$3:$C$2150,$A698,'United Data'!$B$3:$B$2150,"&lt;&gt;P")&gt;0,1,0)</f>
        <v>0</v>
      </c>
      <c r="N698">
        <f>IF(COUNTIFS('United Data'!$A$3:$A$2150,N$1,'United Data'!$C$3:$C$2150,$A698,'United Data'!$B$3:$B$2150,"&lt;&gt;P")&gt;0,1,0)</f>
        <v>0</v>
      </c>
      <c r="O698">
        <f>IF(COUNTIFS('United Data'!$A$3:$A$2150,O$1,'United Data'!$C$3:$C$2150,$A698,'United Data'!$B$3:$B$2150,"&lt;&gt;P")&gt;0,1,0)</f>
        <v>0</v>
      </c>
      <c r="P698">
        <f>IF(COUNTIFS('United Data'!$A$3:$A$2150,P$1,'United Data'!$C$3:$C$2150,$A698,'United Data'!$B$3:$B$2150,"&lt;&gt;P")&gt;0,1,0)</f>
        <v>0</v>
      </c>
      <c r="Q698">
        <f>IF(COUNTIFS('United Data'!$A$3:$A$2150,Q$1,'United Data'!$C$3:$C$2150,$A698,'United Data'!$B$3:$B$2150,"&lt;&gt;P")&gt;0,1,0)</f>
        <v>0</v>
      </c>
      <c r="R698">
        <f>IF(COUNTIFS('United Data'!$A$3:$A$2150,R$1,'United Data'!$C$3:$C$2150,$A698,'United Data'!$B$3:$B$2150,"&lt;&gt;P")&gt;0,1,0)</f>
        <v>0</v>
      </c>
      <c r="S698">
        <f t="shared" si="20"/>
        <v>2</v>
      </c>
      <c r="T698">
        <f t="shared" si="21"/>
        <v>1</v>
      </c>
    </row>
    <row r="699" spans="1:20" x14ac:dyDescent="0.2">
      <c r="A699" t="s">
        <v>745</v>
      </c>
      <c r="B699">
        <f>IF(COUNTIFS('United Data'!$A$3:$A$2150,B$1,'United Data'!$C$3:$C$2150,$A699,'United Data'!$B$3:$B$2150,"&lt;&gt;P")&gt;0,1,0)</f>
        <v>0</v>
      </c>
      <c r="C699">
        <f>IF(COUNTIFS('United Data'!$A$3:$A$2150,C$1,'United Data'!$C$3:$C$2150,$A699,'United Data'!$B$3:$B$2150,"&lt;&gt;P")&gt;0,1,0)</f>
        <v>0</v>
      </c>
      <c r="D699">
        <f>IF(COUNTIFS('United Data'!$A$3:$A$2150,D$1,'United Data'!$C$3:$C$2150,$A699,'United Data'!$B$3:$B$2150,"&lt;&gt;P")&gt;0,1,0)</f>
        <v>0</v>
      </c>
      <c r="E699">
        <f>IF(COUNTIFS('United Data'!$A$3:$A$2150,E$1,'United Data'!$C$3:$C$2150,$A699,'United Data'!$B$3:$B$2150,"&lt;&gt;P")&gt;0,1,0)</f>
        <v>0</v>
      </c>
      <c r="F699">
        <f>IF(COUNTIFS('United Data'!$A$3:$A$2150,F$1,'United Data'!$C$3:$C$2150,$A699,'United Data'!$B$3:$B$2150,"&lt;&gt;P")&gt;0,1,0)</f>
        <v>0</v>
      </c>
      <c r="G699">
        <f>IF(COUNTIFS('United Data'!$A$3:$A$2150,G$1,'United Data'!$C$3:$C$2150,$A699,'United Data'!$B$3:$B$2150,"&lt;&gt;P")&gt;0,1,0)</f>
        <v>0</v>
      </c>
      <c r="H699">
        <f>IF(COUNTIFS('United Data'!$A$3:$A$2150,H$1,'United Data'!$C$3:$C$2150,$A699,'United Data'!$B$3:$B$2150,"&lt;&gt;P")&gt;0,1,0)</f>
        <v>0</v>
      </c>
      <c r="I699">
        <f>IF(COUNTIFS('United Data'!$A$3:$A$2150,I$1,'United Data'!$C$3:$C$2150,$A699,'United Data'!$B$3:$B$2150,"&lt;&gt;P")&gt;0,1,0)</f>
        <v>0</v>
      </c>
      <c r="J699">
        <f>IF(COUNTIFS('United Data'!$A$3:$A$2150,J$1,'United Data'!$C$3:$C$2150,$A699,'United Data'!$B$3:$B$2150,"&lt;&gt;P")&gt;0,1,0)</f>
        <v>0</v>
      </c>
      <c r="K699">
        <f>IF(COUNTIFS('United Data'!$A$3:$A$2150,K$1,'United Data'!$C$3:$C$2150,$A699,'United Data'!$B$3:$B$2150,"&lt;&gt;P")&gt;0,1,0)</f>
        <v>1</v>
      </c>
      <c r="L699">
        <f>IF(COUNTIFS('United Data'!$A$3:$A$2150,L$1,'United Data'!$C$3:$C$2150,$A699,'United Data'!$B$3:$B$2150,"&lt;&gt;P")&gt;0,1,0)</f>
        <v>0</v>
      </c>
      <c r="M699">
        <f>IF(COUNTIFS('United Data'!$A$3:$A$2150,M$1,'United Data'!$C$3:$C$2150,$A699,'United Data'!$B$3:$B$2150,"&lt;&gt;P")&gt;0,1,0)</f>
        <v>0</v>
      </c>
      <c r="N699">
        <f>IF(COUNTIFS('United Data'!$A$3:$A$2150,N$1,'United Data'!$C$3:$C$2150,$A699,'United Data'!$B$3:$B$2150,"&lt;&gt;P")&gt;0,1,0)</f>
        <v>0</v>
      </c>
      <c r="O699">
        <f>IF(COUNTIFS('United Data'!$A$3:$A$2150,O$1,'United Data'!$C$3:$C$2150,$A699,'United Data'!$B$3:$B$2150,"&lt;&gt;P")&gt;0,1,0)</f>
        <v>0</v>
      </c>
      <c r="P699">
        <f>IF(COUNTIFS('United Data'!$A$3:$A$2150,P$1,'United Data'!$C$3:$C$2150,$A699,'United Data'!$B$3:$B$2150,"&lt;&gt;P")&gt;0,1,0)</f>
        <v>0</v>
      </c>
      <c r="Q699">
        <f>IF(COUNTIFS('United Data'!$A$3:$A$2150,Q$1,'United Data'!$C$3:$C$2150,$A699,'United Data'!$B$3:$B$2150,"&lt;&gt;P")&gt;0,1,0)</f>
        <v>0</v>
      </c>
      <c r="R699">
        <f>IF(COUNTIFS('United Data'!$A$3:$A$2150,R$1,'United Data'!$C$3:$C$2150,$A699,'United Data'!$B$3:$B$2150,"&lt;&gt;P")&gt;0,1,0)</f>
        <v>0</v>
      </c>
      <c r="S699">
        <f t="shared" si="20"/>
        <v>1</v>
      </c>
      <c r="T699">
        <f t="shared" si="21"/>
        <v>1</v>
      </c>
    </row>
    <row r="700" spans="1:20" x14ac:dyDescent="0.2">
      <c r="A700" t="s">
        <v>746</v>
      </c>
      <c r="B700">
        <f>IF(COUNTIFS('United Data'!$A$3:$A$2150,B$1,'United Data'!$C$3:$C$2150,$A700,'United Data'!$B$3:$B$2150,"&lt;&gt;P")&gt;0,1,0)</f>
        <v>0</v>
      </c>
      <c r="C700">
        <f>IF(COUNTIFS('United Data'!$A$3:$A$2150,C$1,'United Data'!$C$3:$C$2150,$A700,'United Data'!$B$3:$B$2150,"&lt;&gt;P")&gt;0,1,0)</f>
        <v>0</v>
      </c>
      <c r="D700">
        <f>IF(COUNTIFS('United Data'!$A$3:$A$2150,D$1,'United Data'!$C$3:$C$2150,$A700,'United Data'!$B$3:$B$2150,"&lt;&gt;P")&gt;0,1,0)</f>
        <v>0</v>
      </c>
      <c r="E700">
        <f>IF(COUNTIFS('United Data'!$A$3:$A$2150,E$1,'United Data'!$C$3:$C$2150,$A700,'United Data'!$B$3:$B$2150,"&lt;&gt;P")&gt;0,1,0)</f>
        <v>0</v>
      </c>
      <c r="F700">
        <f>IF(COUNTIFS('United Data'!$A$3:$A$2150,F$1,'United Data'!$C$3:$C$2150,$A700,'United Data'!$B$3:$B$2150,"&lt;&gt;P")&gt;0,1,0)</f>
        <v>0</v>
      </c>
      <c r="G700">
        <f>IF(COUNTIFS('United Data'!$A$3:$A$2150,G$1,'United Data'!$C$3:$C$2150,$A700,'United Data'!$B$3:$B$2150,"&lt;&gt;P")&gt;0,1,0)</f>
        <v>0</v>
      </c>
      <c r="H700">
        <f>IF(COUNTIFS('United Data'!$A$3:$A$2150,H$1,'United Data'!$C$3:$C$2150,$A700,'United Data'!$B$3:$B$2150,"&lt;&gt;P")&gt;0,1,0)</f>
        <v>0</v>
      </c>
      <c r="I700">
        <f>IF(COUNTIFS('United Data'!$A$3:$A$2150,I$1,'United Data'!$C$3:$C$2150,$A700,'United Data'!$B$3:$B$2150,"&lt;&gt;P")&gt;0,1,0)</f>
        <v>0</v>
      </c>
      <c r="J700">
        <f>IF(COUNTIFS('United Data'!$A$3:$A$2150,J$1,'United Data'!$C$3:$C$2150,$A700,'United Data'!$B$3:$B$2150,"&lt;&gt;P")&gt;0,1,0)</f>
        <v>0</v>
      </c>
      <c r="K700">
        <f>IF(COUNTIFS('United Data'!$A$3:$A$2150,K$1,'United Data'!$C$3:$C$2150,$A700,'United Data'!$B$3:$B$2150,"&lt;&gt;P")&gt;0,1,0)</f>
        <v>1</v>
      </c>
      <c r="L700">
        <f>IF(COUNTIFS('United Data'!$A$3:$A$2150,L$1,'United Data'!$C$3:$C$2150,$A700,'United Data'!$B$3:$B$2150,"&lt;&gt;P")&gt;0,1,0)</f>
        <v>0</v>
      </c>
      <c r="M700">
        <f>IF(COUNTIFS('United Data'!$A$3:$A$2150,M$1,'United Data'!$C$3:$C$2150,$A700,'United Data'!$B$3:$B$2150,"&lt;&gt;P")&gt;0,1,0)</f>
        <v>0</v>
      </c>
      <c r="N700">
        <f>IF(COUNTIFS('United Data'!$A$3:$A$2150,N$1,'United Data'!$C$3:$C$2150,$A700,'United Data'!$B$3:$B$2150,"&lt;&gt;P")&gt;0,1,0)</f>
        <v>0</v>
      </c>
      <c r="O700">
        <f>IF(COUNTIFS('United Data'!$A$3:$A$2150,O$1,'United Data'!$C$3:$C$2150,$A700,'United Data'!$B$3:$B$2150,"&lt;&gt;P")&gt;0,1,0)</f>
        <v>0</v>
      </c>
      <c r="P700">
        <f>IF(COUNTIFS('United Data'!$A$3:$A$2150,P$1,'United Data'!$C$3:$C$2150,$A700,'United Data'!$B$3:$B$2150,"&lt;&gt;P")&gt;0,1,0)</f>
        <v>0</v>
      </c>
      <c r="Q700">
        <f>IF(COUNTIFS('United Data'!$A$3:$A$2150,Q$1,'United Data'!$C$3:$C$2150,$A700,'United Data'!$B$3:$B$2150,"&lt;&gt;P")&gt;0,1,0)</f>
        <v>0</v>
      </c>
      <c r="R700">
        <f>IF(COUNTIFS('United Data'!$A$3:$A$2150,R$1,'United Data'!$C$3:$C$2150,$A700,'United Data'!$B$3:$B$2150,"&lt;&gt;P")&gt;0,1,0)</f>
        <v>0</v>
      </c>
      <c r="S700">
        <f t="shared" si="20"/>
        <v>1</v>
      </c>
      <c r="T700">
        <f t="shared" si="21"/>
        <v>1</v>
      </c>
    </row>
    <row r="701" spans="1:20" x14ac:dyDescent="0.2">
      <c r="A701" t="s">
        <v>747</v>
      </c>
      <c r="B701">
        <f>IF(COUNTIFS('United Data'!$A$3:$A$2150,B$1,'United Data'!$C$3:$C$2150,$A701,'United Data'!$B$3:$B$2150,"&lt;&gt;P")&gt;0,1,0)</f>
        <v>0</v>
      </c>
      <c r="C701">
        <f>IF(COUNTIFS('United Data'!$A$3:$A$2150,C$1,'United Data'!$C$3:$C$2150,$A701,'United Data'!$B$3:$B$2150,"&lt;&gt;P")&gt;0,1,0)</f>
        <v>0</v>
      </c>
      <c r="D701">
        <f>IF(COUNTIFS('United Data'!$A$3:$A$2150,D$1,'United Data'!$C$3:$C$2150,$A701,'United Data'!$B$3:$B$2150,"&lt;&gt;P")&gt;0,1,0)</f>
        <v>0</v>
      </c>
      <c r="E701">
        <f>IF(COUNTIFS('United Data'!$A$3:$A$2150,E$1,'United Data'!$C$3:$C$2150,$A701,'United Data'!$B$3:$B$2150,"&lt;&gt;P")&gt;0,1,0)</f>
        <v>0</v>
      </c>
      <c r="F701">
        <f>IF(COUNTIFS('United Data'!$A$3:$A$2150,F$1,'United Data'!$C$3:$C$2150,$A701,'United Data'!$B$3:$B$2150,"&lt;&gt;P")&gt;0,1,0)</f>
        <v>0</v>
      </c>
      <c r="G701">
        <f>IF(COUNTIFS('United Data'!$A$3:$A$2150,G$1,'United Data'!$C$3:$C$2150,$A701,'United Data'!$B$3:$B$2150,"&lt;&gt;P")&gt;0,1,0)</f>
        <v>0</v>
      </c>
      <c r="H701">
        <f>IF(COUNTIFS('United Data'!$A$3:$A$2150,H$1,'United Data'!$C$3:$C$2150,$A701,'United Data'!$B$3:$B$2150,"&lt;&gt;P")&gt;0,1,0)</f>
        <v>0</v>
      </c>
      <c r="I701">
        <f>IF(COUNTIFS('United Data'!$A$3:$A$2150,I$1,'United Data'!$C$3:$C$2150,$A701,'United Data'!$B$3:$B$2150,"&lt;&gt;P")&gt;0,1,0)</f>
        <v>0</v>
      </c>
      <c r="J701">
        <f>IF(COUNTIFS('United Data'!$A$3:$A$2150,J$1,'United Data'!$C$3:$C$2150,$A701,'United Data'!$B$3:$B$2150,"&lt;&gt;P")&gt;0,1,0)</f>
        <v>0</v>
      </c>
      <c r="K701">
        <f>IF(COUNTIFS('United Data'!$A$3:$A$2150,K$1,'United Data'!$C$3:$C$2150,$A701,'United Data'!$B$3:$B$2150,"&lt;&gt;P")&gt;0,1,0)</f>
        <v>0</v>
      </c>
      <c r="L701">
        <f>IF(COUNTIFS('United Data'!$A$3:$A$2150,L$1,'United Data'!$C$3:$C$2150,$A701,'United Data'!$B$3:$B$2150,"&lt;&gt;P")&gt;0,1,0)</f>
        <v>1</v>
      </c>
      <c r="M701">
        <f>IF(COUNTIFS('United Data'!$A$3:$A$2150,M$1,'United Data'!$C$3:$C$2150,$A701,'United Data'!$B$3:$B$2150,"&lt;&gt;P")&gt;0,1,0)</f>
        <v>0</v>
      </c>
      <c r="N701">
        <f>IF(COUNTIFS('United Data'!$A$3:$A$2150,N$1,'United Data'!$C$3:$C$2150,$A701,'United Data'!$B$3:$B$2150,"&lt;&gt;P")&gt;0,1,0)</f>
        <v>0</v>
      </c>
      <c r="O701">
        <f>IF(COUNTIFS('United Data'!$A$3:$A$2150,O$1,'United Data'!$C$3:$C$2150,$A701,'United Data'!$B$3:$B$2150,"&lt;&gt;P")&gt;0,1,0)</f>
        <v>0</v>
      </c>
      <c r="P701">
        <f>IF(COUNTIFS('United Data'!$A$3:$A$2150,P$1,'United Data'!$C$3:$C$2150,$A701,'United Data'!$B$3:$B$2150,"&lt;&gt;P")&gt;0,1,0)</f>
        <v>0</v>
      </c>
      <c r="Q701">
        <f>IF(COUNTIFS('United Data'!$A$3:$A$2150,Q$1,'United Data'!$C$3:$C$2150,$A701,'United Data'!$B$3:$B$2150,"&lt;&gt;P")&gt;0,1,0)</f>
        <v>0</v>
      </c>
      <c r="R701">
        <f>IF(COUNTIFS('United Data'!$A$3:$A$2150,R$1,'United Data'!$C$3:$C$2150,$A701,'United Data'!$B$3:$B$2150,"&lt;&gt;P")&gt;0,1,0)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748</v>
      </c>
      <c r="B702">
        <f>IF(COUNTIFS('United Data'!$A$3:$A$2150,B$1,'United Data'!$C$3:$C$2150,$A702,'United Data'!$B$3:$B$2150,"&lt;&gt;P")&gt;0,1,0)</f>
        <v>0</v>
      </c>
      <c r="C702">
        <f>IF(COUNTIFS('United Data'!$A$3:$A$2150,C$1,'United Data'!$C$3:$C$2150,$A702,'United Data'!$B$3:$B$2150,"&lt;&gt;P")&gt;0,1,0)</f>
        <v>0</v>
      </c>
      <c r="D702">
        <f>IF(COUNTIFS('United Data'!$A$3:$A$2150,D$1,'United Data'!$C$3:$C$2150,$A702,'United Data'!$B$3:$B$2150,"&lt;&gt;P")&gt;0,1,0)</f>
        <v>0</v>
      </c>
      <c r="E702">
        <f>IF(COUNTIFS('United Data'!$A$3:$A$2150,E$1,'United Data'!$C$3:$C$2150,$A702,'United Data'!$B$3:$B$2150,"&lt;&gt;P")&gt;0,1,0)</f>
        <v>0</v>
      </c>
      <c r="F702">
        <f>IF(COUNTIFS('United Data'!$A$3:$A$2150,F$1,'United Data'!$C$3:$C$2150,$A702,'United Data'!$B$3:$B$2150,"&lt;&gt;P")&gt;0,1,0)</f>
        <v>0</v>
      </c>
      <c r="G702">
        <f>IF(COUNTIFS('United Data'!$A$3:$A$2150,G$1,'United Data'!$C$3:$C$2150,$A702,'United Data'!$B$3:$B$2150,"&lt;&gt;P")&gt;0,1,0)</f>
        <v>0</v>
      </c>
      <c r="H702">
        <f>IF(COUNTIFS('United Data'!$A$3:$A$2150,H$1,'United Data'!$C$3:$C$2150,$A702,'United Data'!$B$3:$B$2150,"&lt;&gt;P")&gt;0,1,0)</f>
        <v>0</v>
      </c>
      <c r="I702">
        <f>IF(COUNTIFS('United Data'!$A$3:$A$2150,I$1,'United Data'!$C$3:$C$2150,$A702,'United Data'!$B$3:$B$2150,"&lt;&gt;P")&gt;0,1,0)</f>
        <v>0</v>
      </c>
      <c r="J702">
        <f>IF(COUNTIFS('United Data'!$A$3:$A$2150,J$1,'United Data'!$C$3:$C$2150,$A702,'United Data'!$B$3:$B$2150,"&lt;&gt;P")&gt;0,1,0)</f>
        <v>0</v>
      </c>
      <c r="K702">
        <f>IF(COUNTIFS('United Data'!$A$3:$A$2150,K$1,'United Data'!$C$3:$C$2150,$A702,'United Data'!$B$3:$B$2150,"&lt;&gt;P")&gt;0,1,0)</f>
        <v>0</v>
      </c>
      <c r="L702">
        <f>IF(COUNTIFS('United Data'!$A$3:$A$2150,L$1,'United Data'!$C$3:$C$2150,$A702,'United Data'!$B$3:$B$2150,"&lt;&gt;P")&gt;0,1,0)</f>
        <v>1</v>
      </c>
      <c r="M702">
        <f>IF(COUNTIFS('United Data'!$A$3:$A$2150,M$1,'United Data'!$C$3:$C$2150,$A702,'United Data'!$B$3:$B$2150,"&lt;&gt;P")&gt;0,1,0)</f>
        <v>0</v>
      </c>
      <c r="N702">
        <f>IF(COUNTIFS('United Data'!$A$3:$A$2150,N$1,'United Data'!$C$3:$C$2150,$A702,'United Data'!$B$3:$B$2150,"&lt;&gt;P")&gt;0,1,0)</f>
        <v>0</v>
      </c>
      <c r="O702">
        <f>IF(COUNTIFS('United Data'!$A$3:$A$2150,O$1,'United Data'!$C$3:$C$2150,$A702,'United Data'!$B$3:$B$2150,"&lt;&gt;P")&gt;0,1,0)</f>
        <v>0</v>
      </c>
      <c r="P702">
        <f>IF(COUNTIFS('United Data'!$A$3:$A$2150,P$1,'United Data'!$C$3:$C$2150,$A702,'United Data'!$B$3:$B$2150,"&lt;&gt;P")&gt;0,1,0)</f>
        <v>0</v>
      </c>
      <c r="Q702">
        <f>IF(COUNTIFS('United Data'!$A$3:$A$2150,Q$1,'United Data'!$C$3:$C$2150,$A702,'United Data'!$B$3:$B$2150,"&lt;&gt;P")&gt;0,1,0)</f>
        <v>0</v>
      </c>
      <c r="R702">
        <f>IF(COUNTIFS('United Data'!$A$3:$A$2150,R$1,'United Data'!$C$3:$C$2150,$A702,'United Data'!$B$3:$B$2150,"&lt;&gt;P")&gt;0,1,0)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749</v>
      </c>
      <c r="B703">
        <f>IF(COUNTIFS('United Data'!$A$3:$A$2150,B$1,'United Data'!$C$3:$C$2150,$A703,'United Data'!$B$3:$B$2150,"&lt;&gt;P")&gt;0,1,0)</f>
        <v>0</v>
      </c>
      <c r="C703">
        <f>IF(COUNTIFS('United Data'!$A$3:$A$2150,C$1,'United Data'!$C$3:$C$2150,$A703,'United Data'!$B$3:$B$2150,"&lt;&gt;P")&gt;0,1,0)</f>
        <v>0</v>
      </c>
      <c r="D703">
        <f>IF(COUNTIFS('United Data'!$A$3:$A$2150,D$1,'United Data'!$C$3:$C$2150,$A703,'United Data'!$B$3:$B$2150,"&lt;&gt;P")&gt;0,1,0)</f>
        <v>0</v>
      </c>
      <c r="E703">
        <f>IF(COUNTIFS('United Data'!$A$3:$A$2150,E$1,'United Data'!$C$3:$C$2150,$A703,'United Data'!$B$3:$B$2150,"&lt;&gt;P")&gt;0,1,0)</f>
        <v>0</v>
      </c>
      <c r="F703">
        <f>IF(COUNTIFS('United Data'!$A$3:$A$2150,F$1,'United Data'!$C$3:$C$2150,$A703,'United Data'!$B$3:$B$2150,"&lt;&gt;P")&gt;0,1,0)</f>
        <v>0</v>
      </c>
      <c r="G703">
        <f>IF(COUNTIFS('United Data'!$A$3:$A$2150,G$1,'United Data'!$C$3:$C$2150,$A703,'United Data'!$B$3:$B$2150,"&lt;&gt;P")&gt;0,1,0)</f>
        <v>0</v>
      </c>
      <c r="H703">
        <f>IF(COUNTIFS('United Data'!$A$3:$A$2150,H$1,'United Data'!$C$3:$C$2150,$A703,'United Data'!$B$3:$B$2150,"&lt;&gt;P")&gt;0,1,0)</f>
        <v>0</v>
      </c>
      <c r="I703">
        <f>IF(COUNTIFS('United Data'!$A$3:$A$2150,I$1,'United Data'!$C$3:$C$2150,$A703,'United Data'!$B$3:$B$2150,"&lt;&gt;P")&gt;0,1,0)</f>
        <v>0</v>
      </c>
      <c r="J703">
        <f>IF(COUNTIFS('United Data'!$A$3:$A$2150,J$1,'United Data'!$C$3:$C$2150,$A703,'United Data'!$B$3:$B$2150,"&lt;&gt;P")&gt;0,1,0)</f>
        <v>0</v>
      </c>
      <c r="K703">
        <f>IF(COUNTIFS('United Data'!$A$3:$A$2150,K$1,'United Data'!$C$3:$C$2150,$A703,'United Data'!$B$3:$B$2150,"&lt;&gt;P")&gt;0,1,0)</f>
        <v>0</v>
      </c>
      <c r="L703">
        <f>IF(COUNTIFS('United Data'!$A$3:$A$2150,L$1,'United Data'!$C$3:$C$2150,$A703,'United Data'!$B$3:$B$2150,"&lt;&gt;P")&gt;0,1,0)</f>
        <v>0</v>
      </c>
      <c r="M703">
        <f>IF(COUNTIFS('United Data'!$A$3:$A$2150,M$1,'United Data'!$C$3:$C$2150,$A703,'United Data'!$B$3:$B$2150,"&lt;&gt;P")&gt;0,1,0)</f>
        <v>1</v>
      </c>
      <c r="N703">
        <f>IF(COUNTIFS('United Data'!$A$3:$A$2150,N$1,'United Data'!$C$3:$C$2150,$A703,'United Data'!$B$3:$B$2150,"&lt;&gt;P")&gt;0,1,0)</f>
        <v>0</v>
      </c>
      <c r="O703">
        <f>IF(COUNTIFS('United Data'!$A$3:$A$2150,O$1,'United Data'!$C$3:$C$2150,$A703,'United Data'!$B$3:$B$2150,"&lt;&gt;P")&gt;0,1,0)</f>
        <v>0</v>
      </c>
      <c r="P703">
        <f>IF(COUNTIFS('United Data'!$A$3:$A$2150,P$1,'United Data'!$C$3:$C$2150,$A703,'United Data'!$B$3:$B$2150,"&lt;&gt;P")&gt;0,1,0)</f>
        <v>0</v>
      </c>
      <c r="Q703">
        <f>IF(COUNTIFS('United Data'!$A$3:$A$2150,Q$1,'United Data'!$C$3:$C$2150,$A703,'United Data'!$B$3:$B$2150,"&lt;&gt;P")&gt;0,1,0)</f>
        <v>0</v>
      </c>
      <c r="R703">
        <f>IF(COUNTIFS('United Data'!$A$3:$A$2150,R$1,'United Data'!$C$3:$C$2150,$A703,'United Data'!$B$3:$B$2150,"&lt;&gt;P")&gt;0,1,0)</f>
        <v>0</v>
      </c>
      <c r="S703">
        <f t="shared" si="20"/>
        <v>1</v>
      </c>
      <c r="T703">
        <f t="shared" si="21"/>
        <v>1</v>
      </c>
    </row>
    <row r="704" spans="1:20" x14ac:dyDescent="0.2">
      <c r="A704" t="s">
        <v>750</v>
      </c>
      <c r="B704">
        <f>IF(COUNTIFS('United Data'!$A$3:$A$2150,B$1,'United Data'!$C$3:$C$2150,$A704,'United Data'!$B$3:$B$2150,"&lt;&gt;P")&gt;0,1,0)</f>
        <v>0</v>
      </c>
      <c r="C704">
        <f>IF(COUNTIFS('United Data'!$A$3:$A$2150,C$1,'United Data'!$C$3:$C$2150,$A704,'United Data'!$B$3:$B$2150,"&lt;&gt;P")&gt;0,1,0)</f>
        <v>0</v>
      </c>
      <c r="D704">
        <f>IF(COUNTIFS('United Data'!$A$3:$A$2150,D$1,'United Data'!$C$3:$C$2150,$A704,'United Data'!$B$3:$B$2150,"&lt;&gt;P")&gt;0,1,0)</f>
        <v>0</v>
      </c>
      <c r="E704">
        <f>IF(COUNTIFS('United Data'!$A$3:$A$2150,E$1,'United Data'!$C$3:$C$2150,$A704,'United Data'!$B$3:$B$2150,"&lt;&gt;P")&gt;0,1,0)</f>
        <v>0</v>
      </c>
      <c r="F704">
        <f>IF(COUNTIFS('United Data'!$A$3:$A$2150,F$1,'United Data'!$C$3:$C$2150,$A704,'United Data'!$B$3:$B$2150,"&lt;&gt;P")&gt;0,1,0)</f>
        <v>0</v>
      </c>
      <c r="G704">
        <f>IF(COUNTIFS('United Data'!$A$3:$A$2150,G$1,'United Data'!$C$3:$C$2150,$A704,'United Data'!$B$3:$B$2150,"&lt;&gt;P")&gt;0,1,0)</f>
        <v>0</v>
      </c>
      <c r="H704">
        <f>IF(COUNTIFS('United Data'!$A$3:$A$2150,H$1,'United Data'!$C$3:$C$2150,$A704,'United Data'!$B$3:$B$2150,"&lt;&gt;P")&gt;0,1,0)</f>
        <v>0</v>
      </c>
      <c r="I704">
        <f>IF(COUNTIFS('United Data'!$A$3:$A$2150,I$1,'United Data'!$C$3:$C$2150,$A704,'United Data'!$B$3:$B$2150,"&lt;&gt;P")&gt;0,1,0)</f>
        <v>0</v>
      </c>
      <c r="J704">
        <f>IF(COUNTIFS('United Data'!$A$3:$A$2150,J$1,'United Data'!$C$3:$C$2150,$A704,'United Data'!$B$3:$B$2150,"&lt;&gt;P")&gt;0,1,0)</f>
        <v>0</v>
      </c>
      <c r="K704">
        <f>IF(COUNTIFS('United Data'!$A$3:$A$2150,K$1,'United Data'!$C$3:$C$2150,$A704,'United Data'!$B$3:$B$2150,"&lt;&gt;P")&gt;0,1,0)</f>
        <v>0</v>
      </c>
      <c r="L704">
        <f>IF(COUNTIFS('United Data'!$A$3:$A$2150,L$1,'United Data'!$C$3:$C$2150,$A704,'United Data'!$B$3:$B$2150,"&lt;&gt;P")&gt;0,1,0)</f>
        <v>0</v>
      </c>
      <c r="M704">
        <f>IF(COUNTIFS('United Data'!$A$3:$A$2150,M$1,'United Data'!$C$3:$C$2150,$A704,'United Data'!$B$3:$B$2150,"&lt;&gt;P")&gt;0,1,0)</f>
        <v>1</v>
      </c>
      <c r="N704">
        <f>IF(COUNTIFS('United Data'!$A$3:$A$2150,N$1,'United Data'!$C$3:$C$2150,$A704,'United Data'!$B$3:$B$2150,"&lt;&gt;P")&gt;0,1,0)</f>
        <v>0</v>
      </c>
      <c r="O704">
        <f>IF(COUNTIFS('United Data'!$A$3:$A$2150,O$1,'United Data'!$C$3:$C$2150,$A704,'United Data'!$B$3:$B$2150,"&lt;&gt;P")&gt;0,1,0)</f>
        <v>0</v>
      </c>
      <c r="P704">
        <f>IF(COUNTIFS('United Data'!$A$3:$A$2150,P$1,'United Data'!$C$3:$C$2150,$A704,'United Data'!$B$3:$B$2150,"&lt;&gt;P")&gt;0,1,0)</f>
        <v>0</v>
      </c>
      <c r="Q704">
        <f>IF(COUNTIFS('United Data'!$A$3:$A$2150,Q$1,'United Data'!$C$3:$C$2150,$A704,'United Data'!$B$3:$B$2150,"&lt;&gt;P")&gt;0,1,0)</f>
        <v>0</v>
      </c>
      <c r="R704">
        <f>IF(COUNTIFS('United Data'!$A$3:$A$2150,R$1,'United Data'!$C$3:$C$2150,$A704,'United Data'!$B$3:$B$2150,"&lt;&gt;P")&gt;0,1,0)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751</v>
      </c>
      <c r="B705">
        <f>IF(COUNTIFS('United Data'!$A$3:$A$2150,B$1,'United Data'!$C$3:$C$2150,$A705,'United Data'!$B$3:$B$2150,"&lt;&gt;P")&gt;0,1,0)</f>
        <v>0</v>
      </c>
      <c r="C705">
        <f>IF(COUNTIFS('United Data'!$A$3:$A$2150,C$1,'United Data'!$C$3:$C$2150,$A705,'United Data'!$B$3:$B$2150,"&lt;&gt;P")&gt;0,1,0)</f>
        <v>0</v>
      </c>
      <c r="D705">
        <f>IF(COUNTIFS('United Data'!$A$3:$A$2150,D$1,'United Data'!$C$3:$C$2150,$A705,'United Data'!$B$3:$B$2150,"&lt;&gt;P")&gt;0,1,0)</f>
        <v>0</v>
      </c>
      <c r="E705">
        <f>IF(COUNTIFS('United Data'!$A$3:$A$2150,E$1,'United Data'!$C$3:$C$2150,$A705,'United Data'!$B$3:$B$2150,"&lt;&gt;P")&gt;0,1,0)</f>
        <v>0</v>
      </c>
      <c r="F705">
        <f>IF(COUNTIFS('United Data'!$A$3:$A$2150,F$1,'United Data'!$C$3:$C$2150,$A705,'United Data'!$B$3:$B$2150,"&lt;&gt;P")&gt;0,1,0)</f>
        <v>0</v>
      </c>
      <c r="G705">
        <f>IF(COUNTIFS('United Data'!$A$3:$A$2150,G$1,'United Data'!$C$3:$C$2150,$A705,'United Data'!$B$3:$B$2150,"&lt;&gt;P")&gt;0,1,0)</f>
        <v>0</v>
      </c>
      <c r="H705">
        <f>IF(COUNTIFS('United Data'!$A$3:$A$2150,H$1,'United Data'!$C$3:$C$2150,$A705,'United Data'!$B$3:$B$2150,"&lt;&gt;P")&gt;0,1,0)</f>
        <v>0</v>
      </c>
      <c r="I705">
        <f>IF(COUNTIFS('United Data'!$A$3:$A$2150,I$1,'United Data'!$C$3:$C$2150,$A705,'United Data'!$B$3:$B$2150,"&lt;&gt;P")&gt;0,1,0)</f>
        <v>0</v>
      </c>
      <c r="J705">
        <f>IF(COUNTIFS('United Data'!$A$3:$A$2150,J$1,'United Data'!$C$3:$C$2150,$A705,'United Data'!$B$3:$B$2150,"&lt;&gt;P")&gt;0,1,0)</f>
        <v>0</v>
      </c>
      <c r="K705">
        <f>IF(COUNTIFS('United Data'!$A$3:$A$2150,K$1,'United Data'!$C$3:$C$2150,$A705,'United Data'!$B$3:$B$2150,"&lt;&gt;P")&gt;0,1,0)</f>
        <v>0</v>
      </c>
      <c r="L705">
        <f>IF(COUNTIFS('United Data'!$A$3:$A$2150,L$1,'United Data'!$C$3:$C$2150,$A705,'United Data'!$B$3:$B$2150,"&lt;&gt;P")&gt;0,1,0)</f>
        <v>0</v>
      </c>
      <c r="M705">
        <f>IF(COUNTIFS('United Data'!$A$3:$A$2150,M$1,'United Data'!$C$3:$C$2150,$A705,'United Data'!$B$3:$B$2150,"&lt;&gt;P")&gt;0,1,0)</f>
        <v>1</v>
      </c>
      <c r="N705">
        <f>IF(COUNTIFS('United Data'!$A$3:$A$2150,N$1,'United Data'!$C$3:$C$2150,$A705,'United Data'!$B$3:$B$2150,"&lt;&gt;P")&gt;0,1,0)</f>
        <v>0</v>
      </c>
      <c r="O705">
        <f>IF(COUNTIFS('United Data'!$A$3:$A$2150,O$1,'United Data'!$C$3:$C$2150,$A705,'United Data'!$B$3:$B$2150,"&lt;&gt;P")&gt;0,1,0)</f>
        <v>0</v>
      </c>
      <c r="P705">
        <f>IF(COUNTIFS('United Data'!$A$3:$A$2150,P$1,'United Data'!$C$3:$C$2150,$A705,'United Data'!$B$3:$B$2150,"&lt;&gt;P")&gt;0,1,0)</f>
        <v>0</v>
      </c>
      <c r="Q705">
        <f>IF(COUNTIFS('United Data'!$A$3:$A$2150,Q$1,'United Data'!$C$3:$C$2150,$A705,'United Data'!$B$3:$B$2150,"&lt;&gt;P")&gt;0,1,0)</f>
        <v>0</v>
      </c>
      <c r="R705">
        <f>IF(COUNTIFS('United Data'!$A$3:$A$2150,R$1,'United Data'!$C$3:$C$2150,$A705,'United Data'!$B$3:$B$2150,"&lt;&gt;P")&gt;0,1,0)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752</v>
      </c>
      <c r="B706">
        <f>IF(COUNTIFS('United Data'!$A$3:$A$2150,B$1,'United Data'!$C$3:$C$2150,$A706,'United Data'!$B$3:$B$2150,"&lt;&gt;P")&gt;0,1,0)</f>
        <v>0</v>
      </c>
      <c r="C706">
        <f>IF(COUNTIFS('United Data'!$A$3:$A$2150,C$1,'United Data'!$C$3:$C$2150,$A706,'United Data'!$B$3:$B$2150,"&lt;&gt;P")&gt;0,1,0)</f>
        <v>0</v>
      </c>
      <c r="D706">
        <f>IF(COUNTIFS('United Data'!$A$3:$A$2150,D$1,'United Data'!$C$3:$C$2150,$A706,'United Data'!$B$3:$B$2150,"&lt;&gt;P")&gt;0,1,0)</f>
        <v>0</v>
      </c>
      <c r="E706">
        <f>IF(COUNTIFS('United Data'!$A$3:$A$2150,E$1,'United Data'!$C$3:$C$2150,$A706,'United Data'!$B$3:$B$2150,"&lt;&gt;P")&gt;0,1,0)</f>
        <v>0</v>
      </c>
      <c r="F706">
        <f>IF(COUNTIFS('United Data'!$A$3:$A$2150,F$1,'United Data'!$C$3:$C$2150,$A706,'United Data'!$B$3:$B$2150,"&lt;&gt;P")&gt;0,1,0)</f>
        <v>0</v>
      </c>
      <c r="G706">
        <f>IF(COUNTIFS('United Data'!$A$3:$A$2150,G$1,'United Data'!$C$3:$C$2150,$A706,'United Data'!$B$3:$B$2150,"&lt;&gt;P")&gt;0,1,0)</f>
        <v>0</v>
      </c>
      <c r="H706">
        <f>IF(COUNTIFS('United Data'!$A$3:$A$2150,H$1,'United Data'!$C$3:$C$2150,$A706,'United Data'!$B$3:$B$2150,"&lt;&gt;P")&gt;0,1,0)</f>
        <v>0</v>
      </c>
      <c r="I706">
        <f>IF(COUNTIFS('United Data'!$A$3:$A$2150,I$1,'United Data'!$C$3:$C$2150,$A706,'United Data'!$B$3:$B$2150,"&lt;&gt;P")&gt;0,1,0)</f>
        <v>0</v>
      </c>
      <c r="J706">
        <f>IF(COUNTIFS('United Data'!$A$3:$A$2150,J$1,'United Data'!$C$3:$C$2150,$A706,'United Data'!$B$3:$B$2150,"&lt;&gt;P")&gt;0,1,0)</f>
        <v>0</v>
      </c>
      <c r="K706">
        <f>IF(COUNTIFS('United Data'!$A$3:$A$2150,K$1,'United Data'!$C$3:$C$2150,$A706,'United Data'!$B$3:$B$2150,"&lt;&gt;P")&gt;0,1,0)</f>
        <v>0</v>
      </c>
      <c r="L706">
        <f>IF(COUNTIFS('United Data'!$A$3:$A$2150,L$1,'United Data'!$C$3:$C$2150,$A706,'United Data'!$B$3:$B$2150,"&lt;&gt;P")&gt;0,1,0)</f>
        <v>0</v>
      </c>
      <c r="M706">
        <f>IF(COUNTIFS('United Data'!$A$3:$A$2150,M$1,'United Data'!$C$3:$C$2150,$A706,'United Data'!$B$3:$B$2150,"&lt;&gt;P")&gt;0,1,0)</f>
        <v>1</v>
      </c>
      <c r="N706">
        <f>IF(COUNTIFS('United Data'!$A$3:$A$2150,N$1,'United Data'!$C$3:$C$2150,$A706,'United Data'!$B$3:$B$2150,"&lt;&gt;P")&gt;0,1,0)</f>
        <v>0</v>
      </c>
      <c r="O706">
        <f>IF(COUNTIFS('United Data'!$A$3:$A$2150,O$1,'United Data'!$C$3:$C$2150,$A706,'United Data'!$B$3:$B$2150,"&lt;&gt;P")&gt;0,1,0)</f>
        <v>0</v>
      </c>
      <c r="P706">
        <f>IF(COUNTIFS('United Data'!$A$3:$A$2150,P$1,'United Data'!$C$3:$C$2150,$A706,'United Data'!$B$3:$B$2150,"&lt;&gt;P")&gt;0,1,0)</f>
        <v>0</v>
      </c>
      <c r="Q706">
        <f>IF(COUNTIFS('United Data'!$A$3:$A$2150,Q$1,'United Data'!$C$3:$C$2150,$A706,'United Data'!$B$3:$B$2150,"&lt;&gt;P")&gt;0,1,0)</f>
        <v>0</v>
      </c>
      <c r="R706">
        <f>IF(COUNTIFS('United Data'!$A$3:$A$2150,R$1,'United Data'!$C$3:$C$2150,$A706,'United Data'!$B$3:$B$2150,"&lt;&gt;P")&gt;0,1,0)</f>
        <v>0</v>
      </c>
      <c r="S706">
        <f t="shared" ref="S706:S769" si="22">SUM(B706:R706)</f>
        <v>1</v>
      </c>
      <c r="T706">
        <f t="shared" ref="T706:T727" si="23">B706+SUMPRODUCT(--(C706:R706&gt;B706:Q706))</f>
        <v>1</v>
      </c>
    </row>
    <row r="707" spans="1:20" x14ac:dyDescent="0.2">
      <c r="A707" t="s">
        <v>753</v>
      </c>
      <c r="B707">
        <f>IF(COUNTIFS('United Data'!$A$3:$A$2150,B$1,'United Data'!$C$3:$C$2150,$A707,'United Data'!$B$3:$B$2150,"&lt;&gt;P")&gt;0,1,0)</f>
        <v>0</v>
      </c>
      <c r="C707">
        <f>IF(COUNTIFS('United Data'!$A$3:$A$2150,C$1,'United Data'!$C$3:$C$2150,$A707,'United Data'!$B$3:$B$2150,"&lt;&gt;P")&gt;0,1,0)</f>
        <v>0</v>
      </c>
      <c r="D707">
        <f>IF(COUNTIFS('United Data'!$A$3:$A$2150,D$1,'United Data'!$C$3:$C$2150,$A707,'United Data'!$B$3:$B$2150,"&lt;&gt;P")&gt;0,1,0)</f>
        <v>0</v>
      </c>
      <c r="E707">
        <f>IF(COUNTIFS('United Data'!$A$3:$A$2150,E$1,'United Data'!$C$3:$C$2150,$A707,'United Data'!$B$3:$B$2150,"&lt;&gt;P")&gt;0,1,0)</f>
        <v>0</v>
      </c>
      <c r="F707">
        <f>IF(COUNTIFS('United Data'!$A$3:$A$2150,F$1,'United Data'!$C$3:$C$2150,$A707,'United Data'!$B$3:$B$2150,"&lt;&gt;P")&gt;0,1,0)</f>
        <v>0</v>
      </c>
      <c r="G707">
        <f>IF(COUNTIFS('United Data'!$A$3:$A$2150,G$1,'United Data'!$C$3:$C$2150,$A707,'United Data'!$B$3:$B$2150,"&lt;&gt;P")&gt;0,1,0)</f>
        <v>0</v>
      </c>
      <c r="H707">
        <f>IF(COUNTIFS('United Data'!$A$3:$A$2150,H$1,'United Data'!$C$3:$C$2150,$A707,'United Data'!$B$3:$B$2150,"&lt;&gt;P")&gt;0,1,0)</f>
        <v>0</v>
      </c>
      <c r="I707">
        <f>IF(COUNTIFS('United Data'!$A$3:$A$2150,I$1,'United Data'!$C$3:$C$2150,$A707,'United Data'!$B$3:$B$2150,"&lt;&gt;P")&gt;0,1,0)</f>
        <v>0</v>
      </c>
      <c r="J707">
        <f>IF(COUNTIFS('United Data'!$A$3:$A$2150,J$1,'United Data'!$C$3:$C$2150,$A707,'United Data'!$B$3:$B$2150,"&lt;&gt;P")&gt;0,1,0)</f>
        <v>0</v>
      </c>
      <c r="K707">
        <f>IF(COUNTIFS('United Data'!$A$3:$A$2150,K$1,'United Data'!$C$3:$C$2150,$A707,'United Data'!$B$3:$B$2150,"&lt;&gt;P")&gt;0,1,0)</f>
        <v>0</v>
      </c>
      <c r="L707">
        <f>IF(COUNTIFS('United Data'!$A$3:$A$2150,L$1,'United Data'!$C$3:$C$2150,$A707,'United Data'!$B$3:$B$2150,"&lt;&gt;P")&gt;0,1,0)</f>
        <v>0</v>
      </c>
      <c r="M707">
        <f>IF(COUNTIFS('United Data'!$A$3:$A$2150,M$1,'United Data'!$C$3:$C$2150,$A707,'United Data'!$B$3:$B$2150,"&lt;&gt;P")&gt;0,1,0)</f>
        <v>1</v>
      </c>
      <c r="N707">
        <f>IF(COUNTIFS('United Data'!$A$3:$A$2150,N$1,'United Data'!$C$3:$C$2150,$A707,'United Data'!$B$3:$B$2150,"&lt;&gt;P")&gt;0,1,0)</f>
        <v>0</v>
      </c>
      <c r="O707">
        <f>IF(COUNTIFS('United Data'!$A$3:$A$2150,O$1,'United Data'!$C$3:$C$2150,$A707,'United Data'!$B$3:$B$2150,"&lt;&gt;P")&gt;0,1,0)</f>
        <v>0</v>
      </c>
      <c r="P707">
        <f>IF(COUNTIFS('United Data'!$A$3:$A$2150,P$1,'United Data'!$C$3:$C$2150,$A707,'United Data'!$B$3:$B$2150,"&lt;&gt;P")&gt;0,1,0)</f>
        <v>0</v>
      </c>
      <c r="Q707">
        <f>IF(COUNTIFS('United Data'!$A$3:$A$2150,Q$1,'United Data'!$C$3:$C$2150,$A707,'United Data'!$B$3:$B$2150,"&lt;&gt;P")&gt;0,1,0)</f>
        <v>0</v>
      </c>
      <c r="R707">
        <f>IF(COUNTIFS('United Data'!$A$3:$A$2150,R$1,'United Data'!$C$3:$C$2150,$A707,'United Data'!$B$3:$B$2150,"&lt;&gt;P")&gt;0,1,0)</f>
        <v>0</v>
      </c>
      <c r="S707">
        <f t="shared" si="22"/>
        <v>1</v>
      </c>
      <c r="T707">
        <f t="shared" si="23"/>
        <v>1</v>
      </c>
    </row>
    <row r="708" spans="1:20" x14ac:dyDescent="0.2">
      <c r="A708" t="s">
        <v>754</v>
      </c>
      <c r="B708">
        <f>IF(COUNTIFS('United Data'!$A$3:$A$2150,B$1,'United Data'!$C$3:$C$2150,$A708,'United Data'!$B$3:$B$2150,"&lt;&gt;P")&gt;0,1,0)</f>
        <v>0</v>
      </c>
      <c r="C708">
        <f>IF(COUNTIFS('United Data'!$A$3:$A$2150,C$1,'United Data'!$C$3:$C$2150,$A708,'United Data'!$B$3:$B$2150,"&lt;&gt;P")&gt;0,1,0)</f>
        <v>0</v>
      </c>
      <c r="D708">
        <f>IF(COUNTIFS('United Data'!$A$3:$A$2150,D$1,'United Data'!$C$3:$C$2150,$A708,'United Data'!$B$3:$B$2150,"&lt;&gt;P")&gt;0,1,0)</f>
        <v>0</v>
      </c>
      <c r="E708">
        <f>IF(COUNTIFS('United Data'!$A$3:$A$2150,E$1,'United Data'!$C$3:$C$2150,$A708,'United Data'!$B$3:$B$2150,"&lt;&gt;P")&gt;0,1,0)</f>
        <v>0</v>
      </c>
      <c r="F708">
        <f>IF(COUNTIFS('United Data'!$A$3:$A$2150,F$1,'United Data'!$C$3:$C$2150,$A708,'United Data'!$B$3:$B$2150,"&lt;&gt;P")&gt;0,1,0)</f>
        <v>0</v>
      </c>
      <c r="G708">
        <f>IF(COUNTIFS('United Data'!$A$3:$A$2150,G$1,'United Data'!$C$3:$C$2150,$A708,'United Data'!$B$3:$B$2150,"&lt;&gt;P")&gt;0,1,0)</f>
        <v>0</v>
      </c>
      <c r="H708">
        <f>IF(COUNTIFS('United Data'!$A$3:$A$2150,H$1,'United Data'!$C$3:$C$2150,$A708,'United Data'!$B$3:$B$2150,"&lt;&gt;P")&gt;0,1,0)</f>
        <v>0</v>
      </c>
      <c r="I708">
        <f>IF(COUNTIFS('United Data'!$A$3:$A$2150,I$1,'United Data'!$C$3:$C$2150,$A708,'United Data'!$B$3:$B$2150,"&lt;&gt;P")&gt;0,1,0)</f>
        <v>0</v>
      </c>
      <c r="J708">
        <f>IF(COUNTIFS('United Data'!$A$3:$A$2150,J$1,'United Data'!$C$3:$C$2150,$A708,'United Data'!$B$3:$B$2150,"&lt;&gt;P")&gt;0,1,0)</f>
        <v>0</v>
      </c>
      <c r="K708">
        <f>IF(COUNTIFS('United Data'!$A$3:$A$2150,K$1,'United Data'!$C$3:$C$2150,$A708,'United Data'!$B$3:$B$2150,"&lt;&gt;P")&gt;0,1,0)</f>
        <v>0</v>
      </c>
      <c r="L708">
        <f>IF(COUNTIFS('United Data'!$A$3:$A$2150,L$1,'United Data'!$C$3:$C$2150,$A708,'United Data'!$B$3:$B$2150,"&lt;&gt;P")&gt;0,1,0)</f>
        <v>0</v>
      </c>
      <c r="M708">
        <f>IF(COUNTIFS('United Data'!$A$3:$A$2150,M$1,'United Data'!$C$3:$C$2150,$A708,'United Data'!$B$3:$B$2150,"&lt;&gt;P")&gt;0,1,0)</f>
        <v>0</v>
      </c>
      <c r="N708">
        <f>IF(COUNTIFS('United Data'!$A$3:$A$2150,N$1,'United Data'!$C$3:$C$2150,$A708,'United Data'!$B$3:$B$2150,"&lt;&gt;P")&gt;0,1,0)</f>
        <v>1</v>
      </c>
      <c r="O708">
        <f>IF(COUNTIFS('United Data'!$A$3:$A$2150,O$1,'United Data'!$C$3:$C$2150,$A708,'United Data'!$B$3:$B$2150,"&lt;&gt;P")&gt;0,1,0)</f>
        <v>0</v>
      </c>
      <c r="P708">
        <f>IF(COUNTIFS('United Data'!$A$3:$A$2150,P$1,'United Data'!$C$3:$C$2150,$A708,'United Data'!$B$3:$B$2150,"&lt;&gt;P")&gt;0,1,0)</f>
        <v>0</v>
      </c>
      <c r="Q708">
        <f>IF(COUNTIFS('United Data'!$A$3:$A$2150,Q$1,'United Data'!$C$3:$C$2150,$A708,'United Data'!$B$3:$B$2150,"&lt;&gt;P")&gt;0,1,0)</f>
        <v>0</v>
      </c>
      <c r="R708">
        <f>IF(COUNTIFS('United Data'!$A$3:$A$2150,R$1,'United Data'!$C$3:$C$2150,$A708,'United Data'!$B$3:$B$2150,"&lt;&gt;P")&gt;0,1,0)</f>
        <v>0</v>
      </c>
      <c r="S708">
        <f t="shared" si="22"/>
        <v>1</v>
      </c>
      <c r="T708">
        <f t="shared" si="23"/>
        <v>1</v>
      </c>
    </row>
    <row r="709" spans="1:20" x14ac:dyDescent="0.2">
      <c r="A709" t="s">
        <v>755</v>
      </c>
      <c r="B709">
        <f>IF(COUNTIFS('United Data'!$A$3:$A$2150,B$1,'United Data'!$C$3:$C$2150,$A709,'United Data'!$B$3:$B$2150,"&lt;&gt;P")&gt;0,1,0)</f>
        <v>0</v>
      </c>
      <c r="C709">
        <f>IF(COUNTIFS('United Data'!$A$3:$A$2150,C$1,'United Data'!$C$3:$C$2150,$A709,'United Data'!$B$3:$B$2150,"&lt;&gt;P")&gt;0,1,0)</f>
        <v>0</v>
      </c>
      <c r="D709">
        <f>IF(COUNTIFS('United Data'!$A$3:$A$2150,D$1,'United Data'!$C$3:$C$2150,$A709,'United Data'!$B$3:$B$2150,"&lt;&gt;P")&gt;0,1,0)</f>
        <v>0</v>
      </c>
      <c r="E709">
        <f>IF(COUNTIFS('United Data'!$A$3:$A$2150,E$1,'United Data'!$C$3:$C$2150,$A709,'United Data'!$B$3:$B$2150,"&lt;&gt;P")&gt;0,1,0)</f>
        <v>0</v>
      </c>
      <c r="F709">
        <f>IF(COUNTIFS('United Data'!$A$3:$A$2150,F$1,'United Data'!$C$3:$C$2150,$A709,'United Data'!$B$3:$B$2150,"&lt;&gt;P")&gt;0,1,0)</f>
        <v>0</v>
      </c>
      <c r="G709">
        <f>IF(COUNTIFS('United Data'!$A$3:$A$2150,G$1,'United Data'!$C$3:$C$2150,$A709,'United Data'!$B$3:$B$2150,"&lt;&gt;P")&gt;0,1,0)</f>
        <v>0</v>
      </c>
      <c r="H709">
        <f>IF(COUNTIFS('United Data'!$A$3:$A$2150,H$1,'United Data'!$C$3:$C$2150,$A709,'United Data'!$B$3:$B$2150,"&lt;&gt;P")&gt;0,1,0)</f>
        <v>0</v>
      </c>
      <c r="I709">
        <f>IF(COUNTIFS('United Data'!$A$3:$A$2150,I$1,'United Data'!$C$3:$C$2150,$A709,'United Data'!$B$3:$B$2150,"&lt;&gt;P")&gt;0,1,0)</f>
        <v>0</v>
      </c>
      <c r="J709">
        <f>IF(COUNTIFS('United Data'!$A$3:$A$2150,J$1,'United Data'!$C$3:$C$2150,$A709,'United Data'!$B$3:$B$2150,"&lt;&gt;P")&gt;0,1,0)</f>
        <v>0</v>
      </c>
      <c r="K709">
        <f>IF(COUNTIFS('United Data'!$A$3:$A$2150,K$1,'United Data'!$C$3:$C$2150,$A709,'United Data'!$B$3:$B$2150,"&lt;&gt;P")&gt;0,1,0)</f>
        <v>0</v>
      </c>
      <c r="L709">
        <f>IF(COUNTIFS('United Data'!$A$3:$A$2150,L$1,'United Data'!$C$3:$C$2150,$A709,'United Data'!$B$3:$B$2150,"&lt;&gt;P")&gt;0,1,0)</f>
        <v>0</v>
      </c>
      <c r="M709">
        <f>IF(COUNTIFS('United Data'!$A$3:$A$2150,M$1,'United Data'!$C$3:$C$2150,$A709,'United Data'!$B$3:$B$2150,"&lt;&gt;P")&gt;0,1,0)</f>
        <v>0</v>
      </c>
      <c r="N709">
        <f>IF(COUNTIFS('United Data'!$A$3:$A$2150,N$1,'United Data'!$C$3:$C$2150,$A709,'United Data'!$B$3:$B$2150,"&lt;&gt;P")&gt;0,1,0)</f>
        <v>1</v>
      </c>
      <c r="O709">
        <f>IF(COUNTIFS('United Data'!$A$3:$A$2150,O$1,'United Data'!$C$3:$C$2150,$A709,'United Data'!$B$3:$B$2150,"&lt;&gt;P")&gt;0,1,0)</f>
        <v>0</v>
      </c>
      <c r="P709">
        <f>IF(COUNTIFS('United Data'!$A$3:$A$2150,P$1,'United Data'!$C$3:$C$2150,$A709,'United Data'!$B$3:$B$2150,"&lt;&gt;P")&gt;0,1,0)</f>
        <v>0</v>
      </c>
      <c r="Q709">
        <f>IF(COUNTIFS('United Data'!$A$3:$A$2150,Q$1,'United Data'!$C$3:$C$2150,$A709,'United Data'!$B$3:$B$2150,"&lt;&gt;P")&gt;0,1,0)</f>
        <v>0</v>
      </c>
      <c r="R709">
        <f>IF(COUNTIFS('United Data'!$A$3:$A$2150,R$1,'United Data'!$C$3:$C$2150,$A709,'United Data'!$B$3:$B$2150,"&lt;&gt;P")&gt;0,1,0)</f>
        <v>0</v>
      </c>
      <c r="S709">
        <f t="shared" si="22"/>
        <v>1</v>
      </c>
      <c r="T709">
        <f t="shared" si="23"/>
        <v>1</v>
      </c>
    </row>
    <row r="710" spans="1:20" x14ac:dyDescent="0.2">
      <c r="A710" t="s">
        <v>756</v>
      </c>
      <c r="B710">
        <f>IF(COUNTIFS('United Data'!$A$3:$A$2150,B$1,'United Data'!$C$3:$C$2150,$A710,'United Data'!$B$3:$B$2150,"&lt;&gt;P")&gt;0,1,0)</f>
        <v>0</v>
      </c>
      <c r="C710">
        <f>IF(COUNTIFS('United Data'!$A$3:$A$2150,C$1,'United Data'!$C$3:$C$2150,$A710,'United Data'!$B$3:$B$2150,"&lt;&gt;P")&gt;0,1,0)</f>
        <v>0</v>
      </c>
      <c r="D710">
        <f>IF(COUNTIFS('United Data'!$A$3:$A$2150,D$1,'United Data'!$C$3:$C$2150,$A710,'United Data'!$B$3:$B$2150,"&lt;&gt;P")&gt;0,1,0)</f>
        <v>0</v>
      </c>
      <c r="E710">
        <f>IF(COUNTIFS('United Data'!$A$3:$A$2150,E$1,'United Data'!$C$3:$C$2150,$A710,'United Data'!$B$3:$B$2150,"&lt;&gt;P")&gt;0,1,0)</f>
        <v>0</v>
      </c>
      <c r="F710">
        <f>IF(COUNTIFS('United Data'!$A$3:$A$2150,F$1,'United Data'!$C$3:$C$2150,$A710,'United Data'!$B$3:$B$2150,"&lt;&gt;P")&gt;0,1,0)</f>
        <v>0</v>
      </c>
      <c r="G710">
        <f>IF(COUNTIFS('United Data'!$A$3:$A$2150,G$1,'United Data'!$C$3:$C$2150,$A710,'United Data'!$B$3:$B$2150,"&lt;&gt;P")&gt;0,1,0)</f>
        <v>0</v>
      </c>
      <c r="H710">
        <f>IF(COUNTIFS('United Data'!$A$3:$A$2150,H$1,'United Data'!$C$3:$C$2150,$A710,'United Data'!$B$3:$B$2150,"&lt;&gt;P")&gt;0,1,0)</f>
        <v>0</v>
      </c>
      <c r="I710">
        <f>IF(COUNTIFS('United Data'!$A$3:$A$2150,I$1,'United Data'!$C$3:$C$2150,$A710,'United Data'!$B$3:$B$2150,"&lt;&gt;P")&gt;0,1,0)</f>
        <v>0</v>
      </c>
      <c r="J710">
        <f>IF(COUNTIFS('United Data'!$A$3:$A$2150,J$1,'United Data'!$C$3:$C$2150,$A710,'United Data'!$B$3:$B$2150,"&lt;&gt;P")&gt;0,1,0)</f>
        <v>0</v>
      </c>
      <c r="K710">
        <f>IF(COUNTIFS('United Data'!$A$3:$A$2150,K$1,'United Data'!$C$3:$C$2150,$A710,'United Data'!$B$3:$B$2150,"&lt;&gt;P")&gt;0,1,0)</f>
        <v>0</v>
      </c>
      <c r="L710">
        <f>IF(COUNTIFS('United Data'!$A$3:$A$2150,L$1,'United Data'!$C$3:$C$2150,$A710,'United Data'!$B$3:$B$2150,"&lt;&gt;P")&gt;0,1,0)</f>
        <v>0</v>
      </c>
      <c r="M710">
        <f>IF(COUNTIFS('United Data'!$A$3:$A$2150,M$1,'United Data'!$C$3:$C$2150,$A710,'United Data'!$B$3:$B$2150,"&lt;&gt;P")&gt;0,1,0)</f>
        <v>0</v>
      </c>
      <c r="N710">
        <f>IF(COUNTIFS('United Data'!$A$3:$A$2150,N$1,'United Data'!$C$3:$C$2150,$A710,'United Data'!$B$3:$B$2150,"&lt;&gt;P")&gt;0,1,0)</f>
        <v>1</v>
      </c>
      <c r="O710">
        <f>IF(COUNTIFS('United Data'!$A$3:$A$2150,O$1,'United Data'!$C$3:$C$2150,$A710,'United Data'!$B$3:$B$2150,"&lt;&gt;P")&gt;0,1,0)</f>
        <v>0</v>
      </c>
      <c r="P710">
        <f>IF(COUNTIFS('United Data'!$A$3:$A$2150,P$1,'United Data'!$C$3:$C$2150,$A710,'United Data'!$B$3:$B$2150,"&lt;&gt;P")&gt;0,1,0)</f>
        <v>0</v>
      </c>
      <c r="Q710">
        <f>IF(COUNTIFS('United Data'!$A$3:$A$2150,Q$1,'United Data'!$C$3:$C$2150,$A710,'United Data'!$B$3:$B$2150,"&lt;&gt;P")&gt;0,1,0)</f>
        <v>0</v>
      </c>
      <c r="R710">
        <f>IF(COUNTIFS('United Data'!$A$3:$A$2150,R$1,'United Data'!$C$3:$C$2150,$A710,'United Data'!$B$3:$B$2150,"&lt;&gt;P")&gt;0,1,0)</f>
        <v>0</v>
      </c>
      <c r="S710">
        <f t="shared" si="22"/>
        <v>1</v>
      </c>
      <c r="T710">
        <f t="shared" si="23"/>
        <v>1</v>
      </c>
    </row>
    <row r="711" spans="1:20" x14ac:dyDescent="0.2">
      <c r="A711" t="s">
        <v>757</v>
      </c>
      <c r="B711">
        <f>IF(COUNTIFS('United Data'!$A$3:$A$2150,B$1,'United Data'!$C$3:$C$2150,$A711,'United Data'!$B$3:$B$2150,"&lt;&gt;P")&gt;0,1,0)</f>
        <v>0</v>
      </c>
      <c r="C711">
        <f>IF(COUNTIFS('United Data'!$A$3:$A$2150,C$1,'United Data'!$C$3:$C$2150,$A711,'United Data'!$B$3:$B$2150,"&lt;&gt;P")&gt;0,1,0)</f>
        <v>0</v>
      </c>
      <c r="D711">
        <f>IF(COUNTIFS('United Data'!$A$3:$A$2150,D$1,'United Data'!$C$3:$C$2150,$A711,'United Data'!$B$3:$B$2150,"&lt;&gt;P")&gt;0,1,0)</f>
        <v>0</v>
      </c>
      <c r="E711">
        <f>IF(COUNTIFS('United Data'!$A$3:$A$2150,E$1,'United Data'!$C$3:$C$2150,$A711,'United Data'!$B$3:$B$2150,"&lt;&gt;P")&gt;0,1,0)</f>
        <v>0</v>
      </c>
      <c r="F711">
        <f>IF(COUNTIFS('United Data'!$A$3:$A$2150,F$1,'United Data'!$C$3:$C$2150,$A711,'United Data'!$B$3:$B$2150,"&lt;&gt;P")&gt;0,1,0)</f>
        <v>0</v>
      </c>
      <c r="G711">
        <f>IF(COUNTIFS('United Data'!$A$3:$A$2150,G$1,'United Data'!$C$3:$C$2150,$A711,'United Data'!$B$3:$B$2150,"&lt;&gt;P")&gt;0,1,0)</f>
        <v>0</v>
      </c>
      <c r="H711">
        <f>IF(COUNTIFS('United Data'!$A$3:$A$2150,H$1,'United Data'!$C$3:$C$2150,$A711,'United Data'!$B$3:$B$2150,"&lt;&gt;P")&gt;0,1,0)</f>
        <v>0</v>
      </c>
      <c r="I711">
        <f>IF(COUNTIFS('United Data'!$A$3:$A$2150,I$1,'United Data'!$C$3:$C$2150,$A711,'United Data'!$B$3:$B$2150,"&lt;&gt;P")&gt;0,1,0)</f>
        <v>0</v>
      </c>
      <c r="J711">
        <f>IF(COUNTIFS('United Data'!$A$3:$A$2150,J$1,'United Data'!$C$3:$C$2150,$A711,'United Data'!$B$3:$B$2150,"&lt;&gt;P")&gt;0,1,0)</f>
        <v>0</v>
      </c>
      <c r="K711">
        <f>IF(COUNTIFS('United Data'!$A$3:$A$2150,K$1,'United Data'!$C$3:$C$2150,$A711,'United Data'!$B$3:$B$2150,"&lt;&gt;P")&gt;0,1,0)</f>
        <v>0</v>
      </c>
      <c r="L711">
        <f>IF(COUNTIFS('United Data'!$A$3:$A$2150,L$1,'United Data'!$C$3:$C$2150,$A711,'United Data'!$B$3:$B$2150,"&lt;&gt;P")&gt;0,1,0)</f>
        <v>0</v>
      </c>
      <c r="M711">
        <f>IF(COUNTIFS('United Data'!$A$3:$A$2150,M$1,'United Data'!$C$3:$C$2150,$A711,'United Data'!$B$3:$B$2150,"&lt;&gt;P")&gt;0,1,0)</f>
        <v>0</v>
      </c>
      <c r="N711">
        <f>IF(COUNTIFS('United Data'!$A$3:$A$2150,N$1,'United Data'!$C$3:$C$2150,$A711,'United Data'!$B$3:$B$2150,"&lt;&gt;P")&gt;0,1,0)</f>
        <v>1</v>
      </c>
      <c r="O711">
        <f>IF(COUNTIFS('United Data'!$A$3:$A$2150,O$1,'United Data'!$C$3:$C$2150,$A711,'United Data'!$B$3:$B$2150,"&lt;&gt;P")&gt;0,1,0)</f>
        <v>0</v>
      </c>
      <c r="P711">
        <f>IF(COUNTIFS('United Data'!$A$3:$A$2150,P$1,'United Data'!$C$3:$C$2150,$A711,'United Data'!$B$3:$B$2150,"&lt;&gt;P")&gt;0,1,0)</f>
        <v>0</v>
      </c>
      <c r="Q711">
        <f>IF(COUNTIFS('United Data'!$A$3:$A$2150,Q$1,'United Data'!$C$3:$C$2150,$A711,'United Data'!$B$3:$B$2150,"&lt;&gt;P")&gt;0,1,0)</f>
        <v>0</v>
      </c>
      <c r="R711">
        <f>IF(COUNTIFS('United Data'!$A$3:$A$2150,R$1,'United Data'!$C$3:$C$2150,$A711,'United Data'!$B$3:$B$2150,"&lt;&gt;P")&gt;0,1,0)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758</v>
      </c>
      <c r="B712">
        <f>IF(COUNTIFS('United Data'!$A$3:$A$2150,B$1,'United Data'!$C$3:$C$2150,$A712,'United Data'!$B$3:$B$2150,"&lt;&gt;P")&gt;0,1,0)</f>
        <v>0</v>
      </c>
      <c r="C712">
        <f>IF(COUNTIFS('United Data'!$A$3:$A$2150,C$1,'United Data'!$C$3:$C$2150,$A712,'United Data'!$B$3:$B$2150,"&lt;&gt;P")&gt;0,1,0)</f>
        <v>0</v>
      </c>
      <c r="D712">
        <f>IF(COUNTIFS('United Data'!$A$3:$A$2150,D$1,'United Data'!$C$3:$C$2150,$A712,'United Data'!$B$3:$B$2150,"&lt;&gt;P")&gt;0,1,0)</f>
        <v>0</v>
      </c>
      <c r="E712">
        <f>IF(COUNTIFS('United Data'!$A$3:$A$2150,E$1,'United Data'!$C$3:$C$2150,$A712,'United Data'!$B$3:$B$2150,"&lt;&gt;P")&gt;0,1,0)</f>
        <v>0</v>
      </c>
      <c r="F712">
        <f>IF(COUNTIFS('United Data'!$A$3:$A$2150,F$1,'United Data'!$C$3:$C$2150,$A712,'United Data'!$B$3:$B$2150,"&lt;&gt;P")&gt;0,1,0)</f>
        <v>0</v>
      </c>
      <c r="G712">
        <f>IF(COUNTIFS('United Data'!$A$3:$A$2150,G$1,'United Data'!$C$3:$C$2150,$A712,'United Data'!$B$3:$B$2150,"&lt;&gt;P")&gt;0,1,0)</f>
        <v>0</v>
      </c>
      <c r="H712">
        <f>IF(COUNTIFS('United Data'!$A$3:$A$2150,H$1,'United Data'!$C$3:$C$2150,$A712,'United Data'!$B$3:$B$2150,"&lt;&gt;P")&gt;0,1,0)</f>
        <v>0</v>
      </c>
      <c r="I712">
        <f>IF(COUNTIFS('United Data'!$A$3:$A$2150,I$1,'United Data'!$C$3:$C$2150,$A712,'United Data'!$B$3:$B$2150,"&lt;&gt;P")&gt;0,1,0)</f>
        <v>0</v>
      </c>
      <c r="J712">
        <f>IF(COUNTIFS('United Data'!$A$3:$A$2150,J$1,'United Data'!$C$3:$C$2150,$A712,'United Data'!$B$3:$B$2150,"&lt;&gt;P")&gt;0,1,0)</f>
        <v>0</v>
      </c>
      <c r="K712">
        <f>IF(COUNTIFS('United Data'!$A$3:$A$2150,K$1,'United Data'!$C$3:$C$2150,$A712,'United Data'!$B$3:$B$2150,"&lt;&gt;P")&gt;0,1,0)</f>
        <v>0</v>
      </c>
      <c r="L712">
        <f>IF(COUNTIFS('United Data'!$A$3:$A$2150,L$1,'United Data'!$C$3:$C$2150,$A712,'United Data'!$B$3:$B$2150,"&lt;&gt;P")&gt;0,1,0)</f>
        <v>0</v>
      </c>
      <c r="M712">
        <f>IF(COUNTIFS('United Data'!$A$3:$A$2150,M$1,'United Data'!$C$3:$C$2150,$A712,'United Data'!$B$3:$B$2150,"&lt;&gt;P")&gt;0,1,0)</f>
        <v>0</v>
      </c>
      <c r="N712">
        <f>IF(COUNTIFS('United Data'!$A$3:$A$2150,N$1,'United Data'!$C$3:$C$2150,$A712,'United Data'!$B$3:$B$2150,"&lt;&gt;P")&gt;0,1,0)</f>
        <v>1</v>
      </c>
      <c r="O712">
        <f>IF(COUNTIFS('United Data'!$A$3:$A$2150,O$1,'United Data'!$C$3:$C$2150,$A712,'United Data'!$B$3:$B$2150,"&lt;&gt;P")&gt;0,1,0)</f>
        <v>0</v>
      </c>
      <c r="P712">
        <f>IF(COUNTIFS('United Data'!$A$3:$A$2150,P$1,'United Data'!$C$3:$C$2150,$A712,'United Data'!$B$3:$B$2150,"&lt;&gt;P")&gt;0,1,0)</f>
        <v>0</v>
      </c>
      <c r="Q712">
        <f>IF(COUNTIFS('United Data'!$A$3:$A$2150,Q$1,'United Data'!$C$3:$C$2150,$A712,'United Data'!$B$3:$B$2150,"&lt;&gt;P")&gt;0,1,0)</f>
        <v>0</v>
      </c>
      <c r="R712">
        <f>IF(COUNTIFS('United Data'!$A$3:$A$2150,R$1,'United Data'!$C$3:$C$2150,$A712,'United Data'!$B$3:$B$2150,"&lt;&gt;P")&gt;0,1,0)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759</v>
      </c>
      <c r="B713">
        <f>IF(COUNTIFS('United Data'!$A$3:$A$2150,B$1,'United Data'!$C$3:$C$2150,$A713,'United Data'!$B$3:$B$2150,"&lt;&gt;P")&gt;0,1,0)</f>
        <v>0</v>
      </c>
      <c r="C713">
        <f>IF(COUNTIFS('United Data'!$A$3:$A$2150,C$1,'United Data'!$C$3:$C$2150,$A713,'United Data'!$B$3:$B$2150,"&lt;&gt;P")&gt;0,1,0)</f>
        <v>0</v>
      </c>
      <c r="D713">
        <f>IF(COUNTIFS('United Data'!$A$3:$A$2150,D$1,'United Data'!$C$3:$C$2150,$A713,'United Data'!$B$3:$B$2150,"&lt;&gt;P")&gt;0,1,0)</f>
        <v>0</v>
      </c>
      <c r="E713">
        <f>IF(COUNTIFS('United Data'!$A$3:$A$2150,E$1,'United Data'!$C$3:$C$2150,$A713,'United Data'!$B$3:$B$2150,"&lt;&gt;P")&gt;0,1,0)</f>
        <v>0</v>
      </c>
      <c r="F713">
        <f>IF(COUNTIFS('United Data'!$A$3:$A$2150,F$1,'United Data'!$C$3:$C$2150,$A713,'United Data'!$B$3:$B$2150,"&lt;&gt;P")&gt;0,1,0)</f>
        <v>0</v>
      </c>
      <c r="G713">
        <f>IF(COUNTIFS('United Data'!$A$3:$A$2150,G$1,'United Data'!$C$3:$C$2150,$A713,'United Data'!$B$3:$B$2150,"&lt;&gt;P")&gt;0,1,0)</f>
        <v>0</v>
      </c>
      <c r="H713">
        <f>IF(COUNTIFS('United Data'!$A$3:$A$2150,H$1,'United Data'!$C$3:$C$2150,$A713,'United Data'!$B$3:$B$2150,"&lt;&gt;P")&gt;0,1,0)</f>
        <v>0</v>
      </c>
      <c r="I713">
        <f>IF(COUNTIFS('United Data'!$A$3:$A$2150,I$1,'United Data'!$C$3:$C$2150,$A713,'United Data'!$B$3:$B$2150,"&lt;&gt;P")&gt;0,1,0)</f>
        <v>0</v>
      </c>
      <c r="J713">
        <f>IF(COUNTIFS('United Data'!$A$3:$A$2150,J$1,'United Data'!$C$3:$C$2150,$A713,'United Data'!$B$3:$B$2150,"&lt;&gt;P")&gt;0,1,0)</f>
        <v>0</v>
      </c>
      <c r="K713">
        <f>IF(COUNTIFS('United Data'!$A$3:$A$2150,K$1,'United Data'!$C$3:$C$2150,$A713,'United Data'!$B$3:$B$2150,"&lt;&gt;P")&gt;0,1,0)</f>
        <v>0</v>
      </c>
      <c r="L713">
        <f>IF(COUNTIFS('United Data'!$A$3:$A$2150,L$1,'United Data'!$C$3:$C$2150,$A713,'United Data'!$B$3:$B$2150,"&lt;&gt;P")&gt;0,1,0)</f>
        <v>0</v>
      </c>
      <c r="M713">
        <f>IF(COUNTIFS('United Data'!$A$3:$A$2150,M$1,'United Data'!$C$3:$C$2150,$A713,'United Data'!$B$3:$B$2150,"&lt;&gt;P")&gt;0,1,0)</f>
        <v>0</v>
      </c>
      <c r="N713">
        <f>IF(COUNTIFS('United Data'!$A$3:$A$2150,N$1,'United Data'!$C$3:$C$2150,$A713,'United Data'!$B$3:$B$2150,"&lt;&gt;P")&gt;0,1,0)</f>
        <v>1</v>
      </c>
      <c r="O713">
        <f>IF(COUNTIFS('United Data'!$A$3:$A$2150,O$1,'United Data'!$C$3:$C$2150,$A713,'United Data'!$B$3:$B$2150,"&lt;&gt;P")&gt;0,1,0)</f>
        <v>1</v>
      </c>
      <c r="P713">
        <f>IF(COUNTIFS('United Data'!$A$3:$A$2150,P$1,'United Data'!$C$3:$C$2150,$A713,'United Data'!$B$3:$B$2150,"&lt;&gt;P")&gt;0,1,0)</f>
        <v>0</v>
      </c>
      <c r="Q713">
        <f>IF(COUNTIFS('United Data'!$A$3:$A$2150,Q$1,'United Data'!$C$3:$C$2150,$A713,'United Data'!$B$3:$B$2150,"&lt;&gt;P")&gt;0,1,0)</f>
        <v>0</v>
      </c>
      <c r="R713">
        <f>IF(COUNTIFS('United Data'!$A$3:$A$2150,R$1,'United Data'!$C$3:$C$2150,$A713,'United Data'!$B$3:$B$2150,"&lt;&gt;P")&gt;0,1,0)</f>
        <v>0</v>
      </c>
      <c r="S713">
        <f t="shared" si="22"/>
        <v>2</v>
      </c>
      <c r="T713">
        <f t="shared" si="23"/>
        <v>1</v>
      </c>
    </row>
    <row r="714" spans="1:20" x14ac:dyDescent="0.2">
      <c r="A714" t="s">
        <v>760</v>
      </c>
      <c r="B714">
        <f>IF(COUNTIFS('United Data'!$A$3:$A$2150,B$1,'United Data'!$C$3:$C$2150,$A714,'United Data'!$B$3:$B$2150,"&lt;&gt;P")&gt;0,1,0)</f>
        <v>0</v>
      </c>
      <c r="C714">
        <f>IF(COUNTIFS('United Data'!$A$3:$A$2150,C$1,'United Data'!$C$3:$C$2150,$A714,'United Data'!$B$3:$B$2150,"&lt;&gt;P")&gt;0,1,0)</f>
        <v>0</v>
      </c>
      <c r="D714">
        <f>IF(COUNTIFS('United Data'!$A$3:$A$2150,D$1,'United Data'!$C$3:$C$2150,$A714,'United Data'!$B$3:$B$2150,"&lt;&gt;P")&gt;0,1,0)</f>
        <v>0</v>
      </c>
      <c r="E714">
        <f>IF(COUNTIFS('United Data'!$A$3:$A$2150,E$1,'United Data'!$C$3:$C$2150,$A714,'United Data'!$B$3:$B$2150,"&lt;&gt;P")&gt;0,1,0)</f>
        <v>0</v>
      </c>
      <c r="F714">
        <f>IF(COUNTIFS('United Data'!$A$3:$A$2150,F$1,'United Data'!$C$3:$C$2150,$A714,'United Data'!$B$3:$B$2150,"&lt;&gt;P")&gt;0,1,0)</f>
        <v>0</v>
      </c>
      <c r="G714">
        <f>IF(COUNTIFS('United Data'!$A$3:$A$2150,G$1,'United Data'!$C$3:$C$2150,$A714,'United Data'!$B$3:$B$2150,"&lt;&gt;P")&gt;0,1,0)</f>
        <v>0</v>
      </c>
      <c r="H714">
        <f>IF(COUNTIFS('United Data'!$A$3:$A$2150,H$1,'United Data'!$C$3:$C$2150,$A714,'United Data'!$B$3:$B$2150,"&lt;&gt;P")&gt;0,1,0)</f>
        <v>0</v>
      </c>
      <c r="I714">
        <f>IF(COUNTIFS('United Data'!$A$3:$A$2150,I$1,'United Data'!$C$3:$C$2150,$A714,'United Data'!$B$3:$B$2150,"&lt;&gt;P")&gt;0,1,0)</f>
        <v>0</v>
      </c>
      <c r="J714">
        <f>IF(COUNTIFS('United Data'!$A$3:$A$2150,J$1,'United Data'!$C$3:$C$2150,$A714,'United Data'!$B$3:$B$2150,"&lt;&gt;P")&gt;0,1,0)</f>
        <v>0</v>
      </c>
      <c r="K714">
        <f>IF(COUNTIFS('United Data'!$A$3:$A$2150,K$1,'United Data'!$C$3:$C$2150,$A714,'United Data'!$B$3:$B$2150,"&lt;&gt;P")&gt;0,1,0)</f>
        <v>0</v>
      </c>
      <c r="L714">
        <f>IF(COUNTIFS('United Data'!$A$3:$A$2150,L$1,'United Data'!$C$3:$C$2150,$A714,'United Data'!$B$3:$B$2150,"&lt;&gt;P")&gt;0,1,0)</f>
        <v>0</v>
      </c>
      <c r="M714">
        <f>IF(COUNTIFS('United Data'!$A$3:$A$2150,M$1,'United Data'!$C$3:$C$2150,$A714,'United Data'!$B$3:$B$2150,"&lt;&gt;P")&gt;0,1,0)</f>
        <v>0</v>
      </c>
      <c r="N714">
        <f>IF(COUNTIFS('United Data'!$A$3:$A$2150,N$1,'United Data'!$C$3:$C$2150,$A714,'United Data'!$B$3:$B$2150,"&lt;&gt;P")&gt;0,1,0)</f>
        <v>1</v>
      </c>
      <c r="O714">
        <f>IF(COUNTIFS('United Data'!$A$3:$A$2150,O$1,'United Data'!$C$3:$C$2150,$A714,'United Data'!$B$3:$B$2150,"&lt;&gt;P")&gt;0,1,0)</f>
        <v>1</v>
      </c>
      <c r="P714">
        <f>IF(COUNTIFS('United Data'!$A$3:$A$2150,P$1,'United Data'!$C$3:$C$2150,$A714,'United Data'!$B$3:$B$2150,"&lt;&gt;P")&gt;0,1,0)</f>
        <v>0</v>
      </c>
      <c r="Q714">
        <f>IF(COUNTIFS('United Data'!$A$3:$A$2150,Q$1,'United Data'!$C$3:$C$2150,$A714,'United Data'!$B$3:$B$2150,"&lt;&gt;P")&gt;0,1,0)</f>
        <v>0</v>
      </c>
      <c r="R714">
        <f>IF(COUNTIFS('United Data'!$A$3:$A$2150,R$1,'United Data'!$C$3:$C$2150,$A714,'United Data'!$B$3:$B$2150,"&lt;&gt;P")&gt;0,1,0)</f>
        <v>0</v>
      </c>
      <c r="S714">
        <f t="shared" si="22"/>
        <v>2</v>
      </c>
      <c r="T714">
        <f t="shared" si="23"/>
        <v>1</v>
      </c>
    </row>
    <row r="715" spans="1:20" x14ac:dyDescent="0.2">
      <c r="A715" t="s">
        <v>761</v>
      </c>
      <c r="B715">
        <f>IF(COUNTIFS('United Data'!$A$3:$A$2150,B$1,'United Data'!$C$3:$C$2150,$A715,'United Data'!$B$3:$B$2150,"&lt;&gt;P")&gt;0,1,0)</f>
        <v>0</v>
      </c>
      <c r="C715">
        <f>IF(COUNTIFS('United Data'!$A$3:$A$2150,C$1,'United Data'!$C$3:$C$2150,$A715,'United Data'!$B$3:$B$2150,"&lt;&gt;P")&gt;0,1,0)</f>
        <v>0</v>
      </c>
      <c r="D715">
        <f>IF(COUNTIFS('United Data'!$A$3:$A$2150,D$1,'United Data'!$C$3:$C$2150,$A715,'United Data'!$B$3:$B$2150,"&lt;&gt;P")&gt;0,1,0)</f>
        <v>0</v>
      </c>
      <c r="E715">
        <f>IF(COUNTIFS('United Data'!$A$3:$A$2150,E$1,'United Data'!$C$3:$C$2150,$A715,'United Data'!$B$3:$B$2150,"&lt;&gt;P")&gt;0,1,0)</f>
        <v>0</v>
      </c>
      <c r="F715">
        <f>IF(COUNTIFS('United Data'!$A$3:$A$2150,F$1,'United Data'!$C$3:$C$2150,$A715,'United Data'!$B$3:$B$2150,"&lt;&gt;P")&gt;0,1,0)</f>
        <v>0</v>
      </c>
      <c r="G715">
        <f>IF(COUNTIFS('United Data'!$A$3:$A$2150,G$1,'United Data'!$C$3:$C$2150,$A715,'United Data'!$B$3:$B$2150,"&lt;&gt;P")&gt;0,1,0)</f>
        <v>0</v>
      </c>
      <c r="H715">
        <f>IF(COUNTIFS('United Data'!$A$3:$A$2150,H$1,'United Data'!$C$3:$C$2150,$A715,'United Data'!$B$3:$B$2150,"&lt;&gt;P")&gt;0,1,0)</f>
        <v>0</v>
      </c>
      <c r="I715">
        <f>IF(COUNTIFS('United Data'!$A$3:$A$2150,I$1,'United Data'!$C$3:$C$2150,$A715,'United Data'!$B$3:$B$2150,"&lt;&gt;P")&gt;0,1,0)</f>
        <v>0</v>
      </c>
      <c r="J715">
        <f>IF(COUNTIFS('United Data'!$A$3:$A$2150,J$1,'United Data'!$C$3:$C$2150,$A715,'United Data'!$B$3:$B$2150,"&lt;&gt;P")&gt;0,1,0)</f>
        <v>0</v>
      </c>
      <c r="K715">
        <f>IF(COUNTIFS('United Data'!$A$3:$A$2150,K$1,'United Data'!$C$3:$C$2150,$A715,'United Data'!$B$3:$B$2150,"&lt;&gt;P")&gt;0,1,0)</f>
        <v>0</v>
      </c>
      <c r="L715">
        <f>IF(COUNTIFS('United Data'!$A$3:$A$2150,L$1,'United Data'!$C$3:$C$2150,$A715,'United Data'!$B$3:$B$2150,"&lt;&gt;P")&gt;0,1,0)</f>
        <v>0</v>
      </c>
      <c r="M715">
        <f>IF(COUNTIFS('United Data'!$A$3:$A$2150,M$1,'United Data'!$C$3:$C$2150,$A715,'United Data'!$B$3:$B$2150,"&lt;&gt;P")&gt;0,1,0)</f>
        <v>0</v>
      </c>
      <c r="N715">
        <f>IF(COUNTIFS('United Data'!$A$3:$A$2150,N$1,'United Data'!$C$3:$C$2150,$A715,'United Data'!$B$3:$B$2150,"&lt;&gt;P")&gt;0,1,0)</f>
        <v>1</v>
      </c>
      <c r="O715">
        <f>IF(COUNTIFS('United Data'!$A$3:$A$2150,O$1,'United Data'!$C$3:$C$2150,$A715,'United Data'!$B$3:$B$2150,"&lt;&gt;P")&gt;0,1,0)</f>
        <v>0</v>
      </c>
      <c r="P715">
        <f>IF(COUNTIFS('United Data'!$A$3:$A$2150,P$1,'United Data'!$C$3:$C$2150,$A715,'United Data'!$B$3:$B$2150,"&lt;&gt;P")&gt;0,1,0)</f>
        <v>0</v>
      </c>
      <c r="Q715">
        <f>IF(COUNTIFS('United Data'!$A$3:$A$2150,Q$1,'United Data'!$C$3:$C$2150,$A715,'United Data'!$B$3:$B$2150,"&lt;&gt;P")&gt;0,1,0)</f>
        <v>0</v>
      </c>
      <c r="R715">
        <f>IF(COUNTIFS('United Data'!$A$3:$A$2150,R$1,'United Data'!$C$3:$C$2150,$A715,'United Data'!$B$3:$B$2150,"&lt;&gt;P")&gt;0,1,0)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762</v>
      </c>
      <c r="B716">
        <f>IF(COUNTIFS('United Data'!$A$3:$A$2150,B$1,'United Data'!$C$3:$C$2150,$A716,'United Data'!$B$3:$B$2150,"&lt;&gt;P")&gt;0,1,0)</f>
        <v>0</v>
      </c>
      <c r="C716">
        <f>IF(COUNTIFS('United Data'!$A$3:$A$2150,C$1,'United Data'!$C$3:$C$2150,$A716,'United Data'!$B$3:$B$2150,"&lt;&gt;P")&gt;0,1,0)</f>
        <v>0</v>
      </c>
      <c r="D716">
        <f>IF(COUNTIFS('United Data'!$A$3:$A$2150,D$1,'United Data'!$C$3:$C$2150,$A716,'United Data'!$B$3:$B$2150,"&lt;&gt;P")&gt;0,1,0)</f>
        <v>0</v>
      </c>
      <c r="E716">
        <f>IF(COUNTIFS('United Data'!$A$3:$A$2150,E$1,'United Data'!$C$3:$C$2150,$A716,'United Data'!$B$3:$B$2150,"&lt;&gt;P")&gt;0,1,0)</f>
        <v>0</v>
      </c>
      <c r="F716">
        <f>IF(COUNTIFS('United Data'!$A$3:$A$2150,F$1,'United Data'!$C$3:$C$2150,$A716,'United Data'!$B$3:$B$2150,"&lt;&gt;P")&gt;0,1,0)</f>
        <v>0</v>
      </c>
      <c r="G716">
        <f>IF(COUNTIFS('United Data'!$A$3:$A$2150,G$1,'United Data'!$C$3:$C$2150,$A716,'United Data'!$B$3:$B$2150,"&lt;&gt;P")&gt;0,1,0)</f>
        <v>0</v>
      </c>
      <c r="H716">
        <f>IF(COUNTIFS('United Data'!$A$3:$A$2150,H$1,'United Data'!$C$3:$C$2150,$A716,'United Data'!$B$3:$B$2150,"&lt;&gt;P")&gt;0,1,0)</f>
        <v>0</v>
      </c>
      <c r="I716">
        <f>IF(COUNTIFS('United Data'!$A$3:$A$2150,I$1,'United Data'!$C$3:$C$2150,$A716,'United Data'!$B$3:$B$2150,"&lt;&gt;P")&gt;0,1,0)</f>
        <v>0</v>
      </c>
      <c r="J716">
        <f>IF(COUNTIFS('United Data'!$A$3:$A$2150,J$1,'United Data'!$C$3:$C$2150,$A716,'United Data'!$B$3:$B$2150,"&lt;&gt;P")&gt;0,1,0)</f>
        <v>0</v>
      </c>
      <c r="K716">
        <f>IF(COUNTIFS('United Data'!$A$3:$A$2150,K$1,'United Data'!$C$3:$C$2150,$A716,'United Data'!$B$3:$B$2150,"&lt;&gt;P")&gt;0,1,0)</f>
        <v>0</v>
      </c>
      <c r="L716">
        <f>IF(COUNTIFS('United Data'!$A$3:$A$2150,L$1,'United Data'!$C$3:$C$2150,$A716,'United Data'!$B$3:$B$2150,"&lt;&gt;P")&gt;0,1,0)</f>
        <v>0</v>
      </c>
      <c r="M716">
        <f>IF(COUNTIFS('United Data'!$A$3:$A$2150,M$1,'United Data'!$C$3:$C$2150,$A716,'United Data'!$B$3:$B$2150,"&lt;&gt;P")&gt;0,1,0)</f>
        <v>0</v>
      </c>
      <c r="N716">
        <f>IF(COUNTIFS('United Data'!$A$3:$A$2150,N$1,'United Data'!$C$3:$C$2150,$A716,'United Data'!$B$3:$B$2150,"&lt;&gt;P")&gt;0,1,0)</f>
        <v>1</v>
      </c>
      <c r="O716">
        <f>IF(COUNTIFS('United Data'!$A$3:$A$2150,O$1,'United Data'!$C$3:$C$2150,$A716,'United Data'!$B$3:$B$2150,"&lt;&gt;P")&gt;0,1,0)</f>
        <v>0</v>
      </c>
      <c r="P716">
        <f>IF(COUNTIFS('United Data'!$A$3:$A$2150,P$1,'United Data'!$C$3:$C$2150,$A716,'United Data'!$B$3:$B$2150,"&lt;&gt;P")&gt;0,1,0)</f>
        <v>0</v>
      </c>
      <c r="Q716">
        <f>IF(COUNTIFS('United Data'!$A$3:$A$2150,Q$1,'United Data'!$C$3:$C$2150,$A716,'United Data'!$B$3:$B$2150,"&lt;&gt;P")&gt;0,1,0)</f>
        <v>0</v>
      </c>
      <c r="R716">
        <f>IF(COUNTIFS('United Data'!$A$3:$A$2150,R$1,'United Data'!$C$3:$C$2150,$A716,'United Data'!$B$3:$B$2150,"&lt;&gt;P")&gt;0,1,0)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763</v>
      </c>
      <c r="B717">
        <f>IF(COUNTIFS('United Data'!$A$3:$A$2150,B$1,'United Data'!$C$3:$C$2150,$A717,'United Data'!$B$3:$B$2150,"&lt;&gt;P")&gt;0,1,0)</f>
        <v>0</v>
      </c>
      <c r="C717">
        <f>IF(COUNTIFS('United Data'!$A$3:$A$2150,C$1,'United Data'!$C$3:$C$2150,$A717,'United Data'!$B$3:$B$2150,"&lt;&gt;P")&gt;0,1,0)</f>
        <v>0</v>
      </c>
      <c r="D717">
        <f>IF(COUNTIFS('United Data'!$A$3:$A$2150,D$1,'United Data'!$C$3:$C$2150,$A717,'United Data'!$B$3:$B$2150,"&lt;&gt;P")&gt;0,1,0)</f>
        <v>0</v>
      </c>
      <c r="E717">
        <f>IF(COUNTIFS('United Data'!$A$3:$A$2150,E$1,'United Data'!$C$3:$C$2150,$A717,'United Data'!$B$3:$B$2150,"&lt;&gt;P")&gt;0,1,0)</f>
        <v>0</v>
      </c>
      <c r="F717">
        <f>IF(COUNTIFS('United Data'!$A$3:$A$2150,F$1,'United Data'!$C$3:$C$2150,$A717,'United Data'!$B$3:$B$2150,"&lt;&gt;P")&gt;0,1,0)</f>
        <v>0</v>
      </c>
      <c r="G717">
        <f>IF(COUNTIFS('United Data'!$A$3:$A$2150,G$1,'United Data'!$C$3:$C$2150,$A717,'United Data'!$B$3:$B$2150,"&lt;&gt;P")&gt;0,1,0)</f>
        <v>0</v>
      </c>
      <c r="H717">
        <f>IF(COUNTIFS('United Data'!$A$3:$A$2150,H$1,'United Data'!$C$3:$C$2150,$A717,'United Data'!$B$3:$B$2150,"&lt;&gt;P")&gt;0,1,0)</f>
        <v>0</v>
      </c>
      <c r="I717">
        <f>IF(COUNTIFS('United Data'!$A$3:$A$2150,I$1,'United Data'!$C$3:$C$2150,$A717,'United Data'!$B$3:$B$2150,"&lt;&gt;P")&gt;0,1,0)</f>
        <v>0</v>
      </c>
      <c r="J717">
        <f>IF(COUNTIFS('United Data'!$A$3:$A$2150,J$1,'United Data'!$C$3:$C$2150,$A717,'United Data'!$B$3:$B$2150,"&lt;&gt;P")&gt;0,1,0)</f>
        <v>0</v>
      </c>
      <c r="K717">
        <f>IF(COUNTIFS('United Data'!$A$3:$A$2150,K$1,'United Data'!$C$3:$C$2150,$A717,'United Data'!$B$3:$B$2150,"&lt;&gt;P")&gt;0,1,0)</f>
        <v>0</v>
      </c>
      <c r="L717">
        <f>IF(COUNTIFS('United Data'!$A$3:$A$2150,L$1,'United Data'!$C$3:$C$2150,$A717,'United Data'!$B$3:$B$2150,"&lt;&gt;P")&gt;0,1,0)</f>
        <v>0</v>
      </c>
      <c r="M717">
        <f>IF(COUNTIFS('United Data'!$A$3:$A$2150,M$1,'United Data'!$C$3:$C$2150,$A717,'United Data'!$B$3:$B$2150,"&lt;&gt;P")&gt;0,1,0)</f>
        <v>0</v>
      </c>
      <c r="N717">
        <f>IF(COUNTIFS('United Data'!$A$3:$A$2150,N$1,'United Data'!$C$3:$C$2150,$A717,'United Data'!$B$3:$B$2150,"&lt;&gt;P")&gt;0,1,0)</f>
        <v>0</v>
      </c>
      <c r="O717">
        <f>IF(COUNTIFS('United Data'!$A$3:$A$2150,O$1,'United Data'!$C$3:$C$2150,$A717,'United Data'!$B$3:$B$2150,"&lt;&gt;P")&gt;0,1,0)</f>
        <v>1</v>
      </c>
      <c r="P717">
        <f>IF(COUNTIFS('United Data'!$A$3:$A$2150,P$1,'United Data'!$C$3:$C$2150,$A717,'United Data'!$B$3:$B$2150,"&lt;&gt;P")&gt;0,1,0)</f>
        <v>0</v>
      </c>
      <c r="Q717">
        <f>IF(COUNTIFS('United Data'!$A$3:$A$2150,Q$1,'United Data'!$C$3:$C$2150,$A717,'United Data'!$B$3:$B$2150,"&lt;&gt;P")&gt;0,1,0)</f>
        <v>0</v>
      </c>
      <c r="R717">
        <f>IF(COUNTIFS('United Data'!$A$3:$A$2150,R$1,'United Data'!$C$3:$C$2150,$A717,'United Data'!$B$3:$B$2150,"&lt;&gt;P")&gt;0,1,0)</f>
        <v>0</v>
      </c>
      <c r="S717">
        <f t="shared" si="22"/>
        <v>1</v>
      </c>
      <c r="T717">
        <f t="shared" si="23"/>
        <v>1</v>
      </c>
    </row>
    <row r="718" spans="1:20" x14ac:dyDescent="0.2">
      <c r="A718" t="s">
        <v>764</v>
      </c>
      <c r="B718">
        <f>IF(COUNTIFS('United Data'!$A$3:$A$2150,B$1,'United Data'!$C$3:$C$2150,$A718,'United Data'!$B$3:$B$2150,"&lt;&gt;P")&gt;0,1,0)</f>
        <v>0</v>
      </c>
      <c r="C718">
        <f>IF(COUNTIFS('United Data'!$A$3:$A$2150,C$1,'United Data'!$C$3:$C$2150,$A718,'United Data'!$B$3:$B$2150,"&lt;&gt;P")&gt;0,1,0)</f>
        <v>0</v>
      </c>
      <c r="D718">
        <f>IF(COUNTIFS('United Data'!$A$3:$A$2150,D$1,'United Data'!$C$3:$C$2150,$A718,'United Data'!$B$3:$B$2150,"&lt;&gt;P")&gt;0,1,0)</f>
        <v>0</v>
      </c>
      <c r="E718">
        <f>IF(COUNTIFS('United Data'!$A$3:$A$2150,E$1,'United Data'!$C$3:$C$2150,$A718,'United Data'!$B$3:$B$2150,"&lt;&gt;P")&gt;0,1,0)</f>
        <v>0</v>
      </c>
      <c r="F718">
        <f>IF(COUNTIFS('United Data'!$A$3:$A$2150,F$1,'United Data'!$C$3:$C$2150,$A718,'United Data'!$B$3:$B$2150,"&lt;&gt;P")&gt;0,1,0)</f>
        <v>0</v>
      </c>
      <c r="G718">
        <f>IF(COUNTIFS('United Data'!$A$3:$A$2150,G$1,'United Data'!$C$3:$C$2150,$A718,'United Data'!$B$3:$B$2150,"&lt;&gt;P")&gt;0,1,0)</f>
        <v>0</v>
      </c>
      <c r="H718">
        <f>IF(COUNTIFS('United Data'!$A$3:$A$2150,H$1,'United Data'!$C$3:$C$2150,$A718,'United Data'!$B$3:$B$2150,"&lt;&gt;P")&gt;0,1,0)</f>
        <v>0</v>
      </c>
      <c r="I718">
        <f>IF(COUNTIFS('United Data'!$A$3:$A$2150,I$1,'United Data'!$C$3:$C$2150,$A718,'United Data'!$B$3:$B$2150,"&lt;&gt;P")&gt;0,1,0)</f>
        <v>0</v>
      </c>
      <c r="J718">
        <f>IF(COUNTIFS('United Data'!$A$3:$A$2150,J$1,'United Data'!$C$3:$C$2150,$A718,'United Data'!$B$3:$B$2150,"&lt;&gt;P")&gt;0,1,0)</f>
        <v>0</v>
      </c>
      <c r="K718">
        <f>IF(COUNTIFS('United Data'!$A$3:$A$2150,K$1,'United Data'!$C$3:$C$2150,$A718,'United Data'!$B$3:$B$2150,"&lt;&gt;P")&gt;0,1,0)</f>
        <v>0</v>
      </c>
      <c r="L718">
        <f>IF(COUNTIFS('United Data'!$A$3:$A$2150,L$1,'United Data'!$C$3:$C$2150,$A718,'United Data'!$B$3:$B$2150,"&lt;&gt;P")&gt;0,1,0)</f>
        <v>0</v>
      </c>
      <c r="M718">
        <f>IF(COUNTIFS('United Data'!$A$3:$A$2150,M$1,'United Data'!$C$3:$C$2150,$A718,'United Data'!$B$3:$B$2150,"&lt;&gt;P")&gt;0,1,0)</f>
        <v>0</v>
      </c>
      <c r="N718">
        <f>IF(COUNTIFS('United Data'!$A$3:$A$2150,N$1,'United Data'!$C$3:$C$2150,$A718,'United Data'!$B$3:$B$2150,"&lt;&gt;P")&gt;0,1,0)</f>
        <v>0</v>
      </c>
      <c r="O718">
        <f>IF(COUNTIFS('United Data'!$A$3:$A$2150,O$1,'United Data'!$C$3:$C$2150,$A718,'United Data'!$B$3:$B$2150,"&lt;&gt;P")&gt;0,1,0)</f>
        <v>1</v>
      </c>
      <c r="P718">
        <f>IF(COUNTIFS('United Data'!$A$3:$A$2150,P$1,'United Data'!$C$3:$C$2150,$A718,'United Data'!$B$3:$B$2150,"&lt;&gt;P")&gt;0,1,0)</f>
        <v>0</v>
      </c>
      <c r="Q718">
        <f>IF(COUNTIFS('United Data'!$A$3:$A$2150,Q$1,'United Data'!$C$3:$C$2150,$A718,'United Data'!$B$3:$B$2150,"&lt;&gt;P")&gt;0,1,0)</f>
        <v>0</v>
      </c>
      <c r="R718">
        <f>IF(COUNTIFS('United Data'!$A$3:$A$2150,R$1,'United Data'!$C$3:$C$2150,$A718,'United Data'!$B$3:$B$2150,"&lt;&gt;P")&gt;0,1,0)</f>
        <v>0</v>
      </c>
      <c r="S718">
        <f t="shared" si="22"/>
        <v>1</v>
      </c>
      <c r="T718">
        <f t="shared" si="23"/>
        <v>1</v>
      </c>
    </row>
    <row r="719" spans="1:20" x14ac:dyDescent="0.2">
      <c r="A719" t="s">
        <v>765</v>
      </c>
      <c r="B719">
        <f>IF(COUNTIFS('United Data'!$A$3:$A$2150,B$1,'United Data'!$C$3:$C$2150,$A719,'United Data'!$B$3:$B$2150,"&lt;&gt;P")&gt;0,1,0)</f>
        <v>0</v>
      </c>
      <c r="C719">
        <f>IF(COUNTIFS('United Data'!$A$3:$A$2150,C$1,'United Data'!$C$3:$C$2150,$A719,'United Data'!$B$3:$B$2150,"&lt;&gt;P")&gt;0,1,0)</f>
        <v>0</v>
      </c>
      <c r="D719">
        <f>IF(COUNTIFS('United Data'!$A$3:$A$2150,D$1,'United Data'!$C$3:$C$2150,$A719,'United Data'!$B$3:$B$2150,"&lt;&gt;P")&gt;0,1,0)</f>
        <v>0</v>
      </c>
      <c r="E719">
        <f>IF(COUNTIFS('United Data'!$A$3:$A$2150,E$1,'United Data'!$C$3:$C$2150,$A719,'United Data'!$B$3:$B$2150,"&lt;&gt;P")&gt;0,1,0)</f>
        <v>0</v>
      </c>
      <c r="F719">
        <f>IF(COUNTIFS('United Data'!$A$3:$A$2150,F$1,'United Data'!$C$3:$C$2150,$A719,'United Data'!$B$3:$B$2150,"&lt;&gt;P")&gt;0,1,0)</f>
        <v>0</v>
      </c>
      <c r="G719">
        <f>IF(COUNTIFS('United Data'!$A$3:$A$2150,G$1,'United Data'!$C$3:$C$2150,$A719,'United Data'!$B$3:$B$2150,"&lt;&gt;P")&gt;0,1,0)</f>
        <v>0</v>
      </c>
      <c r="H719">
        <f>IF(COUNTIFS('United Data'!$A$3:$A$2150,H$1,'United Data'!$C$3:$C$2150,$A719,'United Data'!$B$3:$B$2150,"&lt;&gt;P")&gt;0,1,0)</f>
        <v>0</v>
      </c>
      <c r="I719">
        <f>IF(COUNTIFS('United Data'!$A$3:$A$2150,I$1,'United Data'!$C$3:$C$2150,$A719,'United Data'!$B$3:$B$2150,"&lt;&gt;P")&gt;0,1,0)</f>
        <v>0</v>
      </c>
      <c r="J719">
        <f>IF(COUNTIFS('United Data'!$A$3:$A$2150,J$1,'United Data'!$C$3:$C$2150,$A719,'United Data'!$B$3:$B$2150,"&lt;&gt;P")&gt;0,1,0)</f>
        <v>0</v>
      </c>
      <c r="K719">
        <f>IF(COUNTIFS('United Data'!$A$3:$A$2150,K$1,'United Data'!$C$3:$C$2150,$A719,'United Data'!$B$3:$B$2150,"&lt;&gt;P")&gt;0,1,0)</f>
        <v>0</v>
      </c>
      <c r="L719">
        <f>IF(COUNTIFS('United Data'!$A$3:$A$2150,L$1,'United Data'!$C$3:$C$2150,$A719,'United Data'!$B$3:$B$2150,"&lt;&gt;P")&gt;0,1,0)</f>
        <v>0</v>
      </c>
      <c r="M719">
        <f>IF(COUNTIFS('United Data'!$A$3:$A$2150,M$1,'United Data'!$C$3:$C$2150,$A719,'United Data'!$B$3:$B$2150,"&lt;&gt;P")&gt;0,1,0)</f>
        <v>0</v>
      </c>
      <c r="N719">
        <f>IF(COUNTIFS('United Data'!$A$3:$A$2150,N$1,'United Data'!$C$3:$C$2150,$A719,'United Data'!$B$3:$B$2150,"&lt;&gt;P")&gt;0,1,0)</f>
        <v>0</v>
      </c>
      <c r="O719">
        <f>IF(COUNTIFS('United Data'!$A$3:$A$2150,O$1,'United Data'!$C$3:$C$2150,$A719,'United Data'!$B$3:$B$2150,"&lt;&gt;P")&gt;0,1,0)</f>
        <v>1</v>
      </c>
      <c r="P719">
        <f>IF(COUNTIFS('United Data'!$A$3:$A$2150,P$1,'United Data'!$C$3:$C$2150,$A719,'United Data'!$B$3:$B$2150,"&lt;&gt;P")&gt;0,1,0)</f>
        <v>0</v>
      </c>
      <c r="Q719">
        <f>IF(COUNTIFS('United Data'!$A$3:$A$2150,Q$1,'United Data'!$C$3:$C$2150,$A719,'United Data'!$B$3:$B$2150,"&lt;&gt;P")&gt;0,1,0)</f>
        <v>0</v>
      </c>
      <c r="R719">
        <f>IF(COUNTIFS('United Data'!$A$3:$A$2150,R$1,'United Data'!$C$3:$C$2150,$A719,'United Data'!$B$3:$B$2150,"&lt;&gt;P")&gt;0,1,0)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766</v>
      </c>
      <c r="B720">
        <f>IF(COUNTIFS('United Data'!$A$3:$A$2150,B$1,'United Data'!$C$3:$C$2150,$A720,'United Data'!$B$3:$B$2150,"&lt;&gt;P")&gt;0,1,0)</f>
        <v>0</v>
      </c>
      <c r="C720">
        <f>IF(COUNTIFS('United Data'!$A$3:$A$2150,C$1,'United Data'!$C$3:$C$2150,$A720,'United Data'!$B$3:$B$2150,"&lt;&gt;P")&gt;0,1,0)</f>
        <v>0</v>
      </c>
      <c r="D720">
        <f>IF(COUNTIFS('United Data'!$A$3:$A$2150,D$1,'United Data'!$C$3:$C$2150,$A720,'United Data'!$B$3:$B$2150,"&lt;&gt;P")&gt;0,1,0)</f>
        <v>0</v>
      </c>
      <c r="E720">
        <f>IF(COUNTIFS('United Data'!$A$3:$A$2150,E$1,'United Data'!$C$3:$C$2150,$A720,'United Data'!$B$3:$B$2150,"&lt;&gt;P")&gt;0,1,0)</f>
        <v>0</v>
      </c>
      <c r="F720">
        <f>IF(COUNTIFS('United Data'!$A$3:$A$2150,F$1,'United Data'!$C$3:$C$2150,$A720,'United Data'!$B$3:$B$2150,"&lt;&gt;P")&gt;0,1,0)</f>
        <v>0</v>
      </c>
      <c r="G720">
        <f>IF(COUNTIFS('United Data'!$A$3:$A$2150,G$1,'United Data'!$C$3:$C$2150,$A720,'United Data'!$B$3:$B$2150,"&lt;&gt;P")&gt;0,1,0)</f>
        <v>0</v>
      </c>
      <c r="H720">
        <f>IF(COUNTIFS('United Data'!$A$3:$A$2150,H$1,'United Data'!$C$3:$C$2150,$A720,'United Data'!$B$3:$B$2150,"&lt;&gt;P")&gt;0,1,0)</f>
        <v>0</v>
      </c>
      <c r="I720">
        <f>IF(COUNTIFS('United Data'!$A$3:$A$2150,I$1,'United Data'!$C$3:$C$2150,$A720,'United Data'!$B$3:$B$2150,"&lt;&gt;P")&gt;0,1,0)</f>
        <v>0</v>
      </c>
      <c r="J720">
        <f>IF(COUNTIFS('United Data'!$A$3:$A$2150,J$1,'United Data'!$C$3:$C$2150,$A720,'United Data'!$B$3:$B$2150,"&lt;&gt;P")&gt;0,1,0)</f>
        <v>0</v>
      </c>
      <c r="K720">
        <f>IF(COUNTIFS('United Data'!$A$3:$A$2150,K$1,'United Data'!$C$3:$C$2150,$A720,'United Data'!$B$3:$B$2150,"&lt;&gt;P")&gt;0,1,0)</f>
        <v>0</v>
      </c>
      <c r="L720">
        <f>IF(COUNTIFS('United Data'!$A$3:$A$2150,L$1,'United Data'!$C$3:$C$2150,$A720,'United Data'!$B$3:$B$2150,"&lt;&gt;P")&gt;0,1,0)</f>
        <v>0</v>
      </c>
      <c r="M720">
        <f>IF(COUNTIFS('United Data'!$A$3:$A$2150,M$1,'United Data'!$C$3:$C$2150,$A720,'United Data'!$B$3:$B$2150,"&lt;&gt;P")&gt;0,1,0)</f>
        <v>0</v>
      </c>
      <c r="N720">
        <f>IF(COUNTIFS('United Data'!$A$3:$A$2150,N$1,'United Data'!$C$3:$C$2150,$A720,'United Data'!$B$3:$B$2150,"&lt;&gt;P")&gt;0,1,0)</f>
        <v>0</v>
      </c>
      <c r="O720">
        <f>IF(COUNTIFS('United Data'!$A$3:$A$2150,O$1,'United Data'!$C$3:$C$2150,$A720,'United Data'!$B$3:$B$2150,"&lt;&gt;P")&gt;0,1,0)</f>
        <v>1</v>
      </c>
      <c r="P720">
        <f>IF(COUNTIFS('United Data'!$A$3:$A$2150,P$1,'United Data'!$C$3:$C$2150,$A720,'United Data'!$B$3:$B$2150,"&lt;&gt;P")&gt;0,1,0)</f>
        <v>0</v>
      </c>
      <c r="Q720">
        <f>IF(COUNTIFS('United Data'!$A$3:$A$2150,Q$1,'United Data'!$C$3:$C$2150,$A720,'United Data'!$B$3:$B$2150,"&lt;&gt;P")&gt;0,1,0)</f>
        <v>0</v>
      </c>
      <c r="R720">
        <f>IF(COUNTIFS('United Data'!$A$3:$A$2150,R$1,'United Data'!$C$3:$C$2150,$A720,'United Data'!$B$3:$B$2150,"&lt;&gt;P")&gt;0,1,0)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767</v>
      </c>
      <c r="B721">
        <f>IF(COUNTIFS('United Data'!$A$3:$A$2150,B$1,'United Data'!$C$3:$C$2150,$A721,'United Data'!$B$3:$B$2150,"&lt;&gt;P")&gt;0,1,0)</f>
        <v>0</v>
      </c>
      <c r="C721">
        <f>IF(COUNTIFS('United Data'!$A$3:$A$2150,C$1,'United Data'!$C$3:$C$2150,$A721,'United Data'!$B$3:$B$2150,"&lt;&gt;P")&gt;0,1,0)</f>
        <v>0</v>
      </c>
      <c r="D721">
        <f>IF(COUNTIFS('United Data'!$A$3:$A$2150,D$1,'United Data'!$C$3:$C$2150,$A721,'United Data'!$B$3:$B$2150,"&lt;&gt;P")&gt;0,1,0)</f>
        <v>0</v>
      </c>
      <c r="E721">
        <f>IF(COUNTIFS('United Data'!$A$3:$A$2150,E$1,'United Data'!$C$3:$C$2150,$A721,'United Data'!$B$3:$B$2150,"&lt;&gt;P")&gt;0,1,0)</f>
        <v>0</v>
      </c>
      <c r="F721">
        <f>IF(COUNTIFS('United Data'!$A$3:$A$2150,F$1,'United Data'!$C$3:$C$2150,$A721,'United Data'!$B$3:$B$2150,"&lt;&gt;P")&gt;0,1,0)</f>
        <v>0</v>
      </c>
      <c r="G721">
        <f>IF(COUNTIFS('United Data'!$A$3:$A$2150,G$1,'United Data'!$C$3:$C$2150,$A721,'United Data'!$B$3:$B$2150,"&lt;&gt;P")&gt;0,1,0)</f>
        <v>0</v>
      </c>
      <c r="H721">
        <f>IF(COUNTIFS('United Data'!$A$3:$A$2150,H$1,'United Data'!$C$3:$C$2150,$A721,'United Data'!$B$3:$B$2150,"&lt;&gt;P")&gt;0,1,0)</f>
        <v>0</v>
      </c>
      <c r="I721">
        <f>IF(COUNTIFS('United Data'!$A$3:$A$2150,I$1,'United Data'!$C$3:$C$2150,$A721,'United Data'!$B$3:$B$2150,"&lt;&gt;P")&gt;0,1,0)</f>
        <v>0</v>
      </c>
      <c r="J721">
        <f>IF(COUNTIFS('United Data'!$A$3:$A$2150,J$1,'United Data'!$C$3:$C$2150,$A721,'United Data'!$B$3:$B$2150,"&lt;&gt;P")&gt;0,1,0)</f>
        <v>0</v>
      </c>
      <c r="K721">
        <f>IF(COUNTIFS('United Data'!$A$3:$A$2150,K$1,'United Data'!$C$3:$C$2150,$A721,'United Data'!$B$3:$B$2150,"&lt;&gt;P")&gt;0,1,0)</f>
        <v>0</v>
      </c>
      <c r="L721">
        <f>IF(COUNTIFS('United Data'!$A$3:$A$2150,L$1,'United Data'!$C$3:$C$2150,$A721,'United Data'!$B$3:$B$2150,"&lt;&gt;P")&gt;0,1,0)</f>
        <v>0</v>
      </c>
      <c r="M721">
        <f>IF(COUNTIFS('United Data'!$A$3:$A$2150,M$1,'United Data'!$C$3:$C$2150,$A721,'United Data'!$B$3:$B$2150,"&lt;&gt;P")&gt;0,1,0)</f>
        <v>0</v>
      </c>
      <c r="N721">
        <f>IF(COUNTIFS('United Data'!$A$3:$A$2150,N$1,'United Data'!$C$3:$C$2150,$A721,'United Data'!$B$3:$B$2150,"&lt;&gt;P")&gt;0,1,0)</f>
        <v>0</v>
      </c>
      <c r="O721">
        <f>IF(COUNTIFS('United Data'!$A$3:$A$2150,O$1,'United Data'!$C$3:$C$2150,$A721,'United Data'!$B$3:$B$2150,"&lt;&gt;P")&gt;0,1,0)</f>
        <v>1</v>
      </c>
      <c r="P721">
        <f>IF(COUNTIFS('United Data'!$A$3:$A$2150,P$1,'United Data'!$C$3:$C$2150,$A721,'United Data'!$B$3:$B$2150,"&lt;&gt;P")&gt;0,1,0)</f>
        <v>0</v>
      </c>
      <c r="Q721">
        <f>IF(COUNTIFS('United Data'!$A$3:$A$2150,Q$1,'United Data'!$C$3:$C$2150,$A721,'United Data'!$B$3:$B$2150,"&lt;&gt;P")&gt;0,1,0)</f>
        <v>0</v>
      </c>
      <c r="R721">
        <f>IF(COUNTIFS('United Data'!$A$3:$A$2150,R$1,'United Data'!$C$3:$C$2150,$A721,'United Data'!$B$3:$B$2150,"&lt;&gt;P")&gt;0,1,0)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768</v>
      </c>
      <c r="B722">
        <f>IF(COUNTIFS('United Data'!$A$3:$A$2150,B$1,'United Data'!$C$3:$C$2150,$A722,'United Data'!$B$3:$B$2150,"&lt;&gt;P")&gt;0,1,0)</f>
        <v>0</v>
      </c>
      <c r="C722">
        <f>IF(COUNTIFS('United Data'!$A$3:$A$2150,C$1,'United Data'!$C$3:$C$2150,$A722,'United Data'!$B$3:$B$2150,"&lt;&gt;P")&gt;0,1,0)</f>
        <v>0</v>
      </c>
      <c r="D722">
        <f>IF(COUNTIFS('United Data'!$A$3:$A$2150,D$1,'United Data'!$C$3:$C$2150,$A722,'United Data'!$B$3:$B$2150,"&lt;&gt;P")&gt;0,1,0)</f>
        <v>0</v>
      </c>
      <c r="E722">
        <f>IF(COUNTIFS('United Data'!$A$3:$A$2150,E$1,'United Data'!$C$3:$C$2150,$A722,'United Data'!$B$3:$B$2150,"&lt;&gt;P")&gt;0,1,0)</f>
        <v>0</v>
      </c>
      <c r="F722">
        <f>IF(COUNTIFS('United Data'!$A$3:$A$2150,F$1,'United Data'!$C$3:$C$2150,$A722,'United Data'!$B$3:$B$2150,"&lt;&gt;P")&gt;0,1,0)</f>
        <v>0</v>
      </c>
      <c r="G722">
        <f>IF(COUNTIFS('United Data'!$A$3:$A$2150,G$1,'United Data'!$C$3:$C$2150,$A722,'United Data'!$B$3:$B$2150,"&lt;&gt;P")&gt;0,1,0)</f>
        <v>0</v>
      </c>
      <c r="H722">
        <f>IF(COUNTIFS('United Data'!$A$3:$A$2150,H$1,'United Data'!$C$3:$C$2150,$A722,'United Data'!$B$3:$B$2150,"&lt;&gt;P")&gt;0,1,0)</f>
        <v>0</v>
      </c>
      <c r="I722">
        <f>IF(COUNTIFS('United Data'!$A$3:$A$2150,I$1,'United Data'!$C$3:$C$2150,$A722,'United Data'!$B$3:$B$2150,"&lt;&gt;P")&gt;0,1,0)</f>
        <v>0</v>
      </c>
      <c r="J722">
        <f>IF(COUNTIFS('United Data'!$A$3:$A$2150,J$1,'United Data'!$C$3:$C$2150,$A722,'United Data'!$B$3:$B$2150,"&lt;&gt;P")&gt;0,1,0)</f>
        <v>0</v>
      </c>
      <c r="K722">
        <f>IF(COUNTIFS('United Data'!$A$3:$A$2150,K$1,'United Data'!$C$3:$C$2150,$A722,'United Data'!$B$3:$B$2150,"&lt;&gt;P")&gt;0,1,0)</f>
        <v>0</v>
      </c>
      <c r="L722">
        <f>IF(COUNTIFS('United Data'!$A$3:$A$2150,L$1,'United Data'!$C$3:$C$2150,$A722,'United Data'!$B$3:$B$2150,"&lt;&gt;P")&gt;0,1,0)</f>
        <v>0</v>
      </c>
      <c r="M722">
        <f>IF(COUNTIFS('United Data'!$A$3:$A$2150,M$1,'United Data'!$C$3:$C$2150,$A722,'United Data'!$B$3:$B$2150,"&lt;&gt;P")&gt;0,1,0)</f>
        <v>0</v>
      </c>
      <c r="N722">
        <f>IF(COUNTIFS('United Data'!$A$3:$A$2150,N$1,'United Data'!$C$3:$C$2150,$A722,'United Data'!$B$3:$B$2150,"&lt;&gt;P")&gt;0,1,0)</f>
        <v>0</v>
      </c>
      <c r="O722">
        <f>IF(COUNTIFS('United Data'!$A$3:$A$2150,O$1,'United Data'!$C$3:$C$2150,$A722,'United Data'!$B$3:$B$2150,"&lt;&gt;P")&gt;0,1,0)</f>
        <v>1</v>
      </c>
      <c r="P722">
        <f>IF(COUNTIFS('United Data'!$A$3:$A$2150,P$1,'United Data'!$C$3:$C$2150,$A722,'United Data'!$B$3:$B$2150,"&lt;&gt;P")&gt;0,1,0)</f>
        <v>0</v>
      </c>
      <c r="Q722">
        <f>IF(COUNTIFS('United Data'!$A$3:$A$2150,Q$1,'United Data'!$C$3:$C$2150,$A722,'United Data'!$B$3:$B$2150,"&lt;&gt;P")&gt;0,1,0)</f>
        <v>0</v>
      </c>
      <c r="R722">
        <f>IF(COUNTIFS('United Data'!$A$3:$A$2150,R$1,'United Data'!$C$3:$C$2150,$A722,'United Data'!$B$3:$B$2150,"&lt;&gt;P")&gt;0,1,0)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769</v>
      </c>
      <c r="B723">
        <f>IF(COUNTIFS('United Data'!$A$3:$A$2150,B$1,'United Data'!$C$3:$C$2150,$A723,'United Data'!$B$3:$B$2150,"&lt;&gt;P")&gt;0,1,0)</f>
        <v>0</v>
      </c>
      <c r="C723">
        <f>IF(COUNTIFS('United Data'!$A$3:$A$2150,C$1,'United Data'!$C$3:$C$2150,$A723,'United Data'!$B$3:$B$2150,"&lt;&gt;P")&gt;0,1,0)</f>
        <v>0</v>
      </c>
      <c r="D723">
        <f>IF(COUNTIFS('United Data'!$A$3:$A$2150,D$1,'United Data'!$C$3:$C$2150,$A723,'United Data'!$B$3:$B$2150,"&lt;&gt;P")&gt;0,1,0)</f>
        <v>0</v>
      </c>
      <c r="E723">
        <f>IF(COUNTIFS('United Data'!$A$3:$A$2150,E$1,'United Data'!$C$3:$C$2150,$A723,'United Data'!$B$3:$B$2150,"&lt;&gt;P")&gt;0,1,0)</f>
        <v>0</v>
      </c>
      <c r="F723">
        <f>IF(COUNTIFS('United Data'!$A$3:$A$2150,F$1,'United Data'!$C$3:$C$2150,$A723,'United Data'!$B$3:$B$2150,"&lt;&gt;P")&gt;0,1,0)</f>
        <v>0</v>
      </c>
      <c r="G723">
        <f>IF(COUNTIFS('United Data'!$A$3:$A$2150,G$1,'United Data'!$C$3:$C$2150,$A723,'United Data'!$B$3:$B$2150,"&lt;&gt;P")&gt;0,1,0)</f>
        <v>0</v>
      </c>
      <c r="H723">
        <f>IF(COUNTIFS('United Data'!$A$3:$A$2150,H$1,'United Data'!$C$3:$C$2150,$A723,'United Data'!$B$3:$B$2150,"&lt;&gt;P")&gt;0,1,0)</f>
        <v>0</v>
      </c>
      <c r="I723">
        <f>IF(COUNTIFS('United Data'!$A$3:$A$2150,I$1,'United Data'!$C$3:$C$2150,$A723,'United Data'!$B$3:$B$2150,"&lt;&gt;P")&gt;0,1,0)</f>
        <v>0</v>
      </c>
      <c r="J723">
        <f>IF(COUNTIFS('United Data'!$A$3:$A$2150,J$1,'United Data'!$C$3:$C$2150,$A723,'United Data'!$B$3:$B$2150,"&lt;&gt;P")&gt;0,1,0)</f>
        <v>0</v>
      </c>
      <c r="K723">
        <f>IF(COUNTIFS('United Data'!$A$3:$A$2150,K$1,'United Data'!$C$3:$C$2150,$A723,'United Data'!$B$3:$B$2150,"&lt;&gt;P")&gt;0,1,0)</f>
        <v>0</v>
      </c>
      <c r="L723">
        <f>IF(COUNTIFS('United Data'!$A$3:$A$2150,L$1,'United Data'!$C$3:$C$2150,$A723,'United Data'!$B$3:$B$2150,"&lt;&gt;P")&gt;0,1,0)</f>
        <v>0</v>
      </c>
      <c r="M723">
        <f>IF(COUNTIFS('United Data'!$A$3:$A$2150,M$1,'United Data'!$C$3:$C$2150,$A723,'United Data'!$B$3:$B$2150,"&lt;&gt;P")&gt;0,1,0)</f>
        <v>0</v>
      </c>
      <c r="N723">
        <f>IF(COUNTIFS('United Data'!$A$3:$A$2150,N$1,'United Data'!$C$3:$C$2150,$A723,'United Data'!$B$3:$B$2150,"&lt;&gt;P")&gt;0,1,0)</f>
        <v>0</v>
      </c>
      <c r="O723">
        <f>IF(COUNTIFS('United Data'!$A$3:$A$2150,O$1,'United Data'!$C$3:$C$2150,$A723,'United Data'!$B$3:$B$2150,"&lt;&gt;P")&gt;0,1,0)</f>
        <v>0</v>
      </c>
      <c r="P723">
        <f>IF(COUNTIFS('United Data'!$A$3:$A$2150,P$1,'United Data'!$C$3:$C$2150,$A723,'United Data'!$B$3:$B$2150,"&lt;&gt;P")&gt;0,1,0)</f>
        <v>1</v>
      </c>
      <c r="Q723">
        <f>IF(COUNTIFS('United Data'!$A$3:$A$2150,Q$1,'United Data'!$C$3:$C$2150,$A723,'United Data'!$B$3:$B$2150,"&lt;&gt;P")&gt;0,1,0)</f>
        <v>0</v>
      </c>
      <c r="R723">
        <f>IF(COUNTIFS('United Data'!$A$3:$A$2150,R$1,'United Data'!$C$3:$C$2150,$A723,'United Data'!$B$3:$B$2150,"&lt;&gt;P")&gt;0,1,0)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770</v>
      </c>
      <c r="B724">
        <f>IF(COUNTIFS('United Data'!$A$3:$A$2150,B$1,'United Data'!$C$3:$C$2150,$A724,'United Data'!$B$3:$B$2150,"&lt;&gt;P")&gt;0,1,0)</f>
        <v>0</v>
      </c>
      <c r="C724">
        <f>IF(COUNTIFS('United Data'!$A$3:$A$2150,C$1,'United Data'!$C$3:$C$2150,$A724,'United Data'!$B$3:$B$2150,"&lt;&gt;P")&gt;0,1,0)</f>
        <v>0</v>
      </c>
      <c r="D724">
        <f>IF(COUNTIFS('United Data'!$A$3:$A$2150,D$1,'United Data'!$C$3:$C$2150,$A724,'United Data'!$B$3:$B$2150,"&lt;&gt;P")&gt;0,1,0)</f>
        <v>0</v>
      </c>
      <c r="E724">
        <f>IF(COUNTIFS('United Data'!$A$3:$A$2150,E$1,'United Data'!$C$3:$C$2150,$A724,'United Data'!$B$3:$B$2150,"&lt;&gt;P")&gt;0,1,0)</f>
        <v>0</v>
      </c>
      <c r="F724">
        <f>IF(COUNTIFS('United Data'!$A$3:$A$2150,F$1,'United Data'!$C$3:$C$2150,$A724,'United Data'!$B$3:$B$2150,"&lt;&gt;P")&gt;0,1,0)</f>
        <v>0</v>
      </c>
      <c r="G724">
        <f>IF(COUNTIFS('United Data'!$A$3:$A$2150,G$1,'United Data'!$C$3:$C$2150,$A724,'United Data'!$B$3:$B$2150,"&lt;&gt;P")&gt;0,1,0)</f>
        <v>0</v>
      </c>
      <c r="H724">
        <f>IF(COUNTIFS('United Data'!$A$3:$A$2150,H$1,'United Data'!$C$3:$C$2150,$A724,'United Data'!$B$3:$B$2150,"&lt;&gt;P")&gt;0,1,0)</f>
        <v>0</v>
      </c>
      <c r="I724">
        <f>IF(COUNTIFS('United Data'!$A$3:$A$2150,I$1,'United Data'!$C$3:$C$2150,$A724,'United Data'!$B$3:$B$2150,"&lt;&gt;P")&gt;0,1,0)</f>
        <v>0</v>
      </c>
      <c r="J724">
        <f>IF(COUNTIFS('United Data'!$A$3:$A$2150,J$1,'United Data'!$C$3:$C$2150,$A724,'United Data'!$B$3:$B$2150,"&lt;&gt;P")&gt;0,1,0)</f>
        <v>0</v>
      </c>
      <c r="K724">
        <f>IF(COUNTIFS('United Data'!$A$3:$A$2150,K$1,'United Data'!$C$3:$C$2150,$A724,'United Data'!$B$3:$B$2150,"&lt;&gt;P")&gt;0,1,0)</f>
        <v>0</v>
      </c>
      <c r="L724">
        <f>IF(COUNTIFS('United Data'!$A$3:$A$2150,L$1,'United Data'!$C$3:$C$2150,$A724,'United Data'!$B$3:$B$2150,"&lt;&gt;P")&gt;0,1,0)</f>
        <v>0</v>
      </c>
      <c r="M724">
        <f>IF(COUNTIFS('United Data'!$A$3:$A$2150,M$1,'United Data'!$C$3:$C$2150,$A724,'United Data'!$B$3:$B$2150,"&lt;&gt;P")&gt;0,1,0)</f>
        <v>0</v>
      </c>
      <c r="N724">
        <f>IF(COUNTIFS('United Data'!$A$3:$A$2150,N$1,'United Data'!$C$3:$C$2150,$A724,'United Data'!$B$3:$B$2150,"&lt;&gt;P")&gt;0,1,0)</f>
        <v>0</v>
      </c>
      <c r="O724">
        <f>IF(COUNTIFS('United Data'!$A$3:$A$2150,O$1,'United Data'!$C$3:$C$2150,$A724,'United Data'!$B$3:$B$2150,"&lt;&gt;P")&gt;0,1,0)</f>
        <v>0</v>
      </c>
      <c r="P724">
        <f>IF(COUNTIFS('United Data'!$A$3:$A$2150,P$1,'United Data'!$C$3:$C$2150,$A724,'United Data'!$B$3:$B$2150,"&lt;&gt;P")&gt;0,1,0)</f>
        <v>1</v>
      </c>
      <c r="Q724">
        <f>IF(COUNTIFS('United Data'!$A$3:$A$2150,Q$1,'United Data'!$C$3:$C$2150,$A724,'United Data'!$B$3:$B$2150,"&lt;&gt;P")&gt;0,1,0)</f>
        <v>1</v>
      </c>
      <c r="R724">
        <f>IF(COUNTIFS('United Data'!$A$3:$A$2150,R$1,'United Data'!$C$3:$C$2150,$A724,'United Data'!$B$3:$B$2150,"&lt;&gt;P")&gt;0,1,0)</f>
        <v>0</v>
      </c>
      <c r="S724">
        <f t="shared" si="22"/>
        <v>2</v>
      </c>
      <c r="T724">
        <f t="shared" si="23"/>
        <v>1</v>
      </c>
    </row>
    <row r="725" spans="1:20" x14ac:dyDescent="0.2">
      <c r="A725" t="s">
        <v>771</v>
      </c>
      <c r="B725">
        <f>IF(COUNTIFS('United Data'!$A$3:$A$2150,B$1,'United Data'!$C$3:$C$2150,$A725,'United Data'!$B$3:$B$2150,"&lt;&gt;P")&gt;0,1,0)</f>
        <v>0</v>
      </c>
      <c r="C725">
        <f>IF(COUNTIFS('United Data'!$A$3:$A$2150,C$1,'United Data'!$C$3:$C$2150,$A725,'United Data'!$B$3:$B$2150,"&lt;&gt;P")&gt;0,1,0)</f>
        <v>0</v>
      </c>
      <c r="D725">
        <f>IF(COUNTIFS('United Data'!$A$3:$A$2150,D$1,'United Data'!$C$3:$C$2150,$A725,'United Data'!$B$3:$B$2150,"&lt;&gt;P")&gt;0,1,0)</f>
        <v>0</v>
      </c>
      <c r="E725">
        <f>IF(COUNTIFS('United Data'!$A$3:$A$2150,E$1,'United Data'!$C$3:$C$2150,$A725,'United Data'!$B$3:$B$2150,"&lt;&gt;P")&gt;0,1,0)</f>
        <v>0</v>
      </c>
      <c r="F725">
        <f>IF(COUNTIFS('United Data'!$A$3:$A$2150,F$1,'United Data'!$C$3:$C$2150,$A725,'United Data'!$B$3:$B$2150,"&lt;&gt;P")&gt;0,1,0)</f>
        <v>0</v>
      </c>
      <c r="G725">
        <f>IF(COUNTIFS('United Data'!$A$3:$A$2150,G$1,'United Data'!$C$3:$C$2150,$A725,'United Data'!$B$3:$B$2150,"&lt;&gt;P")&gt;0,1,0)</f>
        <v>0</v>
      </c>
      <c r="H725">
        <f>IF(COUNTIFS('United Data'!$A$3:$A$2150,H$1,'United Data'!$C$3:$C$2150,$A725,'United Data'!$B$3:$B$2150,"&lt;&gt;P")&gt;0,1,0)</f>
        <v>0</v>
      </c>
      <c r="I725">
        <f>IF(COUNTIFS('United Data'!$A$3:$A$2150,I$1,'United Data'!$C$3:$C$2150,$A725,'United Data'!$B$3:$B$2150,"&lt;&gt;P")&gt;0,1,0)</f>
        <v>0</v>
      </c>
      <c r="J725">
        <f>IF(COUNTIFS('United Data'!$A$3:$A$2150,J$1,'United Data'!$C$3:$C$2150,$A725,'United Data'!$B$3:$B$2150,"&lt;&gt;P")&gt;0,1,0)</f>
        <v>0</v>
      </c>
      <c r="K725">
        <f>IF(COUNTIFS('United Data'!$A$3:$A$2150,K$1,'United Data'!$C$3:$C$2150,$A725,'United Data'!$B$3:$B$2150,"&lt;&gt;P")&gt;0,1,0)</f>
        <v>0</v>
      </c>
      <c r="L725">
        <f>IF(COUNTIFS('United Data'!$A$3:$A$2150,L$1,'United Data'!$C$3:$C$2150,$A725,'United Data'!$B$3:$B$2150,"&lt;&gt;P")&gt;0,1,0)</f>
        <v>0</v>
      </c>
      <c r="M725">
        <f>IF(COUNTIFS('United Data'!$A$3:$A$2150,M$1,'United Data'!$C$3:$C$2150,$A725,'United Data'!$B$3:$B$2150,"&lt;&gt;P")&gt;0,1,0)</f>
        <v>0</v>
      </c>
      <c r="N725">
        <f>IF(COUNTIFS('United Data'!$A$3:$A$2150,N$1,'United Data'!$C$3:$C$2150,$A725,'United Data'!$B$3:$B$2150,"&lt;&gt;P")&gt;0,1,0)</f>
        <v>0</v>
      </c>
      <c r="O725">
        <f>IF(COUNTIFS('United Data'!$A$3:$A$2150,O$1,'United Data'!$C$3:$C$2150,$A725,'United Data'!$B$3:$B$2150,"&lt;&gt;P")&gt;0,1,0)</f>
        <v>0</v>
      </c>
      <c r="P725">
        <f>IF(COUNTIFS('United Data'!$A$3:$A$2150,P$1,'United Data'!$C$3:$C$2150,$A725,'United Data'!$B$3:$B$2150,"&lt;&gt;P")&gt;0,1,0)</f>
        <v>1</v>
      </c>
      <c r="Q725">
        <f>IF(COUNTIFS('United Data'!$A$3:$A$2150,Q$1,'United Data'!$C$3:$C$2150,$A725,'United Data'!$B$3:$B$2150,"&lt;&gt;P")&gt;0,1,0)</f>
        <v>0</v>
      </c>
      <c r="R725">
        <f>IF(COUNTIFS('United Data'!$A$3:$A$2150,R$1,'United Data'!$C$3:$C$2150,$A725,'United Data'!$B$3:$B$2150,"&lt;&gt;P")&gt;0,1,0)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772</v>
      </c>
      <c r="B726">
        <f>IF(COUNTIFS('United Data'!$A$3:$A$2150,B$1,'United Data'!$C$3:$C$2150,$A726,'United Data'!$B$3:$B$2150,"&lt;&gt;P")&gt;0,1,0)</f>
        <v>0</v>
      </c>
      <c r="C726">
        <f>IF(COUNTIFS('United Data'!$A$3:$A$2150,C$1,'United Data'!$C$3:$C$2150,$A726,'United Data'!$B$3:$B$2150,"&lt;&gt;P")&gt;0,1,0)</f>
        <v>0</v>
      </c>
      <c r="D726">
        <f>IF(COUNTIFS('United Data'!$A$3:$A$2150,D$1,'United Data'!$C$3:$C$2150,$A726,'United Data'!$B$3:$B$2150,"&lt;&gt;P")&gt;0,1,0)</f>
        <v>0</v>
      </c>
      <c r="E726">
        <f>IF(COUNTIFS('United Data'!$A$3:$A$2150,E$1,'United Data'!$C$3:$C$2150,$A726,'United Data'!$B$3:$B$2150,"&lt;&gt;P")&gt;0,1,0)</f>
        <v>0</v>
      </c>
      <c r="F726">
        <f>IF(COUNTIFS('United Data'!$A$3:$A$2150,F$1,'United Data'!$C$3:$C$2150,$A726,'United Data'!$B$3:$B$2150,"&lt;&gt;P")&gt;0,1,0)</f>
        <v>0</v>
      </c>
      <c r="G726">
        <f>IF(COUNTIFS('United Data'!$A$3:$A$2150,G$1,'United Data'!$C$3:$C$2150,$A726,'United Data'!$B$3:$B$2150,"&lt;&gt;P")&gt;0,1,0)</f>
        <v>0</v>
      </c>
      <c r="H726">
        <f>IF(COUNTIFS('United Data'!$A$3:$A$2150,H$1,'United Data'!$C$3:$C$2150,$A726,'United Data'!$B$3:$B$2150,"&lt;&gt;P")&gt;0,1,0)</f>
        <v>0</v>
      </c>
      <c r="I726">
        <f>IF(COUNTIFS('United Data'!$A$3:$A$2150,I$1,'United Data'!$C$3:$C$2150,$A726,'United Data'!$B$3:$B$2150,"&lt;&gt;P")&gt;0,1,0)</f>
        <v>0</v>
      </c>
      <c r="J726">
        <f>IF(COUNTIFS('United Data'!$A$3:$A$2150,J$1,'United Data'!$C$3:$C$2150,$A726,'United Data'!$B$3:$B$2150,"&lt;&gt;P")&gt;0,1,0)</f>
        <v>0</v>
      </c>
      <c r="K726">
        <f>IF(COUNTIFS('United Data'!$A$3:$A$2150,K$1,'United Data'!$C$3:$C$2150,$A726,'United Data'!$B$3:$B$2150,"&lt;&gt;P")&gt;0,1,0)</f>
        <v>0</v>
      </c>
      <c r="L726">
        <f>IF(COUNTIFS('United Data'!$A$3:$A$2150,L$1,'United Data'!$C$3:$C$2150,$A726,'United Data'!$B$3:$B$2150,"&lt;&gt;P")&gt;0,1,0)</f>
        <v>0</v>
      </c>
      <c r="M726">
        <f>IF(COUNTIFS('United Data'!$A$3:$A$2150,M$1,'United Data'!$C$3:$C$2150,$A726,'United Data'!$B$3:$B$2150,"&lt;&gt;P")&gt;0,1,0)</f>
        <v>0</v>
      </c>
      <c r="N726">
        <f>IF(COUNTIFS('United Data'!$A$3:$A$2150,N$1,'United Data'!$C$3:$C$2150,$A726,'United Data'!$B$3:$B$2150,"&lt;&gt;P")&gt;0,1,0)</f>
        <v>0</v>
      </c>
      <c r="O726">
        <f>IF(COUNTIFS('United Data'!$A$3:$A$2150,O$1,'United Data'!$C$3:$C$2150,$A726,'United Data'!$B$3:$B$2150,"&lt;&gt;P")&gt;0,1,0)</f>
        <v>0</v>
      </c>
      <c r="P726">
        <f>IF(COUNTIFS('United Data'!$A$3:$A$2150,P$1,'United Data'!$C$3:$C$2150,$A726,'United Data'!$B$3:$B$2150,"&lt;&gt;P")&gt;0,1,0)</f>
        <v>0</v>
      </c>
      <c r="Q726">
        <f>IF(COUNTIFS('United Data'!$A$3:$A$2150,Q$1,'United Data'!$C$3:$C$2150,$A726,'United Data'!$B$3:$B$2150,"&lt;&gt;P")&gt;0,1,0)</f>
        <v>1</v>
      </c>
      <c r="R726">
        <f>IF(COUNTIFS('United Data'!$A$3:$A$2150,R$1,'United Data'!$C$3:$C$2150,$A726,'United Data'!$B$3:$B$2150,"&lt;&gt;P")&gt;0,1,0)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773</v>
      </c>
      <c r="B727">
        <f>IF(COUNTIFS('United Data'!$A$3:$A$2150,B$1,'United Data'!$C$3:$C$2150,$A727,'United Data'!$B$3:$B$2150,"&lt;&gt;P")&gt;0,1,0)</f>
        <v>0</v>
      </c>
      <c r="C727">
        <f>IF(COUNTIFS('United Data'!$A$3:$A$2150,C$1,'United Data'!$C$3:$C$2150,$A727,'United Data'!$B$3:$B$2150,"&lt;&gt;P")&gt;0,1,0)</f>
        <v>0</v>
      </c>
      <c r="D727">
        <f>IF(COUNTIFS('United Data'!$A$3:$A$2150,D$1,'United Data'!$C$3:$C$2150,$A727,'United Data'!$B$3:$B$2150,"&lt;&gt;P")&gt;0,1,0)</f>
        <v>0</v>
      </c>
      <c r="E727">
        <f>IF(COUNTIFS('United Data'!$A$3:$A$2150,E$1,'United Data'!$C$3:$C$2150,$A727,'United Data'!$B$3:$B$2150,"&lt;&gt;P")&gt;0,1,0)</f>
        <v>0</v>
      </c>
      <c r="F727">
        <f>IF(COUNTIFS('United Data'!$A$3:$A$2150,F$1,'United Data'!$C$3:$C$2150,$A727,'United Data'!$B$3:$B$2150,"&lt;&gt;P")&gt;0,1,0)</f>
        <v>0</v>
      </c>
      <c r="G727">
        <f>IF(COUNTIFS('United Data'!$A$3:$A$2150,G$1,'United Data'!$C$3:$C$2150,$A727,'United Data'!$B$3:$B$2150,"&lt;&gt;P")&gt;0,1,0)</f>
        <v>0</v>
      </c>
      <c r="H727">
        <f>IF(COUNTIFS('United Data'!$A$3:$A$2150,H$1,'United Data'!$C$3:$C$2150,$A727,'United Data'!$B$3:$B$2150,"&lt;&gt;P")&gt;0,1,0)</f>
        <v>0</v>
      </c>
      <c r="I727">
        <f>IF(COUNTIFS('United Data'!$A$3:$A$2150,I$1,'United Data'!$C$3:$C$2150,$A727,'United Data'!$B$3:$B$2150,"&lt;&gt;P")&gt;0,1,0)</f>
        <v>0</v>
      </c>
      <c r="J727">
        <f>IF(COUNTIFS('United Data'!$A$3:$A$2150,J$1,'United Data'!$C$3:$C$2150,$A727,'United Data'!$B$3:$B$2150,"&lt;&gt;P")&gt;0,1,0)</f>
        <v>0</v>
      </c>
      <c r="K727">
        <f>IF(COUNTIFS('United Data'!$A$3:$A$2150,K$1,'United Data'!$C$3:$C$2150,$A727,'United Data'!$B$3:$B$2150,"&lt;&gt;P")&gt;0,1,0)</f>
        <v>0</v>
      </c>
      <c r="L727">
        <f>IF(COUNTIFS('United Data'!$A$3:$A$2150,L$1,'United Data'!$C$3:$C$2150,$A727,'United Data'!$B$3:$B$2150,"&lt;&gt;P")&gt;0,1,0)</f>
        <v>0</v>
      </c>
      <c r="M727">
        <f>IF(COUNTIFS('United Data'!$A$3:$A$2150,M$1,'United Data'!$C$3:$C$2150,$A727,'United Data'!$B$3:$B$2150,"&lt;&gt;P")&gt;0,1,0)</f>
        <v>0</v>
      </c>
      <c r="N727">
        <f>IF(COUNTIFS('United Data'!$A$3:$A$2150,N$1,'United Data'!$C$3:$C$2150,$A727,'United Data'!$B$3:$B$2150,"&lt;&gt;P")&gt;0,1,0)</f>
        <v>0</v>
      </c>
      <c r="O727">
        <f>IF(COUNTIFS('United Data'!$A$3:$A$2150,O$1,'United Data'!$C$3:$C$2150,$A727,'United Data'!$B$3:$B$2150,"&lt;&gt;P")&gt;0,1,0)</f>
        <v>0</v>
      </c>
      <c r="P727">
        <f>IF(COUNTIFS('United Data'!$A$3:$A$2150,P$1,'United Data'!$C$3:$C$2150,$A727,'United Data'!$B$3:$B$2150,"&lt;&gt;P")&gt;0,1,0)</f>
        <v>0</v>
      </c>
      <c r="Q727">
        <f>IF(COUNTIFS('United Data'!$A$3:$A$2150,Q$1,'United Data'!$C$3:$C$2150,$A727,'United Data'!$B$3:$B$2150,"&lt;&gt;P")&gt;0,1,0)</f>
        <v>1</v>
      </c>
      <c r="R727">
        <f>IF(COUNTIFS('United Data'!$A$3:$A$2150,R$1,'United Data'!$C$3:$C$2150,$A727,'United Data'!$B$3:$B$2150,"&lt;&gt;P")&gt;0,1,0)</f>
        <v>0</v>
      </c>
      <c r="S727">
        <f t="shared" si="22"/>
        <v>1</v>
      </c>
      <c r="T727">
        <f t="shared" si="23"/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212"/>
  <sheetViews>
    <sheetView workbookViewId="0"/>
  </sheetViews>
  <sheetFormatPr defaultRowHeight="12.75" x14ac:dyDescent="0.2"/>
  <sheetData>
    <row r="1" spans="1:20" ht="15" x14ac:dyDescent="0.25">
      <c r="A1" s="27" t="s">
        <v>8</v>
      </c>
      <c r="B1" s="27">
        <v>7</v>
      </c>
      <c r="C1" s="27">
        <v>8</v>
      </c>
      <c r="D1" s="27">
        <v>9</v>
      </c>
      <c r="E1" s="27">
        <v>10</v>
      </c>
      <c r="F1" s="27">
        <v>11</v>
      </c>
      <c r="G1" s="27">
        <v>12</v>
      </c>
      <c r="H1" s="27">
        <v>13</v>
      </c>
      <c r="I1" s="27">
        <v>14</v>
      </c>
      <c r="J1" s="27">
        <v>15</v>
      </c>
      <c r="K1" s="27">
        <v>16</v>
      </c>
      <c r="L1" s="27">
        <v>17</v>
      </c>
      <c r="M1" s="27">
        <v>18</v>
      </c>
      <c r="N1" s="27">
        <v>19</v>
      </c>
      <c r="O1" s="27">
        <v>20</v>
      </c>
      <c r="P1" s="27">
        <v>21</v>
      </c>
      <c r="Q1" s="27">
        <v>22</v>
      </c>
      <c r="R1" s="27">
        <v>23</v>
      </c>
      <c r="S1" s="27" t="s">
        <v>1007</v>
      </c>
      <c r="T1" s="27" t="s">
        <v>995</v>
      </c>
    </row>
    <row r="2" spans="1:20" x14ac:dyDescent="0.2">
      <c r="A2" t="s">
        <v>775</v>
      </c>
      <c r="B2">
        <f>IF(COUNTIFS('United Data'!$A$3:$A$2150,B$1,'United Data'!$C$3:$C$2150,$A2,'United Data'!$B$3:$B$2150,"P")&gt;0,1,0)</f>
        <v>1</v>
      </c>
      <c r="C2">
        <f>IF(COUNTIFS('United Data'!$A$3:$A$2150,C$1,'United Data'!$C$3:$C$2150,$A2,'United Data'!$B$3:$B$2150,"P")&gt;0,1,0)</f>
        <v>1</v>
      </c>
      <c r="D2">
        <f>IF(COUNTIFS('United Data'!$A$3:$A$2150,D$1,'United Data'!$C$3:$C$2150,$A2,'United Data'!$B$3:$B$2150,"P")&gt;0,1,0)</f>
        <v>1</v>
      </c>
      <c r="E2">
        <f>IF(COUNTIFS('United Data'!$A$3:$A$2150,E$1,'United Data'!$C$3:$C$2150,$A2,'United Data'!$B$3:$B$2150,"P")&gt;0,1,0)</f>
        <v>0</v>
      </c>
      <c r="F2">
        <f>IF(COUNTIFS('United Data'!$A$3:$A$2150,F$1,'United Data'!$C$3:$C$2150,$A2,'United Data'!$B$3:$B$2150,"P")&gt;0,1,0)</f>
        <v>0</v>
      </c>
      <c r="G2">
        <f>IF(COUNTIFS('United Data'!$A$3:$A$2150,G$1,'United Data'!$C$3:$C$2150,$A2,'United Data'!$B$3:$B$2150,"P")&gt;0,1,0)</f>
        <v>0</v>
      </c>
      <c r="H2">
        <f>IF(COUNTIFS('United Data'!$A$3:$A$2150,H$1,'United Data'!$C$3:$C$2150,$A2,'United Data'!$B$3:$B$2150,"P")&gt;0,1,0)</f>
        <v>0</v>
      </c>
      <c r="I2">
        <f>IF(COUNTIFS('United Data'!$A$3:$A$2150,I$1,'United Data'!$C$3:$C$2150,$A2,'United Data'!$B$3:$B$2150,"P")&gt;0,1,0)</f>
        <v>0</v>
      </c>
      <c r="J2">
        <f>IF(COUNTIFS('United Data'!$A$3:$A$2150,J$1,'United Data'!$C$3:$C$2150,$A2,'United Data'!$B$3:$B$2150,"P")&gt;0,1,0)</f>
        <v>0</v>
      </c>
      <c r="K2">
        <f>IF(COUNTIFS('United Data'!$A$3:$A$2150,K$1,'United Data'!$C$3:$C$2150,$A2,'United Data'!$B$3:$B$2150,"P")&gt;0,1,0)</f>
        <v>0</v>
      </c>
      <c r="L2">
        <f>IF(COUNTIFS('United Data'!$A$3:$A$2150,L$1,'United Data'!$C$3:$C$2150,$A2,'United Data'!$B$3:$B$2150,"P")&gt;0,1,0)</f>
        <v>0</v>
      </c>
      <c r="M2">
        <f>IF(COUNTIFS('United Data'!$A$3:$A$2150,M$1,'United Data'!$C$3:$C$2150,$A2,'United Data'!$B$3:$B$2150,"P")&gt;0,1,0)</f>
        <v>0</v>
      </c>
      <c r="N2">
        <f>IF(COUNTIFS('United Data'!$A$3:$A$2150,N$1,'United Data'!$C$3:$C$2150,$A2,'United Data'!$B$3:$B$2150,"P")&gt;0,1,0)</f>
        <v>0</v>
      </c>
      <c r="O2">
        <f>IF(COUNTIFS('United Data'!$A$3:$A$2150,O$1,'United Data'!$C$3:$C$2150,$A2,'United Data'!$B$3:$B$2150,"P")&gt;0,1,0)</f>
        <v>0</v>
      </c>
      <c r="P2">
        <f>IF(COUNTIFS('United Data'!$A$3:$A$2150,P$1,'United Data'!$C$3:$C$2150,$A2,'United Data'!$B$3:$B$2150,"P")&gt;0,1,0)</f>
        <v>0</v>
      </c>
      <c r="Q2">
        <f>IF(COUNTIFS('United Data'!$A$3:$A$2150,Q$1,'United Data'!$C$3:$C$2150,$A2,'United Data'!$B$3:$B$2150,"P")&gt;0,1,0)</f>
        <v>0</v>
      </c>
      <c r="R2">
        <f>IF(COUNTIFS('United Data'!$A$3:$A$2150,R$1,'United Data'!$C$3:$C$2150,$A2,'United Data'!$B$3:$B$2150,"P")&gt;0,1,0)</f>
        <v>0</v>
      </c>
      <c r="S2">
        <f t="shared" ref="S2:S65" si="0">SUM(B2:R2)</f>
        <v>3</v>
      </c>
      <c r="T2">
        <f t="shared" ref="T2:T65" si="1">B2+SUMPRODUCT(--(C2:R2&gt;B2:Q2))</f>
        <v>1</v>
      </c>
    </row>
    <row r="3" spans="1:20" x14ac:dyDescent="0.2">
      <c r="A3" t="s">
        <v>776</v>
      </c>
      <c r="B3">
        <f>IF(COUNTIFS('United Data'!$A$3:$A$2150,B$1,'United Data'!$C$3:$C$2150,$A3,'United Data'!$B$3:$B$2150,"P")&gt;0,1,0)</f>
        <v>1</v>
      </c>
      <c r="C3">
        <f>IF(COUNTIFS('United Data'!$A$3:$A$2150,C$1,'United Data'!$C$3:$C$2150,$A3,'United Data'!$B$3:$B$2150,"P")&gt;0,1,0)</f>
        <v>1</v>
      </c>
      <c r="D3">
        <f>IF(COUNTIFS('United Data'!$A$3:$A$2150,D$1,'United Data'!$C$3:$C$2150,$A3,'United Data'!$B$3:$B$2150,"P")&gt;0,1,0)</f>
        <v>1</v>
      </c>
      <c r="E3">
        <f>IF(COUNTIFS('United Data'!$A$3:$A$2150,E$1,'United Data'!$C$3:$C$2150,$A3,'United Data'!$B$3:$B$2150,"P")&gt;0,1,0)</f>
        <v>1</v>
      </c>
      <c r="F3">
        <f>IF(COUNTIFS('United Data'!$A$3:$A$2150,F$1,'United Data'!$C$3:$C$2150,$A3,'United Data'!$B$3:$B$2150,"P")&gt;0,1,0)</f>
        <v>0</v>
      </c>
      <c r="G3">
        <f>IF(COUNTIFS('United Data'!$A$3:$A$2150,G$1,'United Data'!$C$3:$C$2150,$A3,'United Data'!$B$3:$B$2150,"P")&gt;0,1,0)</f>
        <v>0</v>
      </c>
      <c r="H3">
        <f>IF(COUNTIFS('United Data'!$A$3:$A$2150,H$1,'United Data'!$C$3:$C$2150,$A3,'United Data'!$B$3:$B$2150,"P")&gt;0,1,0)</f>
        <v>0</v>
      </c>
      <c r="I3">
        <f>IF(COUNTIFS('United Data'!$A$3:$A$2150,I$1,'United Data'!$C$3:$C$2150,$A3,'United Data'!$B$3:$B$2150,"P")&gt;0,1,0)</f>
        <v>0</v>
      </c>
      <c r="J3">
        <f>IF(COUNTIFS('United Data'!$A$3:$A$2150,J$1,'United Data'!$C$3:$C$2150,$A3,'United Data'!$B$3:$B$2150,"P")&gt;0,1,0)</f>
        <v>0</v>
      </c>
      <c r="K3">
        <f>IF(COUNTIFS('United Data'!$A$3:$A$2150,K$1,'United Data'!$C$3:$C$2150,$A3,'United Data'!$B$3:$B$2150,"P")&gt;0,1,0)</f>
        <v>0</v>
      </c>
      <c r="L3">
        <f>IF(COUNTIFS('United Data'!$A$3:$A$2150,L$1,'United Data'!$C$3:$C$2150,$A3,'United Data'!$B$3:$B$2150,"P")&gt;0,1,0)</f>
        <v>0</v>
      </c>
      <c r="M3">
        <f>IF(COUNTIFS('United Data'!$A$3:$A$2150,M$1,'United Data'!$C$3:$C$2150,$A3,'United Data'!$B$3:$B$2150,"P")&gt;0,1,0)</f>
        <v>0</v>
      </c>
      <c r="N3">
        <f>IF(COUNTIFS('United Data'!$A$3:$A$2150,N$1,'United Data'!$C$3:$C$2150,$A3,'United Data'!$B$3:$B$2150,"P")&gt;0,1,0)</f>
        <v>0</v>
      </c>
      <c r="O3">
        <f>IF(COUNTIFS('United Data'!$A$3:$A$2150,O$1,'United Data'!$C$3:$C$2150,$A3,'United Data'!$B$3:$B$2150,"P")&gt;0,1,0)</f>
        <v>0</v>
      </c>
      <c r="P3">
        <f>IF(COUNTIFS('United Data'!$A$3:$A$2150,P$1,'United Data'!$C$3:$C$2150,$A3,'United Data'!$B$3:$B$2150,"P")&gt;0,1,0)</f>
        <v>0</v>
      </c>
      <c r="Q3">
        <f>IF(COUNTIFS('United Data'!$A$3:$A$2150,Q$1,'United Data'!$C$3:$C$2150,$A3,'United Data'!$B$3:$B$2150,"P")&gt;0,1,0)</f>
        <v>0</v>
      </c>
      <c r="R3">
        <f>IF(COUNTIFS('United Data'!$A$3:$A$2150,R$1,'United Data'!$C$3:$C$2150,$A3,'United Data'!$B$3:$B$2150,"P")&gt;0,1,0)</f>
        <v>0</v>
      </c>
      <c r="S3">
        <f t="shared" si="0"/>
        <v>4</v>
      </c>
      <c r="T3">
        <f t="shared" si="1"/>
        <v>1</v>
      </c>
    </row>
    <row r="4" spans="1:20" x14ac:dyDescent="0.2">
      <c r="A4" t="s">
        <v>777</v>
      </c>
      <c r="B4">
        <f>IF(COUNTIFS('United Data'!$A$3:$A$2150,B$1,'United Data'!$C$3:$C$2150,$A4,'United Data'!$B$3:$B$2150,"P")&gt;0,1,0)</f>
        <v>1</v>
      </c>
      <c r="C4">
        <f>IF(COUNTIFS('United Data'!$A$3:$A$2150,C$1,'United Data'!$C$3:$C$2150,$A4,'United Data'!$B$3:$B$2150,"P")&gt;0,1,0)</f>
        <v>1</v>
      </c>
      <c r="D4">
        <f>IF(COUNTIFS('United Data'!$A$3:$A$2150,D$1,'United Data'!$C$3:$C$2150,$A4,'United Data'!$B$3:$B$2150,"P")&gt;0,1,0)</f>
        <v>1</v>
      </c>
      <c r="E4">
        <f>IF(COUNTIFS('United Data'!$A$3:$A$2150,E$1,'United Data'!$C$3:$C$2150,$A4,'United Data'!$B$3:$B$2150,"P")&gt;0,1,0)</f>
        <v>1</v>
      </c>
      <c r="F4">
        <f>IF(COUNTIFS('United Data'!$A$3:$A$2150,F$1,'United Data'!$C$3:$C$2150,$A4,'United Data'!$B$3:$B$2150,"P")&gt;0,1,0)</f>
        <v>0</v>
      </c>
      <c r="G4">
        <f>IF(COUNTIFS('United Data'!$A$3:$A$2150,G$1,'United Data'!$C$3:$C$2150,$A4,'United Data'!$B$3:$B$2150,"P")&gt;0,1,0)</f>
        <v>1</v>
      </c>
      <c r="H4">
        <f>IF(COUNTIFS('United Data'!$A$3:$A$2150,H$1,'United Data'!$C$3:$C$2150,$A4,'United Data'!$B$3:$B$2150,"P")&gt;0,1,0)</f>
        <v>1</v>
      </c>
      <c r="I4">
        <f>IF(COUNTIFS('United Data'!$A$3:$A$2150,I$1,'United Data'!$C$3:$C$2150,$A4,'United Data'!$B$3:$B$2150,"P")&gt;0,1,0)</f>
        <v>1</v>
      </c>
      <c r="J4">
        <f>IF(COUNTIFS('United Data'!$A$3:$A$2150,J$1,'United Data'!$C$3:$C$2150,$A4,'United Data'!$B$3:$B$2150,"P")&gt;0,1,0)</f>
        <v>1</v>
      </c>
      <c r="K4">
        <f>IF(COUNTIFS('United Data'!$A$3:$A$2150,K$1,'United Data'!$C$3:$C$2150,$A4,'United Data'!$B$3:$B$2150,"P")&gt;0,1,0)</f>
        <v>1</v>
      </c>
      <c r="L4">
        <f>IF(COUNTIFS('United Data'!$A$3:$A$2150,L$1,'United Data'!$C$3:$C$2150,$A4,'United Data'!$B$3:$B$2150,"P")&gt;0,1,0)</f>
        <v>1</v>
      </c>
      <c r="M4">
        <f>IF(COUNTIFS('United Data'!$A$3:$A$2150,M$1,'United Data'!$C$3:$C$2150,$A4,'United Data'!$B$3:$B$2150,"P")&gt;0,1,0)</f>
        <v>1</v>
      </c>
      <c r="N4">
        <f>IF(COUNTIFS('United Data'!$A$3:$A$2150,N$1,'United Data'!$C$3:$C$2150,$A4,'United Data'!$B$3:$B$2150,"P")&gt;0,1,0)</f>
        <v>0</v>
      </c>
      <c r="O4">
        <f>IF(COUNTIFS('United Data'!$A$3:$A$2150,O$1,'United Data'!$C$3:$C$2150,$A4,'United Data'!$B$3:$B$2150,"P")&gt;0,1,0)</f>
        <v>1</v>
      </c>
      <c r="P4">
        <f>IF(COUNTIFS('United Data'!$A$3:$A$2150,P$1,'United Data'!$C$3:$C$2150,$A4,'United Data'!$B$3:$B$2150,"P")&gt;0,1,0)</f>
        <v>1</v>
      </c>
      <c r="Q4">
        <f>IF(COUNTIFS('United Data'!$A$3:$A$2150,Q$1,'United Data'!$C$3:$C$2150,$A4,'United Data'!$B$3:$B$2150,"P")&gt;0,1,0)</f>
        <v>0</v>
      </c>
      <c r="R4">
        <f>IF(COUNTIFS('United Data'!$A$3:$A$2150,R$1,'United Data'!$C$3:$C$2150,$A4,'United Data'!$B$3:$B$2150,"P")&gt;0,1,0)</f>
        <v>0</v>
      </c>
      <c r="S4">
        <f t="shared" si="0"/>
        <v>13</v>
      </c>
      <c r="T4">
        <f t="shared" si="1"/>
        <v>3</v>
      </c>
    </row>
    <row r="5" spans="1:20" x14ac:dyDescent="0.2">
      <c r="A5" t="s">
        <v>778</v>
      </c>
      <c r="B5">
        <f>IF(COUNTIFS('United Data'!$A$3:$A$2150,B$1,'United Data'!$C$3:$C$2150,$A5,'United Data'!$B$3:$B$2150,"P")&gt;0,1,0)</f>
        <v>1</v>
      </c>
      <c r="C5">
        <f>IF(COUNTIFS('United Data'!$A$3:$A$2150,C$1,'United Data'!$C$3:$C$2150,$A5,'United Data'!$B$3:$B$2150,"P")&gt;0,1,0)</f>
        <v>1</v>
      </c>
      <c r="D5">
        <f>IF(COUNTIFS('United Data'!$A$3:$A$2150,D$1,'United Data'!$C$3:$C$2150,$A5,'United Data'!$B$3:$B$2150,"P")&gt;0,1,0)</f>
        <v>1</v>
      </c>
      <c r="E5">
        <f>IF(COUNTIFS('United Data'!$A$3:$A$2150,E$1,'United Data'!$C$3:$C$2150,$A5,'United Data'!$B$3:$B$2150,"P")&gt;0,1,0)</f>
        <v>1</v>
      </c>
      <c r="F5">
        <f>IF(COUNTIFS('United Data'!$A$3:$A$2150,F$1,'United Data'!$C$3:$C$2150,$A5,'United Data'!$B$3:$B$2150,"P")&gt;0,1,0)</f>
        <v>0</v>
      </c>
      <c r="G5">
        <f>IF(COUNTIFS('United Data'!$A$3:$A$2150,G$1,'United Data'!$C$3:$C$2150,$A5,'United Data'!$B$3:$B$2150,"P")&gt;0,1,0)</f>
        <v>0</v>
      </c>
      <c r="H5">
        <f>IF(COUNTIFS('United Data'!$A$3:$A$2150,H$1,'United Data'!$C$3:$C$2150,$A5,'United Data'!$B$3:$B$2150,"P")&gt;0,1,0)</f>
        <v>0</v>
      </c>
      <c r="I5">
        <f>IF(COUNTIFS('United Data'!$A$3:$A$2150,I$1,'United Data'!$C$3:$C$2150,$A5,'United Data'!$B$3:$B$2150,"P")&gt;0,1,0)</f>
        <v>1</v>
      </c>
      <c r="J5">
        <f>IF(COUNTIFS('United Data'!$A$3:$A$2150,J$1,'United Data'!$C$3:$C$2150,$A5,'United Data'!$B$3:$B$2150,"P")&gt;0,1,0)</f>
        <v>0</v>
      </c>
      <c r="K5">
        <f>IF(COUNTIFS('United Data'!$A$3:$A$2150,K$1,'United Data'!$C$3:$C$2150,$A5,'United Data'!$B$3:$B$2150,"P")&gt;0,1,0)</f>
        <v>0</v>
      </c>
      <c r="L5">
        <f>IF(COUNTIFS('United Data'!$A$3:$A$2150,L$1,'United Data'!$C$3:$C$2150,$A5,'United Data'!$B$3:$B$2150,"P")&gt;0,1,0)</f>
        <v>1</v>
      </c>
      <c r="M5">
        <f>IF(COUNTIFS('United Data'!$A$3:$A$2150,M$1,'United Data'!$C$3:$C$2150,$A5,'United Data'!$B$3:$B$2150,"P")&gt;0,1,0)</f>
        <v>1</v>
      </c>
      <c r="N5">
        <f>IF(COUNTIFS('United Data'!$A$3:$A$2150,N$1,'United Data'!$C$3:$C$2150,$A5,'United Data'!$B$3:$B$2150,"P")&gt;0,1,0)</f>
        <v>0</v>
      </c>
      <c r="O5">
        <f>IF(COUNTIFS('United Data'!$A$3:$A$2150,O$1,'United Data'!$C$3:$C$2150,$A5,'United Data'!$B$3:$B$2150,"P")&gt;0,1,0)</f>
        <v>0</v>
      </c>
      <c r="P5">
        <f>IF(COUNTIFS('United Data'!$A$3:$A$2150,P$1,'United Data'!$C$3:$C$2150,$A5,'United Data'!$B$3:$B$2150,"P")&gt;0,1,0)</f>
        <v>0</v>
      </c>
      <c r="Q5">
        <f>IF(COUNTIFS('United Data'!$A$3:$A$2150,Q$1,'United Data'!$C$3:$C$2150,$A5,'United Data'!$B$3:$B$2150,"P")&gt;0,1,0)</f>
        <v>0</v>
      </c>
      <c r="R5">
        <f>IF(COUNTIFS('United Data'!$A$3:$A$2150,R$1,'United Data'!$C$3:$C$2150,$A5,'United Data'!$B$3:$B$2150,"P")&gt;0,1,0)</f>
        <v>0</v>
      </c>
      <c r="S5">
        <f t="shared" si="0"/>
        <v>7</v>
      </c>
      <c r="T5">
        <f t="shared" si="1"/>
        <v>3</v>
      </c>
    </row>
    <row r="6" spans="1:20" x14ac:dyDescent="0.2">
      <c r="A6" t="s">
        <v>779</v>
      </c>
      <c r="B6">
        <f>IF(COUNTIFS('United Data'!$A$3:$A$2150,B$1,'United Data'!$C$3:$C$2150,$A6,'United Data'!$B$3:$B$2150,"P")&gt;0,1,0)</f>
        <v>1</v>
      </c>
      <c r="C6">
        <f>IF(COUNTIFS('United Data'!$A$3:$A$2150,C$1,'United Data'!$C$3:$C$2150,$A6,'United Data'!$B$3:$B$2150,"P")&gt;0,1,0)</f>
        <v>1</v>
      </c>
      <c r="D6">
        <f>IF(COUNTIFS('United Data'!$A$3:$A$2150,D$1,'United Data'!$C$3:$C$2150,$A6,'United Data'!$B$3:$B$2150,"P")&gt;0,1,0)</f>
        <v>1</v>
      </c>
      <c r="E6">
        <f>IF(COUNTIFS('United Data'!$A$3:$A$2150,E$1,'United Data'!$C$3:$C$2150,$A6,'United Data'!$B$3:$B$2150,"P")&gt;0,1,0)</f>
        <v>1</v>
      </c>
      <c r="F6">
        <f>IF(COUNTIFS('United Data'!$A$3:$A$2150,F$1,'United Data'!$C$3:$C$2150,$A6,'United Data'!$B$3:$B$2150,"P")&gt;0,1,0)</f>
        <v>0</v>
      </c>
      <c r="G6">
        <f>IF(COUNTIFS('United Data'!$A$3:$A$2150,G$1,'United Data'!$C$3:$C$2150,$A6,'United Data'!$B$3:$B$2150,"P")&gt;0,1,0)</f>
        <v>0</v>
      </c>
      <c r="H6">
        <f>IF(COUNTIFS('United Data'!$A$3:$A$2150,H$1,'United Data'!$C$3:$C$2150,$A6,'United Data'!$B$3:$B$2150,"P")&gt;0,1,0)</f>
        <v>1</v>
      </c>
      <c r="I6">
        <f>IF(COUNTIFS('United Data'!$A$3:$A$2150,I$1,'United Data'!$C$3:$C$2150,$A6,'United Data'!$B$3:$B$2150,"P")&gt;0,1,0)</f>
        <v>0</v>
      </c>
      <c r="J6">
        <f>IF(COUNTIFS('United Data'!$A$3:$A$2150,J$1,'United Data'!$C$3:$C$2150,$A6,'United Data'!$B$3:$B$2150,"P")&gt;0,1,0)</f>
        <v>0</v>
      </c>
      <c r="K6">
        <f>IF(COUNTIFS('United Data'!$A$3:$A$2150,K$1,'United Data'!$C$3:$C$2150,$A6,'United Data'!$B$3:$B$2150,"P")&gt;0,1,0)</f>
        <v>1</v>
      </c>
      <c r="L6">
        <f>IF(COUNTIFS('United Data'!$A$3:$A$2150,L$1,'United Data'!$C$3:$C$2150,$A6,'United Data'!$B$3:$B$2150,"P")&gt;0,1,0)</f>
        <v>1</v>
      </c>
      <c r="M6">
        <f>IF(COUNTIFS('United Data'!$A$3:$A$2150,M$1,'United Data'!$C$3:$C$2150,$A6,'United Data'!$B$3:$B$2150,"P")&gt;0,1,0)</f>
        <v>1</v>
      </c>
      <c r="N6">
        <f>IF(COUNTIFS('United Data'!$A$3:$A$2150,N$1,'United Data'!$C$3:$C$2150,$A6,'United Data'!$B$3:$B$2150,"P")&gt;0,1,0)</f>
        <v>1</v>
      </c>
      <c r="O6">
        <f>IF(COUNTIFS('United Data'!$A$3:$A$2150,O$1,'United Data'!$C$3:$C$2150,$A6,'United Data'!$B$3:$B$2150,"P")&gt;0,1,0)</f>
        <v>1</v>
      </c>
      <c r="P6">
        <f>IF(COUNTIFS('United Data'!$A$3:$A$2150,P$1,'United Data'!$C$3:$C$2150,$A6,'United Data'!$B$3:$B$2150,"P")&gt;0,1,0)</f>
        <v>1</v>
      </c>
      <c r="Q6">
        <f>IF(COUNTIFS('United Data'!$A$3:$A$2150,Q$1,'United Data'!$C$3:$C$2150,$A6,'United Data'!$B$3:$B$2150,"P")&gt;0,1,0)</f>
        <v>0</v>
      </c>
      <c r="R6">
        <f>IF(COUNTIFS('United Data'!$A$3:$A$2150,R$1,'United Data'!$C$3:$C$2150,$A6,'United Data'!$B$3:$B$2150,"P")&gt;0,1,0)</f>
        <v>0</v>
      </c>
      <c r="S6">
        <f t="shared" si="0"/>
        <v>11</v>
      </c>
      <c r="T6">
        <f t="shared" si="1"/>
        <v>3</v>
      </c>
    </row>
    <row r="7" spans="1:20" x14ac:dyDescent="0.2">
      <c r="A7" t="s">
        <v>780</v>
      </c>
      <c r="B7">
        <f>IF(COUNTIFS('United Data'!$A$3:$A$2150,B$1,'United Data'!$C$3:$C$2150,$A7,'United Data'!$B$3:$B$2150,"P")&gt;0,1,0)</f>
        <v>1</v>
      </c>
      <c r="C7">
        <f>IF(COUNTIFS('United Data'!$A$3:$A$2150,C$1,'United Data'!$C$3:$C$2150,$A7,'United Data'!$B$3:$B$2150,"P")&gt;0,1,0)</f>
        <v>1</v>
      </c>
      <c r="D7">
        <f>IF(COUNTIFS('United Data'!$A$3:$A$2150,D$1,'United Data'!$C$3:$C$2150,$A7,'United Data'!$B$3:$B$2150,"P")&gt;0,1,0)</f>
        <v>1</v>
      </c>
      <c r="E7">
        <f>IF(COUNTIFS('United Data'!$A$3:$A$2150,E$1,'United Data'!$C$3:$C$2150,$A7,'United Data'!$B$3:$B$2150,"P")&gt;0,1,0)</f>
        <v>0</v>
      </c>
      <c r="F7">
        <f>IF(COUNTIFS('United Data'!$A$3:$A$2150,F$1,'United Data'!$C$3:$C$2150,$A7,'United Data'!$B$3:$B$2150,"P")&gt;0,1,0)</f>
        <v>0</v>
      </c>
      <c r="G7">
        <f>IF(COUNTIFS('United Data'!$A$3:$A$2150,G$1,'United Data'!$C$3:$C$2150,$A7,'United Data'!$B$3:$B$2150,"P")&gt;0,1,0)</f>
        <v>0</v>
      </c>
      <c r="H7">
        <f>IF(COUNTIFS('United Data'!$A$3:$A$2150,H$1,'United Data'!$C$3:$C$2150,$A7,'United Data'!$B$3:$B$2150,"P")&gt;0,1,0)</f>
        <v>0</v>
      </c>
      <c r="I7">
        <f>IF(COUNTIFS('United Data'!$A$3:$A$2150,I$1,'United Data'!$C$3:$C$2150,$A7,'United Data'!$B$3:$B$2150,"P")&gt;0,1,0)</f>
        <v>0</v>
      </c>
      <c r="J7">
        <f>IF(COUNTIFS('United Data'!$A$3:$A$2150,J$1,'United Data'!$C$3:$C$2150,$A7,'United Data'!$B$3:$B$2150,"P")&gt;0,1,0)</f>
        <v>0</v>
      </c>
      <c r="K7">
        <f>IF(COUNTIFS('United Data'!$A$3:$A$2150,K$1,'United Data'!$C$3:$C$2150,$A7,'United Data'!$B$3:$B$2150,"P")&gt;0,1,0)</f>
        <v>0</v>
      </c>
      <c r="L7">
        <f>IF(COUNTIFS('United Data'!$A$3:$A$2150,L$1,'United Data'!$C$3:$C$2150,$A7,'United Data'!$B$3:$B$2150,"P")&gt;0,1,0)</f>
        <v>0</v>
      </c>
      <c r="M7">
        <f>IF(COUNTIFS('United Data'!$A$3:$A$2150,M$1,'United Data'!$C$3:$C$2150,$A7,'United Data'!$B$3:$B$2150,"P")&gt;0,1,0)</f>
        <v>0</v>
      </c>
      <c r="N7">
        <f>IF(COUNTIFS('United Data'!$A$3:$A$2150,N$1,'United Data'!$C$3:$C$2150,$A7,'United Data'!$B$3:$B$2150,"P")&gt;0,1,0)</f>
        <v>0</v>
      </c>
      <c r="O7">
        <f>IF(COUNTIFS('United Data'!$A$3:$A$2150,O$1,'United Data'!$C$3:$C$2150,$A7,'United Data'!$B$3:$B$2150,"P")&gt;0,1,0)</f>
        <v>0</v>
      </c>
      <c r="P7">
        <f>IF(COUNTIFS('United Data'!$A$3:$A$2150,P$1,'United Data'!$C$3:$C$2150,$A7,'United Data'!$B$3:$B$2150,"P")&gt;0,1,0)</f>
        <v>0</v>
      </c>
      <c r="Q7">
        <f>IF(COUNTIFS('United Data'!$A$3:$A$2150,Q$1,'United Data'!$C$3:$C$2150,$A7,'United Data'!$B$3:$B$2150,"P")&gt;0,1,0)</f>
        <v>0</v>
      </c>
      <c r="R7">
        <f>IF(COUNTIFS('United Data'!$A$3:$A$2150,R$1,'United Data'!$C$3:$C$2150,$A7,'United Data'!$B$3:$B$2150,"P")&gt;0,1,0)</f>
        <v>0</v>
      </c>
      <c r="S7">
        <f t="shared" si="0"/>
        <v>3</v>
      </c>
      <c r="T7">
        <f t="shared" si="1"/>
        <v>1</v>
      </c>
    </row>
    <row r="8" spans="1:20" x14ac:dyDescent="0.2">
      <c r="A8" t="s">
        <v>781</v>
      </c>
      <c r="B8">
        <f>IF(COUNTIFS('United Data'!$A$3:$A$2150,B$1,'United Data'!$C$3:$C$2150,$A8,'United Data'!$B$3:$B$2150,"P")&gt;0,1,0)</f>
        <v>1</v>
      </c>
      <c r="C8">
        <f>IF(COUNTIFS('United Data'!$A$3:$A$2150,C$1,'United Data'!$C$3:$C$2150,$A8,'United Data'!$B$3:$B$2150,"P")&gt;0,1,0)</f>
        <v>1</v>
      </c>
      <c r="D8">
        <f>IF(COUNTIFS('United Data'!$A$3:$A$2150,D$1,'United Data'!$C$3:$C$2150,$A8,'United Data'!$B$3:$B$2150,"P")&gt;0,1,0)</f>
        <v>1</v>
      </c>
      <c r="E8">
        <f>IF(COUNTIFS('United Data'!$A$3:$A$2150,E$1,'United Data'!$C$3:$C$2150,$A8,'United Data'!$B$3:$B$2150,"P")&gt;0,1,0)</f>
        <v>1</v>
      </c>
      <c r="F8">
        <f>IF(COUNTIFS('United Data'!$A$3:$A$2150,F$1,'United Data'!$C$3:$C$2150,$A8,'United Data'!$B$3:$B$2150,"P")&gt;0,1,0)</f>
        <v>0</v>
      </c>
      <c r="G8">
        <f>IF(COUNTIFS('United Data'!$A$3:$A$2150,G$1,'United Data'!$C$3:$C$2150,$A8,'United Data'!$B$3:$B$2150,"P")&gt;0,1,0)</f>
        <v>0</v>
      </c>
      <c r="H8">
        <f>IF(COUNTIFS('United Data'!$A$3:$A$2150,H$1,'United Data'!$C$3:$C$2150,$A8,'United Data'!$B$3:$B$2150,"P")&gt;0,1,0)</f>
        <v>0</v>
      </c>
      <c r="I8">
        <f>IF(COUNTIFS('United Data'!$A$3:$A$2150,I$1,'United Data'!$C$3:$C$2150,$A8,'United Data'!$B$3:$B$2150,"P")&gt;0,1,0)</f>
        <v>0</v>
      </c>
      <c r="J8">
        <f>IF(COUNTIFS('United Data'!$A$3:$A$2150,J$1,'United Data'!$C$3:$C$2150,$A8,'United Data'!$B$3:$B$2150,"P")&gt;0,1,0)</f>
        <v>0</v>
      </c>
      <c r="K8">
        <f>IF(COUNTIFS('United Data'!$A$3:$A$2150,K$1,'United Data'!$C$3:$C$2150,$A8,'United Data'!$B$3:$B$2150,"P")&gt;0,1,0)</f>
        <v>0</v>
      </c>
      <c r="L8">
        <f>IF(COUNTIFS('United Data'!$A$3:$A$2150,L$1,'United Data'!$C$3:$C$2150,$A8,'United Data'!$B$3:$B$2150,"P")&gt;0,1,0)</f>
        <v>0</v>
      </c>
      <c r="M8">
        <f>IF(COUNTIFS('United Data'!$A$3:$A$2150,M$1,'United Data'!$C$3:$C$2150,$A8,'United Data'!$B$3:$B$2150,"P")&gt;0,1,0)</f>
        <v>0</v>
      </c>
      <c r="N8">
        <f>IF(COUNTIFS('United Data'!$A$3:$A$2150,N$1,'United Data'!$C$3:$C$2150,$A8,'United Data'!$B$3:$B$2150,"P")&gt;0,1,0)</f>
        <v>0</v>
      </c>
      <c r="O8">
        <f>IF(COUNTIFS('United Data'!$A$3:$A$2150,O$1,'United Data'!$C$3:$C$2150,$A8,'United Data'!$B$3:$B$2150,"P")&gt;0,1,0)</f>
        <v>0</v>
      </c>
      <c r="P8">
        <f>IF(COUNTIFS('United Data'!$A$3:$A$2150,P$1,'United Data'!$C$3:$C$2150,$A8,'United Data'!$B$3:$B$2150,"P")&gt;0,1,0)</f>
        <v>0</v>
      </c>
      <c r="Q8">
        <f>IF(COUNTIFS('United Data'!$A$3:$A$2150,Q$1,'United Data'!$C$3:$C$2150,$A8,'United Data'!$B$3:$B$2150,"P")&gt;0,1,0)</f>
        <v>0</v>
      </c>
      <c r="R8">
        <f>IF(COUNTIFS('United Data'!$A$3:$A$2150,R$1,'United Data'!$C$3:$C$2150,$A8,'United Data'!$B$3:$B$2150,"P")&gt;0,1,0)</f>
        <v>0</v>
      </c>
      <c r="S8">
        <f t="shared" si="0"/>
        <v>4</v>
      </c>
      <c r="T8">
        <f t="shared" si="1"/>
        <v>1</v>
      </c>
    </row>
    <row r="9" spans="1:20" x14ac:dyDescent="0.2">
      <c r="A9" t="s">
        <v>782</v>
      </c>
      <c r="B9">
        <f>IF(COUNTIFS('United Data'!$A$3:$A$2150,B$1,'United Data'!$C$3:$C$2150,$A9,'United Data'!$B$3:$B$2150,"P")&gt;0,1,0)</f>
        <v>1</v>
      </c>
      <c r="C9">
        <f>IF(COUNTIFS('United Data'!$A$3:$A$2150,C$1,'United Data'!$C$3:$C$2150,$A9,'United Data'!$B$3:$B$2150,"P")&gt;0,1,0)</f>
        <v>1</v>
      </c>
      <c r="D9">
        <f>IF(COUNTIFS('United Data'!$A$3:$A$2150,D$1,'United Data'!$C$3:$C$2150,$A9,'United Data'!$B$3:$B$2150,"P")&gt;0,1,0)</f>
        <v>1</v>
      </c>
      <c r="E9">
        <f>IF(COUNTIFS('United Data'!$A$3:$A$2150,E$1,'United Data'!$C$3:$C$2150,$A9,'United Data'!$B$3:$B$2150,"P")&gt;0,1,0)</f>
        <v>1</v>
      </c>
      <c r="F9">
        <f>IF(COUNTIFS('United Data'!$A$3:$A$2150,F$1,'United Data'!$C$3:$C$2150,$A9,'United Data'!$B$3:$B$2150,"P")&gt;0,1,0)</f>
        <v>1</v>
      </c>
      <c r="G9">
        <f>IF(COUNTIFS('United Data'!$A$3:$A$2150,G$1,'United Data'!$C$3:$C$2150,$A9,'United Data'!$B$3:$B$2150,"P")&gt;0,1,0)</f>
        <v>1</v>
      </c>
      <c r="H9">
        <f>IF(COUNTIFS('United Data'!$A$3:$A$2150,H$1,'United Data'!$C$3:$C$2150,$A9,'United Data'!$B$3:$B$2150,"P")&gt;0,1,0)</f>
        <v>1</v>
      </c>
      <c r="I9">
        <f>IF(COUNTIFS('United Data'!$A$3:$A$2150,I$1,'United Data'!$C$3:$C$2150,$A9,'United Data'!$B$3:$B$2150,"P")&gt;0,1,0)</f>
        <v>1</v>
      </c>
      <c r="J9">
        <f>IF(COUNTIFS('United Data'!$A$3:$A$2150,J$1,'United Data'!$C$3:$C$2150,$A9,'United Data'!$B$3:$B$2150,"P")&gt;0,1,0)</f>
        <v>1</v>
      </c>
      <c r="K9">
        <f>IF(COUNTIFS('United Data'!$A$3:$A$2150,K$1,'United Data'!$C$3:$C$2150,$A9,'United Data'!$B$3:$B$2150,"P")&gt;0,1,0)</f>
        <v>1</v>
      </c>
      <c r="L9">
        <f>IF(COUNTIFS('United Data'!$A$3:$A$2150,L$1,'United Data'!$C$3:$C$2150,$A9,'United Data'!$B$3:$B$2150,"P")&gt;0,1,0)</f>
        <v>1</v>
      </c>
      <c r="M9">
        <f>IF(COUNTIFS('United Data'!$A$3:$A$2150,M$1,'United Data'!$C$3:$C$2150,$A9,'United Data'!$B$3:$B$2150,"P")&gt;0,1,0)</f>
        <v>1</v>
      </c>
      <c r="N9">
        <f>IF(COUNTIFS('United Data'!$A$3:$A$2150,N$1,'United Data'!$C$3:$C$2150,$A9,'United Data'!$B$3:$B$2150,"P")&gt;0,1,0)</f>
        <v>1</v>
      </c>
      <c r="O9">
        <f>IF(COUNTIFS('United Data'!$A$3:$A$2150,O$1,'United Data'!$C$3:$C$2150,$A9,'United Data'!$B$3:$B$2150,"P")&gt;0,1,0)</f>
        <v>1</v>
      </c>
      <c r="P9">
        <f>IF(COUNTIFS('United Data'!$A$3:$A$2150,P$1,'United Data'!$C$3:$C$2150,$A9,'United Data'!$B$3:$B$2150,"P")&gt;0,1,0)</f>
        <v>1</v>
      </c>
      <c r="Q9">
        <f>IF(COUNTIFS('United Data'!$A$3:$A$2150,Q$1,'United Data'!$C$3:$C$2150,$A9,'United Data'!$B$3:$B$2150,"P")&gt;0,1,0)</f>
        <v>0</v>
      </c>
      <c r="R9">
        <f>IF(COUNTIFS('United Data'!$A$3:$A$2150,R$1,'United Data'!$C$3:$C$2150,$A9,'United Data'!$B$3:$B$2150,"P")&gt;0,1,0)</f>
        <v>0</v>
      </c>
      <c r="S9">
        <f t="shared" si="0"/>
        <v>15</v>
      </c>
      <c r="T9">
        <f t="shared" si="1"/>
        <v>1</v>
      </c>
    </row>
    <row r="10" spans="1:20" x14ac:dyDescent="0.2">
      <c r="A10" t="s">
        <v>783</v>
      </c>
      <c r="B10">
        <f>IF(COUNTIFS('United Data'!$A$3:$A$2150,B$1,'United Data'!$C$3:$C$2150,$A10,'United Data'!$B$3:$B$2150,"P")&gt;0,1,0)</f>
        <v>1</v>
      </c>
      <c r="C10">
        <f>IF(COUNTIFS('United Data'!$A$3:$A$2150,C$1,'United Data'!$C$3:$C$2150,$A10,'United Data'!$B$3:$B$2150,"P")&gt;0,1,0)</f>
        <v>1</v>
      </c>
      <c r="D10">
        <f>IF(COUNTIFS('United Data'!$A$3:$A$2150,D$1,'United Data'!$C$3:$C$2150,$A10,'United Data'!$B$3:$B$2150,"P")&gt;0,1,0)</f>
        <v>1</v>
      </c>
      <c r="E10">
        <f>IF(COUNTIFS('United Data'!$A$3:$A$2150,E$1,'United Data'!$C$3:$C$2150,$A10,'United Data'!$B$3:$B$2150,"P")&gt;0,1,0)</f>
        <v>1</v>
      </c>
      <c r="F10">
        <f>IF(COUNTIFS('United Data'!$A$3:$A$2150,F$1,'United Data'!$C$3:$C$2150,$A10,'United Data'!$B$3:$B$2150,"P")&gt;0,1,0)</f>
        <v>1</v>
      </c>
      <c r="G10">
        <f>IF(COUNTIFS('United Data'!$A$3:$A$2150,G$1,'United Data'!$C$3:$C$2150,$A10,'United Data'!$B$3:$B$2150,"P")&gt;0,1,0)</f>
        <v>1</v>
      </c>
      <c r="H10">
        <f>IF(COUNTIFS('United Data'!$A$3:$A$2150,H$1,'United Data'!$C$3:$C$2150,$A10,'United Data'!$B$3:$B$2150,"P")&gt;0,1,0)</f>
        <v>1</v>
      </c>
      <c r="I10">
        <f>IF(COUNTIFS('United Data'!$A$3:$A$2150,I$1,'United Data'!$C$3:$C$2150,$A10,'United Data'!$B$3:$B$2150,"P")&gt;0,1,0)</f>
        <v>1</v>
      </c>
      <c r="J10">
        <f>IF(COUNTIFS('United Data'!$A$3:$A$2150,J$1,'United Data'!$C$3:$C$2150,$A10,'United Data'!$B$3:$B$2150,"P")&gt;0,1,0)</f>
        <v>1</v>
      </c>
      <c r="K10">
        <f>IF(COUNTIFS('United Data'!$A$3:$A$2150,K$1,'United Data'!$C$3:$C$2150,$A10,'United Data'!$B$3:$B$2150,"P")&gt;0,1,0)</f>
        <v>1</v>
      </c>
      <c r="L10">
        <f>IF(COUNTIFS('United Data'!$A$3:$A$2150,L$1,'United Data'!$C$3:$C$2150,$A10,'United Data'!$B$3:$B$2150,"P")&gt;0,1,0)</f>
        <v>1</v>
      </c>
      <c r="M10">
        <f>IF(COUNTIFS('United Data'!$A$3:$A$2150,M$1,'United Data'!$C$3:$C$2150,$A10,'United Data'!$B$3:$B$2150,"P")&gt;0,1,0)</f>
        <v>1</v>
      </c>
      <c r="N10">
        <f>IF(COUNTIFS('United Data'!$A$3:$A$2150,N$1,'United Data'!$C$3:$C$2150,$A10,'United Data'!$B$3:$B$2150,"P")&gt;0,1,0)</f>
        <v>1</v>
      </c>
      <c r="O10">
        <f>IF(COUNTIFS('United Data'!$A$3:$A$2150,O$1,'United Data'!$C$3:$C$2150,$A10,'United Data'!$B$3:$B$2150,"P")&gt;0,1,0)</f>
        <v>0</v>
      </c>
      <c r="P10">
        <f>IF(COUNTIFS('United Data'!$A$3:$A$2150,P$1,'United Data'!$C$3:$C$2150,$A10,'United Data'!$B$3:$B$2150,"P")&gt;0,1,0)</f>
        <v>1</v>
      </c>
      <c r="Q10">
        <f>IF(COUNTIFS('United Data'!$A$3:$A$2150,Q$1,'United Data'!$C$3:$C$2150,$A10,'United Data'!$B$3:$B$2150,"P")&gt;0,1,0)</f>
        <v>0</v>
      </c>
      <c r="R10">
        <f>IF(COUNTIFS('United Data'!$A$3:$A$2150,R$1,'United Data'!$C$3:$C$2150,$A10,'United Data'!$B$3:$B$2150,"P")&gt;0,1,0)</f>
        <v>0</v>
      </c>
      <c r="S10">
        <f t="shared" si="0"/>
        <v>14</v>
      </c>
      <c r="T10">
        <f t="shared" si="1"/>
        <v>2</v>
      </c>
    </row>
    <row r="11" spans="1:20" x14ac:dyDescent="0.2">
      <c r="A11" t="s">
        <v>979</v>
      </c>
      <c r="B11">
        <f>IF(COUNTIFS('United Data'!$A$3:$A$2150,B$1,'United Data'!$C$3:$C$2150,$A11,'United Data'!$B$3:$B$2150,"P")&gt;0,1,0)</f>
        <v>1</v>
      </c>
      <c r="C11">
        <f>IF(COUNTIFS('United Data'!$A$3:$A$2150,C$1,'United Data'!$C$3:$C$2150,$A11,'United Data'!$B$3:$B$2150,"P")&gt;0,1,0)</f>
        <v>0</v>
      </c>
      <c r="D11">
        <f>IF(COUNTIFS('United Data'!$A$3:$A$2150,D$1,'United Data'!$C$3:$C$2150,$A11,'United Data'!$B$3:$B$2150,"P")&gt;0,1,0)</f>
        <v>0</v>
      </c>
      <c r="E11">
        <f>IF(COUNTIFS('United Data'!$A$3:$A$2150,E$1,'United Data'!$C$3:$C$2150,$A11,'United Data'!$B$3:$B$2150,"P")&gt;0,1,0)</f>
        <v>0</v>
      </c>
      <c r="F11">
        <f>IF(COUNTIFS('United Data'!$A$3:$A$2150,F$1,'United Data'!$C$3:$C$2150,$A11,'United Data'!$B$3:$B$2150,"P")&gt;0,1,0)</f>
        <v>0</v>
      </c>
      <c r="G11">
        <f>IF(COUNTIFS('United Data'!$A$3:$A$2150,G$1,'United Data'!$C$3:$C$2150,$A11,'United Data'!$B$3:$B$2150,"P")&gt;0,1,0)</f>
        <v>0</v>
      </c>
      <c r="H11">
        <f>IF(COUNTIFS('United Data'!$A$3:$A$2150,H$1,'United Data'!$C$3:$C$2150,$A11,'United Data'!$B$3:$B$2150,"P")&gt;0,1,0)</f>
        <v>0</v>
      </c>
      <c r="I11">
        <f>IF(COUNTIFS('United Data'!$A$3:$A$2150,I$1,'United Data'!$C$3:$C$2150,$A11,'United Data'!$B$3:$B$2150,"P")&gt;0,1,0)</f>
        <v>0</v>
      </c>
      <c r="J11">
        <f>IF(COUNTIFS('United Data'!$A$3:$A$2150,J$1,'United Data'!$C$3:$C$2150,$A11,'United Data'!$B$3:$B$2150,"P")&gt;0,1,0)</f>
        <v>0</v>
      </c>
      <c r="K11">
        <f>IF(COUNTIFS('United Data'!$A$3:$A$2150,K$1,'United Data'!$C$3:$C$2150,$A11,'United Data'!$B$3:$B$2150,"P")&gt;0,1,0)</f>
        <v>0</v>
      </c>
      <c r="L11">
        <f>IF(COUNTIFS('United Data'!$A$3:$A$2150,L$1,'United Data'!$C$3:$C$2150,$A11,'United Data'!$B$3:$B$2150,"P")&gt;0,1,0)</f>
        <v>0</v>
      </c>
      <c r="M11">
        <f>IF(COUNTIFS('United Data'!$A$3:$A$2150,M$1,'United Data'!$C$3:$C$2150,$A11,'United Data'!$B$3:$B$2150,"P")&gt;0,1,0)</f>
        <v>0</v>
      </c>
      <c r="N11">
        <f>IF(COUNTIFS('United Data'!$A$3:$A$2150,N$1,'United Data'!$C$3:$C$2150,$A11,'United Data'!$B$3:$B$2150,"P")&gt;0,1,0)</f>
        <v>0</v>
      </c>
      <c r="O11">
        <f>IF(COUNTIFS('United Data'!$A$3:$A$2150,O$1,'United Data'!$C$3:$C$2150,$A11,'United Data'!$B$3:$B$2150,"P")&gt;0,1,0)</f>
        <v>0</v>
      </c>
      <c r="P11">
        <f>IF(COUNTIFS('United Data'!$A$3:$A$2150,P$1,'United Data'!$C$3:$C$2150,$A11,'United Data'!$B$3:$B$2150,"P")&gt;0,1,0)</f>
        <v>0</v>
      </c>
      <c r="Q11">
        <f>IF(COUNTIFS('United Data'!$A$3:$A$2150,Q$1,'United Data'!$C$3:$C$2150,$A11,'United Data'!$B$3:$B$2150,"P")&gt;0,1,0)</f>
        <v>0</v>
      </c>
      <c r="R11">
        <f>IF(COUNTIFS('United Data'!$A$3:$A$2150,R$1,'United Data'!$C$3:$C$2150,$A11,'United Data'!$B$3:$B$2150,"P")&gt;0,1,0)</f>
        <v>0</v>
      </c>
      <c r="S11">
        <f t="shared" si="0"/>
        <v>1</v>
      </c>
      <c r="T11">
        <f t="shared" si="1"/>
        <v>1</v>
      </c>
    </row>
    <row r="12" spans="1:20" x14ac:dyDescent="0.2">
      <c r="A12" t="s">
        <v>980</v>
      </c>
      <c r="B12">
        <f>IF(COUNTIFS('United Data'!$A$3:$A$2150,B$1,'United Data'!$C$3:$C$2150,$A12,'United Data'!$B$3:$B$2150,"P")&gt;0,1,0)</f>
        <v>0</v>
      </c>
      <c r="C12">
        <f>IF(COUNTIFS('United Data'!$A$3:$A$2150,C$1,'United Data'!$C$3:$C$2150,$A12,'United Data'!$B$3:$B$2150,"P")&gt;0,1,0)</f>
        <v>1</v>
      </c>
      <c r="D12">
        <f>IF(COUNTIFS('United Data'!$A$3:$A$2150,D$1,'United Data'!$C$3:$C$2150,$A12,'United Data'!$B$3:$B$2150,"P")&gt;0,1,0)</f>
        <v>0</v>
      </c>
      <c r="E12">
        <f>IF(COUNTIFS('United Data'!$A$3:$A$2150,E$1,'United Data'!$C$3:$C$2150,$A12,'United Data'!$B$3:$B$2150,"P")&gt;0,1,0)</f>
        <v>0</v>
      </c>
      <c r="F12">
        <f>IF(COUNTIFS('United Data'!$A$3:$A$2150,F$1,'United Data'!$C$3:$C$2150,$A12,'United Data'!$B$3:$B$2150,"P")&gt;0,1,0)</f>
        <v>0</v>
      </c>
      <c r="G12">
        <f>IF(COUNTIFS('United Data'!$A$3:$A$2150,G$1,'United Data'!$C$3:$C$2150,$A12,'United Data'!$B$3:$B$2150,"P")&gt;0,1,0)</f>
        <v>0</v>
      </c>
      <c r="H12">
        <f>IF(COUNTIFS('United Data'!$A$3:$A$2150,H$1,'United Data'!$C$3:$C$2150,$A12,'United Data'!$B$3:$B$2150,"P")&gt;0,1,0)</f>
        <v>0</v>
      </c>
      <c r="I12">
        <f>IF(COUNTIFS('United Data'!$A$3:$A$2150,I$1,'United Data'!$C$3:$C$2150,$A12,'United Data'!$B$3:$B$2150,"P")&gt;0,1,0)</f>
        <v>0</v>
      </c>
      <c r="J12">
        <f>IF(COUNTIFS('United Data'!$A$3:$A$2150,J$1,'United Data'!$C$3:$C$2150,$A12,'United Data'!$B$3:$B$2150,"P")&gt;0,1,0)</f>
        <v>0</v>
      </c>
      <c r="K12">
        <f>IF(COUNTIFS('United Data'!$A$3:$A$2150,K$1,'United Data'!$C$3:$C$2150,$A12,'United Data'!$B$3:$B$2150,"P")&gt;0,1,0)</f>
        <v>0</v>
      </c>
      <c r="L12">
        <f>IF(COUNTIFS('United Data'!$A$3:$A$2150,L$1,'United Data'!$C$3:$C$2150,$A12,'United Data'!$B$3:$B$2150,"P")&gt;0,1,0)</f>
        <v>0</v>
      </c>
      <c r="M12">
        <f>IF(COUNTIFS('United Data'!$A$3:$A$2150,M$1,'United Data'!$C$3:$C$2150,$A12,'United Data'!$B$3:$B$2150,"P")&gt;0,1,0)</f>
        <v>0</v>
      </c>
      <c r="N12">
        <f>IF(COUNTIFS('United Data'!$A$3:$A$2150,N$1,'United Data'!$C$3:$C$2150,$A12,'United Data'!$B$3:$B$2150,"P")&gt;0,1,0)</f>
        <v>0</v>
      </c>
      <c r="O12">
        <f>IF(COUNTIFS('United Data'!$A$3:$A$2150,O$1,'United Data'!$C$3:$C$2150,$A12,'United Data'!$B$3:$B$2150,"P")&gt;0,1,0)</f>
        <v>0</v>
      </c>
      <c r="P12">
        <f>IF(COUNTIFS('United Data'!$A$3:$A$2150,P$1,'United Data'!$C$3:$C$2150,$A12,'United Data'!$B$3:$B$2150,"P")&gt;0,1,0)</f>
        <v>0</v>
      </c>
      <c r="Q12">
        <f>IF(COUNTIFS('United Data'!$A$3:$A$2150,Q$1,'United Data'!$C$3:$C$2150,$A12,'United Data'!$B$3:$B$2150,"P")&gt;0,1,0)</f>
        <v>0</v>
      </c>
      <c r="R12">
        <f>IF(COUNTIFS('United Data'!$A$3:$A$2150,R$1,'United Data'!$C$3:$C$2150,$A12,'United Data'!$B$3:$B$2150,"P")&gt;0,1,0)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784</v>
      </c>
      <c r="B13">
        <f>IF(COUNTIFS('United Data'!$A$3:$A$2150,B$1,'United Data'!$C$3:$C$2150,$A13,'United Data'!$B$3:$B$2150,"P")&gt;0,1,0)</f>
        <v>0</v>
      </c>
      <c r="C13">
        <f>IF(COUNTIFS('United Data'!$A$3:$A$2150,C$1,'United Data'!$C$3:$C$2150,$A13,'United Data'!$B$3:$B$2150,"P")&gt;0,1,0)</f>
        <v>1</v>
      </c>
      <c r="D13">
        <f>IF(COUNTIFS('United Data'!$A$3:$A$2150,D$1,'United Data'!$C$3:$C$2150,$A13,'United Data'!$B$3:$B$2150,"P")&gt;0,1,0)</f>
        <v>1</v>
      </c>
      <c r="E13">
        <f>IF(COUNTIFS('United Data'!$A$3:$A$2150,E$1,'United Data'!$C$3:$C$2150,$A13,'United Data'!$B$3:$B$2150,"P")&gt;0,1,0)</f>
        <v>0</v>
      </c>
      <c r="F13">
        <f>IF(COUNTIFS('United Data'!$A$3:$A$2150,F$1,'United Data'!$C$3:$C$2150,$A13,'United Data'!$B$3:$B$2150,"P")&gt;0,1,0)</f>
        <v>0</v>
      </c>
      <c r="G13">
        <f>IF(COUNTIFS('United Data'!$A$3:$A$2150,G$1,'United Data'!$C$3:$C$2150,$A13,'United Data'!$B$3:$B$2150,"P")&gt;0,1,0)</f>
        <v>0</v>
      </c>
      <c r="H13">
        <f>IF(COUNTIFS('United Data'!$A$3:$A$2150,H$1,'United Data'!$C$3:$C$2150,$A13,'United Data'!$B$3:$B$2150,"P")&gt;0,1,0)</f>
        <v>0</v>
      </c>
      <c r="I13">
        <f>IF(COUNTIFS('United Data'!$A$3:$A$2150,I$1,'United Data'!$C$3:$C$2150,$A13,'United Data'!$B$3:$B$2150,"P")&gt;0,1,0)</f>
        <v>0</v>
      </c>
      <c r="J13">
        <f>IF(COUNTIFS('United Data'!$A$3:$A$2150,J$1,'United Data'!$C$3:$C$2150,$A13,'United Data'!$B$3:$B$2150,"P")&gt;0,1,0)</f>
        <v>0</v>
      </c>
      <c r="K13">
        <f>IF(COUNTIFS('United Data'!$A$3:$A$2150,K$1,'United Data'!$C$3:$C$2150,$A13,'United Data'!$B$3:$B$2150,"P")&gt;0,1,0)</f>
        <v>0</v>
      </c>
      <c r="L13">
        <f>IF(COUNTIFS('United Data'!$A$3:$A$2150,L$1,'United Data'!$C$3:$C$2150,$A13,'United Data'!$B$3:$B$2150,"P")&gt;0,1,0)</f>
        <v>0</v>
      </c>
      <c r="M13">
        <f>IF(COUNTIFS('United Data'!$A$3:$A$2150,M$1,'United Data'!$C$3:$C$2150,$A13,'United Data'!$B$3:$B$2150,"P")&gt;0,1,0)</f>
        <v>0</v>
      </c>
      <c r="N13">
        <f>IF(COUNTIFS('United Data'!$A$3:$A$2150,N$1,'United Data'!$C$3:$C$2150,$A13,'United Data'!$B$3:$B$2150,"P")&gt;0,1,0)</f>
        <v>0</v>
      </c>
      <c r="O13">
        <f>IF(COUNTIFS('United Data'!$A$3:$A$2150,O$1,'United Data'!$C$3:$C$2150,$A13,'United Data'!$B$3:$B$2150,"P")&gt;0,1,0)</f>
        <v>0</v>
      </c>
      <c r="P13">
        <f>IF(COUNTIFS('United Data'!$A$3:$A$2150,P$1,'United Data'!$C$3:$C$2150,$A13,'United Data'!$B$3:$B$2150,"P")&gt;0,1,0)</f>
        <v>0</v>
      </c>
      <c r="Q13">
        <f>IF(COUNTIFS('United Data'!$A$3:$A$2150,Q$1,'United Data'!$C$3:$C$2150,$A13,'United Data'!$B$3:$B$2150,"P")&gt;0,1,0)</f>
        <v>0</v>
      </c>
      <c r="R13">
        <f>IF(COUNTIFS('United Data'!$A$3:$A$2150,R$1,'United Data'!$C$3:$C$2150,$A13,'United Data'!$B$3:$B$2150,"P")&gt;0,1,0)</f>
        <v>0</v>
      </c>
      <c r="S13">
        <f t="shared" si="0"/>
        <v>2</v>
      </c>
      <c r="T13">
        <f t="shared" si="1"/>
        <v>1</v>
      </c>
    </row>
    <row r="14" spans="1:20" x14ac:dyDescent="0.2">
      <c r="A14" t="s">
        <v>785</v>
      </c>
      <c r="B14">
        <f>IF(COUNTIFS('United Data'!$A$3:$A$2150,B$1,'United Data'!$C$3:$C$2150,$A14,'United Data'!$B$3:$B$2150,"P")&gt;0,1,0)</f>
        <v>0</v>
      </c>
      <c r="C14">
        <f>IF(COUNTIFS('United Data'!$A$3:$A$2150,C$1,'United Data'!$C$3:$C$2150,$A14,'United Data'!$B$3:$B$2150,"P")&gt;0,1,0)</f>
        <v>1</v>
      </c>
      <c r="D14">
        <f>IF(COUNTIFS('United Data'!$A$3:$A$2150,D$1,'United Data'!$C$3:$C$2150,$A14,'United Data'!$B$3:$B$2150,"P")&gt;0,1,0)</f>
        <v>1</v>
      </c>
      <c r="E14">
        <f>IF(COUNTIFS('United Data'!$A$3:$A$2150,E$1,'United Data'!$C$3:$C$2150,$A14,'United Data'!$B$3:$B$2150,"P")&gt;0,1,0)</f>
        <v>1</v>
      </c>
      <c r="F14">
        <f>IF(COUNTIFS('United Data'!$A$3:$A$2150,F$1,'United Data'!$C$3:$C$2150,$A14,'United Data'!$B$3:$B$2150,"P")&gt;0,1,0)</f>
        <v>1</v>
      </c>
      <c r="G14">
        <f>IF(COUNTIFS('United Data'!$A$3:$A$2150,G$1,'United Data'!$C$3:$C$2150,$A14,'United Data'!$B$3:$B$2150,"P")&gt;0,1,0)</f>
        <v>1</v>
      </c>
      <c r="H14">
        <f>IF(COUNTIFS('United Data'!$A$3:$A$2150,H$1,'United Data'!$C$3:$C$2150,$A14,'United Data'!$B$3:$B$2150,"P")&gt;0,1,0)</f>
        <v>1</v>
      </c>
      <c r="I14">
        <f>IF(COUNTIFS('United Data'!$A$3:$A$2150,I$1,'United Data'!$C$3:$C$2150,$A14,'United Data'!$B$3:$B$2150,"P")&gt;0,1,0)</f>
        <v>1</v>
      </c>
      <c r="J14">
        <f>IF(COUNTIFS('United Data'!$A$3:$A$2150,J$1,'United Data'!$C$3:$C$2150,$A14,'United Data'!$B$3:$B$2150,"P")&gt;0,1,0)</f>
        <v>1</v>
      </c>
      <c r="K14">
        <f>IF(COUNTIFS('United Data'!$A$3:$A$2150,K$1,'United Data'!$C$3:$C$2150,$A14,'United Data'!$B$3:$B$2150,"P")&gt;0,1,0)</f>
        <v>1</v>
      </c>
      <c r="L14">
        <f>IF(COUNTIFS('United Data'!$A$3:$A$2150,L$1,'United Data'!$C$3:$C$2150,$A14,'United Data'!$B$3:$B$2150,"P")&gt;0,1,0)</f>
        <v>1</v>
      </c>
      <c r="M14">
        <f>IF(COUNTIFS('United Data'!$A$3:$A$2150,M$1,'United Data'!$C$3:$C$2150,$A14,'United Data'!$B$3:$B$2150,"P")&gt;0,1,0)</f>
        <v>1</v>
      </c>
      <c r="N14">
        <f>IF(COUNTIFS('United Data'!$A$3:$A$2150,N$1,'United Data'!$C$3:$C$2150,$A14,'United Data'!$B$3:$B$2150,"P")&gt;0,1,0)</f>
        <v>0</v>
      </c>
      <c r="O14">
        <f>IF(COUNTIFS('United Data'!$A$3:$A$2150,O$1,'United Data'!$C$3:$C$2150,$A14,'United Data'!$B$3:$B$2150,"P")&gt;0,1,0)</f>
        <v>0</v>
      </c>
      <c r="P14">
        <f>IF(COUNTIFS('United Data'!$A$3:$A$2150,P$1,'United Data'!$C$3:$C$2150,$A14,'United Data'!$B$3:$B$2150,"P")&gt;0,1,0)</f>
        <v>0</v>
      </c>
      <c r="Q14">
        <f>IF(COUNTIFS('United Data'!$A$3:$A$2150,Q$1,'United Data'!$C$3:$C$2150,$A14,'United Data'!$B$3:$B$2150,"P")&gt;0,1,0)</f>
        <v>0</v>
      </c>
      <c r="R14">
        <f>IF(COUNTIFS('United Data'!$A$3:$A$2150,R$1,'United Data'!$C$3:$C$2150,$A14,'United Data'!$B$3:$B$2150,"P")&gt;0,1,0)</f>
        <v>0</v>
      </c>
      <c r="S14">
        <f t="shared" si="0"/>
        <v>11</v>
      </c>
      <c r="T14">
        <f t="shared" si="1"/>
        <v>1</v>
      </c>
    </row>
    <row r="15" spans="1:20" x14ac:dyDescent="0.2">
      <c r="A15" t="s">
        <v>673</v>
      </c>
      <c r="B15">
        <f>IF(COUNTIFS('United Data'!$A$3:$A$2150,B$1,'United Data'!$C$3:$C$2150,$A15,'United Data'!$B$3:$B$2150,"P")&gt;0,1,0)</f>
        <v>0</v>
      </c>
      <c r="C15">
        <f>IF(COUNTIFS('United Data'!$A$3:$A$2150,C$1,'United Data'!$C$3:$C$2150,$A15,'United Data'!$B$3:$B$2150,"P")&gt;0,1,0)</f>
        <v>0</v>
      </c>
      <c r="D15">
        <f>IF(COUNTIFS('United Data'!$A$3:$A$2150,D$1,'United Data'!$C$3:$C$2150,$A15,'United Data'!$B$3:$B$2150,"P")&gt;0,1,0)</f>
        <v>1</v>
      </c>
      <c r="E15">
        <f>IF(COUNTIFS('United Data'!$A$3:$A$2150,E$1,'United Data'!$C$3:$C$2150,$A15,'United Data'!$B$3:$B$2150,"P")&gt;0,1,0)</f>
        <v>1</v>
      </c>
      <c r="F15">
        <f>IF(COUNTIFS('United Data'!$A$3:$A$2150,F$1,'United Data'!$C$3:$C$2150,$A15,'United Data'!$B$3:$B$2150,"P")&gt;0,1,0)</f>
        <v>1</v>
      </c>
      <c r="G15">
        <f>IF(COUNTIFS('United Data'!$A$3:$A$2150,G$1,'United Data'!$C$3:$C$2150,$A15,'United Data'!$B$3:$B$2150,"P")&gt;0,1,0)</f>
        <v>1</v>
      </c>
      <c r="H15">
        <f>IF(COUNTIFS('United Data'!$A$3:$A$2150,H$1,'United Data'!$C$3:$C$2150,$A15,'United Data'!$B$3:$B$2150,"P")&gt;0,1,0)</f>
        <v>1</v>
      </c>
      <c r="I15">
        <f>IF(COUNTIFS('United Data'!$A$3:$A$2150,I$1,'United Data'!$C$3:$C$2150,$A15,'United Data'!$B$3:$B$2150,"P")&gt;0,1,0)</f>
        <v>1</v>
      </c>
      <c r="J15">
        <f>IF(COUNTIFS('United Data'!$A$3:$A$2150,J$1,'United Data'!$C$3:$C$2150,$A15,'United Data'!$B$3:$B$2150,"P")&gt;0,1,0)</f>
        <v>0</v>
      </c>
      <c r="K15">
        <f>IF(COUNTIFS('United Data'!$A$3:$A$2150,K$1,'United Data'!$C$3:$C$2150,$A15,'United Data'!$B$3:$B$2150,"P")&gt;0,1,0)</f>
        <v>0</v>
      </c>
      <c r="L15">
        <f>IF(COUNTIFS('United Data'!$A$3:$A$2150,L$1,'United Data'!$C$3:$C$2150,$A15,'United Data'!$B$3:$B$2150,"P")&gt;0,1,0)</f>
        <v>0</v>
      </c>
      <c r="M15">
        <f>IF(COUNTIFS('United Data'!$A$3:$A$2150,M$1,'United Data'!$C$3:$C$2150,$A15,'United Data'!$B$3:$B$2150,"P")&gt;0,1,0)</f>
        <v>0</v>
      </c>
      <c r="N15">
        <f>IF(COUNTIFS('United Data'!$A$3:$A$2150,N$1,'United Data'!$C$3:$C$2150,$A15,'United Data'!$B$3:$B$2150,"P")&gt;0,1,0)</f>
        <v>0</v>
      </c>
      <c r="O15">
        <f>IF(COUNTIFS('United Data'!$A$3:$A$2150,O$1,'United Data'!$C$3:$C$2150,$A15,'United Data'!$B$3:$B$2150,"P")&gt;0,1,0)</f>
        <v>0</v>
      </c>
      <c r="P15">
        <f>IF(COUNTIFS('United Data'!$A$3:$A$2150,P$1,'United Data'!$C$3:$C$2150,$A15,'United Data'!$B$3:$B$2150,"P")&gt;0,1,0)</f>
        <v>0</v>
      </c>
      <c r="Q15">
        <f>IF(COUNTIFS('United Data'!$A$3:$A$2150,Q$1,'United Data'!$C$3:$C$2150,$A15,'United Data'!$B$3:$B$2150,"P")&gt;0,1,0)</f>
        <v>0</v>
      </c>
      <c r="R15">
        <f>IF(COUNTIFS('United Data'!$A$3:$A$2150,R$1,'United Data'!$C$3:$C$2150,$A15,'United Data'!$B$3:$B$2150,"P")&gt;0,1,0)</f>
        <v>0</v>
      </c>
      <c r="S15">
        <f t="shared" si="0"/>
        <v>6</v>
      </c>
      <c r="T15">
        <f t="shared" si="1"/>
        <v>1</v>
      </c>
    </row>
    <row r="16" spans="1:20" x14ac:dyDescent="0.2">
      <c r="A16" t="s">
        <v>786</v>
      </c>
      <c r="B16">
        <f>IF(COUNTIFS('United Data'!$A$3:$A$2150,B$1,'United Data'!$C$3:$C$2150,$A16,'United Data'!$B$3:$B$2150,"P")&gt;0,1,0)</f>
        <v>0</v>
      </c>
      <c r="C16">
        <f>IF(COUNTIFS('United Data'!$A$3:$A$2150,C$1,'United Data'!$C$3:$C$2150,$A16,'United Data'!$B$3:$B$2150,"P")&gt;0,1,0)</f>
        <v>0</v>
      </c>
      <c r="D16">
        <f>IF(COUNTIFS('United Data'!$A$3:$A$2150,D$1,'United Data'!$C$3:$C$2150,$A16,'United Data'!$B$3:$B$2150,"P")&gt;0,1,0)</f>
        <v>1</v>
      </c>
      <c r="E16">
        <f>IF(COUNTIFS('United Data'!$A$3:$A$2150,E$1,'United Data'!$C$3:$C$2150,$A16,'United Data'!$B$3:$B$2150,"P")&gt;0,1,0)</f>
        <v>1</v>
      </c>
      <c r="F16">
        <f>IF(COUNTIFS('United Data'!$A$3:$A$2150,F$1,'United Data'!$C$3:$C$2150,$A16,'United Data'!$B$3:$B$2150,"P")&gt;0,1,0)</f>
        <v>0</v>
      </c>
      <c r="G16">
        <f>IF(COUNTIFS('United Data'!$A$3:$A$2150,G$1,'United Data'!$C$3:$C$2150,$A16,'United Data'!$B$3:$B$2150,"P")&gt;0,1,0)</f>
        <v>1</v>
      </c>
      <c r="H16">
        <f>IF(COUNTIFS('United Data'!$A$3:$A$2150,H$1,'United Data'!$C$3:$C$2150,$A16,'United Data'!$B$3:$B$2150,"P")&gt;0,1,0)</f>
        <v>1</v>
      </c>
      <c r="I16">
        <f>IF(COUNTIFS('United Data'!$A$3:$A$2150,I$1,'United Data'!$C$3:$C$2150,$A16,'United Data'!$B$3:$B$2150,"P")&gt;0,1,0)</f>
        <v>1</v>
      </c>
      <c r="J16">
        <f>IF(COUNTIFS('United Data'!$A$3:$A$2150,J$1,'United Data'!$C$3:$C$2150,$A16,'United Data'!$B$3:$B$2150,"P")&gt;0,1,0)</f>
        <v>0</v>
      </c>
      <c r="K16">
        <f>IF(COUNTIFS('United Data'!$A$3:$A$2150,K$1,'United Data'!$C$3:$C$2150,$A16,'United Data'!$B$3:$B$2150,"P")&gt;0,1,0)</f>
        <v>1</v>
      </c>
      <c r="L16">
        <f>IF(COUNTIFS('United Data'!$A$3:$A$2150,L$1,'United Data'!$C$3:$C$2150,$A16,'United Data'!$B$3:$B$2150,"P")&gt;0,1,0)</f>
        <v>1</v>
      </c>
      <c r="M16">
        <f>IF(COUNTIFS('United Data'!$A$3:$A$2150,M$1,'United Data'!$C$3:$C$2150,$A16,'United Data'!$B$3:$B$2150,"P")&gt;0,1,0)</f>
        <v>1</v>
      </c>
      <c r="N16">
        <f>IF(COUNTIFS('United Data'!$A$3:$A$2150,N$1,'United Data'!$C$3:$C$2150,$A16,'United Data'!$B$3:$B$2150,"P")&gt;0,1,0)</f>
        <v>0</v>
      </c>
      <c r="O16">
        <f>IF(COUNTIFS('United Data'!$A$3:$A$2150,O$1,'United Data'!$C$3:$C$2150,$A16,'United Data'!$B$3:$B$2150,"P")&gt;0,1,0)</f>
        <v>0</v>
      </c>
      <c r="P16">
        <f>IF(COUNTIFS('United Data'!$A$3:$A$2150,P$1,'United Data'!$C$3:$C$2150,$A16,'United Data'!$B$3:$B$2150,"P")&gt;0,1,0)</f>
        <v>0</v>
      </c>
      <c r="Q16">
        <f>IF(COUNTIFS('United Data'!$A$3:$A$2150,Q$1,'United Data'!$C$3:$C$2150,$A16,'United Data'!$B$3:$B$2150,"P")&gt;0,1,0)</f>
        <v>0</v>
      </c>
      <c r="R16">
        <f>IF(COUNTIFS('United Data'!$A$3:$A$2150,R$1,'United Data'!$C$3:$C$2150,$A16,'United Data'!$B$3:$B$2150,"P")&gt;0,1,0)</f>
        <v>0</v>
      </c>
      <c r="S16">
        <f t="shared" si="0"/>
        <v>8</v>
      </c>
      <c r="T16">
        <f t="shared" si="1"/>
        <v>3</v>
      </c>
    </row>
    <row r="17" spans="1:20" x14ac:dyDescent="0.2">
      <c r="A17" t="s">
        <v>787</v>
      </c>
      <c r="B17">
        <f>IF(COUNTIFS('United Data'!$A$3:$A$2150,B$1,'United Data'!$C$3:$C$2150,$A17,'United Data'!$B$3:$B$2150,"P")&gt;0,1,0)</f>
        <v>0</v>
      </c>
      <c r="C17">
        <f>IF(COUNTIFS('United Data'!$A$3:$A$2150,C$1,'United Data'!$C$3:$C$2150,$A17,'United Data'!$B$3:$B$2150,"P")&gt;0,1,0)</f>
        <v>0</v>
      </c>
      <c r="D17">
        <f>IF(COUNTIFS('United Data'!$A$3:$A$2150,D$1,'United Data'!$C$3:$C$2150,$A17,'United Data'!$B$3:$B$2150,"P")&gt;0,1,0)</f>
        <v>1</v>
      </c>
      <c r="E17">
        <f>IF(COUNTIFS('United Data'!$A$3:$A$2150,E$1,'United Data'!$C$3:$C$2150,$A17,'United Data'!$B$3:$B$2150,"P")&gt;0,1,0)</f>
        <v>1</v>
      </c>
      <c r="F17">
        <f>IF(COUNTIFS('United Data'!$A$3:$A$2150,F$1,'United Data'!$C$3:$C$2150,$A17,'United Data'!$B$3:$B$2150,"P")&gt;0,1,0)</f>
        <v>1</v>
      </c>
      <c r="G17">
        <f>IF(COUNTIFS('United Data'!$A$3:$A$2150,G$1,'United Data'!$C$3:$C$2150,$A17,'United Data'!$B$3:$B$2150,"P")&gt;0,1,0)</f>
        <v>1</v>
      </c>
      <c r="H17">
        <f>IF(COUNTIFS('United Data'!$A$3:$A$2150,H$1,'United Data'!$C$3:$C$2150,$A17,'United Data'!$B$3:$B$2150,"P")&gt;0,1,0)</f>
        <v>0</v>
      </c>
      <c r="I17">
        <f>IF(COUNTIFS('United Data'!$A$3:$A$2150,I$1,'United Data'!$C$3:$C$2150,$A17,'United Data'!$B$3:$B$2150,"P")&gt;0,1,0)</f>
        <v>1</v>
      </c>
      <c r="J17">
        <f>IF(COUNTIFS('United Data'!$A$3:$A$2150,J$1,'United Data'!$C$3:$C$2150,$A17,'United Data'!$B$3:$B$2150,"P")&gt;0,1,0)</f>
        <v>0</v>
      </c>
      <c r="K17">
        <f>IF(COUNTIFS('United Data'!$A$3:$A$2150,K$1,'United Data'!$C$3:$C$2150,$A17,'United Data'!$B$3:$B$2150,"P")&gt;0,1,0)</f>
        <v>0</v>
      </c>
      <c r="L17">
        <f>IF(COUNTIFS('United Data'!$A$3:$A$2150,L$1,'United Data'!$C$3:$C$2150,$A17,'United Data'!$B$3:$B$2150,"P")&gt;0,1,0)</f>
        <v>0</v>
      </c>
      <c r="M17">
        <f>IF(COUNTIFS('United Data'!$A$3:$A$2150,M$1,'United Data'!$C$3:$C$2150,$A17,'United Data'!$B$3:$B$2150,"P")&gt;0,1,0)</f>
        <v>0</v>
      </c>
      <c r="N17">
        <f>IF(COUNTIFS('United Data'!$A$3:$A$2150,N$1,'United Data'!$C$3:$C$2150,$A17,'United Data'!$B$3:$B$2150,"P")&gt;0,1,0)</f>
        <v>0</v>
      </c>
      <c r="O17">
        <f>IF(COUNTIFS('United Data'!$A$3:$A$2150,O$1,'United Data'!$C$3:$C$2150,$A17,'United Data'!$B$3:$B$2150,"P")&gt;0,1,0)</f>
        <v>0</v>
      </c>
      <c r="P17">
        <f>IF(COUNTIFS('United Data'!$A$3:$A$2150,P$1,'United Data'!$C$3:$C$2150,$A17,'United Data'!$B$3:$B$2150,"P")&gt;0,1,0)</f>
        <v>0</v>
      </c>
      <c r="Q17">
        <f>IF(COUNTIFS('United Data'!$A$3:$A$2150,Q$1,'United Data'!$C$3:$C$2150,$A17,'United Data'!$B$3:$B$2150,"P")&gt;0,1,0)</f>
        <v>0</v>
      </c>
      <c r="R17">
        <f>IF(COUNTIFS('United Data'!$A$3:$A$2150,R$1,'United Data'!$C$3:$C$2150,$A17,'United Data'!$B$3:$B$2150,"P")&gt;0,1,0)</f>
        <v>0</v>
      </c>
      <c r="S17">
        <f t="shared" si="0"/>
        <v>5</v>
      </c>
      <c r="T17">
        <f t="shared" si="1"/>
        <v>2</v>
      </c>
    </row>
    <row r="18" spans="1:20" x14ac:dyDescent="0.2">
      <c r="A18" t="s">
        <v>788</v>
      </c>
      <c r="B18">
        <f>IF(COUNTIFS('United Data'!$A$3:$A$2150,B$1,'United Data'!$C$3:$C$2150,$A18,'United Data'!$B$3:$B$2150,"P")&gt;0,1,0)</f>
        <v>0</v>
      </c>
      <c r="C18">
        <f>IF(COUNTIFS('United Data'!$A$3:$A$2150,C$1,'United Data'!$C$3:$C$2150,$A18,'United Data'!$B$3:$B$2150,"P")&gt;0,1,0)</f>
        <v>0</v>
      </c>
      <c r="D18">
        <f>IF(COUNTIFS('United Data'!$A$3:$A$2150,D$1,'United Data'!$C$3:$C$2150,$A18,'United Data'!$B$3:$B$2150,"P")&gt;0,1,0)</f>
        <v>1</v>
      </c>
      <c r="E18">
        <f>IF(COUNTIFS('United Data'!$A$3:$A$2150,E$1,'United Data'!$C$3:$C$2150,$A18,'United Data'!$B$3:$B$2150,"P")&gt;0,1,0)</f>
        <v>1</v>
      </c>
      <c r="F18">
        <f>IF(COUNTIFS('United Data'!$A$3:$A$2150,F$1,'United Data'!$C$3:$C$2150,$A18,'United Data'!$B$3:$B$2150,"P")&gt;0,1,0)</f>
        <v>1</v>
      </c>
      <c r="G18">
        <f>IF(COUNTIFS('United Data'!$A$3:$A$2150,G$1,'United Data'!$C$3:$C$2150,$A18,'United Data'!$B$3:$B$2150,"P")&gt;0,1,0)</f>
        <v>1</v>
      </c>
      <c r="H18">
        <f>IF(COUNTIFS('United Data'!$A$3:$A$2150,H$1,'United Data'!$C$3:$C$2150,$A18,'United Data'!$B$3:$B$2150,"P")&gt;0,1,0)</f>
        <v>1</v>
      </c>
      <c r="I18">
        <f>IF(COUNTIFS('United Data'!$A$3:$A$2150,I$1,'United Data'!$C$3:$C$2150,$A18,'United Data'!$B$3:$B$2150,"P")&gt;0,1,0)</f>
        <v>1</v>
      </c>
      <c r="J18">
        <f>IF(COUNTIFS('United Data'!$A$3:$A$2150,J$1,'United Data'!$C$3:$C$2150,$A18,'United Data'!$B$3:$B$2150,"P")&gt;0,1,0)</f>
        <v>1</v>
      </c>
      <c r="K18">
        <f>IF(COUNTIFS('United Data'!$A$3:$A$2150,K$1,'United Data'!$C$3:$C$2150,$A18,'United Data'!$B$3:$B$2150,"P")&gt;0,1,0)</f>
        <v>1</v>
      </c>
      <c r="L18">
        <f>IF(COUNTIFS('United Data'!$A$3:$A$2150,L$1,'United Data'!$C$3:$C$2150,$A18,'United Data'!$B$3:$B$2150,"P")&gt;0,1,0)</f>
        <v>0</v>
      </c>
      <c r="M18">
        <f>IF(COUNTIFS('United Data'!$A$3:$A$2150,M$1,'United Data'!$C$3:$C$2150,$A18,'United Data'!$B$3:$B$2150,"P")&gt;0,1,0)</f>
        <v>0</v>
      </c>
      <c r="N18">
        <f>IF(COUNTIFS('United Data'!$A$3:$A$2150,N$1,'United Data'!$C$3:$C$2150,$A18,'United Data'!$B$3:$B$2150,"P")&gt;0,1,0)</f>
        <v>0</v>
      </c>
      <c r="O18">
        <f>IF(COUNTIFS('United Data'!$A$3:$A$2150,O$1,'United Data'!$C$3:$C$2150,$A18,'United Data'!$B$3:$B$2150,"P")&gt;0,1,0)</f>
        <v>0</v>
      </c>
      <c r="P18">
        <f>IF(COUNTIFS('United Data'!$A$3:$A$2150,P$1,'United Data'!$C$3:$C$2150,$A18,'United Data'!$B$3:$B$2150,"P")&gt;0,1,0)</f>
        <v>0</v>
      </c>
      <c r="Q18">
        <f>IF(COUNTIFS('United Data'!$A$3:$A$2150,Q$1,'United Data'!$C$3:$C$2150,$A18,'United Data'!$B$3:$B$2150,"P")&gt;0,1,0)</f>
        <v>0</v>
      </c>
      <c r="R18">
        <f>IF(COUNTIFS('United Data'!$A$3:$A$2150,R$1,'United Data'!$C$3:$C$2150,$A18,'United Data'!$B$3:$B$2150,"P")&gt;0,1,0)</f>
        <v>0</v>
      </c>
      <c r="S18">
        <f t="shared" si="0"/>
        <v>8</v>
      </c>
      <c r="T18">
        <f t="shared" si="1"/>
        <v>1</v>
      </c>
    </row>
    <row r="19" spans="1:20" x14ac:dyDescent="0.2">
      <c r="A19" t="s">
        <v>789</v>
      </c>
      <c r="B19">
        <f>IF(COUNTIFS('United Data'!$A$3:$A$2150,B$1,'United Data'!$C$3:$C$2150,$A19,'United Data'!$B$3:$B$2150,"P")&gt;0,1,0)</f>
        <v>0</v>
      </c>
      <c r="C19">
        <f>IF(COUNTIFS('United Data'!$A$3:$A$2150,C$1,'United Data'!$C$3:$C$2150,$A19,'United Data'!$B$3:$B$2150,"P")&gt;0,1,0)</f>
        <v>0</v>
      </c>
      <c r="D19">
        <f>IF(COUNTIFS('United Data'!$A$3:$A$2150,D$1,'United Data'!$C$3:$C$2150,$A19,'United Data'!$B$3:$B$2150,"P")&gt;0,1,0)</f>
        <v>1</v>
      </c>
      <c r="E19">
        <f>IF(COUNTIFS('United Data'!$A$3:$A$2150,E$1,'United Data'!$C$3:$C$2150,$A19,'United Data'!$B$3:$B$2150,"P")&gt;0,1,0)</f>
        <v>1</v>
      </c>
      <c r="F19">
        <f>IF(COUNTIFS('United Data'!$A$3:$A$2150,F$1,'United Data'!$C$3:$C$2150,$A19,'United Data'!$B$3:$B$2150,"P")&gt;0,1,0)</f>
        <v>0</v>
      </c>
      <c r="G19">
        <f>IF(COUNTIFS('United Data'!$A$3:$A$2150,G$1,'United Data'!$C$3:$C$2150,$A19,'United Data'!$B$3:$B$2150,"P")&gt;0,1,0)</f>
        <v>1</v>
      </c>
      <c r="H19">
        <f>IF(COUNTIFS('United Data'!$A$3:$A$2150,H$1,'United Data'!$C$3:$C$2150,$A19,'United Data'!$B$3:$B$2150,"P")&gt;0,1,0)</f>
        <v>1</v>
      </c>
      <c r="I19">
        <f>IF(COUNTIFS('United Data'!$A$3:$A$2150,I$1,'United Data'!$C$3:$C$2150,$A19,'United Data'!$B$3:$B$2150,"P")&gt;0,1,0)</f>
        <v>1</v>
      </c>
      <c r="J19">
        <f>IF(COUNTIFS('United Data'!$A$3:$A$2150,J$1,'United Data'!$C$3:$C$2150,$A19,'United Data'!$B$3:$B$2150,"P")&gt;0,1,0)</f>
        <v>1</v>
      </c>
      <c r="K19">
        <f>IF(COUNTIFS('United Data'!$A$3:$A$2150,K$1,'United Data'!$C$3:$C$2150,$A19,'United Data'!$B$3:$B$2150,"P")&gt;0,1,0)</f>
        <v>1</v>
      </c>
      <c r="L19">
        <f>IF(COUNTIFS('United Data'!$A$3:$A$2150,L$1,'United Data'!$C$3:$C$2150,$A19,'United Data'!$B$3:$B$2150,"P")&gt;0,1,0)</f>
        <v>1</v>
      </c>
      <c r="M19">
        <f>IF(COUNTIFS('United Data'!$A$3:$A$2150,M$1,'United Data'!$C$3:$C$2150,$A19,'United Data'!$B$3:$B$2150,"P")&gt;0,1,0)</f>
        <v>1</v>
      </c>
      <c r="N19">
        <f>IF(COUNTIFS('United Data'!$A$3:$A$2150,N$1,'United Data'!$C$3:$C$2150,$A19,'United Data'!$B$3:$B$2150,"P")&gt;0,1,0)</f>
        <v>1</v>
      </c>
      <c r="O19">
        <f>IF(COUNTIFS('United Data'!$A$3:$A$2150,O$1,'United Data'!$C$3:$C$2150,$A19,'United Data'!$B$3:$B$2150,"P")&gt;0,1,0)</f>
        <v>0</v>
      </c>
      <c r="P19">
        <f>IF(COUNTIFS('United Data'!$A$3:$A$2150,P$1,'United Data'!$C$3:$C$2150,$A19,'United Data'!$B$3:$B$2150,"P")&gt;0,1,0)</f>
        <v>0</v>
      </c>
      <c r="Q19">
        <f>IF(COUNTIFS('United Data'!$A$3:$A$2150,Q$1,'United Data'!$C$3:$C$2150,$A19,'United Data'!$B$3:$B$2150,"P")&gt;0,1,0)</f>
        <v>0</v>
      </c>
      <c r="R19">
        <f>IF(COUNTIFS('United Data'!$A$3:$A$2150,R$1,'United Data'!$C$3:$C$2150,$A19,'United Data'!$B$3:$B$2150,"P")&gt;0,1,0)</f>
        <v>0</v>
      </c>
      <c r="S19">
        <f t="shared" si="0"/>
        <v>10</v>
      </c>
      <c r="T19">
        <f t="shared" si="1"/>
        <v>2</v>
      </c>
    </row>
    <row r="20" spans="1:20" x14ac:dyDescent="0.2">
      <c r="A20" t="s">
        <v>981</v>
      </c>
      <c r="B20">
        <f>IF(COUNTIFS('United Data'!$A$3:$A$2150,B$1,'United Data'!$C$3:$C$2150,$A20,'United Data'!$B$3:$B$2150,"P")&gt;0,1,0)</f>
        <v>0</v>
      </c>
      <c r="C20">
        <f>IF(COUNTIFS('United Data'!$A$3:$A$2150,C$1,'United Data'!$C$3:$C$2150,$A20,'United Data'!$B$3:$B$2150,"P")&gt;0,1,0)</f>
        <v>0</v>
      </c>
      <c r="D20">
        <f>IF(COUNTIFS('United Data'!$A$3:$A$2150,D$1,'United Data'!$C$3:$C$2150,$A20,'United Data'!$B$3:$B$2150,"P")&gt;0,1,0)</f>
        <v>1</v>
      </c>
      <c r="E20">
        <f>IF(COUNTIFS('United Data'!$A$3:$A$2150,E$1,'United Data'!$C$3:$C$2150,$A20,'United Data'!$B$3:$B$2150,"P")&gt;0,1,0)</f>
        <v>0</v>
      </c>
      <c r="F20">
        <f>IF(COUNTIFS('United Data'!$A$3:$A$2150,F$1,'United Data'!$C$3:$C$2150,$A20,'United Data'!$B$3:$B$2150,"P")&gt;0,1,0)</f>
        <v>0</v>
      </c>
      <c r="G20">
        <f>IF(COUNTIFS('United Data'!$A$3:$A$2150,G$1,'United Data'!$C$3:$C$2150,$A20,'United Data'!$B$3:$B$2150,"P")&gt;0,1,0)</f>
        <v>0</v>
      </c>
      <c r="H20">
        <f>IF(COUNTIFS('United Data'!$A$3:$A$2150,H$1,'United Data'!$C$3:$C$2150,$A20,'United Data'!$B$3:$B$2150,"P")&gt;0,1,0)</f>
        <v>0</v>
      </c>
      <c r="I20">
        <f>IF(COUNTIFS('United Data'!$A$3:$A$2150,I$1,'United Data'!$C$3:$C$2150,$A20,'United Data'!$B$3:$B$2150,"P")&gt;0,1,0)</f>
        <v>0</v>
      </c>
      <c r="J20">
        <f>IF(COUNTIFS('United Data'!$A$3:$A$2150,J$1,'United Data'!$C$3:$C$2150,$A20,'United Data'!$B$3:$B$2150,"P")&gt;0,1,0)</f>
        <v>0</v>
      </c>
      <c r="K20">
        <f>IF(COUNTIFS('United Data'!$A$3:$A$2150,K$1,'United Data'!$C$3:$C$2150,$A20,'United Data'!$B$3:$B$2150,"P")&gt;0,1,0)</f>
        <v>0</v>
      </c>
      <c r="L20">
        <f>IF(COUNTIFS('United Data'!$A$3:$A$2150,L$1,'United Data'!$C$3:$C$2150,$A20,'United Data'!$B$3:$B$2150,"P")&gt;0,1,0)</f>
        <v>0</v>
      </c>
      <c r="M20">
        <f>IF(COUNTIFS('United Data'!$A$3:$A$2150,M$1,'United Data'!$C$3:$C$2150,$A20,'United Data'!$B$3:$B$2150,"P")&gt;0,1,0)</f>
        <v>0</v>
      </c>
      <c r="N20">
        <f>IF(COUNTIFS('United Data'!$A$3:$A$2150,N$1,'United Data'!$C$3:$C$2150,$A20,'United Data'!$B$3:$B$2150,"P")&gt;0,1,0)</f>
        <v>0</v>
      </c>
      <c r="O20">
        <f>IF(COUNTIFS('United Data'!$A$3:$A$2150,O$1,'United Data'!$C$3:$C$2150,$A20,'United Data'!$B$3:$B$2150,"P")&gt;0,1,0)</f>
        <v>0</v>
      </c>
      <c r="P20">
        <f>IF(COUNTIFS('United Data'!$A$3:$A$2150,P$1,'United Data'!$C$3:$C$2150,$A20,'United Data'!$B$3:$B$2150,"P")&gt;0,1,0)</f>
        <v>0</v>
      </c>
      <c r="Q20">
        <f>IF(COUNTIFS('United Data'!$A$3:$A$2150,Q$1,'United Data'!$C$3:$C$2150,$A20,'United Data'!$B$3:$B$2150,"P")&gt;0,1,0)</f>
        <v>0</v>
      </c>
      <c r="R20">
        <f>IF(COUNTIFS('United Data'!$A$3:$A$2150,R$1,'United Data'!$C$3:$C$2150,$A20,'United Data'!$B$3:$B$2150,"P")&gt;0,1,0)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790</v>
      </c>
      <c r="B21">
        <f>IF(COUNTIFS('United Data'!$A$3:$A$2150,B$1,'United Data'!$C$3:$C$2150,$A21,'United Data'!$B$3:$B$2150,"P")&gt;0,1,0)</f>
        <v>0</v>
      </c>
      <c r="C21">
        <f>IF(COUNTIFS('United Data'!$A$3:$A$2150,C$1,'United Data'!$C$3:$C$2150,$A21,'United Data'!$B$3:$B$2150,"P")&gt;0,1,0)</f>
        <v>0</v>
      </c>
      <c r="D21">
        <f>IF(COUNTIFS('United Data'!$A$3:$A$2150,D$1,'United Data'!$C$3:$C$2150,$A21,'United Data'!$B$3:$B$2150,"P")&gt;0,1,0)</f>
        <v>1</v>
      </c>
      <c r="E21">
        <f>IF(COUNTIFS('United Data'!$A$3:$A$2150,E$1,'United Data'!$C$3:$C$2150,$A21,'United Data'!$B$3:$B$2150,"P")&gt;0,1,0)</f>
        <v>0</v>
      </c>
      <c r="F21">
        <f>IF(COUNTIFS('United Data'!$A$3:$A$2150,F$1,'United Data'!$C$3:$C$2150,$A21,'United Data'!$B$3:$B$2150,"P")&gt;0,1,0)</f>
        <v>0</v>
      </c>
      <c r="G21">
        <f>IF(COUNTIFS('United Data'!$A$3:$A$2150,G$1,'United Data'!$C$3:$C$2150,$A21,'United Data'!$B$3:$B$2150,"P")&gt;0,1,0)</f>
        <v>0</v>
      </c>
      <c r="H21">
        <f>IF(COUNTIFS('United Data'!$A$3:$A$2150,H$1,'United Data'!$C$3:$C$2150,$A21,'United Data'!$B$3:$B$2150,"P")&gt;0,1,0)</f>
        <v>0</v>
      </c>
      <c r="I21">
        <f>IF(COUNTIFS('United Data'!$A$3:$A$2150,I$1,'United Data'!$C$3:$C$2150,$A21,'United Data'!$B$3:$B$2150,"P")&gt;0,1,0)</f>
        <v>0</v>
      </c>
      <c r="J21">
        <f>IF(COUNTIFS('United Data'!$A$3:$A$2150,J$1,'United Data'!$C$3:$C$2150,$A21,'United Data'!$B$3:$B$2150,"P")&gt;0,1,0)</f>
        <v>0</v>
      </c>
      <c r="K21">
        <f>IF(COUNTIFS('United Data'!$A$3:$A$2150,K$1,'United Data'!$C$3:$C$2150,$A21,'United Data'!$B$3:$B$2150,"P")&gt;0,1,0)</f>
        <v>0</v>
      </c>
      <c r="L21">
        <f>IF(COUNTIFS('United Data'!$A$3:$A$2150,L$1,'United Data'!$C$3:$C$2150,$A21,'United Data'!$B$3:$B$2150,"P")&gt;0,1,0)</f>
        <v>0</v>
      </c>
      <c r="M21">
        <f>IF(COUNTIFS('United Data'!$A$3:$A$2150,M$1,'United Data'!$C$3:$C$2150,$A21,'United Data'!$B$3:$B$2150,"P")&gt;0,1,0)</f>
        <v>0</v>
      </c>
      <c r="N21">
        <f>IF(COUNTIFS('United Data'!$A$3:$A$2150,N$1,'United Data'!$C$3:$C$2150,$A21,'United Data'!$B$3:$B$2150,"P")&gt;0,1,0)</f>
        <v>0</v>
      </c>
      <c r="O21">
        <f>IF(COUNTIFS('United Data'!$A$3:$A$2150,O$1,'United Data'!$C$3:$C$2150,$A21,'United Data'!$B$3:$B$2150,"P")&gt;0,1,0)</f>
        <v>0</v>
      </c>
      <c r="P21">
        <f>IF(COUNTIFS('United Data'!$A$3:$A$2150,P$1,'United Data'!$C$3:$C$2150,$A21,'United Data'!$B$3:$B$2150,"P")&gt;0,1,0)</f>
        <v>0</v>
      </c>
      <c r="Q21">
        <f>IF(COUNTIFS('United Data'!$A$3:$A$2150,Q$1,'United Data'!$C$3:$C$2150,$A21,'United Data'!$B$3:$B$2150,"P")&gt;0,1,0)</f>
        <v>0</v>
      </c>
      <c r="R21">
        <f>IF(COUNTIFS('United Data'!$A$3:$A$2150,R$1,'United Data'!$C$3:$C$2150,$A21,'United Data'!$B$3:$B$2150,"P")&gt;0,1,0)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791</v>
      </c>
      <c r="B22">
        <f>IF(COUNTIFS('United Data'!$A$3:$A$2150,B$1,'United Data'!$C$3:$C$2150,$A22,'United Data'!$B$3:$B$2150,"P")&gt;0,1,0)</f>
        <v>0</v>
      </c>
      <c r="C22">
        <f>IF(COUNTIFS('United Data'!$A$3:$A$2150,C$1,'United Data'!$C$3:$C$2150,$A22,'United Data'!$B$3:$B$2150,"P")&gt;0,1,0)</f>
        <v>0</v>
      </c>
      <c r="D22">
        <f>IF(COUNTIFS('United Data'!$A$3:$A$2150,D$1,'United Data'!$C$3:$C$2150,$A22,'United Data'!$B$3:$B$2150,"P")&gt;0,1,0)</f>
        <v>0</v>
      </c>
      <c r="E22">
        <f>IF(COUNTIFS('United Data'!$A$3:$A$2150,E$1,'United Data'!$C$3:$C$2150,$A22,'United Data'!$B$3:$B$2150,"P")&gt;0,1,0)</f>
        <v>1</v>
      </c>
      <c r="F22">
        <f>IF(COUNTIFS('United Data'!$A$3:$A$2150,F$1,'United Data'!$C$3:$C$2150,$A22,'United Data'!$B$3:$B$2150,"P")&gt;0,1,0)</f>
        <v>0</v>
      </c>
      <c r="G22">
        <f>IF(COUNTIFS('United Data'!$A$3:$A$2150,G$1,'United Data'!$C$3:$C$2150,$A22,'United Data'!$B$3:$B$2150,"P")&gt;0,1,0)</f>
        <v>0</v>
      </c>
      <c r="H22">
        <f>IF(COUNTIFS('United Data'!$A$3:$A$2150,H$1,'United Data'!$C$3:$C$2150,$A22,'United Data'!$B$3:$B$2150,"P")&gt;0,1,0)</f>
        <v>0</v>
      </c>
      <c r="I22">
        <f>IF(COUNTIFS('United Data'!$A$3:$A$2150,I$1,'United Data'!$C$3:$C$2150,$A22,'United Data'!$B$3:$B$2150,"P")&gt;0,1,0)</f>
        <v>0</v>
      </c>
      <c r="J22">
        <f>IF(COUNTIFS('United Data'!$A$3:$A$2150,J$1,'United Data'!$C$3:$C$2150,$A22,'United Data'!$B$3:$B$2150,"P")&gt;0,1,0)</f>
        <v>0</v>
      </c>
      <c r="K22">
        <f>IF(COUNTIFS('United Data'!$A$3:$A$2150,K$1,'United Data'!$C$3:$C$2150,$A22,'United Data'!$B$3:$B$2150,"P")&gt;0,1,0)</f>
        <v>0</v>
      </c>
      <c r="L22">
        <f>IF(COUNTIFS('United Data'!$A$3:$A$2150,L$1,'United Data'!$C$3:$C$2150,$A22,'United Data'!$B$3:$B$2150,"P")&gt;0,1,0)</f>
        <v>0</v>
      </c>
      <c r="M22">
        <f>IF(COUNTIFS('United Data'!$A$3:$A$2150,M$1,'United Data'!$C$3:$C$2150,$A22,'United Data'!$B$3:$B$2150,"P")&gt;0,1,0)</f>
        <v>0</v>
      </c>
      <c r="N22">
        <f>IF(COUNTIFS('United Data'!$A$3:$A$2150,N$1,'United Data'!$C$3:$C$2150,$A22,'United Data'!$B$3:$B$2150,"P")&gt;0,1,0)</f>
        <v>0</v>
      </c>
      <c r="O22">
        <f>IF(COUNTIFS('United Data'!$A$3:$A$2150,O$1,'United Data'!$C$3:$C$2150,$A22,'United Data'!$B$3:$B$2150,"P")&gt;0,1,0)</f>
        <v>0</v>
      </c>
      <c r="P22">
        <f>IF(COUNTIFS('United Data'!$A$3:$A$2150,P$1,'United Data'!$C$3:$C$2150,$A22,'United Data'!$B$3:$B$2150,"P")&gt;0,1,0)</f>
        <v>0</v>
      </c>
      <c r="Q22">
        <f>IF(COUNTIFS('United Data'!$A$3:$A$2150,Q$1,'United Data'!$C$3:$C$2150,$A22,'United Data'!$B$3:$B$2150,"P")&gt;0,1,0)</f>
        <v>0</v>
      </c>
      <c r="R22">
        <f>IF(COUNTIFS('United Data'!$A$3:$A$2150,R$1,'United Data'!$C$3:$C$2150,$A22,'United Data'!$B$3:$B$2150,"P")&gt;0,1,0)</f>
        <v>0</v>
      </c>
      <c r="S22">
        <f t="shared" si="0"/>
        <v>1</v>
      </c>
      <c r="T22">
        <f t="shared" si="1"/>
        <v>1</v>
      </c>
    </row>
    <row r="23" spans="1:20" x14ac:dyDescent="0.2">
      <c r="A23" t="s">
        <v>792</v>
      </c>
      <c r="B23">
        <f>IF(COUNTIFS('United Data'!$A$3:$A$2150,B$1,'United Data'!$C$3:$C$2150,$A23,'United Data'!$B$3:$B$2150,"P")&gt;0,1,0)</f>
        <v>0</v>
      </c>
      <c r="C23">
        <f>IF(COUNTIFS('United Data'!$A$3:$A$2150,C$1,'United Data'!$C$3:$C$2150,$A23,'United Data'!$B$3:$B$2150,"P")&gt;0,1,0)</f>
        <v>0</v>
      </c>
      <c r="D23">
        <f>IF(COUNTIFS('United Data'!$A$3:$A$2150,D$1,'United Data'!$C$3:$C$2150,$A23,'United Data'!$B$3:$B$2150,"P")&gt;0,1,0)</f>
        <v>0</v>
      </c>
      <c r="E23">
        <f>IF(COUNTIFS('United Data'!$A$3:$A$2150,E$1,'United Data'!$C$3:$C$2150,$A23,'United Data'!$B$3:$B$2150,"P")&gt;0,1,0)</f>
        <v>1</v>
      </c>
      <c r="F23">
        <f>IF(COUNTIFS('United Data'!$A$3:$A$2150,F$1,'United Data'!$C$3:$C$2150,$A23,'United Data'!$B$3:$B$2150,"P")&gt;0,1,0)</f>
        <v>0</v>
      </c>
      <c r="G23">
        <f>IF(COUNTIFS('United Data'!$A$3:$A$2150,G$1,'United Data'!$C$3:$C$2150,$A23,'United Data'!$B$3:$B$2150,"P")&gt;0,1,0)</f>
        <v>1</v>
      </c>
      <c r="H23">
        <f>IF(COUNTIFS('United Data'!$A$3:$A$2150,H$1,'United Data'!$C$3:$C$2150,$A23,'United Data'!$B$3:$B$2150,"P")&gt;0,1,0)</f>
        <v>0</v>
      </c>
      <c r="I23">
        <f>IF(COUNTIFS('United Data'!$A$3:$A$2150,I$1,'United Data'!$C$3:$C$2150,$A23,'United Data'!$B$3:$B$2150,"P")&gt;0,1,0)</f>
        <v>0</v>
      </c>
      <c r="J23">
        <f>IF(COUNTIFS('United Data'!$A$3:$A$2150,J$1,'United Data'!$C$3:$C$2150,$A23,'United Data'!$B$3:$B$2150,"P")&gt;0,1,0)</f>
        <v>0</v>
      </c>
      <c r="K23">
        <f>IF(COUNTIFS('United Data'!$A$3:$A$2150,K$1,'United Data'!$C$3:$C$2150,$A23,'United Data'!$B$3:$B$2150,"P")&gt;0,1,0)</f>
        <v>0</v>
      </c>
      <c r="L23">
        <f>IF(COUNTIFS('United Data'!$A$3:$A$2150,L$1,'United Data'!$C$3:$C$2150,$A23,'United Data'!$B$3:$B$2150,"P")&gt;0,1,0)</f>
        <v>0</v>
      </c>
      <c r="M23">
        <f>IF(COUNTIFS('United Data'!$A$3:$A$2150,M$1,'United Data'!$C$3:$C$2150,$A23,'United Data'!$B$3:$B$2150,"P")&gt;0,1,0)</f>
        <v>0</v>
      </c>
      <c r="N23">
        <f>IF(COUNTIFS('United Data'!$A$3:$A$2150,N$1,'United Data'!$C$3:$C$2150,$A23,'United Data'!$B$3:$B$2150,"P")&gt;0,1,0)</f>
        <v>0</v>
      </c>
      <c r="O23">
        <f>IF(COUNTIFS('United Data'!$A$3:$A$2150,O$1,'United Data'!$C$3:$C$2150,$A23,'United Data'!$B$3:$B$2150,"P")&gt;0,1,0)</f>
        <v>0</v>
      </c>
      <c r="P23">
        <f>IF(COUNTIFS('United Data'!$A$3:$A$2150,P$1,'United Data'!$C$3:$C$2150,$A23,'United Data'!$B$3:$B$2150,"P")&gt;0,1,0)</f>
        <v>0</v>
      </c>
      <c r="Q23">
        <f>IF(COUNTIFS('United Data'!$A$3:$A$2150,Q$1,'United Data'!$C$3:$C$2150,$A23,'United Data'!$B$3:$B$2150,"P")&gt;0,1,0)</f>
        <v>0</v>
      </c>
      <c r="R23">
        <f>IF(COUNTIFS('United Data'!$A$3:$A$2150,R$1,'United Data'!$C$3:$C$2150,$A23,'United Data'!$B$3:$B$2150,"P")&gt;0,1,0)</f>
        <v>0</v>
      </c>
      <c r="S23">
        <f t="shared" si="0"/>
        <v>2</v>
      </c>
      <c r="T23">
        <f t="shared" si="1"/>
        <v>2</v>
      </c>
    </row>
    <row r="24" spans="1:20" x14ac:dyDescent="0.2">
      <c r="A24" t="s">
        <v>793</v>
      </c>
      <c r="B24">
        <f>IF(COUNTIFS('United Data'!$A$3:$A$2150,B$1,'United Data'!$C$3:$C$2150,$A24,'United Data'!$B$3:$B$2150,"P")&gt;0,1,0)</f>
        <v>0</v>
      </c>
      <c r="C24">
        <f>IF(COUNTIFS('United Data'!$A$3:$A$2150,C$1,'United Data'!$C$3:$C$2150,$A24,'United Data'!$B$3:$B$2150,"P")&gt;0,1,0)</f>
        <v>0</v>
      </c>
      <c r="D24">
        <f>IF(COUNTIFS('United Data'!$A$3:$A$2150,D$1,'United Data'!$C$3:$C$2150,$A24,'United Data'!$B$3:$B$2150,"P")&gt;0,1,0)</f>
        <v>0</v>
      </c>
      <c r="E24">
        <f>IF(COUNTIFS('United Data'!$A$3:$A$2150,E$1,'United Data'!$C$3:$C$2150,$A24,'United Data'!$B$3:$B$2150,"P")&gt;0,1,0)</f>
        <v>1</v>
      </c>
      <c r="F24">
        <f>IF(COUNTIFS('United Data'!$A$3:$A$2150,F$1,'United Data'!$C$3:$C$2150,$A24,'United Data'!$B$3:$B$2150,"P")&gt;0,1,0)</f>
        <v>0</v>
      </c>
      <c r="G24">
        <f>IF(COUNTIFS('United Data'!$A$3:$A$2150,G$1,'United Data'!$C$3:$C$2150,$A24,'United Data'!$B$3:$B$2150,"P")&gt;0,1,0)</f>
        <v>0</v>
      </c>
      <c r="H24">
        <f>IF(COUNTIFS('United Data'!$A$3:$A$2150,H$1,'United Data'!$C$3:$C$2150,$A24,'United Data'!$B$3:$B$2150,"P")&gt;0,1,0)</f>
        <v>0</v>
      </c>
      <c r="I24">
        <f>IF(COUNTIFS('United Data'!$A$3:$A$2150,I$1,'United Data'!$C$3:$C$2150,$A24,'United Data'!$B$3:$B$2150,"P")&gt;0,1,0)</f>
        <v>0</v>
      </c>
      <c r="J24">
        <f>IF(COUNTIFS('United Data'!$A$3:$A$2150,J$1,'United Data'!$C$3:$C$2150,$A24,'United Data'!$B$3:$B$2150,"P")&gt;0,1,0)</f>
        <v>0</v>
      </c>
      <c r="K24">
        <f>IF(COUNTIFS('United Data'!$A$3:$A$2150,K$1,'United Data'!$C$3:$C$2150,$A24,'United Data'!$B$3:$B$2150,"P")&gt;0,1,0)</f>
        <v>0</v>
      </c>
      <c r="L24">
        <f>IF(COUNTIFS('United Data'!$A$3:$A$2150,L$1,'United Data'!$C$3:$C$2150,$A24,'United Data'!$B$3:$B$2150,"P")&gt;0,1,0)</f>
        <v>0</v>
      </c>
      <c r="M24">
        <f>IF(COUNTIFS('United Data'!$A$3:$A$2150,M$1,'United Data'!$C$3:$C$2150,$A24,'United Data'!$B$3:$B$2150,"P")&gt;0,1,0)</f>
        <v>0</v>
      </c>
      <c r="N24">
        <f>IF(COUNTIFS('United Data'!$A$3:$A$2150,N$1,'United Data'!$C$3:$C$2150,$A24,'United Data'!$B$3:$B$2150,"P")&gt;0,1,0)</f>
        <v>0</v>
      </c>
      <c r="O24">
        <f>IF(COUNTIFS('United Data'!$A$3:$A$2150,O$1,'United Data'!$C$3:$C$2150,$A24,'United Data'!$B$3:$B$2150,"P")&gt;0,1,0)</f>
        <v>0</v>
      </c>
      <c r="P24">
        <f>IF(COUNTIFS('United Data'!$A$3:$A$2150,P$1,'United Data'!$C$3:$C$2150,$A24,'United Data'!$B$3:$B$2150,"P")&gt;0,1,0)</f>
        <v>0</v>
      </c>
      <c r="Q24">
        <f>IF(COUNTIFS('United Data'!$A$3:$A$2150,Q$1,'United Data'!$C$3:$C$2150,$A24,'United Data'!$B$3:$B$2150,"P")&gt;0,1,0)</f>
        <v>0</v>
      </c>
      <c r="R24">
        <f>IF(COUNTIFS('United Data'!$A$3:$A$2150,R$1,'United Data'!$C$3:$C$2150,$A24,'United Data'!$B$3:$B$2150,"P")&gt;0,1,0)</f>
        <v>0</v>
      </c>
      <c r="S24">
        <f t="shared" si="0"/>
        <v>1</v>
      </c>
      <c r="T24">
        <f t="shared" si="1"/>
        <v>1</v>
      </c>
    </row>
    <row r="25" spans="1:20" x14ac:dyDescent="0.2">
      <c r="A25" t="s">
        <v>794</v>
      </c>
      <c r="B25">
        <f>IF(COUNTIFS('United Data'!$A$3:$A$2150,B$1,'United Data'!$C$3:$C$2150,$A25,'United Data'!$B$3:$B$2150,"P")&gt;0,1,0)</f>
        <v>0</v>
      </c>
      <c r="C25">
        <f>IF(COUNTIFS('United Data'!$A$3:$A$2150,C$1,'United Data'!$C$3:$C$2150,$A25,'United Data'!$B$3:$B$2150,"P")&gt;0,1,0)</f>
        <v>0</v>
      </c>
      <c r="D25">
        <f>IF(COUNTIFS('United Data'!$A$3:$A$2150,D$1,'United Data'!$C$3:$C$2150,$A25,'United Data'!$B$3:$B$2150,"P")&gt;0,1,0)</f>
        <v>0</v>
      </c>
      <c r="E25">
        <f>IF(COUNTIFS('United Data'!$A$3:$A$2150,E$1,'United Data'!$C$3:$C$2150,$A25,'United Data'!$B$3:$B$2150,"P")&gt;0,1,0)</f>
        <v>1</v>
      </c>
      <c r="F25">
        <f>IF(COUNTIFS('United Data'!$A$3:$A$2150,F$1,'United Data'!$C$3:$C$2150,$A25,'United Data'!$B$3:$B$2150,"P")&gt;0,1,0)</f>
        <v>0</v>
      </c>
      <c r="G25">
        <f>IF(COUNTIFS('United Data'!$A$3:$A$2150,G$1,'United Data'!$C$3:$C$2150,$A25,'United Data'!$B$3:$B$2150,"P")&gt;0,1,0)</f>
        <v>0</v>
      </c>
      <c r="H25">
        <f>IF(COUNTIFS('United Data'!$A$3:$A$2150,H$1,'United Data'!$C$3:$C$2150,$A25,'United Data'!$B$3:$B$2150,"P")&gt;0,1,0)</f>
        <v>0</v>
      </c>
      <c r="I25">
        <f>IF(COUNTIFS('United Data'!$A$3:$A$2150,I$1,'United Data'!$C$3:$C$2150,$A25,'United Data'!$B$3:$B$2150,"P")&gt;0,1,0)</f>
        <v>0</v>
      </c>
      <c r="J25">
        <f>IF(COUNTIFS('United Data'!$A$3:$A$2150,J$1,'United Data'!$C$3:$C$2150,$A25,'United Data'!$B$3:$B$2150,"P")&gt;0,1,0)</f>
        <v>0</v>
      </c>
      <c r="K25">
        <f>IF(COUNTIFS('United Data'!$A$3:$A$2150,K$1,'United Data'!$C$3:$C$2150,$A25,'United Data'!$B$3:$B$2150,"P")&gt;0,1,0)</f>
        <v>0</v>
      </c>
      <c r="L25">
        <f>IF(COUNTIFS('United Data'!$A$3:$A$2150,L$1,'United Data'!$C$3:$C$2150,$A25,'United Data'!$B$3:$B$2150,"P")&gt;0,1,0)</f>
        <v>0</v>
      </c>
      <c r="M25">
        <f>IF(COUNTIFS('United Data'!$A$3:$A$2150,M$1,'United Data'!$C$3:$C$2150,$A25,'United Data'!$B$3:$B$2150,"P")&gt;0,1,0)</f>
        <v>0</v>
      </c>
      <c r="N25">
        <f>IF(COUNTIFS('United Data'!$A$3:$A$2150,N$1,'United Data'!$C$3:$C$2150,$A25,'United Data'!$B$3:$B$2150,"P")&gt;0,1,0)</f>
        <v>0</v>
      </c>
      <c r="O25">
        <f>IF(COUNTIFS('United Data'!$A$3:$A$2150,O$1,'United Data'!$C$3:$C$2150,$A25,'United Data'!$B$3:$B$2150,"P")&gt;0,1,0)</f>
        <v>0</v>
      </c>
      <c r="P25">
        <f>IF(COUNTIFS('United Data'!$A$3:$A$2150,P$1,'United Data'!$C$3:$C$2150,$A25,'United Data'!$B$3:$B$2150,"P")&gt;0,1,0)</f>
        <v>0</v>
      </c>
      <c r="Q25">
        <f>IF(COUNTIFS('United Data'!$A$3:$A$2150,Q$1,'United Data'!$C$3:$C$2150,$A25,'United Data'!$B$3:$B$2150,"P")&gt;0,1,0)</f>
        <v>0</v>
      </c>
      <c r="R25">
        <f>IF(COUNTIFS('United Data'!$A$3:$A$2150,R$1,'United Data'!$C$3:$C$2150,$A25,'United Data'!$B$3:$B$2150,"P")&gt;0,1,0)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795</v>
      </c>
      <c r="B26">
        <f>IF(COUNTIFS('United Data'!$A$3:$A$2150,B$1,'United Data'!$C$3:$C$2150,$A26,'United Data'!$B$3:$B$2150,"P")&gt;0,1,0)</f>
        <v>0</v>
      </c>
      <c r="C26">
        <f>IF(COUNTIFS('United Data'!$A$3:$A$2150,C$1,'United Data'!$C$3:$C$2150,$A26,'United Data'!$B$3:$B$2150,"P")&gt;0,1,0)</f>
        <v>0</v>
      </c>
      <c r="D26">
        <f>IF(COUNTIFS('United Data'!$A$3:$A$2150,D$1,'United Data'!$C$3:$C$2150,$A26,'United Data'!$B$3:$B$2150,"P")&gt;0,1,0)</f>
        <v>0</v>
      </c>
      <c r="E26">
        <f>IF(COUNTIFS('United Data'!$A$3:$A$2150,E$1,'United Data'!$C$3:$C$2150,$A26,'United Data'!$B$3:$B$2150,"P")&gt;0,1,0)</f>
        <v>1</v>
      </c>
      <c r="F26">
        <f>IF(COUNTIFS('United Data'!$A$3:$A$2150,F$1,'United Data'!$C$3:$C$2150,$A26,'United Data'!$B$3:$B$2150,"P")&gt;0,1,0)</f>
        <v>0</v>
      </c>
      <c r="G26">
        <f>IF(COUNTIFS('United Data'!$A$3:$A$2150,G$1,'United Data'!$C$3:$C$2150,$A26,'United Data'!$B$3:$B$2150,"P")&gt;0,1,0)</f>
        <v>1</v>
      </c>
      <c r="H26">
        <f>IF(COUNTIFS('United Data'!$A$3:$A$2150,H$1,'United Data'!$C$3:$C$2150,$A26,'United Data'!$B$3:$B$2150,"P")&gt;0,1,0)</f>
        <v>0</v>
      </c>
      <c r="I26">
        <f>IF(COUNTIFS('United Data'!$A$3:$A$2150,I$1,'United Data'!$C$3:$C$2150,$A26,'United Data'!$B$3:$B$2150,"P")&gt;0,1,0)</f>
        <v>1</v>
      </c>
      <c r="J26">
        <f>IF(COUNTIFS('United Data'!$A$3:$A$2150,J$1,'United Data'!$C$3:$C$2150,$A26,'United Data'!$B$3:$B$2150,"P")&gt;0,1,0)</f>
        <v>1</v>
      </c>
      <c r="K26">
        <f>IF(COUNTIFS('United Data'!$A$3:$A$2150,K$1,'United Data'!$C$3:$C$2150,$A26,'United Data'!$B$3:$B$2150,"P")&gt;0,1,0)</f>
        <v>0</v>
      </c>
      <c r="L26">
        <f>IF(COUNTIFS('United Data'!$A$3:$A$2150,L$1,'United Data'!$C$3:$C$2150,$A26,'United Data'!$B$3:$B$2150,"P")&gt;0,1,0)</f>
        <v>1</v>
      </c>
      <c r="M26">
        <f>IF(COUNTIFS('United Data'!$A$3:$A$2150,M$1,'United Data'!$C$3:$C$2150,$A26,'United Data'!$B$3:$B$2150,"P")&gt;0,1,0)</f>
        <v>0</v>
      </c>
      <c r="N26">
        <f>IF(COUNTIFS('United Data'!$A$3:$A$2150,N$1,'United Data'!$C$3:$C$2150,$A26,'United Data'!$B$3:$B$2150,"P")&gt;0,1,0)</f>
        <v>0</v>
      </c>
      <c r="O26">
        <f>IF(COUNTIFS('United Data'!$A$3:$A$2150,O$1,'United Data'!$C$3:$C$2150,$A26,'United Data'!$B$3:$B$2150,"P")&gt;0,1,0)</f>
        <v>0</v>
      </c>
      <c r="P26">
        <f>IF(COUNTIFS('United Data'!$A$3:$A$2150,P$1,'United Data'!$C$3:$C$2150,$A26,'United Data'!$B$3:$B$2150,"P")&gt;0,1,0)</f>
        <v>0</v>
      </c>
      <c r="Q26">
        <f>IF(COUNTIFS('United Data'!$A$3:$A$2150,Q$1,'United Data'!$C$3:$C$2150,$A26,'United Data'!$B$3:$B$2150,"P")&gt;0,1,0)</f>
        <v>0</v>
      </c>
      <c r="R26">
        <f>IF(COUNTIFS('United Data'!$A$3:$A$2150,R$1,'United Data'!$C$3:$C$2150,$A26,'United Data'!$B$3:$B$2150,"P")&gt;0,1,0)</f>
        <v>0</v>
      </c>
      <c r="S26">
        <f t="shared" si="0"/>
        <v>5</v>
      </c>
      <c r="T26">
        <f t="shared" si="1"/>
        <v>4</v>
      </c>
    </row>
    <row r="27" spans="1:20" x14ac:dyDescent="0.2">
      <c r="A27" t="s">
        <v>796</v>
      </c>
      <c r="B27">
        <f>IF(COUNTIFS('United Data'!$A$3:$A$2150,B$1,'United Data'!$C$3:$C$2150,$A27,'United Data'!$B$3:$B$2150,"P")&gt;0,1,0)</f>
        <v>0</v>
      </c>
      <c r="C27">
        <f>IF(COUNTIFS('United Data'!$A$3:$A$2150,C$1,'United Data'!$C$3:$C$2150,$A27,'United Data'!$B$3:$B$2150,"P")&gt;0,1,0)</f>
        <v>0</v>
      </c>
      <c r="D27">
        <f>IF(COUNTIFS('United Data'!$A$3:$A$2150,D$1,'United Data'!$C$3:$C$2150,$A27,'United Data'!$B$3:$B$2150,"P")&gt;0,1,0)</f>
        <v>0</v>
      </c>
      <c r="E27">
        <f>IF(COUNTIFS('United Data'!$A$3:$A$2150,E$1,'United Data'!$C$3:$C$2150,$A27,'United Data'!$B$3:$B$2150,"P")&gt;0,1,0)</f>
        <v>1</v>
      </c>
      <c r="F27">
        <f>IF(COUNTIFS('United Data'!$A$3:$A$2150,F$1,'United Data'!$C$3:$C$2150,$A27,'United Data'!$B$3:$B$2150,"P")&gt;0,1,0)</f>
        <v>0</v>
      </c>
      <c r="G27">
        <f>IF(COUNTIFS('United Data'!$A$3:$A$2150,G$1,'United Data'!$C$3:$C$2150,$A27,'United Data'!$B$3:$B$2150,"P")&gt;0,1,0)</f>
        <v>0</v>
      </c>
      <c r="H27">
        <f>IF(COUNTIFS('United Data'!$A$3:$A$2150,H$1,'United Data'!$C$3:$C$2150,$A27,'United Data'!$B$3:$B$2150,"P")&gt;0,1,0)</f>
        <v>0</v>
      </c>
      <c r="I27">
        <f>IF(COUNTIFS('United Data'!$A$3:$A$2150,I$1,'United Data'!$C$3:$C$2150,$A27,'United Data'!$B$3:$B$2150,"P")&gt;0,1,0)</f>
        <v>0</v>
      </c>
      <c r="J27">
        <f>IF(COUNTIFS('United Data'!$A$3:$A$2150,J$1,'United Data'!$C$3:$C$2150,$A27,'United Data'!$B$3:$B$2150,"P")&gt;0,1,0)</f>
        <v>0</v>
      </c>
      <c r="K27">
        <f>IF(COUNTIFS('United Data'!$A$3:$A$2150,K$1,'United Data'!$C$3:$C$2150,$A27,'United Data'!$B$3:$B$2150,"P")&gt;0,1,0)</f>
        <v>0</v>
      </c>
      <c r="L27">
        <f>IF(COUNTIFS('United Data'!$A$3:$A$2150,L$1,'United Data'!$C$3:$C$2150,$A27,'United Data'!$B$3:$B$2150,"P")&gt;0,1,0)</f>
        <v>0</v>
      </c>
      <c r="M27">
        <f>IF(COUNTIFS('United Data'!$A$3:$A$2150,M$1,'United Data'!$C$3:$C$2150,$A27,'United Data'!$B$3:$B$2150,"P")&gt;0,1,0)</f>
        <v>0</v>
      </c>
      <c r="N27">
        <f>IF(COUNTIFS('United Data'!$A$3:$A$2150,N$1,'United Data'!$C$3:$C$2150,$A27,'United Data'!$B$3:$B$2150,"P")&gt;0,1,0)</f>
        <v>0</v>
      </c>
      <c r="O27">
        <f>IF(COUNTIFS('United Data'!$A$3:$A$2150,O$1,'United Data'!$C$3:$C$2150,$A27,'United Data'!$B$3:$B$2150,"P")&gt;0,1,0)</f>
        <v>0</v>
      </c>
      <c r="P27">
        <f>IF(COUNTIFS('United Data'!$A$3:$A$2150,P$1,'United Data'!$C$3:$C$2150,$A27,'United Data'!$B$3:$B$2150,"P")&gt;0,1,0)</f>
        <v>0</v>
      </c>
      <c r="Q27">
        <f>IF(COUNTIFS('United Data'!$A$3:$A$2150,Q$1,'United Data'!$C$3:$C$2150,$A27,'United Data'!$B$3:$B$2150,"P")&gt;0,1,0)</f>
        <v>0</v>
      </c>
      <c r="R27">
        <f>IF(COUNTIFS('United Data'!$A$3:$A$2150,R$1,'United Data'!$C$3:$C$2150,$A27,'United Data'!$B$3:$B$2150,"P")&gt;0,1,0)</f>
        <v>0</v>
      </c>
      <c r="S27">
        <f t="shared" si="0"/>
        <v>1</v>
      </c>
      <c r="T27">
        <f t="shared" si="1"/>
        <v>1</v>
      </c>
    </row>
    <row r="28" spans="1:20" x14ac:dyDescent="0.2">
      <c r="A28" t="s">
        <v>797</v>
      </c>
      <c r="B28">
        <f>IF(COUNTIFS('United Data'!$A$3:$A$2150,B$1,'United Data'!$C$3:$C$2150,$A28,'United Data'!$B$3:$B$2150,"P")&gt;0,1,0)</f>
        <v>0</v>
      </c>
      <c r="C28">
        <f>IF(COUNTIFS('United Data'!$A$3:$A$2150,C$1,'United Data'!$C$3:$C$2150,$A28,'United Data'!$B$3:$B$2150,"P")&gt;0,1,0)</f>
        <v>0</v>
      </c>
      <c r="D28">
        <f>IF(COUNTIFS('United Data'!$A$3:$A$2150,D$1,'United Data'!$C$3:$C$2150,$A28,'United Data'!$B$3:$B$2150,"P")&gt;0,1,0)</f>
        <v>0</v>
      </c>
      <c r="E28">
        <f>IF(COUNTIFS('United Data'!$A$3:$A$2150,E$1,'United Data'!$C$3:$C$2150,$A28,'United Data'!$B$3:$B$2150,"P")&gt;0,1,0)</f>
        <v>1</v>
      </c>
      <c r="F28">
        <f>IF(COUNTIFS('United Data'!$A$3:$A$2150,F$1,'United Data'!$C$3:$C$2150,$A28,'United Data'!$B$3:$B$2150,"P")&gt;0,1,0)</f>
        <v>1</v>
      </c>
      <c r="G28">
        <f>IF(COUNTIFS('United Data'!$A$3:$A$2150,G$1,'United Data'!$C$3:$C$2150,$A28,'United Data'!$B$3:$B$2150,"P")&gt;0,1,0)</f>
        <v>1</v>
      </c>
      <c r="H28">
        <f>IF(COUNTIFS('United Data'!$A$3:$A$2150,H$1,'United Data'!$C$3:$C$2150,$A28,'United Data'!$B$3:$B$2150,"P")&gt;0,1,0)</f>
        <v>0</v>
      </c>
      <c r="I28">
        <f>IF(COUNTIFS('United Data'!$A$3:$A$2150,I$1,'United Data'!$C$3:$C$2150,$A28,'United Data'!$B$3:$B$2150,"P")&gt;0,1,0)</f>
        <v>1</v>
      </c>
      <c r="J28">
        <f>IF(COUNTIFS('United Data'!$A$3:$A$2150,J$1,'United Data'!$C$3:$C$2150,$A28,'United Data'!$B$3:$B$2150,"P")&gt;0,1,0)</f>
        <v>1</v>
      </c>
      <c r="K28">
        <f>IF(COUNTIFS('United Data'!$A$3:$A$2150,K$1,'United Data'!$C$3:$C$2150,$A28,'United Data'!$B$3:$B$2150,"P")&gt;0,1,0)</f>
        <v>1</v>
      </c>
      <c r="L28">
        <f>IF(COUNTIFS('United Data'!$A$3:$A$2150,L$1,'United Data'!$C$3:$C$2150,$A28,'United Data'!$B$3:$B$2150,"P")&gt;0,1,0)</f>
        <v>0</v>
      </c>
      <c r="M28">
        <f>IF(COUNTIFS('United Data'!$A$3:$A$2150,M$1,'United Data'!$C$3:$C$2150,$A28,'United Data'!$B$3:$B$2150,"P")&gt;0,1,0)</f>
        <v>0</v>
      </c>
      <c r="N28">
        <f>IF(COUNTIFS('United Data'!$A$3:$A$2150,N$1,'United Data'!$C$3:$C$2150,$A28,'United Data'!$B$3:$B$2150,"P")&gt;0,1,0)</f>
        <v>0</v>
      </c>
      <c r="O28">
        <f>IF(COUNTIFS('United Data'!$A$3:$A$2150,O$1,'United Data'!$C$3:$C$2150,$A28,'United Data'!$B$3:$B$2150,"P")&gt;0,1,0)</f>
        <v>0</v>
      </c>
      <c r="P28">
        <f>IF(COUNTIFS('United Data'!$A$3:$A$2150,P$1,'United Data'!$C$3:$C$2150,$A28,'United Data'!$B$3:$B$2150,"P")&gt;0,1,0)</f>
        <v>0</v>
      </c>
      <c r="Q28">
        <f>IF(COUNTIFS('United Data'!$A$3:$A$2150,Q$1,'United Data'!$C$3:$C$2150,$A28,'United Data'!$B$3:$B$2150,"P")&gt;0,1,0)</f>
        <v>0</v>
      </c>
      <c r="R28">
        <f>IF(COUNTIFS('United Data'!$A$3:$A$2150,R$1,'United Data'!$C$3:$C$2150,$A28,'United Data'!$B$3:$B$2150,"P")&gt;0,1,0)</f>
        <v>0</v>
      </c>
      <c r="S28">
        <f t="shared" si="0"/>
        <v>6</v>
      </c>
      <c r="T28">
        <f t="shared" si="1"/>
        <v>2</v>
      </c>
    </row>
    <row r="29" spans="1:20" x14ac:dyDescent="0.2">
      <c r="A29" t="s">
        <v>798</v>
      </c>
      <c r="B29">
        <f>IF(COUNTIFS('United Data'!$A$3:$A$2150,B$1,'United Data'!$C$3:$C$2150,$A29,'United Data'!$B$3:$B$2150,"P")&gt;0,1,0)</f>
        <v>0</v>
      </c>
      <c r="C29">
        <f>IF(COUNTIFS('United Data'!$A$3:$A$2150,C$1,'United Data'!$C$3:$C$2150,$A29,'United Data'!$B$3:$B$2150,"P")&gt;0,1,0)</f>
        <v>0</v>
      </c>
      <c r="D29">
        <f>IF(COUNTIFS('United Data'!$A$3:$A$2150,D$1,'United Data'!$C$3:$C$2150,$A29,'United Data'!$B$3:$B$2150,"P")&gt;0,1,0)</f>
        <v>0</v>
      </c>
      <c r="E29">
        <f>IF(COUNTIFS('United Data'!$A$3:$A$2150,E$1,'United Data'!$C$3:$C$2150,$A29,'United Data'!$B$3:$B$2150,"P")&gt;0,1,0)</f>
        <v>1</v>
      </c>
      <c r="F29">
        <f>IF(COUNTIFS('United Data'!$A$3:$A$2150,F$1,'United Data'!$C$3:$C$2150,$A29,'United Data'!$B$3:$B$2150,"P")&gt;0,1,0)</f>
        <v>1</v>
      </c>
      <c r="G29">
        <f>IF(COUNTIFS('United Data'!$A$3:$A$2150,G$1,'United Data'!$C$3:$C$2150,$A29,'United Data'!$B$3:$B$2150,"P")&gt;0,1,0)</f>
        <v>0</v>
      </c>
      <c r="H29">
        <f>IF(COUNTIFS('United Data'!$A$3:$A$2150,H$1,'United Data'!$C$3:$C$2150,$A29,'United Data'!$B$3:$B$2150,"P")&gt;0,1,0)</f>
        <v>1</v>
      </c>
      <c r="I29">
        <f>IF(COUNTIFS('United Data'!$A$3:$A$2150,I$1,'United Data'!$C$3:$C$2150,$A29,'United Data'!$B$3:$B$2150,"P")&gt;0,1,0)</f>
        <v>0</v>
      </c>
      <c r="J29">
        <f>IF(COUNTIFS('United Data'!$A$3:$A$2150,J$1,'United Data'!$C$3:$C$2150,$A29,'United Data'!$B$3:$B$2150,"P")&gt;0,1,0)</f>
        <v>1</v>
      </c>
      <c r="K29">
        <f>IF(COUNTIFS('United Data'!$A$3:$A$2150,K$1,'United Data'!$C$3:$C$2150,$A29,'United Data'!$B$3:$B$2150,"P")&gt;0,1,0)</f>
        <v>0</v>
      </c>
      <c r="L29">
        <f>IF(COUNTIFS('United Data'!$A$3:$A$2150,L$1,'United Data'!$C$3:$C$2150,$A29,'United Data'!$B$3:$B$2150,"P")&gt;0,1,0)</f>
        <v>1</v>
      </c>
      <c r="M29">
        <f>IF(COUNTIFS('United Data'!$A$3:$A$2150,M$1,'United Data'!$C$3:$C$2150,$A29,'United Data'!$B$3:$B$2150,"P")&gt;0,1,0)</f>
        <v>0</v>
      </c>
      <c r="N29">
        <f>IF(COUNTIFS('United Data'!$A$3:$A$2150,N$1,'United Data'!$C$3:$C$2150,$A29,'United Data'!$B$3:$B$2150,"P")&gt;0,1,0)</f>
        <v>1</v>
      </c>
      <c r="O29">
        <f>IF(COUNTIFS('United Data'!$A$3:$A$2150,O$1,'United Data'!$C$3:$C$2150,$A29,'United Data'!$B$3:$B$2150,"P")&gt;0,1,0)</f>
        <v>1</v>
      </c>
      <c r="P29">
        <f>IF(COUNTIFS('United Data'!$A$3:$A$2150,P$1,'United Data'!$C$3:$C$2150,$A29,'United Data'!$B$3:$B$2150,"P")&gt;0,1,0)</f>
        <v>1</v>
      </c>
      <c r="Q29">
        <f>IF(COUNTIFS('United Data'!$A$3:$A$2150,Q$1,'United Data'!$C$3:$C$2150,$A29,'United Data'!$B$3:$B$2150,"P")&gt;0,1,0)</f>
        <v>0</v>
      </c>
      <c r="R29">
        <f>IF(COUNTIFS('United Data'!$A$3:$A$2150,R$1,'United Data'!$C$3:$C$2150,$A29,'United Data'!$B$3:$B$2150,"P")&gt;0,1,0)</f>
        <v>0</v>
      </c>
      <c r="S29">
        <f t="shared" si="0"/>
        <v>8</v>
      </c>
      <c r="T29">
        <f t="shared" si="1"/>
        <v>5</v>
      </c>
    </row>
    <row r="30" spans="1:20" x14ac:dyDescent="0.2">
      <c r="A30" t="s">
        <v>799</v>
      </c>
      <c r="B30">
        <f>IF(COUNTIFS('United Data'!$A$3:$A$2150,B$1,'United Data'!$C$3:$C$2150,$A30,'United Data'!$B$3:$B$2150,"P")&gt;0,1,0)</f>
        <v>0</v>
      </c>
      <c r="C30">
        <f>IF(COUNTIFS('United Data'!$A$3:$A$2150,C$1,'United Data'!$C$3:$C$2150,$A30,'United Data'!$B$3:$B$2150,"P")&gt;0,1,0)</f>
        <v>0</v>
      </c>
      <c r="D30">
        <f>IF(COUNTIFS('United Data'!$A$3:$A$2150,D$1,'United Data'!$C$3:$C$2150,$A30,'United Data'!$B$3:$B$2150,"P")&gt;0,1,0)</f>
        <v>0</v>
      </c>
      <c r="E30">
        <f>IF(COUNTIFS('United Data'!$A$3:$A$2150,E$1,'United Data'!$C$3:$C$2150,$A30,'United Data'!$B$3:$B$2150,"P")&gt;0,1,0)</f>
        <v>1</v>
      </c>
      <c r="F30">
        <f>IF(COUNTIFS('United Data'!$A$3:$A$2150,F$1,'United Data'!$C$3:$C$2150,$A30,'United Data'!$B$3:$B$2150,"P")&gt;0,1,0)</f>
        <v>0</v>
      </c>
      <c r="G30">
        <f>IF(COUNTIFS('United Data'!$A$3:$A$2150,G$1,'United Data'!$C$3:$C$2150,$A30,'United Data'!$B$3:$B$2150,"P")&gt;0,1,0)</f>
        <v>0</v>
      </c>
      <c r="H30">
        <f>IF(COUNTIFS('United Data'!$A$3:$A$2150,H$1,'United Data'!$C$3:$C$2150,$A30,'United Data'!$B$3:$B$2150,"P")&gt;0,1,0)</f>
        <v>0</v>
      </c>
      <c r="I30">
        <f>IF(COUNTIFS('United Data'!$A$3:$A$2150,I$1,'United Data'!$C$3:$C$2150,$A30,'United Data'!$B$3:$B$2150,"P")&gt;0,1,0)</f>
        <v>0</v>
      </c>
      <c r="J30">
        <f>IF(COUNTIFS('United Data'!$A$3:$A$2150,J$1,'United Data'!$C$3:$C$2150,$A30,'United Data'!$B$3:$B$2150,"P")&gt;0,1,0)</f>
        <v>0</v>
      </c>
      <c r="K30">
        <f>IF(COUNTIFS('United Data'!$A$3:$A$2150,K$1,'United Data'!$C$3:$C$2150,$A30,'United Data'!$B$3:$B$2150,"P")&gt;0,1,0)</f>
        <v>0</v>
      </c>
      <c r="L30">
        <f>IF(COUNTIFS('United Data'!$A$3:$A$2150,L$1,'United Data'!$C$3:$C$2150,$A30,'United Data'!$B$3:$B$2150,"P")&gt;0,1,0)</f>
        <v>0</v>
      </c>
      <c r="M30">
        <f>IF(COUNTIFS('United Data'!$A$3:$A$2150,M$1,'United Data'!$C$3:$C$2150,$A30,'United Data'!$B$3:$B$2150,"P")&gt;0,1,0)</f>
        <v>0</v>
      </c>
      <c r="N30">
        <f>IF(COUNTIFS('United Data'!$A$3:$A$2150,N$1,'United Data'!$C$3:$C$2150,$A30,'United Data'!$B$3:$B$2150,"P")&gt;0,1,0)</f>
        <v>0</v>
      </c>
      <c r="O30">
        <f>IF(COUNTIFS('United Data'!$A$3:$A$2150,O$1,'United Data'!$C$3:$C$2150,$A30,'United Data'!$B$3:$B$2150,"P")&gt;0,1,0)</f>
        <v>0</v>
      </c>
      <c r="P30">
        <f>IF(COUNTIFS('United Data'!$A$3:$A$2150,P$1,'United Data'!$C$3:$C$2150,$A30,'United Data'!$B$3:$B$2150,"P")&gt;0,1,0)</f>
        <v>0</v>
      </c>
      <c r="Q30">
        <f>IF(COUNTIFS('United Data'!$A$3:$A$2150,Q$1,'United Data'!$C$3:$C$2150,$A30,'United Data'!$B$3:$B$2150,"P")&gt;0,1,0)</f>
        <v>0</v>
      </c>
      <c r="R30">
        <f>IF(COUNTIFS('United Data'!$A$3:$A$2150,R$1,'United Data'!$C$3:$C$2150,$A30,'United Data'!$B$3:$B$2150,"P")&gt;0,1,0)</f>
        <v>0</v>
      </c>
      <c r="S30">
        <f t="shared" si="0"/>
        <v>1</v>
      </c>
      <c r="T30">
        <f t="shared" si="1"/>
        <v>1</v>
      </c>
    </row>
    <row r="31" spans="1:20" x14ac:dyDescent="0.2">
      <c r="A31" t="s">
        <v>800</v>
      </c>
      <c r="B31">
        <f>IF(COUNTIFS('United Data'!$A$3:$A$2150,B$1,'United Data'!$C$3:$C$2150,$A31,'United Data'!$B$3:$B$2150,"P")&gt;0,1,0)</f>
        <v>0</v>
      </c>
      <c r="C31">
        <f>IF(COUNTIFS('United Data'!$A$3:$A$2150,C$1,'United Data'!$C$3:$C$2150,$A31,'United Data'!$B$3:$B$2150,"P")&gt;0,1,0)</f>
        <v>0</v>
      </c>
      <c r="D31">
        <f>IF(COUNTIFS('United Data'!$A$3:$A$2150,D$1,'United Data'!$C$3:$C$2150,$A31,'United Data'!$B$3:$B$2150,"P")&gt;0,1,0)</f>
        <v>0</v>
      </c>
      <c r="E31">
        <f>IF(COUNTIFS('United Data'!$A$3:$A$2150,E$1,'United Data'!$C$3:$C$2150,$A31,'United Data'!$B$3:$B$2150,"P")&gt;0,1,0)</f>
        <v>1</v>
      </c>
      <c r="F31">
        <f>IF(COUNTIFS('United Data'!$A$3:$A$2150,F$1,'United Data'!$C$3:$C$2150,$A31,'United Data'!$B$3:$B$2150,"P")&gt;0,1,0)</f>
        <v>1</v>
      </c>
      <c r="G31">
        <f>IF(COUNTIFS('United Data'!$A$3:$A$2150,G$1,'United Data'!$C$3:$C$2150,$A31,'United Data'!$B$3:$B$2150,"P")&gt;0,1,0)</f>
        <v>1</v>
      </c>
      <c r="H31">
        <f>IF(COUNTIFS('United Data'!$A$3:$A$2150,H$1,'United Data'!$C$3:$C$2150,$A31,'United Data'!$B$3:$B$2150,"P")&gt;0,1,0)</f>
        <v>1</v>
      </c>
      <c r="I31">
        <f>IF(COUNTIFS('United Data'!$A$3:$A$2150,I$1,'United Data'!$C$3:$C$2150,$A31,'United Data'!$B$3:$B$2150,"P")&gt;0,1,0)</f>
        <v>1</v>
      </c>
      <c r="J31">
        <f>IF(COUNTIFS('United Data'!$A$3:$A$2150,J$1,'United Data'!$C$3:$C$2150,$A31,'United Data'!$B$3:$B$2150,"P")&gt;0,1,0)</f>
        <v>1</v>
      </c>
      <c r="K31">
        <f>IF(COUNTIFS('United Data'!$A$3:$A$2150,K$1,'United Data'!$C$3:$C$2150,$A31,'United Data'!$B$3:$B$2150,"P")&gt;0,1,0)</f>
        <v>1</v>
      </c>
      <c r="L31">
        <f>IF(COUNTIFS('United Data'!$A$3:$A$2150,L$1,'United Data'!$C$3:$C$2150,$A31,'United Data'!$B$3:$B$2150,"P")&gt;0,1,0)</f>
        <v>1</v>
      </c>
      <c r="M31">
        <f>IF(COUNTIFS('United Data'!$A$3:$A$2150,M$1,'United Data'!$C$3:$C$2150,$A31,'United Data'!$B$3:$B$2150,"P")&gt;0,1,0)</f>
        <v>1</v>
      </c>
      <c r="N31">
        <f>IF(COUNTIFS('United Data'!$A$3:$A$2150,N$1,'United Data'!$C$3:$C$2150,$A31,'United Data'!$B$3:$B$2150,"P")&gt;0,1,0)</f>
        <v>0</v>
      </c>
      <c r="O31">
        <f>IF(COUNTIFS('United Data'!$A$3:$A$2150,O$1,'United Data'!$C$3:$C$2150,$A31,'United Data'!$B$3:$B$2150,"P")&gt;0,1,0)</f>
        <v>0</v>
      </c>
      <c r="P31">
        <f>IF(COUNTIFS('United Data'!$A$3:$A$2150,P$1,'United Data'!$C$3:$C$2150,$A31,'United Data'!$B$3:$B$2150,"P")&gt;0,1,0)</f>
        <v>0</v>
      </c>
      <c r="Q31">
        <f>IF(COUNTIFS('United Data'!$A$3:$A$2150,Q$1,'United Data'!$C$3:$C$2150,$A31,'United Data'!$B$3:$B$2150,"P")&gt;0,1,0)</f>
        <v>0</v>
      </c>
      <c r="R31">
        <f>IF(COUNTIFS('United Data'!$A$3:$A$2150,R$1,'United Data'!$C$3:$C$2150,$A31,'United Data'!$B$3:$B$2150,"P")&gt;0,1,0)</f>
        <v>0</v>
      </c>
      <c r="S31">
        <f t="shared" si="0"/>
        <v>9</v>
      </c>
      <c r="T31">
        <f t="shared" si="1"/>
        <v>1</v>
      </c>
    </row>
    <row r="32" spans="1:20" x14ac:dyDescent="0.2">
      <c r="A32" t="s">
        <v>801</v>
      </c>
      <c r="B32">
        <f>IF(COUNTIFS('United Data'!$A$3:$A$2150,B$1,'United Data'!$C$3:$C$2150,$A32,'United Data'!$B$3:$B$2150,"P")&gt;0,1,0)</f>
        <v>0</v>
      </c>
      <c r="C32">
        <f>IF(COUNTIFS('United Data'!$A$3:$A$2150,C$1,'United Data'!$C$3:$C$2150,$A32,'United Data'!$B$3:$B$2150,"P")&gt;0,1,0)</f>
        <v>0</v>
      </c>
      <c r="D32">
        <f>IF(COUNTIFS('United Data'!$A$3:$A$2150,D$1,'United Data'!$C$3:$C$2150,$A32,'United Data'!$B$3:$B$2150,"P")&gt;0,1,0)</f>
        <v>0</v>
      </c>
      <c r="E32">
        <f>IF(COUNTIFS('United Data'!$A$3:$A$2150,E$1,'United Data'!$C$3:$C$2150,$A32,'United Data'!$B$3:$B$2150,"P")&gt;0,1,0)</f>
        <v>1</v>
      </c>
      <c r="F32">
        <f>IF(COUNTIFS('United Data'!$A$3:$A$2150,F$1,'United Data'!$C$3:$C$2150,$A32,'United Data'!$B$3:$B$2150,"P")&gt;0,1,0)</f>
        <v>0</v>
      </c>
      <c r="G32">
        <f>IF(COUNTIFS('United Data'!$A$3:$A$2150,G$1,'United Data'!$C$3:$C$2150,$A32,'United Data'!$B$3:$B$2150,"P")&gt;0,1,0)</f>
        <v>0</v>
      </c>
      <c r="H32">
        <f>IF(COUNTIFS('United Data'!$A$3:$A$2150,H$1,'United Data'!$C$3:$C$2150,$A32,'United Data'!$B$3:$B$2150,"P")&gt;0,1,0)</f>
        <v>0</v>
      </c>
      <c r="I32">
        <f>IF(COUNTIFS('United Data'!$A$3:$A$2150,I$1,'United Data'!$C$3:$C$2150,$A32,'United Data'!$B$3:$B$2150,"P")&gt;0,1,0)</f>
        <v>0</v>
      </c>
      <c r="J32">
        <f>IF(COUNTIFS('United Data'!$A$3:$A$2150,J$1,'United Data'!$C$3:$C$2150,$A32,'United Data'!$B$3:$B$2150,"P")&gt;0,1,0)</f>
        <v>0</v>
      </c>
      <c r="K32">
        <f>IF(COUNTIFS('United Data'!$A$3:$A$2150,K$1,'United Data'!$C$3:$C$2150,$A32,'United Data'!$B$3:$B$2150,"P")&gt;0,1,0)</f>
        <v>0</v>
      </c>
      <c r="L32">
        <f>IF(COUNTIFS('United Data'!$A$3:$A$2150,L$1,'United Data'!$C$3:$C$2150,$A32,'United Data'!$B$3:$B$2150,"P")&gt;0,1,0)</f>
        <v>0</v>
      </c>
      <c r="M32">
        <f>IF(COUNTIFS('United Data'!$A$3:$A$2150,M$1,'United Data'!$C$3:$C$2150,$A32,'United Data'!$B$3:$B$2150,"P")&gt;0,1,0)</f>
        <v>0</v>
      </c>
      <c r="N32">
        <f>IF(COUNTIFS('United Data'!$A$3:$A$2150,N$1,'United Data'!$C$3:$C$2150,$A32,'United Data'!$B$3:$B$2150,"P")&gt;0,1,0)</f>
        <v>0</v>
      </c>
      <c r="O32">
        <f>IF(COUNTIFS('United Data'!$A$3:$A$2150,O$1,'United Data'!$C$3:$C$2150,$A32,'United Data'!$B$3:$B$2150,"P")&gt;0,1,0)</f>
        <v>0</v>
      </c>
      <c r="P32">
        <f>IF(COUNTIFS('United Data'!$A$3:$A$2150,P$1,'United Data'!$C$3:$C$2150,$A32,'United Data'!$B$3:$B$2150,"P")&gt;0,1,0)</f>
        <v>0</v>
      </c>
      <c r="Q32">
        <f>IF(COUNTIFS('United Data'!$A$3:$A$2150,Q$1,'United Data'!$C$3:$C$2150,$A32,'United Data'!$B$3:$B$2150,"P")&gt;0,1,0)</f>
        <v>0</v>
      </c>
      <c r="R32">
        <f>IF(COUNTIFS('United Data'!$A$3:$A$2150,R$1,'United Data'!$C$3:$C$2150,$A32,'United Data'!$B$3:$B$2150,"P")&gt;0,1,0)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802</v>
      </c>
      <c r="B33">
        <f>IF(COUNTIFS('United Data'!$A$3:$A$2150,B$1,'United Data'!$C$3:$C$2150,$A33,'United Data'!$B$3:$B$2150,"P")&gt;0,1,0)</f>
        <v>0</v>
      </c>
      <c r="C33">
        <f>IF(COUNTIFS('United Data'!$A$3:$A$2150,C$1,'United Data'!$C$3:$C$2150,$A33,'United Data'!$B$3:$B$2150,"P")&gt;0,1,0)</f>
        <v>0</v>
      </c>
      <c r="D33">
        <f>IF(COUNTIFS('United Data'!$A$3:$A$2150,D$1,'United Data'!$C$3:$C$2150,$A33,'United Data'!$B$3:$B$2150,"P")&gt;0,1,0)</f>
        <v>0</v>
      </c>
      <c r="E33">
        <f>IF(COUNTIFS('United Data'!$A$3:$A$2150,E$1,'United Data'!$C$3:$C$2150,$A33,'United Data'!$B$3:$B$2150,"P")&gt;0,1,0)</f>
        <v>1</v>
      </c>
      <c r="F33">
        <f>IF(COUNTIFS('United Data'!$A$3:$A$2150,F$1,'United Data'!$C$3:$C$2150,$A33,'United Data'!$B$3:$B$2150,"P")&gt;0,1,0)</f>
        <v>0</v>
      </c>
      <c r="G33">
        <f>IF(COUNTIFS('United Data'!$A$3:$A$2150,G$1,'United Data'!$C$3:$C$2150,$A33,'United Data'!$B$3:$B$2150,"P")&gt;0,1,0)</f>
        <v>0</v>
      </c>
      <c r="H33">
        <f>IF(COUNTIFS('United Data'!$A$3:$A$2150,H$1,'United Data'!$C$3:$C$2150,$A33,'United Data'!$B$3:$B$2150,"P")&gt;0,1,0)</f>
        <v>0</v>
      </c>
      <c r="I33">
        <f>IF(COUNTIFS('United Data'!$A$3:$A$2150,I$1,'United Data'!$C$3:$C$2150,$A33,'United Data'!$B$3:$B$2150,"P")&gt;0,1,0)</f>
        <v>0</v>
      </c>
      <c r="J33">
        <f>IF(COUNTIFS('United Data'!$A$3:$A$2150,J$1,'United Data'!$C$3:$C$2150,$A33,'United Data'!$B$3:$B$2150,"P")&gt;0,1,0)</f>
        <v>0</v>
      </c>
      <c r="K33">
        <f>IF(COUNTIFS('United Data'!$A$3:$A$2150,K$1,'United Data'!$C$3:$C$2150,$A33,'United Data'!$B$3:$B$2150,"P")&gt;0,1,0)</f>
        <v>0</v>
      </c>
      <c r="L33">
        <f>IF(COUNTIFS('United Data'!$A$3:$A$2150,L$1,'United Data'!$C$3:$C$2150,$A33,'United Data'!$B$3:$B$2150,"P")&gt;0,1,0)</f>
        <v>0</v>
      </c>
      <c r="M33">
        <f>IF(COUNTIFS('United Data'!$A$3:$A$2150,M$1,'United Data'!$C$3:$C$2150,$A33,'United Data'!$B$3:$B$2150,"P")&gt;0,1,0)</f>
        <v>0</v>
      </c>
      <c r="N33">
        <f>IF(COUNTIFS('United Data'!$A$3:$A$2150,N$1,'United Data'!$C$3:$C$2150,$A33,'United Data'!$B$3:$B$2150,"P")&gt;0,1,0)</f>
        <v>0</v>
      </c>
      <c r="O33">
        <f>IF(COUNTIFS('United Data'!$A$3:$A$2150,O$1,'United Data'!$C$3:$C$2150,$A33,'United Data'!$B$3:$B$2150,"P")&gt;0,1,0)</f>
        <v>0</v>
      </c>
      <c r="P33">
        <f>IF(COUNTIFS('United Data'!$A$3:$A$2150,P$1,'United Data'!$C$3:$C$2150,$A33,'United Data'!$B$3:$B$2150,"P")&gt;0,1,0)</f>
        <v>0</v>
      </c>
      <c r="Q33">
        <f>IF(COUNTIFS('United Data'!$A$3:$A$2150,Q$1,'United Data'!$C$3:$C$2150,$A33,'United Data'!$B$3:$B$2150,"P")&gt;0,1,0)</f>
        <v>0</v>
      </c>
      <c r="R33">
        <f>IF(COUNTIFS('United Data'!$A$3:$A$2150,R$1,'United Data'!$C$3:$C$2150,$A33,'United Data'!$B$3:$B$2150,"P")&gt;0,1,0)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803</v>
      </c>
      <c r="B34">
        <f>IF(COUNTIFS('United Data'!$A$3:$A$2150,B$1,'United Data'!$C$3:$C$2150,$A34,'United Data'!$B$3:$B$2150,"P")&gt;0,1,0)</f>
        <v>0</v>
      </c>
      <c r="C34">
        <f>IF(COUNTIFS('United Data'!$A$3:$A$2150,C$1,'United Data'!$C$3:$C$2150,$A34,'United Data'!$B$3:$B$2150,"P")&gt;0,1,0)</f>
        <v>0</v>
      </c>
      <c r="D34">
        <f>IF(COUNTIFS('United Data'!$A$3:$A$2150,D$1,'United Data'!$C$3:$C$2150,$A34,'United Data'!$B$3:$B$2150,"P")&gt;0,1,0)</f>
        <v>0</v>
      </c>
      <c r="E34">
        <f>IF(COUNTIFS('United Data'!$A$3:$A$2150,E$1,'United Data'!$C$3:$C$2150,$A34,'United Data'!$B$3:$B$2150,"P")&gt;0,1,0)</f>
        <v>1</v>
      </c>
      <c r="F34">
        <f>IF(COUNTIFS('United Data'!$A$3:$A$2150,F$1,'United Data'!$C$3:$C$2150,$A34,'United Data'!$B$3:$B$2150,"P")&gt;0,1,0)</f>
        <v>1</v>
      </c>
      <c r="G34">
        <f>IF(COUNTIFS('United Data'!$A$3:$A$2150,G$1,'United Data'!$C$3:$C$2150,$A34,'United Data'!$B$3:$B$2150,"P")&gt;0,1,0)</f>
        <v>0</v>
      </c>
      <c r="H34">
        <f>IF(COUNTIFS('United Data'!$A$3:$A$2150,H$1,'United Data'!$C$3:$C$2150,$A34,'United Data'!$B$3:$B$2150,"P")&gt;0,1,0)</f>
        <v>1</v>
      </c>
      <c r="I34">
        <f>IF(COUNTIFS('United Data'!$A$3:$A$2150,I$1,'United Data'!$C$3:$C$2150,$A34,'United Data'!$B$3:$B$2150,"P")&gt;0,1,0)</f>
        <v>1</v>
      </c>
      <c r="J34">
        <f>IF(COUNTIFS('United Data'!$A$3:$A$2150,J$1,'United Data'!$C$3:$C$2150,$A34,'United Data'!$B$3:$B$2150,"P")&gt;0,1,0)</f>
        <v>0</v>
      </c>
      <c r="K34">
        <f>IF(COUNTIFS('United Data'!$A$3:$A$2150,K$1,'United Data'!$C$3:$C$2150,$A34,'United Data'!$B$3:$B$2150,"P")&gt;0,1,0)</f>
        <v>1</v>
      </c>
      <c r="L34">
        <f>IF(COUNTIFS('United Data'!$A$3:$A$2150,L$1,'United Data'!$C$3:$C$2150,$A34,'United Data'!$B$3:$B$2150,"P")&gt;0,1,0)</f>
        <v>1</v>
      </c>
      <c r="M34">
        <f>IF(COUNTIFS('United Data'!$A$3:$A$2150,M$1,'United Data'!$C$3:$C$2150,$A34,'United Data'!$B$3:$B$2150,"P")&gt;0,1,0)</f>
        <v>0</v>
      </c>
      <c r="N34">
        <f>IF(COUNTIFS('United Data'!$A$3:$A$2150,N$1,'United Data'!$C$3:$C$2150,$A34,'United Data'!$B$3:$B$2150,"P")&gt;0,1,0)</f>
        <v>0</v>
      </c>
      <c r="O34">
        <f>IF(COUNTIFS('United Data'!$A$3:$A$2150,O$1,'United Data'!$C$3:$C$2150,$A34,'United Data'!$B$3:$B$2150,"P")&gt;0,1,0)</f>
        <v>0</v>
      </c>
      <c r="P34">
        <f>IF(COUNTIFS('United Data'!$A$3:$A$2150,P$1,'United Data'!$C$3:$C$2150,$A34,'United Data'!$B$3:$B$2150,"P")&gt;0,1,0)</f>
        <v>0</v>
      </c>
      <c r="Q34">
        <f>IF(COUNTIFS('United Data'!$A$3:$A$2150,Q$1,'United Data'!$C$3:$C$2150,$A34,'United Data'!$B$3:$B$2150,"P")&gt;0,1,0)</f>
        <v>0</v>
      </c>
      <c r="R34">
        <f>IF(COUNTIFS('United Data'!$A$3:$A$2150,R$1,'United Data'!$C$3:$C$2150,$A34,'United Data'!$B$3:$B$2150,"P")&gt;0,1,0)</f>
        <v>0</v>
      </c>
      <c r="S34">
        <f t="shared" si="0"/>
        <v>6</v>
      </c>
      <c r="T34">
        <f t="shared" si="1"/>
        <v>3</v>
      </c>
    </row>
    <row r="35" spans="1:20" x14ac:dyDescent="0.2">
      <c r="A35" t="s">
        <v>804</v>
      </c>
      <c r="B35">
        <f>IF(COUNTIFS('United Data'!$A$3:$A$2150,B$1,'United Data'!$C$3:$C$2150,$A35,'United Data'!$B$3:$B$2150,"P")&gt;0,1,0)</f>
        <v>0</v>
      </c>
      <c r="C35">
        <f>IF(COUNTIFS('United Data'!$A$3:$A$2150,C$1,'United Data'!$C$3:$C$2150,$A35,'United Data'!$B$3:$B$2150,"P")&gt;0,1,0)</f>
        <v>0</v>
      </c>
      <c r="D35">
        <f>IF(COUNTIFS('United Data'!$A$3:$A$2150,D$1,'United Data'!$C$3:$C$2150,$A35,'United Data'!$B$3:$B$2150,"P")&gt;0,1,0)</f>
        <v>0</v>
      </c>
      <c r="E35">
        <f>IF(COUNTIFS('United Data'!$A$3:$A$2150,E$1,'United Data'!$C$3:$C$2150,$A35,'United Data'!$B$3:$B$2150,"P")&gt;0,1,0)</f>
        <v>1</v>
      </c>
      <c r="F35">
        <f>IF(COUNTIFS('United Data'!$A$3:$A$2150,F$1,'United Data'!$C$3:$C$2150,$A35,'United Data'!$B$3:$B$2150,"P")&gt;0,1,0)</f>
        <v>0</v>
      </c>
      <c r="G35">
        <f>IF(COUNTIFS('United Data'!$A$3:$A$2150,G$1,'United Data'!$C$3:$C$2150,$A35,'United Data'!$B$3:$B$2150,"P")&gt;0,1,0)</f>
        <v>1</v>
      </c>
      <c r="H35">
        <f>IF(COUNTIFS('United Data'!$A$3:$A$2150,H$1,'United Data'!$C$3:$C$2150,$A35,'United Data'!$B$3:$B$2150,"P")&gt;0,1,0)</f>
        <v>1</v>
      </c>
      <c r="I35">
        <f>IF(COUNTIFS('United Data'!$A$3:$A$2150,I$1,'United Data'!$C$3:$C$2150,$A35,'United Data'!$B$3:$B$2150,"P")&gt;0,1,0)</f>
        <v>1</v>
      </c>
      <c r="J35">
        <f>IF(COUNTIFS('United Data'!$A$3:$A$2150,J$1,'United Data'!$C$3:$C$2150,$A35,'United Data'!$B$3:$B$2150,"P")&gt;0,1,0)</f>
        <v>1</v>
      </c>
      <c r="K35">
        <f>IF(COUNTIFS('United Data'!$A$3:$A$2150,K$1,'United Data'!$C$3:$C$2150,$A35,'United Data'!$B$3:$B$2150,"P")&gt;0,1,0)</f>
        <v>1</v>
      </c>
      <c r="L35">
        <f>IF(COUNTIFS('United Data'!$A$3:$A$2150,L$1,'United Data'!$C$3:$C$2150,$A35,'United Data'!$B$3:$B$2150,"P")&gt;0,1,0)</f>
        <v>1</v>
      </c>
      <c r="M35">
        <f>IF(COUNTIFS('United Data'!$A$3:$A$2150,M$1,'United Data'!$C$3:$C$2150,$A35,'United Data'!$B$3:$B$2150,"P")&gt;0,1,0)</f>
        <v>1</v>
      </c>
      <c r="N35">
        <f>IF(COUNTIFS('United Data'!$A$3:$A$2150,N$1,'United Data'!$C$3:$C$2150,$A35,'United Data'!$B$3:$B$2150,"P")&gt;0,1,0)</f>
        <v>1</v>
      </c>
      <c r="O35">
        <f>IF(COUNTIFS('United Data'!$A$3:$A$2150,O$1,'United Data'!$C$3:$C$2150,$A35,'United Data'!$B$3:$B$2150,"P")&gt;0,1,0)</f>
        <v>0</v>
      </c>
      <c r="P35">
        <f>IF(COUNTIFS('United Data'!$A$3:$A$2150,P$1,'United Data'!$C$3:$C$2150,$A35,'United Data'!$B$3:$B$2150,"P")&gt;0,1,0)</f>
        <v>0</v>
      </c>
      <c r="Q35">
        <f>IF(COUNTIFS('United Data'!$A$3:$A$2150,Q$1,'United Data'!$C$3:$C$2150,$A35,'United Data'!$B$3:$B$2150,"P")&gt;0,1,0)</f>
        <v>0</v>
      </c>
      <c r="R35">
        <f>IF(COUNTIFS('United Data'!$A$3:$A$2150,R$1,'United Data'!$C$3:$C$2150,$A35,'United Data'!$B$3:$B$2150,"P")&gt;0,1,0)</f>
        <v>0</v>
      </c>
      <c r="S35">
        <f t="shared" si="0"/>
        <v>9</v>
      </c>
      <c r="T35">
        <f t="shared" si="1"/>
        <v>2</v>
      </c>
    </row>
    <row r="36" spans="1:20" x14ac:dyDescent="0.2">
      <c r="A36" t="s">
        <v>805</v>
      </c>
      <c r="B36">
        <f>IF(COUNTIFS('United Data'!$A$3:$A$2150,B$1,'United Data'!$C$3:$C$2150,$A36,'United Data'!$B$3:$B$2150,"P")&gt;0,1,0)</f>
        <v>0</v>
      </c>
      <c r="C36">
        <f>IF(COUNTIFS('United Data'!$A$3:$A$2150,C$1,'United Data'!$C$3:$C$2150,$A36,'United Data'!$B$3:$B$2150,"P")&gt;0,1,0)</f>
        <v>0</v>
      </c>
      <c r="D36">
        <f>IF(COUNTIFS('United Data'!$A$3:$A$2150,D$1,'United Data'!$C$3:$C$2150,$A36,'United Data'!$B$3:$B$2150,"P")&gt;0,1,0)</f>
        <v>0</v>
      </c>
      <c r="E36">
        <f>IF(COUNTIFS('United Data'!$A$3:$A$2150,E$1,'United Data'!$C$3:$C$2150,$A36,'United Data'!$B$3:$B$2150,"P")&gt;0,1,0)</f>
        <v>1</v>
      </c>
      <c r="F36">
        <f>IF(COUNTIFS('United Data'!$A$3:$A$2150,F$1,'United Data'!$C$3:$C$2150,$A36,'United Data'!$B$3:$B$2150,"P")&gt;0,1,0)</f>
        <v>0</v>
      </c>
      <c r="G36">
        <f>IF(COUNTIFS('United Data'!$A$3:$A$2150,G$1,'United Data'!$C$3:$C$2150,$A36,'United Data'!$B$3:$B$2150,"P")&gt;0,1,0)</f>
        <v>0</v>
      </c>
      <c r="H36">
        <f>IF(COUNTIFS('United Data'!$A$3:$A$2150,H$1,'United Data'!$C$3:$C$2150,$A36,'United Data'!$B$3:$B$2150,"P")&gt;0,1,0)</f>
        <v>1</v>
      </c>
      <c r="I36">
        <f>IF(COUNTIFS('United Data'!$A$3:$A$2150,I$1,'United Data'!$C$3:$C$2150,$A36,'United Data'!$B$3:$B$2150,"P")&gt;0,1,0)</f>
        <v>0</v>
      </c>
      <c r="J36">
        <f>IF(COUNTIFS('United Data'!$A$3:$A$2150,J$1,'United Data'!$C$3:$C$2150,$A36,'United Data'!$B$3:$B$2150,"P")&gt;0,1,0)</f>
        <v>1</v>
      </c>
      <c r="K36">
        <f>IF(COUNTIFS('United Data'!$A$3:$A$2150,K$1,'United Data'!$C$3:$C$2150,$A36,'United Data'!$B$3:$B$2150,"P")&gt;0,1,0)</f>
        <v>1</v>
      </c>
      <c r="L36">
        <f>IF(COUNTIFS('United Data'!$A$3:$A$2150,L$1,'United Data'!$C$3:$C$2150,$A36,'United Data'!$B$3:$B$2150,"P")&gt;0,1,0)</f>
        <v>0</v>
      </c>
      <c r="M36">
        <f>IF(COUNTIFS('United Data'!$A$3:$A$2150,M$1,'United Data'!$C$3:$C$2150,$A36,'United Data'!$B$3:$B$2150,"P")&gt;0,1,0)</f>
        <v>1</v>
      </c>
      <c r="N36">
        <f>IF(COUNTIFS('United Data'!$A$3:$A$2150,N$1,'United Data'!$C$3:$C$2150,$A36,'United Data'!$B$3:$B$2150,"P")&gt;0,1,0)</f>
        <v>0</v>
      </c>
      <c r="O36">
        <f>IF(COUNTIFS('United Data'!$A$3:$A$2150,O$1,'United Data'!$C$3:$C$2150,$A36,'United Data'!$B$3:$B$2150,"P")&gt;0,1,0)</f>
        <v>0</v>
      </c>
      <c r="P36">
        <f>IF(COUNTIFS('United Data'!$A$3:$A$2150,P$1,'United Data'!$C$3:$C$2150,$A36,'United Data'!$B$3:$B$2150,"P")&gt;0,1,0)</f>
        <v>0</v>
      </c>
      <c r="Q36">
        <f>IF(COUNTIFS('United Data'!$A$3:$A$2150,Q$1,'United Data'!$C$3:$C$2150,$A36,'United Data'!$B$3:$B$2150,"P")&gt;0,1,0)</f>
        <v>0</v>
      </c>
      <c r="R36">
        <f>IF(COUNTIFS('United Data'!$A$3:$A$2150,R$1,'United Data'!$C$3:$C$2150,$A36,'United Data'!$B$3:$B$2150,"P")&gt;0,1,0)</f>
        <v>0</v>
      </c>
      <c r="S36">
        <f t="shared" si="0"/>
        <v>5</v>
      </c>
      <c r="T36">
        <f t="shared" si="1"/>
        <v>4</v>
      </c>
    </row>
    <row r="37" spans="1:20" x14ac:dyDescent="0.2">
      <c r="A37" t="s">
        <v>806</v>
      </c>
      <c r="B37">
        <f>IF(COUNTIFS('United Data'!$A$3:$A$2150,B$1,'United Data'!$C$3:$C$2150,$A37,'United Data'!$B$3:$B$2150,"P")&gt;0,1,0)</f>
        <v>0</v>
      </c>
      <c r="C37">
        <f>IF(COUNTIFS('United Data'!$A$3:$A$2150,C$1,'United Data'!$C$3:$C$2150,$A37,'United Data'!$B$3:$B$2150,"P")&gt;0,1,0)</f>
        <v>0</v>
      </c>
      <c r="D37">
        <f>IF(COUNTIFS('United Data'!$A$3:$A$2150,D$1,'United Data'!$C$3:$C$2150,$A37,'United Data'!$B$3:$B$2150,"P")&gt;0,1,0)</f>
        <v>0</v>
      </c>
      <c r="E37">
        <f>IF(COUNTIFS('United Data'!$A$3:$A$2150,E$1,'United Data'!$C$3:$C$2150,$A37,'United Data'!$B$3:$B$2150,"P")&gt;0,1,0)</f>
        <v>1</v>
      </c>
      <c r="F37">
        <f>IF(COUNTIFS('United Data'!$A$3:$A$2150,F$1,'United Data'!$C$3:$C$2150,$A37,'United Data'!$B$3:$B$2150,"P")&gt;0,1,0)</f>
        <v>0</v>
      </c>
      <c r="G37">
        <f>IF(COUNTIFS('United Data'!$A$3:$A$2150,G$1,'United Data'!$C$3:$C$2150,$A37,'United Data'!$B$3:$B$2150,"P")&gt;0,1,0)</f>
        <v>0</v>
      </c>
      <c r="H37">
        <f>IF(COUNTIFS('United Data'!$A$3:$A$2150,H$1,'United Data'!$C$3:$C$2150,$A37,'United Data'!$B$3:$B$2150,"P")&gt;0,1,0)</f>
        <v>0</v>
      </c>
      <c r="I37">
        <f>IF(COUNTIFS('United Data'!$A$3:$A$2150,I$1,'United Data'!$C$3:$C$2150,$A37,'United Data'!$B$3:$B$2150,"P")&gt;0,1,0)</f>
        <v>0</v>
      </c>
      <c r="J37">
        <f>IF(COUNTIFS('United Data'!$A$3:$A$2150,J$1,'United Data'!$C$3:$C$2150,$A37,'United Data'!$B$3:$B$2150,"P")&gt;0,1,0)</f>
        <v>0</v>
      </c>
      <c r="K37">
        <f>IF(COUNTIFS('United Data'!$A$3:$A$2150,K$1,'United Data'!$C$3:$C$2150,$A37,'United Data'!$B$3:$B$2150,"P")&gt;0,1,0)</f>
        <v>0</v>
      </c>
      <c r="L37">
        <f>IF(COUNTIFS('United Data'!$A$3:$A$2150,L$1,'United Data'!$C$3:$C$2150,$A37,'United Data'!$B$3:$B$2150,"P")&gt;0,1,0)</f>
        <v>0</v>
      </c>
      <c r="M37">
        <f>IF(COUNTIFS('United Data'!$A$3:$A$2150,M$1,'United Data'!$C$3:$C$2150,$A37,'United Data'!$B$3:$B$2150,"P")&gt;0,1,0)</f>
        <v>0</v>
      </c>
      <c r="N37">
        <f>IF(COUNTIFS('United Data'!$A$3:$A$2150,N$1,'United Data'!$C$3:$C$2150,$A37,'United Data'!$B$3:$B$2150,"P")&gt;0,1,0)</f>
        <v>0</v>
      </c>
      <c r="O37">
        <f>IF(COUNTIFS('United Data'!$A$3:$A$2150,O$1,'United Data'!$C$3:$C$2150,$A37,'United Data'!$B$3:$B$2150,"P")&gt;0,1,0)</f>
        <v>0</v>
      </c>
      <c r="P37">
        <f>IF(COUNTIFS('United Data'!$A$3:$A$2150,P$1,'United Data'!$C$3:$C$2150,$A37,'United Data'!$B$3:$B$2150,"P")&gt;0,1,0)</f>
        <v>0</v>
      </c>
      <c r="Q37">
        <f>IF(COUNTIFS('United Data'!$A$3:$A$2150,Q$1,'United Data'!$C$3:$C$2150,$A37,'United Data'!$B$3:$B$2150,"P")&gt;0,1,0)</f>
        <v>0</v>
      </c>
      <c r="R37">
        <f>IF(COUNTIFS('United Data'!$A$3:$A$2150,R$1,'United Data'!$C$3:$C$2150,$A37,'United Data'!$B$3:$B$2150,"P")&gt;0,1,0)</f>
        <v>0</v>
      </c>
      <c r="S37">
        <f t="shared" si="0"/>
        <v>1</v>
      </c>
      <c r="T37">
        <f t="shared" si="1"/>
        <v>1</v>
      </c>
    </row>
    <row r="38" spans="1:20" x14ac:dyDescent="0.2">
      <c r="A38" t="s">
        <v>807</v>
      </c>
      <c r="B38">
        <f>IF(COUNTIFS('United Data'!$A$3:$A$2150,B$1,'United Data'!$C$3:$C$2150,$A38,'United Data'!$B$3:$B$2150,"P")&gt;0,1,0)</f>
        <v>0</v>
      </c>
      <c r="C38">
        <f>IF(COUNTIFS('United Data'!$A$3:$A$2150,C$1,'United Data'!$C$3:$C$2150,$A38,'United Data'!$B$3:$B$2150,"P")&gt;0,1,0)</f>
        <v>0</v>
      </c>
      <c r="D38">
        <f>IF(COUNTIFS('United Data'!$A$3:$A$2150,D$1,'United Data'!$C$3:$C$2150,$A38,'United Data'!$B$3:$B$2150,"P")&gt;0,1,0)</f>
        <v>0</v>
      </c>
      <c r="E38">
        <f>IF(COUNTIFS('United Data'!$A$3:$A$2150,E$1,'United Data'!$C$3:$C$2150,$A38,'United Data'!$B$3:$B$2150,"P")&gt;0,1,0)</f>
        <v>1</v>
      </c>
      <c r="F38">
        <f>IF(COUNTIFS('United Data'!$A$3:$A$2150,F$1,'United Data'!$C$3:$C$2150,$A38,'United Data'!$B$3:$B$2150,"P")&gt;0,1,0)</f>
        <v>1</v>
      </c>
      <c r="G38">
        <f>IF(COUNTIFS('United Data'!$A$3:$A$2150,G$1,'United Data'!$C$3:$C$2150,$A38,'United Data'!$B$3:$B$2150,"P")&gt;0,1,0)</f>
        <v>1</v>
      </c>
      <c r="H38">
        <f>IF(COUNTIFS('United Data'!$A$3:$A$2150,H$1,'United Data'!$C$3:$C$2150,$A38,'United Data'!$B$3:$B$2150,"P")&gt;0,1,0)</f>
        <v>1</v>
      </c>
      <c r="I38">
        <f>IF(COUNTIFS('United Data'!$A$3:$A$2150,I$1,'United Data'!$C$3:$C$2150,$A38,'United Data'!$B$3:$B$2150,"P")&gt;0,1,0)</f>
        <v>1</v>
      </c>
      <c r="J38">
        <f>IF(COUNTIFS('United Data'!$A$3:$A$2150,J$1,'United Data'!$C$3:$C$2150,$A38,'United Data'!$B$3:$B$2150,"P")&gt;0,1,0)</f>
        <v>1</v>
      </c>
      <c r="K38">
        <f>IF(COUNTIFS('United Data'!$A$3:$A$2150,K$1,'United Data'!$C$3:$C$2150,$A38,'United Data'!$B$3:$B$2150,"P")&gt;0,1,0)</f>
        <v>1</v>
      </c>
      <c r="L38">
        <f>IF(COUNTIFS('United Data'!$A$3:$A$2150,L$1,'United Data'!$C$3:$C$2150,$A38,'United Data'!$B$3:$B$2150,"P")&gt;0,1,0)</f>
        <v>1</v>
      </c>
      <c r="M38">
        <f>IF(COUNTIFS('United Data'!$A$3:$A$2150,M$1,'United Data'!$C$3:$C$2150,$A38,'United Data'!$B$3:$B$2150,"P")&gt;0,1,0)</f>
        <v>1</v>
      </c>
      <c r="N38">
        <f>IF(COUNTIFS('United Data'!$A$3:$A$2150,N$1,'United Data'!$C$3:$C$2150,$A38,'United Data'!$B$3:$B$2150,"P")&gt;0,1,0)</f>
        <v>1</v>
      </c>
      <c r="O38">
        <f>IF(COUNTIFS('United Data'!$A$3:$A$2150,O$1,'United Data'!$C$3:$C$2150,$A38,'United Data'!$B$3:$B$2150,"P")&gt;0,1,0)</f>
        <v>1</v>
      </c>
      <c r="P38">
        <f>IF(COUNTIFS('United Data'!$A$3:$A$2150,P$1,'United Data'!$C$3:$C$2150,$A38,'United Data'!$B$3:$B$2150,"P")&gt;0,1,0)</f>
        <v>0</v>
      </c>
      <c r="Q38">
        <f>IF(COUNTIFS('United Data'!$A$3:$A$2150,Q$1,'United Data'!$C$3:$C$2150,$A38,'United Data'!$B$3:$B$2150,"P")&gt;0,1,0)</f>
        <v>0</v>
      </c>
      <c r="R38">
        <f>IF(COUNTIFS('United Data'!$A$3:$A$2150,R$1,'United Data'!$C$3:$C$2150,$A38,'United Data'!$B$3:$B$2150,"P")&gt;0,1,0)</f>
        <v>0</v>
      </c>
      <c r="S38">
        <f t="shared" si="0"/>
        <v>11</v>
      </c>
      <c r="T38">
        <f t="shared" si="1"/>
        <v>1</v>
      </c>
    </row>
    <row r="39" spans="1:20" x14ac:dyDescent="0.2">
      <c r="A39" t="s">
        <v>808</v>
      </c>
      <c r="B39">
        <f>IF(COUNTIFS('United Data'!$A$3:$A$2150,B$1,'United Data'!$C$3:$C$2150,$A39,'United Data'!$B$3:$B$2150,"P")&gt;0,1,0)</f>
        <v>0</v>
      </c>
      <c r="C39">
        <f>IF(COUNTIFS('United Data'!$A$3:$A$2150,C$1,'United Data'!$C$3:$C$2150,$A39,'United Data'!$B$3:$B$2150,"P")&gt;0,1,0)</f>
        <v>0</v>
      </c>
      <c r="D39">
        <f>IF(COUNTIFS('United Data'!$A$3:$A$2150,D$1,'United Data'!$C$3:$C$2150,$A39,'United Data'!$B$3:$B$2150,"P")&gt;0,1,0)</f>
        <v>0</v>
      </c>
      <c r="E39">
        <f>IF(COUNTIFS('United Data'!$A$3:$A$2150,E$1,'United Data'!$C$3:$C$2150,$A39,'United Data'!$B$3:$B$2150,"P")&gt;0,1,0)</f>
        <v>1</v>
      </c>
      <c r="F39">
        <f>IF(COUNTIFS('United Data'!$A$3:$A$2150,F$1,'United Data'!$C$3:$C$2150,$A39,'United Data'!$B$3:$B$2150,"P")&gt;0,1,0)</f>
        <v>0</v>
      </c>
      <c r="G39">
        <f>IF(COUNTIFS('United Data'!$A$3:$A$2150,G$1,'United Data'!$C$3:$C$2150,$A39,'United Data'!$B$3:$B$2150,"P")&gt;0,1,0)</f>
        <v>0</v>
      </c>
      <c r="H39">
        <f>IF(COUNTIFS('United Data'!$A$3:$A$2150,H$1,'United Data'!$C$3:$C$2150,$A39,'United Data'!$B$3:$B$2150,"P")&gt;0,1,0)</f>
        <v>0</v>
      </c>
      <c r="I39">
        <f>IF(COUNTIFS('United Data'!$A$3:$A$2150,I$1,'United Data'!$C$3:$C$2150,$A39,'United Data'!$B$3:$B$2150,"P")&gt;0,1,0)</f>
        <v>0</v>
      </c>
      <c r="J39">
        <f>IF(COUNTIFS('United Data'!$A$3:$A$2150,J$1,'United Data'!$C$3:$C$2150,$A39,'United Data'!$B$3:$B$2150,"P")&gt;0,1,0)</f>
        <v>0</v>
      </c>
      <c r="K39">
        <f>IF(COUNTIFS('United Data'!$A$3:$A$2150,K$1,'United Data'!$C$3:$C$2150,$A39,'United Data'!$B$3:$B$2150,"P")&gt;0,1,0)</f>
        <v>0</v>
      </c>
      <c r="L39">
        <f>IF(COUNTIFS('United Data'!$A$3:$A$2150,L$1,'United Data'!$C$3:$C$2150,$A39,'United Data'!$B$3:$B$2150,"P")&gt;0,1,0)</f>
        <v>0</v>
      </c>
      <c r="M39">
        <f>IF(COUNTIFS('United Data'!$A$3:$A$2150,M$1,'United Data'!$C$3:$C$2150,$A39,'United Data'!$B$3:$B$2150,"P")&gt;0,1,0)</f>
        <v>0</v>
      </c>
      <c r="N39">
        <f>IF(COUNTIFS('United Data'!$A$3:$A$2150,N$1,'United Data'!$C$3:$C$2150,$A39,'United Data'!$B$3:$B$2150,"P")&gt;0,1,0)</f>
        <v>0</v>
      </c>
      <c r="O39">
        <f>IF(COUNTIFS('United Data'!$A$3:$A$2150,O$1,'United Data'!$C$3:$C$2150,$A39,'United Data'!$B$3:$B$2150,"P")&gt;0,1,0)</f>
        <v>0</v>
      </c>
      <c r="P39">
        <f>IF(COUNTIFS('United Data'!$A$3:$A$2150,P$1,'United Data'!$C$3:$C$2150,$A39,'United Data'!$B$3:$B$2150,"P")&gt;0,1,0)</f>
        <v>0</v>
      </c>
      <c r="Q39">
        <f>IF(COUNTIFS('United Data'!$A$3:$A$2150,Q$1,'United Data'!$C$3:$C$2150,$A39,'United Data'!$B$3:$B$2150,"P")&gt;0,1,0)</f>
        <v>0</v>
      </c>
      <c r="R39">
        <f>IF(COUNTIFS('United Data'!$A$3:$A$2150,R$1,'United Data'!$C$3:$C$2150,$A39,'United Data'!$B$3:$B$2150,"P")&gt;0,1,0)</f>
        <v>0</v>
      </c>
      <c r="S39">
        <f t="shared" si="0"/>
        <v>1</v>
      </c>
      <c r="T39">
        <f t="shared" si="1"/>
        <v>1</v>
      </c>
    </row>
    <row r="40" spans="1:20" x14ac:dyDescent="0.2">
      <c r="A40" t="s">
        <v>809</v>
      </c>
      <c r="B40">
        <f>IF(COUNTIFS('United Data'!$A$3:$A$2150,B$1,'United Data'!$C$3:$C$2150,$A40,'United Data'!$B$3:$B$2150,"P")&gt;0,1,0)</f>
        <v>0</v>
      </c>
      <c r="C40">
        <f>IF(COUNTIFS('United Data'!$A$3:$A$2150,C$1,'United Data'!$C$3:$C$2150,$A40,'United Data'!$B$3:$B$2150,"P")&gt;0,1,0)</f>
        <v>0</v>
      </c>
      <c r="D40">
        <f>IF(COUNTIFS('United Data'!$A$3:$A$2150,D$1,'United Data'!$C$3:$C$2150,$A40,'United Data'!$B$3:$B$2150,"P")&gt;0,1,0)</f>
        <v>0</v>
      </c>
      <c r="E40">
        <f>IF(COUNTIFS('United Data'!$A$3:$A$2150,E$1,'United Data'!$C$3:$C$2150,$A40,'United Data'!$B$3:$B$2150,"P")&gt;0,1,0)</f>
        <v>1</v>
      </c>
      <c r="F40">
        <f>IF(COUNTIFS('United Data'!$A$3:$A$2150,F$1,'United Data'!$C$3:$C$2150,$A40,'United Data'!$B$3:$B$2150,"P")&gt;0,1,0)</f>
        <v>0</v>
      </c>
      <c r="G40">
        <f>IF(COUNTIFS('United Data'!$A$3:$A$2150,G$1,'United Data'!$C$3:$C$2150,$A40,'United Data'!$B$3:$B$2150,"P")&gt;0,1,0)</f>
        <v>0</v>
      </c>
      <c r="H40">
        <f>IF(COUNTIFS('United Data'!$A$3:$A$2150,H$1,'United Data'!$C$3:$C$2150,$A40,'United Data'!$B$3:$B$2150,"P")&gt;0,1,0)</f>
        <v>0</v>
      </c>
      <c r="I40">
        <f>IF(COUNTIFS('United Data'!$A$3:$A$2150,I$1,'United Data'!$C$3:$C$2150,$A40,'United Data'!$B$3:$B$2150,"P")&gt;0,1,0)</f>
        <v>0</v>
      </c>
      <c r="J40">
        <f>IF(COUNTIFS('United Data'!$A$3:$A$2150,J$1,'United Data'!$C$3:$C$2150,$A40,'United Data'!$B$3:$B$2150,"P")&gt;0,1,0)</f>
        <v>0</v>
      </c>
      <c r="K40">
        <f>IF(COUNTIFS('United Data'!$A$3:$A$2150,K$1,'United Data'!$C$3:$C$2150,$A40,'United Data'!$B$3:$B$2150,"P")&gt;0,1,0)</f>
        <v>0</v>
      </c>
      <c r="L40">
        <f>IF(COUNTIFS('United Data'!$A$3:$A$2150,L$1,'United Data'!$C$3:$C$2150,$A40,'United Data'!$B$3:$B$2150,"P")&gt;0,1,0)</f>
        <v>0</v>
      </c>
      <c r="M40">
        <f>IF(COUNTIFS('United Data'!$A$3:$A$2150,M$1,'United Data'!$C$3:$C$2150,$A40,'United Data'!$B$3:$B$2150,"P")&gt;0,1,0)</f>
        <v>0</v>
      </c>
      <c r="N40">
        <f>IF(COUNTIFS('United Data'!$A$3:$A$2150,N$1,'United Data'!$C$3:$C$2150,$A40,'United Data'!$B$3:$B$2150,"P")&gt;0,1,0)</f>
        <v>0</v>
      </c>
      <c r="O40">
        <f>IF(COUNTIFS('United Data'!$A$3:$A$2150,O$1,'United Data'!$C$3:$C$2150,$A40,'United Data'!$B$3:$B$2150,"P")&gt;0,1,0)</f>
        <v>0</v>
      </c>
      <c r="P40">
        <f>IF(COUNTIFS('United Data'!$A$3:$A$2150,P$1,'United Data'!$C$3:$C$2150,$A40,'United Data'!$B$3:$B$2150,"P")&gt;0,1,0)</f>
        <v>0</v>
      </c>
      <c r="Q40">
        <f>IF(COUNTIFS('United Data'!$A$3:$A$2150,Q$1,'United Data'!$C$3:$C$2150,$A40,'United Data'!$B$3:$B$2150,"P")&gt;0,1,0)</f>
        <v>0</v>
      </c>
      <c r="R40">
        <f>IF(COUNTIFS('United Data'!$A$3:$A$2150,R$1,'United Data'!$C$3:$C$2150,$A40,'United Data'!$B$3:$B$2150,"P")&gt;0,1,0)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810</v>
      </c>
      <c r="B41">
        <f>IF(COUNTIFS('United Data'!$A$3:$A$2150,B$1,'United Data'!$C$3:$C$2150,$A41,'United Data'!$B$3:$B$2150,"P")&gt;0,1,0)</f>
        <v>0</v>
      </c>
      <c r="C41">
        <f>IF(COUNTIFS('United Data'!$A$3:$A$2150,C$1,'United Data'!$C$3:$C$2150,$A41,'United Data'!$B$3:$B$2150,"P")&gt;0,1,0)</f>
        <v>0</v>
      </c>
      <c r="D41">
        <f>IF(COUNTIFS('United Data'!$A$3:$A$2150,D$1,'United Data'!$C$3:$C$2150,$A41,'United Data'!$B$3:$B$2150,"P")&gt;0,1,0)</f>
        <v>0</v>
      </c>
      <c r="E41">
        <f>IF(COUNTIFS('United Data'!$A$3:$A$2150,E$1,'United Data'!$C$3:$C$2150,$A41,'United Data'!$B$3:$B$2150,"P")&gt;0,1,0)</f>
        <v>1</v>
      </c>
      <c r="F41">
        <f>IF(COUNTIFS('United Data'!$A$3:$A$2150,F$1,'United Data'!$C$3:$C$2150,$A41,'United Data'!$B$3:$B$2150,"P")&gt;0,1,0)</f>
        <v>0</v>
      </c>
      <c r="G41">
        <f>IF(COUNTIFS('United Data'!$A$3:$A$2150,G$1,'United Data'!$C$3:$C$2150,$A41,'United Data'!$B$3:$B$2150,"P")&gt;0,1,0)</f>
        <v>1</v>
      </c>
      <c r="H41">
        <f>IF(COUNTIFS('United Data'!$A$3:$A$2150,H$1,'United Data'!$C$3:$C$2150,$A41,'United Data'!$B$3:$B$2150,"P")&gt;0,1,0)</f>
        <v>0</v>
      </c>
      <c r="I41">
        <f>IF(COUNTIFS('United Data'!$A$3:$A$2150,I$1,'United Data'!$C$3:$C$2150,$A41,'United Data'!$B$3:$B$2150,"P")&gt;0,1,0)</f>
        <v>0</v>
      </c>
      <c r="J41">
        <f>IF(COUNTIFS('United Data'!$A$3:$A$2150,J$1,'United Data'!$C$3:$C$2150,$A41,'United Data'!$B$3:$B$2150,"P")&gt;0,1,0)</f>
        <v>0</v>
      </c>
      <c r="K41">
        <f>IF(COUNTIFS('United Data'!$A$3:$A$2150,K$1,'United Data'!$C$3:$C$2150,$A41,'United Data'!$B$3:$B$2150,"P")&gt;0,1,0)</f>
        <v>0</v>
      </c>
      <c r="L41">
        <f>IF(COUNTIFS('United Data'!$A$3:$A$2150,L$1,'United Data'!$C$3:$C$2150,$A41,'United Data'!$B$3:$B$2150,"P")&gt;0,1,0)</f>
        <v>0</v>
      </c>
      <c r="M41">
        <f>IF(COUNTIFS('United Data'!$A$3:$A$2150,M$1,'United Data'!$C$3:$C$2150,$A41,'United Data'!$B$3:$B$2150,"P")&gt;0,1,0)</f>
        <v>0</v>
      </c>
      <c r="N41">
        <f>IF(COUNTIFS('United Data'!$A$3:$A$2150,N$1,'United Data'!$C$3:$C$2150,$A41,'United Data'!$B$3:$B$2150,"P")&gt;0,1,0)</f>
        <v>0</v>
      </c>
      <c r="O41">
        <f>IF(COUNTIFS('United Data'!$A$3:$A$2150,O$1,'United Data'!$C$3:$C$2150,$A41,'United Data'!$B$3:$B$2150,"P")&gt;0,1,0)</f>
        <v>0</v>
      </c>
      <c r="P41">
        <f>IF(COUNTIFS('United Data'!$A$3:$A$2150,P$1,'United Data'!$C$3:$C$2150,$A41,'United Data'!$B$3:$B$2150,"P")&gt;0,1,0)</f>
        <v>0</v>
      </c>
      <c r="Q41">
        <f>IF(COUNTIFS('United Data'!$A$3:$A$2150,Q$1,'United Data'!$C$3:$C$2150,$A41,'United Data'!$B$3:$B$2150,"P")&gt;0,1,0)</f>
        <v>0</v>
      </c>
      <c r="R41">
        <f>IF(COUNTIFS('United Data'!$A$3:$A$2150,R$1,'United Data'!$C$3:$C$2150,$A41,'United Data'!$B$3:$B$2150,"P")&gt;0,1,0)</f>
        <v>0</v>
      </c>
      <c r="S41">
        <f t="shared" si="0"/>
        <v>2</v>
      </c>
      <c r="T41">
        <f t="shared" si="1"/>
        <v>2</v>
      </c>
    </row>
    <row r="42" spans="1:20" x14ac:dyDescent="0.2">
      <c r="A42" t="s">
        <v>811</v>
      </c>
      <c r="B42">
        <f>IF(COUNTIFS('United Data'!$A$3:$A$2150,B$1,'United Data'!$C$3:$C$2150,$A42,'United Data'!$B$3:$B$2150,"P")&gt;0,1,0)</f>
        <v>0</v>
      </c>
      <c r="C42">
        <f>IF(COUNTIFS('United Data'!$A$3:$A$2150,C$1,'United Data'!$C$3:$C$2150,$A42,'United Data'!$B$3:$B$2150,"P")&gt;0,1,0)</f>
        <v>0</v>
      </c>
      <c r="D42">
        <f>IF(COUNTIFS('United Data'!$A$3:$A$2150,D$1,'United Data'!$C$3:$C$2150,$A42,'United Data'!$B$3:$B$2150,"P")&gt;0,1,0)</f>
        <v>0</v>
      </c>
      <c r="E42">
        <f>IF(COUNTIFS('United Data'!$A$3:$A$2150,E$1,'United Data'!$C$3:$C$2150,$A42,'United Data'!$B$3:$B$2150,"P")&gt;0,1,0)</f>
        <v>1</v>
      </c>
      <c r="F42">
        <f>IF(COUNTIFS('United Data'!$A$3:$A$2150,F$1,'United Data'!$C$3:$C$2150,$A42,'United Data'!$B$3:$B$2150,"P")&gt;0,1,0)</f>
        <v>0</v>
      </c>
      <c r="G42">
        <f>IF(COUNTIFS('United Data'!$A$3:$A$2150,G$1,'United Data'!$C$3:$C$2150,$A42,'United Data'!$B$3:$B$2150,"P")&gt;0,1,0)</f>
        <v>0</v>
      </c>
      <c r="H42">
        <f>IF(COUNTIFS('United Data'!$A$3:$A$2150,H$1,'United Data'!$C$3:$C$2150,$A42,'United Data'!$B$3:$B$2150,"P")&gt;0,1,0)</f>
        <v>0</v>
      </c>
      <c r="I42">
        <f>IF(COUNTIFS('United Data'!$A$3:$A$2150,I$1,'United Data'!$C$3:$C$2150,$A42,'United Data'!$B$3:$B$2150,"P")&gt;0,1,0)</f>
        <v>0</v>
      </c>
      <c r="J42">
        <f>IF(COUNTIFS('United Data'!$A$3:$A$2150,J$1,'United Data'!$C$3:$C$2150,$A42,'United Data'!$B$3:$B$2150,"P")&gt;0,1,0)</f>
        <v>0</v>
      </c>
      <c r="K42">
        <f>IF(COUNTIFS('United Data'!$A$3:$A$2150,K$1,'United Data'!$C$3:$C$2150,$A42,'United Data'!$B$3:$B$2150,"P")&gt;0,1,0)</f>
        <v>0</v>
      </c>
      <c r="L42">
        <f>IF(COUNTIFS('United Data'!$A$3:$A$2150,L$1,'United Data'!$C$3:$C$2150,$A42,'United Data'!$B$3:$B$2150,"P")&gt;0,1,0)</f>
        <v>0</v>
      </c>
      <c r="M42">
        <f>IF(COUNTIFS('United Data'!$A$3:$A$2150,M$1,'United Data'!$C$3:$C$2150,$A42,'United Data'!$B$3:$B$2150,"P")&gt;0,1,0)</f>
        <v>0</v>
      </c>
      <c r="N42">
        <f>IF(COUNTIFS('United Data'!$A$3:$A$2150,N$1,'United Data'!$C$3:$C$2150,$A42,'United Data'!$B$3:$B$2150,"P")&gt;0,1,0)</f>
        <v>0</v>
      </c>
      <c r="O42">
        <f>IF(COUNTIFS('United Data'!$A$3:$A$2150,O$1,'United Data'!$C$3:$C$2150,$A42,'United Data'!$B$3:$B$2150,"P")&gt;0,1,0)</f>
        <v>0</v>
      </c>
      <c r="P42">
        <f>IF(COUNTIFS('United Data'!$A$3:$A$2150,P$1,'United Data'!$C$3:$C$2150,$A42,'United Data'!$B$3:$B$2150,"P")&gt;0,1,0)</f>
        <v>0</v>
      </c>
      <c r="Q42">
        <f>IF(COUNTIFS('United Data'!$A$3:$A$2150,Q$1,'United Data'!$C$3:$C$2150,$A42,'United Data'!$B$3:$B$2150,"P")&gt;0,1,0)</f>
        <v>0</v>
      </c>
      <c r="R42">
        <f>IF(COUNTIFS('United Data'!$A$3:$A$2150,R$1,'United Data'!$C$3:$C$2150,$A42,'United Data'!$B$3:$B$2150,"P")&gt;0,1,0)</f>
        <v>0</v>
      </c>
      <c r="S42">
        <f t="shared" si="0"/>
        <v>1</v>
      </c>
      <c r="T42">
        <f t="shared" si="1"/>
        <v>1</v>
      </c>
    </row>
    <row r="43" spans="1:20" x14ac:dyDescent="0.2">
      <c r="A43" t="s">
        <v>812</v>
      </c>
      <c r="B43">
        <f>IF(COUNTIFS('United Data'!$A$3:$A$2150,B$1,'United Data'!$C$3:$C$2150,$A43,'United Data'!$B$3:$B$2150,"P")&gt;0,1,0)</f>
        <v>0</v>
      </c>
      <c r="C43">
        <f>IF(COUNTIFS('United Data'!$A$3:$A$2150,C$1,'United Data'!$C$3:$C$2150,$A43,'United Data'!$B$3:$B$2150,"P")&gt;0,1,0)</f>
        <v>0</v>
      </c>
      <c r="D43">
        <f>IF(COUNTIFS('United Data'!$A$3:$A$2150,D$1,'United Data'!$C$3:$C$2150,$A43,'United Data'!$B$3:$B$2150,"P")&gt;0,1,0)</f>
        <v>0</v>
      </c>
      <c r="E43">
        <f>IF(COUNTIFS('United Data'!$A$3:$A$2150,E$1,'United Data'!$C$3:$C$2150,$A43,'United Data'!$B$3:$B$2150,"P")&gt;0,1,0)</f>
        <v>1</v>
      </c>
      <c r="F43">
        <f>IF(COUNTIFS('United Data'!$A$3:$A$2150,F$1,'United Data'!$C$3:$C$2150,$A43,'United Data'!$B$3:$B$2150,"P")&gt;0,1,0)</f>
        <v>1</v>
      </c>
      <c r="G43">
        <f>IF(COUNTIFS('United Data'!$A$3:$A$2150,G$1,'United Data'!$C$3:$C$2150,$A43,'United Data'!$B$3:$B$2150,"P")&gt;0,1,0)</f>
        <v>1</v>
      </c>
      <c r="H43">
        <f>IF(COUNTIFS('United Data'!$A$3:$A$2150,H$1,'United Data'!$C$3:$C$2150,$A43,'United Data'!$B$3:$B$2150,"P")&gt;0,1,0)</f>
        <v>1</v>
      </c>
      <c r="I43">
        <f>IF(COUNTIFS('United Data'!$A$3:$A$2150,I$1,'United Data'!$C$3:$C$2150,$A43,'United Data'!$B$3:$B$2150,"P")&gt;0,1,0)</f>
        <v>1</v>
      </c>
      <c r="J43">
        <f>IF(COUNTIFS('United Data'!$A$3:$A$2150,J$1,'United Data'!$C$3:$C$2150,$A43,'United Data'!$B$3:$B$2150,"P")&gt;0,1,0)</f>
        <v>1</v>
      </c>
      <c r="K43">
        <f>IF(COUNTIFS('United Data'!$A$3:$A$2150,K$1,'United Data'!$C$3:$C$2150,$A43,'United Data'!$B$3:$B$2150,"P")&gt;0,1,0)</f>
        <v>1</v>
      </c>
      <c r="L43">
        <f>IF(COUNTIFS('United Data'!$A$3:$A$2150,L$1,'United Data'!$C$3:$C$2150,$A43,'United Data'!$B$3:$B$2150,"P")&gt;0,1,0)</f>
        <v>1</v>
      </c>
      <c r="M43">
        <f>IF(COUNTIFS('United Data'!$A$3:$A$2150,M$1,'United Data'!$C$3:$C$2150,$A43,'United Data'!$B$3:$B$2150,"P")&gt;0,1,0)</f>
        <v>1</v>
      </c>
      <c r="N43">
        <f>IF(COUNTIFS('United Data'!$A$3:$A$2150,N$1,'United Data'!$C$3:$C$2150,$A43,'United Data'!$B$3:$B$2150,"P")&gt;0,1,0)</f>
        <v>1</v>
      </c>
      <c r="O43">
        <f>IF(COUNTIFS('United Data'!$A$3:$A$2150,O$1,'United Data'!$C$3:$C$2150,$A43,'United Data'!$B$3:$B$2150,"P")&gt;0,1,0)</f>
        <v>0</v>
      </c>
      <c r="P43">
        <f>IF(COUNTIFS('United Data'!$A$3:$A$2150,P$1,'United Data'!$C$3:$C$2150,$A43,'United Data'!$B$3:$B$2150,"P")&gt;0,1,0)</f>
        <v>0</v>
      </c>
      <c r="Q43">
        <f>IF(COUNTIFS('United Data'!$A$3:$A$2150,Q$1,'United Data'!$C$3:$C$2150,$A43,'United Data'!$B$3:$B$2150,"P")&gt;0,1,0)</f>
        <v>0</v>
      </c>
      <c r="R43">
        <f>IF(COUNTIFS('United Data'!$A$3:$A$2150,R$1,'United Data'!$C$3:$C$2150,$A43,'United Data'!$B$3:$B$2150,"P")&gt;0,1,0)</f>
        <v>0</v>
      </c>
      <c r="S43">
        <f t="shared" si="0"/>
        <v>10</v>
      </c>
      <c r="T43">
        <f t="shared" si="1"/>
        <v>1</v>
      </c>
    </row>
    <row r="44" spans="1:20" x14ac:dyDescent="0.2">
      <c r="A44" t="s">
        <v>813</v>
      </c>
      <c r="B44">
        <f>IF(COUNTIFS('United Data'!$A$3:$A$2150,B$1,'United Data'!$C$3:$C$2150,$A44,'United Data'!$B$3:$B$2150,"P")&gt;0,1,0)</f>
        <v>0</v>
      </c>
      <c r="C44">
        <f>IF(COUNTIFS('United Data'!$A$3:$A$2150,C$1,'United Data'!$C$3:$C$2150,$A44,'United Data'!$B$3:$B$2150,"P")&gt;0,1,0)</f>
        <v>0</v>
      </c>
      <c r="D44">
        <f>IF(COUNTIFS('United Data'!$A$3:$A$2150,D$1,'United Data'!$C$3:$C$2150,$A44,'United Data'!$B$3:$B$2150,"P")&gt;0,1,0)</f>
        <v>0</v>
      </c>
      <c r="E44">
        <f>IF(COUNTIFS('United Data'!$A$3:$A$2150,E$1,'United Data'!$C$3:$C$2150,$A44,'United Data'!$B$3:$B$2150,"P")&gt;0,1,0)</f>
        <v>1</v>
      </c>
      <c r="F44">
        <f>IF(COUNTIFS('United Data'!$A$3:$A$2150,F$1,'United Data'!$C$3:$C$2150,$A44,'United Data'!$B$3:$B$2150,"P")&gt;0,1,0)</f>
        <v>1</v>
      </c>
      <c r="G44">
        <f>IF(COUNTIFS('United Data'!$A$3:$A$2150,G$1,'United Data'!$C$3:$C$2150,$A44,'United Data'!$B$3:$B$2150,"P")&gt;0,1,0)</f>
        <v>1</v>
      </c>
      <c r="H44">
        <f>IF(COUNTIFS('United Data'!$A$3:$A$2150,H$1,'United Data'!$C$3:$C$2150,$A44,'United Data'!$B$3:$B$2150,"P")&gt;0,1,0)</f>
        <v>1</v>
      </c>
      <c r="I44">
        <f>IF(COUNTIFS('United Data'!$A$3:$A$2150,I$1,'United Data'!$C$3:$C$2150,$A44,'United Data'!$B$3:$B$2150,"P")&gt;0,1,0)</f>
        <v>0</v>
      </c>
      <c r="J44">
        <f>IF(COUNTIFS('United Data'!$A$3:$A$2150,J$1,'United Data'!$C$3:$C$2150,$A44,'United Data'!$B$3:$B$2150,"P")&gt;0,1,0)</f>
        <v>1</v>
      </c>
      <c r="K44">
        <f>IF(COUNTIFS('United Data'!$A$3:$A$2150,K$1,'United Data'!$C$3:$C$2150,$A44,'United Data'!$B$3:$B$2150,"P")&gt;0,1,0)</f>
        <v>0</v>
      </c>
      <c r="L44">
        <f>IF(COUNTIFS('United Data'!$A$3:$A$2150,L$1,'United Data'!$C$3:$C$2150,$A44,'United Data'!$B$3:$B$2150,"P")&gt;0,1,0)</f>
        <v>0</v>
      </c>
      <c r="M44">
        <f>IF(COUNTIFS('United Data'!$A$3:$A$2150,M$1,'United Data'!$C$3:$C$2150,$A44,'United Data'!$B$3:$B$2150,"P")&gt;0,1,0)</f>
        <v>1</v>
      </c>
      <c r="N44">
        <f>IF(COUNTIFS('United Data'!$A$3:$A$2150,N$1,'United Data'!$C$3:$C$2150,$A44,'United Data'!$B$3:$B$2150,"P")&gt;0,1,0)</f>
        <v>0</v>
      </c>
      <c r="O44">
        <f>IF(COUNTIFS('United Data'!$A$3:$A$2150,O$1,'United Data'!$C$3:$C$2150,$A44,'United Data'!$B$3:$B$2150,"P")&gt;0,1,0)</f>
        <v>0</v>
      </c>
      <c r="P44">
        <f>IF(COUNTIFS('United Data'!$A$3:$A$2150,P$1,'United Data'!$C$3:$C$2150,$A44,'United Data'!$B$3:$B$2150,"P")&gt;0,1,0)</f>
        <v>0</v>
      </c>
      <c r="Q44">
        <f>IF(COUNTIFS('United Data'!$A$3:$A$2150,Q$1,'United Data'!$C$3:$C$2150,$A44,'United Data'!$B$3:$B$2150,"P")&gt;0,1,0)</f>
        <v>0</v>
      </c>
      <c r="R44">
        <f>IF(COUNTIFS('United Data'!$A$3:$A$2150,R$1,'United Data'!$C$3:$C$2150,$A44,'United Data'!$B$3:$B$2150,"P")&gt;0,1,0)</f>
        <v>0</v>
      </c>
      <c r="S44">
        <f t="shared" si="0"/>
        <v>6</v>
      </c>
      <c r="T44">
        <f t="shared" si="1"/>
        <v>3</v>
      </c>
    </row>
    <row r="45" spans="1:20" x14ac:dyDescent="0.2">
      <c r="A45" t="s">
        <v>814</v>
      </c>
      <c r="B45">
        <f>IF(COUNTIFS('United Data'!$A$3:$A$2150,B$1,'United Data'!$C$3:$C$2150,$A45,'United Data'!$B$3:$B$2150,"P")&gt;0,1,0)</f>
        <v>0</v>
      </c>
      <c r="C45">
        <f>IF(COUNTIFS('United Data'!$A$3:$A$2150,C$1,'United Data'!$C$3:$C$2150,$A45,'United Data'!$B$3:$B$2150,"P")&gt;0,1,0)</f>
        <v>0</v>
      </c>
      <c r="D45">
        <f>IF(COUNTIFS('United Data'!$A$3:$A$2150,D$1,'United Data'!$C$3:$C$2150,$A45,'United Data'!$B$3:$B$2150,"P")&gt;0,1,0)</f>
        <v>0</v>
      </c>
      <c r="E45">
        <f>IF(COUNTIFS('United Data'!$A$3:$A$2150,E$1,'United Data'!$C$3:$C$2150,$A45,'United Data'!$B$3:$B$2150,"P")&gt;0,1,0)</f>
        <v>1</v>
      </c>
      <c r="F45">
        <f>IF(COUNTIFS('United Data'!$A$3:$A$2150,F$1,'United Data'!$C$3:$C$2150,$A45,'United Data'!$B$3:$B$2150,"P")&gt;0,1,0)</f>
        <v>1</v>
      </c>
      <c r="G45">
        <f>IF(COUNTIFS('United Data'!$A$3:$A$2150,G$1,'United Data'!$C$3:$C$2150,$A45,'United Data'!$B$3:$B$2150,"P")&gt;0,1,0)</f>
        <v>0</v>
      </c>
      <c r="H45">
        <f>IF(COUNTIFS('United Data'!$A$3:$A$2150,H$1,'United Data'!$C$3:$C$2150,$A45,'United Data'!$B$3:$B$2150,"P")&gt;0,1,0)</f>
        <v>0</v>
      </c>
      <c r="I45">
        <f>IF(COUNTIFS('United Data'!$A$3:$A$2150,I$1,'United Data'!$C$3:$C$2150,$A45,'United Data'!$B$3:$B$2150,"P")&gt;0,1,0)</f>
        <v>0</v>
      </c>
      <c r="J45">
        <f>IF(COUNTIFS('United Data'!$A$3:$A$2150,J$1,'United Data'!$C$3:$C$2150,$A45,'United Data'!$B$3:$B$2150,"P")&gt;0,1,0)</f>
        <v>0</v>
      </c>
      <c r="K45">
        <f>IF(COUNTIFS('United Data'!$A$3:$A$2150,K$1,'United Data'!$C$3:$C$2150,$A45,'United Data'!$B$3:$B$2150,"P")&gt;0,1,0)</f>
        <v>0</v>
      </c>
      <c r="L45">
        <f>IF(COUNTIFS('United Data'!$A$3:$A$2150,L$1,'United Data'!$C$3:$C$2150,$A45,'United Data'!$B$3:$B$2150,"P")&gt;0,1,0)</f>
        <v>0</v>
      </c>
      <c r="M45">
        <f>IF(COUNTIFS('United Data'!$A$3:$A$2150,M$1,'United Data'!$C$3:$C$2150,$A45,'United Data'!$B$3:$B$2150,"P")&gt;0,1,0)</f>
        <v>0</v>
      </c>
      <c r="N45">
        <f>IF(COUNTIFS('United Data'!$A$3:$A$2150,N$1,'United Data'!$C$3:$C$2150,$A45,'United Data'!$B$3:$B$2150,"P")&gt;0,1,0)</f>
        <v>0</v>
      </c>
      <c r="O45">
        <f>IF(COUNTIFS('United Data'!$A$3:$A$2150,O$1,'United Data'!$C$3:$C$2150,$A45,'United Data'!$B$3:$B$2150,"P")&gt;0,1,0)</f>
        <v>0</v>
      </c>
      <c r="P45">
        <f>IF(COUNTIFS('United Data'!$A$3:$A$2150,P$1,'United Data'!$C$3:$C$2150,$A45,'United Data'!$B$3:$B$2150,"P")&gt;0,1,0)</f>
        <v>0</v>
      </c>
      <c r="Q45">
        <f>IF(COUNTIFS('United Data'!$A$3:$A$2150,Q$1,'United Data'!$C$3:$C$2150,$A45,'United Data'!$B$3:$B$2150,"P")&gt;0,1,0)</f>
        <v>0</v>
      </c>
      <c r="R45">
        <f>IF(COUNTIFS('United Data'!$A$3:$A$2150,R$1,'United Data'!$C$3:$C$2150,$A45,'United Data'!$B$3:$B$2150,"P")&gt;0,1,0)</f>
        <v>0</v>
      </c>
      <c r="S45">
        <f t="shared" si="0"/>
        <v>2</v>
      </c>
      <c r="T45">
        <f t="shared" si="1"/>
        <v>1</v>
      </c>
    </row>
    <row r="46" spans="1:20" x14ac:dyDescent="0.2">
      <c r="A46" t="s">
        <v>815</v>
      </c>
      <c r="B46">
        <f>IF(COUNTIFS('United Data'!$A$3:$A$2150,B$1,'United Data'!$C$3:$C$2150,$A46,'United Data'!$B$3:$B$2150,"P")&gt;0,1,0)</f>
        <v>0</v>
      </c>
      <c r="C46">
        <f>IF(COUNTIFS('United Data'!$A$3:$A$2150,C$1,'United Data'!$C$3:$C$2150,$A46,'United Data'!$B$3:$B$2150,"P")&gt;0,1,0)</f>
        <v>0</v>
      </c>
      <c r="D46">
        <f>IF(COUNTIFS('United Data'!$A$3:$A$2150,D$1,'United Data'!$C$3:$C$2150,$A46,'United Data'!$B$3:$B$2150,"P")&gt;0,1,0)</f>
        <v>0</v>
      </c>
      <c r="E46">
        <f>IF(COUNTIFS('United Data'!$A$3:$A$2150,E$1,'United Data'!$C$3:$C$2150,$A46,'United Data'!$B$3:$B$2150,"P")&gt;0,1,0)</f>
        <v>1</v>
      </c>
      <c r="F46">
        <f>IF(COUNTIFS('United Data'!$A$3:$A$2150,F$1,'United Data'!$C$3:$C$2150,$A46,'United Data'!$B$3:$B$2150,"P")&gt;0,1,0)</f>
        <v>0</v>
      </c>
      <c r="G46">
        <f>IF(COUNTIFS('United Data'!$A$3:$A$2150,G$1,'United Data'!$C$3:$C$2150,$A46,'United Data'!$B$3:$B$2150,"P")&gt;0,1,0)</f>
        <v>0</v>
      </c>
      <c r="H46">
        <f>IF(COUNTIFS('United Data'!$A$3:$A$2150,H$1,'United Data'!$C$3:$C$2150,$A46,'United Data'!$B$3:$B$2150,"P")&gt;0,1,0)</f>
        <v>0</v>
      </c>
      <c r="I46">
        <f>IF(COUNTIFS('United Data'!$A$3:$A$2150,I$1,'United Data'!$C$3:$C$2150,$A46,'United Data'!$B$3:$B$2150,"P")&gt;0,1,0)</f>
        <v>0</v>
      </c>
      <c r="J46">
        <f>IF(COUNTIFS('United Data'!$A$3:$A$2150,J$1,'United Data'!$C$3:$C$2150,$A46,'United Data'!$B$3:$B$2150,"P")&gt;0,1,0)</f>
        <v>0</v>
      </c>
      <c r="K46">
        <f>IF(COUNTIFS('United Data'!$A$3:$A$2150,K$1,'United Data'!$C$3:$C$2150,$A46,'United Data'!$B$3:$B$2150,"P")&gt;0,1,0)</f>
        <v>0</v>
      </c>
      <c r="L46">
        <f>IF(COUNTIFS('United Data'!$A$3:$A$2150,L$1,'United Data'!$C$3:$C$2150,$A46,'United Data'!$B$3:$B$2150,"P")&gt;0,1,0)</f>
        <v>0</v>
      </c>
      <c r="M46">
        <f>IF(COUNTIFS('United Data'!$A$3:$A$2150,M$1,'United Data'!$C$3:$C$2150,$A46,'United Data'!$B$3:$B$2150,"P")&gt;0,1,0)</f>
        <v>0</v>
      </c>
      <c r="N46">
        <f>IF(COUNTIFS('United Data'!$A$3:$A$2150,N$1,'United Data'!$C$3:$C$2150,$A46,'United Data'!$B$3:$B$2150,"P")&gt;0,1,0)</f>
        <v>0</v>
      </c>
      <c r="O46">
        <f>IF(COUNTIFS('United Data'!$A$3:$A$2150,O$1,'United Data'!$C$3:$C$2150,$A46,'United Data'!$B$3:$B$2150,"P")&gt;0,1,0)</f>
        <v>0</v>
      </c>
      <c r="P46">
        <f>IF(COUNTIFS('United Data'!$A$3:$A$2150,P$1,'United Data'!$C$3:$C$2150,$A46,'United Data'!$B$3:$B$2150,"P")&gt;0,1,0)</f>
        <v>0</v>
      </c>
      <c r="Q46">
        <f>IF(COUNTIFS('United Data'!$A$3:$A$2150,Q$1,'United Data'!$C$3:$C$2150,$A46,'United Data'!$B$3:$B$2150,"P")&gt;0,1,0)</f>
        <v>0</v>
      </c>
      <c r="R46">
        <f>IF(COUNTIFS('United Data'!$A$3:$A$2150,R$1,'United Data'!$C$3:$C$2150,$A46,'United Data'!$B$3:$B$2150,"P")&gt;0,1,0)</f>
        <v>0</v>
      </c>
      <c r="S46">
        <f t="shared" si="0"/>
        <v>1</v>
      </c>
      <c r="T46">
        <f t="shared" si="1"/>
        <v>1</v>
      </c>
    </row>
    <row r="47" spans="1:20" x14ac:dyDescent="0.2">
      <c r="A47" t="s">
        <v>816</v>
      </c>
      <c r="B47">
        <f>IF(COUNTIFS('United Data'!$A$3:$A$2150,B$1,'United Data'!$C$3:$C$2150,$A47,'United Data'!$B$3:$B$2150,"P")&gt;0,1,0)</f>
        <v>0</v>
      </c>
      <c r="C47">
        <f>IF(COUNTIFS('United Data'!$A$3:$A$2150,C$1,'United Data'!$C$3:$C$2150,$A47,'United Data'!$B$3:$B$2150,"P")&gt;0,1,0)</f>
        <v>0</v>
      </c>
      <c r="D47">
        <f>IF(COUNTIFS('United Data'!$A$3:$A$2150,D$1,'United Data'!$C$3:$C$2150,$A47,'United Data'!$B$3:$B$2150,"P")&gt;0,1,0)</f>
        <v>0</v>
      </c>
      <c r="E47">
        <f>IF(COUNTIFS('United Data'!$A$3:$A$2150,E$1,'United Data'!$C$3:$C$2150,$A47,'United Data'!$B$3:$B$2150,"P")&gt;0,1,0)</f>
        <v>1</v>
      </c>
      <c r="F47">
        <f>IF(COUNTIFS('United Data'!$A$3:$A$2150,F$1,'United Data'!$C$3:$C$2150,$A47,'United Data'!$B$3:$B$2150,"P")&gt;0,1,0)</f>
        <v>0</v>
      </c>
      <c r="G47">
        <f>IF(COUNTIFS('United Data'!$A$3:$A$2150,G$1,'United Data'!$C$3:$C$2150,$A47,'United Data'!$B$3:$B$2150,"P")&gt;0,1,0)</f>
        <v>1</v>
      </c>
      <c r="H47">
        <f>IF(COUNTIFS('United Data'!$A$3:$A$2150,H$1,'United Data'!$C$3:$C$2150,$A47,'United Data'!$B$3:$B$2150,"P")&gt;0,1,0)</f>
        <v>0</v>
      </c>
      <c r="I47">
        <f>IF(COUNTIFS('United Data'!$A$3:$A$2150,I$1,'United Data'!$C$3:$C$2150,$A47,'United Data'!$B$3:$B$2150,"P")&gt;0,1,0)</f>
        <v>1</v>
      </c>
      <c r="J47">
        <f>IF(COUNTIFS('United Data'!$A$3:$A$2150,J$1,'United Data'!$C$3:$C$2150,$A47,'United Data'!$B$3:$B$2150,"P")&gt;0,1,0)</f>
        <v>1</v>
      </c>
      <c r="K47">
        <f>IF(COUNTIFS('United Data'!$A$3:$A$2150,K$1,'United Data'!$C$3:$C$2150,$A47,'United Data'!$B$3:$B$2150,"P")&gt;0,1,0)</f>
        <v>1</v>
      </c>
      <c r="L47">
        <f>IF(COUNTIFS('United Data'!$A$3:$A$2150,L$1,'United Data'!$C$3:$C$2150,$A47,'United Data'!$B$3:$B$2150,"P")&gt;0,1,0)</f>
        <v>1</v>
      </c>
      <c r="M47">
        <f>IF(COUNTIFS('United Data'!$A$3:$A$2150,M$1,'United Data'!$C$3:$C$2150,$A47,'United Data'!$B$3:$B$2150,"P")&gt;0,1,0)</f>
        <v>1</v>
      </c>
      <c r="N47">
        <f>IF(COUNTIFS('United Data'!$A$3:$A$2150,N$1,'United Data'!$C$3:$C$2150,$A47,'United Data'!$B$3:$B$2150,"P")&gt;0,1,0)</f>
        <v>0</v>
      </c>
      <c r="O47">
        <f>IF(COUNTIFS('United Data'!$A$3:$A$2150,O$1,'United Data'!$C$3:$C$2150,$A47,'United Data'!$B$3:$B$2150,"P")&gt;0,1,0)</f>
        <v>0</v>
      </c>
      <c r="P47">
        <f>IF(COUNTIFS('United Data'!$A$3:$A$2150,P$1,'United Data'!$C$3:$C$2150,$A47,'United Data'!$B$3:$B$2150,"P")&gt;0,1,0)</f>
        <v>0</v>
      </c>
      <c r="Q47">
        <f>IF(COUNTIFS('United Data'!$A$3:$A$2150,Q$1,'United Data'!$C$3:$C$2150,$A47,'United Data'!$B$3:$B$2150,"P")&gt;0,1,0)</f>
        <v>0</v>
      </c>
      <c r="R47">
        <f>IF(COUNTIFS('United Data'!$A$3:$A$2150,R$1,'United Data'!$C$3:$C$2150,$A47,'United Data'!$B$3:$B$2150,"P")&gt;0,1,0)</f>
        <v>0</v>
      </c>
      <c r="S47">
        <f t="shared" si="0"/>
        <v>7</v>
      </c>
      <c r="T47">
        <f t="shared" si="1"/>
        <v>3</v>
      </c>
    </row>
    <row r="48" spans="1:20" x14ac:dyDescent="0.2">
      <c r="A48" t="s">
        <v>817</v>
      </c>
      <c r="B48">
        <f>IF(COUNTIFS('United Data'!$A$3:$A$2150,B$1,'United Data'!$C$3:$C$2150,$A48,'United Data'!$B$3:$B$2150,"P")&gt;0,1,0)</f>
        <v>0</v>
      </c>
      <c r="C48">
        <f>IF(COUNTIFS('United Data'!$A$3:$A$2150,C$1,'United Data'!$C$3:$C$2150,$A48,'United Data'!$B$3:$B$2150,"P")&gt;0,1,0)</f>
        <v>0</v>
      </c>
      <c r="D48">
        <f>IF(COUNTIFS('United Data'!$A$3:$A$2150,D$1,'United Data'!$C$3:$C$2150,$A48,'United Data'!$B$3:$B$2150,"P")&gt;0,1,0)</f>
        <v>0</v>
      </c>
      <c r="E48">
        <f>IF(COUNTIFS('United Data'!$A$3:$A$2150,E$1,'United Data'!$C$3:$C$2150,$A48,'United Data'!$B$3:$B$2150,"P")&gt;0,1,0)</f>
        <v>1</v>
      </c>
      <c r="F48">
        <f>IF(COUNTIFS('United Data'!$A$3:$A$2150,F$1,'United Data'!$C$3:$C$2150,$A48,'United Data'!$B$3:$B$2150,"P")&gt;0,1,0)</f>
        <v>1</v>
      </c>
      <c r="G48">
        <f>IF(COUNTIFS('United Data'!$A$3:$A$2150,G$1,'United Data'!$C$3:$C$2150,$A48,'United Data'!$B$3:$B$2150,"P")&gt;0,1,0)</f>
        <v>0</v>
      </c>
      <c r="H48">
        <f>IF(COUNTIFS('United Data'!$A$3:$A$2150,H$1,'United Data'!$C$3:$C$2150,$A48,'United Data'!$B$3:$B$2150,"P")&gt;0,1,0)</f>
        <v>0</v>
      </c>
      <c r="I48">
        <f>IF(COUNTIFS('United Data'!$A$3:$A$2150,I$1,'United Data'!$C$3:$C$2150,$A48,'United Data'!$B$3:$B$2150,"P")&gt;0,1,0)</f>
        <v>0</v>
      </c>
      <c r="J48">
        <f>IF(COUNTIFS('United Data'!$A$3:$A$2150,J$1,'United Data'!$C$3:$C$2150,$A48,'United Data'!$B$3:$B$2150,"P")&gt;0,1,0)</f>
        <v>0</v>
      </c>
      <c r="K48">
        <f>IF(COUNTIFS('United Data'!$A$3:$A$2150,K$1,'United Data'!$C$3:$C$2150,$A48,'United Data'!$B$3:$B$2150,"P")&gt;0,1,0)</f>
        <v>0</v>
      </c>
      <c r="L48">
        <f>IF(COUNTIFS('United Data'!$A$3:$A$2150,L$1,'United Data'!$C$3:$C$2150,$A48,'United Data'!$B$3:$B$2150,"P")&gt;0,1,0)</f>
        <v>0</v>
      </c>
      <c r="M48">
        <f>IF(COUNTIFS('United Data'!$A$3:$A$2150,M$1,'United Data'!$C$3:$C$2150,$A48,'United Data'!$B$3:$B$2150,"P")&gt;0,1,0)</f>
        <v>0</v>
      </c>
      <c r="N48">
        <f>IF(COUNTIFS('United Data'!$A$3:$A$2150,N$1,'United Data'!$C$3:$C$2150,$A48,'United Data'!$B$3:$B$2150,"P")&gt;0,1,0)</f>
        <v>0</v>
      </c>
      <c r="O48">
        <f>IF(COUNTIFS('United Data'!$A$3:$A$2150,O$1,'United Data'!$C$3:$C$2150,$A48,'United Data'!$B$3:$B$2150,"P")&gt;0,1,0)</f>
        <v>0</v>
      </c>
      <c r="P48">
        <f>IF(COUNTIFS('United Data'!$A$3:$A$2150,P$1,'United Data'!$C$3:$C$2150,$A48,'United Data'!$B$3:$B$2150,"P")&gt;0,1,0)</f>
        <v>0</v>
      </c>
      <c r="Q48">
        <f>IF(COUNTIFS('United Data'!$A$3:$A$2150,Q$1,'United Data'!$C$3:$C$2150,$A48,'United Data'!$B$3:$B$2150,"P")&gt;0,1,0)</f>
        <v>0</v>
      </c>
      <c r="R48">
        <f>IF(COUNTIFS('United Data'!$A$3:$A$2150,R$1,'United Data'!$C$3:$C$2150,$A48,'United Data'!$B$3:$B$2150,"P")&gt;0,1,0)</f>
        <v>0</v>
      </c>
      <c r="S48">
        <f t="shared" si="0"/>
        <v>2</v>
      </c>
      <c r="T48">
        <f t="shared" si="1"/>
        <v>1</v>
      </c>
    </row>
    <row r="49" spans="1:20" x14ac:dyDescent="0.2">
      <c r="A49" t="s">
        <v>818</v>
      </c>
      <c r="B49">
        <f>IF(COUNTIFS('United Data'!$A$3:$A$2150,B$1,'United Data'!$C$3:$C$2150,$A49,'United Data'!$B$3:$B$2150,"P")&gt;0,1,0)</f>
        <v>0</v>
      </c>
      <c r="C49">
        <f>IF(COUNTIFS('United Data'!$A$3:$A$2150,C$1,'United Data'!$C$3:$C$2150,$A49,'United Data'!$B$3:$B$2150,"P")&gt;0,1,0)</f>
        <v>0</v>
      </c>
      <c r="D49">
        <f>IF(COUNTIFS('United Data'!$A$3:$A$2150,D$1,'United Data'!$C$3:$C$2150,$A49,'United Data'!$B$3:$B$2150,"P")&gt;0,1,0)</f>
        <v>0</v>
      </c>
      <c r="E49">
        <f>IF(COUNTIFS('United Data'!$A$3:$A$2150,E$1,'United Data'!$C$3:$C$2150,$A49,'United Data'!$B$3:$B$2150,"P")&gt;0,1,0)</f>
        <v>1</v>
      </c>
      <c r="F49">
        <f>IF(COUNTIFS('United Data'!$A$3:$A$2150,F$1,'United Data'!$C$3:$C$2150,$A49,'United Data'!$B$3:$B$2150,"P")&gt;0,1,0)</f>
        <v>1</v>
      </c>
      <c r="G49">
        <f>IF(COUNTIFS('United Data'!$A$3:$A$2150,G$1,'United Data'!$C$3:$C$2150,$A49,'United Data'!$B$3:$B$2150,"P")&gt;0,1,0)</f>
        <v>1</v>
      </c>
      <c r="H49">
        <f>IF(COUNTIFS('United Data'!$A$3:$A$2150,H$1,'United Data'!$C$3:$C$2150,$A49,'United Data'!$B$3:$B$2150,"P")&gt;0,1,0)</f>
        <v>1</v>
      </c>
      <c r="I49">
        <f>IF(COUNTIFS('United Data'!$A$3:$A$2150,I$1,'United Data'!$C$3:$C$2150,$A49,'United Data'!$B$3:$B$2150,"P")&gt;0,1,0)</f>
        <v>0</v>
      </c>
      <c r="J49">
        <f>IF(COUNTIFS('United Data'!$A$3:$A$2150,J$1,'United Data'!$C$3:$C$2150,$A49,'United Data'!$B$3:$B$2150,"P")&gt;0,1,0)</f>
        <v>0</v>
      </c>
      <c r="K49">
        <f>IF(COUNTIFS('United Data'!$A$3:$A$2150,K$1,'United Data'!$C$3:$C$2150,$A49,'United Data'!$B$3:$B$2150,"P")&gt;0,1,0)</f>
        <v>1</v>
      </c>
      <c r="L49">
        <f>IF(COUNTIFS('United Data'!$A$3:$A$2150,L$1,'United Data'!$C$3:$C$2150,$A49,'United Data'!$B$3:$B$2150,"P")&gt;0,1,0)</f>
        <v>0</v>
      </c>
      <c r="M49">
        <f>IF(COUNTIFS('United Data'!$A$3:$A$2150,M$1,'United Data'!$C$3:$C$2150,$A49,'United Data'!$B$3:$B$2150,"P")&gt;0,1,0)</f>
        <v>0</v>
      </c>
      <c r="N49">
        <f>IF(COUNTIFS('United Data'!$A$3:$A$2150,N$1,'United Data'!$C$3:$C$2150,$A49,'United Data'!$B$3:$B$2150,"P")&gt;0,1,0)</f>
        <v>0</v>
      </c>
      <c r="O49">
        <f>IF(COUNTIFS('United Data'!$A$3:$A$2150,O$1,'United Data'!$C$3:$C$2150,$A49,'United Data'!$B$3:$B$2150,"P")&gt;0,1,0)</f>
        <v>0</v>
      </c>
      <c r="P49">
        <f>IF(COUNTIFS('United Data'!$A$3:$A$2150,P$1,'United Data'!$C$3:$C$2150,$A49,'United Data'!$B$3:$B$2150,"P")&gt;0,1,0)</f>
        <v>0</v>
      </c>
      <c r="Q49">
        <f>IF(COUNTIFS('United Data'!$A$3:$A$2150,Q$1,'United Data'!$C$3:$C$2150,$A49,'United Data'!$B$3:$B$2150,"P")&gt;0,1,0)</f>
        <v>0</v>
      </c>
      <c r="R49">
        <f>IF(COUNTIFS('United Data'!$A$3:$A$2150,R$1,'United Data'!$C$3:$C$2150,$A49,'United Data'!$B$3:$B$2150,"P")&gt;0,1,0)</f>
        <v>0</v>
      </c>
      <c r="S49">
        <f t="shared" si="0"/>
        <v>5</v>
      </c>
      <c r="T49">
        <f t="shared" si="1"/>
        <v>2</v>
      </c>
    </row>
    <row r="50" spans="1:20" x14ac:dyDescent="0.2">
      <c r="A50" t="s">
        <v>819</v>
      </c>
      <c r="B50">
        <f>IF(COUNTIFS('United Data'!$A$3:$A$2150,B$1,'United Data'!$C$3:$C$2150,$A50,'United Data'!$B$3:$B$2150,"P")&gt;0,1,0)</f>
        <v>0</v>
      </c>
      <c r="C50">
        <f>IF(COUNTIFS('United Data'!$A$3:$A$2150,C$1,'United Data'!$C$3:$C$2150,$A50,'United Data'!$B$3:$B$2150,"P")&gt;0,1,0)</f>
        <v>0</v>
      </c>
      <c r="D50">
        <f>IF(COUNTIFS('United Data'!$A$3:$A$2150,D$1,'United Data'!$C$3:$C$2150,$A50,'United Data'!$B$3:$B$2150,"P")&gt;0,1,0)</f>
        <v>0</v>
      </c>
      <c r="E50">
        <f>IF(COUNTIFS('United Data'!$A$3:$A$2150,E$1,'United Data'!$C$3:$C$2150,$A50,'United Data'!$B$3:$B$2150,"P")&gt;0,1,0)</f>
        <v>1</v>
      </c>
      <c r="F50">
        <f>IF(COUNTIFS('United Data'!$A$3:$A$2150,F$1,'United Data'!$C$3:$C$2150,$A50,'United Data'!$B$3:$B$2150,"P")&gt;0,1,0)</f>
        <v>0</v>
      </c>
      <c r="G50">
        <f>IF(COUNTIFS('United Data'!$A$3:$A$2150,G$1,'United Data'!$C$3:$C$2150,$A50,'United Data'!$B$3:$B$2150,"P")&gt;0,1,0)</f>
        <v>0</v>
      </c>
      <c r="H50">
        <f>IF(COUNTIFS('United Data'!$A$3:$A$2150,H$1,'United Data'!$C$3:$C$2150,$A50,'United Data'!$B$3:$B$2150,"P")&gt;0,1,0)</f>
        <v>1</v>
      </c>
      <c r="I50">
        <f>IF(COUNTIFS('United Data'!$A$3:$A$2150,I$1,'United Data'!$C$3:$C$2150,$A50,'United Data'!$B$3:$B$2150,"P")&gt;0,1,0)</f>
        <v>0</v>
      </c>
      <c r="J50">
        <f>IF(COUNTIFS('United Data'!$A$3:$A$2150,J$1,'United Data'!$C$3:$C$2150,$A50,'United Data'!$B$3:$B$2150,"P")&gt;0,1,0)</f>
        <v>1</v>
      </c>
      <c r="K50">
        <f>IF(COUNTIFS('United Data'!$A$3:$A$2150,K$1,'United Data'!$C$3:$C$2150,$A50,'United Data'!$B$3:$B$2150,"P")&gt;0,1,0)</f>
        <v>1</v>
      </c>
      <c r="L50">
        <f>IF(COUNTIFS('United Data'!$A$3:$A$2150,L$1,'United Data'!$C$3:$C$2150,$A50,'United Data'!$B$3:$B$2150,"P")&gt;0,1,0)</f>
        <v>1</v>
      </c>
      <c r="M50">
        <f>IF(COUNTIFS('United Data'!$A$3:$A$2150,M$1,'United Data'!$C$3:$C$2150,$A50,'United Data'!$B$3:$B$2150,"P")&gt;0,1,0)</f>
        <v>1</v>
      </c>
      <c r="N50">
        <f>IF(COUNTIFS('United Data'!$A$3:$A$2150,N$1,'United Data'!$C$3:$C$2150,$A50,'United Data'!$B$3:$B$2150,"P")&gt;0,1,0)</f>
        <v>0</v>
      </c>
      <c r="O50">
        <f>IF(COUNTIFS('United Data'!$A$3:$A$2150,O$1,'United Data'!$C$3:$C$2150,$A50,'United Data'!$B$3:$B$2150,"P")&gt;0,1,0)</f>
        <v>0</v>
      </c>
      <c r="P50">
        <f>IF(COUNTIFS('United Data'!$A$3:$A$2150,P$1,'United Data'!$C$3:$C$2150,$A50,'United Data'!$B$3:$B$2150,"P")&gt;0,1,0)</f>
        <v>0</v>
      </c>
      <c r="Q50">
        <f>IF(COUNTIFS('United Data'!$A$3:$A$2150,Q$1,'United Data'!$C$3:$C$2150,$A50,'United Data'!$B$3:$B$2150,"P")&gt;0,1,0)</f>
        <v>0</v>
      </c>
      <c r="R50">
        <f>IF(COUNTIFS('United Data'!$A$3:$A$2150,R$1,'United Data'!$C$3:$C$2150,$A50,'United Data'!$B$3:$B$2150,"P")&gt;0,1,0)</f>
        <v>0</v>
      </c>
      <c r="S50">
        <f t="shared" si="0"/>
        <v>6</v>
      </c>
      <c r="T50">
        <f t="shared" si="1"/>
        <v>3</v>
      </c>
    </row>
    <row r="51" spans="1:20" x14ac:dyDescent="0.2">
      <c r="A51" t="s">
        <v>820</v>
      </c>
      <c r="B51">
        <f>IF(COUNTIFS('United Data'!$A$3:$A$2150,B$1,'United Data'!$C$3:$C$2150,$A51,'United Data'!$B$3:$B$2150,"P")&gt;0,1,0)</f>
        <v>0</v>
      </c>
      <c r="C51">
        <f>IF(COUNTIFS('United Data'!$A$3:$A$2150,C$1,'United Data'!$C$3:$C$2150,$A51,'United Data'!$B$3:$B$2150,"P")&gt;0,1,0)</f>
        <v>0</v>
      </c>
      <c r="D51">
        <f>IF(COUNTIFS('United Data'!$A$3:$A$2150,D$1,'United Data'!$C$3:$C$2150,$A51,'United Data'!$B$3:$B$2150,"P")&gt;0,1,0)</f>
        <v>0</v>
      </c>
      <c r="E51">
        <f>IF(COUNTIFS('United Data'!$A$3:$A$2150,E$1,'United Data'!$C$3:$C$2150,$A51,'United Data'!$B$3:$B$2150,"P")&gt;0,1,0)</f>
        <v>1</v>
      </c>
      <c r="F51">
        <f>IF(COUNTIFS('United Data'!$A$3:$A$2150,F$1,'United Data'!$C$3:$C$2150,$A51,'United Data'!$B$3:$B$2150,"P")&gt;0,1,0)</f>
        <v>0</v>
      </c>
      <c r="G51">
        <f>IF(COUNTIFS('United Data'!$A$3:$A$2150,G$1,'United Data'!$C$3:$C$2150,$A51,'United Data'!$B$3:$B$2150,"P")&gt;0,1,0)</f>
        <v>1</v>
      </c>
      <c r="H51">
        <f>IF(COUNTIFS('United Data'!$A$3:$A$2150,H$1,'United Data'!$C$3:$C$2150,$A51,'United Data'!$B$3:$B$2150,"P")&gt;0,1,0)</f>
        <v>1</v>
      </c>
      <c r="I51">
        <f>IF(COUNTIFS('United Data'!$A$3:$A$2150,I$1,'United Data'!$C$3:$C$2150,$A51,'United Data'!$B$3:$B$2150,"P")&gt;0,1,0)</f>
        <v>1</v>
      </c>
      <c r="J51">
        <f>IF(COUNTIFS('United Data'!$A$3:$A$2150,J$1,'United Data'!$C$3:$C$2150,$A51,'United Data'!$B$3:$B$2150,"P")&gt;0,1,0)</f>
        <v>1</v>
      </c>
      <c r="K51">
        <f>IF(COUNTIFS('United Data'!$A$3:$A$2150,K$1,'United Data'!$C$3:$C$2150,$A51,'United Data'!$B$3:$B$2150,"P")&gt;0,1,0)</f>
        <v>1</v>
      </c>
      <c r="L51">
        <f>IF(COUNTIFS('United Data'!$A$3:$A$2150,L$1,'United Data'!$C$3:$C$2150,$A51,'United Data'!$B$3:$B$2150,"P")&gt;0,1,0)</f>
        <v>1</v>
      </c>
      <c r="M51">
        <f>IF(COUNTIFS('United Data'!$A$3:$A$2150,M$1,'United Data'!$C$3:$C$2150,$A51,'United Data'!$B$3:$B$2150,"P")&gt;0,1,0)</f>
        <v>1</v>
      </c>
      <c r="N51">
        <f>IF(COUNTIFS('United Data'!$A$3:$A$2150,N$1,'United Data'!$C$3:$C$2150,$A51,'United Data'!$B$3:$B$2150,"P")&gt;0,1,0)</f>
        <v>1</v>
      </c>
      <c r="O51">
        <f>IF(COUNTIFS('United Data'!$A$3:$A$2150,O$1,'United Data'!$C$3:$C$2150,$A51,'United Data'!$B$3:$B$2150,"P")&gt;0,1,0)</f>
        <v>1</v>
      </c>
      <c r="P51">
        <f>IF(COUNTIFS('United Data'!$A$3:$A$2150,P$1,'United Data'!$C$3:$C$2150,$A51,'United Data'!$B$3:$B$2150,"P")&gt;0,1,0)</f>
        <v>0</v>
      </c>
      <c r="Q51">
        <f>IF(COUNTIFS('United Data'!$A$3:$A$2150,Q$1,'United Data'!$C$3:$C$2150,$A51,'United Data'!$B$3:$B$2150,"P")&gt;0,1,0)</f>
        <v>0</v>
      </c>
      <c r="R51">
        <f>IF(COUNTIFS('United Data'!$A$3:$A$2150,R$1,'United Data'!$C$3:$C$2150,$A51,'United Data'!$B$3:$B$2150,"P")&gt;0,1,0)</f>
        <v>0</v>
      </c>
      <c r="S51">
        <f t="shared" si="0"/>
        <v>10</v>
      </c>
      <c r="T51">
        <f t="shared" si="1"/>
        <v>2</v>
      </c>
    </row>
    <row r="52" spans="1:20" x14ac:dyDescent="0.2">
      <c r="A52" t="s">
        <v>821</v>
      </c>
      <c r="B52">
        <f>IF(COUNTIFS('United Data'!$A$3:$A$2150,B$1,'United Data'!$C$3:$C$2150,$A52,'United Data'!$B$3:$B$2150,"P")&gt;0,1,0)</f>
        <v>0</v>
      </c>
      <c r="C52">
        <f>IF(COUNTIFS('United Data'!$A$3:$A$2150,C$1,'United Data'!$C$3:$C$2150,$A52,'United Data'!$B$3:$B$2150,"P")&gt;0,1,0)</f>
        <v>0</v>
      </c>
      <c r="D52">
        <f>IF(COUNTIFS('United Data'!$A$3:$A$2150,D$1,'United Data'!$C$3:$C$2150,$A52,'United Data'!$B$3:$B$2150,"P")&gt;0,1,0)</f>
        <v>0</v>
      </c>
      <c r="E52">
        <f>IF(COUNTIFS('United Data'!$A$3:$A$2150,E$1,'United Data'!$C$3:$C$2150,$A52,'United Data'!$B$3:$B$2150,"P")&gt;0,1,0)</f>
        <v>1</v>
      </c>
      <c r="F52">
        <f>IF(COUNTIFS('United Data'!$A$3:$A$2150,F$1,'United Data'!$C$3:$C$2150,$A52,'United Data'!$B$3:$B$2150,"P")&gt;0,1,0)</f>
        <v>0</v>
      </c>
      <c r="G52">
        <f>IF(COUNTIFS('United Data'!$A$3:$A$2150,G$1,'United Data'!$C$3:$C$2150,$A52,'United Data'!$B$3:$B$2150,"P")&gt;0,1,0)</f>
        <v>1</v>
      </c>
      <c r="H52">
        <f>IF(COUNTIFS('United Data'!$A$3:$A$2150,H$1,'United Data'!$C$3:$C$2150,$A52,'United Data'!$B$3:$B$2150,"P")&gt;0,1,0)</f>
        <v>1</v>
      </c>
      <c r="I52">
        <f>IF(COUNTIFS('United Data'!$A$3:$A$2150,I$1,'United Data'!$C$3:$C$2150,$A52,'United Data'!$B$3:$B$2150,"P")&gt;0,1,0)</f>
        <v>1</v>
      </c>
      <c r="J52">
        <f>IF(COUNTIFS('United Data'!$A$3:$A$2150,J$1,'United Data'!$C$3:$C$2150,$A52,'United Data'!$B$3:$B$2150,"P")&gt;0,1,0)</f>
        <v>0</v>
      </c>
      <c r="K52">
        <f>IF(COUNTIFS('United Data'!$A$3:$A$2150,K$1,'United Data'!$C$3:$C$2150,$A52,'United Data'!$B$3:$B$2150,"P")&gt;0,1,0)</f>
        <v>1</v>
      </c>
      <c r="L52">
        <f>IF(COUNTIFS('United Data'!$A$3:$A$2150,L$1,'United Data'!$C$3:$C$2150,$A52,'United Data'!$B$3:$B$2150,"P")&gt;0,1,0)</f>
        <v>0</v>
      </c>
      <c r="M52">
        <f>IF(COUNTIFS('United Data'!$A$3:$A$2150,M$1,'United Data'!$C$3:$C$2150,$A52,'United Data'!$B$3:$B$2150,"P")&gt;0,1,0)</f>
        <v>0</v>
      </c>
      <c r="N52">
        <f>IF(COUNTIFS('United Data'!$A$3:$A$2150,N$1,'United Data'!$C$3:$C$2150,$A52,'United Data'!$B$3:$B$2150,"P")&gt;0,1,0)</f>
        <v>0</v>
      </c>
      <c r="O52">
        <f>IF(COUNTIFS('United Data'!$A$3:$A$2150,O$1,'United Data'!$C$3:$C$2150,$A52,'United Data'!$B$3:$B$2150,"P")&gt;0,1,0)</f>
        <v>0</v>
      </c>
      <c r="P52">
        <f>IF(COUNTIFS('United Data'!$A$3:$A$2150,P$1,'United Data'!$C$3:$C$2150,$A52,'United Data'!$B$3:$B$2150,"P")&gt;0,1,0)</f>
        <v>0</v>
      </c>
      <c r="Q52">
        <f>IF(COUNTIFS('United Data'!$A$3:$A$2150,Q$1,'United Data'!$C$3:$C$2150,$A52,'United Data'!$B$3:$B$2150,"P")&gt;0,1,0)</f>
        <v>0</v>
      </c>
      <c r="R52">
        <f>IF(COUNTIFS('United Data'!$A$3:$A$2150,R$1,'United Data'!$C$3:$C$2150,$A52,'United Data'!$B$3:$B$2150,"P")&gt;0,1,0)</f>
        <v>0</v>
      </c>
      <c r="S52">
        <f t="shared" si="0"/>
        <v>5</v>
      </c>
      <c r="T52">
        <f t="shared" si="1"/>
        <v>3</v>
      </c>
    </row>
    <row r="53" spans="1:20" x14ac:dyDescent="0.2">
      <c r="A53" t="s">
        <v>822</v>
      </c>
      <c r="B53">
        <f>IF(COUNTIFS('United Data'!$A$3:$A$2150,B$1,'United Data'!$C$3:$C$2150,$A53,'United Data'!$B$3:$B$2150,"P")&gt;0,1,0)</f>
        <v>0</v>
      </c>
      <c r="C53">
        <f>IF(COUNTIFS('United Data'!$A$3:$A$2150,C$1,'United Data'!$C$3:$C$2150,$A53,'United Data'!$B$3:$B$2150,"P")&gt;0,1,0)</f>
        <v>0</v>
      </c>
      <c r="D53">
        <f>IF(COUNTIFS('United Data'!$A$3:$A$2150,D$1,'United Data'!$C$3:$C$2150,$A53,'United Data'!$B$3:$B$2150,"P")&gt;0,1,0)</f>
        <v>0</v>
      </c>
      <c r="E53">
        <f>IF(COUNTIFS('United Data'!$A$3:$A$2150,E$1,'United Data'!$C$3:$C$2150,$A53,'United Data'!$B$3:$B$2150,"P")&gt;0,1,0)</f>
        <v>1</v>
      </c>
      <c r="F53">
        <f>IF(COUNTIFS('United Data'!$A$3:$A$2150,F$1,'United Data'!$C$3:$C$2150,$A53,'United Data'!$B$3:$B$2150,"P")&gt;0,1,0)</f>
        <v>0</v>
      </c>
      <c r="G53">
        <f>IF(COUNTIFS('United Data'!$A$3:$A$2150,G$1,'United Data'!$C$3:$C$2150,$A53,'United Data'!$B$3:$B$2150,"P")&gt;0,1,0)</f>
        <v>1</v>
      </c>
      <c r="H53">
        <f>IF(COUNTIFS('United Data'!$A$3:$A$2150,H$1,'United Data'!$C$3:$C$2150,$A53,'United Data'!$B$3:$B$2150,"P")&gt;0,1,0)</f>
        <v>0</v>
      </c>
      <c r="I53">
        <f>IF(COUNTIFS('United Data'!$A$3:$A$2150,I$1,'United Data'!$C$3:$C$2150,$A53,'United Data'!$B$3:$B$2150,"P")&gt;0,1,0)</f>
        <v>1</v>
      </c>
      <c r="J53">
        <f>IF(COUNTIFS('United Data'!$A$3:$A$2150,J$1,'United Data'!$C$3:$C$2150,$A53,'United Data'!$B$3:$B$2150,"P")&gt;0,1,0)</f>
        <v>1</v>
      </c>
      <c r="K53">
        <f>IF(COUNTIFS('United Data'!$A$3:$A$2150,K$1,'United Data'!$C$3:$C$2150,$A53,'United Data'!$B$3:$B$2150,"P")&gt;0,1,0)</f>
        <v>1</v>
      </c>
      <c r="L53">
        <f>IF(COUNTIFS('United Data'!$A$3:$A$2150,L$1,'United Data'!$C$3:$C$2150,$A53,'United Data'!$B$3:$B$2150,"P")&gt;0,1,0)</f>
        <v>1</v>
      </c>
      <c r="M53">
        <f>IF(COUNTIFS('United Data'!$A$3:$A$2150,M$1,'United Data'!$C$3:$C$2150,$A53,'United Data'!$B$3:$B$2150,"P")&gt;0,1,0)</f>
        <v>1</v>
      </c>
      <c r="N53">
        <f>IF(COUNTIFS('United Data'!$A$3:$A$2150,N$1,'United Data'!$C$3:$C$2150,$A53,'United Data'!$B$3:$B$2150,"P")&gt;0,1,0)</f>
        <v>1</v>
      </c>
      <c r="O53">
        <f>IF(COUNTIFS('United Data'!$A$3:$A$2150,O$1,'United Data'!$C$3:$C$2150,$A53,'United Data'!$B$3:$B$2150,"P")&gt;0,1,0)</f>
        <v>0</v>
      </c>
      <c r="P53">
        <f>IF(COUNTIFS('United Data'!$A$3:$A$2150,P$1,'United Data'!$C$3:$C$2150,$A53,'United Data'!$B$3:$B$2150,"P")&gt;0,1,0)</f>
        <v>0</v>
      </c>
      <c r="Q53">
        <f>IF(COUNTIFS('United Data'!$A$3:$A$2150,Q$1,'United Data'!$C$3:$C$2150,$A53,'United Data'!$B$3:$B$2150,"P")&gt;0,1,0)</f>
        <v>0</v>
      </c>
      <c r="R53">
        <f>IF(COUNTIFS('United Data'!$A$3:$A$2150,R$1,'United Data'!$C$3:$C$2150,$A53,'United Data'!$B$3:$B$2150,"P")&gt;0,1,0)</f>
        <v>0</v>
      </c>
      <c r="S53">
        <f t="shared" si="0"/>
        <v>8</v>
      </c>
      <c r="T53">
        <f t="shared" si="1"/>
        <v>3</v>
      </c>
    </row>
    <row r="54" spans="1:20" x14ac:dyDescent="0.2">
      <c r="A54" t="s">
        <v>823</v>
      </c>
      <c r="B54">
        <f>IF(COUNTIFS('United Data'!$A$3:$A$2150,B$1,'United Data'!$C$3:$C$2150,$A54,'United Data'!$B$3:$B$2150,"P")&gt;0,1,0)</f>
        <v>0</v>
      </c>
      <c r="C54">
        <f>IF(COUNTIFS('United Data'!$A$3:$A$2150,C$1,'United Data'!$C$3:$C$2150,$A54,'United Data'!$B$3:$B$2150,"P")&gt;0,1,0)</f>
        <v>0</v>
      </c>
      <c r="D54">
        <f>IF(COUNTIFS('United Data'!$A$3:$A$2150,D$1,'United Data'!$C$3:$C$2150,$A54,'United Data'!$B$3:$B$2150,"P")&gt;0,1,0)</f>
        <v>0</v>
      </c>
      <c r="E54">
        <f>IF(COUNTIFS('United Data'!$A$3:$A$2150,E$1,'United Data'!$C$3:$C$2150,$A54,'United Data'!$B$3:$B$2150,"P")&gt;0,1,0)</f>
        <v>1</v>
      </c>
      <c r="F54">
        <f>IF(COUNTIFS('United Data'!$A$3:$A$2150,F$1,'United Data'!$C$3:$C$2150,$A54,'United Data'!$B$3:$B$2150,"P")&gt;0,1,0)</f>
        <v>0</v>
      </c>
      <c r="G54">
        <f>IF(COUNTIFS('United Data'!$A$3:$A$2150,G$1,'United Data'!$C$3:$C$2150,$A54,'United Data'!$B$3:$B$2150,"P")&gt;0,1,0)</f>
        <v>0</v>
      </c>
      <c r="H54">
        <f>IF(COUNTIFS('United Data'!$A$3:$A$2150,H$1,'United Data'!$C$3:$C$2150,$A54,'United Data'!$B$3:$B$2150,"P")&gt;0,1,0)</f>
        <v>0</v>
      </c>
      <c r="I54">
        <f>IF(COUNTIFS('United Data'!$A$3:$A$2150,I$1,'United Data'!$C$3:$C$2150,$A54,'United Data'!$B$3:$B$2150,"P")&gt;0,1,0)</f>
        <v>0</v>
      </c>
      <c r="J54">
        <f>IF(COUNTIFS('United Data'!$A$3:$A$2150,J$1,'United Data'!$C$3:$C$2150,$A54,'United Data'!$B$3:$B$2150,"P")&gt;0,1,0)</f>
        <v>0</v>
      </c>
      <c r="K54">
        <f>IF(COUNTIFS('United Data'!$A$3:$A$2150,K$1,'United Data'!$C$3:$C$2150,$A54,'United Data'!$B$3:$B$2150,"P")&gt;0,1,0)</f>
        <v>0</v>
      </c>
      <c r="L54">
        <f>IF(COUNTIFS('United Data'!$A$3:$A$2150,L$1,'United Data'!$C$3:$C$2150,$A54,'United Data'!$B$3:$B$2150,"P")&gt;0,1,0)</f>
        <v>0</v>
      </c>
      <c r="M54">
        <f>IF(COUNTIFS('United Data'!$A$3:$A$2150,M$1,'United Data'!$C$3:$C$2150,$A54,'United Data'!$B$3:$B$2150,"P")&gt;0,1,0)</f>
        <v>0</v>
      </c>
      <c r="N54">
        <f>IF(COUNTIFS('United Data'!$A$3:$A$2150,N$1,'United Data'!$C$3:$C$2150,$A54,'United Data'!$B$3:$B$2150,"P")&gt;0,1,0)</f>
        <v>0</v>
      </c>
      <c r="O54">
        <f>IF(COUNTIFS('United Data'!$A$3:$A$2150,O$1,'United Data'!$C$3:$C$2150,$A54,'United Data'!$B$3:$B$2150,"P")&gt;0,1,0)</f>
        <v>0</v>
      </c>
      <c r="P54">
        <f>IF(COUNTIFS('United Data'!$A$3:$A$2150,P$1,'United Data'!$C$3:$C$2150,$A54,'United Data'!$B$3:$B$2150,"P")&gt;0,1,0)</f>
        <v>0</v>
      </c>
      <c r="Q54">
        <f>IF(COUNTIFS('United Data'!$A$3:$A$2150,Q$1,'United Data'!$C$3:$C$2150,$A54,'United Data'!$B$3:$B$2150,"P")&gt;0,1,0)</f>
        <v>0</v>
      </c>
      <c r="R54">
        <f>IF(COUNTIFS('United Data'!$A$3:$A$2150,R$1,'United Data'!$C$3:$C$2150,$A54,'United Data'!$B$3:$B$2150,"P")&gt;0,1,0)</f>
        <v>0</v>
      </c>
      <c r="S54">
        <f t="shared" si="0"/>
        <v>1</v>
      </c>
      <c r="T54">
        <f t="shared" si="1"/>
        <v>1</v>
      </c>
    </row>
    <row r="55" spans="1:20" x14ac:dyDescent="0.2">
      <c r="A55" t="s">
        <v>824</v>
      </c>
      <c r="B55">
        <f>IF(COUNTIFS('United Data'!$A$3:$A$2150,B$1,'United Data'!$C$3:$C$2150,$A55,'United Data'!$B$3:$B$2150,"P")&gt;0,1,0)</f>
        <v>0</v>
      </c>
      <c r="C55">
        <f>IF(COUNTIFS('United Data'!$A$3:$A$2150,C$1,'United Data'!$C$3:$C$2150,$A55,'United Data'!$B$3:$B$2150,"P")&gt;0,1,0)</f>
        <v>0</v>
      </c>
      <c r="D55">
        <f>IF(COUNTIFS('United Data'!$A$3:$A$2150,D$1,'United Data'!$C$3:$C$2150,$A55,'United Data'!$B$3:$B$2150,"P")&gt;0,1,0)</f>
        <v>0</v>
      </c>
      <c r="E55">
        <f>IF(COUNTIFS('United Data'!$A$3:$A$2150,E$1,'United Data'!$C$3:$C$2150,$A55,'United Data'!$B$3:$B$2150,"P")&gt;0,1,0)</f>
        <v>1</v>
      </c>
      <c r="F55">
        <f>IF(COUNTIFS('United Data'!$A$3:$A$2150,F$1,'United Data'!$C$3:$C$2150,$A55,'United Data'!$B$3:$B$2150,"P")&gt;0,1,0)</f>
        <v>0</v>
      </c>
      <c r="G55">
        <f>IF(COUNTIFS('United Data'!$A$3:$A$2150,G$1,'United Data'!$C$3:$C$2150,$A55,'United Data'!$B$3:$B$2150,"P")&gt;0,1,0)</f>
        <v>1</v>
      </c>
      <c r="H55">
        <f>IF(COUNTIFS('United Data'!$A$3:$A$2150,H$1,'United Data'!$C$3:$C$2150,$A55,'United Data'!$B$3:$B$2150,"P")&gt;0,1,0)</f>
        <v>0</v>
      </c>
      <c r="I55">
        <f>IF(COUNTIFS('United Data'!$A$3:$A$2150,I$1,'United Data'!$C$3:$C$2150,$A55,'United Data'!$B$3:$B$2150,"P")&gt;0,1,0)</f>
        <v>1</v>
      </c>
      <c r="J55">
        <f>IF(COUNTIFS('United Data'!$A$3:$A$2150,J$1,'United Data'!$C$3:$C$2150,$A55,'United Data'!$B$3:$B$2150,"P")&gt;0,1,0)</f>
        <v>1</v>
      </c>
      <c r="K55">
        <f>IF(COUNTIFS('United Data'!$A$3:$A$2150,K$1,'United Data'!$C$3:$C$2150,$A55,'United Data'!$B$3:$B$2150,"P")&gt;0,1,0)</f>
        <v>1</v>
      </c>
      <c r="L55">
        <f>IF(COUNTIFS('United Data'!$A$3:$A$2150,L$1,'United Data'!$C$3:$C$2150,$A55,'United Data'!$B$3:$B$2150,"P")&gt;0,1,0)</f>
        <v>0</v>
      </c>
      <c r="M55">
        <f>IF(COUNTIFS('United Data'!$A$3:$A$2150,M$1,'United Data'!$C$3:$C$2150,$A55,'United Data'!$B$3:$B$2150,"P")&gt;0,1,0)</f>
        <v>1</v>
      </c>
      <c r="N55">
        <f>IF(COUNTIFS('United Data'!$A$3:$A$2150,N$1,'United Data'!$C$3:$C$2150,$A55,'United Data'!$B$3:$B$2150,"P")&gt;0,1,0)</f>
        <v>1</v>
      </c>
      <c r="O55">
        <f>IF(COUNTIFS('United Data'!$A$3:$A$2150,O$1,'United Data'!$C$3:$C$2150,$A55,'United Data'!$B$3:$B$2150,"P")&gt;0,1,0)</f>
        <v>0</v>
      </c>
      <c r="P55">
        <f>IF(COUNTIFS('United Data'!$A$3:$A$2150,P$1,'United Data'!$C$3:$C$2150,$A55,'United Data'!$B$3:$B$2150,"P")&gt;0,1,0)</f>
        <v>0</v>
      </c>
      <c r="Q55">
        <f>IF(COUNTIFS('United Data'!$A$3:$A$2150,Q$1,'United Data'!$C$3:$C$2150,$A55,'United Data'!$B$3:$B$2150,"P")&gt;0,1,0)</f>
        <v>0</v>
      </c>
      <c r="R55">
        <f>IF(COUNTIFS('United Data'!$A$3:$A$2150,R$1,'United Data'!$C$3:$C$2150,$A55,'United Data'!$B$3:$B$2150,"P")&gt;0,1,0)</f>
        <v>0</v>
      </c>
      <c r="S55">
        <f t="shared" si="0"/>
        <v>7</v>
      </c>
      <c r="T55">
        <f t="shared" si="1"/>
        <v>4</v>
      </c>
    </row>
    <row r="56" spans="1:20" x14ac:dyDescent="0.2">
      <c r="A56" t="s">
        <v>825</v>
      </c>
      <c r="B56">
        <f>IF(COUNTIFS('United Data'!$A$3:$A$2150,B$1,'United Data'!$C$3:$C$2150,$A56,'United Data'!$B$3:$B$2150,"P")&gt;0,1,0)</f>
        <v>0</v>
      </c>
      <c r="C56">
        <f>IF(COUNTIFS('United Data'!$A$3:$A$2150,C$1,'United Data'!$C$3:$C$2150,$A56,'United Data'!$B$3:$B$2150,"P")&gt;0,1,0)</f>
        <v>0</v>
      </c>
      <c r="D56">
        <f>IF(COUNTIFS('United Data'!$A$3:$A$2150,D$1,'United Data'!$C$3:$C$2150,$A56,'United Data'!$B$3:$B$2150,"P")&gt;0,1,0)</f>
        <v>0</v>
      </c>
      <c r="E56">
        <f>IF(COUNTIFS('United Data'!$A$3:$A$2150,E$1,'United Data'!$C$3:$C$2150,$A56,'United Data'!$B$3:$B$2150,"P")&gt;0,1,0)</f>
        <v>1</v>
      </c>
      <c r="F56">
        <f>IF(COUNTIFS('United Data'!$A$3:$A$2150,F$1,'United Data'!$C$3:$C$2150,$A56,'United Data'!$B$3:$B$2150,"P")&gt;0,1,0)</f>
        <v>0</v>
      </c>
      <c r="G56">
        <f>IF(COUNTIFS('United Data'!$A$3:$A$2150,G$1,'United Data'!$C$3:$C$2150,$A56,'United Data'!$B$3:$B$2150,"P")&gt;0,1,0)</f>
        <v>1</v>
      </c>
      <c r="H56">
        <f>IF(COUNTIFS('United Data'!$A$3:$A$2150,H$1,'United Data'!$C$3:$C$2150,$A56,'United Data'!$B$3:$B$2150,"P")&gt;0,1,0)</f>
        <v>1</v>
      </c>
      <c r="I56">
        <f>IF(COUNTIFS('United Data'!$A$3:$A$2150,I$1,'United Data'!$C$3:$C$2150,$A56,'United Data'!$B$3:$B$2150,"P")&gt;0,1,0)</f>
        <v>1</v>
      </c>
      <c r="J56">
        <f>IF(COUNTIFS('United Data'!$A$3:$A$2150,J$1,'United Data'!$C$3:$C$2150,$A56,'United Data'!$B$3:$B$2150,"P")&gt;0,1,0)</f>
        <v>1</v>
      </c>
      <c r="K56">
        <f>IF(COUNTIFS('United Data'!$A$3:$A$2150,K$1,'United Data'!$C$3:$C$2150,$A56,'United Data'!$B$3:$B$2150,"P")&gt;0,1,0)</f>
        <v>1</v>
      </c>
      <c r="L56">
        <f>IF(COUNTIFS('United Data'!$A$3:$A$2150,L$1,'United Data'!$C$3:$C$2150,$A56,'United Data'!$B$3:$B$2150,"P")&gt;0,1,0)</f>
        <v>1</v>
      </c>
      <c r="M56">
        <f>IF(COUNTIFS('United Data'!$A$3:$A$2150,M$1,'United Data'!$C$3:$C$2150,$A56,'United Data'!$B$3:$B$2150,"P")&gt;0,1,0)</f>
        <v>1</v>
      </c>
      <c r="N56">
        <f>IF(COUNTIFS('United Data'!$A$3:$A$2150,N$1,'United Data'!$C$3:$C$2150,$A56,'United Data'!$B$3:$B$2150,"P")&gt;0,1,0)</f>
        <v>0</v>
      </c>
      <c r="O56">
        <f>IF(COUNTIFS('United Data'!$A$3:$A$2150,O$1,'United Data'!$C$3:$C$2150,$A56,'United Data'!$B$3:$B$2150,"P")&gt;0,1,0)</f>
        <v>0</v>
      </c>
      <c r="P56">
        <f>IF(COUNTIFS('United Data'!$A$3:$A$2150,P$1,'United Data'!$C$3:$C$2150,$A56,'United Data'!$B$3:$B$2150,"P")&gt;0,1,0)</f>
        <v>0</v>
      </c>
      <c r="Q56">
        <f>IF(COUNTIFS('United Data'!$A$3:$A$2150,Q$1,'United Data'!$C$3:$C$2150,$A56,'United Data'!$B$3:$B$2150,"P")&gt;0,1,0)</f>
        <v>0</v>
      </c>
      <c r="R56">
        <f>IF(COUNTIFS('United Data'!$A$3:$A$2150,R$1,'United Data'!$C$3:$C$2150,$A56,'United Data'!$B$3:$B$2150,"P")&gt;0,1,0)</f>
        <v>0</v>
      </c>
      <c r="S56">
        <f t="shared" si="0"/>
        <v>8</v>
      </c>
      <c r="T56">
        <f t="shared" si="1"/>
        <v>2</v>
      </c>
    </row>
    <row r="57" spans="1:20" x14ac:dyDescent="0.2">
      <c r="A57" t="s">
        <v>826</v>
      </c>
      <c r="B57">
        <f>IF(COUNTIFS('United Data'!$A$3:$A$2150,B$1,'United Data'!$C$3:$C$2150,$A57,'United Data'!$B$3:$B$2150,"P")&gt;0,1,0)</f>
        <v>0</v>
      </c>
      <c r="C57">
        <f>IF(COUNTIFS('United Data'!$A$3:$A$2150,C$1,'United Data'!$C$3:$C$2150,$A57,'United Data'!$B$3:$B$2150,"P")&gt;0,1,0)</f>
        <v>0</v>
      </c>
      <c r="D57">
        <f>IF(COUNTIFS('United Data'!$A$3:$A$2150,D$1,'United Data'!$C$3:$C$2150,$A57,'United Data'!$B$3:$B$2150,"P")&gt;0,1,0)</f>
        <v>0</v>
      </c>
      <c r="E57">
        <f>IF(COUNTIFS('United Data'!$A$3:$A$2150,E$1,'United Data'!$C$3:$C$2150,$A57,'United Data'!$B$3:$B$2150,"P")&gt;0,1,0)</f>
        <v>1</v>
      </c>
      <c r="F57">
        <f>IF(COUNTIFS('United Data'!$A$3:$A$2150,F$1,'United Data'!$C$3:$C$2150,$A57,'United Data'!$B$3:$B$2150,"P")&gt;0,1,0)</f>
        <v>1</v>
      </c>
      <c r="G57">
        <f>IF(COUNTIFS('United Data'!$A$3:$A$2150,G$1,'United Data'!$C$3:$C$2150,$A57,'United Data'!$B$3:$B$2150,"P")&gt;0,1,0)</f>
        <v>0</v>
      </c>
      <c r="H57">
        <f>IF(COUNTIFS('United Data'!$A$3:$A$2150,H$1,'United Data'!$C$3:$C$2150,$A57,'United Data'!$B$3:$B$2150,"P")&gt;0,1,0)</f>
        <v>0</v>
      </c>
      <c r="I57">
        <f>IF(COUNTIFS('United Data'!$A$3:$A$2150,I$1,'United Data'!$C$3:$C$2150,$A57,'United Data'!$B$3:$B$2150,"P")&gt;0,1,0)</f>
        <v>0</v>
      </c>
      <c r="J57">
        <f>IF(COUNTIFS('United Data'!$A$3:$A$2150,J$1,'United Data'!$C$3:$C$2150,$A57,'United Data'!$B$3:$B$2150,"P")&gt;0,1,0)</f>
        <v>0</v>
      </c>
      <c r="K57">
        <f>IF(COUNTIFS('United Data'!$A$3:$A$2150,K$1,'United Data'!$C$3:$C$2150,$A57,'United Data'!$B$3:$B$2150,"P")&gt;0,1,0)</f>
        <v>0</v>
      </c>
      <c r="L57">
        <f>IF(COUNTIFS('United Data'!$A$3:$A$2150,L$1,'United Data'!$C$3:$C$2150,$A57,'United Data'!$B$3:$B$2150,"P")&gt;0,1,0)</f>
        <v>0</v>
      </c>
      <c r="M57">
        <f>IF(COUNTIFS('United Data'!$A$3:$A$2150,M$1,'United Data'!$C$3:$C$2150,$A57,'United Data'!$B$3:$B$2150,"P")&gt;0,1,0)</f>
        <v>0</v>
      </c>
      <c r="N57">
        <f>IF(COUNTIFS('United Data'!$A$3:$A$2150,N$1,'United Data'!$C$3:$C$2150,$A57,'United Data'!$B$3:$B$2150,"P")&gt;0,1,0)</f>
        <v>1</v>
      </c>
      <c r="O57">
        <f>IF(COUNTIFS('United Data'!$A$3:$A$2150,O$1,'United Data'!$C$3:$C$2150,$A57,'United Data'!$B$3:$B$2150,"P")&gt;0,1,0)</f>
        <v>0</v>
      </c>
      <c r="P57">
        <f>IF(COUNTIFS('United Data'!$A$3:$A$2150,P$1,'United Data'!$C$3:$C$2150,$A57,'United Data'!$B$3:$B$2150,"P")&gt;0,1,0)</f>
        <v>0</v>
      </c>
      <c r="Q57">
        <f>IF(COUNTIFS('United Data'!$A$3:$A$2150,Q$1,'United Data'!$C$3:$C$2150,$A57,'United Data'!$B$3:$B$2150,"P")&gt;0,1,0)</f>
        <v>0</v>
      </c>
      <c r="R57">
        <f>IF(COUNTIFS('United Data'!$A$3:$A$2150,R$1,'United Data'!$C$3:$C$2150,$A57,'United Data'!$B$3:$B$2150,"P")&gt;0,1,0)</f>
        <v>0</v>
      </c>
      <c r="S57">
        <f t="shared" si="0"/>
        <v>3</v>
      </c>
      <c r="T57">
        <f t="shared" si="1"/>
        <v>2</v>
      </c>
    </row>
    <row r="58" spans="1:20" x14ac:dyDescent="0.2">
      <c r="A58" t="s">
        <v>827</v>
      </c>
      <c r="B58">
        <f>IF(COUNTIFS('United Data'!$A$3:$A$2150,B$1,'United Data'!$C$3:$C$2150,$A58,'United Data'!$B$3:$B$2150,"P")&gt;0,1,0)</f>
        <v>0</v>
      </c>
      <c r="C58">
        <f>IF(COUNTIFS('United Data'!$A$3:$A$2150,C$1,'United Data'!$C$3:$C$2150,$A58,'United Data'!$B$3:$B$2150,"P")&gt;0,1,0)</f>
        <v>0</v>
      </c>
      <c r="D58">
        <f>IF(COUNTIFS('United Data'!$A$3:$A$2150,D$1,'United Data'!$C$3:$C$2150,$A58,'United Data'!$B$3:$B$2150,"P")&gt;0,1,0)</f>
        <v>0</v>
      </c>
      <c r="E58">
        <f>IF(COUNTIFS('United Data'!$A$3:$A$2150,E$1,'United Data'!$C$3:$C$2150,$A58,'United Data'!$B$3:$B$2150,"P")&gt;0,1,0)</f>
        <v>1</v>
      </c>
      <c r="F58">
        <f>IF(COUNTIFS('United Data'!$A$3:$A$2150,F$1,'United Data'!$C$3:$C$2150,$A58,'United Data'!$B$3:$B$2150,"P")&gt;0,1,0)</f>
        <v>0</v>
      </c>
      <c r="G58">
        <f>IF(COUNTIFS('United Data'!$A$3:$A$2150,G$1,'United Data'!$C$3:$C$2150,$A58,'United Data'!$B$3:$B$2150,"P")&gt;0,1,0)</f>
        <v>0</v>
      </c>
      <c r="H58">
        <f>IF(COUNTIFS('United Data'!$A$3:$A$2150,H$1,'United Data'!$C$3:$C$2150,$A58,'United Data'!$B$3:$B$2150,"P")&gt;0,1,0)</f>
        <v>0</v>
      </c>
      <c r="I58">
        <f>IF(COUNTIFS('United Data'!$A$3:$A$2150,I$1,'United Data'!$C$3:$C$2150,$A58,'United Data'!$B$3:$B$2150,"P")&gt;0,1,0)</f>
        <v>0</v>
      </c>
      <c r="J58">
        <f>IF(COUNTIFS('United Data'!$A$3:$A$2150,J$1,'United Data'!$C$3:$C$2150,$A58,'United Data'!$B$3:$B$2150,"P")&gt;0,1,0)</f>
        <v>0</v>
      </c>
      <c r="K58">
        <f>IF(COUNTIFS('United Data'!$A$3:$A$2150,K$1,'United Data'!$C$3:$C$2150,$A58,'United Data'!$B$3:$B$2150,"P")&gt;0,1,0)</f>
        <v>0</v>
      </c>
      <c r="L58">
        <f>IF(COUNTIFS('United Data'!$A$3:$A$2150,L$1,'United Data'!$C$3:$C$2150,$A58,'United Data'!$B$3:$B$2150,"P")&gt;0,1,0)</f>
        <v>0</v>
      </c>
      <c r="M58">
        <f>IF(COUNTIFS('United Data'!$A$3:$A$2150,M$1,'United Data'!$C$3:$C$2150,$A58,'United Data'!$B$3:$B$2150,"P")&gt;0,1,0)</f>
        <v>0</v>
      </c>
      <c r="N58">
        <f>IF(COUNTIFS('United Data'!$A$3:$A$2150,N$1,'United Data'!$C$3:$C$2150,$A58,'United Data'!$B$3:$B$2150,"P")&gt;0,1,0)</f>
        <v>0</v>
      </c>
      <c r="O58">
        <f>IF(COUNTIFS('United Data'!$A$3:$A$2150,O$1,'United Data'!$C$3:$C$2150,$A58,'United Data'!$B$3:$B$2150,"P")&gt;0,1,0)</f>
        <v>0</v>
      </c>
      <c r="P58">
        <f>IF(COUNTIFS('United Data'!$A$3:$A$2150,P$1,'United Data'!$C$3:$C$2150,$A58,'United Data'!$B$3:$B$2150,"P")&gt;0,1,0)</f>
        <v>0</v>
      </c>
      <c r="Q58">
        <f>IF(COUNTIFS('United Data'!$A$3:$A$2150,Q$1,'United Data'!$C$3:$C$2150,$A58,'United Data'!$B$3:$B$2150,"P")&gt;0,1,0)</f>
        <v>0</v>
      </c>
      <c r="R58">
        <f>IF(COUNTIFS('United Data'!$A$3:$A$2150,R$1,'United Data'!$C$3:$C$2150,$A58,'United Data'!$B$3:$B$2150,"P")&gt;0,1,0)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828</v>
      </c>
      <c r="B59">
        <f>IF(COUNTIFS('United Data'!$A$3:$A$2150,B$1,'United Data'!$C$3:$C$2150,$A59,'United Data'!$B$3:$B$2150,"P")&gt;0,1,0)</f>
        <v>0</v>
      </c>
      <c r="C59">
        <f>IF(COUNTIFS('United Data'!$A$3:$A$2150,C$1,'United Data'!$C$3:$C$2150,$A59,'United Data'!$B$3:$B$2150,"P")&gt;0,1,0)</f>
        <v>0</v>
      </c>
      <c r="D59">
        <f>IF(COUNTIFS('United Data'!$A$3:$A$2150,D$1,'United Data'!$C$3:$C$2150,$A59,'United Data'!$B$3:$B$2150,"P")&gt;0,1,0)</f>
        <v>0</v>
      </c>
      <c r="E59">
        <f>IF(COUNTIFS('United Data'!$A$3:$A$2150,E$1,'United Data'!$C$3:$C$2150,$A59,'United Data'!$B$3:$B$2150,"P")&gt;0,1,0)</f>
        <v>1</v>
      </c>
      <c r="F59">
        <f>IF(COUNTIFS('United Data'!$A$3:$A$2150,F$1,'United Data'!$C$3:$C$2150,$A59,'United Data'!$B$3:$B$2150,"P")&gt;0,1,0)</f>
        <v>0</v>
      </c>
      <c r="G59">
        <f>IF(COUNTIFS('United Data'!$A$3:$A$2150,G$1,'United Data'!$C$3:$C$2150,$A59,'United Data'!$B$3:$B$2150,"P")&gt;0,1,0)</f>
        <v>0</v>
      </c>
      <c r="H59">
        <f>IF(COUNTIFS('United Data'!$A$3:$A$2150,H$1,'United Data'!$C$3:$C$2150,$A59,'United Data'!$B$3:$B$2150,"P")&gt;0,1,0)</f>
        <v>0</v>
      </c>
      <c r="I59">
        <f>IF(COUNTIFS('United Data'!$A$3:$A$2150,I$1,'United Data'!$C$3:$C$2150,$A59,'United Data'!$B$3:$B$2150,"P")&gt;0,1,0)</f>
        <v>0</v>
      </c>
      <c r="J59">
        <f>IF(COUNTIFS('United Data'!$A$3:$A$2150,J$1,'United Data'!$C$3:$C$2150,$A59,'United Data'!$B$3:$B$2150,"P")&gt;0,1,0)</f>
        <v>0</v>
      </c>
      <c r="K59">
        <f>IF(COUNTIFS('United Data'!$A$3:$A$2150,K$1,'United Data'!$C$3:$C$2150,$A59,'United Data'!$B$3:$B$2150,"P")&gt;0,1,0)</f>
        <v>0</v>
      </c>
      <c r="L59">
        <f>IF(COUNTIFS('United Data'!$A$3:$A$2150,L$1,'United Data'!$C$3:$C$2150,$A59,'United Data'!$B$3:$B$2150,"P")&gt;0,1,0)</f>
        <v>0</v>
      </c>
      <c r="M59">
        <f>IF(COUNTIFS('United Data'!$A$3:$A$2150,M$1,'United Data'!$C$3:$C$2150,$A59,'United Data'!$B$3:$B$2150,"P")&gt;0,1,0)</f>
        <v>0</v>
      </c>
      <c r="N59">
        <f>IF(COUNTIFS('United Data'!$A$3:$A$2150,N$1,'United Data'!$C$3:$C$2150,$A59,'United Data'!$B$3:$B$2150,"P")&gt;0,1,0)</f>
        <v>0</v>
      </c>
      <c r="O59">
        <f>IF(COUNTIFS('United Data'!$A$3:$A$2150,O$1,'United Data'!$C$3:$C$2150,$A59,'United Data'!$B$3:$B$2150,"P")&gt;0,1,0)</f>
        <v>0</v>
      </c>
      <c r="P59">
        <f>IF(COUNTIFS('United Data'!$A$3:$A$2150,P$1,'United Data'!$C$3:$C$2150,$A59,'United Data'!$B$3:$B$2150,"P")&gt;0,1,0)</f>
        <v>0</v>
      </c>
      <c r="Q59">
        <f>IF(COUNTIFS('United Data'!$A$3:$A$2150,Q$1,'United Data'!$C$3:$C$2150,$A59,'United Data'!$B$3:$B$2150,"P")&gt;0,1,0)</f>
        <v>0</v>
      </c>
      <c r="R59">
        <f>IF(COUNTIFS('United Data'!$A$3:$A$2150,R$1,'United Data'!$C$3:$C$2150,$A59,'United Data'!$B$3:$B$2150,"P")&gt;0,1,0)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829</v>
      </c>
      <c r="B60">
        <f>IF(COUNTIFS('United Data'!$A$3:$A$2150,B$1,'United Data'!$C$3:$C$2150,$A60,'United Data'!$B$3:$B$2150,"P")&gt;0,1,0)</f>
        <v>0</v>
      </c>
      <c r="C60">
        <f>IF(COUNTIFS('United Data'!$A$3:$A$2150,C$1,'United Data'!$C$3:$C$2150,$A60,'United Data'!$B$3:$B$2150,"P")&gt;0,1,0)</f>
        <v>0</v>
      </c>
      <c r="D60">
        <f>IF(COUNTIFS('United Data'!$A$3:$A$2150,D$1,'United Data'!$C$3:$C$2150,$A60,'United Data'!$B$3:$B$2150,"P")&gt;0,1,0)</f>
        <v>0</v>
      </c>
      <c r="E60">
        <f>IF(COUNTIFS('United Data'!$A$3:$A$2150,E$1,'United Data'!$C$3:$C$2150,$A60,'United Data'!$B$3:$B$2150,"P")&gt;0,1,0)</f>
        <v>1</v>
      </c>
      <c r="F60">
        <f>IF(COUNTIFS('United Data'!$A$3:$A$2150,F$1,'United Data'!$C$3:$C$2150,$A60,'United Data'!$B$3:$B$2150,"P")&gt;0,1,0)</f>
        <v>0</v>
      </c>
      <c r="G60">
        <f>IF(COUNTIFS('United Data'!$A$3:$A$2150,G$1,'United Data'!$C$3:$C$2150,$A60,'United Data'!$B$3:$B$2150,"P")&gt;0,1,0)</f>
        <v>0</v>
      </c>
      <c r="H60">
        <f>IF(COUNTIFS('United Data'!$A$3:$A$2150,H$1,'United Data'!$C$3:$C$2150,$A60,'United Data'!$B$3:$B$2150,"P")&gt;0,1,0)</f>
        <v>0</v>
      </c>
      <c r="I60">
        <f>IF(COUNTIFS('United Data'!$A$3:$A$2150,I$1,'United Data'!$C$3:$C$2150,$A60,'United Data'!$B$3:$B$2150,"P")&gt;0,1,0)</f>
        <v>0</v>
      </c>
      <c r="J60">
        <f>IF(COUNTIFS('United Data'!$A$3:$A$2150,J$1,'United Data'!$C$3:$C$2150,$A60,'United Data'!$B$3:$B$2150,"P")&gt;0,1,0)</f>
        <v>0</v>
      </c>
      <c r="K60">
        <f>IF(COUNTIFS('United Data'!$A$3:$A$2150,K$1,'United Data'!$C$3:$C$2150,$A60,'United Data'!$B$3:$B$2150,"P")&gt;0,1,0)</f>
        <v>0</v>
      </c>
      <c r="L60">
        <f>IF(COUNTIFS('United Data'!$A$3:$A$2150,L$1,'United Data'!$C$3:$C$2150,$A60,'United Data'!$B$3:$B$2150,"P")&gt;0,1,0)</f>
        <v>0</v>
      </c>
      <c r="M60">
        <f>IF(COUNTIFS('United Data'!$A$3:$A$2150,M$1,'United Data'!$C$3:$C$2150,$A60,'United Data'!$B$3:$B$2150,"P")&gt;0,1,0)</f>
        <v>0</v>
      </c>
      <c r="N60">
        <f>IF(COUNTIFS('United Data'!$A$3:$A$2150,N$1,'United Data'!$C$3:$C$2150,$A60,'United Data'!$B$3:$B$2150,"P")&gt;0,1,0)</f>
        <v>0</v>
      </c>
      <c r="O60">
        <f>IF(COUNTIFS('United Data'!$A$3:$A$2150,O$1,'United Data'!$C$3:$C$2150,$A60,'United Data'!$B$3:$B$2150,"P")&gt;0,1,0)</f>
        <v>0</v>
      </c>
      <c r="P60">
        <f>IF(COUNTIFS('United Data'!$A$3:$A$2150,P$1,'United Data'!$C$3:$C$2150,$A60,'United Data'!$B$3:$B$2150,"P")&gt;0,1,0)</f>
        <v>0</v>
      </c>
      <c r="Q60">
        <f>IF(COUNTIFS('United Data'!$A$3:$A$2150,Q$1,'United Data'!$C$3:$C$2150,$A60,'United Data'!$B$3:$B$2150,"P")&gt;0,1,0)</f>
        <v>0</v>
      </c>
      <c r="R60">
        <f>IF(COUNTIFS('United Data'!$A$3:$A$2150,R$1,'United Data'!$C$3:$C$2150,$A60,'United Data'!$B$3:$B$2150,"P")&gt;0,1,0)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652</v>
      </c>
      <c r="B61">
        <f>IF(COUNTIFS('United Data'!$A$3:$A$2150,B$1,'United Data'!$C$3:$C$2150,$A61,'United Data'!$B$3:$B$2150,"P")&gt;0,1,0)</f>
        <v>0</v>
      </c>
      <c r="C61">
        <f>IF(COUNTIFS('United Data'!$A$3:$A$2150,C$1,'United Data'!$C$3:$C$2150,$A61,'United Data'!$B$3:$B$2150,"P")&gt;0,1,0)</f>
        <v>0</v>
      </c>
      <c r="D61">
        <f>IF(COUNTIFS('United Data'!$A$3:$A$2150,D$1,'United Data'!$C$3:$C$2150,$A61,'United Data'!$B$3:$B$2150,"P")&gt;0,1,0)</f>
        <v>0</v>
      </c>
      <c r="E61">
        <f>IF(COUNTIFS('United Data'!$A$3:$A$2150,E$1,'United Data'!$C$3:$C$2150,$A61,'United Data'!$B$3:$B$2150,"P")&gt;0,1,0)</f>
        <v>1</v>
      </c>
      <c r="F61">
        <f>IF(COUNTIFS('United Data'!$A$3:$A$2150,F$1,'United Data'!$C$3:$C$2150,$A61,'United Data'!$B$3:$B$2150,"P")&gt;0,1,0)</f>
        <v>1</v>
      </c>
      <c r="G61">
        <f>IF(COUNTIFS('United Data'!$A$3:$A$2150,G$1,'United Data'!$C$3:$C$2150,$A61,'United Data'!$B$3:$B$2150,"P")&gt;0,1,0)</f>
        <v>0</v>
      </c>
      <c r="H61">
        <f>IF(COUNTIFS('United Data'!$A$3:$A$2150,H$1,'United Data'!$C$3:$C$2150,$A61,'United Data'!$B$3:$B$2150,"P")&gt;0,1,0)</f>
        <v>0</v>
      </c>
      <c r="I61">
        <f>IF(COUNTIFS('United Data'!$A$3:$A$2150,I$1,'United Data'!$C$3:$C$2150,$A61,'United Data'!$B$3:$B$2150,"P")&gt;0,1,0)</f>
        <v>0</v>
      </c>
      <c r="J61">
        <f>IF(COUNTIFS('United Data'!$A$3:$A$2150,J$1,'United Data'!$C$3:$C$2150,$A61,'United Data'!$B$3:$B$2150,"P")&gt;0,1,0)</f>
        <v>0</v>
      </c>
      <c r="K61">
        <f>IF(COUNTIFS('United Data'!$A$3:$A$2150,K$1,'United Data'!$C$3:$C$2150,$A61,'United Data'!$B$3:$B$2150,"P")&gt;0,1,0)</f>
        <v>0</v>
      </c>
      <c r="L61">
        <f>IF(COUNTIFS('United Data'!$A$3:$A$2150,L$1,'United Data'!$C$3:$C$2150,$A61,'United Data'!$B$3:$B$2150,"P")&gt;0,1,0)</f>
        <v>0</v>
      </c>
      <c r="M61">
        <f>IF(COUNTIFS('United Data'!$A$3:$A$2150,M$1,'United Data'!$C$3:$C$2150,$A61,'United Data'!$B$3:$B$2150,"P")&gt;0,1,0)</f>
        <v>0</v>
      </c>
      <c r="N61">
        <f>IF(COUNTIFS('United Data'!$A$3:$A$2150,N$1,'United Data'!$C$3:$C$2150,$A61,'United Data'!$B$3:$B$2150,"P")&gt;0,1,0)</f>
        <v>0</v>
      </c>
      <c r="O61">
        <f>IF(COUNTIFS('United Data'!$A$3:$A$2150,O$1,'United Data'!$C$3:$C$2150,$A61,'United Data'!$B$3:$B$2150,"P")&gt;0,1,0)</f>
        <v>0</v>
      </c>
      <c r="P61">
        <f>IF(COUNTIFS('United Data'!$A$3:$A$2150,P$1,'United Data'!$C$3:$C$2150,$A61,'United Data'!$B$3:$B$2150,"P")&gt;0,1,0)</f>
        <v>0</v>
      </c>
      <c r="Q61">
        <f>IF(COUNTIFS('United Data'!$A$3:$A$2150,Q$1,'United Data'!$C$3:$C$2150,$A61,'United Data'!$B$3:$B$2150,"P")&gt;0,1,0)</f>
        <v>0</v>
      </c>
      <c r="R61">
        <f>IF(COUNTIFS('United Data'!$A$3:$A$2150,R$1,'United Data'!$C$3:$C$2150,$A61,'United Data'!$B$3:$B$2150,"P")&gt;0,1,0)</f>
        <v>0</v>
      </c>
      <c r="S61">
        <f t="shared" si="0"/>
        <v>2</v>
      </c>
      <c r="T61">
        <f t="shared" si="1"/>
        <v>1</v>
      </c>
    </row>
    <row r="62" spans="1:20" x14ac:dyDescent="0.2">
      <c r="A62" t="s">
        <v>830</v>
      </c>
      <c r="B62">
        <f>IF(COUNTIFS('United Data'!$A$3:$A$2150,B$1,'United Data'!$C$3:$C$2150,$A62,'United Data'!$B$3:$B$2150,"P")&gt;0,1,0)</f>
        <v>0</v>
      </c>
      <c r="C62">
        <f>IF(COUNTIFS('United Data'!$A$3:$A$2150,C$1,'United Data'!$C$3:$C$2150,$A62,'United Data'!$B$3:$B$2150,"P")&gt;0,1,0)</f>
        <v>0</v>
      </c>
      <c r="D62">
        <f>IF(COUNTIFS('United Data'!$A$3:$A$2150,D$1,'United Data'!$C$3:$C$2150,$A62,'United Data'!$B$3:$B$2150,"P")&gt;0,1,0)</f>
        <v>0</v>
      </c>
      <c r="E62">
        <f>IF(COUNTIFS('United Data'!$A$3:$A$2150,E$1,'United Data'!$C$3:$C$2150,$A62,'United Data'!$B$3:$B$2150,"P")&gt;0,1,0)</f>
        <v>1</v>
      </c>
      <c r="F62">
        <f>IF(COUNTIFS('United Data'!$A$3:$A$2150,F$1,'United Data'!$C$3:$C$2150,$A62,'United Data'!$B$3:$B$2150,"P")&gt;0,1,0)</f>
        <v>0</v>
      </c>
      <c r="G62">
        <f>IF(COUNTIFS('United Data'!$A$3:$A$2150,G$1,'United Data'!$C$3:$C$2150,$A62,'United Data'!$B$3:$B$2150,"P")&gt;0,1,0)</f>
        <v>0</v>
      </c>
      <c r="H62">
        <f>IF(COUNTIFS('United Data'!$A$3:$A$2150,H$1,'United Data'!$C$3:$C$2150,$A62,'United Data'!$B$3:$B$2150,"P")&gt;0,1,0)</f>
        <v>0</v>
      </c>
      <c r="I62">
        <f>IF(COUNTIFS('United Data'!$A$3:$A$2150,I$1,'United Data'!$C$3:$C$2150,$A62,'United Data'!$B$3:$B$2150,"P")&gt;0,1,0)</f>
        <v>0</v>
      </c>
      <c r="J62">
        <f>IF(COUNTIFS('United Data'!$A$3:$A$2150,J$1,'United Data'!$C$3:$C$2150,$A62,'United Data'!$B$3:$B$2150,"P")&gt;0,1,0)</f>
        <v>0</v>
      </c>
      <c r="K62">
        <f>IF(COUNTIFS('United Data'!$A$3:$A$2150,K$1,'United Data'!$C$3:$C$2150,$A62,'United Data'!$B$3:$B$2150,"P")&gt;0,1,0)</f>
        <v>0</v>
      </c>
      <c r="L62">
        <f>IF(COUNTIFS('United Data'!$A$3:$A$2150,L$1,'United Data'!$C$3:$C$2150,$A62,'United Data'!$B$3:$B$2150,"P")&gt;0,1,0)</f>
        <v>0</v>
      </c>
      <c r="M62">
        <f>IF(COUNTIFS('United Data'!$A$3:$A$2150,M$1,'United Data'!$C$3:$C$2150,$A62,'United Data'!$B$3:$B$2150,"P")&gt;0,1,0)</f>
        <v>0</v>
      </c>
      <c r="N62">
        <f>IF(COUNTIFS('United Data'!$A$3:$A$2150,N$1,'United Data'!$C$3:$C$2150,$A62,'United Data'!$B$3:$B$2150,"P")&gt;0,1,0)</f>
        <v>0</v>
      </c>
      <c r="O62">
        <f>IF(COUNTIFS('United Data'!$A$3:$A$2150,O$1,'United Data'!$C$3:$C$2150,$A62,'United Data'!$B$3:$B$2150,"P")&gt;0,1,0)</f>
        <v>0</v>
      </c>
      <c r="P62">
        <f>IF(COUNTIFS('United Data'!$A$3:$A$2150,P$1,'United Data'!$C$3:$C$2150,$A62,'United Data'!$B$3:$B$2150,"P")&gt;0,1,0)</f>
        <v>0</v>
      </c>
      <c r="Q62">
        <f>IF(COUNTIFS('United Data'!$A$3:$A$2150,Q$1,'United Data'!$C$3:$C$2150,$A62,'United Data'!$B$3:$B$2150,"P")&gt;0,1,0)</f>
        <v>0</v>
      </c>
      <c r="R62">
        <f>IF(COUNTIFS('United Data'!$A$3:$A$2150,R$1,'United Data'!$C$3:$C$2150,$A62,'United Data'!$B$3:$B$2150,"P")&gt;0,1,0)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831</v>
      </c>
      <c r="B63">
        <f>IF(COUNTIFS('United Data'!$A$3:$A$2150,B$1,'United Data'!$C$3:$C$2150,$A63,'United Data'!$B$3:$B$2150,"P")&gt;0,1,0)</f>
        <v>0</v>
      </c>
      <c r="C63">
        <f>IF(COUNTIFS('United Data'!$A$3:$A$2150,C$1,'United Data'!$C$3:$C$2150,$A63,'United Data'!$B$3:$B$2150,"P")&gt;0,1,0)</f>
        <v>0</v>
      </c>
      <c r="D63">
        <f>IF(COUNTIFS('United Data'!$A$3:$A$2150,D$1,'United Data'!$C$3:$C$2150,$A63,'United Data'!$B$3:$B$2150,"P")&gt;0,1,0)</f>
        <v>0</v>
      </c>
      <c r="E63">
        <f>IF(COUNTIFS('United Data'!$A$3:$A$2150,E$1,'United Data'!$C$3:$C$2150,$A63,'United Data'!$B$3:$B$2150,"P")&gt;0,1,0)</f>
        <v>1</v>
      </c>
      <c r="F63">
        <f>IF(COUNTIFS('United Data'!$A$3:$A$2150,F$1,'United Data'!$C$3:$C$2150,$A63,'United Data'!$B$3:$B$2150,"P")&gt;0,1,0)</f>
        <v>0</v>
      </c>
      <c r="G63">
        <f>IF(COUNTIFS('United Data'!$A$3:$A$2150,G$1,'United Data'!$C$3:$C$2150,$A63,'United Data'!$B$3:$B$2150,"P")&gt;0,1,0)</f>
        <v>1</v>
      </c>
      <c r="H63">
        <f>IF(COUNTIFS('United Data'!$A$3:$A$2150,H$1,'United Data'!$C$3:$C$2150,$A63,'United Data'!$B$3:$B$2150,"P")&gt;0,1,0)</f>
        <v>0</v>
      </c>
      <c r="I63">
        <f>IF(COUNTIFS('United Data'!$A$3:$A$2150,I$1,'United Data'!$C$3:$C$2150,$A63,'United Data'!$B$3:$B$2150,"P")&gt;0,1,0)</f>
        <v>1</v>
      </c>
      <c r="J63">
        <f>IF(COUNTIFS('United Data'!$A$3:$A$2150,J$1,'United Data'!$C$3:$C$2150,$A63,'United Data'!$B$3:$B$2150,"P")&gt;0,1,0)</f>
        <v>0</v>
      </c>
      <c r="K63">
        <f>IF(COUNTIFS('United Data'!$A$3:$A$2150,K$1,'United Data'!$C$3:$C$2150,$A63,'United Data'!$B$3:$B$2150,"P")&gt;0,1,0)</f>
        <v>1</v>
      </c>
      <c r="L63">
        <f>IF(COUNTIFS('United Data'!$A$3:$A$2150,L$1,'United Data'!$C$3:$C$2150,$A63,'United Data'!$B$3:$B$2150,"P")&gt;0,1,0)</f>
        <v>1</v>
      </c>
      <c r="M63">
        <f>IF(COUNTIFS('United Data'!$A$3:$A$2150,M$1,'United Data'!$C$3:$C$2150,$A63,'United Data'!$B$3:$B$2150,"P")&gt;0,1,0)</f>
        <v>1</v>
      </c>
      <c r="N63">
        <f>IF(COUNTIFS('United Data'!$A$3:$A$2150,N$1,'United Data'!$C$3:$C$2150,$A63,'United Data'!$B$3:$B$2150,"P")&gt;0,1,0)</f>
        <v>1</v>
      </c>
      <c r="O63">
        <f>IF(COUNTIFS('United Data'!$A$3:$A$2150,O$1,'United Data'!$C$3:$C$2150,$A63,'United Data'!$B$3:$B$2150,"P")&gt;0,1,0)</f>
        <v>0</v>
      </c>
      <c r="P63">
        <f>IF(COUNTIFS('United Data'!$A$3:$A$2150,P$1,'United Data'!$C$3:$C$2150,$A63,'United Data'!$B$3:$B$2150,"P")&gt;0,1,0)</f>
        <v>0</v>
      </c>
      <c r="Q63">
        <f>IF(COUNTIFS('United Data'!$A$3:$A$2150,Q$1,'United Data'!$C$3:$C$2150,$A63,'United Data'!$B$3:$B$2150,"P")&gt;0,1,0)</f>
        <v>0</v>
      </c>
      <c r="R63">
        <f>IF(COUNTIFS('United Data'!$A$3:$A$2150,R$1,'United Data'!$C$3:$C$2150,$A63,'United Data'!$B$3:$B$2150,"P")&gt;0,1,0)</f>
        <v>0</v>
      </c>
      <c r="S63">
        <f t="shared" si="0"/>
        <v>7</v>
      </c>
      <c r="T63">
        <f t="shared" si="1"/>
        <v>4</v>
      </c>
    </row>
    <row r="64" spans="1:20" x14ac:dyDescent="0.2">
      <c r="A64" t="s">
        <v>832</v>
      </c>
      <c r="B64">
        <f>IF(COUNTIFS('United Data'!$A$3:$A$2150,B$1,'United Data'!$C$3:$C$2150,$A64,'United Data'!$B$3:$B$2150,"P")&gt;0,1,0)</f>
        <v>0</v>
      </c>
      <c r="C64">
        <f>IF(COUNTIFS('United Data'!$A$3:$A$2150,C$1,'United Data'!$C$3:$C$2150,$A64,'United Data'!$B$3:$B$2150,"P")&gt;0,1,0)</f>
        <v>0</v>
      </c>
      <c r="D64">
        <f>IF(COUNTIFS('United Data'!$A$3:$A$2150,D$1,'United Data'!$C$3:$C$2150,$A64,'United Data'!$B$3:$B$2150,"P")&gt;0,1,0)</f>
        <v>0</v>
      </c>
      <c r="E64">
        <f>IF(COUNTIFS('United Data'!$A$3:$A$2150,E$1,'United Data'!$C$3:$C$2150,$A64,'United Data'!$B$3:$B$2150,"P")&gt;0,1,0)</f>
        <v>1</v>
      </c>
      <c r="F64">
        <f>IF(COUNTIFS('United Data'!$A$3:$A$2150,F$1,'United Data'!$C$3:$C$2150,$A64,'United Data'!$B$3:$B$2150,"P")&gt;0,1,0)</f>
        <v>0</v>
      </c>
      <c r="G64">
        <f>IF(COUNTIFS('United Data'!$A$3:$A$2150,G$1,'United Data'!$C$3:$C$2150,$A64,'United Data'!$B$3:$B$2150,"P")&gt;0,1,0)</f>
        <v>0</v>
      </c>
      <c r="H64">
        <f>IF(COUNTIFS('United Data'!$A$3:$A$2150,H$1,'United Data'!$C$3:$C$2150,$A64,'United Data'!$B$3:$B$2150,"P")&gt;0,1,0)</f>
        <v>0</v>
      </c>
      <c r="I64">
        <f>IF(COUNTIFS('United Data'!$A$3:$A$2150,I$1,'United Data'!$C$3:$C$2150,$A64,'United Data'!$B$3:$B$2150,"P")&gt;0,1,0)</f>
        <v>0</v>
      </c>
      <c r="J64">
        <f>IF(COUNTIFS('United Data'!$A$3:$A$2150,J$1,'United Data'!$C$3:$C$2150,$A64,'United Data'!$B$3:$B$2150,"P")&gt;0,1,0)</f>
        <v>0</v>
      </c>
      <c r="K64">
        <f>IF(COUNTIFS('United Data'!$A$3:$A$2150,K$1,'United Data'!$C$3:$C$2150,$A64,'United Data'!$B$3:$B$2150,"P")&gt;0,1,0)</f>
        <v>0</v>
      </c>
      <c r="L64">
        <f>IF(COUNTIFS('United Data'!$A$3:$A$2150,L$1,'United Data'!$C$3:$C$2150,$A64,'United Data'!$B$3:$B$2150,"P")&gt;0,1,0)</f>
        <v>0</v>
      </c>
      <c r="M64">
        <f>IF(COUNTIFS('United Data'!$A$3:$A$2150,M$1,'United Data'!$C$3:$C$2150,$A64,'United Data'!$B$3:$B$2150,"P")&gt;0,1,0)</f>
        <v>0</v>
      </c>
      <c r="N64">
        <f>IF(COUNTIFS('United Data'!$A$3:$A$2150,N$1,'United Data'!$C$3:$C$2150,$A64,'United Data'!$B$3:$B$2150,"P")&gt;0,1,0)</f>
        <v>0</v>
      </c>
      <c r="O64">
        <f>IF(COUNTIFS('United Data'!$A$3:$A$2150,O$1,'United Data'!$C$3:$C$2150,$A64,'United Data'!$B$3:$B$2150,"P")&gt;0,1,0)</f>
        <v>0</v>
      </c>
      <c r="P64">
        <f>IF(COUNTIFS('United Data'!$A$3:$A$2150,P$1,'United Data'!$C$3:$C$2150,$A64,'United Data'!$B$3:$B$2150,"P")&gt;0,1,0)</f>
        <v>0</v>
      </c>
      <c r="Q64">
        <f>IF(COUNTIFS('United Data'!$A$3:$A$2150,Q$1,'United Data'!$C$3:$C$2150,$A64,'United Data'!$B$3:$B$2150,"P")&gt;0,1,0)</f>
        <v>0</v>
      </c>
      <c r="R64">
        <f>IF(COUNTIFS('United Data'!$A$3:$A$2150,R$1,'United Data'!$C$3:$C$2150,$A64,'United Data'!$B$3:$B$2150,"P")&gt;0,1,0)</f>
        <v>0</v>
      </c>
      <c r="S64">
        <f t="shared" si="0"/>
        <v>1</v>
      </c>
      <c r="T64">
        <f t="shared" si="1"/>
        <v>1</v>
      </c>
    </row>
    <row r="65" spans="1:20" x14ac:dyDescent="0.2">
      <c r="A65" t="s">
        <v>833</v>
      </c>
      <c r="B65">
        <f>IF(COUNTIFS('United Data'!$A$3:$A$2150,B$1,'United Data'!$C$3:$C$2150,$A65,'United Data'!$B$3:$B$2150,"P")&gt;0,1,0)</f>
        <v>0</v>
      </c>
      <c r="C65">
        <f>IF(COUNTIFS('United Data'!$A$3:$A$2150,C$1,'United Data'!$C$3:$C$2150,$A65,'United Data'!$B$3:$B$2150,"P")&gt;0,1,0)</f>
        <v>0</v>
      </c>
      <c r="D65">
        <f>IF(COUNTIFS('United Data'!$A$3:$A$2150,D$1,'United Data'!$C$3:$C$2150,$A65,'United Data'!$B$3:$B$2150,"P")&gt;0,1,0)</f>
        <v>0</v>
      </c>
      <c r="E65">
        <f>IF(COUNTIFS('United Data'!$A$3:$A$2150,E$1,'United Data'!$C$3:$C$2150,$A65,'United Data'!$B$3:$B$2150,"P")&gt;0,1,0)</f>
        <v>1</v>
      </c>
      <c r="F65">
        <f>IF(COUNTIFS('United Data'!$A$3:$A$2150,F$1,'United Data'!$C$3:$C$2150,$A65,'United Data'!$B$3:$B$2150,"P")&gt;0,1,0)</f>
        <v>0</v>
      </c>
      <c r="G65">
        <f>IF(COUNTIFS('United Data'!$A$3:$A$2150,G$1,'United Data'!$C$3:$C$2150,$A65,'United Data'!$B$3:$B$2150,"P")&gt;0,1,0)</f>
        <v>0</v>
      </c>
      <c r="H65">
        <f>IF(COUNTIFS('United Data'!$A$3:$A$2150,H$1,'United Data'!$C$3:$C$2150,$A65,'United Data'!$B$3:$B$2150,"P")&gt;0,1,0)</f>
        <v>0</v>
      </c>
      <c r="I65">
        <f>IF(COUNTIFS('United Data'!$A$3:$A$2150,I$1,'United Data'!$C$3:$C$2150,$A65,'United Data'!$B$3:$B$2150,"P")&gt;0,1,0)</f>
        <v>0</v>
      </c>
      <c r="J65">
        <f>IF(COUNTIFS('United Data'!$A$3:$A$2150,J$1,'United Data'!$C$3:$C$2150,$A65,'United Data'!$B$3:$B$2150,"P")&gt;0,1,0)</f>
        <v>0</v>
      </c>
      <c r="K65">
        <f>IF(COUNTIFS('United Data'!$A$3:$A$2150,K$1,'United Data'!$C$3:$C$2150,$A65,'United Data'!$B$3:$B$2150,"P")&gt;0,1,0)</f>
        <v>0</v>
      </c>
      <c r="L65">
        <f>IF(COUNTIFS('United Data'!$A$3:$A$2150,L$1,'United Data'!$C$3:$C$2150,$A65,'United Data'!$B$3:$B$2150,"P")&gt;0,1,0)</f>
        <v>0</v>
      </c>
      <c r="M65">
        <f>IF(COUNTIFS('United Data'!$A$3:$A$2150,M$1,'United Data'!$C$3:$C$2150,$A65,'United Data'!$B$3:$B$2150,"P")&gt;0,1,0)</f>
        <v>0</v>
      </c>
      <c r="N65">
        <f>IF(COUNTIFS('United Data'!$A$3:$A$2150,N$1,'United Data'!$C$3:$C$2150,$A65,'United Data'!$B$3:$B$2150,"P")&gt;0,1,0)</f>
        <v>0</v>
      </c>
      <c r="O65">
        <f>IF(COUNTIFS('United Data'!$A$3:$A$2150,O$1,'United Data'!$C$3:$C$2150,$A65,'United Data'!$B$3:$B$2150,"P")&gt;0,1,0)</f>
        <v>0</v>
      </c>
      <c r="P65">
        <f>IF(COUNTIFS('United Data'!$A$3:$A$2150,P$1,'United Data'!$C$3:$C$2150,$A65,'United Data'!$B$3:$B$2150,"P")&gt;0,1,0)</f>
        <v>0</v>
      </c>
      <c r="Q65">
        <f>IF(COUNTIFS('United Data'!$A$3:$A$2150,Q$1,'United Data'!$C$3:$C$2150,$A65,'United Data'!$B$3:$B$2150,"P")&gt;0,1,0)</f>
        <v>0</v>
      </c>
      <c r="R65">
        <f>IF(COUNTIFS('United Data'!$A$3:$A$2150,R$1,'United Data'!$C$3:$C$2150,$A65,'United Data'!$B$3:$B$2150,"P")&gt;0,1,0)</f>
        <v>0</v>
      </c>
      <c r="S65">
        <f t="shared" si="0"/>
        <v>1</v>
      </c>
      <c r="T65">
        <f t="shared" si="1"/>
        <v>1</v>
      </c>
    </row>
    <row r="66" spans="1:20" x14ac:dyDescent="0.2">
      <c r="A66" t="s">
        <v>834</v>
      </c>
      <c r="B66">
        <f>IF(COUNTIFS('United Data'!$A$3:$A$2150,B$1,'United Data'!$C$3:$C$2150,$A66,'United Data'!$B$3:$B$2150,"P")&gt;0,1,0)</f>
        <v>0</v>
      </c>
      <c r="C66">
        <f>IF(COUNTIFS('United Data'!$A$3:$A$2150,C$1,'United Data'!$C$3:$C$2150,$A66,'United Data'!$B$3:$B$2150,"P")&gt;0,1,0)</f>
        <v>0</v>
      </c>
      <c r="D66">
        <f>IF(COUNTIFS('United Data'!$A$3:$A$2150,D$1,'United Data'!$C$3:$C$2150,$A66,'United Data'!$B$3:$B$2150,"P")&gt;0,1,0)</f>
        <v>0</v>
      </c>
      <c r="E66">
        <f>IF(COUNTIFS('United Data'!$A$3:$A$2150,E$1,'United Data'!$C$3:$C$2150,$A66,'United Data'!$B$3:$B$2150,"P")&gt;0,1,0)</f>
        <v>1</v>
      </c>
      <c r="F66">
        <f>IF(COUNTIFS('United Data'!$A$3:$A$2150,F$1,'United Data'!$C$3:$C$2150,$A66,'United Data'!$B$3:$B$2150,"P")&gt;0,1,0)</f>
        <v>0</v>
      </c>
      <c r="G66">
        <f>IF(COUNTIFS('United Data'!$A$3:$A$2150,G$1,'United Data'!$C$3:$C$2150,$A66,'United Data'!$B$3:$B$2150,"P")&gt;0,1,0)</f>
        <v>0</v>
      </c>
      <c r="H66">
        <f>IF(COUNTIFS('United Data'!$A$3:$A$2150,H$1,'United Data'!$C$3:$C$2150,$A66,'United Data'!$B$3:$B$2150,"P")&gt;0,1,0)</f>
        <v>0</v>
      </c>
      <c r="I66">
        <f>IF(COUNTIFS('United Data'!$A$3:$A$2150,I$1,'United Data'!$C$3:$C$2150,$A66,'United Data'!$B$3:$B$2150,"P")&gt;0,1,0)</f>
        <v>0</v>
      </c>
      <c r="J66">
        <f>IF(COUNTIFS('United Data'!$A$3:$A$2150,J$1,'United Data'!$C$3:$C$2150,$A66,'United Data'!$B$3:$B$2150,"P")&gt;0,1,0)</f>
        <v>0</v>
      </c>
      <c r="K66">
        <f>IF(COUNTIFS('United Data'!$A$3:$A$2150,K$1,'United Data'!$C$3:$C$2150,$A66,'United Data'!$B$3:$B$2150,"P")&gt;0,1,0)</f>
        <v>0</v>
      </c>
      <c r="L66">
        <f>IF(COUNTIFS('United Data'!$A$3:$A$2150,L$1,'United Data'!$C$3:$C$2150,$A66,'United Data'!$B$3:$B$2150,"P")&gt;0,1,0)</f>
        <v>0</v>
      </c>
      <c r="M66">
        <f>IF(COUNTIFS('United Data'!$A$3:$A$2150,M$1,'United Data'!$C$3:$C$2150,$A66,'United Data'!$B$3:$B$2150,"P")&gt;0,1,0)</f>
        <v>0</v>
      </c>
      <c r="N66">
        <f>IF(COUNTIFS('United Data'!$A$3:$A$2150,N$1,'United Data'!$C$3:$C$2150,$A66,'United Data'!$B$3:$B$2150,"P")&gt;0,1,0)</f>
        <v>0</v>
      </c>
      <c r="O66">
        <f>IF(COUNTIFS('United Data'!$A$3:$A$2150,O$1,'United Data'!$C$3:$C$2150,$A66,'United Data'!$B$3:$B$2150,"P")&gt;0,1,0)</f>
        <v>0</v>
      </c>
      <c r="P66">
        <f>IF(COUNTIFS('United Data'!$A$3:$A$2150,P$1,'United Data'!$C$3:$C$2150,$A66,'United Data'!$B$3:$B$2150,"P")&gt;0,1,0)</f>
        <v>0</v>
      </c>
      <c r="Q66">
        <f>IF(COUNTIFS('United Data'!$A$3:$A$2150,Q$1,'United Data'!$C$3:$C$2150,$A66,'United Data'!$B$3:$B$2150,"P")&gt;0,1,0)</f>
        <v>0</v>
      </c>
      <c r="R66">
        <f>IF(COUNTIFS('United Data'!$A$3:$A$2150,R$1,'United Data'!$C$3:$C$2150,$A66,'United Data'!$B$3:$B$2150,"P")&gt;0,1,0)</f>
        <v>0</v>
      </c>
      <c r="S66">
        <f t="shared" ref="S66:S129" si="2">SUM(B66:R66)</f>
        <v>1</v>
      </c>
      <c r="T66">
        <f t="shared" ref="T66:T129" si="3">B66+SUMPRODUCT(--(C66:R66&gt;B66:Q66))</f>
        <v>1</v>
      </c>
    </row>
    <row r="67" spans="1:20" x14ac:dyDescent="0.2">
      <c r="A67" t="s">
        <v>835</v>
      </c>
      <c r="B67">
        <f>IF(COUNTIFS('United Data'!$A$3:$A$2150,B$1,'United Data'!$C$3:$C$2150,$A67,'United Data'!$B$3:$B$2150,"P")&gt;0,1,0)</f>
        <v>0</v>
      </c>
      <c r="C67">
        <f>IF(COUNTIFS('United Data'!$A$3:$A$2150,C$1,'United Data'!$C$3:$C$2150,$A67,'United Data'!$B$3:$B$2150,"P")&gt;0,1,0)</f>
        <v>0</v>
      </c>
      <c r="D67">
        <f>IF(COUNTIFS('United Data'!$A$3:$A$2150,D$1,'United Data'!$C$3:$C$2150,$A67,'United Data'!$B$3:$B$2150,"P")&gt;0,1,0)</f>
        <v>0</v>
      </c>
      <c r="E67">
        <f>IF(COUNTIFS('United Data'!$A$3:$A$2150,E$1,'United Data'!$C$3:$C$2150,$A67,'United Data'!$B$3:$B$2150,"P")&gt;0,1,0)</f>
        <v>0</v>
      </c>
      <c r="F67">
        <f>IF(COUNTIFS('United Data'!$A$3:$A$2150,F$1,'United Data'!$C$3:$C$2150,$A67,'United Data'!$B$3:$B$2150,"P")&gt;0,1,0)</f>
        <v>1</v>
      </c>
      <c r="G67">
        <f>IF(COUNTIFS('United Data'!$A$3:$A$2150,G$1,'United Data'!$C$3:$C$2150,$A67,'United Data'!$B$3:$B$2150,"P")&gt;0,1,0)</f>
        <v>1</v>
      </c>
      <c r="H67">
        <f>IF(COUNTIFS('United Data'!$A$3:$A$2150,H$1,'United Data'!$C$3:$C$2150,$A67,'United Data'!$B$3:$B$2150,"P")&gt;0,1,0)</f>
        <v>1</v>
      </c>
      <c r="I67">
        <f>IF(COUNTIFS('United Data'!$A$3:$A$2150,I$1,'United Data'!$C$3:$C$2150,$A67,'United Data'!$B$3:$B$2150,"P")&gt;0,1,0)</f>
        <v>0</v>
      </c>
      <c r="J67">
        <f>IF(COUNTIFS('United Data'!$A$3:$A$2150,J$1,'United Data'!$C$3:$C$2150,$A67,'United Data'!$B$3:$B$2150,"P")&gt;0,1,0)</f>
        <v>1</v>
      </c>
      <c r="K67">
        <f>IF(COUNTIFS('United Data'!$A$3:$A$2150,K$1,'United Data'!$C$3:$C$2150,$A67,'United Data'!$B$3:$B$2150,"P")&gt;0,1,0)</f>
        <v>0</v>
      </c>
      <c r="L67">
        <f>IF(COUNTIFS('United Data'!$A$3:$A$2150,L$1,'United Data'!$C$3:$C$2150,$A67,'United Data'!$B$3:$B$2150,"P")&gt;0,1,0)</f>
        <v>0</v>
      </c>
      <c r="M67">
        <f>IF(COUNTIFS('United Data'!$A$3:$A$2150,M$1,'United Data'!$C$3:$C$2150,$A67,'United Data'!$B$3:$B$2150,"P")&gt;0,1,0)</f>
        <v>0</v>
      </c>
      <c r="N67">
        <f>IF(COUNTIFS('United Data'!$A$3:$A$2150,N$1,'United Data'!$C$3:$C$2150,$A67,'United Data'!$B$3:$B$2150,"P")&gt;0,1,0)</f>
        <v>0</v>
      </c>
      <c r="O67">
        <f>IF(COUNTIFS('United Data'!$A$3:$A$2150,O$1,'United Data'!$C$3:$C$2150,$A67,'United Data'!$B$3:$B$2150,"P")&gt;0,1,0)</f>
        <v>0</v>
      </c>
      <c r="P67">
        <f>IF(COUNTIFS('United Data'!$A$3:$A$2150,P$1,'United Data'!$C$3:$C$2150,$A67,'United Data'!$B$3:$B$2150,"P")&gt;0,1,0)</f>
        <v>0</v>
      </c>
      <c r="Q67">
        <f>IF(COUNTIFS('United Data'!$A$3:$A$2150,Q$1,'United Data'!$C$3:$C$2150,$A67,'United Data'!$B$3:$B$2150,"P")&gt;0,1,0)</f>
        <v>0</v>
      </c>
      <c r="R67">
        <f>IF(COUNTIFS('United Data'!$A$3:$A$2150,R$1,'United Data'!$C$3:$C$2150,$A67,'United Data'!$B$3:$B$2150,"P")&gt;0,1,0)</f>
        <v>0</v>
      </c>
      <c r="S67">
        <f t="shared" si="2"/>
        <v>4</v>
      </c>
      <c r="T67">
        <f t="shared" si="3"/>
        <v>2</v>
      </c>
    </row>
    <row r="68" spans="1:20" x14ac:dyDescent="0.2">
      <c r="A68" t="s">
        <v>836</v>
      </c>
      <c r="B68">
        <f>IF(COUNTIFS('United Data'!$A$3:$A$2150,B$1,'United Data'!$C$3:$C$2150,$A68,'United Data'!$B$3:$B$2150,"P")&gt;0,1,0)</f>
        <v>0</v>
      </c>
      <c r="C68">
        <f>IF(COUNTIFS('United Data'!$A$3:$A$2150,C$1,'United Data'!$C$3:$C$2150,$A68,'United Data'!$B$3:$B$2150,"P")&gt;0,1,0)</f>
        <v>0</v>
      </c>
      <c r="D68">
        <f>IF(COUNTIFS('United Data'!$A$3:$A$2150,D$1,'United Data'!$C$3:$C$2150,$A68,'United Data'!$B$3:$B$2150,"P")&gt;0,1,0)</f>
        <v>0</v>
      </c>
      <c r="E68">
        <f>IF(COUNTIFS('United Data'!$A$3:$A$2150,E$1,'United Data'!$C$3:$C$2150,$A68,'United Data'!$B$3:$B$2150,"P")&gt;0,1,0)</f>
        <v>0</v>
      </c>
      <c r="F68">
        <f>IF(COUNTIFS('United Data'!$A$3:$A$2150,F$1,'United Data'!$C$3:$C$2150,$A68,'United Data'!$B$3:$B$2150,"P")&gt;0,1,0)</f>
        <v>1</v>
      </c>
      <c r="G68">
        <f>IF(COUNTIFS('United Data'!$A$3:$A$2150,G$1,'United Data'!$C$3:$C$2150,$A68,'United Data'!$B$3:$B$2150,"P")&gt;0,1,0)</f>
        <v>1</v>
      </c>
      <c r="H68">
        <f>IF(COUNTIFS('United Data'!$A$3:$A$2150,H$1,'United Data'!$C$3:$C$2150,$A68,'United Data'!$B$3:$B$2150,"P")&gt;0,1,0)</f>
        <v>1</v>
      </c>
      <c r="I68">
        <f>IF(COUNTIFS('United Data'!$A$3:$A$2150,I$1,'United Data'!$C$3:$C$2150,$A68,'United Data'!$B$3:$B$2150,"P")&gt;0,1,0)</f>
        <v>0</v>
      </c>
      <c r="J68">
        <f>IF(COUNTIFS('United Data'!$A$3:$A$2150,J$1,'United Data'!$C$3:$C$2150,$A68,'United Data'!$B$3:$B$2150,"P")&gt;0,1,0)</f>
        <v>1</v>
      </c>
      <c r="K68">
        <f>IF(COUNTIFS('United Data'!$A$3:$A$2150,K$1,'United Data'!$C$3:$C$2150,$A68,'United Data'!$B$3:$B$2150,"P")&gt;0,1,0)</f>
        <v>1</v>
      </c>
      <c r="L68">
        <f>IF(COUNTIFS('United Data'!$A$3:$A$2150,L$1,'United Data'!$C$3:$C$2150,$A68,'United Data'!$B$3:$B$2150,"P")&gt;0,1,0)</f>
        <v>1</v>
      </c>
      <c r="M68">
        <f>IF(COUNTIFS('United Data'!$A$3:$A$2150,M$1,'United Data'!$C$3:$C$2150,$A68,'United Data'!$B$3:$B$2150,"P")&gt;0,1,0)</f>
        <v>1</v>
      </c>
      <c r="N68">
        <f>IF(COUNTIFS('United Data'!$A$3:$A$2150,N$1,'United Data'!$C$3:$C$2150,$A68,'United Data'!$B$3:$B$2150,"P")&gt;0,1,0)</f>
        <v>1</v>
      </c>
      <c r="O68">
        <f>IF(COUNTIFS('United Data'!$A$3:$A$2150,O$1,'United Data'!$C$3:$C$2150,$A68,'United Data'!$B$3:$B$2150,"P")&gt;0,1,0)</f>
        <v>0</v>
      </c>
      <c r="P68">
        <f>IF(COUNTIFS('United Data'!$A$3:$A$2150,P$1,'United Data'!$C$3:$C$2150,$A68,'United Data'!$B$3:$B$2150,"P")&gt;0,1,0)</f>
        <v>0</v>
      </c>
      <c r="Q68">
        <f>IF(COUNTIFS('United Data'!$A$3:$A$2150,Q$1,'United Data'!$C$3:$C$2150,$A68,'United Data'!$B$3:$B$2150,"P")&gt;0,1,0)</f>
        <v>0</v>
      </c>
      <c r="R68">
        <f>IF(COUNTIFS('United Data'!$A$3:$A$2150,R$1,'United Data'!$C$3:$C$2150,$A68,'United Data'!$B$3:$B$2150,"P")&gt;0,1,0)</f>
        <v>0</v>
      </c>
      <c r="S68">
        <f t="shared" si="2"/>
        <v>8</v>
      </c>
      <c r="T68">
        <f t="shared" si="3"/>
        <v>2</v>
      </c>
    </row>
    <row r="69" spans="1:20" x14ac:dyDescent="0.2">
      <c r="A69" t="s">
        <v>837</v>
      </c>
      <c r="B69">
        <f>IF(COUNTIFS('United Data'!$A$3:$A$2150,B$1,'United Data'!$C$3:$C$2150,$A69,'United Data'!$B$3:$B$2150,"P")&gt;0,1,0)</f>
        <v>0</v>
      </c>
      <c r="C69">
        <f>IF(COUNTIFS('United Data'!$A$3:$A$2150,C$1,'United Data'!$C$3:$C$2150,$A69,'United Data'!$B$3:$B$2150,"P")&gt;0,1,0)</f>
        <v>0</v>
      </c>
      <c r="D69">
        <f>IF(COUNTIFS('United Data'!$A$3:$A$2150,D$1,'United Data'!$C$3:$C$2150,$A69,'United Data'!$B$3:$B$2150,"P")&gt;0,1,0)</f>
        <v>0</v>
      </c>
      <c r="E69">
        <f>IF(COUNTIFS('United Data'!$A$3:$A$2150,E$1,'United Data'!$C$3:$C$2150,$A69,'United Data'!$B$3:$B$2150,"P")&gt;0,1,0)</f>
        <v>0</v>
      </c>
      <c r="F69">
        <f>IF(COUNTIFS('United Data'!$A$3:$A$2150,F$1,'United Data'!$C$3:$C$2150,$A69,'United Data'!$B$3:$B$2150,"P")&gt;0,1,0)</f>
        <v>1</v>
      </c>
      <c r="G69">
        <f>IF(COUNTIFS('United Data'!$A$3:$A$2150,G$1,'United Data'!$C$3:$C$2150,$A69,'United Data'!$B$3:$B$2150,"P")&gt;0,1,0)</f>
        <v>1</v>
      </c>
      <c r="H69">
        <f>IF(COUNTIFS('United Data'!$A$3:$A$2150,H$1,'United Data'!$C$3:$C$2150,$A69,'United Data'!$B$3:$B$2150,"P")&gt;0,1,0)</f>
        <v>1</v>
      </c>
      <c r="I69">
        <f>IF(COUNTIFS('United Data'!$A$3:$A$2150,I$1,'United Data'!$C$3:$C$2150,$A69,'United Data'!$B$3:$B$2150,"P")&gt;0,1,0)</f>
        <v>1</v>
      </c>
      <c r="J69">
        <f>IF(COUNTIFS('United Data'!$A$3:$A$2150,J$1,'United Data'!$C$3:$C$2150,$A69,'United Data'!$B$3:$B$2150,"P")&gt;0,1,0)</f>
        <v>1</v>
      </c>
      <c r="K69">
        <f>IF(COUNTIFS('United Data'!$A$3:$A$2150,K$1,'United Data'!$C$3:$C$2150,$A69,'United Data'!$B$3:$B$2150,"P")&gt;0,1,0)</f>
        <v>0</v>
      </c>
      <c r="L69">
        <f>IF(COUNTIFS('United Data'!$A$3:$A$2150,L$1,'United Data'!$C$3:$C$2150,$A69,'United Data'!$B$3:$B$2150,"P")&gt;0,1,0)</f>
        <v>1</v>
      </c>
      <c r="M69">
        <f>IF(COUNTIFS('United Data'!$A$3:$A$2150,M$1,'United Data'!$C$3:$C$2150,$A69,'United Data'!$B$3:$B$2150,"P")&gt;0,1,0)</f>
        <v>1</v>
      </c>
      <c r="N69">
        <f>IF(COUNTIFS('United Data'!$A$3:$A$2150,N$1,'United Data'!$C$3:$C$2150,$A69,'United Data'!$B$3:$B$2150,"P")&gt;0,1,0)</f>
        <v>0</v>
      </c>
      <c r="O69">
        <f>IF(COUNTIFS('United Data'!$A$3:$A$2150,O$1,'United Data'!$C$3:$C$2150,$A69,'United Data'!$B$3:$B$2150,"P")&gt;0,1,0)</f>
        <v>0</v>
      </c>
      <c r="P69">
        <f>IF(COUNTIFS('United Data'!$A$3:$A$2150,P$1,'United Data'!$C$3:$C$2150,$A69,'United Data'!$B$3:$B$2150,"P")&gt;0,1,0)</f>
        <v>0</v>
      </c>
      <c r="Q69">
        <f>IF(COUNTIFS('United Data'!$A$3:$A$2150,Q$1,'United Data'!$C$3:$C$2150,$A69,'United Data'!$B$3:$B$2150,"P")&gt;0,1,0)</f>
        <v>0</v>
      </c>
      <c r="R69">
        <f>IF(COUNTIFS('United Data'!$A$3:$A$2150,R$1,'United Data'!$C$3:$C$2150,$A69,'United Data'!$B$3:$B$2150,"P")&gt;0,1,0)</f>
        <v>0</v>
      </c>
      <c r="S69">
        <f t="shared" si="2"/>
        <v>7</v>
      </c>
      <c r="T69">
        <f t="shared" si="3"/>
        <v>2</v>
      </c>
    </row>
    <row r="70" spans="1:20" x14ac:dyDescent="0.2">
      <c r="A70" t="s">
        <v>838</v>
      </c>
      <c r="B70">
        <f>IF(COUNTIFS('United Data'!$A$3:$A$2150,B$1,'United Data'!$C$3:$C$2150,$A70,'United Data'!$B$3:$B$2150,"P")&gt;0,1,0)</f>
        <v>0</v>
      </c>
      <c r="C70">
        <f>IF(COUNTIFS('United Data'!$A$3:$A$2150,C$1,'United Data'!$C$3:$C$2150,$A70,'United Data'!$B$3:$B$2150,"P")&gt;0,1,0)</f>
        <v>0</v>
      </c>
      <c r="D70">
        <f>IF(COUNTIFS('United Data'!$A$3:$A$2150,D$1,'United Data'!$C$3:$C$2150,$A70,'United Data'!$B$3:$B$2150,"P")&gt;0,1,0)</f>
        <v>0</v>
      </c>
      <c r="E70">
        <f>IF(COUNTIFS('United Data'!$A$3:$A$2150,E$1,'United Data'!$C$3:$C$2150,$A70,'United Data'!$B$3:$B$2150,"P")&gt;0,1,0)</f>
        <v>0</v>
      </c>
      <c r="F70">
        <f>IF(COUNTIFS('United Data'!$A$3:$A$2150,F$1,'United Data'!$C$3:$C$2150,$A70,'United Data'!$B$3:$B$2150,"P")&gt;0,1,0)</f>
        <v>1</v>
      </c>
      <c r="G70">
        <f>IF(COUNTIFS('United Data'!$A$3:$A$2150,G$1,'United Data'!$C$3:$C$2150,$A70,'United Data'!$B$3:$B$2150,"P")&gt;0,1,0)</f>
        <v>0</v>
      </c>
      <c r="H70">
        <f>IF(COUNTIFS('United Data'!$A$3:$A$2150,H$1,'United Data'!$C$3:$C$2150,$A70,'United Data'!$B$3:$B$2150,"P")&gt;0,1,0)</f>
        <v>0</v>
      </c>
      <c r="I70">
        <f>IF(COUNTIFS('United Data'!$A$3:$A$2150,I$1,'United Data'!$C$3:$C$2150,$A70,'United Data'!$B$3:$B$2150,"P")&gt;0,1,0)</f>
        <v>0</v>
      </c>
      <c r="J70">
        <f>IF(COUNTIFS('United Data'!$A$3:$A$2150,J$1,'United Data'!$C$3:$C$2150,$A70,'United Data'!$B$3:$B$2150,"P")&gt;0,1,0)</f>
        <v>0</v>
      </c>
      <c r="K70">
        <f>IF(COUNTIFS('United Data'!$A$3:$A$2150,K$1,'United Data'!$C$3:$C$2150,$A70,'United Data'!$B$3:$B$2150,"P")&gt;0,1,0)</f>
        <v>0</v>
      </c>
      <c r="L70">
        <f>IF(COUNTIFS('United Data'!$A$3:$A$2150,L$1,'United Data'!$C$3:$C$2150,$A70,'United Data'!$B$3:$B$2150,"P")&gt;0,1,0)</f>
        <v>0</v>
      </c>
      <c r="M70">
        <f>IF(COUNTIFS('United Data'!$A$3:$A$2150,M$1,'United Data'!$C$3:$C$2150,$A70,'United Data'!$B$3:$B$2150,"P")&gt;0,1,0)</f>
        <v>0</v>
      </c>
      <c r="N70">
        <f>IF(COUNTIFS('United Data'!$A$3:$A$2150,N$1,'United Data'!$C$3:$C$2150,$A70,'United Data'!$B$3:$B$2150,"P")&gt;0,1,0)</f>
        <v>0</v>
      </c>
      <c r="O70">
        <f>IF(COUNTIFS('United Data'!$A$3:$A$2150,O$1,'United Data'!$C$3:$C$2150,$A70,'United Data'!$B$3:$B$2150,"P")&gt;0,1,0)</f>
        <v>0</v>
      </c>
      <c r="P70">
        <f>IF(COUNTIFS('United Data'!$A$3:$A$2150,P$1,'United Data'!$C$3:$C$2150,$A70,'United Data'!$B$3:$B$2150,"P")&gt;0,1,0)</f>
        <v>0</v>
      </c>
      <c r="Q70">
        <f>IF(COUNTIFS('United Data'!$A$3:$A$2150,Q$1,'United Data'!$C$3:$C$2150,$A70,'United Data'!$B$3:$B$2150,"P")&gt;0,1,0)</f>
        <v>0</v>
      </c>
      <c r="R70">
        <f>IF(COUNTIFS('United Data'!$A$3:$A$2150,R$1,'United Data'!$C$3:$C$2150,$A70,'United Data'!$B$3:$B$2150,"P")&gt;0,1,0)</f>
        <v>0</v>
      </c>
      <c r="S70">
        <f t="shared" si="2"/>
        <v>1</v>
      </c>
      <c r="T70">
        <f t="shared" si="3"/>
        <v>1</v>
      </c>
    </row>
    <row r="71" spans="1:20" x14ac:dyDescent="0.2">
      <c r="A71" t="s">
        <v>839</v>
      </c>
      <c r="B71">
        <f>IF(COUNTIFS('United Data'!$A$3:$A$2150,B$1,'United Data'!$C$3:$C$2150,$A71,'United Data'!$B$3:$B$2150,"P")&gt;0,1,0)</f>
        <v>0</v>
      </c>
      <c r="C71">
        <f>IF(COUNTIFS('United Data'!$A$3:$A$2150,C$1,'United Data'!$C$3:$C$2150,$A71,'United Data'!$B$3:$B$2150,"P")&gt;0,1,0)</f>
        <v>0</v>
      </c>
      <c r="D71">
        <f>IF(COUNTIFS('United Data'!$A$3:$A$2150,D$1,'United Data'!$C$3:$C$2150,$A71,'United Data'!$B$3:$B$2150,"P")&gt;0,1,0)</f>
        <v>0</v>
      </c>
      <c r="E71">
        <f>IF(COUNTIFS('United Data'!$A$3:$A$2150,E$1,'United Data'!$C$3:$C$2150,$A71,'United Data'!$B$3:$B$2150,"P")&gt;0,1,0)</f>
        <v>0</v>
      </c>
      <c r="F71">
        <f>IF(COUNTIFS('United Data'!$A$3:$A$2150,F$1,'United Data'!$C$3:$C$2150,$A71,'United Data'!$B$3:$B$2150,"P")&gt;0,1,0)</f>
        <v>1</v>
      </c>
      <c r="G71">
        <f>IF(COUNTIFS('United Data'!$A$3:$A$2150,G$1,'United Data'!$C$3:$C$2150,$A71,'United Data'!$B$3:$B$2150,"P")&gt;0,1,0)</f>
        <v>0</v>
      </c>
      <c r="H71">
        <f>IF(COUNTIFS('United Data'!$A$3:$A$2150,H$1,'United Data'!$C$3:$C$2150,$A71,'United Data'!$B$3:$B$2150,"P")&gt;0,1,0)</f>
        <v>0</v>
      </c>
      <c r="I71">
        <f>IF(COUNTIFS('United Data'!$A$3:$A$2150,I$1,'United Data'!$C$3:$C$2150,$A71,'United Data'!$B$3:$B$2150,"P")&gt;0,1,0)</f>
        <v>0</v>
      </c>
      <c r="J71">
        <f>IF(COUNTIFS('United Data'!$A$3:$A$2150,J$1,'United Data'!$C$3:$C$2150,$A71,'United Data'!$B$3:$B$2150,"P")&gt;0,1,0)</f>
        <v>0</v>
      </c>
      <c r="K71">
        <f>IF(COUNTIFS('United Data'!$A$3:$A$2150,K$1,'United Data'!$C$3:$C$2150,$A71,'United Data'!$B$3:$B$2150,"P")&gt;0,1,0)</f>
        <v>0</v>
      </c>
      <c r="L71">
        <f>IF(COUNTIFS('United Data'!$A$3:$A$2150,L$1,'United Data'!$C$3:$C$2150,$A71,'United Data'!$B$3:$B$2150,"P")&gt;0,1,0)</f>
        <v>0</v>
      </c>
      <c r="M71">
        <f>IF(COUNTIFS('United Data'!$A$3:$A$2150,M$1,'United Data'!$C$3:$C$2150,$A71,'United Data'!$B$3:$B$2150,"P")&gt;0,1,0)</f>
        <v>0</v>
      </c>
      <c r="N71">
        <f>IF(COUNTIFS('United Data'!$A$3:$A$2150,N$1,'United Data'!$C$3:$C$2150,$A71,'United Data'!$B$3:$B$2150,"P")&gt;0,1,0)</f>
        <v>0</v>
      </c>
      <c r="O71">
        <f>IF(COUNTIFS('United Data'!$A$3:$A$2150,O$1,'United Data'!$C$3:$C$2150,$A71,'United Data'!$B$3:$B$2150,"P")&gt;0,1,0)</f>
        <v>0</v>
      </c>
      <c r="P71">
        <f>IF(COUNTIFS('United Data'!$A$3:$A$2150,P$1,'United Data'!$C$3:$C$2150,$A71,'United Data'!$B$3:$B$2150,"P")&gt;0,1,0)</f>
        <v>0</v>
      </c>
      <c r="Q71">
        <f>IF(COUNTIFS('United Data'!$A$3:$A$2150,Q$1,'United Data'!$C$3:$C$2150,$A71,'United Data'!$B$3:$B$2150,"P")&gt;0,1,0)</f>
        <v>0</v>
      </c>
      <c r="R71">
        <f>IF(COUNTIFS('United Data'!$A$3:$A$2150,R$1,'United Data'!$C$3:$C$2150,$A71,'United Data'!$B$3:$B$2150,"P")&gt;0,1,0)</f>
        <v>0</v>
      </c>
      <c r="S71">
        <f t="shared" si="2"/>
        <v>1</v>
      </c>
      <c r="T71">
        <f t="shared" si="3"/>
        <v>1</v>
      </c>
    </row>
    <row r="72" spans="1:20" x14ac:dyDescent="0.2">
      <c r="A72" t="s">
        <v>840</v>
      </c>
      <c r="B72">
        <f>IF(COUNTIFS('United Data'!$A$3:$A$2150,B$1,'United Data'!$C$3:$C$2150,$A72,'United Data'!$B$3:$B$2150,"P")&gt;0,1,0)</f>
        <v>0</v>
      </c>
      <c r="C72">
        <f>IF(COUNTIFS('United Data'!$A$3:$A$2150,C$1,'United Data'!$C$3:$C$2150,$A72,'United Data'!$B$3:$B$2150,"P")&gt;0,1,0)</f>
        <v>0</v>
      </c>
      <c r="D72">
        <f>IF(COUNTIFS('United Data'!$A$3:$A$2150,D$1,'United Data'!$C$3:$C$2150,$A72,'United Data'!$B$3:$B$2150,"P")&gt;0,1,0)</f>
        <v>0</v>
      </c>
      <c r="E72">
        <f>IF(COUNTIFS('United Data'!$A$3:$A$2150,E$1,'United Data'!$C$3:$C$2150,$A72,'United Data'!$B$3:$B$2150,"P")&gt;0,1,0)</f>
        <v>0</v>
      </c>
      <c r="F72">
        <f>IF(COUNTIFS('United Data'!$A$3:$A$2150,F$1,'United Data'!$C$3:$C$2150,$A72,'United Data'!$B$3:$B$2150,"P")&gt;0,1,0)</f>
        <v>1</v>
      </c>
      <c r="G72">
        <f>IF(COUNTIFS('United Data'!$A$3:$A$2150,G$1,'United Data'!$C$3:$C$2150,$A72,'United Data'!$B$3:$B$2150,"P")&gt;0,1,0)</f>
        <v>1</v>
      </c>
      <c r="H72">
        <f>IF(COUNTIFS('United Data'!$A$3:$A$2150,H$1,'United Data'!$C$3:$C$2150,$A72,'United Data'!$B$3:$B$2150,"P")&gt;0,1,0)</f>
        <v>1</v>
      </c>
      <c r="I72">
        <f>IF(COUNTIFS('United Data'!$A$3:$A$2150,I$1,'United Data'!$C$3:$C$2150,$A72,'United Data'!$B$3:$B$2150,"P")&gt;0,1,0)</f>
        <v>1</v>
      </c>
      <c r="J72">
        <f>IF(COUNTIFS('United Data'!$A$3:$A$2150,J$1,'United Data'!$C$3:$C$2150,$A72,'United Data'!$B$3:$B$2150,"P")&gt;0,1,0)</f>
        <v>0</v>
      </c>
      <c r="K72">
        <f>IF(COUNTIFS('United Data'!$A$3:$A$2150,K$1,'United Data'!$C$3:$C$2150,$A72,'United Data'!$B$3:$B$2150,"P")&gt;0,1,0)</f>
        <v>0</v>
      </c>
      <c r="L72">
        <f>IF(COUNTIFS('United Data'!$A$3:$A$2150,L$1,'United Data'!$C$3:$C$2150,$A72,'United Data'!$B$3:$B$2150,"P")&gt;0,1,0)</f>
        <v>0</v>
      </c>
      <c r="M72">
        <f>IF(COUNTIFS('United Data'!$A$3:$A$2150,M$1,'United Data'!$C$3:$C$2150,$A72,'United Data'!$B$3:$B$2150,"P")&gt;0,1,0)</f>
        <v>0</v>
      </c>
      <c r="N72">
        <f>IF(COUNTIFS('United Data'!$A$3:$A$2150,N$1,'United Data'!$C$3:$C$2150,$A72,'United Data'!$B$3:$B$2150,"P")&gt;0,1,0)</f>
        <v>0</v>
      </c>
      <c r="O72">
        <f>IF(COUNTIFS('United Data'!$A$3:$A$2150,O$1,'United Data'!$C$3:$C$2150,$A72,'United Data'!$B$3:$B$2150,"P")&gt;0,1,0)</f>
        <v>0</v>
      </c>
      <c r="P72">
        <f>IF(COUNTIFS('United Data'!$A$3:$A$2150,P$1,'United Data'!$C$3:$C$2150,$A72,'United Data'!$B$3:$B$2150,"P")&gt;0,1,0)</f>
        <v>0</v>
      </c>
      <c r="Q72">
        <f>IF(COUNTIFS('United Data'!$A$3:$A$2150,Q$1,'United Data'!$C$3:$C$2150,$A72,'United Data'!$B$3:$B$2150,"P")&gt;0,1,0)</f>
        <v>0</v>
      </c>
      <c r="R72">
        <f>IF(COUNTIFS('United Data'!$A$3:$A$2150,R$1,'United Data'!$C$3:$C$2150,$A72,'United Data'!$B$3:$B$2150,"P")&gt;0,1,0)</f>
        <v>0</v>
      </c>
      <c r="S72">
        <f t="shared" si="2"/>
        <v>4</v>
      </c>
      <c r="T72">
        <f t="shared" si="3"/>
        <v>1</v>
      </c>
    </row>
    <row r="73" spans="1:20" x14ac:dyDescent="0.2">
      <c r="A73" t="s">
        <v>841</v>
      </c>
      <c r="B73">
        <f>IF(COUNTIFS('United Data'!$A$3:$A$2150,B$1,'United Data'!$C$3:$C$2150,$A73,'United Data'!$B$3:$B$2150,"P")&gt;0,1,0)</f>
        <v>0</v>
      </c>
      <c r="C73">
        <f>IF(COUNTIFS('United Data'!$A$3:$A$2150,C$1,'United Data'!$C$3:$C$2150,$A73,'United Data'!$B$3:$B$2150,"P")&gt;0,1,0)</f>
        <v>0</v>
      </c>
      <c r="D73">
        <f>IF(COUNTIFS('United Data'!$A$3:$A$2150,D$1,'United Data'!$C$3:$C$2150,$A73,'United Data'!$B$3:$B$2150,"P")&gt;0,1,0)</f>
        <v>0</v>
      </c>
      <c r="E73">
        <f>IF(COUNTIFS('United Data'!$A$3:$A$2150,E$1,'United Data'!$C$3:$C$2150,$A73,'United Data'!$B$3:$B$2150,"P")&gt;0,1,0)</f>
        <v>0</v>
      </c>
      <c r="F73">
        <f>IF(COUNTIFS('United Data'!$A$3:$A$2150,F$1,'United Data'!$C$3:$C$2150,$A73,'United Data'!$B$3:$B$2150,"P")&gt;0,1,0)</f>
        <v>1</v>
      </c>
      <c r="G73">
        <f>IF(COUNTIFS('United Data'!$A$3:$A$2150,G$1,'United Data'!$C$3:$C$2150,$A73,'United Data'!$B$3:$B$2150,"P")&gt;0,1,0)</f>
        <v>0</v>
      </c>
      <c r="H73">
        <f>IF(COUNTIFS('United Data'!$A$3:$A$2150,H$1,'United Data'!$C$3:$C$2150,$A73,'United Data'!$B$3:$B$2150,"P")&gt;0,1,0)</f>
        <v>1</v>
      </c>
      <c r="I73">
        <f>IF(COUNTIFS('United Data'!$A$3:$A$2150,I$1,'United Data'!$C$3:$C$2150,$A73,'United Data'!$B$3:$B$2150,"P")&gt;0,1,0)</f>
        <v>0</v>
      </c>
      <c r="J73">
        <f>IF(COUNTIFS('United Data'!$A$3:$A$2150,J$1,'United Data'!$C$3:$C$2150,$A73,'United Data'!$B$3:$B$2150,"P")&gt;0,1,0)</f>
        <v>1</v>
      </c>
      <c r="K73">
        <f>IF(COUNTIFS('United Data'!$A$3:$A$2150,K$1,'United Data'!$C$3:$C$2150,$A73,'United Data'!$B$3:$B$2150,"P")&gt;0,1,0)</f>
        <v>0</v>
      </c>
      <c r="L73">
        <f>IF(COUNTIFS('United Data'!$A$3:$A$2150,L$1,'United Data'!$C$3:$C$2150,$A73,'United Data'!$B$3:$B$2150,"P")&gt;0,1,0)</f>
        <v>1</v>
      </c>
      <c r="M73">
        <f>IF(COUNTIFS('United Data'!$A$3:$A$2150,M$1,'United Data'!$C$3:$C$2150,$A73,'United Data'!$B$3:$B$2150,"P")&gt;0,1,0)</f>
        <v>0</v>
      </c>
      <c r="N73">
        <f>IF(COUNTIFS('United Data'!$A$3:$A$2150,N$1,'United Data'!$C$3:$C$2150,$A73,'United Data'!$B$3:$B$2150,"P")&gt;0,1,0)</f>
        <v>0</v>
      </c>
      <c r="O73">
        <f>IF(COUNTIFS('United Data'!$A$3:$A$2150,O$1,'United Data'!$C$3:$C$2150,$A73,'United Data'!$B$3:$B$2150,"P")&gt;0,1,0)</f>
        <v>0</v>
      </c>
      <c r="P73">
        <f>IF(COUNTIFS('United Data'!$A$3:$A$2150,P$1,'United Data'!$C$3:$C$2150,$A73,'United Data'!$B$3:$B$2150,"P")&gt;0,1,0)</f>
        <v>0</v>
      </c>
      <c r="Q73">
        <f>IF(COUNTIFS('United Data'!$A$3:$A$2150,Q$1,'United Data'!$C$3:$C$2150,$A73,'United Data'!$B$3:$B$2150,"P")&gt;0,1,0)</f>
        <v>0</v>
      </c>
      <c r="R73">
        <f>IF(COUNTIFS('United Data'!$A$3:$A$2150,R$1,'United Data'!$C$3:$C$2150,$A73,'United Data'!$B$3:$B$2150,"P")&gt;0,1,0)</f>
        <v>0</v>
      </c>
      <c r="S73">
        <f t="shared" si="2"/>
        <v>4</v>
      </c>
      <c r="T73">
        <f t="shared" si="3"/>
        <v>4</v>
      </c>
    </row>
    <row r="74" spans="1:20" x14ac:dyDescent="0.2">
      <c r="A74" t="s">
        <v>842</v>
      </c>
      <c r="B74">
        <f>IF(COUNTIFS('United Data'!$A$3:$A$2150,B$1,'United Data'!$C$3:$C$2150,$A74,'United Data'!$B$3:$B$2150,"P")&gt;0,1,0)</f>
        <v>0</v>
      </c>
      <c r="C74">
        <f>IF(COUNTIFS('United Data'!$A$3:$A$2150,C$1,'United Data'!$C$3:$C$2150,$A74,'United Data'!$B$3:$B$2150,"P")&gt;0,1,0)</f>
        <v>0</v>
      </c>
      <c r="D74">
        <f>IF(COUNTIFS('United Data'!$A$3:$A$2150,D$1,'United Data'!$C$3:$C$2150,$A74,'United Data'!$B$3:$B$2150,"P")&gt;0,1,0)</f>
        <v>0</v>
      </c>
      <c r="E74">
        <f>IF(COUNTIFS('United Data'!$A$3:$A$2150,E$1,'United Data'!$C$3:$C$2150,$A74,'United Data'!$B$3:$B$2150,"P")&gt;0,1,0)</f>
        <v>0</v>
      </c>
      <c r="F74">
        <f>IF(COUNTIFS('United Data'!$A$3:$A$2150,F$1,'United Data'!$C$3:$C$2150,$A74,'United Data'!$B$3:$B$2150,"P")&gt;0,1,0)</f>
        <v>1</v>
      </c>
      <c r="G74">
        <f>IF(COUNTIFS('United Data'!$A$3:$A$2150,G$1,'United Data'!$C$3:$C$2150,$A74,'United Data'!$B$3:$B$2150,"P")&gt;0,1,0)</f>
        <v>0</v>
      </c>
      <c r="H74">
        <f>IF(COUNTIFS('United Data'!$A$3:$A$2150,H$1,'United Data'!$C$3:$C$2150,$A74,'United Data'!$B$3:$B$2150,"P")&gt;0,1,0)</f>
        <v>0</v>
      </c>
      <c r="I74">
        <f>IF(COUNTIFS('United Data'!$A$3:$A$2150,I$1,'United Data'!$C$3:$C$2150,$A74,'United Data'!$B$3:$B$2150,"P")&gt;0,1,0)</f>
        <v>0</v>
      </c>
      <c r="J74">
        <f>IF(COUNTIFS('United Data'!$A$3:$A$2150,J$1,'United Data'!$C$3:$C$2150,$A74,'United Data'!$B$3:$B$2150,"P")&gt;0,1,0)</f>
        <v>0</v>
      </c>
      <c r="K74">
        <f>IF(COUNTIFS('United Data'!$A$3:$A$2150,K$1,'United Data'!$C$3:$C$2150,$A74,'United Data'!$B$3:$B$2150,"P")&gt;0,1,0)</f>
        <v>0</v>
      </c>
      <c r="L74">
        <f>IF(COUNTIFS('United Data'!$A$3:$A$2150,L$1,'United Data'!$C$3:$C$2150,$A74,'United Data'!$B$3:$B$2150,"P")&gt;0,1,0)</f>
        <v>0</v>
      </c>
      <c r="M74">
        <f>IF(COUNTIFS('United Data'!$A$3:$A$2150,M$1,'United Data'!$C$3:$C$2150,$A74,'United Data'!$B$3:$B$2150,"P")&gt;0,1,0)</f>
        <v>0</v>
      </c>
      <c r="N74">
        <f>IF(COUNTIFS('United Data'!$A$3:$A$2150,N$1,'United Data'!$C$3:$C$2150,$A74,'United Data'!$B$3:$B$2150,"P")&gt;0,1,0)</f>
        <v>0</v>
      </c>
      <c r="O74">
        <f>IF(COUNTIFS('United Data'!$A$3:$A$2150,O$1,'United Data'!$C$3:$C$2150,$A74,'United Data'!$B$3:$B$2150,"P")&gt;0,1,0)</f>
        <v>0</v>
      </c>
      <c r="P74">
        <f>IF(COUNTIFS('United Data'!$A$3:$A$2150,P$1,'United Data'!$C$3:$C$2150,$A74,'United Data'!$B$3:$B$2150,"P")&gt;0,1,0)</f>
        <v>0</v>
      </c>
      <c r="Q74">
        <f>IF(COUNTIFS('United Data'!$A$3:$A$2150,Q$1,'United Data'!$C$3:$C$2150,$A74,'United Data'!$B$3:$B$2150,"P")&gt;0,1,0)</f>
        <v>0</v>
      </c>
      <c r="R74">
        <f>IF(COUNTIFS('United Data'!$A$3:$A$2150,R$1,'United Data'!$C$3:$C$2150,$A74,'United Data'!$B$3:$B$2150,"P")&gt;0,1,0)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843</v>
      </c>
      <c r="B75">
        <f>IF(COUNTIFS('United Data'!$A$3:$A$2150,B$1,'United Data'!$C$3:$C$2150,$A75,'United Data'!$B$3:$B$2150,"P")&gt;0,1,0)</f>
        <v>0</v>
      </c>
      <c r="C75">
        <f>IF(COUNTIFS('United Data'!$A$3:$A$2150,C$1,'United Data'!$C$3:$C$2150,$A75,'United Data'!$B$3:$B$2150,"P")&gt;0,1,0)</f>
        <v>0</v>
      </c>
      <c r="D75">
        <f>IF(COUNTIFS('United Data'!$A$3:$A$2150,D$1,'United Data'!$C$3:$C$2150,$A75,'United Data'!$B$3:$B$2150,"P")&gt;0,1,0)</f>
        <v>0</v>
      </c>
      <c r="E75">
        <f>IF(COUNTIFS('United Data'!$A$3:$A$2150,E$1,'United Data'!$C$3:$C$2150,$A75,'United Data'!$B$3:$B$2150,"P")&gt;0,1,0)</f>
        <v>0</v>
      </c>
      <c r="F75">
        <f>IF(COUNTIFS('United Data'!$A$3:$A$2150,F$1,'United Data'!$C$3:$C$2150,$A75,'United Data'!$B$3:$B$2150,"P")&gt;0,1,0)</f>
        <v>1</v>
      </c>
      <c r="G75">
        <f>IF(COUNTIFS('United Data'!$A$3:$A$2150,G$1,'United Data'!$C$3:$C$2150,$A75,'United Data'!$B$3:$B$2150,"P")&gt;0,1,0)</f>
        <v>1</v>
      </c>
      <c r="H75">
        <f>IF(COUNTIFS('United Data'!$A$3:$A$2150,H$1,'United Data'!$C$3:$C$2150,$A75,'United Data'!$B$3:$B$2150,"P")&gt;0,1,0)</f>
        <v>1</v>
      </c>
      <c r="I75">
        <f>IF(COUNTIFS('United Data'!$A$3:$A$2150,I$1,'United Data'!$C$3:$C$2150,$A75,'United Data'!$B$3:$B$2150,"P")&gt;0,1,0)</f>
        <v>1</v>
      </c>
      <c r="J75">
        <f>IF(COUNTIFS('United Data'!$A$3:$A$2150,J$1,'United Data'!$C$3:$C$2150,$A75,'United Data'!$B$3:$B$2150,"P")&gt;0,1,0)</f>
        <v>1</v>
      </c>
      <c r="K75">
        <f>IF(COUNTIFS('United Data'!$A$3:$A$2150,K$1,'United Data'!$C$3:$C$2150,$A75,'United Data'!$B$3:$B$2150,"P")&gt;0,1,0)</f>
        <v>1</v>
      </c>
      <c r="L75">
        <f>IF(COUNTIFS('United Data'!$A$3:$A$2150,L$1,'United Data'!$C$3:$C$2150,$A75,'United Data'!$B$3:$B$2150,"P")&gt;0,1,0)</f>
        <v>0</v>
      </c>
      <c r="M75">
        <f>IF(COUNTIFS('United Data'!$A$3:$A$2150,M$1,'United Data'!$C$3:$C$2150,$A75,'United Data'!$B$3:$B$2150,"P")&gt;0,1,0)</f>
        <v>1</v>
      </c>
      <c r="N75">
        <f>IF(COUNTIFS('United Data'!$A$3:$A$2150,N$1,'United Data'!$C$3:$C$2150,$A75,'United Data'!$B$3:$B$2150,"P")&gt;0,1,0)</f>
        <v>0</v>
      </c>
      <c r="O75">
        <f>IF(COUNTIFS('United Data'!$A$3:$A$2150,O$1,'United Data'!$C$3:$C$2150,$A75,'United Data'!$B$3:$B$2150,"P")&gt;0,1,0)</f>
        <v>0</v>
      </c>
      <c r="P75">
        <f>IF(COUNTIFS('United Data'!$A$3:$A$2150,P$1,'United Data'!$C$3:$C$2150,$A75,'United Data'!$B$3:$B$2150,"P")&gt;0,1,0)</f>
        <v>0</v>
      </c>
      <c r="Q75">
        <f>IF(COUNTIFS('United Data'!$A$3:$A$2150,Q$1,'United Data'!$C$3:$C$2150,$A75,'United Data'!$B$3:$B$2150,"P")&gt;0,1,0)</f>
        <v>0</v>
      </c>
      <c r="R75">
        <f>IF(COUNTIFS('United Data'!$A$3:$A$2150,R$1,'United Data'!$C$3:$C$2150,$A75,'United Data'!$B$3:$B$2150,"P")&gt;0,1,0)</f>
        <v>0</v>
      </c>
      <c r="S75">
        <f t="shared" si="2"/>
        <v>7</v>
      </c>
      <c r="T75">
        <f t="shared" si="3"/>
        <v>2</v>
      </c>
    </row>
    <row r="76" spans="1:20" x14ac:dyDescent="0.2">
      <c r="A76" t="s">
        <v>844</v>
      </c>
      <c r="B76">
        <f>IF(COUNTIFS('United Data'!$A$3:$A$2150,B$1,'United Data'!$C$3:$C$2150,$A76,'United Data'!$B$3:$B$2150,"P")&gt;0,1,0)</f>
        <v>0</v>
      </c>
      <c r="C76">
        <f>IF(COUNTIFS('United Data'!$A$3:$A$2150,C$1,'United Data'!$C$3:$C$2150,$A76,'United Data'!$B$3:$B$2150,"P")&gt;0,1,0)</f>
        <v>0</v>
      </c>
      <c r="D76">
        <f>IF(COUNTIFS('United Data'!$A$3:$A$2150,D$1,'United Data'!$C$3:$C$2150,$A76,'United Data'!$B$3:$B$2150,"P")&gt;0,1,0)</f>
        <v>0</v>
      </c>
      <c r="E76">
        <f>IF(COUNTIFS('United Data'!$A$3:$A$2150,E$1,'United Data'!$C$3:$C$2150,$A76,'United Data'!$B$3:$B$2150,"P")&gt;0,1,0)</f>
        <v>0</v>
      </c>
      <c r="F76">
        <f>IF(COUNTIFS('United Data'!$A$3:$A$2150,F$1,'United Data'!$C$3:$C$2150,$A76,'United Data'!$B$3:$B$2150,"P")&gt;0,1,0)</f>
        <v>1</v>
      </c>
      <c r="G76">
        <f>IF(COUNTIFS('United Data'!$A$3:$A$2150,G$1,'United Data'!$C$3:$C$2150,$A76,'United Data'!$B$3:$B$2150,"P")&gt;0,1,0)</f>
        <v>1</v>
      </c>
      <c r="H76">
        <f>IF(COUNTIFS('United Data'!$A$3:$A$2150,H$1,'United Data'!$C$3:$C$2150,$A76,'United Data'!$B$3:$B$2150,"P")&gt;0,1,0)</f>
        <v>1</v>
      </c>
      <c r="I76">
        <f>IF(COUNTIFS('United Data'!$A$3:$A$2150,I$1,'United Data'!$C$3:$C$2150,$A76,'United Data'!$B$3:$B$2150,"P")&gt;0,1,0)</f>
        <v>1</v>
      </c>
      <c r="J76">
        <f>IF(COUNTIFS('United Data'!$A$3:$A$2150,J$1,'United Data'!$C$3:$C$2150,$A76,'United Data'!$B$3:$B$2150,"P")&gt;0,1,0)</f>
        <v>1</v>
      </c>
      <c r="K76">
        <f>IF(COUNTIFS('United Data'!$A$3:$A$2150,K$1,'United Data'!$C$3:$C$2150,$A76,'United Data'!$B$3:$B$2150,"P")&gt;0,1,0)</f>
        <v>0</v>
      </c>
      <c r="L76">
        <f>IF(COUNTIFS('United Data'!$A$3:$A$2150,L$1,'United Data'!$C$3:$C$2150,$A76,'United Data'!$B$3:$B$2150,"P")&gt;0,1,0)</f>
        <v>1</v>
      </c>
      <c r="M76">
        <f>IF(COUNTIFS('United Data'!$A$3:$A$2150,M$1,'United Data'!$C$3:$C$2150,$A76,'United Data'!$B$3:$B$2150,"P")&gt;0,1,0)</f>
        <v>1</v>
      </c>
      <c r="N76">
        <f>IF(COUNTIFS('United Data'!$A$3:$A$2150,N$1,'United Data'!$C$3:$C$2150,$A76,'United Data'!$B$3:$B$2150,"P")&gt;0,1,0)</f>
        <v>1</v>
      </c>
      <c r="O76">
        <f>IF(COUNTIFS('United Data'!$A$3:$A$2150,O$1,'United Data'!$C$3:$C$2150,$A76,'United Data'!$B$3:$B$2150,"P")&gt;0,1,0)</f>
        <v>0</v>
      </c>
      <c r="P76">
        <f>IF(COUNTIFS('United Data'!$A$3:$A$2150,P$1,'United Data'!$C$3:$C$2150,$A76,'United Data'!$B$3:$B$2150,"P")&gt;0,1,0)</f>
        <v>0</v>
      </c>
      <c r="Q76">
        <f>IF(COUNTIFS('United Data'!$A$3:$A$2150,Q$1,'United Data'!$C$3:$C$2150,$A76,'United Data'!$B$3:$B$2150,"P")&gt;0,1,0)</f>
        <v>0</v>
      </c>
      <c r="R76">
        <f>IF(COUNTIFS('United Data'!$A$3:$A$2150,R$1,'United Data'!$C$3:$C$2150,$A76,'United Data'!$B$3:$B$2150,"P")&gt;0,1,0)</f>
        <v>0</v>
      </c>
      <c r="S76">
        <f t="shared" si="2"/>
        <v>8</v>
      </c>
      <c r="T76">
        <f t="shared" si="3"/>
        <v>2</v>
      </c>
    </row>
    <row r="77" spans="1:20" x14ac:dyDescent="0.2">
      <c r="A77" t="s">
        <v>845</v>
      </c>
      <c r="B77">
        <f>IF(COUNTIFS('United Data'!$A$3:$A$2150,B$1,'United Data'!$C$3:$C$2150,$A77,'United Data'!$B$3:$B$2150,"P")&gt;0,1,0)</f>
        <v>0</v>
      </c>
      <c r="C77">
        <f>IF(COUNTIFS('United Data'!$A$3:$A$2150,C$1,'United Data'!$C$3:$C$2150,$A77,'United Data'!$B$3:$B$2150,"P")&gt;0,1,0)</f>
        <v>0</v>
      </c>
      <c r="D77">
        <f>IF(COUNTIFS('United Data'!$A$3:$A$2150,D$1,'United Data'!$C$3:$C$2150,$A77,'United Data'!$B$3:$B$2150,"P")&gt;0,1,0)</f>
        <v>0</v>
      </c>
      <c r="E77">
        <f>IF(COUNTIFS('United Data'!$A$3:$A$2150,E$1,'United Data'!$C$3:$C$2150,$A77,'United Data'!$B$3:$B$2150,"P")&gt;0,1,0)</f>
        <v>0</v>
      </c>
      <c r="F77">
        <f>IF(COUNTIFS('United Data'!$A$3:$A$2150,F$1,'United Data'!$C$3:$C$2150,$A77,'United Data'!$B$3:$B$2150,"P")&gt;0,1,0)</f>
        <v>1</v>
      </c>
      <c r="G77">
        <f>IF(COUNTIFS('United Data'!$A$3:$A$2150,G$1,'United Data'!$C$3:$C$2150,$A77,'United Data'!$B$3:$B$2150,"P")&gt;0,1,0)</f>
        <v>1</v>
      </c>
      <c r="H77">
        <f>IF(COUNTIFS('United Data'!$A$3:$A$2150,H$1,'United Data'!$C$3:$C$2150,$A77,'United Data'!$B$3:$B$2150,"P")&gt;0,1,0)</f>
        <v>0</v>
      </c>
      <c r="I77">
        <f>IF(COUNTIFS('United Data'!$A$3:$A$2150,I$1,'United Data'!$C$3:$C$2150,$A77,'United Data'!$B$3:$B$2150,"P")&gt;0,1,0)</f>
        <v>0</v>
      </c>
      <c r="J77">
        <f>IF(COUNTIFS('United Data'!$A$3:$A$2150,J$1,'United Data'!$C$3:$C$2150,$A77,'United Data'!$B$3:$B$2150,"P")&gt;0,1,0)</f>
        <v>0</v>
      </c>
      <c r="K77">
        <f>IF(COUNTIFS('United Data'!$A$3:$A$2150,K$1,'United Data'!$C$3:$C$2150,$A77,'United Data'!$B$3:$B$2150,"P")&gt;0,1,0)</f>
        <v>0</v>
      </c>
      <c r="L77">
        <f>IF(COUNTIFS('United Data'!$A$3:$A$2150,L$1,'United Data'!$C$3:$C$2150,$A77,'United Data'!$B$3:$B$2150,"P")&gt;0,1,0)</f>
        <v>1</v>
      </c>
      <c r="M77">
        <f>IF(COUNTIFS('United Data'!$A$3:$A$2150,M$1,'United Data'!$C$3:$C$2150,$A77,'United Data'!$B$3:$B$2150,"P")&gt;0,1,0)</f>
        <v>1</v>
      </c>
      <c r="N77">
        <f>IF(COUNTIFS('United Data'!$A$3:$A$2150,N$1,'United Data'!$C$3:$C$2150,$A77,'United Data'!$B$3:$B$2150,"P")&gt;0,1,0)</f>
        <v>0</v>
      </c>
      <c r="O77">
        <f>IF(COUNTIFS('United Data'!$A$3:$A$2150,O$1,'United Data'!$C$3:$C$2150,$A77,'United Data'!$B$3:$B$2150,"P")&gt;0,1,0)</f>
        <v>0</v>
      </c>
      <c r="P77">
        <f>IF(COUNTIFS('United Data'!$A$3:$A$2150,P$1,'United Data'!$C$3:$C$2150,$A77,'United Data'!$B$3:$B$2150,"P")&gt;0,1,0)</f>
        <v>0</v>
      </c>
      <c r="Q77">
        <f>IF(COUNTIFS('United Data'!$A$3:$A$2150,Q$1,'United Data'!$C$3:$C$2150,$A77,'United Data'!$B$3:$B$2150,"P")&gt;0,1,0)</f>
        <v>0</v>
      </c>
      <c r="R77">
        <f>IF(COUNTIFS('United Data'!$A$3:$A$2150,R$1,'United Data'!$C$3:$C$2150,$A77,'United Data'!$B$3:$B$2150,"P")&gt;0,1,0)</f>
        <v>0</v>
      </c>
      <c r="S77">
        <f t="shared" si="2"/>
        <v>4</v>
      </c>
      <c r="T77">
        <f t="shared" si="3"/>
        <v>2</v>
      </c>
    </row>
    <row r="78" spans="1:20" x14ac:dyDescent="0.2">
      <c r="A78" t="s">
        <v>846</v>
      </c>
      <c r="B78">
        <f>IF(COUNTIFS('United Data'!$A$3:$A$2150,B$1,'United Data'!$C$3:$C$2150,$A78,'United Data'!$B$3:$B$2150,"P")&gt;0,1,0)</f>
        <v>0</v>
      </c>
      <c r="C78">
        <f>IF(COUNTIFS('United Data'!$A$3:$A$2150,C$1,'United Data'!$C$3:$C$2150,$A78,'United Data'!$B$3:$B$2150,"P")&gt;0,1,0)</f>
        <v>0</v>
      </c>
      <c r="D78">
        <f>IF(COUNTIFS('United Data'!$A$3:$A$2150,D$1,'United Data'!$C$3:$C$2150,$A78,'United Data'!$B$3:$B$2150,"P")&gt;0,1,0)</f>
        <v>0</v>
      </c>
      <c r="E78">
        <f>IF(COUNTIFS('United Data'!$A$3:$A$2150,E$1,'United Data'!$C$3:$C$2150,$A78,'United Data'!$B$3:$B$2150,"P")&gt;0,1,0)</f>
        <v>0</v>
      </c>
      <c r="F78">
        <f>IF(COUNTIFS('United Data'!$A$3:$A$2150,F$1,'United Data'!$C$3:$C$2150,$A78,'United Data'!$B$3:$B$2150,"P")&gt;0,1,0)</f>
        <v>1</v>
      </c>
      <c r="G78">
        <f>IF(COUNTIFS('United Data'!$A$3:$A$2150,G$1,'United Data'!$C$3:$C$2150,$A78,'United Data'!$B$3:$B$2150,"P")&gt;0,1,0)</f>
        <v>0</v>
      </c>
      <c r="H78">
        <f>IF(COUNTIFS('United Data'!$A$3:$A$2150,H$1,'United Data'!$C$3:$C$2150,$A78,'United Data'!$B$3:$B$2150,"P")&gt;0,1,0)</f>
        <v>0</v>
      </c>
      <c r="I78">
        <f>IF(COUNTIFS('United Data'!$A$3:$A$2150,I$1,'United Data'!$C$3:$C$2150,$A78,'United Data'!$B$3:$B$2150,"P")&gt;0,1,0)</f>
        <v>0</v>
      </c>
      <c r="J78">
        <f>IF(COUNTIFS('United Data'!$A$3:$A$2150,J$1,'United Data'!$C$3:$C$2150,$A78,'United Data'!$B$3:$B$2150,"P")&gt;0,1,0)</f>
        <v>0</v>
      </c>
      <c r="K78">
        <f>IF(COUNTIFS('United Data'!$A$3:$A$2150,K$1,'United Data'!$C$3:$C$2150,$A78,'United Data'!$B$3:$B$2150,"P")&gt;0,1,0)</f>
        <v>0</v>
      </c>
      <c r="L78">
        <f>IF(COUNTIFS('United Data'!$A$3:$A$2150,L$1,'United Data'!$C$3:$C$2150,$A78,'United Data'!$B$3:$B$2150,"P")&gt;0,1,0)</f>
        <v>0</v>
      </c>
      <c r="M78">
        <f>IF(COUNTIFS('United Data'!$A$3:$A$2150,M$1,'United Data'!$C$3:$C$2150,$A78,'United Data'!$B$3:$B$2150,"P")&gt;0,1,0)</f>
        <v>0</v>
      </c>
      <c r="N78">
        <f>IF(COUNTIFS('United Data'!$A$3:$A$2150,N$1,'United Data'!$C$3:$C$2150,$A78,'United Data'!$B$3:$B$2150,"P")&gt;0,1,0)</f>
        <v>0</v>
      </c>
      <c r="O78">
        <f>IF(COUNTIFS('United Data'!$A$3:$A$2150,O$1,'United Data'!$C$3:$C$2150,$A78,'United Data'!$B$3:$B$2150,"P")&gt;0,1,0)</f>
        <v>0</v>
      </c>
      <c r="P78">
        <f>IF(COUNTIFS('United Data'!$A$3:$A$2150,P$1,'United Data'!$C$3:$C$2150,$A78,'United Data'!$B$3:$B$2150,"P")&gt;0,1,0)</f>
        <v>0</v>
      </c>
      <c r="Q78">
        <f>IF(COUNTIFS('United Data'!$A$3:$A$2150,Q$1,'United Data'!$C$3:$C$2150,$A78,'United Data'!$B$3:$B$2150,"P")&gt;0,1,0)</f>
        <v>0</v>
      </c>
      <c r="R78">
        <f>IF(COUNTIFS('United Data'!$A$3:$A$2150,R$1,'United Data'!$C$3:$C$2150,$A78,'United Data'!$B$3:$B$2150,"P")&gt;0,1,0)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847</v>
      </c>
      <c r="B79">
        <f>IF(COUNTIFS('United Data'!$A$3:$A$2150,B$1,'United Data'!$C$3:$C$2150,$A79,'United Data'!$B$3:$B$2150,"P")&gt;0,1,0)</f>
        <v>0</v>
      </c>
      <c r="C79">
        <f>IF(COUNTIFS('United Data'!$A$3:$A$2150,C$1,'United Data'!$C$3:$C$2150,$A79,'United Data'!$B$3:$B$2150,"P")&gt;0,1,0)</f>
        <v>0</v>
      </c>
      <c r="D79">
        <f>IF(COUNTIFS('United Data'!$A$3:$A$2150,D$1,'United Data'!$C$3:$C$2150,$A79,'United Data'!$B$3:$B$2150,"P")&gt;0,1,0)</f>
        <v>0</v>
      </c>
      <c r="E79">
        <f>IF(COUNTIFS('United Data'!$A$3:$A$2150,E$1,'United Data'!$C$3:$C$2150,$A79,'United Data'!$B$3:$B$2150,"P")&gt;0,1,0)</f>
        <v>0</v>
      </c>
      <c r="F79">
        <f>IF(COUNTIFS('United Data'!$A$3:$A$2150,F$1,'United Data'!$C$3:$C$2150,$A79,'United Data'!$B$3:$B$2150,"P")&gt;0,1,0)</f>
        <v>1</v>
      </c>
      <c r="G79">
        <f>IF(COUNTIFS('United Data'!$A$3:$A$2150,G$1,'United Data'!$C$3:$C$2150,$A79,'United Data'!$B$3:$B$2150,"P")&gt;0,1,0)</f>
        <v>1</v>
      </c>
      <c r="H79">
        <f>IF(COUNTIFS('United Data'!$A$3:$A$2150,H$1,'United Data'!$C$3:$C$2150,$A79,'United Data'!$B$3:$B$2150,"P")&gt;0,1,0)</f>
        <v>0</v>
      </c>
      <c r="I79">
        <f>IF(COUNTIFS('United Data'!$A$3:$A$2150,I$1,'United Data'!$C$3:$C$2150,$A79,'United Data'!$B$3:$B$2150,"P")&gt;0,1,0)</f>
        <v>1</v>
      </c>
      <c r="J79">
        <f>IF(COUNTIFS('United Data'!$A$3:$A$2150,J$1,'United Data'!$C$3:$C$2150,$A79,'United Data'!$B$3:$B$2150,"P")&gt;0,1,0)</f>
        <v>1</v>
      </c>
      <c r="K79">
        <f>IF(COUNTIFS('United Data'!$A$3:$A$2150,K$1,'United Data'!$C$3:$C$2150,$A79,'United Data'!$B$3:$B$2150,"P")&gt;0,1,0)</f>
        <v>1</v>
      </c>
      <c r="L79">
        <f>IF(COUNTIFS('United Data'!$A$3:$A$2150,L$1,'United Data'!$C$3:$C$2150,$A79,'United Data'!$B$3:$B$2150,"P")&gt;0,1,0)</f>
        <v>1</v>
      </c>
      <c r="M79">
        <f>IF(COUNTIFS('United Data'!$A$3:$A$2150,M$1,'United Data'!$C$3:$C$2150,$A79,'United Data'!$B$3:$B$2150,"P")&gt;0,1,0)</f>
        <v>1</v>
      </c>
      <c r="N79">
        <f>IF(COUNTIFS('United Data'!$A$3:$A$2150,N$1,'United Data'!$C$3:$C$2150,$A79,'United Data'!$B$3:$B$2150,"P")&gt;0,1,0)</f>
        <v>1</v>
      </c>
      <c r="O79">
        <f>IF(COUNTIFS('United Data'!$A$3:$A$2150,O$1,'United Data'!$C$3:$C$2150,$A79,'United Data'!$B$3:$B$2150,"P")&gt;0,1,0)</f>
        <v>0</v>
      </c>
      <c r="P79">
        <f>IF(COUNTIFS('United Data'!$A$3:$A$2150,P$1,'United Data'!$C$3:$C$2150,$A79,'United Data'!$B$3:$B$2150,"P")&gt;0,1,0)</f>
        <v>0</v>
      </c>
      <c r="Q79">
        <f>IF(COUNTIFS('United Data'!$A$3:$A$2150,Q$1,'United Data'!$C$3:$C$2150,$A79,'United Data'!$B$3:$B$2150,"P")&gt;0,1,0)</f>
        <v>0</v>
      </c>
      <c r="R79">
        <f>IF(COUNTIFS('United Data'!$A$3:$A$2150,R$1,'United Data'!$C$3:$C$2150,$A79,'United Data'!$B$3:$B$2150,"P")&gt;0,1,0)</f>
        <v>0</v>
      </c>
      <c r="S79">
        <f t="shared" si="2"/>
        <v>8</v>
      </c>
      <c r="T79">
        <f t="shared" si="3"/>
        <v>2</v>
      </c>
    </row>
    <row r="80" spans="1:20" x14ac:dyDescent="0.2">
      <c r="A80" t="s">
        <v>848</v>
      </c>
      <c r="B80">
        <f>IF(COUNTIFS('United Data'!$A$3:$A$2150,B$1,'United Data'!$C$3:$C$2150,$A80,'United Data'!$B$3:$B$2150,"P")&gt;0,1,0)</f>
        <v>0</v>
      </c>
      <c r="C80">
        <f>IF(COUNTIFS('United Data'!$A$3:$A$2150,C$1,'United Data'!$C$3:$C$2150,$A80,'United Data'!$B$3:$B$2150,"P")&gt;0,1,0)</f>
        <v>0</v>
      </c>
      <c r="D80">
        <f>IF(COUNTIFS('United Data'!$A$3:$A$2150,D$1,'United Data'!$C$3:$C$2150,$A80,'United Data'!$B$3:$B$2150,"P")&gt;0,1,0)</f>
        <v>0</v>
      </c>
      <c r="E80">
        <f>IF(COUNTIFS('United Data'!$A$3:$A$2150,E$1,'United Data'!$C$3:$C$2150,$A80,'United Data'!$B$3:$B$2150,"P")&gt;0,1,0)</f>
        <v>0</v>
      </c>
      <c r="F80">
        <f>IF(COUNTIFS('United Data'!$A$3:$A$2150,F$1,'United Data'!$C$3:$C$2150,$A80,'United Data'!$B$3:$B$2150,"P")&gt;0,1,0)</f>
        <v>1</v>
      </c>
      <c r="G80">
        <f>IF(COUNTIFS('United Data'!$A$3:$A$2150,G$1,'United Data'!$C$3:$C$2150,$A80,'United Data'!$B$3:$B$2150,"P")&gt;0,1,0)</f>
        <v>0</v>
      </c>
      <c r="H80">
        <f>IF(COUNTIFS('United Data'!$A$3:$A$2150,H$1,'United Data'!$C$3:$C$2150,$A80,'United Data'!$B$3:$B$2150,"P")&gt;0,1,0)</f>
        <v>1</v>
      </c>
      <c r="I80">
        <f>IF(COUNTIFS('United Data'!$A$3:$A$2150,I$1,'United Data'!$C$3:$C$2150,$A80,'United Data'!$B$3:$B$2150,"P")&gt;0,1,0)</f>
        <v>1</v>
      </c>
      <c r="J80">
        <f>IF(COUNTIFS('United Data'!$A$3:$A$2150,J$1,'United Data'!$C$3:$C$2150,$A80,'United Data'!$B$3:$B$2150,"P")&gt;0,1,0)</f>
        <v>1</v>
      </c>
      <c r="K80">
        <f>IF(COUNTIFS('United Data'!$A$3:$A$2150,K$1,'United Data'!$C$3:$C$2150,$A80,'United Data'!$B$3:$B$2150,"P")&gt;0,1,0)</f>
        <v>1</v>
      </c>
      <c r="L80">
        <f>IF(COUNTIFS('United Data'!$A$3:$A$2150,L$1,'United Data'!$C$3:$C$2150,$A80,'United Data'!$B$3:$B$2150,"P")&gt;0,1,0)</f>
        <v>0</v>
      </c>
      <c r="M80">
        <f>IF(COUNTIFS('United Data'!$A$3:$A$2150,M$1,'United Data'!$C$3:$C$2150,$A80,'United Data'!$B$3:$B$2150,"P")&gt;0,1,0)</f>
        <v>0</v>
      </c>
      <c r="N80">
        <f>IF(COUNTIFS('United Data'!$A$3:$A$2150,N$1,'United Data'!$C$3:$C$2150,$A80,'United Data'!$B$3:$B$2150,"P")&gt;0,1,0)</f>
        <v>0</v>
      </c>
      <c r="O80">
        <f>IF(COUNTIFS('United Data'!$A$3:$A$2150,O$1,'United Data'!$C$3:$C$2150,$A80,'United Data'!$B$3:$B$2150,"P")&gt;0,1,0)</f>
        <v>0</v>
      </c>
      <c r="P80">
        <f>IF(COUNTIFS('United Data'!$A$3:$A$2150,P$1,'United Data'!$C$3:$C$2150,$A80,'United Data'!$B$3:$B$2150,"P")&gt;0,1,0)</f>
        <v>0</v>
      </c>
      <c r="Q80">
        <f>IF(COUNTIFS('United Data'!$A$3:$A$2150,Q$1,'United Data'!$C$3:$C$2150,$A80,'United Data'!$B$3:$B$2150,"P")&gt;0,1,0)</f>
        <v>0</v>
      </c>
      <c r="R80">
        <f>IF(COUNTIFS('United Data'!$A$3:$A$2150,R$1,'United Data'!$C$3:$C$2150,$A80,'United Data'!$B$3:$B$2150,"P")&gt;0,1,0)</f>
        <v>0</v>
      </c>
      <c r="S80">
        <f t="shared" si="2"/>
        <v>5</v>
      </c>
      <c r="T80">
        <f t="shared" si="3"/>
        <v>2</v>
      </c>
    </row>
    <row r="81" spans="1:20" x14ac:dyDescent="0.2">
      <c r="A81" t="s">
        <v>849</v>
      </c>
      <c r="B81">
        <f>IF(COUNTIFS('United Data'!$A$3:$A$2150,B$1,'United Data'!$C$3:$C$2150,$A81,'United Data'!$B$3:$B$2150,"P")&gt;0,1,0)</f>
        <v>0</v>
      </c>
      <c r="C81">
        <f>IF(COUNTIFS('United Data'!$A$3:$A$2150,C$1,'United Data'!$C$3:$C$2150,$A81,'United Data'!$B$3:$B$2150,"P")&gt;0,1,0)</f>
        <v>0</v>
      </c>
      <c r="D81">
        <f>IF(COUNTIFS('United Data'!$A$3:$A$2150,D$1,'United Data'!$C$3:$C$2150,$A81,'United Data'!$B$3:$B$2150,"P")&gt;0,1,0)</f>
        <v>0</v>
      </c>
      <c r="E81">
        <f>IF(COUNTIFS('United Data'!$A$3:$A$2150,E$1,'United Data'!$C$3:$C$2150,$A81,'United Data'!$B$3:$B$2150,"P")&gt;0,1,0)</f>
        <v>0</v>
      </c>
      <c r="F81">
        <f>IF(COUNTIFS('United Data'!$A$3:$A$2150,F$1,'United Data'!$C$3:$C$2150,$A81,'United Data'!$B$3:$B$2150,"P")&gt;0,1,0)</f>
        <v>1</v>
      </c>
      <c r="G81">
        <f>IF(COUNTIFS('United Data'!$A$3:$A$2150,G$1,'United Data'!$C$3:$C$2150,$A81,'United Data'!$B$3:$B$2150,"P")&gt;0,1,0)</f>
        <v>0</v>
      </c>
      <c r="H81">
        <f>IF(COUNTIFS('United Data'!$A$3:$A$2150,H$1,'United Data'!$C$3:$C$2150,$A81,'United Data'!$B$3:$B$2150,"P")&gt;0,1,0)</f>
        <v>0</v>
      </c>
      <c r="I81">
        <f>IF(COUNTIFS('United Data'!$A$3:$A$2150,I$1,'United Data'!$C$3:$C$2150,$A81,'United Data'!$B$3:$B$2150,"P")&gt;0,1,0)</f>
        <v>0</v>
      </c>
      <c r="J81">
        <f>IF(COUNTIFS('United Data'!$A$3:$A$2150,J$1,'United Data'!$C$3:$C$2150,$A81,'United Data'!$B$3:$B$2150,"P")&gt;0,1,0)</f>
        <v>0</v>
      </c>
      <c r="K81">
        <f>IF(COUNTIFS('United Data'!$A$3:$A$2150,K$1,'United Data'!$C$3:$C$2150,$A81,'United Data'!$B$3:$B$2150,"P")&gt;0,1,0)</f>
        <v>0</v>
      </c>
      <c r="L81">
        <f>IF(COUNTIFS('United Data'!$A$3:$A$2150,L$1,'United Data'!$C$3:$C$2150,$A81,'United Data'!$B$3:$B$2150,"P")&gt;0,1,0)</f>
        <v>0</v>
      </c>
      <c r="M81">
        <f>IF(COUNTIFS('United Data'!$A$3:$A$2150,M$1,'United Data'!$C$3:$C$2150,$A81,'United Data'!$B$3:$B$2150,"P")&gt;0,1,0)</f>
        <v>0</v>
      </c>
      <c r="N81">
        <f>IF(COUNTIFS('United Data'!$A$3:$A$2150,N$1,'United Data'!$C$3:$C$2150,$A81,'United Data'!$B$3:$B$2150,"P")&gt;0,1,0)</f>
        <v>0</v>
      </c>
      <c r="O81">
        <f>IF(COUNTIFS('United Data'!$A$3:$A$2150,O$1,'United Data'!$C$3:$C$2150,$A81,'United Data'!$B$3:$B$2150,"P")&gt;0,1,0)</f>
        <v>0</v>
      </c>
      <c r="P81">
        <f>IF(COUNTIFS('United Data'!$A$3:$A$2150,P$1,'United Data'!$C$3:$C$2150,$A81,'United Data'!$B$3:$B$2150,"P")&gt;0,1,0)</f>
        <v>0</v>
      </c>
      <c r="Q81">
        <f>IF(COUNTIFS('United Data'!$A$3:$A$2150,Q$1,'United Data'!$C$3:$C$2150,$A81,'United Data'!$B$3:$B$2150,"P")&gt;0,1,0)</f>
        <v>0</v>
      </c>
      <c r="R81">
        <f>IF(COUNTIFS('United Data'!$A$3:$A$2150,R$1,'United Data'!$C$3:$C$2150,$A81,'United Data'!$B$3:$B$2150,"P")&gt;0,1,0)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850</v>
      </c>
      <c r="B82">
        <f>IF(COUNTIFS('United Data'!$A$3:$A$2150,B$1,'United Data'!$C$3:$C$2150,$A82,'United Data'!$B$3:$B$2150,"P")&gt;0,1,0)</f>
        <v>0</v>
      </c>
      <c r="C82">
        <f>IF(COUNTIFS('United Data'!$A$3:$A$2150,C$1,'United Data'!$C$3:$C$2150,$A82,'United Data'!$B$3:$B$2150,"P")&gt;0,1,0)</f>
        <v>0</v>
      </c>
      <c r="D82">
        <f>IF(COUNTIFS('United Data'!$A$3:$A$2150,D$1,'United Data'!$C$3:$C$2150,$A82,'United Data'!$B$3:$B$2150,"P")&gt;0,1,0)</f>
        <v>0</v>
      </c>
      <c r="E82">
        <f>IF(COUNTIFS('United Data'!$A$3:$A$2150,E$1,'United Data'!$C$3:$C$2150,$A82,'United Data'!$B$3:$B$2150,"P")&gt;0,1,0)</f>
        <v>0</v>
      </c>
      <c r="F82">
        <f>IF(COUNTIFS('United Data'!$A$3:$A$2150,F$1,'United Data'!$C$3:$C$2150,$A82,'United Data'!$B$3:$B$2150,"P")&gt;0,1,0)</f>
        <v>1</v>
      </c>
      <c r="G82">
        <f>IF(COUNTIFS('United Data'!$A$3:$A$2150,G$1,'United Data'!$C$3:$C$2150,$A82,'United Data'!$B$3:$B$2150,"P")&gt;0,1,0)</f>
        <v>0</v>
      </c>
      <c r="H82">
        <f>IF(COUNTIFS('United Data'!$A$3:$A$2150,H$1,'United Data'!$C$3:$C$2150,$A82,'United Data'!$B$3:$B$2150,"P")&gt;0,1,0)</f>
        <v>0</v>
      </c>
      <c r="I82">
        <f>IF(COUNTIFS('United Data'!$A$3:$A$2150,I$1,'United Data'!$C$3:$C$2150,$A82,'United Data'!$B$3:$B$2150,"P")&gt;0,1,0)</f>
        <v>0</v>
      </c>
      <c r="J82">
        <f>IF(COUNTIFS('United Data'!$A$3:$A$2150,J$1,'United Data'!$C$3:$C$2150,$A82,'United Data'!$B$3:$B$2150,"P")&gt;0,1,0)</f>
        <v>0</v>
      </c>
      <c r="K82">
        <f>IF(COUNTIFS('United Data'!$A$3:$A$2150,K$1,'United Data'!$C$3:$C$2150,$A82,'United Data'!$B$3:$B$2150,"P")&gt;0,1,0)</f>
        <v>0</v>
      </c>
      <c r="L82">
        <f>IF(COUNTIFS('United Data'!$A$3:$A$2150,L$1,'United Data'!$C$3:$C$2150,$A82,'United Data'!$B$3:$B$2150,"P")&gt;0,1,0)</f>
        <v>0</v>
      </c>
      <c r="M82">
        <f>IF(COUNTIFS('United Data'!$A$3:$A$2150,M$1,'United Data'!$C$3:$C$2150,$A82,'United Data'!$B$3:$B$2150,"P")&gt;0,1,0)</f>
        <v>0</v>
      </c>
      <c r="N82">
        <f>IF(COUNTIFS('United Data'!$A$3:$A$2150,N$1,'United Data'!$C$3:$C$2150,$A82,'United Data'!$B$3:$B$2150,"P")&gt;0,1,0)</f>
        <v>0</v>
      </c>
      <c r="O82">
        <f>IF(COUNTIFS('United Data'!$A$3:$A$2150,O$1,'United Data'!$C$3:$C$2150,$A82,'United Data'!$B$3:$B$2150,"P")&gt;0,1,0)</f>
        <v>0</v>
      </c>
      <c r="P82">
        <f>IF(COUNTIFS('United Data'!$A$3:$A$2150,P$1,'United Data'!$C$3:$C$2150,$A82,'United Data'!$B$3:$B$2150,"P")&gt;0,1,0)</f>
        <v>0</v>
      </c>
      <c r="Q82">
        <f>IF(COUNTIFS('United Data'!$A$3:$A$2150,Q$1,'United Data'!$C$3:$C$2150,$A82,'United Data'!$B$3:$B$2150,"P")&gt;0,1,0)</f>
        <v>0</v>
      </c>
      <c r="R82">
        <f>IF(COUNTIFS('United Data'!$A$3:$A$2150,R$1,'United Data'!$C$3:$C$2150,$A82,'United Data'!$B$3:$B$2150,"P")&gt;0,1,0)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851</v>
      </c>
      <c r="B83">
        <f>IF(COUNTIFS('United Data'!$A$3:$A$2150,B$1,'United Data'!$C$3:$C$2150,$A83,'United Data'!$B$3:$B$2150,"P")&gt;0,1,0)</f>
        <v>0</v>
      </c>
      <c r="C83">
        <f>IF(COUNTIFS('United Data'!$A$3:$A$2150,C$1,'United Data'!$C$3:$C$2150,$A83,'United Data'!$B$3:$B$2150,"P")&gt;0,1,0)</f>
        <v>0</v>
      </c>
      <c r="D83">
        <f>IF(COUNTIFS('United Data'!$A$3:$A$2150,D$1,'United Data'!$C$3:$C$2150,$A83,'United Data'!$B$3:$B$2150,"P")&gt;0,1,0)</f>
        <v>0</v>
      </c>
      <c r="E83">
        <f>IF(COUNTIFS('United Data'!$A$3:$A$2150,E$1,'United Data'!$C$3:$C$2150,$A83,'United Data'!$B$3:$B$2150,"P")&gt;0,1,0)</f>
        <v>0</v>
      </c>
      <c r="F83">
        <f>IF(COUNTIFS('United Data'!$A$3:$A$2150,F$1,'United Data'!$C$3:$C$2150,$A83,'United Data'!$B$3:$B$2150,"P")&gt;0,1,0)</f>
        <v>1</v>
      </c>
      <c r="G83">
        <f>IF(COUNTIFS('United Data'!$A$3:$A$2150,G$1,'United Data'!$C$3:$C$2150,$A83,'United Data'!$B$3:$B$2150,"P")&gt;0,1,0)</f>
        <v>0</v>
      </c>
      <c r="H83">
        <f>IF(COUNTIFS('United Data'!$A$3:$A$2150,H$1,'United Data'!$C$3:$C$2150,$A83,'United Data'!$B$3:$B$2150,"P")&gt;0,1,0)</f>
        <v>0</v>
      </c>
      <c r="I83">
        <f>IF(COUNTIFS('United Data'!$A$3:$A$2150,I$1,'United Data'!$C$3:$C$2150,$A83,'United Data'!$B$3:$B$2150,"P")&gt;0,1,0)</f>
        <v>0</v>
      </c>
      <c r="J83">
        <f>IF(COUNTIFS('United Data'!$A$3:$A$2150,J$1,'United Data'!$C$3:$C$2150,$A83,'United Data'!$B$3:$B$2150,"P")&gt;0,1,0)</f>
        <v>0</v>
      </c>
      <c r="K83">
        <f>IF(COUNTIFS('United Data'!$A$3:$A$2150,K$1,'United Data'!$C$3:$C$2150,$A83,'United Data'!$B$3:$B$2150,"P")&gt;0,1,0)</f>
        <v>0</v>
      </c>
      <c r="L83">
        <f>IF(COUNTIFS('United Data'!$A$3:$A$2150,L$1,'United Data'!$C$3:$C$2150,$A83,'United Data'!$B$3:$B$2150,"P")&gt;0,1,0)</f>
        <v>0</v>
      </c>
      <c r="M83">
        <f>IF(COUNTIFS('United Data'!$A$3:$A$2150,M$1,'United Data'!$C$3:$C$2150,$A83,'United Data'!$B$3:$B$2150,"P")&gt;0,1,0)</f>
        <v>0</v>
      </c>
      <c r="N83">
        <f>IF(COUNTIFS('United Data'!$A$3:$A$2150,N$1,'United Data'!$C$3:$C$2150,$A83,'United Data'!$B$3:$B$2150,"P")&gt;0,1,0)</f>
        <v>0</v>
      </c>
      <c r="O83">
        <f>IF(COUNTIFS('United Data'!$A$3:$A$2150,O$1,'United Data'!$C$3:$C$2150,$A83,'United Data'!$B$3:$B$2150,"P")&gt;0,1,0)</f>
        <v>0</v>
      </c>
      <c r="P83">
        <f>IF(COUNTIFS('United Data'!$A$3:$A$2150,P$1,'United Data'!$C$3:$C$2150,$A83,'United Data'!$B$3:$B$2150,"P")&gt;0,1,0)</f>
        <v>0</v>
      </c>
      <c r="Q83">
        <f>IF(COUNTIFS('United Data'!$A$3:$A$2150,Q$1,'United Data'!$C$3:$C$2150,$A83,'United Data'!$B$3:$B$2150,"P")&gt;0,1,0)</f>
        <v>0</v>
      </c>
      <c r="R83">
        <f>IF(COUNTIFS('United Data'!$A$3:$A$2150,R$1,'United Data'!$C$3:$C$2150,$A83,'United Data'!$B$3:$B$2150,"P")&gt;0,1,0)</f>
        <v>0</v>
      </c>
      <c r="S83">
        <f t="shared" si="2"/>
        <v>1</v>
      </c>
      <c r="T83">
        <f t="shared" si="3"/>
        <v>1</v>
      </c>
    </row>
    <row r="84" spans="1:20" x14ac:dyDescent="0.2">
      <c r="A84" t="s">
        <v>852</v>
      </c>
      <c r="B84">
        <f>IF(COUNTIFS('United Data'!$A$3:$A$2150,B$1,'United Data'!$C$3:$C$2150,$A84,'United Data'!$B$3:$B$2150,"P")&gt;0,1,0)</f>
        <v>0</v>
      </c>
      <c r="C84">
        <f>IF(COUNTIFS('United Data'!$A$3:$A$2150,C$1,'United Data'!$C$3:$C$2150,$A84,'United Data'!$B$3:$B$2150,"P")&gt;0,1,0)</f>
        <v>0</v>
      </c>
      <c r="D84">
        <f>IF(COUNTIFS('United Data'!$A$3:$A$2150,D$1,'United Data'!$C$3:$C$2150,$A84,'United Data'!$B$3:$B$2150,"P")&gt;0,1,0)</f>
        <v>0</v>
      </c>
      <c r="E84">
        <f>IF(COUNTIFS('United Data'!$A$3:$A$2150,E$1,'United Data'!$C$3:$C$2150,$A84,'United Data'!$B$3:$B$2150,"P")&gt;0,1,0)</f>
        <v>0</v>
      </c>
      <c r="F84">
        <f>IF(COUNTIFS('United Data'!$A$3:$A$2150,F$1,'United Data'!$C$3:$C$2150,$A84,'United Data'!$B$3:$B$2150,"P")&gt;0,1,0)</f>
        <v>1</v>
      </c>
      <c r="G84">
        <f>IF(COUNTIFS('United Data'!$A$3:$A$2150,G$1,'United Data'!$C$3:$C$2150,$A84,'United Data'!$B$3:$B$2150,"P")&gt;0,1,0)</f>
        <v>0</v>
      </c>
      <c r="H84">
        <f>IF(COUNTIFS('United Data'!$A$3:$A$2150,H$1,'United Data'!$C$3:$C$2150,$A84,'United Data'!$B$3:$B$2150,"P")&gt;0,1,0)</f>
        <v>0</v>
      </c>
      <c r="I84">
        <f>IF(COUNTIFS('United Data'!$A$3:$A$2150,I$1,'United Data'!$C$3:$C$2150,$A84,'United Data'!$B$3:$B$2150,"P")&gt;0,1,0)</f>
        <v>0</v>
      </c>
      <c r="J84">
        <f>IF(COUNTIFS('United Data'!$A$3:$A$2150,J$1,'United Data'!$C$3:$C$2150,$A84,'United Data'!$B$3:$B$2150,"P")&gt;0,1,0)</f>
        <v>0</v>
      </c>
      <c r="K84">
        <f>IF(COUNTIFS('United Data'!$A$3:$A$2150,K$1,'United Data'!$C$3:$C$2150,$A84,'United Data'!$B$3:$B$2150,"P")&gt;0,1,0)</f>
        <v>0</v>
      </c>
      <c r="L84">
        <f>IF(COUNTIFS('United Data'!$A$3:$A$2150,L$1,'United Data'!$C$3:$C$2150,$A84,'United Data'!$B$3:$B$2150,"P")&gt;0,1,0)</f>
        <v>0</v>
      </c>
      <c r="M84">
        <f>IF(COUNTIFS('United Data'!$A$3:$A$2150,M$1,'United Data'!$C$3:$C$2150,$A84,'United Data'!$B$3:$B$2150,"P")&gt;0,1,0)</f>
        <v>0</v>
      </c>
      <c r="N84">
        <f>IF(COUNTIFS('United Data'!$A$3:$A$2150,N$1,'United Data'!$C$3:$C$2150,$A84,'United Data'!$B$3:$B$2150,"P")&gt;0,1,0)</f>
        <v>0</v>
      </c>
      <c r="O84">
        <f>IF(COUNTIFS('United Data'!$A$3:$A$2150,O$1,'United Data'!$C$3:$C$2150,$A84,'United Data'!$B$3:$B$2150,"P")&gt;0,1,0)</f>
        <v>0</v>
      </c>
      <c r="P84">
        <f>IF(COUNTIFS('United Data'!$A$3:$A$2150,P$1,'United Data'!$C$3:$C$2150,$A84,'United Data'!$B$3:$B$2150,"P")&gt;0,1,0)</f>
        <v>0</v>
      </c>
      <c r="Q84">
        <f>IF(COUNTIFS('United Data'!$A$3:$A$2150,Q$1,'United Data'!$C$3:$C$2150,$A84,'United Data'!$B$3:$B$2150,"P")&gt;0,1,0)</f>
        <v>0</v>
      </c>
      <c r="R84">
        <f>IF(COUNTIFS('United Data'!$A$3:$A$2150,R$1,'United Data'!$C$3:$C$2150,$A84,'United Data'!$B$3:$B$2150,"P")&gt;0,1,0)</f>
        <v>0</v>
      </c>
      <c r="S84">
        <f t="shared" si="2"/>
        <v>1</v>
      </c>
      <c r="T84">
        <f t="shared" si="3"/>
        <v>1</v>
      </c>
    </row>
    <row r="85" spans="1:20" x14ac:dyDescent="0.2">
      <c r="A85" t="s">
        <v>853</v>
      </c>
      <c r="B85">
        <f>IF(COUNTIFS('United Data'!$A$3:$A$2150,B$1,'United Data'!$C$3:$C$2150,$A85,'United Data'!$B$3:$B$2150,"P")&gt;0,1,0)</f>
        <v>0</v>
      </c>
      <c r="C85">
        <f>IF(COUNTIFS('United Data'!$A$3:$A$2150,C$1,'United Data'!$C$3:$C$2150,$A85,'United Data'!$B$3:$B$2150,"P")&gt;0,1,0)</f>
        <v>0</v>
      </c>
      <c r="D85">
        <f>IF(COUNTIFS('United Data'!$A$3:$A$2150,D$1,'United Data'!$C$3:$C$2150,$A85,'United Data'!$B$3:$B$2150,"P")&gt;0,1,0)</f>
        <v>0</v>
      </c>
      <c r="E85">
        <f>IF(COUNTIFS('United Data'!$A$3:$A$2150,E$1,'United Data'!$C$3:$C$2150,$A85,'United Data'!$B$3:$B$2150,"P")&gt;0,1,0)</f>
        <v>0</v>
      </c>
      <c r="F85">
        <f>IF(COUNTIFS('United Data'!$A$3:$A$2150,F$1,'United Data'!$C$3:$C$2150,$A85,'United Data'!$B$3:$B$2150,"P")&gt;0,1,0)</f>
        <v>1</v>
      </c>
      <c r="G85">
        <f>IF(COUNTIFS('United Data'!$A$3:$A$2150,G$1,'United Data'!$C$3:$C$2150,$A85,'United Data'!$B$3:$B$2150,"P")&gt;0,1,0)</f>
        <v>1</v>
      </c>
      <c r="H85">
        <f>IF(COUNTIFS('United Data'!$A$3:$A$2150,H$1,'United Data'!$C$3:$C$2150,$A85,'United Data'!$B$3:$B$2150,"P")&gt;0,1,0)</f>
        <v>0</v>
      </c>
      <c r="I85">
        <f>IF(COUNTIFS('United Data'!$A$3:$A$2150,I$1,'United Data'!$C$3:$C$2150,$A85,'United Data'!$B$3:$B$2150,"P")&gt;0,1,0)</f>
        <v>0</v>
      </c>
      <c r="J85">
        <f>IF(COUNTIFS('United Data'!$A$3:$A$2150,J$1,'United Data'!$C$3:$C$2150,$A85,'United Data'!$B$3:$B$2150,"P")&gt;0,1,0)</f>
        <v>0</v>
      </c>
      <c r="K85">
        <f>IF(COUNTIFS('United Data'!$A$3:$A$2150,K$1,'United Data'!$C$3:$C$2150,$A85,'United Data'!$B$3:$B$2150,"P")&gt;0,1,0)</f>
        <v>0</v>
      </c>
      <c r="L85">
        <f>IF(COUNTIFS('United Data'!$A$3:$A$2150,L$1,'United Data'!$C$3:$C$2150,$A85,'United Data'!$B$3:$B$2150,"P")&gt;0,1,0)</f>
        <v>0</v>
      </c>
      <c r="M85">
        <f>IF(COUNTIFS('United Data'!$A$3:$A$2150,M$1,'United Data'!$C$3:$C$2150,$A85,'United Data'!$B$3:$B$2150,"P")&gt;0,1,0)</f>
        <v>0</v>
      </c>
      <c r="N85">
        <f>IF(COUNTIFS('United Data'!$A$3:$A$2150,N$1,'United Data'!$C$3:$C$2150,$A85,'United Data'!$B$3:$B$2150,"P")&gt;0,1,0)</f>
        <v>0</v>
      </c>
      <c r="O85">
        <f>IF(COUNTIFS('United Data'!$A$3:$A$2150,O$1,'United Data'!$C$3:$C$2150,$A85,'United Data'!$B$3:$B$2150,"P")&gt;0,1,0)</f>
        <v>0</v>
      </c>
      <c r="P85">
        <f>IF(COUNTIFS('United Data'!$A$3:$A$2150,P$1,'United Data'!$C$3:$C$2150,$A85,'United Data'!$B$3:$B$2150,"P")&gt;0,1,0)</f>
        <v>0</v>
      </c>
      <c r="Q85">
        <f>IF(COUNTIFS('United Data'!$A$3:$A$2150,Q$1,'United Data'!$C$3:$C$2150,$A85,'United Data'!$B$3:$B$2150,"P")&gt;0,1,0)</f>
        <v>0</v>
      </c>
      <c r="R85">
        <f>IF(COUNTIFS('United Data'!$A$3:$A$2150,R$1,'United Data'!$C$3:$C$2150,$A85,'United Data'!$B$3:$B$2150,"P")&gt;0,1,0)</f>
        <v>0</v>
      </c>
      <c r="S85">
        <f t="shared" si="2"/>
        <v>2</v>
      </c>
      <c r="T85">
        <f t="shared" si="3"/>
        <v>1</v>
      </c>
    </row>
    <row r="86" spans="1:20" x14ac:dyDescent="0.2">
      <c r="A86" t="s">
        <v>855</v>
      </c>
      <c r="B86">
        <f>IF(COUNTIFS('United Data'!$A$3:$A$2150,B$1,'United Data'!$C$3:$C$2150,$A86,'United Data'!$B$3:$B$2150,"P")&gt;0,1,0)</f>
        <v>0</v>
      </c>
      <c r="C86">
        <f>IF(COUNTIFS('United Data'!$A$3:$A$2150,C$1,'United Data'!$C$3:$C$2150,$A86,'United Data'!$B$3:$B$2150,"P")&gt;0,1,0)</f>
        <v>0</v>
      </c>
      <c r="D86">
        <f>IF(COUNTIFS('United Data'!$A$3:$A$2150,D$1,'United Data'!$C$3:$C$2150,$A86,'United Data'!$B$3:$B$2150,"P")&gt;0,1,0)</f>
        <v>0</v>
      </c>
      <c r="E86">
        <f>IF(COUNTIFS('United Data'!$A$3:$A$2150,E$1,'United Data'!$C$3:$C$2150,$A86,'United Data'!$B$3:$B$2150,"P")&gt;0,1,0)</f>
        <v>0</v>
      </c>
      <c r="F86">
        <f>IF(COUNTIFS('United Data'!$A$3:$A$2150,F$1,'United Data'!$C$3:$C$2150,$A86,'United Data'!$B$3:$B$2150,"P")&gt;0,1,0)</f>
        <v>0</v>
      </c>
      <c r="G86">
        <f>IF(COUNTIFS('United Data'!$A$3:$A$2150,G$1,'United Data'!$C$3:$C$2150,$A86,'United Data'!$B$3:$B$2150,"P")&gt;0,1,0)</f>
        <v>1</v>
      </c>
      <c r="H86">
        <f>IF(COUNTIFS('United Data'!$A$3:$A$2150,H$1,'United Data'!$C$3:$C$2150,$A86,'United Data'!$B$3:$B$2150,"P")&gt;0,1,0)</f>
        <v>0</v>
      </c>
      <c r="I86">
        <f>IF(COUNTIFS('United Data'!$A$3:$A$2150,I$1,'United Data'!$C$3:$C$2150,$A86,'United Data'!$B$3:$B$2150,"P")&gt;0,1,0)</f>
        <v>0</v>
      </c>
      <c r="J86">
        <f>IF(COUNTIFS('United Data'!$A$3:$A$2150,J$1,'United Data'!$C$3:$C$2150,$A86,'United Data'!$B$3:$B$2150,"P")&gt;0,1,0)</f>
        <v>0</v>
      </c>
      <c r="K86">
        <f>IF(COUNTIFS('United Data'!$A$3:$A$2150,K$1,'United Data'!$C$3:$C$2150,$A86,'United Data'!$B$3:$B$2150,"P")&gt;0,1,0)</f>
        <v>0</v>
      </c>
      <c r="L86">
        <f>IF(COUNTIFS('United Data'!$A$3:$A$2150,L$1,'United Data'!$C$3:$C$2150,$A86,'United Data'!$B$3:$B$2150,"P")&gt;0,1,0)</f>
        <v>0</v>
      </c>
      <c r="M86">
        <f>IF(COUNTIFS('United Data'!$A$3:$A$2150,M$1,'United Data'!$C$3:$C$2150,$A86,'United Data'!$B$3:$B$2150,"P")&gt;0,1,0)</f>
        <v>0</v>
      </c>
      <c r="N86">
        <f>IF(COUNTIFS('United Data'!$A$3:$A$2150,N$1,'United Data'!$C$3:$C$2150,$A86,'United Data'!$B$3:$B$2150,"P")&gt;0,1,0)</f>
        <v>0</v>
      </c>
      <c r="O86">
        <f>IF(COUNTIFS('United Data'!$A$3:$A$2150,O$1,'United Data'!$C$3:$C$2150,$A86,'United Data'!$B$3:$B$2150,"P")&gt;0,1,0)</f>
        <v>0</v>
      </c>
      <c r="P86">
        <f>IF(COUNTIFS('United Data'!$A$3:$A$2150,P$1,'United Data'!$C$3:$C$2150,$A86,'United Data'!$B$3:$B$2150,"P")&gt;0,1,0)</f>
        <v>1</v>
      </c>
      <c r="Q86">
        <f>IF(COUNTIFS('United Data'!$A$3:$A$2150,Q$1,'United Data'!$C$3:$C$2150,$A86,'United Data'!$B$3:$B$2150,"P")&gt;0,1,0)</f>
        <v>0</v>
      </c>
      <c r="R86">
        <f>IF(COUNTIFS('United Data'!$A$3:$A$2150,R$1,'United Data'!$C$3:$C$2150,$A86,'United Data'!$B$3:$B$2150,"P")&gt;0,1,0)</f>
        <v>0</v>
      </c>
      <c r="S86">
        <f t="shared" si="2"/>
        <v>2</v>
      </c>
      <c r="T86">
        <f t="shared" si="3"/>
        <v>2</v>
      </c>
    </row>
    <row r="87" spans="1:20" x14ac:dyDescent="0.2">
      <c r="A87" t="s">
        <v>856</v>
      </c>
      <c r="B87">
        <f>IF(COUNTIFS('United Data'!$A$3:$A$2150,B$1,'United Data'!$C$3:$C$2150,$A87,'United Data'!$B$3:$B$2150,"P")&gt;0,1,0)</f>
        <v>0</v>
      </c>
      <c r="C87">
        <f>IF(COUNTIFS('United Data'!$A$3:$A$2150,C$1,'United Data'!$C$3:$C$2150,$A87,'United Data'!$B$3:$B$2150,"P")&gt;0,1,0)</f>
        <v>0</v>
      </c>
      <c r="D87">
        <f>IF(COUNTIFS('United Data'!$A$3:$A$2150,D$1,'United Data'!$C$3:$C$2150,$A87,'United Data'!$B$3:$B$2150,"P")&gt;0,1,0)</f>
        <v>0</v>
      </c>
      <c r="E87">
        <f>IF(COUNTIFS('United Data'!$A$3:$A$2150,E$1,'United Data'!$C$3:$C$2150,$A87,'United Data'!$B$3:$B$2150,"P")&gt;0,1,0)</f>
        <v>0</v>
      </c>
      <c r="F87">
        <f>IF(COUNTIFS('United Data'!$A$3:$A$2150,F$1,'United Data'!$C$3:$C$2150,$A87,'United Data'!$B$3:$B$2150,"P")&gt;0,1,0)</f>
        <v>0</v>
      </c>
      <c r="G87">
        <f>IF(COUNTIFS('United Data'!$A$3:$A$2150,G$1,'United Data'!$C$3:$C$2150,$A87,'United Data'!$B$3:$B$2150,"P")&gt;0,1,0)</f>
        <v>1</v>
      </c>
      <c r="H87">
        <f>IF(COUNTIFS('United Data'!$A$3:$A$2150,H$1,'United Data'!$C$3:$C$2150,$A87,'United Data'!$B$3:$B$2150,"P")&gt;0,1,0)</f>
        <v>0</v>
      </c>
      <c r="I87">
        <f>IF(COUNTIFS('United Data'!$A$3:$A$2150,I$1,'United Data'!$C$3:$C$2150,$A87,'United Data'!$B$3:$B$2150,"P")&gt;0,1,0)</f>
        <v>0</v>
      </c>
      <c r="J87">
        <f>IF(COUNTIFS('United Data'!$A$3:$A$2150,J$1,'United Data'!$C$3:$C$2150,$A87,'United Data'!$B$3:$B$2150,"P")&gt;0,1,0)</f>
        <v>0</v>
      </c>
      <c r="K87">
        <f>IF(COUNTIFS('United Data'!$A$3:$A$2150,K$1,'United Data'!$C$3:$C$2150,$A87,'United Data'!$B$3:$B$2150,"P")&gt;0,1,0)</f>
        <v>0</v>
      </c>
      <c r="L87">
        <f>IF(COUNTIFS('United Data'!$A$3:$A$2150,L$1,'United Data'!$C$3:$C$2150,$A87,'United Data'!$B$3:$B$2150,"P")&gt;0,1,0)</f>
        <v>0</v>
      </c>
      <c r="M87">
        <f>IF(COUNTIFS('United Data'!$A$3:$A$2150,M$1,'United Data'!$C$3:$C$2150,$A87,'United Data'!$B$3:$B$2150,"P")&gt;0,1,0)</f>
        <v>0</v>
      </c>
      <c r="N87">
        <f>IF(COUNTIFS('United Data'!$A$3:$A$2150,N$1,'United Data'!$C$3:$C$2150,$A87,'United Data'!$B$3:$B$2150,"P")&gt;0,1,0)</f>
        <v>0</v>
      </c>
      <c r="O87">
        <f>IF(COUNTIFS('United Data'!$A$3:$A$2150,O$1,'United Data'!$C$3:$C$2150,$A87,'United Data'!$B$3:$B$2150,"P")&gt;0,1,0)</f>
        <v>0</v>
      </c>
      <c r="P87">
        <f>IF(COUNTIFS('United Data'!$A$3:$A$2150,P$1,'United Data'!$C$3:$C$2150,$A87,'United Data'!$B$3:$B$2150,"P")&gt;0,1,0)</f>
        <v>0</v>
      </c>
      <c r="Q87">
        <f>IF(COUNTIFS('United Data'!$A$3:$A$2150,Q$1,'United Data'!$C$3:$C$2150,$A87,'United Data'!$B$3:$B$2150,"P")&gt;0,1,0)</f>
        <v>0</v>
      </c>
      <c r="R87">
        <f>IF(COUNTIFS('United Data'!$A$3:$A$2150,R$1,'United Data'!$C$3:$C$2150,$A87,'United Data'!$B$3:$B$2150,"P")&gt;0,1,0)</f>
        <v>0</v>
      </c>
      <c r="S87">
        <f t="shared" si="2"/>
        <v>1</v>
      </c>
      <c r="T87">
        <f t="shared" si="3"/>
        <v>1</v>
      </c>
    </row>
    <row r="88" spans="1:20" x14ac:dyDescent="0.2">
      <c r="A88" t="s">
        <v>857</v>
      </c>
      <c r="B88">
        <f>IF(COUNTIFS('United Data'!$A$3:$A$2150,B$1,'United Data'!$C$3:$C$2150,$A88,'United Data'!$B$3:$B$2150,"P")&gt;0,1,0)</f>
        <v>0</v>
      </c>
      <c r="C88">
        <f>IF(COUNTIFS('United Data'!$A$3:$A$2150,C$1,'United Data'!$C$3:$C$2150,$A88,'United Data'!$B$3:$B$2150,"P")&gt;0,1,0)</f>
        <v>0</v>
      </c>
      <c r="D88">
        <f>IF(COUNTIFS('United Data'!$A$3:$A$2150,D$1,'United Data'!$C$3:$C$2150,$A88,'United Data'!$B$3:$B$2150,"P")&gt;0,1,0)</f>
        <v>0</v>
      </c>
      <c r="E88">
        <f>IF(COUNTIFS('United Data'!$A$3:$A$2150,E$1,'United Data'!$C$3:$C$2150,$A88,'United Data'!$B$3:$B$2150,"P")&gt;0,1,0)</f>
        <v>0</v>
      </c>
      <c r="F88">
        <f>IF(COUNTIFS('United Data'!$A$3:$A$2150,F$1,'United Data'!$C$3:$C$2150,$A88,'United Data'!$B$3:$B$2150,"P")&gt;0,1,0)</f>
        <v>0</v>
      </c>
      <c r="G88">
        <f>IF(COUNTIFS('United Data'!$A$3:$A$2150,G$1,'United Data'!$C$3:$C$2150,$A88,'United Data'!$B$3:$B$2150,"P")&gt;0,1,0)</f>
        <v>1</v>
      </c>
      <c r="H88">
        <f>IF(COUNTIFS('United Data'!$A$3:$A$2150,H$1,'United Data'!$C$3:$C$2150,$A88,'United Data'!$B$3:$B$2150,"P")&gt;0,1,0)</f>
        <v>1</v>
      </c>
      <c r="I88">
        <f>IF(COUNTIFS('United Data'!$A$3:$A$2150,I$1,'United Data'!$C$3:$C$2150,$A88,'United Data'!$B$3:$B$2150,"P")&gt;0,1,0)</f>
        <v>0</v>
      </c>
      <c r="J88">
        <f>IF(COUNTIFS('United Data'!$A$3:$A$2150,J$1,'United Data'!$C$3:$C$2150,$A88,'United Data'!$B$3:$B$2150,"P")&gt;0,1,0)</f>
        <v>0</v>
      </c>
      <c r="K88">
        <f>IF(COUNTIFS('United Data'!$A$3:$A$2150,K$1,'United Data'!$C$3:$C$2150,$A88,'United Data'!$B$3:$B$2150,"P")&gt;0,1,0)</f>
        <v>0</v>
      </c>
      <c r="L88">
        <f>IF(COUNTIFS('United Data'!$A$3:$A$2150,L$1,'United Data'!$C$3:$C$2150,$A88,'United Data'!$B$3:$B$2150,"P")&gt;0,1,0)</f>
        <v>0</v>
      </c>
      <c r="M88">
        <f>IF(COUNTIFS('United Data'!$A$3:$A$2150,M$1,'United Data'!$C$3:$C$2150,$A88,'United Data'!$B$3:$B$2150,"P")&gt;0,1,0)</f>
        <v>0</v>
      </c>
      <c r="N88">
        <f>IF(COUNTIFS('United Data'!$A$3:$A$2150,N$1,'United Data'!$C$3:$C$2150,$A88,'United Data'!$B$3:$B$2150,"P")&gt;0,1,0)</f>
        <v>0</v>
      </c>
      <c r="O88">
        <f>IF(COUNTIFS('United Data'!$A$3:$A$2150,O$1,'United Data'!$C$3:$C$2150,$A88,'United Data'!$B$3:$B$2150,"P")&gt;0,1,0)</f>
        <v>0</v>
      </c>
      <c r="P88">
        <f>IF(COUNTIFS('United Data'!$A$3:$A$2150,P$1,'United Data'!$C$3:$C$2150,$A88,'United Data'!$B$3:$B$2150,"P")&gt;0,1,0)</f>
        <v>0</v>
      </c>
      <c r="Q88">
        <f>IF(COUNTIFS('United Data'!$A$3:$A$2150,Q$1,'United Data'!$C$3:$C$2150,$A88,'United Data'!$B$3:$B$2150,"P")&gt;0,1,0)</f>
        <v>0</v>
      </c>
      <c r="R88">
        <f>IF(COUNTIFS('United Data'!$A$3:$A$2150,R$1,'United Data'!$C$3:$C$2150,$A88,'United Data'!$B$3:$B$2150,"P")&gt;0,1,0)</f>
        <v>0</v>
      </c>
      <c r="S88">
        <f t="shared" si="2"/>
        <v>2</v>
      </c>
      <c r="T88">
        <f t="shared" si="3"/>
        <v>1</v>
      </c>
    </row>
    <row r="89" spans="1:20" x14ac:dyDescent="0.2">
      <c r="A89" t="s">
        <v>858</v>
      </c>
      <c r="B89">
        <f>IF(COUNTIFS('United Data'!$A$3:$A$2150,B$1,'United Data'!$C$3:$C$2150,$A89,'United Data'!$B$3:$B$2150,"P")&gt;0,1,0)</f>
        <v>0</v>
      </c>
      <c r="C89">
        <f>IF(COUNTIFS('United Data'!$A$3:$A$2150,C$1,'United Data'!$C$3:$C$2150,$A89,'United Data'!$B$3:$B$2150,"P")&gt;0,1,0)</f>
        <v>0</v>
      </c>
      <c r="D89">
        <f>IF(COUNTIFS('United Data'!$A$3:$A$2150,D$1,'United Data'!$C$3:$C$2150,$A89,'United Data'!$B$3:$B$2150,"P")&gt;0,1,0)</f>
        <v>0</v>
      </c>
      <c r="E89">
        <f>IF(COUNTIFS('United Data'!$A$3:$A$2150,E$1,'United Data'!$C$3:$C$2150,$A89,'United Data'!$B$3:$B$2150,"P")&gt;0,1,0)</f>
        <v>0</v>
      </c>
      <c r="F89">
        <f>IF(COUNTIFS('United Data'!$A$3:$A$2150,F$1,'United Data'!$C$3:$C$2150,$A89,'United Data'!$B$3:$B$2150,"P")&gt;0,1,0)</f>
        <v>0</v>
      </c>
      <c r="G89">
        <f>IF(COUNTIFS('United Data'!$A$3:$A$2150,G$1,'United Data'!$C$3:$C$2150,$A89,'United Data'!$B$3:$B$2150,"P")&gt;0,1,0)</f>
        <v>1</v>
      </c>
      <c r="H89">
        <f>IF(COUNTIFS('United Data'!$A$3:$A$2150,H$1,'United Data'!$C$3:$C$2150,$A89,'United Data'!$B$3:$B$2150,"P")&gt;0,1,0)</f>
        <v>0</v>
      </c>
      <c r="I89">
        <f>IF(COUNTIFS('United Data'!$A$3:$A$2150,I$1,'United Data'!$C$3:$C$2150,$A89,'United Data'!$B$3:$B$2150,"P")&gt;0,1,0)</f>
        <v>0</v>
      </c>
      <c r="J89">
        <f>IF(COUNTIFS('United Data'!$A$3:$A$2150,J$1,'United Data'!$C$3:$C$2150,$A89,'United Data'!$B$3:$B$2150,"P")&gt;0,1,0)</f>
        <v>0</v>
      </c>
      <c r="K89">
        <f>IF(COUNTIFS('United Data'!$A$3:$A$2150,K$1,'United Data'!$C$3:$C$2150,$A89,'United Data'!$B$3:$B$2150,"P")&gt;0,1,0)</f>
        <v>0</v>
      </c>
      <c r="L89">
        <f>IF(COUNTIFS('United Data'!$A$3:$A$2150,L$1,'United Data'!$C$3:$C$2150,$A89,'United Data'!$B$3:$B$2150,"P")&gt;0,1,0)</f>
        <v>0</v>
      </c>
      <c r="M89">
        <f>IF(COUNTIFS('United Data'!$A$3:$A$2150,M$1,'United Data'!$C$3:$C$2150,$A89,'United Data'!$B$3:$B$2150,"P")&gt;0,1,0)</f>
        <v>0</v>
      </c>
      <c r="N89">
        <f>IF(COUNTIFS('United Data'!$A$3:$A$2150,N$1,'United Data'!$C$3:$C$2150,$A89,'United Data'!$B$3:$B$2150,"P")&gt;0,1,0)</f>
        <v>0</v>
      </c>
      <c r="O89">
        <f>IF(COUNTIFS('United Data'!$A$3:$A$2150,O$1,'United Data'!$C$3:$C$2150,$A89,'United Data'!$B$3:$B$2150,"P")&gt;0,1,0)</f>
        <v>0</v>
      </c>
      <c r="P89">
        <f>IF(COUNTIFS('United Data'!$A$3:$A$2150,P$1,'United Data'!$C$3:$C$2150,$A89,'United Data'!$B$3:$B$2150,"P")&gt;0,1,0)</f>
        <v>0</v>
      </c>
      <c r="Q89">
        <f>IF(COUNTIFS('United Data'!$A$3:$A$2150,Q$1,'United Data'!$C$3:$C$2150,$A89,'United Data'!$B$3:$B$2150,"P")&gt;0,1,0)</f>
        <v>0</v>
      </c>
      <c r="R89">
        <f>IF(COUNTIFS('United Data'!$A$3:$A$2150,R$1,'United Data'!$C$3:$C$2150,$A89,'United Data'!$B$3:$B$2150,"P")&gt;0,1,0)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859</v>
      </c>
      <c r="B90">
        <f>IF(COUNTIFS('United Data'!$A$3:$A$2150,B$1,'United Data'!$C$3:$C$2150,$A90,'United Data'!$B$3:$B$2150,"P")&gt;0,1,0)</f>
        <v>0</v>
      </c>
      <c r="C90">
        <f>IF(COUNTIFS('United Data'!$A$3:$A$2150,C$1,'United Data'!$C$3:$C$2150,$A90,'United Data'!$B$3:$B$2150,"P")&gt;0,1,0)</f>
        <v>0</v>
      </c>
      <c r="D90">
        <f>IF(COUNTIFS('United Data'!$A$3:$A$2150,D$1,'United Data'!$C$3:$C$2150,$A90,'United Data'!$B$3:$B$2150,"P")&gt;0,1,0)</f>
        <v>0</v>
      </c>
      <c r="E90">
        <f>IF(COUNTIFS('United Data'!$A$3:$A$2150,E$1,'United Data'!$C$3:$C$2150,$A90,'United Data'!$B$3:$B$2150,"P")&gt;0,1,0)</f>
        <v>0</v>
      </c>
      <c r="F90">
        <f>IF(COUNTIFS('United Data'!$A$3:$A$2150,F$1,'United Data'!$C$3:$C$2150,$A90,'United Data'!$B$3:$B$2150,"P")&gt;0,1,0)</f>
        <v>0</v>
      </c>
      <c r="G90">
        <f>IF(COUNTIFS('United Data'!$A$3:$A$2150,G$1,'United Data'!$C$3:$C$2150,$A90,'United Data'!$B$3:$B$2150,"P")&gt;0,1,0)</f>
        <v>1</v>
      </c>
      <c r="H90">
        <f>IF(COUNTIFS('United Data'!$A$3:$A$2150,H$1,'United Data'!$C$3:$C$2150,$A90,'United Data'!$B$3:$B$2150,"P")&gt;0,1,0)</f>
        <v>0</v>
      </c>
      <c r="I90">
        <f>IF(COUNTIFS('United Data'!$A$3:$A$2150,I$1,'United Data'!$C$3:$C$2150,$A90,'United Data'!$B$3:$B$2150,"P")&gt;0,1,0)</f>
        <v>0</v>
      </c>
      <c r="J90">
        <f>IF(COUNTIFS('United Data'!$A$3:$A$2150,J$1,'United Data'!$C$3:$C$2150,$A90,'United Data'!$B$3:$B$2150,"P")&gt;0,1,0)</f>
        <v>0</v>
      </c>
      <c r="K90">
        <f>IF(COUNTIFS('United Data'!$A$3:$A$2150,K$1,'United Data'!$C$3:$C$2150,$A90,'United Data'!$B$3:$B$2150,"P")&gt;0,1,0)</f>
        <v>0</v>
      </c>
      <c r="L90">
        <f>IF(COUNTIFS('United Data'!$A$3:$A$2150,L$1,'United Data'!$C$3:$C$2150,$A90,'United Data'!$B$3:$B$2150,"P")&gt;0,1,0)</f>
        <v>0</v>
      </c>
      <c r="M90">
        <f>IF(COUNTIFS('United Data'!$A$3:$A$2150,M$1,'United Data'!$C$3:$C$2150,$A90,'United Data'!$B$3:$B$2150,"P")&gt;0,1,0)</f>
        <v>0</v>
      </c>
      <c r="N90">
        <f>IF(COUNTIFS('United Data'!$A$3:$A$2150,N$1,'United Data'!$C$3:$C$2150,$A90,'United Data'!$B$3:$B$2150,"P")&gt;0,1,0)</f>
        <v>0</v>
      </c>
      <c r="O90">
        <f>IF(COUNTIFS('United Data'!$A$3:$A$2150,O$1,'United Data'!$C$3:$C$2150,$A90,'United Data'!$B$3:$B$2150,"P")&gt;0,1,0)</f>
        <v>0</v>
      </c>
      <c r="P90">
        <f>IF(COUNTIFS('United Data'!$A$3:$A$2150,P$1,'United Data'!$C$3:$C$2150,$A90,'United Data'!$B$3:$B$2150,"P")&gt;0,1,0)</f>
        <v>0</v>
      </c>
      <c r="Q90">
        <f>IF(COUNTIFS('United Data'!$A$3:$A$2150,Q$1,'United Data'!$C$3:$C$2150,$A90,'United Data'!$B$3:$B$2150,"P")&gt;0,1,0)</f>
        <v>0</v>
      </c>
      <c r="R90">
        <f>IF(COUNTIFS('United Data'!$A$3:$A$2150,R$1,'United Data'!$C$3:$C$2150,$A90,'United Data'!$B$3:$B$2150,"P")&gt;0,1,0)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860</v>
      </c>
      <c r="B91">
        <f>IF(COUNTIFS('United Data'!$A$3:$A$2150,B$1,'United Data'!$C$3:$C$2150,$A91,'United Data'!$B$3:$B$2150,"P")&gt;0,1,0)</f>
        <v>0</v>
      </c>
      <c r="C91">
        <f>IF(COUNTIFS('United Data'!$A$3:$A$2150,C$1,'United Data'!$C$3:$C$2150,$A91,'United Data'!$B$3:$B$2150,"P")&gt;0,1,0)</f>
        <v>0</v>
      </c>
      <c r="D91">
        <f>IF(COUNTIFS('United Data'!$A$3:$A$2150,D$1,'United Data'!$C$3:$C$2150,$A91,'United Data'!$B$3:$B$2150,"P")&gt;0,1,0)</f>
        <v>0</v>
      </c>
      <c r="E91">
        <f>IF(COUNTIFS('United Data'!$A$3:$A$2150,E$1,'United Data'!$C$3:$C$2150,$A91,'United Data'!$B$3:$B$2150,"P")&gt;0,1,0)</f>
        <v>0</v>
      </c>
      <c r="F91">
        <f>IF(COUNTIFS('United Data'!$A$3:$A$2150,F$1,'United Data'!$C$3:$C$2150,$A91,'United Data'!$B$3:$B$2150,"P")&gt;0,1,0)</f>
        <v>0</v>
      </c>
      <c r="G91">
        <f>IF(COUNTIFS('United Data'!$A$3:$A$2150,G$1,'United Data'!$C$3:$C$2150,$A91,'United Data'!$B$3:$B$2150,"P")&gt;0,1,0)</f>
        <v>1</v>
      </c>
      <c r="H91">
        <f>IF(COUNTIFS('United Data'!$A$3:$A$2150,H$1,'United Data'!$C$3:$C$2150,$A91,'United Data'!$B$3:$B$2150,"P")&gt;0,1,0)</f>
        <v>0</v>
      </c>
      <c r="I91">
        <f>IF(COUNTIFS('United Data'!$A$3:$A$2150,I$1,'United Data'!$C$3:$C$2150,$A91,'United Data'!$B$3:$B$2150,"P")&gt;0,1,0)</f>
        <v>0</v>
      </c>
      <c r="J91">
        <f>IF(COUNTIFS('United Data'!$A$3:$A$2150,J$1,'United Data'!$C$3:$C$2150,$A91,'United Data'!$B$3:$B$2150,"P")&gt;0,1,0)</f>
        <v>0</v>
      </c>
      <c r="K91">
        <f>IF(COUNTIFS('United Data'!$A$3:$A$2150,K$1,'United Data'!$C$3:$C$2150,$A91,'United Data'!$B$3:$B$2150,"P")&gt;0,1,0)</f>
        <v>0</v>
      </c>
      <c r="L91">
        <f>IF(COUNTIFS('United Data'!$A$3:$A$2150,L$1,'United Data'!$C$3:$C$2150,$A91,'United Data'!$B$3:$B$2150,"P")&gt;0,1,0)</f>
        <v>0</v>
      </c>
      <c r="M91">
        <f>IF(COUNTIFS('United Data'!$A$3:$A$2150,M$1,'United Data'!$C$3:$C$2150,$A91,'United Data'!$B$3:$B$2150,"P")&gt;0,1,0)</f>
        <v>0</v>
      </c>
      <c r="N91">
        <f>IF(COUNTIFS('United Data'!$A$3:$A$2150,N$1,'United Data'!$C$3:$C$2150,$A91,'United Data'!$B$3:$B$2150,"P")&gt;0,1,0)</f>
        <v>0</v>
      </c>
      <c r="O91">
        <f>IF(COUNTIFS('United Data'!$A$3:$A$2150,O$1,'United Data'!$C$3:$C$2150,$A91,'United Data'!$B$3:$B$2150,"P")&gt;0,1,0)</f>
        <v>0</v>
      </c>
      <c r="P91">
        <f>IF(COUNTIFS('United Data'!$A$3:$A$2150,P$1,'United Data'!$C$3:$C$2150,$A91,'United Data'!$B$3:$B$2150,"P")&gt;0,1,0)</f>
        <v>0</v>
      </c>
      <c r="Q91">
        <f>IF(COUNTIFS('United Data'!$A$3:$A$2150,Q$1,'United Data'!$C$3:$C$2150,$A91,'United Data'!$B$3:$B$2150,"P")&gt;0,1,0)</f>
        <v>0</v>
      </c>
      <c r="R91">
        <f>IF(COUNTIFS('United Data'!$A$3:$A$2150,R$1,'United Data'!$C$3:$C$2150,$A91,'United Data'!$B$3:$B$2150,"P")&gt;0,1,0)</f>
        <v>0</v>
      </c>
      <c r="S91">
        <f t="shared" si="2"/>
        <v>1</v>
      </c>
      <c r="T91">
        <f t="shared" si="3"/>
        <v>1</v>
      </c>
    </row>
    <row r="92" spans="1:20" x14ac:dyDescent="0.2">
      <c r="A92" t="s">
        <v>861</v>
      </c>
      <c r="B92">
        <f>IF(COUNTIFS('United Data'!$A$3:$A$2150,B$1,'United Data'!$C$3:$C$2150,$A92,'United Data'!$B$3:$B$2150,"P")&gt;0,1,0)</f>
        <v>0</v>
      </c>
      <c r="C92">
        <f>IF(COUNTIFS('United Data'!$A$3:$A$2150,C$1,'United Data'!$C$3:$C$2150,$A92,'United Data'!$B$3:$B$2150,"P")&gt;0,1,0)</f>
        <v>0</v>
      </c>
      <c r="D92">
        <f>IF(COUNTIFS('United Data'!$A$3:$A$2150,D$1,'United Data'!$C$3:$C$2150,$A92,'United Data'!$B$3:$B$2150,"P")&gt;0,1,0)</f>
        <v>0</v>
      </c>
      <c r="E92">
        <f>IF(COUNTIFS('United Data'!$A$3:$A$2150,E$1,'United Data'!$C$3:$C$2150,$A92,'United Data'!$B$3:$B$2150,"P")&gt;0,1,0)</f>
        <v>0</v>
      </c>
      <c r="F92">
        <f>IF(COUNTIFS('United Data'!$A$3:$A$2150,F$1,'United Data'!$C$3:$C$2150,$A92,'United Data'!$B$3:$B$2150,"P")&gt;0,1,0)</f>
        <v>0</v>
      </c>
      <c r="G92">
        <f>IF(COUNTIFS('United Data'!$A$3:$A$2150,G$1,'United Data'!$C$3:$C$2150,$A92,'United Data'!$B$3:$B$2150,"P")&gt;0,1,0)</f>
        <v>1</v>
      </c>
      <c r="H92">
        <f>IF(COUNTIFS('United Data'!$A$3:$A$2150,H$1,'United Data'!$C$3:$C$2150,$A92,'United Data'!$B$3:$B$2150,"P")&gt;0,1,0)</f>
        <v>1</v>
      </c>
      <c r="I92">
        <f>IF(COUNTIFS('United Data'!$A$3:$A$2150,I$1,'United Data'!$C$3:$C$2150,$A92,'United Data'!$B$3:$B$2150,"P")&gt;0,1,0)</f>
        <v>1</v>
      </c>
      <c r="J92">
        <f>IF(COUNTIFS('United Data'!$A$3:$A$2150,J$1,'United Data'!$C$3:$C$2150,$A92,'United Data'!$B$3:$B$2150,"P")&gt;0,1,0)</f>
        <v>1</v>
      </c>
      <c r="K92">
        <f>IF(COUNTIFS('United Data'!$A$3:$A$2150,K$1,'United Data'!$C$3:$C$2150,$A92,'United Data'!$B$3:$B$2150,"P")&gt;0,1,0)</f>
        <v>0</v>
      </c>
      <c r="L92">
        <f>IF(COUNTIFS('United Data'!$A$3:$A$2150,L$1,'United Data'!$C$3:$C$2150,$A92,'United Data'!$B$3:$B$2150,"P")&gt;0,1,0)</f>
        <v>0</v>
      </c>
      <c r="M92">
        <f>IF(COUNTIFS('United Data'!$A$3:$A$2150,M$1,'United Data'!$C$3:$C$2150,$A92,'United Data'!$B$3:$B$2150,"P")&gt;0,1,0)</f>
        <v>0</v>
      </c>
      <c r="N92">
        <f>IF(COUNTIFS('United Data'!$A$3:$A$2150,N$1,'United Data'!$C$3:$C$2150,$A92,'United Data'!$B$3:$B$2150,"P")&gt;0,1,0)</f>
        <v>0</v>
      </c>
      <c r="O92">
        <f>IF(COUNTIFS('United Data'!$A$3:$A$2150,O$1,'United Data'!$C$3:$C$2150,$A92,'United Data'!$B$3:$B$2150,"P")&gt;0,1,0)</f>
        <v>0</v>
      </c>
      <c r="P92">
        <f>IF(COUNTIFS('United Data'!$A$3:$A$2150,P$1,'United Data'!$C$3:$C$2150,$A92,'United Data'!$B$3:$B$2150,"P")&gt;0,1,0)</f>
        <v>0</v>
      </c>
      <c r="Q92">
        <f>IF(COUNTIFS('United Data'!$A$3:$A$2150,Q$1,'United Data'!$C$3:$C$2150,$A92,'United Data'!$B$3:$B$2150,"P")&gt;0,1,0)</f>
        <v>0</v>
      </c>
      <c r="R92">
        <f>IF(COUNTIFS('United Data'!$A$3:$A$2150,R$1,'United Data'!$C$3:$C$2150,$A92,'United Data'!$B$3:$B$2150,"P")&gt;0,1,0)</f>
        <v>0</v>
      </c>
      <c r="S92">
        <f t="shared" si="2"/>
        <v>4</v>
      </c>
      <c r="T92">
        <f t="shared" si="3"/>
        <v>1</v>
      </c>
    </row>
    <row r="93" spans="1:20" x14ac:dyDescent="0.2">
      <c r="A93" t="s">
        <v>862</v>
      </c>
      <c r="B93">
        <f>IF(COUNTIFS('United Data'!$A$3:$A$2150,B$1,'United Data'!$C$3:$C$2150,$A93,'United Data'!$B$3:$B$2150,"P")&gt;0,1,0)</f>
        <v>0</v>
      </c>
      <c r="C93">
        <f>IF(COUNTIFS('United Data'!$A$3:$A$2150,C$1,'United Data'!$C$3:$C$2150,$A93,'United Data'!$B$3:$B$2150,"P")&gt;0,1,0)</f>
        <v>0</v>
      </c>
      <c r="D93">
        <f>IF(COUNTIFS('United Data'!$A$3:$A$2150,D$1,'United Data'!$C$3:$C$2150,$A93,'United Data'!$B$3:$B$2150,"P")&gt;0,1,0)</f>
        <v>0</v>
      </c>
      <c r="E93">
        <f>IF(COUNTIFS('United Data'!$A$3:$A$2150,E$1,'United Data'!$C$3:$C$2150,$A93,'United Data'!$B$3:$B$2150,"P")&gt;0,1,0)</f>
        <v>0</v>
      </c>
      <c r="F93">
        <f>IF(COUNTIFS('United Data'!$A$3:$A$2150,F$1,'United Data'!$C$3:$C$2150,$A93,'United Data'!$B$3:$B$2150,"P")&gt;0,1,0)</f>
        <v>0</v>
      </c>
      <c r="G93">
        <f>IF(COUNTIFS('United Data'!$A$3:$A$2150,G$1,'United Data'!$C$3:$C$2150,$A93,'United Data'!$B$3:$B$2150,"P")&gt;0,1,0)</f>
        <v>1</v>
      </c>
      <c r="H93">
        <f>IF(COUNTIFS('United Data'!$A$3:$A$2150,H$1,'United Data'!$C$3:$C$2150,$A93,'United Data'!$B$3:$B$2150,"P")&gt;0,1,0)</f>
        <v>0</v>
      </c>
      <c r="I93">
        <f>IF(COUNTIFS('United Data'!$A$3:$A$2150,I$1,'United Data'!$C$3:$C$2150,$A93,'United Data'!$B$3:$B$2150,"P")&gt;0,1,0)</f>
        <v>0</v>
      </c>
      <c r="J93">
        <f>IF(COUNTIFS('United Data'!$A$3:$A$2150,J$1,'United Data'!$C$3:$C$2150,$A93,'United Data'!$B$3:$B$2150,"P")&gt;0,1,0)</f>
        <v>0</v>
      </c>
      <c r="K93">
        <f>IF(COUNTIFS('United Data'!$A$3:$A$2150,K$1,'United Data'!$C$3:$C$2150,$A93,'United Data'!$B$3:$B$2150,"P")&gt;0,1,0)</f>
        <v>0</v>
      </c>
      <c r="L93">
        <f>IF(COUNTIFS('United Data'!$A$3:$A$2150,L$1,'United Data'!$C$3:$C$2150,$A93,'United Data'!$B$3:$B$2150,"P")&gt;0,1,0)</f>
        <v>0</v>
      </c>
      <c r="M93">
        <f>IF(COUNTIFS('United Data'!$A$3:$A$2150,M$1,'United Data'!$C$3:$C$2150,$A93,'United Data'!$B$3:$B$2150,"P")&gt;0,1,0)</f>
        <v>0</v>
      </c>
      <c r="N93">
        <f>IF(COUNTIFS('United Data'!$A$3:$A$2150,N$1,'United Data'!$C$3:$C$2150,$A93,'United Data'!$B$3:$B$2150,"P")&gt;0,1,0)</f>
        <v>0</v>
      </c>
      <c r="O93">
        <f>IF(COUNTIFS('United Data'!$A$3:$A$2150,O$1,'United Data'!$C$3:$C$2150,$A93,'United Data'!$B$3:$B$2150,"P")&gt;0,1,0)</f>
        <v>0</v>
      </c>
      <c r="P93">
        <f>IF(COUNTIFS('United Data'!$A$3:$A$2150,P$1,'United Data'!$C$3:$C$2150,$A93,'United Data'!$B$3:$B$2150,"P")&gt;0,1,0)</f>
        <v>0</v>
      </c>
      <c r="Q93">
        <f>IF(COUNTIFS('United Data'!$A$3:$A$2150,Q$1,'United Data'!$C$3:$C$2150,$A93,'United Data'!$B$3:$B$2150,"P")&gt;0,1,0)</f>
        <v>0</v>
      </c>
      <c r="R93">
        <f>IF(COUNTIFS('United Data'!$A$3:$A$2150,R$1,'United Data'!$C$3:$C$2150,$A93,'United Data'!$B$3:$B$2150,"P")&gt;0,1,0)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863</v>
      </c>
      <c r="B94">
        <f>IF(COUNTIFS('United Data'!$A$3:$A$2150,B$1,'United Data'!$C$3:$C$2150,$A94,'United Data'!$B$3:$B$2150,"P")&gt;0,1,0)</f>
        <v>0</v>
      </c>
      <c r="C94">
        <f>IF(COUNTIFS('United Data'!$A$3:$A$2150,C$1,'United Data'!$C$3:$C$2150,$A94,'United Data'!$B$3:$B$2150,"P")&gt;0,1,0)</f>
        <v>0</v>
      </c>
      <c r="D94">
        <f>IF(COUNTIFS('United Data'!$A$3:$A$2150,D$1,'United Data'!$C$3:$C$2150,$A94,'United Data'!$B$3:$B$2150,"P")&gt;0,1,0)</f>
        <v>0</v>
      </c>
      <c r="E94">
        <f>IF(COUNTIFS('United Data'!$A$3:$A$2150,E$1,'United Data'!$C$3:$C$2150,$A94,'United Data'!$B$3:$B$2150,"P")&gt;0,1,0)</f>
        <v>0</v>
      </c>
      <c r="F94">
        <f>IF(COUNTIFS('United Data'!$A$3:$A$2150,F$1,'United Data'!$C$3:$C$2150,$A94,'United Data'!$B$3:$B$2150,"P")&gt;0,1,0)</f>
        <v>0</v>
      </c>
      <c r="G94">
        <f>IF(COUNTIFS('United Data'!$A$3:$A$2150,G$1,'United Data'!$C$3:$C$2150,$A94,'United Data'!$B$3:$B$2150,"P")&gt;0,1,0)</f>
        <v>1</v>
      </c>
      <c r="H94">
        <f>IF(COUNTIFS('United Data'!$A$3:$A$2150,H$1,'United Data'!$C$3:$C$2150,$A94,'United Data'!$B$3:$B$2150,"P")&gt;0,1,0)</f>
        <v>0</v>
      </c>
      <c r="I94">
        <f>IF(COUNTIFS('United Data'!$A$3:$A$2150,I$1,'United Data'!$C$3:$C$2150,$A94,'United Data'!$B$3:$B$2150,"P")&gt;0,1,0)</f>
        <v>1</v>
      </c>
      <c r="J94">
        <f>IF(COUNTIFS('United Data'!$A$3:$A$2150,J$1,'United Data'!$C$3:$C$2150,$A94,'United Data'!$B$3:$B$2150,"P")&gt;0,1,0)</f>
        <v>0</v>
      </c>
      <c r="K94">
        <f>IF(COUNTIFS('United Data'!$A$3:$A$2150,K$1,'United Data'!$C$3:$C$2150,$A94,'United Data'!$B$3:$B$2150,"P")&gt;0,1,0)</f>
        <v>0</v>
      </c>
      <c r="L94">
        <f>IF(COUNTIFS('United Data'!$A$3:$A$2150,L$1,'United Data'!$C$3:$C$2150,$A94,'United Data'!$B$3:$B$2150,"P")&gt;0,1,0)</f>
        <v>0</v>
      </c>
      <c r="M94">
        <f>IF(COUNTIFS('United Data'!$A$3:$A$2150,M$1,'United Data'!$C$3:$C$2150,$A94,'United Data'!$B$3:$B$2150,"P")&gt;0,1,0)</f>
        <v>0</v>
      </c>
      <c r="N94">
        <f>IF(COUNTIFS('United Data'!$A$3:$A$2150,N$1,'United Data'!$C$3:$C$2150,$A94,'United Data'!$B$3:$B$2150,"P")&gt;0,1,0)</f>
        <v>0</v>
      </c>
      <c r="O94">
        <f>IF(COUNTIFS('United Data'!$A$3:$A$2150,O$1,'United Data'!$C$3:$C$2150,$A94,'United Data'!$B$3:$B$2150,"P")&gt;0,1,0)</f>
        <v>0</v>
      </c>
      <c r="P94">
        <f>IF(COUNTIFS('United Data'!$A$3:$A$2150,P$1,'United Data'!$C$3:$C$2150,$A94,'United Data'!$B$3:$B$2150,"P")&gt;0,1,0)</f>
        <v>0</v>
      </c>
      <c r="Q94">
        <f>IF(COUNTIFS('United Data'!$A$3:$A$2150,Q$1,'United Data'!$C$3:$C$2150,$A94,'United Data'!$B$3:$B$2150,"P")&gt;0,1,0)</f>
        <v>0</v>
      </c>
      <c r="R94">
        <f>IF(COUNTIFS('United Data'!$A$3:$A$2150,R$1,'United Data'!$C$3:$C$2150,$A94,'United Data'!$B$3:$B$2150,"P")&gt;0,1,0)</f>
        <v>0</v>
      </c>
      <c r="S94">
        <f t="shared" si="2"/>
        <v>2</v>
      </c>
      <c r="T94">
        <f t="shared" si="3"/>
        <v>2</v>
      </c>
    </row>
    <row r="95" spans="1:20" x14ac:dyDescent="0.2">
      <c r="A95" t="s">
        <v>864</v>
      </c>
      <c r="B95">
        <f>IF(COUNTIFS('United Data'!$A$3:$A$2150,B$1,'United Data'!$C$3:$C$2150,$A95,'United Data'!$B$3:$B$2150,"P")&gt;0,1,0)</f>
        <v>0</v>
      </c>
      <c r="C95">
        <f>IF(COUNTIFS('United Data'!$A$3:$A$2150,C$1,'United Data'!$C$3:$C$2150,$A95,'United Data'!$B$3:$B$2150,"P")&gt;0,1,0)</f>
        <v>0</v>
      </c>
      <c r="D95">
        <f>IF(COUNTIFS('United Data'!$A$3:$A$2150,D$1,'United Data'!$C$3:$C$2150,$A95,'United Data'!$B$3:$B$2150,"P")&gt;0,1,0)</f>
        <v>0</v>
      </c>
      <c r="E95">
        <f>IF(COUNTIFS('United Data'!$A$3:$A$2150,E$1,'United Data'!$C$3:$C$2150,$A95,'United Data'!$B$3:$B$2150,"P")&gt;0,1,0)</f>
        <v>0</v>
      </c>
      <c r="F95">
        <f>IF(COUNTIFS('United Data'!$A$3:$A$2150,F$1,'United Data'!$C$3:$C$2150,$A95,'United Data'!$B$3:$B$2150,"P")&gt;0,1,0)</f>
        <v>0</v>
      </c>
      <c r="G95">
        <f>IF(COUNTIFS('United Data'!$A$3:$A$2150,G$1,'United Data'!$C$3:$C$2150,$A95,'United Data'!$B$3:$B$2150,"P")&gt;0,1,0)</f>
        <v>1</v>
      </c>
      <c r="H95">
        <f>IF(COUNTIFS('United Data'!$A$3:$A$2150,H$1,'United Data'!$C$3:$C$2150,$A95,'United Data'!$B$3:$B$2150,"P")&gt;0,1,0)</f>
        <v>1</v>
      </c>
      <c r="I95">
        <f>IF(COUNTIFS('United Data'!$A$3:$A$2150,I$1,'United Data'!$C$3:$C$2150,$A95,'United Data'!$B$3:$B$2150,"P")&gt;0,1,0)</f>
        <v>0</v>
      </c>
      <c r="J95">
        <f>IF(COUNTIFS('United Data'!$A$3:$A$2150,J$1,'United Data'!$C$3:$C$2150,$A95,'United Data'!$B$3:$B$2150,"P")&gt;0,1,0)</f>
        <v>0</v>
      </c>
      <c r="K95">
        <f>IF(COUNTIFS('United Data'!$A$3:$A$2150,K$1,'United Data'!$C$3:$C$2150,$A95,'United Data'!$B$3:$B$2150,"P")&gt;0,1,0)</f>
        <v>0</v>
      </c>
      <c r="L95">
        <f>IF(COUNTIFS('United Data'!$A$3:$A$2150,L$1,'United Data'!$C$3:$C$2150,$A95,'United Data'!$B$3:$B$2150,"P")&gt;0,1,0)</f>
        <v>0</v>
      </c>
      <c r="M95">
        <f>IF(COUNTIFS('United Data'!$A$3:$A$2150,M$1,'United Data'!$C$3:$C$2150,$A95,'United Data'!$B$3:$B$2150,"P")&gt;0,1,0)</f>
        <v>0</v>
      </c>
      <c r="N95">
        <f>IF(COUNTIFS('United Data'!$A$3:$A$2150,N$1,'United Data'!$C$3:$C$2150,$A95,'United Data'!$B$3:$B$2150,"P")&gt;0,1,0)</f>
        <v>0</v>
      </c>
      <c r="O95">
        <f>IF(COUNTIFS('United Data'!$A$3:$A$2150,O$1,'United Data'!$C$3:$C$2150,$A95,'United Data'!$B$3:$B$2150,"P")&gt;0,1,0)</f>
        <v>0</v>
      </c>
      <c r="P95">
        <f>IF(COUNTIFS('United Data'!$A$3:$A$2150,P$1,'United Data'!$C$3:$C$2150,$A95,'United Data'!$B$3:$B$2150,"P")&gt;0,1,0)</f>
        <v>0</v>
      </c>
      <c r="Q95">
        <f>IF(COUNTIFS('United Data'!$A$3:$A$2150,Q$1,'United Data'!$C$3:$C$2150,$A95,'United Data'!$B$3:$B$2150,"P")&gt;0,1,0)</f>
        <v>0</v>
      </c>
      <c r="R95">
        <f>IF(COUNTIFS('United Data'!$A$3:$A$2150,R$1,'United Data'!$C$3:$C$2150,$A95,'United Data'!$B$3:$B$2150,"P")&gt;0,1,0)</f>
        <v>0</v>
      </c>
      <c r="S95">
        <f t="shared" si="2"/>
        <v>2</v>
      </c>
      <c r="T95">
        <f t="shared" si="3"/>
        <v>1</v>
      </c>
    </row>
    <row r="96" spans="1:20" x14ac:dyDescent="0.2">
      <c r="A96" t="s">
        <v>865</v>
      </c>
      <c r="B96">
        <f>IF(COUNTIFS('United Data'!$A$3:$A$2150,B$1,'United Data'!$C$3:$C$2150,$A96,'United Data'!$B$3:$B$2150,"P")&gt;0,1,0)</f>
        <v>0</v>
      </c>
      <c r="C96">
        <f>IF(COUNTIFS('United Data'!$A$3:$A$2150,C$1,'United Data'!$C$3:$C$2150,$A96,'United Data'!$B$3:$B$2150,"P")&gt;0,1,0)</f>
        <v>0</v>
      </c>
      <c r="D96">
        <f>IF(COUNTIFS('United Data'!$A$3:$A$2150,D$1,'United Data'!$C$3:$C$2150,$A96,'United Data'!$B$3:$B$2150,"P")&gt;0,1,0)</f>
        <v>0</v>
      </c>
      <c r="E96">
        <f>IF(COUNTIFS('United Data'!$A$3:$A$2150,E$1,'United Data'!$C$3:$C$2150,$A96,'United Data'!$B$3:$B$2150,"P")&gt;0,1,0)</f>
        <v>0</v>
      </c>
      <c r="F96">
        <f>IF(COUNTIFS('United Data'!$A$3:$A$2150,F$1,'United Data'!$C$3:$C$2150,$A96,'United Data'!$B$3:$B$2150,"P")&gt;0,1,0)</f>
        <v>0</v>
      </c>
      <c r="G96">
        <f>IF(COUNTIFS('United Data'!$A$3:$A$2150,G$1,'United Data'!$C$3:$C$2150,$A96,'United Data'!$B$3:$B$2150,"P")&gt;0,1,0)</f>
        <v>1</v>
      </c>
      <c r="H96">
        <f>IF(COUNTIFS('United Data'!$A$3:$A$2150,H$1,'United Data'!$C$3:$C$2150,$A96,'United Data'!$B$3:$B$2150,"P")&gt;0,1,0)</f>
        <v>0</v>
      </c>
      <c r="I96">
        <f>IF(COUNTIFS('United Data'!$A$3:$A$2150,I$1,'United Data'!$C$3:$C$2150,$A96,'United Data'!$B$3:$B$2150,"P")&gt;0,1,0)</f>
        <v>0</v>
      </c>
      <c r="J96">
        <f>IF(COUNTIFS('United Data'!$A$3:$A$2150,J$1,'United Data'!$C$3:$C$2150,$A96,'United Data'!$B$3:$B$2150,"P")&gt;0,1,0)</f>
        <v>0</v>
      </c>
      <c r="K96">
        <f>IF(COUNTIFS('United Data'!$A$3:$A$2150,K$1,'United Data'!$C$3:$C$2150,$A96,'United Data'!$B$3:$B$2150,"P")&gt;0,1,0)</f>
        <v>0</v>
      </c>
      <c r="L96">
        <f>IF(COUNTIFS('United Data'!$A$3:$A$2150,L$1,'United Data'!$C$3:$C$2150,$A96,'United Data'!$B$3:$B$2150,"P")&gt;0,1,0)</f>
        <v>0</v>
      </c>
      <c r="M96">
        <f>IF(COUNTIFS('United Data'!$A$3:$A$2150,M$1,'United Data'!$C$3:$C$2150,$A96,'United Data'!$B$3:$B$2150,"P")&gt;0,1,0)</f>
        <v>0</v>
      </c>
      <c r="N96">
        <f>IF(COUNTIFS('United Data'!$A$3:$A$2150,N$1,'United Data'!$C$3:$C$2150,$A96,'United Data'!$B$3:$B$2150,"P")&gt;0,1,0)</f>
        <v>0</v>
      </c>
      <c r="O96">
        <f>IF(COUNTIFS('United Data'!$A$3:$A$2150,O$1,'United Data'!$C$3:$C$2150,$A96,'United Data'!$B$3:$B$2150,"P")&gt;0,1,0)</f>
        <v>0</v>
      </c>
      <c r="P96">
        <f>IF(COUNTIFS('United Data'!$A$3:$A$2150,P$1,'United Data'!$C$3:$C$2150,$A96,'United Data'!$B$3:$B$2150,"P")&gt;0,1,0)</f>
        <v>0</v>
      </c>
      <c r="Q96">
        <f>IF(COUNTIFS('United Data'!$A$3:$A$2150,Q$1,'United Data'!$C$3:$C$2150,$A96,'United Data'!$B$3:$B$2150,"P")&gt;0,1,0)</f>
        <v>0</v>
      </c>
      <c r="R96">
        <f>IF(COUNTIFS('United Data'!$A$3:$A$2150,R$1,'United Data'!$C$3:$C$2150,$A96,'United Data'!$B$3:$B$2150,"P")&gt;0,1,0)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866</v>
      </c>
      <c r="B97">
        <f>IF(COUNTIFS('United Data'!$A$3:$A$2150,B$1,'United Data'!$C$3:$C$2150,$A97,'United Data'!$B$3:$B$2150,"P")&gt;0,1,0)</f>
        <v>0</v>
      </c>
      <c r="C97">
        <f>IF(COUNTIFS('United Data'!$A$3:$A$2150,C$1,'United Data'!$C$3:$C$2150,$A97,'United Data'!$B$3:$B$2150,"P")&gt;0,1,0)</f>
        <v>0</v>
      </c>
      <c r="D97">
        <f>IF(COUNTIFS('United Data'!$A$3:$A$2150,D$1,'United Data'!$C$3:$C$2150,$A97,'United Data'!$B$3:$B$2150,"P")&gt;0,1,0)</f>
        <v>0</v>
      </c>
      <c r="E97">
        <f>IF(COUNTIFS('United Data'!$A$3:$A$2150,E$1,'United Data'!$C$3:$C$2150,$A97,'United Data'!$B$3:$B$2150,"P")&gt;0,1,0)</f>
        <v>0</v>
      </c>
      <c r="F97">
        <f>IF(COUNTIFS('United Data'!$A$3:$A$2150,F$1,'United Data'!$C$3:$C$2150,$A97,'United Data'!$B$3:$B$2150,"P")&gt;0,1,0)</f>
        <v>0</v>
      </c>
      <c r="G97">
        <f>IF(COUNTIFS('United Data'!$A$3:$A$2150,G$1,'United Data'!$C$3:$C$2150,$A97,'United Data'!$B$3:$B$2150,"P")&gt;0,1,0)</f>
        <v>1</v>
      </c>
      <c r="H97">
        <f>IF(COUNTIFS('United Data'!$A$3:$A$2150,H$1,'United Data'!$C$3:$C$2150,$A97,'United Data'!$B$3:$B$2150,"P")&gt;0,1,0)</f>
        <v>1</v>
      </c>
      <c r="I97">
        <f>IF(COUNTIFS('United Data'!$A$3:$A$2150,I$1,'United Data'!$C$3:$C$2150,$A97,'United Data'!$B$3:$B$2150,"P")&gt;0,1,0)</f>
        <v>1</v>
      </c>
      <c r="J97">
        <f>IF(COUNTIFS('United Data'!$A$3:$A$2150,J$1,'United Data'!$C$3:$C$2150,$A97,'United Data'!$B$3:$B$2150,"P")&gt;0,1,0)</f>
        <v>1</v>
      </c>
      <c r="K97">
        <f>IF(COUNTIFS('United Data'!$A$3:$A$2150,K$1,'United Data'!$C$3:$C$2150,$A97,'United Data'!$B$3:$B$2150,"P")&gt;0,1,0)</f>
        <v>1</v>
      </c>
      <c r="L97">
        <f>IF(COUNTIFS('United Data'!$A$3:$A$2150,L$1,'United Data'!$C$3:$C$2150,$A97,'United Data'!$B$3:$B$2150,"P")&gt;0,1,0)</f>
        <v>0</v>
      </c>
      <c r="M97">
        <f>IF(COUNTIFS('United Data'!$A$3:$A$2150,M$1,'United Data'!$C$3:$C$2150,$A97,'United Data'!$B$3:$B$2150,"P")&gt;0,1,0)</f>
        <v>0</v>
      </c>
      <c r="N97">
        <f>IF(COUNTIFS('United Data'!$A$3:$A$2150,N$1,'United Data'!$C$3:$C$2150,$A97,'United Data'!$B$3:$B$2150,"P")&gt;0,1,0)</f>
        <v>0</v>
      </c>
      <c r="O97">
        <f>IF(COUNTIFS('United Data'!$A$3:$A$2150,O$1,'United Data'!$C$3:$C$2150,$A97,'United Data'!$B$3:$B$2150,"P")&gt;0,1,0)</f>
        <v>0</v>
      </c>
      <c r="P97">
        <f>IF(COUNTIFS('United Data'!$A$3:$A$2150,P$1,'United Data'!$C$3:$C$2150,$A97,'United Data'!$B$3:$B$2150,"P")&gt;0,1,0)</f>
        <v>0</v>
      </c>
      <c r="Q97">
        <f>IF(COUNTIFS('United Data'!$A$3:$A$2150,Q$1,'United Data'!$C$3:$C$2150,$A97,'United Data'!$B$3:$B$2150,"P")&gt;0,1,0)</f>
        <v>0</v>
      </c>
      <c r="R97">
        <f>IF(COUNTIFS('United Data'!$A$3:$A$2150,R$1,'United Data'!$C$3:$C$2150,$A97,'United Data'!$B$3:$B$2150,"P")&gt;0,1,0)</f>
        <v>0</v>
      </c>
      <c r="S97">
        <f t="shared" si="2"/>
        <v>5</v>
      </c>
      <c r="T97">
        <f t="shared" si="3"/>
        <v>1</v>
      </c>
    </row>
    <row r="98" spans="1:20" x14ac:dyDescent="0.2">
      <c r="A98" t="s">
        <v>867</v>
      </c>
      <c r="B98">
        <f>IF(COUNTIFS('United Data'!$A$3:$A$2150,B$1,'United Data'!$C$3:$C$2150,$A98,'United Data'!$B$3:$B$2150,"P")&gt;0,1,0)</f>
        <v>0</v>
      </c>
      <c r="C98">
        <f>IF(COUNTIFS('United Data'!$A$3:$A$2150,C$1,'United Data'!$C$3:$C$2150,$A98,'United Data'!$B$3:$B$2150,"P")&gt;0,1,0)</f>
        <v>0</v>
      </c>
      <c r="D98">
        <f>IF(COUNTIFS('United Data'!$A$3:$A$2150,D$1,'United Data'!$C$3:$C$2150,$A98,'United Data'!$B$3:$B$2150,"P")&gt;0,1,0)</f>
        <v>0</v>
      </c>
      <c r="E98">
        <f>IF(COUNTIFS('United Data'!$A$3:$A$2150,E$1,'United Data'!$C$3:$C$2150,$A98,'United Data'!$B$3:$B$2150,"P")&gt;0,1,0)</f>
        <v>0</v>
      </c>
      <c r="F98">
        <f>IF(COUNTIFS('United Data'!$A$3:$A$2150,F$1,'United Data'!$C$3:$C$2150,$A98,'United Data'!$B$3:$B$2150,"P")&gt;0,1,0)</f>
        <v>0</v>
      </c>
      <c r="G98">
        <f>IF(COUNTIFS('United Data'!$A$3:$A$2150,G$1,'United Data'!$C$3:$C$2150,$A98,'United Data'!$B$3:$B$2150,"P")&gt;0,1,0)</f>
        <v>1</v>
      </c>
      <c r="H98">
        <f>IF(COUNTIFS('United Data'!$A$3:$A$2150,H$1,'United Data'!$C$3:$C$2150,$A98,'United Data'!$B$3:$B$2150,"P")&gt;0,1,0)</f>
        <v>0</v>
      </c>
      <c r="I98">
        <f>IF(COUNTIFS('United Data'!$A$3:$A$2150,I$1,'United Data'!$C$3:$C$2150,$A98,'United Data'!$B$3:$B$2150,"P")&gt;0,1,0)</f>
        <v>0</v>
      </c>
      <c r="J98">
        <f>IF(COUNTIFS('United Data'!$A$3:$A$2150,J$1,'United Data'!$C$3:$C$2150,$A98,'United Data'!$B$3:$B$2150,"P")&gt;0,1,0)</f>
        <v>0</v>
      </c>
      <c r="K98">
        <f>IF(COUNTIFS('United Data'!$A$3:$A$2150,K$1,'United Data'!$C$3:$C$2150,$A98,'United Data'!$B$3:$B$2150,"P")&gt;0,1,0)</f>
        <v>1</v>
      </c>
      <c r="L98">
        <f>IF(COUNTIFS('United Data'!$A$3:$A$2150,L$1,'United Data'!$C$3:$C$2150,$A98,'United Data'!$B$3:$B$2150,"P")&gt;0,1,0)</f>
        <v>0</v>
      </c>
      <c r="M98">
        <f>IF(COUNTIFS('United Data'!$A$3:$A$2150,M$1,'United Data'!$C$3:$C$2150,$A98,'United Data'!$B$3:$B$2150,"P")&gt;0,1,0)</f>
        <v>1</v>
      </c>
      <c r="N98">
        <f>IF(COUNTIFS('United Data'!$A$3:$A$2150,N$1,'United Data'!$C$3:$C$2150,$A98,'United Data'!$B$3:$B$2150,"P")&gt;0,1,0)</f>
        <v>0</v>
      </c>
      <c r="O98">
        <f>IF(COUNTIFS('United Data'!$A$3:$A$2150,O$1,'United Data'!$C$3:$C$2150,$A98,'United Data'!$B$3:$B$2150,"P")&gt;0,1,0)</f>
        <v>0</v>
      </c>
      <c r="P98">
        <f>IF(COUNTIFS('United Data'!$A$3:$A$2150,P$1,'United Data'!$C$3:$C$2150,$A98,'United Data'!$B$3:$B$2150,"P")&gt;0,1,0)</f>
        <v>0</v>
      </c>
      <c r="Q98">
        <f>IF(COUNTIFS('United Data'!$A$3:$A$2150,Q$1,'United Data'!$C$3:$C$2150,$A98,'United Data'!$B$3:$B$2150,"P")&gt;0,1,0)</f>
        <v>0</v>
      </c>
      <c r="R98">
        <f>IF(COUNTIFS('United Data'!$A$3:$A$2150,R$1,'United Data'!$C$3:$C$2150,$A98,'United Data'!$B$3:$B$2150,"P")&gt;0,1,0)</f>
        <v>0</v>
      </c>
      <c r="S98">
        <f t="shared" si="2"/>
        <v>3</v>
      </c>
      <c r="T98">
        <f t="shared" si="3"/>
        <v>3</v>
      </c>
    </row>
    <row r="99" spans="1:20" x14ac:dyDescent="0.2">
      <c r="A99" t="s">
        <v>868</v>
      </c>
      <c r="B99">
        <f>IF(COUNTIFS('United Data'!$A$3:$A$2150,B$1,'United Data'!$C$3:$C$2150,$A99,'United Data'!$B$3:$B$2150,"P")&gt;0,1,0)</f>
        <v>0</v>
      </c>
      <c r="C99">
        <f>IF(COUNTIFS('United Data'!$A$3:$A$2150,C$1,'United Data'!$C$3:$C$2150,$A99,'United Data'!$B$3:$B$2150,"P")&gt;0,1,0)</f>
        <v>0</v>
      </c>
      <c r="D99">
        <f>IF(COUNTIFS('United Data'!$A$3:$A$2150,D$1,'United Data'!$C$3:$C$2150,$A99,'United Data'!$B$3:$B$2150,"P")&gt;0,1,0)</f>
        <v>0</v>
      </c>
      <c r="E99">
        <f>IF(COUNTIFS('United Data'!$A$3:$A$2150,E$1,'United Data'!$C$3:$C$2150,$A99,'United Data'!$B$3:$B$2150,"P")&gt;0,1,0)</f>
        <v>0</v>
      </c>
      <c r="F99">
        <f>IF(COUNTIFS('United Data'!$A$3:$A$2150,F$1,'United Data'!$C$3:$C$2150,$A99,'United Data'!$B$3:$B$2150,"P")&gt;0,1,0)</f>
        <v>0</v>
      </c>
      <c r="G99">
        <f>IF(COUNTIFS('United Data'!$A$3:$A$2150,G$1,'United Data'!$C$3:$C$2150,$A99,'United Data'!$B$3:$B$2150,"P")&gt;0,1,0)</f>
        <v>1</v>
      </c>
      <c r="H99">
        <f>IF(COUNTIFS('United Data'!$A$3:$A$2150,H$1,'United Data'!$C$3:$C$2150,$A99,'United Data'!$B$3:$B$2150,"P")&gt;0,1,0)</f>
        <v>0</v>
      </c>
      <c r="I99">
        <f>IF(COUNTIFS('United Data'!$A$3:$A$2150,I$1,'United Data'!$C$3:$C$2150,$A99,'United Data'!$B$3:$B$2150,"P")&gt;0,1,0)</f>
        <v>0</v>
      </c>
      <c r="J99">
        <f>IF(COUNTIFS('United Data'!$A$3:$A$2150,J$1,'United Data'!$C$3:$C$2150,$A99,'United Data'!$B$3:$B$2150,"P")&gt;0,1,0)</f>
        <v>0</v>
      </c>
      <c r="K99">
        <f>IF(COUNTIFS('United Data'!$A$3:$A$2150,K$1,'United Data'!$C$3:$C$2150,$A99,'United Data'!$B$3:$B$2150,"P")&gt;0,1,0)</f>
        <v>0</v>
      </c>
      <c r="L99">
        <f>IF(COUNTIFS('United Data'!$A$3:$A$2150,L$1,'United Data'!$C$3:$C$2150,$A99,'United Data'!$B$3:$B$2150,"P")&gt;0,1,0)</f>
        <v>0</v>
      </c>
      <c r="M99">
        <f>IF(COUNTIFS('United Data'!$A$3:$A$2150,M$1,'United Data'!$C$3:$C$2150,$A99,'United Data'!$B$3:$B$2150,"P")&gt;0,1,0)</f>
        <v>0</v>
      </c>
      <c r="N99">
        <f>IF(COUNTIFS('United Data'!$A$3:$A$2150,N$1,'United Data'!$C$3:$C$2150,$A99,'United Data'!$B$3:$B$2150,"P")&gt;0,1,0)</f>
        <v>0</v>
      </c>
      <c r="O99">
        <f>IF(COUNTIFS('United Data'!$A$3:$A$2150,O$1,'United Data'!$C$3:$C$2150,$A99,'United Data'!$B$3:$B$2150,"P")&gt;0,1,0)</f>
        <v>0</v>
      </c>
      <c r="P99">
        <f>IF(COUNTIFS('United Data'!$A$3:$A$2150,P$1,'United Data'!$C$3:$C$2150,$A99,'United Data'!$B$3:$B$2150,"P")&gt;0,1,0)</f>
        <v>0</v>
      </c>
      <c r="Q99">
        <f>IF(COUNTIFS('United Data'!$A$3:$A$2150,Q$1,'United Data'!$C$3:$C$2150,$A99,'United Data'!$B$3:$B$2150,"P")&gt;0,1,0)</f>
        <v>0</v>
      </c>
      <c r="R99">
        <f>IF(COUNTIFS('United Data'!$A$3:$A$2150,R$1,'United Data'!$C$3:$C$2150,$A99,'United Data'!$B$3:$B$2150,"P")&gt;0,1,0)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869</v>
      </c>
      <c r="B100">
        <f>IF(COUNTIFS('United Data'!$A$3:$A$2150,B$1,'United Data'!$C$3:$C$2150,$A100,'United Data'!$B$3:$B$2150,"P")&gt;0,1,0)</f>
        <v>0</v>
      </c>
      <c r="C100">
        <f>IF(COUNTIFS('United Data'!$A$3:$A$2150,C$1,'United Data'!$C$3:$C$2150,$A100,'United Data'!$B$3:$B$2150,"P")&gt;0,1,0)</f>
        <v>0</v>
      </c>
      <c r="D100">
        <f>IF(COUNTIFS('United Data'!$A$3:$A$2150,D$1,'United Data'!$C$3:$C$2150,$A100,'United Data'!$B$3:$B$2150,"P")&gt;0,1,0)</f>
        <v>0</v>
      </c>
      <c r="E100">
        <f>IF(COUNTIFS('United Data'!$A$3:$A$2150,E$1,'United Data'!$C$3:$C$2150,$A100,'United Data'!$B$3:$B$2150,"P")&gt;0,1,0)</f>
        <v>0</v>
      </c>
      <c r="F100">
        <f>IF(COUNTIFS('United Data'!$A$3:$A$2150,F$1,'United Data'!$C$3:$C$2150,$A100,'United Data'!$B$3:$B$2150,"P")&gt;0,1,0)</f>
        <v>0</v>
      </c>
      <c r="G100">
        <f>IF(COUNTIFS('United Data'!$A$3:$A$2150,G$1,'United Data'!$C$3:$C$2150,$A100,'United Data'!$B$3:$B$2150,"P")&gt;0,1,0)</f>
        <v>1</v>
      </c>
      <c r="H100">
        <f>IF(COUNTIFS('United Data'!$A$3:$A$2150,H$1,'United Data'!$C$3:$C$2150,$A100,'United Data'!$B$3:$B$2150,"P")&gt;0,1,0)</f>
        <v>1</v>
      </c>
      <c r="I100">
        <f>IF(COUNTIFS('United Data'!$A$3:$A$2150,I$1,'United Data'!$C$3:$C$2150,$A100,'United Data'!$B$3:$B$2150,"P")&gt;0,1,0)</f>
        <v>1</v>
      </c>
      <c r="J100">
        <f>IF(COUNTIFS('United Data'!$A$3:$A$2150,J$1,'United Data'!$C$3:$C$2150,$A100,'United Data'!$B$3:$B$2150,"P")&gt;0,1,0)</f>
        <v>1</v>
      </c>
      <c r="K100">
        <f>IF(COUNTIFS('United Data'!$A$3:$A$2150,K$1,'United Data'!$C$3:$C$2150,$A100,'United Data'!$B$3:$B$2150,"P")&gt;0,1,0)</f>
        <v>1</v>
      </c>
      <c r="L100">
        <f>IF(COUNTIFS('United Data'!$A$3:$A$2150,L$1,'United Data'!$C$3:$C$2150,$A100,'United Data'!$B$3:$B$2150,"P")&gt;0,1,0)</f>
        <v>1</v>
      </c>
      <c r="M100">
        <f>IF(COUNTIFS('United Data'!$A$3:$A$2150,M$1,'United Data'!$C$3:$C$2150,$A100,'United Data'!$B$3:$B$2150,"P")&gt;0,1,0)</f>
        <v>1</v>
      </c>
      <c r="N100">
        <f>IF(COUNTIFS('United Data'!$A$3:$A$2150,N$1,'United Data'!$C$3:$C$2150,$A100,'United Data'!$B$3:$B$2150,"P")&gt;0,1,0)</f>
        <v>1</v>
      </c>
      <c r="O100">
        <f>IF(COUNTIFS('United Data'!$A$3:$A$2150,O$1,'United Data'!$C$3:$C$2150,$A100,'United Data'!$B$3:$B$2150,"P")&gt;0,1,0)</f>
        <v>0</v>
      </c>
      <c r="P100">
        <f>IF(COUNTIFS('United Data'!$A$3:$A$2150,P$1,'United Data'!$C$3:$C$2150,$A100,'United Data'!$B$3:$B$2150,"P")&gt;0,1,0)</f>
        <v>0</v>
      </c>
      <c r="Q100">
        <f>IF(COUNTIFS('United Data'!$A$3:$A$2150,Q$1,'United Data'!$C$3:$C$2150,$A100,'United Data'!$B$3:$B$2150,"P")&gt;0,1,0)</f>
        <v>0</v>
      </c>
      <c r="R100">
        <f>IF(COUNTIFS('United Data'!$A$3:$A$2150,R$1,'United Data'!$C$3:$C$2150,$A100,'United Data'!$B$3:$B$2150,"P")&gt;0,1,0)</f>
        <v>0</v>
      </c>
      <c r="S100">
        <f t="shared" si="2"/>
        <v>8</v>
      </c>
      <c r="T100">
        <f t="shared" si="3"/>
        <v>1</v>
      </c>
    </row>
    <row r="101" spans="1:20" x14ac:dyDescent="0.2">
      <c r="A101" t="s">
        <v>870</v>
      </c>
      <c r="B101">
        <f>IF(COUNTIFS('United Data'!$A$3:$A$2150,B$1,'United Data'!$C$3:$C$2150,$A101,'United Data'!$B$3:$B$2150,"P")&gt;0,1,0)</f>
        <v>0</v>
      </c>
      <c r="C101">
        <f>IF(COUNTIFS('United Data'!$A$3:$A$2150,C$1,'United Data'!$C$3:$C$2150,$A101,'United Data'!$B$3:$B$2150,"P")&gt;0,1,0)</f>
        <v>0</v>
      </c>
      <c r="D101">
        <f>IF(COUNTIFS('United Data'!$A$3:$A$2150,D$1,'United Data'!$C$3:$C$2150,$A101,'United Data'!$B$3:$B$2150,"P")&gt;0,1,0)</f>
        <v>0</v>
      </c>
      <c r="E101">
        <f>IF(COUNTIFS('United Data'!$A$3:$A$2150,E$1,'United Data'!$C$3:$C$2150,$A101,'United Data'!$B$3:$B$2150,"P")&gt;0,1,0)</f>
        <v>0</v>
      </c>
      <c r="F101">
        <f>IF(COUNTIFS('United Data'!$A$3:$A$2150,F$1,'United Data'!$C$3:$C$2150,$A101,'United Data'!$B$3:$B$2150,"P")&gt;0,1,0)</f>
        <v>0</v>
      </c>
      <c r="G101">
        <f>IF(COUNTIFS('United Data'!$A$3:$A$2150,G$1,'United Data'!$C$3:$C$2150,$A101,'United Data'!$B$3:$B$2150,"P")&gt;0,1,0)</f>
        <v>1</v>
      </c>
      <c r="H101">
        <f>IF(COUNTIFS('United Data'!$A$3:$A$2150,H$1,'United Data'!$C$3:$C$2150,$A101,'United Data'!$B$3:$B$2150,"P")&gt;0,1,0)</f>
        <v>0</v>
      </c>
      <c r="I101">
        <f>IF(COUNTIFS('United Data'!$A$3:$A$2150,I$1,'United Data'!$C$3:$C$2150,$A101,'United Data'!$B$3:$B$2150,"P")&gt;0,1,0)</f>
        <v>0</v>
      </c>
      <c r="J101">
        <f>IF(COUNTIFS('United Data'!$A$3:$A$2150,J$1,'United Data'!$C$3:$C$2150,$A101,'United Data'!$B$3:$B$2150,"P")&gt;0,1,0)</f>
        <v>0</v>
      </c>
      <c r="K101">
        <f>IF(COUNTIFS('United Data'!$A$3:$A$2150,K$1,'United Data'!$C$3:$C$2150,$A101,'United Data'!$B$3:$B$2150,"P")&gt;0,1,0)</f>
        <v>0</v>
      </c>
      <c r="L101">
        <f>IF(COUNTIFS('United Data'!$A$3:$A$2150,L$1,'United Data'!$C$3:$C$2150,$A101,'United Data'!$B$3:$B$2150,"P")&gt;0,1,0)</f>
        <v>0</v>
      </c>
      <c r="M101">
        <f>IF(COUNTIFS('United Data'!$A$3:$A$2150,M$1,'United Data'!$C$3:$C$2150,$A101,'United Data'!$B$3:$B$2150,"P")&gt;0,1,0)</f>
        <v>0</v>
      </c>
      <c r="N101">
        <f>IF(COUNTIFS('United Data'!$A$3:$A$2150,N$1,'United Data'!$C$3:$C$2150,$A101,'United Data'!$B$3:$B$2150,"P")&gt;0,1,0)</f>
        <v>0</v>
      </c>
      <c r="O101">
        <f>IF(COUNTIFS('United Data'!$A$3:$A$2150,O$1,'United Data'!$C$3:$C$2150,$A101,'United Data'!$B$3:$B$2150,"P")&gt;0,1,0)</f>
        <v>0</v>
      </c>
      <c r="P101">
        <f>IF(COUNTIFS('United Data'!$A$3:$A$2150,P$1,'United Data'!$C$3:$C$2150,$A101,'United Data'!$B$3:$B$2150,"P")&gt;0,1,0)</f>
        <v>0</v>
      </c>
      <c r="Q101">
        <f>IF(COUNTIFS('United Data'!$A$3:$A$2150,Q$1,'United Data'!$C$3:$C$2150,$A101,'United Data'!$B$3:$B$2150,"P")&gt;0,1,0)</f>
        <v>0</v>
      </c>
      <c r="R101">
        <f>IF(COUNTIFS('United Data'!$A$3:$A$2150,R$1,'United Data'!$C$3:$C$2150,$A101,'United Data'!$B$3:$B$2150,"P")&gt;0,1,0)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871</v>
      </c>
      <c r="B102">
        <f>IF(COUNTIFS('United Data'!$A$3:$A$2150,B$1,'United Data'!$C$3:$C$2150,$A102,'United Data'!$B$3:$B$2150,"P")&gt;0,1,0)</f>
        <v>0</v>
      </c>
      <c r="C102">
        <f>IF(COUNTIFS('United Data'!$A$3:$A$2150,C$1,'United Data'!$C$3:$C$2150,$A102,'United Data'!$B$3:$B$2150,"P")&gt;0,1,0)</f>
        <v>0</v>
      </c>
      <c r="D102">
        <f>IF(COUNTIFS('United Data'!$A$3:$A$2150,D$1,'United Data'!$C$3:$C$2150,$A102,'United Data'!$B$3:$B$2150,"P")&gt;0,1,0)</f>
        <v>0</v>
      </c>
      <c r="E102">
        <f>IF(COUNTIFS('United Data'!$A$3:$A$2150,E$1,'United Data'!$C$3:$C$2150,$A102,'United Data'!$B$3:$B$2150,"P")&gt;0,1,0)</f>
        <v>0</v>
      </c>
      <c r="F102">
        <f>IF(COUNTIFS('United Data'!$A$3:$A$2150,F$1,'United Data'!$C$3:$C$2150,$A102,'United Data'!$B$3:$B$2150,"P")&gt;0,1,0)</f>
        <v>0</v>
      </c>
      <c r="G102">
        <f>IF(COUNTIFS('United Data'!$A$3:$A$2150,G$1,'United Data'!$C$3:$C$2150,$A102,'United Data'!$B$3:$B$2150,"P")&gt;0,1,0)</f>
        <v>1</v>
      </c>
      <c r="H102">
        <f>IF(COUNTIFS('United Data'!$A$3:$A$2150,H$1,'United Data'!$C$3:$C$2150,$A102,'United Data'!$B$3:$B$2150,"P")&gt;0,1,0)</f>
        <v>0</v>
      </c>
      <c r="I102">
        <f>IF(COUNTIFS('United Data'!$A$3:$A$2150,I$1,'United Data'!$C$3:$C$2150,$A102,'United Data'!$B$3:$B$2150,"P")&gt;0,1,0)</f>
        <v>0</v>
      </c>
      <c r="J102">
        <f>IF(COUNTIFS('United Data'!$A$3:$A$2150,J$1,'United Data'!$C$3:$C$2150,$A102,'United Data'!$B$3:$B$2150,"P")&gt;0,1,0)</f>
        <v>0</v>
      </c>
      <c r="K102">
        <f>IF(COUNTIFS('United Data'!$A$3:$A$2150,K$1,'United Data'!$C$3:$C$2150,$A102,'United Data'!$B$3:$B$2150,"P")&gt;0,1,0)</f>
        <v>0</v>
      </c>
      <c r="L102">
        <f>IF(COUNTIFS('United Data'!$A$3:$A$2150,L$1,'United Data'!$C$3:$C$2150,$A102,'United Data'!$B$3:$B$2150,"P")&gt;0,1,0)</f>
        <v>0</v>
      </c>
      <c r="M102">
        <f>IF(COUNTIFS('United Data'!$A$3:$A$2150,M$1,'United Data'!$C$3:$C$2150,$A102,'United Data'!$B$3:$B$2150,"P")&gt;0,1,0)</f>
        <v>1</v>
      </c>
      <c r="N102">
        <f>IF(COUNTIFS('United Data'!$A$3:$A$2150,N$1,'United Data'!$C$3:$C$2150,$A102,'United Data'!$B$3:$B$2150,"P")&gt;0,1,0)</f>
        <v>0</v>
      </c>
      <c r="O102">
        <f>IF(COUNTIFS('United Data'!$A$3:$A$2150,O$1,'United Data'!$C$3:$C$2150,$A102,'United Data'!$B$3:$B$2150,"P")&gt;0,1,0)</f>
        <v>0</v>
      </c>
      <c r="P102">
        <f>IF(COUNTIFS('United Data'!$A$3:$A$2150,P$1,'United Data'!$C$3:$C$2150,$A102,'United Data'!$B$3:$B$2150,"P")&gt;0,1,0)</f>
        <v>0</v>
      </c>
      <c r="Q102">
        <f>IF(COUNTIFS('United Data'!$A$3:$A$2150,Q$1,'United Data'!$C$3:$C$2150,$A102,'United Data'!$B$3:$B$2150,"P")&gt;0,1,0)</f>
        <v>0</v>
      </c>
      <c r="R102">
        <f>IF(COUNTIFS('United Data'!$A$3:$A$2150,R$1,'United Data'!$C$3:$C$2150,$A102,'United Data'!$B$3:$B$2150,"P")&gt;0,1,0)</f>
        <v>0</v>
      </c>
      <c r="S102">
        <f t="shared" si="2"/>
        <v>2</v>
      </c>
      <c r="T102">
        <f t="shared" si="3"/>
        <v>2</v>
      </c>
    </row>
    <row r="103" spans="1:20" x14ac:dyDescent="0.2">
      <c r="A103" t="s">
        <v>872</v>
      </c>
      <c r="B103">
        <f>IF(COUNTIFS('United Data'!$A$3:$A$2150,B$1,'United Data'!$C$3:$C$2150,$A103,'United Data'!$B$3:$B$2150,"P")&gt;0,1,0)</f>
        <v>0</v>
      </c>
      <c r="C103">
        <f>IF(COUNTIFS('United Data'!$A$3:$A$2150,C$1,'United Data'!$C$3:$C$2150,$A103,'United Data'!$B$3:$B$2150,"P")&gt;0,1,0)</f>
        <v>0</v>
      </c>
      <c r="D103">
        <f>IF(COUNTIFS('United Data'!$A$3:$A$2150,D$1,'United Data'!$C$3:$C$2150,$A103,'United Data'!$B$3:$B$2150,"P")&gt;0,1,0)</f>
        <v>0</v>
      </c>
      <c r="E103">
        <f>IF(COUNTIFS('United Data'!$A$3:$A$2150,E$1,'United Data'!$C$3:$C$2150,$A103,'United Data'!$B$3:$B$2150,"P")&gt;0,1,0)</f>
        <v>0</v>
      </c>
      <c r="F103">
        <f>IF(COUNTIFS('United Data'!$A$3:$A$2150,F$1,'United Data'!$C$3:$C$2150,$A103,'United Data'!$B$3:$B$2150,"P")&gt;0,1,0)</f>
        <v>0</v>
      </c>
      <c r="G103">
        <f>IF(COUNTIFS('United Data'!$A$3:$A$2150,G$1,'United Data'!$C$3:$C$2150,$A103,'United Data'!$B$3:$B$2150,"P")&gt;0,1,0)</f>
        <v>1</v>
      </c>
      <c r="H103">
        <f>IF(COUNTIFS('United Data'!$A$3:$A$2150,H$1,'United Data'!$C$3:$C$2150,$A103,'United Data'!$B$3:$B$2150,"P")&gt;0,1,0)</f>
        <v>0</v>
      </c>
      <c r="I103">
        <f>IF(COUNTIFS('United Data'!$A$3:$A$2150,I$1,'United Data'!$C$3:$C$2150,$A103,'United Data'!$B$3:$B$2150,"P")&gt;0,1,0)</f>
        <v>0</v>
      </c>
      <c r="J103">
        <f>IF(COUNTIFS('United Data'!$A$3:$A$2150,J$1,'United Data'!$C$3:$C$2150,$A103,'United Data'!$B$3:$B$2150,"P")&gt;0,1,0)</f>
        <v>0</v>
      </c>
      <c r="K103">
        <f>IF(COUNTIFS('United Data'!$A$3:$A$2150,K$1,'United Data'!$C$3:$C$2150,$A103,'United Data'!$B$3:$B$2150,"P")&gt;0,1,0)</f>
        <v>0</v>
      </c>
      <c r="L103">
        <f>IF(COUNTIFS('United Data'!$A$3:$A$2150,L$1,'United Data'!$C$3:$C$2150,$A103,'United Data'!$B$3:$B$2150,"P")&gt;0,1,0)</f>
        <v>0</v>
      </c>
      <c r="M103">
        <f>IF(COUNTIFS('United Data'!$A$3:$A$2150,M$1,'United Data'!$C$3:$C$2150,$A103,'United Data'!$B$3:$B$2150,"P")&gt;0,1,0)</f>
        <v>0</v>
      </c>
      <c r="N103">
        <f>IF(COUNTIFS('United Data'!$A$3:$A$2150,N$1,'United Data'!$C$3:$C$2150,$A103,'United Data'!$B$3:$B$2150,"P")&gt;0,1,0)</f>
        <v>0</v>
      </c>
      <c r="O103">
        <f>IF(COUNTIFS('United Data'!$A$3:$A$2150,O$1,'United Data'!$C$3:$C$2150,$A103,'United Data'!$B$3:$B$2150,"P")&gt;0,1,0)</f>
        <v>0</v>
      </c>
      <c r="P103">
        <f>IF(COUNTIFS('United Data'!$A$3:$A$2150,P$1,'United Data'!$C$3:$C$2150,$A103,'United Data'!$B$3:$B$2150,"P")&gt;0,1,0)</f>
        <v>0</v>
      </c>
      <c r="Q103">
        <f>IF(COUNTIFS('United Data'!$A$3:$A$2150,Q$1,'United Data'!$C$3:$C$2150,$A103,'United Data'!$B$3:$B$2150,"P")&gt;0,1,0)</f>
        <v>0</v>
      </c>
      <c r="R103">
        <f>IF(COUNTIFS('United Data'!$A$3:$A$2150,R$1,'United Data'!$C$3:$C$2150,$A103,'United Data'!$B$3:$B$2150,"P")&gt;0,1,0)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873</v>
      </c>
      <c r="B104">
        <f>IF(COUNTIFS('United Data'!$A$3:$A$2150,B$1,'United Data'!$C$3:$C$2150,$A104,'United Data'!$B$3:$B$2150,"P")&gt;0,1,0)</f>
        <v>0</v>
      </c>
      <c r="C104">
        <f>IF(COUNTIFS('United Data'!$A$3:$A$2150,C$1,'United Data'!$C$3:$C$2150,$A104,'United Data'!$B$3:$B$2150,"P")&gt;0,1,0)</f>
        <v>0</v>
      </c>
      <c r="D104">
        <f>IF(COUNTIFS('United Data'!$A$3:$A$2150,D$1,'United Data'!$C$3:$C$2150,$A104,'United Data'!$B$3:$B$2150,"P")&gt;0,1,0)</f>
        <v>0</v>
      </c>
      <c r="E104">
        <f>IF(COUNTIFS('United Data'!$A$3:$A$2150,E$1,'United Data'!$C$3:$C$2150,$A104,'United Data'!$B$3:$B$2150,"P")&gt;0,1,0)</f>
        <v>0</v>
      </c>
      <c r="F104">
        <f>IF(COUNTIFS('United Data'!$A$3:$A$2150,F$1,'United Data'!$C$3:$C$2150,$A104,'United Data'!$B$3:$B$2150,"P")&gt;0,1,0)</f>
        <v>0</v>
      </c>
      <c r="G104">
        <f>IF(COUNTIFS('United Data'!$A$3:$A$2150,G$1,'United Data'!$C$3:$C$2150,$A104,'United Data'!$B$3:$B$2150,"P")&gt;0,1,0)</f>
        <v>1</v>
      </c>
      <c r="H104">
        <f>IF(COUNTIFS('United Data'!$A$3:$A$2150,H$1,'United Data'!$C$3:$C$2150,$A104,'United Data'!$B$3:$B$2150,"P")&gt;0,1,0)</f>
        <v>1</v>
      </c>
      <c r="I104">
        <f>IF(COUNTIFS('United Data'!$A$3:$A$2150,I$1,'United Data'!$C$3:$C$2150,$A104,'United Data'!$B$3:$B$2150,"P")&gt;0,1,0)</f>
        <v>0</v>
      </c>
      <c r="J104">
        <f>IF(COUNTIFS('United Data'!$A$3:$A$2150,J$1,'United Data'!$C$3:$C$2150,$A104,'United Data'!$B$3:$B$2150,"P")&gt;0,1,0)</f>
        <v>0</v>
      </c>
      <c r="K104">
        <f>IF(COUNTIFS('United Data'!$A$3:$A$2150,K$1,'United Data'!$C$3:$C$2150,$A104,'United Data'!$B$3:$B$2150,"P")&gt;0,1,0)</f>
        <v>0</v>
      </c>
      <c r="L104">
        <f>IF(COUNTIFS('United Data'!$A$3:$A$2150,L$1,'United Data'!$C$3:$C$2150,$A104,'United Data'!$B$3:$B$2150,"P")&gt;0,1,0)</f>
        <v>0</v>
      </c>
      <c r="M104">
        <f>IF(COUNTIFS('United Data'!$A$3:$A$2150,M$1,'United Data'!$C$3:$C$2150,$A104,'United Data'!$B$3:$B$2150,"P")&gt;0,1,0)</f>
        <v>0</v>
      </c>
      <c r="N104">
        <f>IF(COUNTIFS('United Data'!$A$3:$A$2150,N$1,'United Data'!$C$3:$C$2150,$A104,'United Data'!$B$3:$B$2150,"P")&gt;0,1,0)</f>
        <v>0</v>
      </c>
      <c r="O104">
        <f>IF(COUNTIFS('United Data'!$A$3:$A$2150,O$1,'United Data'!$C$3:$C$2150,$A104,'United Data'!$B$3:$B$2150,"P")&gt;0,1,0)</f>
        <v>0</v>
      </c>
      <c r="P104">
        <f>IF(COUNTIFS('United Data'!$A$3:$A$2150,P$1,'United Data'!$C$3:$C$2150,$A104,'United Data'!$B$3:$B$2150,"P")&gt;0,1,0)</f>
        <v>0</v>
      </c>
      <c r="Q104">
        <f>IF(COUNTIFS('United Data'!$A$3:$A$2150,Q$1,'United Data'!$C$3:$C$2150,$A104,'United Data'!$B$3:$B$2150,"P")&gt;0,1,0)</f>
        <v>0</v>
      </c>
      <c r="R104">
        <f>IF(COUNTIFS('United Data'!$A$3:$A$2150,R$1,'United Data'!$C$3:$C$2150,$A104,'United Data'!$B$3:$B$2150,"P")&gt;0,1,0)</f>
        <v>0</v>
      </c>
      <c r="S104">
        <f t="shared" si="2"/>
        <v>2</v>
      </c>
      <c r="T104">
        <f t="shared" si="3"/>
        <v>1</v>
      </c>
    </row>
    <row r="105" spans="1:20" x14ac:dyDescent="0.2">
      <c r="A105" t="s">
        <v>874</v>
      </c>
      <c r="B105">
        <f>IF(COUNTIFS('United Data'!$A$3:$A$2150,B$1,'United Data'!$C$3:$C$2150,$A105,'United Data'!$B$3:$B$2150,"P")&gt;0,1,0)</f>
        <v>0</v>
      </c>
      <c r="C105">
        <f>IF(COUNTIFS('United Data'!$A$3:$A$2150,C$1,'United Data'!$C$3:$C$2150,$A105,'United Data'!$B$3:$B$2150,"P")&gt;0,1,0)</f>
        <v>0</v>
      </c>
      <c r="D105">
        <f>IF(COUNTIFS('United Data'!$A$3:$A$2150,D$1,'United Data'!$C$3:$C$2150,$A105,'United Data'!$B$3:$B$2150,"P")&gt;0,1,0)</f>
        <v>0</v>
      </c>
      <c r="E105">
        <f>IF(COUNTIFS('United Data'!$A$3:$A$2150,E$1,'United Data'!$C$3:$C$2150,$A105,'United Data'!$B$3:$B$2150,"P")&gt;0,1,0)</f>
        <v>0</v>
      </c>
      <c r="F105">
        <f>IF(COUNTIFS('United Data'!$A$3:$A$2150,F$1,'United Data'!$C$3:$C$2150,$A105,'United Data'!$B$3:$B$2150,"P")&gt;0,1,0)</f>
        <v>0</v>
      </c>
      <c r="G105">
        <f>IF(COUNTIFS('United Data'!$A$3:$A$2150,G$1,'United Data'!$C$3:$C$2150,$A105,'United Data'!$B$3:$B$2150,"P")&gt;0,1,0)</f>
        <v>0</v>
      </c>
      <c r="H105">
        <f>IF(COUNTIFS('United Data'!$A$3:$A$2150,H$1,'United Data'!$C$3:$C$2150,$A105,'United Data'!$B$3:$B$2150,"P")&gt;0,1,0)</f>
        <v>1</v>
      </c>
      <c r="I105">
        <f>IF(COUNTIFS('United Data'!$A$3:$A$2150,I$1,'United Data'!$C$3:$C$2150,$A105,'United Data'!$B$3:$B$2150,"P")&gt;0,1,0)</f>
        <v>0</v>
      </c>
      <c r="J105">
        <f>IF(COUNTIFS('United Data'!$A$3:$A$2150,J$1,'United Data'!$C$3:$C$2150,$A105,'United Data'!$B$3:$B$2150,"P")&gt;0,1,0)</f>
        <v>0</v>
      </c>
      <c r="K105">
        <f>IF(COUNTIFS('United Data'!$A$3:$A$2150,K$1,'United Data'!$C$3:$C$2150,$A105,'United Data'!$B$3:$B$2150,"P")&gt;0,1,0)</f>
        <v>0</v>
      </c>
      <c r="L105">
        <f>IF(COUNTIFS('United Data'!$A$3:$A$2150,L$1,'United Data'!$C$3:$C$2150,$A105,'United Data'!$B$3:$B$2150,"P")&gt;0,1,0)</f>
        <v>1</v>
      </c>
      <c r="M105">
        <f>IF(COUNTIFS('United Data'!$A$3:$A$2150,M$1,'United Data'!$C$3:$C$2150,$A105,'United Data'!$B$3:$B$2150,"P")&gt;0,1,0)</f>
        <v>0</v>
      </c>
      <c r="N105">
        <f>IF(COUNTIFS('United Data'!$A$3:$A$2150,N$1,'United Data'!$C$3:$C$2150,$A105,'United Data'!$B$3:$B$2150,"P")&gt;0,1,0)</f>
        <v>0</v>
      </c>
      <c r="O105">
        <f>IF(COUNTIFS('United Data'!$A$3:$A$2150,O$1,'United Data'!$C$3:$C$2150,$A105,'United Data'!$B$3:$B$2150,"P")&gt;0,1,0)</f>
        <v>0</v>
      </c>
      <c r="P105">
        <f>IF(COUNTIFS('United Data'!$A$3:$A$2150,P$1,'United Data'!$C$3:$C$2150,$A105,'United Data'!$B$3:$B$2150,"P")&gt;0,1,0)</f>
        <v>0</v>
      </c>
      <c r="Q105">
        <f>IF(COUNTIFS('United Data'!$A$3:$A$2150,Q$1,'United Data'!$C$3:$C$2150,$A105,'United Data'!$B$3:$B$2150,"P")&gt;0,1,0)</f>
        <v>0</v>
      </c>
      <c r="R105">
        <f>IF(COUNTIFS('United Data'!$A$3:$A$2150,R$1,'United Data'!$C$3:$C$2150,$A105,'United Data'!$B$3:$B$2150,"P")&gt;0,1,0)</f>
        <v>0</v>
      </c>
      <c r="S105">
        <f t="shared" si="2"/>
        <v>2</v>
      </c>
      <c r="T105">
        <f t="shared" si="3"/>
        <v>2</v>
      </c>
    </row>
    <row r="106" spans="1:20" x14ac:dyDescent="0.2">
      <c r="A106" t="s">
        <v>875</v>
      </c>
      <c r="B106">
        <f>IF(COUNTIFS('United Data'!$A$3:$A$2150,B$1,'United Data'!$C$3:$C$2150,$A106,'United Data'!$B$3:$B$2150,"P")&gt;0,1,0)</f>
        <v>0</v>
      </c>
      <c r="C106">
        <f>IF(COUNTIFS('United Data'!$A$3:$A$2150,C$1,'United Data'!$C$3:$C$2150,$A106,'United Data'!$B$3:$B$2150,"P")&gt;0,1,0)</f>
        <v>0</v>
      </c>
      <c r="D106">
        <f>IF(COUNTIFS('United Data'!$A$3:$A$2150,D$1,'United Data'!$C$3:$C$2150,$A106,'United Data'!$B$3:$B$2150,"P")&gt;0,1,0)</f>
        <v>0</v>
      </c>
      <c r="E106">
        <f>IF(COUNTIFS('United Data'!$A$3:$A$2150,E$1,'United Data'!$C$3:$C$2150,$A106,'United Data'!$B$3:$B$2150,"P")&gt;0,1,0)</f>
        <v>0</v>
      </c>
      <c r="F106">
        <f>IF(COUNTIFS('United Data'!$A$3:$A$2150,F$1,'United Data'!$C$3:$C$2150,$A106,'United Data'!$B$3:$B$2150,"P")&gt;0,1,0)</f>
        <v>0</v>
      </c>
      <c r="G106">
        <f>IF(COUNTIFS('United Data'!$A$3:$A$2150,G$1,'United Data'!$C$3:$C$2150,$A106,'United Data'!$B$3:$B$2150,"P")&gt;0,1,0)</f>
        <v>0</v>
      </c>
      <c r="H106">
        <f>IF(COUNTIFS('United Data'!$A$3:$A$2150,H$1,'United Data'!$C$3:$C$2150,$A106,'United Data'!$B$3:$B$2150,"P")&gt;0,1,0)</f>
        <v>1</v>
      </c>
      <c r="I106">
        <f>IF(COUNTIFS('United Data'!$A$3:$A$2150,I$1,'United Data'!$C$3:$C$2150,$A106,'United Data'!$B$3:$B$2150,"P")&gt;0,1,0)</f>
        <v>1</v>
      </c>
      <c r="J106">
        <f>IF(COUNTIFS('United Data'!$A$3:$A$2150,J$1,'United Data'!$C$3:$C$2150,$A106,'United Data'!$B$3:$B$2150,"P")&gt;0,1,0)</f>
        <v>1</v>
      </c>
      <c r="K106">
        <f>IF(COUNTIFS('United Data'!$A$3:$A$2150,K$1,'United Data'!$C$3:$C$2150,$A106,'United Data'!$B$3:$B$2150,"P")&gt;0,1,0)</f>
        <v>1</v>
      </c>
      <c r="L106">
        <f>IF(COUNTIFS('United Data'!$A$3:$A$2150,L$1,'United Data'!$C$3:$C$2150,$A106,'United Data'!$B$3:$B$2150,"P")&gt;0,1,0)</f>
        <v>1</v>
      </c>
      <c r="M106">
        <f>IF(COUNTIFS('United Data'!$A$3:$A$2150,M$1,'United Data'!$C$3:$C$2150,$A106,'United Data'!$B$3:$B$2150,"P")&gt;0,1,0)</f>
        <v>1</v>
      </c>
      <c r="N106">
        <f>IF(COUNTIFS('United Data'!$A$3:$A$2150,N$1,'United Data'!$C$3:$C$2150,$A106,'United Data'!$B$3:$B$2150,"P")&gt;0,1,0)</f>
        <v>1</v>
      </c>
      <c r="O106">
        <f>IF(COUNTIFS('United Data'!$A$3:$A$2150,O$1,'United Data'!$C$3:$C$2150,$A106,'United Data'!$B$3:$B$2150,"P")&gt;0,1,0)</f>
        <v>1</v>
      </c>
      <c r="P106">
        <f>IF(COUNTIFS('United Data'!$A$3:$A$2150,P$1,'United Data'!$C$3:$C$2150,$A106,'United Data'!$B$3:$B$2150,"P")&gt;0,1,0)</f>
        <v>0</v>
      </c>
      <c r="Q106">
        <f>IF(COUNTIFS('United Data'!$A$3:$A$2150,Q$1,'United Data'!$C$3:$C$2150,$A106,'United Data'!$B$3:$B$2150,"P")&gt;0,1,0)</f>
        <v>0</v>
      </c>
      <c r="R106">
        <f>IF(COUNTIFS('United Data'!$A$3:$A$2150,R$1,'United Data'!$C$3:$C$2150,$A106,'United Data'!$B$3:$B$2150,"P")&gt;0,1,0)</f>
        <v>0</v>
      </c>
      <c r="S106">
        <f t="shared" si="2"/>
        <v>8</v>
      </c>
      <c r="T106">
        <f t="shared" si="3"/>
        <v>1</v>
      </c>
    </row>
    <row r="107" spans="1:20" x14ac:dyDescent="0.2">
      <c r="A107" t="s">
        <v>876</v>
      </c>
      <c r="B107">
        <f>IF(COUNTIFS('United Data'!$A$3:$A$2150,B$1,'United Data'!$C$3:$C$2150,$A107,'United Data'!$B$3:$B$2150,"P")&gt;0,1,0)</f>
        <v>0</v>
      </c>
      <c r="C107">
        <f>IF(COUNTIFS('United Data'!$A$3:$A$2150,C$1,'United Data'!$C$3:$C$2150,$A107,'United Data'!$B$3:$B$2150,"P")&gt;0,1,0)</f>
        <v>0</v>
      </c>
      <c r="D107">
        <f>IF(COUNTIFS('United Data'!$A$3:$A$2150,D$1,'United Data'!$C$3:$C$2150,$A107,'United Data'!$B$3:$B$2150,"P")&gt;0,1,0)</f>
        <v>0</v>
      </c>
      <c r="E107">
        <f>IF(COUNTIFS('United Data'!$A$3:$A$2150,E$1,'United Data'!$C$3:$C$2150,$A107,'United Data'!$B$3:$B$2150,"P")&gt;0,1,0)</f>
        <v>0</v>
      </c>
      <c r="F107">
        <f>IF(COUNTIFS('United Data'!$A$3:$A$2150,F$1,'United Data'!$C$3:$C$2150,$A107,'United Data'!$B$3:$B$2150,"P")&gt;0,1,0)</f>
        <v>0</v>
      </c>
      <c r="G107">
        <f>IF(COUNTIFS('United Data'!$A$3:$A$2150,G$1,'United Data'!$C$3:$C$2150,$A107,'United Data'!$B$3:$B$2150,"P")&gt;0,1,0)</f>
        <v>0</v>
      </c>
      <c r="H107">
        <f>IF(COUNTIFS('United Data'!$A$3:$A$2150,H$1,'United Data'!$C$3:$C$2150,$A107,'United Data'!$B$3:$B$2150,"P")&gt;0,1,0)</f>
        <v>1</v>
      </c>
      <c r="I107">
        <f>IF(COUNTIFS('United Data'!$A$3:$A$2150,I$1,'United Data'!$C$3:$C$2150,$A107,'United Data'!$B$3:$B$2150,"P")&gt;0,1,0)</f>
        <v>0</v>
      </c>
      <c r="J107">
        <f>IF(COUNTIFS('United Data'!$A$3:$A$2150,J$1,'United Data'!$C$3:$C$2150,$A107,'United Data'!$B$3:$B$2150,"P")&gt;0,1,0)</f>
        <v>0</v>
      </c>
      <c r="K107">
        <f>IF(COUNTIFS('United Data'!$A$3:$A$2150,K$1,'United Data'!$C$3:$C$2150,$A107,'United Data'!$B$3:$B$2150,"P")&gt;0,1,0)</f>
        <v>0</v>
      </c>
      <c r="L107">
        <f>IF(COUNTIFS('United Data'!$A$3:$A$2150,L$1,'United Data'!$C$3:$C$2150,$A107,'United Data'!$B$3:$B$2150,"P")&gt;0,1,0)</f>
        <v>0</v>
      </c>
      <c r="M107">
        <f>IF(COUNTIFS('United Data'!$A$3:$A$2150,M$1,'United Data'!$C$3:$C$2150,$A107,'United Data'!$B$3:$B$2150,"P")&gt;0,1,0)</f>
        <v>0</v>
      </c>
      <c r="N107">
        <f>IF(COUNTIFS('United Data'!$A$3:$A$2150,N$1,'United Data'!$C$3:$C$2150,$A107,'United Data'!$B$3:$B$2150,"P")&gt;0,1,0)</f>
        <v>0</v>
      </c>
      <c r="O107">
        <f>IF(COUNTIFS('United Data'!$A$3:$A$2150,O$1,'United Data'!$C$3:$C$2150,$A107,'United Data'!$B$3:$B$2150,"P")&gt;0,1,0)</f>
        <v>0</v>
      </c>
      <c r="P107">
        <f>IF(COUNTIFS('United Data'!$A$3:$A$2150,P$1,'United Data'!$C$3:$C$2150,$A107,'United Data'!$B$3:$B$2150,"P")&gt;0,1,0)</f>
        <v>0</v>
      </c>
      <c r="Q107">
        <f>IF(COUNTIFS('United Data'!$A$3:$A$2150,Q$1,'United Data'!$C$3:$C$2150,$A107,'United Data'!$B$3:$B$2150,"P")&gt;0,1,0)</f>
        <v>0</v>
      </c>
      <c r="R107">
        <f>IF(COUNTIFS('United Data'!$A$3:$A$2150,R$1,'United Data'!$C$3:$C$2150,$A107,'United Data'!$B$3:$B$2150,"P")&gt;0,1,0)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877</v>
      </c>
      <c r="B108">
        <f>IF(COUNTIFS('United Data'!$A$3:$A$2150,B$1,'United Data'!$C$3:$C$2150,$A108,'United Data'!$B$3:$B$2150,"P")&gt;0,1,0)</f>
        <v>0</v>
      </c>
      <c r="C108">
        <f>IF(COUNTIFS('United Data'!$A$3:$A$2150,C$1,'United Data'!$C$3:$C$2150,$A108,'United Data'!$B$3:$B$2150,"P")&gt;0,1,0)</f>
        <v>0</v>
      </c>
      <c r="D108">
        <f>IF(COUNTIFS('United Data'!$A$3:$A$2150,D$1,'United Data'!$C$3:$C$2150,$A108,'United Data'!$B$3:$B$2150,"P")&gt;0,1,0)</f>
        <v>0</v>
      </c>
      <c r="E108">
        <f>IF(COUNTIFS('United Data'!$A$3:$A$2150,E$1,'United Data'!$C$3:$C$2150,$A108,'United Data'!$B$3:$B$2150,"P")&gt;0,1,0)</f>
        <v>0</v>
      </c>
      <c r="F108">
        <f>IF(COUNTIFS('United Data'!$A$3:$A$2150,F$1,'United Data'!$C$3:$C$2150,$A108,'United Data'!$B$3:$B$2150,"P")&gt;0,1,0)</f>
        <v>0</v>
      </c>
      <c r="G108">
        <f>IF(COUNTIFS('United Data'!$A$3:$A$2150,G$1,'United Data'!$C$3:$C$2150,$A108,'United Data'!$B$3:$B$2150,"P")&gt;0,1,0)</f>
        <v>0</v>
      </c>
      <c r="H108">
        <f>IF(COUNTIFS('United Data'!$A$3:$A$2150,H$1,'United Data'!$C$3:$C$2150,$A108,'United Data'!$B$3:$B$2150,"P")&gt;0,1,0)</f>
        <v>1</v>
      </c>
      <c r="I108">
        <f>IF(COUNTIFS('United Data'!$A$3:$A$2150,I$1,'United Data'!$C$3:$C$2150,$A108,'United Data'!$B$3:$B$2150,"P")&gt;0,1,0)</f>
        <v>0</v>
      </c>
      <c r="J108">
        <f>IF(COUNTIFS('United Data'!$A$3:$A$2150,J$1,'United Data'!$C$3:$C$2150,$A108,'United Data'!$B$3:$B$2150,"P")&gt;0,1,0)</f>
        <v>0</v>
      </c>
      <c r="K108">
        <f>IF(COUNTIFS('United Data'!$A$3:$A$2150,K$1,'United Data'!$C$3:$C$2150,$A108,'United Data'!$B$3:$B$2150,"P")&gt;0,1,0)</f>
        <v>0</v>
      </c>
      <c r="L108">
        <f>IF(COUNTIFS('United Data'!$A$3:$A$2150,L$1,'United Data'!$C$3:$C$2150,$A108,'United Data'!$B$3:$B$2150,"P")&gt;0,1,0)</f>
        <v>0</v>
      </c>
      <c r="M108">
        <f>IF(COUNTIFS('United Data'!$A$3:$A$2150,M$1,'United Data'!$C$3:$C$2150,$A108,'United Data'!$B$3:$B$2150,"P")&gt;0,1,0)</f>
        <v>0</v>
      </c>
      <c r="N108">
        <f>IF(COUNTIFS('United Data'!$A$3:$A$2150,N$1,'United Data'!$C$3:$C$2150,$A108,'United Data'!$B$3:$B$2150,"P")&gt;0,1,0)</f>
        <v>0</v>
      </c>
      <c r="O108">
        <f>IF(COUNTIFS('United Data'!$A$3:$A$2150,O$1,'United Data'!$C$3:$C$2150,$A108,'United Data'!$B$3:$B$2150,"P")&gt;0,1,0)</f>
        <v>0</v>
      </c>
      <c r="P108">
        <f>IF(COUNTIFS('United Data'!$A$3:$A$2150,P$1,'United Data'!$C$3:$C$2150,$A108,'United Data'!$B$3:$B$2150,"P")&gt;0,1,0)</f>
        <v>0</v>
      </c>
      <c r="Q108">
        <f>IF(COUNTIFS('United Data'!$A$3:$A$2150,Q$1,'United Data'!$C$3:$C$2150,$A108,'United Data'!$B$3:$B$2150,"P")&gt;0,1,0)</f>
        <v>0</v>
      </c>
      <c r="R108">
        <f>IF(COUNTIFS('United Data'!$A$3:$A$2150,R$1,'United Data'!$C$3:$C$2150,$A108,'United Data'!$B$3:$B$2150,"P")&gt;0,1,0)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878</v>
      </c>
      <c r="B109">
        <f>IF(COUNTIFS('United Data'!$A$3:$A$2150,B$1,'United Data'!$C$3:$C$2150,$A109,'United Data'!$B$3:$B$2150,"P")&gt;0,1,0)</f>
        <v>0</v>
      </c>
      <c r="C109">
        <f>IF(COUNTIFS('United Data'!$A$3:$A$2150,C$1,'United Data'!$C$3:$C$2150,$A109,'United Data'!$B$3:$B$2150,"P")&gt;0,1,0)</f>
        <v>0</v>
      </c>
      <c r="D109">
        <f>IF(COUNTIFS('United Data'!$A$3:$A$2150,D$1,'United Data'!$C$3:$C$2150,$A109,'United Data'!$B$3:$B$2150,"P")&gt;0,1,0)</f>
        <v>0</v>
      </c>
      <c r="E109">
        <f>IF(COUNTIFS('United Data'!$A$3:$A$2150,E$1,'United Data'!$C$3:$C$2150,$A109,'United Data'!$B$3:$B$2150,"P")&gt;0,1,0)</f>
        <v>0</v>
      </c>
      <c r="F109">
        <f>IF(COUNTIFS('United Data'!$A$3:$A$2150,F$1,'United Data'!$C$3:$C$2150,$A109,'United Data'!$B$3:$B$2150,"P")&gt;0,1,0)</f>
        <v>0</v>
      </c>
      <c r="G109">
        <f>IF(COUNTIFS('United Data'!$A$3:$A$2150,G$1,'United Data'!$C$3:$C$2150,$A109,'United Data'!$B$3:$B$2150,"P")&gt;0,1,0)</f>
        <v>0</v>
      </c>
      <c r="H109">
        <f>IF(COUNTIFS('United Data'!$A$3:$A$2150,H$1,'United Data'!$C$3:$C$2150,$A109,'United Data'!$B$3:$B$2150,"P")&gt;0,1,0)</f>
        <v>1</v>
      </c>
      <c r="I109">
        <f>IF(COUNTIFS('United Data'!$A$3:$A$2150,I$1,'United Data'!$C$3:$C$2150,$A109,'United Data'!$B$3:$B$2150,"P")&gt;0,1,0)</f>
        <v>1</v>
      </c>
      <c r="J109">
        <f>IF(COUNTIFS('United Data'!$A$3:$A$2150,J$1,'United Data'!$C$3:$C$2150,$A109,'United Data'!$B$3:$B$2150,"P")&gt;0,1,0)</f>
        <v>1</v>
      </c>
      <c r="K109">
        <f>IF(COUNTIFS('United Data'!$A$3:$A$2150,K$1,'United Data'!$C$3:$C$2150,$A109,'United Data'!$B$3:$B$2150,"P")&gt;0,1,0)</f>
        <v>0</v>
      </c>
      <c r="L109">
        <f>IF(COUNTIFS('United Data'!$A$3:$A$2150,L$1,'United Data'!$C$3:$C$2150,$A109,'United Data'!$B$3:$B$2150,"P")&gt;0,1,0)</f>
        <v>0</v>
      </c>
      <c r="M109">
        <f>IF(COUNTIFS('United Data'!$A$3:$A$2150,M$1,'United Data'!$C$3:$C$2150,$A109,'United Data'!$B$3:$B$2150,"P")&gt;0,1,0)</f>
        <v>0</v>
      </c>
      <c r="N109">
        <f>IF(COUNTIFS('United Data'!$A$3:$A$2150,N$1,'United Data'!$C$3:$C$2150,$A109,'United Data'!$B$3:$B$2150,"P")&gt;0,1,0)</f>
        <v>0</v>
      </c>
      <c r="O109">
        <f>IF(COUNTIFS('United Data'!$A$3:$A$2150,O$1,'United Data'!$C$3:$C$2150,$A109,'United Data'!$B$3:$B$2150,"P")&gt;0,1,0)</f>
        <v>0</v>
      </c>
      <c r="P109">
        <f>IF(COUNTIFS('United Data'!$A$3:$A$2150,P$1,'United Data'!$C$3:$C$2150,$A109,'United Data'!$B$3:$B$2150,"P")&gt;0,1,0)</f>
        <v>0</v>
      </c>
      <c r="Q109">
        <f>IF(COUNTIFS('United Data'!$A$3:$A$2150,Q$1,'United Data'!$C$3:$C$2150,$A109,'United Data'!$B$3:$B$2150,"P")&gt;0,1,0)</f>
        <v>0</v>
      </c>
      <c r="R109">
        <f>IF(COUNTIFS('United Data'!$A$3:$A$2150,R$1,'United Data'!$C$3:$C$2150,$A109,'United Data'!$B$3:$B$2150,"P")&gt;0,1,0)</f>
        <v>0</v>
      </c>
      <c r="S109">
        <f t="shared" si="2"/>
        <v>3</v>
      </c>
      <c r="T109">
        <f t="shared" si="3"/>
        <v>1</v>
      </c>
    </row>
    <row r="110" spans="1:20" x14ac:dyDescent="0.2">
      <c r="A110" t="s">
        <v>879</v>
      </c>
      <c r="B110">
        <f>IF(COUNTIFS('United Data'!$A$3:$A$2150,B$1,'United Data'!$C$3:$C$2150,$A110,'United Data'!$B$3:$B$2150,"P")&gt;0,1,0)</f>
        <v>0</v>
      </c>
      <c r="C110">
        <f>IF(COUNTIFS('United Data'!$A$3:$A$2150,C$1,'United Data'!$C$3:$C$2150,$A110,'United Data'!$B$3:$B$2150,"P")&gt;0,1,0)</f>
        <v>0</v>
      </c>
      <c r="D110">
        <f>IF(COUNTIFS('United Data'!$A$3:$A$2150,D$1,'United Data'!$C$3:$C$2150,$A110,'United Data'!$B$3:$B$2150,"P")&gt;0,1,0)</f>
        <v>0</v>
      </c>
      <c r="E110">
        <f>IF(COUNTIFS('United Data'!$A$3:$A$2150,E$1,'United Data'!$C$3:$C$2150,$A110,'United Data'!$B$3:$B$2150,"P")&gt;0,1,0)</f>
        <v>0</v>
      </c>
      <c r="F110">
        <f>IF(COUNTIFS('United Data'!$A$3:$A$2150,F$1,'United Data'!$C$3:$C$2150,$A110,'United Data'!$B$3:$B$2150,"P")&gt;0,1,0)</f>
        <v>0</v>
      </c>
      <c r="G110">
        <f>IF(COUNTIFS('United Data'!$A$3:$A$2150,G$1,'United Data'!$C$3:$C$2150,$A110,'United Data'!$B$3:$B$2150,"P")&gt;0,1,0)</f>
        <v>0</v>
      </c>
      <c r="H110">
        <f>IF(COUNTIFS('United Data'!$A$3:$A$2150,H$1,'United Data'!$C$3:$C$2150,$A110,'United Data'!$B$3:$B$2150,"P")&gt;0,1,0)</f>
        <v>1</v>
      </c>
      <c r="I110">
        <f>IF(COUNTIFS('United Data'!$A$3:$A$2150,I$1,'United Data'!$C$3:$C$2150,$A110,'United Data'!$B$3:$B$2150,"P")&gt;0,1,0)</f>
        <v>0</v>
      </c>
      <c r="J110">
        <f>IF(COUNTIFS('United Data'!$A$3:$A$2150,J$1,'United Data'!$C$3:$C$2150,$A110,'United Data'!$B$3:$B$2150,"P")&gt;0,1,0)</f>
        <v>0</v>
      </c>
      <c r="K110">
        <f>IF(COUNTIFS('United Data'!$A$3:$A$2150,K$1,'United Data'!$C$3:$C$2150,$A110,'United Data'!$B$3:$B$2150,"P")&gt;0,1,0)</f>
        <v>0</v>
      </c>
      <c r="L110">
        <f>IF(COUNTIFS('United Data'!$A$3:$A$2150,L$1,'United Data'!$C$3:$C$2150,$A110,'United Data'!$B$3:$B$2150,"P")&gt;0,1,0)</f>
        <v>0</v>
      </c>
      <c r="M110">
        <f>IF(COUNTIFS('United Data'!$A$3:$A$2150,M$1,'United Data'!$C$3:$C$2150,$A110,'United Data'!$B$3:$B$2150,"P")&gt;0,1,0)</f>
        <v>0</v>
      </c>
      <c r="N110">
        <f>IF(COUNTIFS('United Data'!$A$3:$A$2150,N$1,'United Data'!$C$3:$C$2150,$A110,'United Data'!$B$3:$B$2150,"P")&gt;0,1,0)</f>
        <v>0</v>
      </c>
      <c r="O110">
        <f>IF(COUNTIFS('United Data'!$A$3:$A$2150,O$1,'United Data'!$C$3:$C$2150,$A110,'United Data'!$B$3:$B$2150,"P")&gt;0,1,0)</f>
        <v>0</v>
      </c>
      <c r="P110">
        <f>IF(COUNTIFS('United Data'!$A$3:$A$2150,P$1,'United Data'!$C$3:$C$2150,$A110,'United Data'!$B$3:$B$2150,"P")&gt;0,1,0)</f>
        <v>0</v>
      </c>
      <c r="Q110">
        <f>IF(COUNTIFS('United Data'!$A$3:$A$2150,Q$1,'United Data'!$C$3:$C$2150,$A110,'United Data'!$B$3:$B$2150,"P")&gt;0,1,0)</f>
        <v>0</v>
      </c>
      <c r="R110">
        <f>IF(COUNTIFS('United Data'!$A$3:$A$2150,R$1,'United Data'!$C$3:$C$2150,$A110,'United Data'!$B$3:$B$2150,"P")&gt;0,1,0)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880</v>
      </c>
      <c r="B111">
        <f>IF(COUNTIFS('United Data'!$A$3:$A$2150,B$1,'United Data'!$C$3:$C$2150,$A111,'United Data'!$B$3:$B$2150,"P")&gt;0,1,0)</f>
        <v>0</v>
      </c>
      <c r="C111">
        <f>IF(COUNTIFS('United Data'!$A$3:$A$2150,C$1,'United Data'!$C$3:$C$2150,$A111,'United Data'!$B$3:$B$2150,"P")&gt;0,1,0)</f>
        <v>0</v>
      </c>
      <c r="D111">
        <f>IF(COUNTIFS('United Data'!$A$3:$A$2150,D$1,'United Data'!$C$3:$C$2150,$A111,'United Data'!$B$3:$B$2150,"P")&gt;0,1,0)</f>
        <v>0</v>
      </c>
      <c r="E111">
        <f>IF(COUNTIFS('United Data'!$A$3:$A$2150,E$1,'United Data'!$C$3:$C$2150,$A111,'United Data'!$B$3:$B$2150,"P")&gt;0,1,0)</f>
        <v>0</v>
      </c>
      <c r="F111">
        <f>IF(COUNTIFS('United Data'!$A$3:$A$2150,F$1,'United Data'!$C$3:$C$2150,$A111,'United Data'!$B$3:$B$2150,"P")&gt;0,1,0)</f>
        <v>0</v>
      </c>
      <c r="G111">
        <f>IF(COUNTIFS('United Data'!$A$3:$A$2150,G$1,'United Data'!$C$3:$C$2150,$A111,'United Data'!$B$3:$B$2150,"P")&gt;0,1,0)</f>
        <v>0</v>
      </c>
      <c r="H111">
        <f>IF(COUNTIFS('United Data'!$A$3:$A$2150,H$1,'United Data'!$C$3:$C$2150,$A111,'United Data'!$B$3:$B$2150,"P")&gt;0,1,0)</f>
        <v>1</v>
      </c>
      <c r="I111">
        <f>IF(COUNTIFS('United Data'!$A$3:$A$2150,I$1,'United Data'!$C$3:$C$2150,$A111,'United Data'!$B$3:$B$2150,"P")&gt;0,1,0)</f>
        <v>1</v>
      </c>
      <c r="J111">
        <f>IF(COUNTIFS('United Data'!$A$3:$A$2150,J$1,'United Data'!$C$3:$C$2150,$A111,'United Data'!$B$3:$B$2150,"P")&gt;0,1,0)</f>
        <v>0</v>
      </c>
      <c r="K111">
        <f>IF(COUNTIFS('United Data'!$A$3:$A$2150,K$1,'United Data'!$C$3:$C$2150,$A111,'United Data'!$B$3:$B$2150,"P")&gt;0,1,0)</f>
        <v>0</v>
      </c>
      <c r="L111">
        <f>IF(COUNTIFS('United Data'!$A$3:$A$2150,L$1,'United Data'!$C$3:$C$2150,$A111,'United Data'!$B$3:$B$2150,"P")&gt;0,1,0)</f>
        <v>0</v>
      </c>
      <c r="M111">
        <f>IF(COUNTIFS('United Data'!$A$3:$A$2150,M$1,'United Data'!$C$3:$C$2150,$A111,'United Data'!$B$3:$B$2150,"P")&gt;0,1,0)</f>
        <v>0</v>
      </c>
      <c r="N111">
        <f>IF(COUNTIFS('United Data'!$A$3:$A$2150,N$1,'United Data'!$C$3:$C$2150,$A111,'United Data'!$B$3:$B$2150,"P")&gt;0,1,0)</f>
        <v>0</v>
      </c>
      <c r="O111">
        <f>IF(COUNTIFS('United Data'!$A$3:$A$2150,O$1,'United Data'!$C$3:$C$2150,$A111,'United Data'!$B$3:$B$2150,"P")&gt;0,1,0)</f>
        <v>0</v>
      </c>
      <c r="P111">
        <f>IF(COUNTIFS('United Data'!$A$3:$A$2150,P$1,'United Data'!$C$3:$C$2150,$A111,'United Data'!$B$3:$B$2150,"P")&gt;0,1,0)</f>
        <v>0</v>
      </c>
      <c r="Q111">
        <f>IF(COUNTIFS('United Data'!$A$3:$A$2150,Q$1,'United Data'!$C$3:$C$2150,$A111,'United Data'!$B$3:$B$2150,"P")&gt;0,1,0)</f>
        <v>0</v>
      </c>
      <c r="R111">
        <f>IF(COUNTIFS('United Data'!$A$3:$A$2150,R$1,'United Data'!$C$3:$C$2150,$A111,'United Data'!$B$3:$B$2150,"P")&gt;0,1,0)</f>
        <v>0</v>
      </c>
      <c r="S111">
        <f t="shared" si="2"/>
        <v>2</v>
      </c>
      <c r="T111">
        <f t="shared" si="3"/>
        <v>1</v>
      </c>
    </row>
    <row r="112" spans="1:20" x14ac:dyDescent="0.2">
      <c r="A112" t="s">
        <v>881</v>
      </c>
      <c r="B112">
        <f>IF(COUNTIFS('United Data'!$A$3:$A$2150,B$1,'United Data'!$C$3:$C$2150,$A112,'United Data'!$B$3:$B$2150,"P")&gt;0,1,0)</f>
        <v>0</v>
      </c>
      <c r="C112">
        <f>IF(COUNTIFS('United Data'!$A$3:$A$2150,C$1,'United Data'!$C$3:$C$2150,$A112,'United Data'!$B$3:$B$2150,"P")&gt;0,1,0)</f>
        <v>0</v>
      </c>
      <c r="D112">
        <f>IF(COUNTIFS('United Data'!$A$3:$A$2150,D$1,'United Data'!$C$3:$C$2150,$A112,'United Data'!$B$3:$B$2150,"P")&gt;0,1,0)</f>
        <v>0</v>
      </c>
      <c r="E112">
        <f>IF(COUNTIFS('United Data'!$A$3:$A$2150,E$1,'United Data'!$C$3:$C$2150,$A112,'United Data'!$B$3:$B$2150,"P")&gt;0,1,0)</f>
        <v>0</v>
      </c>
      <c r="F112">
        <f>IF(COUNTIFS('United Data'!$A$3:$A$2150,F$1,'United Data'!$C$3:$C$2150,$A112,'United Data'!$B$3:$B$2150,"P")&gt;0,1,0)</f>
        <v>0</v>
      </c>
      <c r="G112">
        <f>IF(COUNTIFS('United Data'!$A$3:$A$2150,G$1,'United Data'!$C$3:$C$2150,$A112,'United Data'!$B$3:$B$2150,"P")&gt;0,1,0)</f>
        <v>0</v>
      </c>
      <c r="H112">
        <f>IF(COUNTIFS('United Data'!$A$3:$A$2150,H$1,'United Data'!$C$3:$C$2150,$A112,'United Data'!$B$3:$B$2150,"P")&gt;0,1,0)</f>
        <v>1</v>
      </c>
      <c r="I112">
        <f>IF(COUNTIFS('United Data'!$A$3:$A$2150,I$1,'United Data'!$C$3:$C$2150,$A112,'United Data'!$B$3:$B$2150,"P")&gt;0,1,0)</f>
        <v>0</v>
      </c>
      <c r="J112">
        <f>IF(COUNTIFS('United Data'!$A$3:$A$2150,J$1,'United Data'!$C$3:$C$2150,$A112,'United Data'!$B$3:$B$2150,"P")&gt;0,1,0)</f>
        <v>0</v>
      </c>
      <c r="K112">
        <f>IF(COUNTIFS('United Data'!$A$3:$A$2150,K$1,'United Data'!$C$3:$C$2150,$A112,'United Data'!$B$3:$B$2150,"P")&gt;0,1,0)</f>
        <v>0</v>
      </c>
      <c r="L112">
        <f>IF(COUNTIFS('United Data'!$A$3:$A$2150,L$1,'United Data'!$C$3:$C$2150,$A112,'United Data'!$B$3:$B$2150,"P")&gt;0,1,0)</f>
        <v>0</v>
      </c>
      <c r="M112">
        <f>IF(COUNTIFS('United Data'!$A$3:$A$2150,M$1,'United Data'!$C$3:$C$2150,$A112,'United Data'!$B$3:$B$2150,"P")&gt;0,1,0)</f>
        <v>0</v>
      </c>
      <c r="N112">
        <f>IF(COUNTIFS('United Data'!$A$3:$A$2150,N$1,'United Data'!$C$3:$C$2150,$A112,'United Data'!$B$3:$B$2150,"P")&gt;0,1,0)</f>
        <v>0</v>
      </c>
      <c r="O112">
        <f>IF(COUNTIFS('United Data'!$A$3:$A$2150,O$1,'United Data'!$C$3:$C$2150,$A112,'United Data'!$B$3:$B$2150,"P")&gt;0,1,0)</f>
        <v>0</v>
      </c>
      <c r="P112">
        <f>IF(COUNTIFS('United Data'!$A$3:$A$2150,P$1,'United Data'!$C$3:$C$2150,$A112,'United Data'!$B$3:$B$2150,"P")&gt;0,1,0)</f>
        <v>0</v>
      </c>
      <c r="Q112">
        <f>IF(COUNTIFS('United Data'!$A$3:$A$2150,Q$1,'United Data'!$C$3:$C$2150,$A112,'United Data'!$B$3:$B$2150,"P")&gt;0,1,0)</f>
        <v>0</v>
      </c>
      <c r="R112">
        <f>IF(COUNTIFS('United Data'!$A$3:$A$2150,R$1,'United Data'!$C$3:$C$2150,$A112,'United Data'!$B$3:$B$2150,"P")&gt;0,1,0)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882</v>
      </c>
      <c r="B113">
        <f>IF(COUNTIFS('United Data'!$A$3:$A$2150,B$1,'United Data'!$C$3:$C$2150,$A113,'United Data'!$B$3:$B$2150,"P")&gt;0,1,0)</f>
        <v>0</v>
      </c>
      <c r="C113">
        <f>IF(COUNTIFS('United Data'!$A$3:$A$2150,C$1,'United Data'!$C$3:$C$2150,$A113,'United Data'!$B$3:$B$2150,"P")&gt;0,1,0)</f>
        <v>0</v>
      </c>
      <c r="D113">
        <f>IF(COUNTIFS('United Data'!$A$3:$A$2150,D$1,'United Data'!$C$3:$C$2150,$A113,'United Data'!$B$3:$B$2150,"P")&gt;0,1,0)</f>
        <v>0</v>
      </c>
      <c r="E113">
        <f>IF(COUNTIFS('United Data'!$A$3:$A$2150,E$1,'United Data'!$C$3:$C$2150,$A113,'United Data'!$B$3:$B$2150,"P")&gt;0,1,0)</f>
        <v>0</v>
      </c>
      <c r="F113">
        <f>IF(COUNTIFS('United Data'!$A$3:$A$2150,F$1,'United Data'!$C$3:$C$2150,$A113,'United Data'!$B$3:$B$2150,"P")&gt;0,1,0)</f>
        <v>0</v>
      </c>
      <c r="G113">
        <f>IF(COUNTIFS('United Data'!$A$3:$A$2150,G$1,'United Data'!$C$3:$C$2150,$A113,'United Data'!$B$3:$B$2150,"P")&gt;0,1,0)</f>
        <v>0</v>
      </c>
      <c r="H113">
        <f>IF(COUNTIFS('United Data'!$A$3:$A$2150,H$1,'United Data'!$C$3:$C$2150,$A113,'United Data'!$B$3:$B$2150,"P")&gt;0,1,0)</f>
        <v>1</v>
      </c>
      <c r="I113">
        <f>IF(COUNTIFS('United Data'!$A$3:$A$2150,I$1,'United Data'!$C$3:$C$2150,$A113,'United Data'!$B$3:$B$2150,"P")&gt;0,1,0)</f>
        <v>1</v>
      </c>
      <c r="J113">
        <f>IF(COUNTIFS('United Data'!$A$3:$A$2150,J$1,'United Data'!$C$3:$C$2150,$A113,'United Data'!$B$3:$B$2150,"P")&gt;0,1,0)</f>
        <v>0</v>
      </c>
      <c r="K113">
        <f>IF(COUNTIFS('United Data'!$A$3:$A$2150,K$1,'United Data'!$C$3:$C$2150,$A113,'United Data'!$B$3:$B$2150,"P")&gt;0,1,0)</f>
        <v>0</v>
      </c>
      <c r="L113">
        <f>IF(COUNTIFS('United Data'!$A$3:$A$2150,L$1,'United Data'!$C$3:$C$2150,$A113,'United Data'!$B$3:$B$2150,"P")&gt;0,1,0)</f>
        <v>1</v>
      </c>
      <c r="M113">
        <f>IF(COUNTIFS('United Data'!$A$3:$A$2150,M$1,'United Data'!$C$3:$C$2150,$A113,'United Data'!$B$3:$B$2150,"P")&gt;0,1,0)</f>
        <v>1</v>
      </c>
      <c r="N113">
        <f>IF(COUNTIFS('United Data'!$A$3:$A$2150,N$1,'United Data'!$C$3:$C$2150,$A113,'United Data'!$B$3:$B$2150,"P")&gt;0,1,0)</f>
        <v>1</v>
      </c>
      <c r="O113">
        <f>IF(COUNTIFS('United Data'!$A$3:$A$2150,O$1,'United Data'!$C$3:$C$2150,$A113,'United Data'!$B$3:$B$2150,"P")&gt;0,1,0)</f>
        <v>1</v>
      </c>
      <c r="P113">
        <f>IF(COUNTIFS('United Data'!$A$3:$A$2150,P$1,'United Data'!$C$3:$C$2150,$A113,'United Data'!$B$3:$B$2150,"P")&gt;0,1,0)</f>
        <v>1</v>
      </c>
      <c r="Q113">
        <f>IF(COUNTIFS('United Data'!$A$3:$A$2150,Q$1,'United Data'!$C$3:$C$2150,$A113,'United Data'!$B$3:$B$2150,"P")&gt;0,1,0)</f>
        <v>0</v>
      </c>
      <c r="R113">
        <f>IF(COUNTIFS('United Data'!$A$3:$A$2150,R$1,'United Data'!$C$3:$C$2150,$A113,'United Data'!$B$3:$B$2150,"P")&gt;0,1,0)</f>
        <v>0</v>
      </c>
      <c r="S113">
        <f t="shared" si="2"/>
        <v>7</v>
      </c>
      <c r="T113">
        <f t="shared" si="3"/>
        <v>2</v>
      </c>
    </row>
    <row r="114" spans="1:20" x14ac:dyDescent="0.2">
      <c r="A114" t="s">
        <v>883</v>
      </c>
      <c r="B114">
        <f>IF(COUNTIFS('United Data'!$A$3:$A$2150,B$1,'United Data'!$C$3:$C$2150,$A114,'United Data'!$B$3:$B$2150,"P")&gt;0,1,0)</f>
        <v>0</v>
      </c>
      <c r="C114">
        <f>IF(COUNTIFS('United Data'!$A$3:$A$2150,C$1,'United Data'!$C$3:$C$2150,$A114,'United Data'!$B$3:$B$2150,"P")&gt;0,1,0)</f>
        <v>0</v>
      </c>
      <c r="D114">
        <f>IF(COUNTIFS('United Data'!$A$3:$A$2150,D$1,'United Data'!$C$3:$C$2150,$A114,'United Data'!$B$3:$B$2150,"P")&gt;0,1,0)</f>
        <v>0</v>
      </c>
      <c r="E114">
        <f>IF(COUNTIFS('United Data'!$A$3:$A$2150,E$1,'United Data'!$C$3:$C$2150,$A114,'United Data'!$B$3:$B$2150,"P")&gt;0,1,0)</f>
        <v>0</v>
      </c>
      <c r="F114">
        <f>IF(COUNTIFS('United Data'!$A$3:$A$2150,F$1,'United Data'!$C$3:$C$2150,$A114,'United Data'!$B$3:$B$2150,"P")&gt;0,1,0)</f>
        <v>0</v>
      </c>
      <c r="G114">
        <f>IF(COUNTIFS('United Data'!$A$3:$A$2150,G$1,'United Data'!$C$3:$C$2150,$A114,'United Data'!$B$3:$B$2150,"P")&gt;0,1,0)</f>
        <v>0</v>
      </c>
      <c r="H114">
        <f>IF(COUNTIFS('United Data'!$A$3:$A$2150,H$1,'United Data'!$C$3:$C$2150,$A114,'United Data'!$B$3:$B$2150,"P")&gt;0,1,0)</f>
        <v>1</v>
      </c>
      <c r="I114">
        <f>IF(COUNTIFS('United Data'!$A$3:$A$2150,I$1,'United Data'!$C$3:$C$2150,$A114,'United Data'!$B$3:$B$2150,"P")&gt;0,1,0)</f>
        <v>1</v>
      </c>
      <c r="J114">
        <f>IF(COUNTIFS('United Data'!$A$3:$A$2150,J$1,'United Data'!$C$3:$C$2150,$A114,'United Data'!$B$3:$B$2150,"P")&gt;0,1,0)</f>
        <v>1</v>
      </c>
      <c r="K114">
        <f>IF(COUNTIFS('United Data'!$A$3:$A$2150,K$1,'United Data'!$C$3:$C$2150,$A114,'United Data'!$B$3:$B$2150,"P")&gt;0,1,0)</f>
        <v>0</v>
      </c>
      <c r="L114">
        <f>IF(COUNTIFS('United Data'!$A$3:$A$2150,L$1,'United Data'!$C$3:$C$2150,$A114,'United Data'!$B$3:$B$2150,"P")&gt;0,1,0)</f>
        <v>0</v>
      </c>
      <c r="M114">
        <f>IF(COUNTIFS('United Data'!$A$3:$A$2150,M$1,'United Data'!$C$3:$C$2150,$A114,'United Data'!$B$3:$B$2150,"P")&gt;0,1,0)</f>
        <v>0</v>
      </c>
      <c r="N114">
        <f>IF(COUNTIFS('United Data'!$A$3:$A$2150,N$1,'United Data'!$C$3:$C$2150,$A114,'United Data'!$B$3:$B$2150,"P")&gt;0,1,0)</f>
        <v>0</v>
      </c>
      <c r="O114">
        <f>IF(COUNTIFS('United Data'!$A$3:$A$2150,O$1,'United Data'!$C$3:$C$2150,$A114,'United Data'!$B$3:$B$2150,"P")&gt;0,1,0)</f>
        <v>0</v>
      </c>
      <c r="P114">
        <f>IF(COUNTIFS('United Data'!$A$3:$A$2150,P$1,'United Data'!$C$3:$C$2150,$A114,'United Data'!$B$3:$B$2150,"P")&gt;0,1,0)</f>
        <v>0</v>
      </c>
      <c r="Q114">
        <f>IF(COUNTIFS('United Data'!$A$3:$A$2150,Q$1,'United Data'!$C$3:$C$2150,$A114,'United Data'!$B$3:$B$2150,"P")&gt;0,1,0)</f>
        <v>0</v>
      </c>
      <c r="R114">
        <f>IF(COUNTIFS('United Data'!$A$3:$A$2150,R$1,'United Data'!$C$3:$C$2150,$A114,'United Data'!$B$3:$B$2150,"P")&gt;0,1,0)</f>
        <v>0</v>
      </c>
      <c r="S114">
        <f t="shared" si="2"/>
        <v>3</v>
      </c>
      <c r="T114">
        <f t="shared" si="3"/>
        <v>1</v>
      </c>
    </row>
    <row r="115" spans="1:20" x14ac:dyDescent="0.2">
      <c r="A115" t="s">
        <v>884</v>
      </c>
      <c r="B115">
        <f>IF(COUNTIFS('United Data'!$A$3:$A$2150,B$1,'United Data'!$C$3:$C$2150,$A115,'United Data'!$B$3:$B$2150,"P")&gt;0,1,0)</f>
        <v>0</v>
      </c>
      <c r="C115">
        <f>IF(COUNTIFS('United Data'!$A$3:$A$2150,C$1,'United Data'!$C$3:$C$2150,$A115,'United Data'!$B$3:$B$2150,"P")&gt;0,1,0)</f>
        <v>0</v>
      </c>
      <c r="D115">
        <f>IF(COUNTIFS('United Data'!$A$3:$A$2150,D$1,'United Data'!$C$3:$C$2150,$A115,'United Data'!$B$3:$B$2150,"P")&gt;0,1,0)</f>
        <v>0</v>
      </c>
      <c r="E115">
        <f>IF(COUNTIFS('United Data'!$A$3:$A$2150,E$1,'United Data'!$C$3:$C$2150,$A115,'United Data'!$B$3:$B$2150,"P")&gt;0,1,0)</f>
        <v>0</v>
      </c>
      <c r="F115">
        <f>IF(COUNTIFS('United Data'!$A$3:$A$2150,F$1,'United Data'!$C$3:$C$2150,$A115,'United Data'!$B$3:$B$2150,"P")&gt;0,1,0)</f>
        <v>0</v>
      </c>
      <c r="G115">
        <f>IF(COUNTIFS('United Data'!$A$3:$A$2150,G$1,'United Data'!$C$3:$C$2150,$A115,'United Data'!$B$3:$B$2150,"P")&gt;0,1,0)</f>
        <v>0</v>
      </c>
      <c r="H115">
        <f>IF(COUNTIFS('United Data'!$A$3:$A$2150,H$1,'United Data'!$C$3:$C$2150,$A115,'United Data'!$B$3:$B$2150,"P")&gt;0,1,0)</f>
        <v>1</v>
      </c>
      <c r="I115">
        <f>IF(COUNTIFS('United Data'!$A$3:$A$2150,I$1,'United Data'!$C$3:$C$2150,$A115,'United Data'!$B$3:$B$2150,"P")&gt;0,1,0)</f>
        <v>0</v>
      </c>
      <c r="J115">
        <f>IF(COUNTIFS('United Data'!$A$3:$A$2150,J$1,'United Data'!$C$3:$C$2150,$A115,'United Data'!$B$3:$B$2150,"P")&gt;0,1,0)</f>
        <v>0</v>
      </c>
      <c r="K115">
        <f>IF(COUNTIFS('United Data'!$A$3:$A$2150,K$1,'United Data'!$C$3:$C$2150,$A115,'United Data'!$B$3:$B$2150,"P")&gt;0,1,0)</f>
        <v>0</v>
      </c>
      <c r="L115">
        <f>IF(COUNTIFS('United Data'!$A$3:$A$2150,L$1,'United Data'!$C$3:$C$2150,$A115,'United Data'!$B$3:$B$2150,"P")&gt;0,1,0)</f>
        <v>0</v>
      </c>
      <c r="M115">
        <f>IF(COUNTIFS('United Data'!$A$3:$A$2150,M$1,'United Data'!$C$3:$C$2150,$A115,'United Data'!$B$3:$B$2150,"P")&gt;0,1,0)</f>
        <v>0</v>
      </c>
      <c r="N115">
        <f>IF(COUNTIFS('United Data'!$A$3:$A$2150,N$1,'United Data'!$C$3:$C$2150,$A115,'United Data'!$B$3:$B$2150,"P")&gt;0,1,0)</f>
        <v>0</v>
      </c>
      <c r="O115">
        <f>IF(COUNTIFS('United Data'!$A$3:$A$2150,O$1,'United Data'!$C$3:$C$2150,$A115,'United Data'!$B$3:$B$2150,"P")&gt;0,1,0)</f>
        <v>0</v>
      </c>
      <c r="P115">
        <f>IF(COUNTIFS('United Data'!$A$3:$A$2150,P$1,'United Data'!$C$3:$C$2150,$A115,'United Data'!$B$3:$B$2150,"P")&gt;0,1,0)</f>
        <v>0</v>
      </c>
      <c r="Q115">
        <f>IF(COUNTIFS('United Data'!$A$3:$A$2150,Q$1,'United Data'!$C$3:$C$2150,$A115,'United Data'!$B$3:$B$2150,"P")&gt;0,1,0)</f>
        <v>0</v>
      </c>
      <c r="R115">
        <f>IF(COUNTIFS('United Data'!$A$3:$A$2150,R$1,'United Data'!$C$3:$C$2150,$A115,'United Data'!$B$3:$B$2150,"P")&gt;0,1,0)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885</v>
      </c>
      <c r="B116">
        <f>IF(COUNTIFS('United Data'!$A$3:$A$2150,B$1,'United Data'!$C$3:$C$2150,$A116,'United Data'!$B$3:$B$2150,"P")&gt;0,1,0)</f>
        <v>0</v>
      </c>
      <c r="C116">
        <f>IF(COUNTIFS('United Data'!$A$3:$A$2150,C$1,'United Data'!$C$3:$C$2150,$A116,'United Data'!$B$3:$B$2150,"P")&gt;0,1,0)</f>
        <v>0</v>
      </c>
      <c r="D116">
        <f>IF(COUNTIFS('United Data'!$A$3:$A$2150,D$1,'United Data'!$C$3:$C$2150,$A116,'United Data'!$B$3:$B$2150,"P")&gt;0,1,0)</f>
        <v>0</v>
      </c>
      <c r="E116">
        <f>IF(COUNTIFS('United Data'!$A$3:$A$2150,E$1,'United Data'!$C$3:$C$2150,$A116,'United Data'!$B$3:$B$2150,"P")&gt;0,1,0)</f>
        <v>0</v>
      </c>
      <c r="F116">
        <f>IF(COUNTIFS('United Data'!$A$3:$A$2150,F$1,'United Data'!$C$3:$C$2150,$A116,'United Data'!$B$3:$B$2150,"P")&gt;0,1,0)</f>
        <v>0</v>
      </c>
      <c r="G116">
        <f>IF(COUNTIFS('United Data'!$A$3:$A$2150,G$1,'United Data'!$C$3:$C$2150,$A116,'United Data'!$B$3:$B$2150,"P")&gt;0,1,0)</f>
        <v>0</v>
      </c>
      <c r="H116">
        <f>IF(COUNTIFS('United Data'!$A$3:$A$2150,H$1,'United Data'!$C$3:$C$2150,$A116,'United Data'!$B$3:$B$2150,"P")&gt;0,1,0)</f>
        <v>1</v>
      </c>
      <c r="I116">
        <f>IF(COUNTIFS('United Data'!$A$3:$A$2150,I$1,'United Data'!$C$3:$C$2150,$A116,'United Data'!$B$3:$B$2150,"P")&gt;0,1,0)</f>
        <v>0</v>
      </c>
      <c r="J116">
        <f>IF(COUNTIFS('United Data'!$A$3:$A$2150,J$1,'United Data'!$C$3:$C$2150,$A116,'United Data'!$B$3:$B$2150,"P")&gt;0,1,0)</f>
        <v>1</v>
      </c>
      <c r="K116">
        <f>IF(COUNTIFS('United Data'!$A$3:$A$2150,K$1,'United Data'!$C$3:$C$2150,$A116,'United Data'!$B$3:$B$2150,"P")&gt;0,1,0)</f>
        <v>0</v>
      </c>
      <c r="L116">
        <f>IF(COUNTIFS('United Data'!$A$3:$A$2150,L$1,'United Data'!$C$3:$C$2150,$A116,'United Data'!$B$3:$B$2150,"P")&gt;0,1,0)</f>
        <v>1</v>
      </c>
      <c r="M116">
        <f>IF(COUNTIFS('United Data'!$A$3:$A$2150,M$1,'United Data'!$C$3:$C$2150,$A116,'United Data'!$B$3:$B$2150,"P")&gt;0,1,0)</f>
        <v>0</v>
      </c>
      <c r="N116">
        <f>IF(COUNTIFS('United Data'!$A$3:$A$2150,N$1,'United Data'!$C$3:$C$2150,$A116,'United Data'!$B$3:$B$2150,"P")&gt;0,1,0)</f>
        <v>0</v>
      </c>
      <c r="O116">
        <f>IF(COUNTIFS('United Data'!$A$3:$A$2150,O$1,'United Data'!$C$3:$C$2150,$A116,'United Data'!$B$3:$B$2150,"P")&gt;0,1,0)</f>
        <v>0</v>
      </c>
      <c r="P116">
        <f>IF(COUNTIFS('United Data'!$A$3:$A$2150,P$1,'United Data'!$C$3:$C$2150,$A116,'United Data'!$B$3:$B$2150,"P")&gt;0,1,0)</f>
        <v>0</v>
      </c>
      <c r="Q116">
        <f>IF(COUNTIFS('United Data'!$A$3:$A$2150,Q$1,'United Data'!$C$3:$C$2150,$A116,'United Data'!$B$3:$B$2150,"P")&gt;0,1,0)</f>
        <v>0</v>
      </c>
      <c r="R116">
        <f>IF(COUNTIFS('United Data'!$A$3:$A$2150,R$1,'United Data'!$C$3:$C$2150,$A116,'United Data'!$B$3:$B$2150,"P")&gt;0,1,0)</f>
        <v>0</v>
      </c>
      <c r="S116">
        <f t="shared" si="2"/>
        <v>3</v>
      </c>
      <c r="T116">
        <f t="shared" si="3"/>
        <v>3</v>
      </c>
    </row>
    <row r="117" spans="1:20" x14ac:dyDescent="0.2">
      <c r="A117" t="s">
        <v>886</v>
      </c>
      <c r="B117">
        <f>IF(COUNTIFS('United Data'!$A$3:$A$2150,B$1,'United Data'!$C$3:$C$2150,$A117,'United Data'!$B$3:$B$2150,"P")&gt;0,1,0)</f>
        <v>0</v>
      </c>
      <c r="C117">
        <f>IF(COUNTIFS('United Data'!$A$3:$A$2150,C$1,'United Data'!$C$3:$C$2150,$A117,'United Data'!$B$3:$B$2150,"P")&gt;0,1,0)</f>
        <v>0</v>
      </c>
      <c r="D117">
        <f>IF(COUNTIFS('United Data'!$A$3:$A$2150,D$1,'United Data'!$C$3:$C$2150,$A117,'United Data'!$B$3:$B$2150,"P")&gt;0,1,0)</f>
        <v>0</v>
      </c>
      <c r="E117">
        <f>IF(COUNTIFS('United Data'!$A$3:$A$2150,E$1,'United Data'!$C$3:$C$2150,$A117,'United Data'!$B$3:$B$2150,"P")&gt;0,1,0)</f>
        <v>0</v>
      </c>
      <c r="F117">
        <f>IF(COUNTIFS('United Data'!$A$3:$A$2150,F$1,'United Data'!$C$3:$C$2150,$A117,'United Data'!$B$3:$B$2150,"P")&gt;0,1,0)</f>
        <v>0</v>
      </c>
      <c r="G117">
        <f>IF(COUNTIFS('United Data'!$A$3:$A$2150,G$1,'United Data'!$C$3:$C$2150,$A117,'United Data'!$B$3:$B$2150,"P")&gt;0,1,0)</f>
        <v>0</v>
      </c>
      <c r="H117">
        <f>IF(COUNTIFS('United Data'!$A$3:$A$2150,H$1,'United Data'!$C$3:$C$2150,$A117,'United Data'!$B$3:$B$2150,"P")&gt;0,1,0)</f>
        <v>1</v>
      </c>
      <c r="I117">
        <f>IF(COUNTIFS('United Data'!$A$3:$A$2150,I$1,'United Data'!$C$3:$C$2150,$A117,'United Data'!$B$3:$B$2150,"P")&gt;0,1,0)</f>
        <v>0</v>
      </c>
      <c r="J117">
        <f>IF(COUNTIFS('United Data'!$A$3:$A$2150,J$1,'United Data'!$C$3:$C$2150,$A117,'United Data'!$B$3:$B$2150,"P")&gt;0,1,0)</f>
        <v>0</v>
      </c>
      <c r="K117">
        <f>IF(COUNTIFS('United Data'!$A$3:$A$2150,K$1,'United Data'!$C$3:$C$2150,$A117,'United Data'!$B$3:$B$2150,"P")&gt;0,1,0)</f>
        <v>0</v>
      </c>
      <c r="L117">
        <f>IF(COUNTIFS('United Data'!$A$3:$A$2150,L$1,'United Data'!$C$3:$C$2150,$A117,'United Data'!$B$3:$B$2150,"P")&gt;0,1,0)</f>
        <v>0</v>
      </c>
      <c r="M117">
        <f>IF(COUNTIFS('United Data'!$A$3:$A$2150,M$1,'United Data'!$C$3:$C$2150,$A117,'United Data'!$B$3:$B$2150,"P")&gt;0,1,0)</f>
        <v>0</v>
      </c>
      <c r="N117">
        <f>IF(COUNTIFS('United Data'!$A$3:$A$2150,N$1,'United Data'!$C$3:$C$2150,$A117,'United Data'!$B$3:$B$2150,"P")&gt;0,1,0)</f>
        <v>0</v>
      </c>
      <c r="O117">
        <f>IF(COUNTIFS('United Data'!$A$3:$A$2150,O$1,'United Data'!$C$3:$C$2150,$A117,'United Data'!$B$3:$B$2150,"P")&gt;0,1,0)</f>
        <v>0</v>
      </c>
      <c r="P117">
        <f>IF(COUNTIFS('United Data'!$A$3:$A$2150,P$1,'United Data'!$C$3:$C$2150,$A117,'United Data'!$B$3:$B$2150,"P")&gt;0,1,0)</f>
        <v>0</v>
      </c>
      <c r="Q117">
        <f>IF(COUNTIFS('United Data'!$A$3:$A$2150,Q$1,'United Data'!$C$3:$C$2150,$A117,'United Data'!$B$3:$B$2150,"P")&gt;0,1,0)</f>
        <v>0</v>
      </c>
      <c r="R117">
        <f>IF(COUNTIFS('United Data'!$A$3:$A$2150,R$1,'United Data'!$C$3:$C$2150,$A117,'United Data'!$B$3:$B$2150,"P")&gt;0,1,0)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887</v>
      </c>
      <c r="B118">
        <f>IF(COUNTIFS('United Data'!$A$3:$A$2150,B$1,'United Data'!$C$3:$C$2150,$A118,'United Data'!$B$3:$B$2150,"P")&gt;0,1,0)</f>
        <v>0</v>
      </c>
      <c r="C118">
        <f>IF(COUNTIFS('United Data'!$A$3:$A$2150,C$1,'United Data'!$C$3:$C$2150,$A118,'United Data'!$B$3:$B$2150,"P")&gt;0,1,0)</f>
        <v>0</v>
      </c>
      <c r="D118">
        <f>IF(COUNTIFS('United Data'!$A$3:$A$2150,D$1,'United Data'!$C$3:$C$2150,$A118,'United Data'!$B$3:$B$2150,"P")&gt;0,1,0)</f>
        <v>0</v>
      </c>
      <c r="E118">
        <f>IF(COUNTIFS('United Data'!$A$3:$A$2150,E$1,'United Data'!$C$3:$C$2150,$A118,'United Data'!$B$3:$B$2150,"P")&gt;0,1,0)</f>
        <v>0</v>
      </c>
      <c r="F118">
        <f>IF(COUNTIFS('United Data'!$A$3:$A$2150,F$1,'United Data'!$C$3:$C$2150,$A118,'United Data'!$B$3:$B$2150,"P")&gt;0,1,0)</f>
        <v>0</v>
      </c>
      <c r="G118">
        <f>IF(COUNTIFS('United Data'!$A$3:$A$2150,G$1,'United Data'!$C$3:$C$2150,$A118,'United Data'!$B$3:$B$2150,"P")&gt;0,1,0)</f>
        <v>0</v>
      </c>
      <c r="H118">
        <f>IF(COUNTIFS('United Data'!$A$3:$A$2150,H$1,'United Data'!$C$3:$C$2150,$A118,'United Data'!$B$3:$B$2150,"P")&gt;0,1,0)</f>
        <v>1</v>
      </c>
      <c r="I118">
        <f>IF(COUNTIFS('United Data'!$A$3:$A$2150,I$1,'United Data'!$C$3:$C$2150,$A118,'United Data'!$B$3:$B$2150,"P")&gt;0,1,0)</f>
        <v>1</v>
      </c>
      <c r="J118">
        <f>IF(COUNTIFS('United Data'!$A$3:$A$2150,J$1,'United Data'!$C$3:$C$2150,$A118,'United Data'!$B$3:$B$2150,"P")&gt;0,1,0)</f>
        <v>0</v>
      </c>
      <c r="K118">
        <f>IF(COUNTIFS('United Data'!$A$3:$A$2150,K$1,'United Data'!$C$3:$C$2150,$A118,'United Data'!$B$3:$B$2150,"P")&gt;0,1,0)</f>
        <v>1</v>
      </c>
      <c r="L118">
        <f>IF(COUNTIFS('United Data'!$A$3:$A$2150,L$1,'United Data'!$C$3:$C$2150,$A118,'United Data'!$B$3:$B$2150,"P")&gt;0,1,0)</f>
        <v>1</v>
      </c>
      <c r="M118">
        <f>IF(COUNTIFS('United Data'!$A$3:$A$2150,M$1,'United Data'!$C$3:$C$2150,$A118,'United Data'!$B$3:$B$2150,"P")&gt;0,1,0)</f>
        <v>1</v>
      </c>
      <c r="N118">
        <f>IF(COUNTIFS('United Data'!$A$3:$A$2150,N$1,'United Data'!$C$3:$C$2150,$A118,'United Data'!$B$3:$B$2150,"P")&gt;0,1,0)</f>
        <v>1</v>
      </c>
      <c r="O118">
        <f>IF(COUNTIFS('United Data'!$A$3:$A$2150,O$1,'United Data'!$C$3:$C$2150,$A118,'United Data'!$B$3:$B$2150,"P")&gt;0,1,0)</f>
        <v>1</v>
      </c>
      <c r="P118">
        <f>IF(COUNTIFS('United Data'!$A$3:$A$2150,P$1,'United Data'!$C$3:$C$2150,$A118,'United Data'!$B$3:$B$2150,"P")&gt;0,1,0)</f>
        <v>0</v>
      </c>
      <c r="Q118">
        <f>IF(COUNTIFS('United Data'!$A$3:$A$2150,Q$1,'United Data'!$C$3:$C$2150,$A118,'United Data'!$B$3:$B$2150,"P")&gt;0,1,0)</f>
        <v>0</v>
      </c>
      <c r="R118">
        <f>IF(COUNTIFS('United Data'!$A$3:$A$2150,R$1,'United Data'!$C$3:$C$2150,$A118,'United Data'!$B$3:$B$2150,"P")&gt;0,1,0)</f>
        <v>0</v>
      </c>
      <c r="S118">
        <f t="shared" si="2"/>
        <v>7</v>
      </c>
      <c r="T118">
        <f t="shared" si="3"/>
        <v>2</v>
      </c>
    </row>
    <row r="119" spans="1:20" x14ac:dyDescent="0.2">
      <c r="A119" t="s">
        <v>888</v>
      </c>
      <c r="B119">
        <f>IF(COUNTIFS('United Data'!$A$3:$A$2150,B$1,'United Data'!$C$3:$C$2150,$A119,'United Data'!$B$3:$B$2150,"P")&gt;0,1,0)</f>
        <v>0</v>
      </c>
      <c r="C119">
        <f>IF(COUNTIFS('United Data'!$A$3:$A$2150,C$1,'United Data'!$C$3:$C$2150,$A119,'United Data'!$B$3:$B$2150,"P")&gt;0,1,0)</f>
        <v>0</v>
      </c>
      <c r="D119">
        <f>IF(COUNTIFS('United Data'!$A$3:$A$2150,D$1,'United Data'!$C$3:$C$2150,$A119,'United Data'!$B$3:$B$2150,"P")&gt;0,1,0)</f>
        <v>0</v>
      </c>
      <c r="E119">
        <f>IF(COUNTIFS('United Data'!$A$3:$A$2150,E$1,'United Data'!$C$3:$C$2150,$A119,'United Data'!$B$3:$B$2150,"P")&gt;0,1,0)</f>
        <v>0</v>
      </c>
      <c r="F119">
        <f>IF(COUNTIFS('United Data'!$A$3:$A$2150,F$1,'United Data'!$C$3:$C$2150,$A119,'United Data'!$B$3:$B$2150,"P")&gt;0,1,0)</f>
        <v>0</v>
      </c>
      <c r="G119">
        <f>IF(COUNTIFS('United Data'!$A$3:$A$2150,G$1,'United Data'!$C$3:$C$2150,$A119,'United Data'!$B$3:$B$2150,"P")&gt;0,1,0)</f>
        <v>0</v>
      </c>
      <c r="H119">
        <f>IF(COUNTIFS('United Data'!$A$3:$A$2150,H$1,'United Data'!$C$3:$C$2150,$A119,'United Data'!$B$3:$B$2150,"P")&gt;0,1,0)</f>
        <v>1</v>
      </c>
      <c r="I119">
        <f>IF(COUNTIFS('United Data'!$A$3:$A$2150,I$1,'United Data'!$C$3:$C$2150,$A119,'United Data'!$B$3:$B$2150,"P")&gt;0,1,0)</f>
        <v>0</v>
      </c>
      <c r="J119">
        <f>IF(COUNTIFS('United Data'!$A$3:$A$2150,J$1,'United Data'!$C$3:$C$2150,$A119,'United Data'!$B$3:$B$2150,"P")&gt;0,1,0)</f>
        <v>0</v>
      </c>
      <c r="K119">
        <f>IF(COUNTIFS('United Data'!$A$3:$A$2150,K$1,'United Data'!$C$3:$C$2150,$A119,'United Data'!$B$3:$B$2150,"P")&gt;0,1,0)</f>
        <v>0</v>
      </c>
      <c r="L119">
        <f>IF(COUNTIFS('United Data'!$A$3:$A$2150,L$1,'United Data'!$C$3:$C$2150,$A119,'United Data'!$B$3:$B$2150,"P")&gt;0,1,0)</f>
        <v>0</v>
      </c>
      <c r="M119">
        <f>IF(COUNTIFS('United Data'!$A$3:$A$2150,M$1,'United Data'!$C$3:$C$2150,$A119,'United Data'!$B$3:$B$2150,"P")&gt;0,1,0)</f>
        <v>0</v>
      </c>
      <c r="N119">
        <f>IF(COUNTIFS('United Data'!$A$3:$A$2150,N$1,'United Data'!$C$3:$C$2150,$A119,'United Data'!$B$3:$B$2150,"P")&gt;0,1,0)</f>
        <v>0</v>
      </c>
      <c r="O119">
        <f>IF(COUNTIFS('United Data'!$A$3:$A$2150,O$1,'United Data'!$C$3:$C$2150,$A119,'United Data'!$B$3:$B$2150,"P")&gt;0,1,0)</f>
        <v>0</v>
      </c>
      <c r="P119">
        <f>IF(COUNTIFS('United Data'!$A$3:$A$2150,P$1,'United Data'!$C$3:$C$2150,$A119,'United Data'!$B$3:$B$2150,"P")&gt;0,1,0)</f>
        <v>0</v>
      </c>
      <c r="Q119">
        <f>IF(COUNTIFS('United Data'!$A$3:$A$2150,Q$1,'United Data'!$C$3:$C$2150,$A119,'United Data'!$B$3:$B$2150,"P")&gt;0,1,0)</f>
        <v>0</v>
      </c>
      <c r="R119">
        <f>IF(COUNTIFS('United Data'!$A$3:$A$2150,R$1,'United Data'!$C$3:$C$2150,$A119,'United Data'!$B$3:$B$2150,"P")&gt;0,1,0)</f>
        <v>0</v>
      </c>
      <c r="S119">
        <f t="shared" si="2"/>
        <v>1</v>
      </c>
      <c r="T119">
        <f t="shared" si="3"/>
        <v>1</v>
      </c>
    </row>
    <row r="120" spans="1:20" x14ac:dyDescent="0.2">
      <c r="A120" t="s">
        <v>889</v>
      </c>
      <c r="B120">
        <f>IF(COUNTIFS('United Data'!$A$3:$A$2150,B$1,'United Data'!$C$3:$C$2150,$A120,'United Data'!$B$3:$B$2150,"P")&gt;0,1,0)</f>
        <v>0</v>
      </c>
      <c r="C120">
        <f>IF(COUNTIFS('United Data'!$A$3:$A$2150,C$1,'United Data'!$C$3:$C$2150,$A120,'United Data'!$B$3:$B$2150,"P")&gt;0,1,0)</f>
        <v>0</v>
      </c>
      <c r="D120">
        <f>IF(COUNTIFS('United Data'!$A$3:$A$2150,D$1,'United Data'!$C$3:$C$2150,$A120,'United Data'!$B$3:$B$2150,"P")&gt;0,1,0)</f>
        <v>0</v>
      </c>
      <c r="E120">
        <f>IF(COUNTIFS('United Data'!$A$3:$A$2150,E$1,'United Data'!$C$3:$C$2150,$A120,'United Data'!$B$3:$B$2150,"P")&gt;0,1,0)</f>
        <v>0</v>
      </c>
      <c r="F120">
        <f>IF(COUNTIFS('United Data'!$A$3:$A$2150,F$1,'United Data'!$C$3:$C$2150,$A120,'United Data'!$B$3:$B$2150,"P")&gt;0,1,0)</f>
        <v>0</v>
      </c>
      <c r="G120">
        <f>IF(COUNTIFS('United Data'!$A$3:$A$2150,G$1,'United Data'!$C$3:$C$2150,$A120,'United Data'!$B$3:$B$2150,"P")&gt;0,1,0)</f>
        <v>0</v>
      </c>
      <c r="H120">
        <f>IF(COUNTIFS('United Data'!$A$3:$A$2150,H$1,'United Data'!$C$3:$C$2150,$A120,'United Data'!$B$3:$B$2150,"P")&gt;0,1,0)</f>
        <v>1</v>
      </c>
      <c r="I120">
        <f>IF(COUNTIFS('United Data'!$A$3:$A$2150,I$1,'United Data'!$C$3:$C$2150,$A120,'United Data'!$B$3:$B$2150,"P")&gt;0,1,0)</f>
        <v>1</v>
      </c>
      <c r="J120">
        <f>IF(COUNTIFS('United Data'!$A$3:$A$2150,J$1,'United Data'!$C$3:$C$2150,$A120,'United Data'!$B$3:$B$2150,"P")&gt;0,1,0)</f>
        <v>0</v>
      </c>
      <c r="K120">
        <f>IF(COUNTIFS('United Data'!$A$3:$A$2150,K$1,'United Data'!$C$3:$C$2150,$A120,'United Data'!$B$3:$B$2150,"P")&gt;0,1,0)</f>
        <v>1</v>
      </c>
      <c r="L120">
        <f>IF(COUNTIFS('United Data'!$A$3:$A$2150,L$1,'United Data'!$C$3:$C$2150,$A120,'United Data'!$B$3:$B$2150,"P")&gt;0,1,0)</f>
        <v>0</v>
      </c>
      <c r="M120">
        <f>IF(COUNTIFS('United Data'!$A$3:$A$2150,M$1,'United Data'!$C$3:$C$2150,$A120,'United Data'!$B$3:$B$2150,"P")&gt;0,1,0)</f>
        <v>1</v>
      </c>
      <c r="N120">
        <f>IF(COUNTIFS('United Data'!$A$3:$A$2150,N$1,'United Data'!$C$3:$C$2150,$A120,'United Data'!$B$3:$B$2150,"P")&gt;0,1,0)</f>
        <v>0</v>
      </c>
      <c r="O120">
        <f>IF(COUNTIFS('United Data'!$A$3:$A$2150,O$1,'United Data'!$C$3:$C$2150,$A120,'United Data'!$B$3:$B$2150,"P")&gt;0,1,0)</f>
        <v>0</v>
      </c>
      <c r="P120">
        <f>IF(COUNTIFS('United Data'!$A$3:$A$2150,P$1,'United Data'!$C$3:$C$2150,$A120,'United Data'!$B$3:$B$2150,"P")&gt;0,1,0)</f>
        <v>0</v>
      </c>
      <c r="Q120">
        <f>IF(COUNTIFS('United Data'!$A$3:$A$2150,Q$1,'United Data'!$C$3:$C$2150,$A120,'United Data'!$B$3:$B$2150,"P")&gt;0,1,0)</f>
        <v>0</v>
      </c>
      <c r="R120">
        <f>IF(COUNTIFS('United Data'!$A$3:$A$2150,R$1,'United Data'!$C$3:$C$2150,$A120,'United Data'!$B$3:$B$2150,"P")&gt;0,1,0)</f>
        <v>0</v>
      </c>
      <c r="S120">
        <f t="shared" si="2"/>
        <v>4</v>
      </c>
      <c r="T120">
        <f t="shared" si="3"/>
        <v>3</v>
      </c>
    </row>
    <row r="121" spans="1:20" x14ac:dyDescent="0.2">
      <c r="A121" t="s">
        <v>890</v>
      </c>
      <c r="B121">
        <f>IF(COUNTIFS('United Data'!$A$3:$A$2150,B$1,'United Data'!$C$3:$C$2150,$A121,'United Data'!$B$3:$B$2150,"P")&gt;0,1,0)</f>
        <v>0</v>
      </c>
      <c r="C121">
        <f>IF(COUNTIFS('United Data'!$A$3:$A$2150,C$1,'United Data'!$C$3:$C$2150,$A121,'United Data'!$B$3:$B$2150,"P")&gt;0,1,0)</f>
        <v>0</v>
      </c>
      <c r="D121">
        <f>IF(COUNTIFS('United Data'!$A$3:$A$2150,D$1,'United Data'!$C$3:$C$2150,$A121,'United Data'!$B$3:$B$2150,"P")&gt;0,1,0)</f>
        <v>0</v>
      </c>
      <c r="E121">
        <f>IF(COUNTIFS('United Data'!$A$3:$A$2150,E$1,'United Data'!$C$3:$C$2150,$A121,'United Data'!$B$3:$B$2150,"P")&gt;0,1,0)</f>
        <v>0</v>
      </c>
      <c r="F121">
        <f>IF(COUNTIFS('United Data'!$A$3:$A$2150,F$1,'United Data'!$C$3:$C$2150,$A121,'United Data'!$B$3:$B$2150,"P")&gt;0,1,0)</f>
        <v>0</v>
      </c>
      <c r="G121">
        <f>IF(COUNTIFS('United Data'!$A$3:$A$2150,G$1,'United Data'!$C$3:$C$2150,$A121,'United Data'!$B$3:$B$2150,"P")&gt;0,1,0)</f>
        <v>0</v>
      </c>
      <c r="H121">
        <f>IF(COUNTIFS('United Data'!$A$3:$A$2150,H$1,'United Data'!$C$3:$C$2150,$A121,'United Data'!$B$3:$B$2150,"P")&gt;0,1,0)</f>
        <v>1</v>
      </c>
      <c r="I121">
        <f>IF(COUNTIFS('United Data'!$A$3:$A$2150,I$1,'United Data'!$C$3:$C$2150,$A121,'United Data'!$B$3:$B$2150,"P")&gt;0,1,0)</f>
        <v>0</v>
      </c>
      <c r="J121">
        <f>IF(COUNTIFS('United Data'!$A$3:$A$2150,J$1,'United Data'!$C$3:$C$2150,$A121,'United Data'!$B$3:$B$2150,"P")&gt;0,1,0)</f>
        <v>0</v>
      </c>
      <c r="K121">
        <f>IF(COUNTIFS('United Data'!$A$3:$A$2150,K$1,'United Data'!$C$3:$C$2150,$A121,'United Data'!$B$3:$B$2150,"P")&gt;0,1,0)</f>
        <v>0</v>
      </c>
      <c r="L121">
        <f>IF(COUNTIFS('United Data'!$A$3:$A$2150,L$1,'United Data'!$C$3:$C$2150,$A121,'United Data'!$B$3:$B$2150,"P")&gt;0,1,0)</f>
        <v>0</v>
      </c>
      <c r="M121">
        <f>IF(COUNTIFS('United Data'!$A$3:$A$2150,M$1,'United Data'!$C$3:$C$2150,$A121,'United Data'!$B$3:$B$2150,"P")&gt;0,1,0)</f>
        <v>0</v>
      </c>
      <c r="N121">
        <f>IF(COUNTIFS('United Data'!$A$3:$A$2150,N$1,'United Data'!$C$3:$C$2150,$A121,'United Data'!$B$3:$B$2150,"P")&gt;0,1,0)</f>
        <v>0</v>
      </c>
      <c r="O121">
        <f>IF(COUNTIFS('United Data'!$A$3:$A$2150,O$1,'United Data'!$C$3:$C$2150,$A121,'United Data'!$B$3:$B$2150,"P")&gt;0,1,0)</f>
        <v>0</v>
      </c>
      <c r="P121">
        <f>IF(COUNTIFS('United Data'!$A$3:$A$2150,P$1,'United Data'!$C$3:$C$2150,$A121,'United Data'!$B$3:$B$2150,"P")&gt;0,1,0)</f>
        <v>0</v>
      </c>
      <c r="Q121">
        <f>IF(COUNTIFS('United Data'!$A$3:$A$2150,Q$1,'United Data'!$C$3:$C$2150,$A121,'United Data'!$B$3:$B$2150,"P")&gt;0,1,0)</f>
        <v>0</v>
      </c>
      <c r="R121">
        <f>IF(COUNTIFS('United Data'!$A$3:$A$2150,R$1,'United Data'!$C$3:$C$2150,$A121,'United Data'!$B$3:$B$2150,"P")&gt;0,1,0)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891</v>
      </c>
      <c r="B122">
        <f>IF(COUNTIFS('United Data'!$A$3:$A$2150,B$1,'United Data'!$C$3:$C$2150,$A122,'United Data'!$B$3:$B$2150,"P")&gt;0,1,0)</f>
        <v>0</v>
      </c>
      <c r="C122">
        <f>IF(COUNTIFS('United Data'!$A$3:$A$2150,C$1,'United Data'!$C$3:$C$2150,$A122,'United Data'!$B$3:$B$2150,"P")&gt;0,1,0)</f>
        <v>0</v>
      </c>
      <c r="D122">
        <f>IF(COUNTIFS('United Data'!$A$3:$A$2150,D$1,'United Data'!$C$3:$C$2150,$A122,'United Data'!$B$3:$B$2150,"P")&gt;0,1,0)</f>
        <v>0</v>
      </c>
      <c r="E122">
        <f>IF(COUNTIFS('United Data'!$A$3:$A$2150,E$1,'United Data'!$C$3:$C$2150,$A122,'United Data'!$B$3:$B$2150,"P")&gt;0,1,0)</f>
        <v>0</v>
      </c>
      <c r="F122">
        <f>IF(COUNTIFS('United Data'!$A$3:$A$2150,F$1,'United Data'!$C$3:$C$2150,$A122,'United Data'!$B$3:$B$2150,"P")&gt;0,1,0)</f>
        <v>0</v>
      </c>
      <c r="G122">
        <f>IF(COUNTIFS('United Data'!$A$3:$A$2150,G$1,'United Data'!$C$3:$C$2150,$A122,'United Data'!$B$3:$B$2150,"P")&gt;0,1,0)</f>
        <v>0</v>
      </c>
      <c r="H122">
        <f>IF(COUNTIFS('United Data'!$A$3:$A$2150,H$1,'United Data'!$C$3:$C$2150,$A122,'United Data'!$B$3:$B$2150,"P")&gt;0,1,0)</f>
        <v>1</v>
      </c>
      <c r="I122">
        <f>IF(COUNTIFS('United Data'!$A$3:$A$2150,I$1,'United Data'!$C$3:$C$2150,$A122,'United Data'!$B$3:$B$2150,"P")&gt;0,1,0)</f>
        <v>1</v>
      </c>
      <c r="J122">
        <f>IF(COUNTIFS('United Data'!$A$3:$A$2150,J$1,'United Data'!$C$3:$C$2150,$A122,'United Data'!$B$3:$B$2150,"P")&gt;0,1,0)</f>
        <v>1</v>
      </c>
      <c r="K122">
        <f>IF(COUNTIFS('United Data'!$A$3:$A$2150,K$1,'United Data'!$C$3:$C$2150,$A122,'United Data'!$B$3:$B$2150,"P")&gt;0,1,0)</f>
        <v>1</v>
      </c>
      <c r="L122">
        <f>IF(COUNTIFS('United Data'!$A$3:$A$2150,L$1,'United Data'!$C$3:$C$2150,$A122,'United Data'!$B$3:$B$2150,"P")&gt;0,1,0)</f>
        <v>1</v>
      </c>
      <c r="M122">
        <f>IF(COUNTIFS('United Data'!$A$3:$A$2150,M$1,'United Data'!$C$3:$C$2150,$A122,'United Data'!$B$3:$B$2150,"P")&gt;0,1,0)</f>
        <v>0</v>
      </c>
      <c r="N122">
        <f>IF(COUNTIFS('United Data'!$A$3:$A$2150,N$1,'United Data'!$C$3:$C$2150,$A122,'United Data'!$B$3:$B$2150,"P")&gt;0,1,0)</f>
        <v>0</v>
      </c>
      <c r="O122">
        <f>IF(COUNTIFS('United Data'!$A$3:$A$2150,O$1,'United Data'!$C$3:$C$2150,$A122,'United Data'!$B$3:$B$2150,"P")&gt;0,1,0)</f>
        <v>0</v>
      </c>
      <c r="P122">
        <f>IF(COUNTIFS('United Data'!$A$3:$A$2150,P$1,'United Data'!$C$3:$C$2150,$A122,'United Data'!$B$3:$B$2150,"P")&gt;0,1,0)</f>
        <v>0</v>
      </c>
      <c r="Q122">
        <f>IF(COUNTIFS('United Data'!$A$3:$A$2150,Q$1,'United Data'!$C$3:$C$2150,$A122,'United Data'!$B$3:$B$2150,"P")&gt;0,1,0)</f>
        <v>0</v>
      </c>
      <c r="R122">
        <f>IF(COUNTIFS('United Data'!$A$3:$A$2150,R$1,'United Data'!$C$3:$C$2150,$A122,'United Data'!$B$3:$B$2150,"P")&gt;0,1,0)</f>
        <v>0</v>
      </c>
      <c r="S122">
        <f t="shared" si="2"/>
        <v>5</v>
      </c>
      <c r="T122">
        <f t="shared" si="3"/>
        <v>1</v>
      </c>
    </row>
    <row r="123" spans="1:20" x14ac:dyDescent="0.2">
      <c r="A123" t="s">
        <v>892</v>
      </c>
      <c r="B123">
        <f>IF(COUNTIFS('United Data'!$A$3:$A$2150,B$1,'United Data'!$C$3:$C$2150,$A123,'United Data'!$B$3:$B$2150,"P")&gt;0,1,0)</f>
        <v>0</v>
      </c>
      <c r="C123">
        <f>IF(COUNTIFS('United Data'!$A$3:$A$2150,C$1,'United Data'!$C$3:$C$2150,$A123,'United Data'!$B$3:$B$2150,"P")&gt;0,1,0)</f>
        <v>0</v>
      </c>
      <c r="D123">
        <f>IF(COUNTIFS('United Data'!$A$3:$A$2150,D$1,'United Data'!$C$3:$C$2150,$A123,'United Data'!$B$3:$B$2150,"P")&gt;0,1,0)</f>
        <v>0</v>
      </c>
      <c r="E123">
        <f>IF(COUNTIFS('United Data'!$A$3:$A$2150,E$1,'United Data'!$C$3:$C$2150,$A123,'United Data'!$B$3:$B$2150,"P")&gt;0,1,0)</f>
        <v>0</v>
      </c>
      <c r="F123">
        <f>IF(COUNTIFS('United Data'!$A$3:$A$2150,F$1,'United Data'!$C$3:$C$2150,$A123,'United Data'!$B$3:$B$2150,"P")&gt;0,1,0)</f>
        <v>0</v>
      </c>
      <c r="G123">
        <f>IF(COUNTIFS('United Data'!$A$3:$A$2150,G$1,'United Data'!$C$3:$C$2150,$A123,'United Data'!$B$3:$B$2150,"P")&gt;0,1,0)</f>
        <v>0</v>
      </c>
      <c r="H123">
        <f>IF(COUNTIFS('United Data'!$A$3:$A$2150,H$1,'United Data'!$C$3:$C$2150,$A123,'United Data'!$B$3:$B$2150,"P")&gt;0,1,0)</f>
        <v>1</v>
      </c>
      <c r="I123">
        <f>IF(COUNTIFS('United Data'!$A$3:$A$2150,I$1,'United Data'!$C$3:$C$2150,$A123,'United Data'!$B$3:$B$2150,"P")&gt;0,1,0)</f>
        <v>0</v>
      </c>
      <c r="J123">
        <f>IF(COUNTIFS('United Data'!$A$3:$A$2150,J$1,'United Data'!$C$3:$C$2150,$A123,'United Data'!$B$3:$B$2150,"P")&gt;0,1,0)</f>
        <v>0</v>
      </c>
      <c r="K123">
        <f>IF(COUNTIFS('United Data'!$A$3:$A$2150,K$1,'United Data'!$C$3:$C$2150,$A123,'United Data'!$B$3:$B$2150,"P")&gt;0,1,0)</f>
        <v>0</v>
      </c>
      <c r="L123">
        <f>IF(COUNTIFS('United Data'!$A$3:$A$2150,L$1,'United Data'!$C$3:$C$2150,$A123,'United Data'!$B$3:$B$2150,"P")&gt;0,1,0)</f>
        <v>0</v>
      </c>
      <c r="M123">
        <f>IF(COUNTIFS('United Data'!$A$3:$A$2150,M$1,'United Data'!$C$3:$C$2150,$A123,'United Data'!$B$3:$B$2150,"P")&gt;0,1,0)</f>
        <v>0</v>
      </c>
      <c r="N123">
        <f>IF(COUNTIFS('United Data'!$A$3:$A$2150,N$1,'United Data'!$C$3:$C$2150,$A123,'United Data'!$B$3:$B$2150,"P")&gt;0,1,0)</f>
        <v>0</v>
      </c>
      <c r="O123">
        <f>IF(COUNTIFS('United Data'!$A$3:$A$2150,O$1,'United Data'!$C$3:$C$2150,$A123,'United Data'!$B$3:$B$2150,"P")&gt;0,1,0)</f>
        <v>0</v>
      </c>
      <c r="P123">
        <f>IF(COUNTIFS('United Data'!$A$3:$A$2150,P$1,'United Data'!$C$3:$C$2150,$A123,'United Data'!$B$3:$B$2150,"P")&gt;0,1,0)</f>
        <v>0</v>
      </c>
      <c r="Q123">
        <f>IF(COUNTIFS('United Data'!$A$3:$A$2150,Q$1,'United Data'!$C$3:$C$2150,$A123,'United Data'!$B$3:$B$2150,"P")&gt;0,1,0)</f>
        <v>0</v>
      </c>
      <c r="R123">
        <f>IF(COUNTIFS('United Data'!$A$3:$A$2150,R$1,'United Data'!$C$3:$C$2150,$A123,'United Data'!$B$3:$B$2150,"P")&gt;0,1,0)</f>
        <v>0</v>
      </c>
      <c r="S123">
        <f t="shared" si="2"/>
        <v>1</v>
      </c>
      <c r="T123">
        <f t="shared" si="3"/>
        <v>1</v>
      </c>
    </row>
    <row r="124" spans="1:20" x14ac:dyDescent="0.2">
      <c r="A124" t="s">
        <v>893</v>
      </c>
      <c r="B124">
        <f>IF(COUNTIFS('United Data'!$A$3:$A$2150,B$1,'United Data'!$C$3:$C$2150,$A124,'United Data'!$B$3:$B$2150,"P")&gt;0,1,0)</f>
        <v>0</v>
      </c>
      <c r="C124">
        <f>IF(COUNTIFS('United Data'!$A$3:$A$2150,C$1,'United Data'!$C$3:$C$2150,$A124,'United Data'!$B$3:$B$2150,"P")&gt;0,1,0)</f>
        <v>0</v>
      </c>
      <c r="D124">
        <f>IF(COUNTIFS('United Data'!$A$3:$A$2150,D$1,'United Data'!$C$3:$C$2150,$A124,'United Data'!$B$3:$B$2150,"P")&gt;0,1,0)</f>
        <v>0</v>
      </c>
      <c r="E124">
        <f>IF(COUNTIFS('United Data'!$A$3:$A$2150,E$1,'United Data'!$C$3:$C$2150,$A124,'United Data'!$B$3:$B$2150,"P")&gt;0,1,0)</f>
        <v>0</v>
      </c>
      <c r="F124">
        <f>IF(COUNTIFS('United Data'!$A$3:$A$2150,F$1,'United Data'!$C$3:$C$2150,$A124,'United Data'!$B$3:$B$2150,"P")&gt;0,1,0)</f>
        <v>0</v>
      </c>
      <c r="G124">
        <f>IF(COUNTIFS('United Data'!$A$3:$A$2150,G$1,'United Data'!$C$3:$C$2150,$A124,'United Data'!$B$3:$B$2150,"P")&gt;0,1,0)</f>
        <v>0</v>
      </c>
      <c r="H124">
        <f>IF(COUNTIFS('United Data'!$A$3:$A$2150,H$1,'United Data'!$C$3:$C$2150,$A124,'United Data'!$B$3:$B$2150,"P")&gt;0,1,0)</f>
        <v>1</v>
      </c>
      <c r="I124">
        <f>IF(COUNTIFS('United Data'!$A$3:$A$2150,I$1,'United Data'!$C$3:$C$2150,$A124,'United Data'!$B$3:$B$2150,"P")&gt;0,1,0)</f>
        <v>1</v>
      </c>
      <c r="J124">
        <f>IF(COUNTIFS('United Data'!$A$3:$A$2150,J$1,'United Data'!$C$3:$C$2150,$A124,'United Data'!$B$3:$B$2150,"P")&gt;0,1,0)</f>
        <v>1</v>
      </c>
      <c r="K124">
        <f>IF(COUNTIFS('United Data'!$A$3:$A$2150,K$1,'United Data'!$C$3:$C$2150,$A124,'United Data'!$B$3:$B$2150,"P")&gt;0,1,0)</f>
        <v>1</v>
      </c>
      <c r="L124">
        <f>IF(COUNTIFS('United Data'!$A$3:$A$2150,L$1,'United Data'!$C$3:$C$2150,$A124,'United Data'!$B$3:$B$2150,"P")&gt;0,1,0)</f>
        <v>1</v>
      </c>
      <c r="M124">
        <f>IF(COUNTIFS('United Data'!$A$3:$A$2150,M$1,'United Data'!$C$3:$C$2150,$A124,'United Data'!$B$3:$B$2150,"P")&gt;0,1,0)</f>
        <v>1</v>
      </c>
      <c r="N124">
        <f>IF(COUNTIFS('United Data'!$A$3:$A$2150,N$1,'United Data'!$C$3:$C$2150,$A124,'United Data'!$B$3:$B$2150,"P")&gt;0,1,0)</f>
        <v>0</v>
      </c>
      <c r="O124">
        <f>IF(COUNTIFS('United Data'!$A$3:$A$2150,O$1,'United Data'!$C$3:$C$2150,$A124,'United Data'!$B$3:$B$2150,"P")&gt;0,1,0)</f>
        <v>0</v>
      </c>
      <c r="P124">
        <f>IF(COUNTIFS('United Data'!$A$3:$A$2150,P$1,'United Data'!$C$3:$C$2150,$A124,'United Data'!$B$3:$B$2150,"P")&gt;0,1,0)</f>
        <v>0</v>
      </c>
      <c r="Q124">
        <f>IF(COUNTIFS('United Data'!$A$3:$A$2150,Q$1,'United Data'!$C$3:$C$2150,$A124,'United Data'!$B$3:$B$2150,"P")&gt;0,1,0)</f>
        <v>0</v>
      </c>
      <c r="R124">
        <f>IF(COUNTIFS('United Data'!$A$3:$A$2150,R$1,'United Data'!$C$3:$C$2150,$A124,'United Data'!$B$3:$B$2150,"P")&gt;0,1,0)</f>
        <v>0</v>
      </c>
      <c r="S124">
        <f t="shared" si="2"/>
        <v>6</v>
      </c>
      <c r="T124">
        <f t="shared" si="3"/>
        <v>1</v>
      </c>
    </row>
    <row r="125" spans="1:20" x14ac:dyDescent="0.2">
      <c r="A125" t="s">
        <v>894</v>
      </c>
      <c r="B125">
        <f>IF(COUNTIFS('United Data'!$A$3:$A$2150,B$1,'United Data'!$C$3:$C$2150,$A125,'United Data'!$B$3:$B$2150,"P")&gt;0,1,0)</f>
        <v>0</v>
      </c>
      <c r="C125">
        <f>IF(COUNTIFS('United Data'!$A$3:$A$2150,C$1,'United Data'!$C$3:$C$2150,$A125,'United Data'!$B$3:$B$2150,"P")&gt;0,1,0)</f>
        <v>0</v>
      </c>
      <c r="D125">
        <f>IF(COUNTIFS('United Data'!$A$3:$A$2150,D$1,'United Data'!$C$3:$C$2150,$A125,'United Data'!$B$3:$B$2150,"P")&gt;0,1,0)</f>
        <v>0</v>
      </c>
      <c r="E125">
        <f>IF(COUNTIFS('United Data'!$A$3:$A$2150,E$1,'United Data'!$C$3:$C$2150,$A125,'United Data'!$B$3:$B$2150,"P")&gt;0,1,0)</f>
        <v>0</v>
      </c>
      <c r="F125">
        <f>IF(COUNTIFS('United Data'!$A$3:$A$2150,F$1,'United Data'!$C$3:$C$2150,$A125,'United Data'!$B$3:$B$2150,"P")&gt;0,1,0)</f>
        <v>0</v>
      </c>
      <c r="G125">
        <f>IF(COUNTIFS('United Data'!$A$3:$A$2150,G$1,'United Data'!$C$3:$C$2150,$A125,'United Data'!$B$3:$B$2150,"P")&gt;0,1,0)</f>
        <v>0</v>
      </c>
      <c r="H125">
        <f>IF(COUNTIFS('United Data'!$A$3:$A$2150,H$1,'United Data'!$C$3:$C$2150,$A125,'United Data'!$B$3:$B$2150,"P")&gt;0,1,0)</f>
        <v>0</v>
      </c>
      <c r="I125">
        <f>IF(COUNTIFS('United Data'!$A$3:$A$2150,I$1,'United Data'!$C$3:$C$2150,$A125,'United Data'!$B$3:$B$2150,"P")&gt;0,1,0)</f>
        <v>1</v>
      </c>
      <c r="J125">
        <f>IF(COUNTIFS('United Data'!$A$3:$A$2150,J$1,'United Data'!$C$3:$C$2150,$A125,'United Data'!$B$3:$B$2150,"P")&gt;0,1,0)</f>
        <v>1</v>
      </c>
      <c r="K125">
        <f>IF(COUNTIFS('United Data'!$A$3:$A$2150,K$1,'United Data'!$C$3:$C$2150,$A125,'United Data'!$B$3:$B$2150,"P")&gt;0,1,0)</f>
        <v>0</v>
      </c>
      <c r="L125">
        <f>IF(COUNTIFS('United Data'!$A$3:$A$2150,L$1,'United Data'!$C$3:$C$2150,$A125,'United Data'!$B$3:$B$2150,"P")&gt;0,1,0)</f>
        <v>0</v>
      </c>
      <c r="M125">
        <f>IF(COUNTIFS('United Data'!$A$3:$A$2150,M$1,'United Data'!$C$3:$C$2150,$A125,'United Data'!$B$3:$B$2150,"P")&gt;0,1,0)</f>
        <v>0</v>
      </c>
      <c r="N125">
        <f>IF(COUNTIFS('United Data'!$A$3:$A$2150,N$1,'United Data'!$C$3:$C$2150,$A125,'United Data'!$B$3:$B$2150,"P")&gt;0,1,0)</f>
        <v>0</v>
      </c>
      <c r="O125">
        <f>IF(COUNTIFS('United Data'!$A$3:$A$2150,O$1,'United Data'!$C$3:$C$2150,$A125,'United Data'!$B$3:$B$2150,"P")&gt;0,1,0)</f>
        <v>0</v>
      </c>
      <c r="P125">
        <f>IF(COUNTIFS('United Data'!$A$3:$A$2150,P$1,'United Data'!$C$3:$C$2150,$A125,'United Data'!$B$3:$B$2150,"P")&gt;0,1,0)</f>
        <v>0</v>
      </c>
      <c r="Q125">
        <f>IF(COUNTIFS('United Data'!$A$3:$A$2150,Q$1,'United Data'!$C$3:$C$2150,$A125,'United Data'!$B$3:$B$2150,"P")&gt;0,1,0)</f>
        <v>0</v>
      </c>
      <c r="R125">
        <f>IF(COUNTIFS('United Data'!$A$3:$A$2150,R$1,'United Data'!$C$3:$C$2150,$A125,'United Data'!$B$3:$B$2150,"P")&gt;0,1,0)</f>
        <v>0</v>
      </c>
      <c r="S125">
        <f t="shared" si="2"/>
        <v>2</v>
      </c>
      <c r="T125">
        <f t="shared" si="3"/>
        <v>1</v>
      </c>
    </row>
    <row r="126" spans="1:20" x14ac:dyDescent="0.2">
      <c r="A126" t="s">
        <v>895</v>
      </c>
      <c r="B126">
        <f>IF(COUNTIFS('United Data'!$A$3:$A$2150,B$1,'United Data'!$C$3:$C$2150,$A126,'United Data'!$B$3:$B$2150,"P")&gt;0,1,0)</f>
        <v>0</v>
      </c>
      <c r="C126">
        <f>IF(COUNTIFS('United Data'!$A$3:$A$2150,C$1,'United Data'!$C$3:$C$2150,$A126,'United Data'!$B$3:$B$2150,"P")&gt;0,1,0)</f>
        <v>0</v>
      </c>
      <c r="D126">
        <f>IF(COUNTIFS('United Data'!$A$3:$A$2150,D$1,'United Data'!$C$3:$C$2150,$A126,'United Data'!$B$3:$B$2150,"P")&gt;0,1,0)</f>
        <v>0</v>
      </c>
      <c r="E126">
        <f>IF(COUNTIFS('United Data'!$A$3:$A$2150,E$1,'United Data'!$C$3:$C$2150,$A126,'United Data'!$B$3:$B$2150,"P")&gt;0,1,0)</f>
        <v>0</v>
      </c>
      <c r="F126">
        <f>IF(COUNTIFS('United Data'!$A$3:$A$2150,F$1,'United Data'!$C$3:$C$2150,$A126,'United Data'!$B$3:$B$2150,"P")&gt;0,1,0)</f>
        <v>0</v>
      </c>
      <c r="G126">
        <f>IF(COUNTIFS('United Data'!$A$3:$A$2150,G$1,'United Data'!$C$3:$C$2150,$A126,'United Data'!$B$3:$B$2150,"P")&gt;0,1,0)</f>
        <v>0</v>
      </c>
      <c r="H126">
        <f>IF(COUNTIFS('United Data'!$A$3:$A$2150,H$1,'United Data'!$C$3:$C$2150,$A126,'United Data'!$B$3:$B$2150,"P")&gt;0,1,0)</f>
        <v>0</v>
      </c>
      <c r="I126">
        <f>IF(COUNTIFS('United Data'!$A$3:$A$2150,I$1,'United Data'!$C$3:$C$2150,$A126,'United Data'!$B$3:$B$2150,"P")&gt;0,1,0)</f>
        <v>1</v>
      </c>
      <c r="J126">
        <f>IF(COUNTIFS('United Data'!$A$3:$A$2150,J$1,'United Data'!$C$3:$C$2150,$A126,'United Data'!$B$3:$B$2150,"P")&gt;0,1,0)</f>
        <v>0</v>
      </c>
      <c r="K126">
        <f>IF(COUNTIFS('United Data'!$A$3:$A$2150,K$1,'United Data'!$C$3:$C$2150,$A126,'United Data'!$B$3:$B$2150,"P")&gt;0,1,0)</f>
        <v>0</v>
      </c>
      <c r="L126">
        <f>IF(COUNTIFS('United Data'!$A$3:$A$2150,L$1,'United Data'!$C$3:$C$2150,$A126,'United Data'!$B$3:$B$2150,"P")&gt;0,1,0)</f>
        <v>0</v>
      </c>
      <c r="M126">
        <f>IF(COUNTIFS('United Data'!$A$3:$A$2150,M$1,'United Data'!$C$3:$C$2150,$A126,'United Data'!$B$3:$B$2150,"P")&gt;0,1,0)</f>
        <v>0</v>
      </c>
      <c r="N126">
        <f>IF(COUNTIFS('United Data'!$A$3:$A$2150,N$1,'United Data'!$C$3:$C$2150,$A126,'United Data'!$B$3:$B$2150,"P")&gt;0,1,0)</f>
        <v>0</v>
      </c>
      <c r="O126">
        <f>IF(COUNTIFS('United Data'!$A$3:$A$2150,O$1,'United Data'!$C$3:$C$2150,$A126,'United Data'!$B$3:$B$2150,"P")&gt;0,1,0)</f>
        <v>0</v>
      </c>
      <c r="P126">
        <f>IF(COUNTIFS('United Data'!$A$3:$A$2150,P$1,'United Data'!$C$3:$C$2150,$A126,'United Data'!$B$3:$B$2150,"P")&gt;0,1,0)</f>
        <v>0</v>
      </c>
      <c r="Q126">
        <f>IF(COUNTIFS('United Data'!$A$3:$A$2150,Q$1,'United Data'!$C$3:$C$2150,$A126,'United Data'!$B$3:$B$2150,"P")&gt;0,1,0)</f>
        <v>0</v>
      </c>
      <c r="R126">
        <f>IF(COUNTIFS('United Data'!$A$3:$A$2150,R$1,'United Data'!$C$3:$C$2150,$A126,'United Data'!$B$3:$B$2150,"P")&gt;0,1,0)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896</v>
      </c>
      <c r="B127">
        <f>IF(COUNTIFS('United Data'!$A$3:$A$2150,B$1,'United Data'!$C$3:$C$2150,$A127,'United Data'!$B$3:$B$2150,"P")&gt;0,1,0)</f>
        <v>0</v>
      </c>
      <c r="C127">
        <f>IF(COUNTIFS('United Data'!$A$3:$A$2150,C$1,'United Data'!$C$3:$C$2150,$A127,'United Data'!$B$3:$B$2150,"P")&gt;0,1,0)</f>
        <v>0</v>
      </c>
      <c r="D127">
        <f>IF(COUNTIFS('United Data'!$A$3:$A$2150,D$1,'United Data'!$C$3:$C$2150,$A127,'United Data'!$B$3:$B$2150,"P")&gt;0,1,0)</f>
        <v>0</v>
      </c>
      <c r="E127">
        <f>IF(COUNTIFS('United Data'!$A$3:$A$2150,E$1,'United Data'!$C$3:$C$2150,$A127,'United Data'!$B$3:$B$2150,"P")&gt;0,1,0)</f>
        <v>0</v>
      </c>
      <c r="F127">
        <f>IF(COUNTIFS('United Data'!$A$3:$A$2150,F$1,'United Data'!$C$3:$C$2150,$A127,'United Data'!$B$3:$B$2150,"P")&gt;0,1,0)</f>
        <v>0</v>
      </c>
      <c r="G127">
        <f>IF(COUNTIFS('United Data'!$A$3:$A$2150,G$1,'United Data'!$C$3:$C$2150,$A127,'United Data'!$B$3:$B$2150,"P")&gt;0,1,0)</f>
        <v>0</v>
      </c>
      <c r="H127">
        <f>IF(COUNTIFS('United Data'!$A$3:$A$2150,H$1,'United Data'!$C$3:$C$2150,$A127,'United Data'!$B$3:$B$2150,"P")&gt;0,1,0)</f>
        <v>0</v>
      </c>
      <c r="I127">
        <f>IF(COUNTIFS('United Data'!$A$3:$A$2150,I$1,'United Data'!$C$3:$C$2150,$A127,'United Data'!$B$3:$B$2150,"P")&gt;0,1,0)</f>
        <v>1</v>
      </c>
      <c r="J127">
        <f>IF(COUNTIFS('United Data'!$A$3:$A$2150,J$1,'United Data'!$C$3:$C$2150,$A127,'United Data'!$B$3:$B$2150,"P")&gt;0,1,0)</f>
        <v>0</v>
      </c>
      <c r="K127">
        <f>IF(COUNTIFS('United Data'!$A$3:$A$2150,K$1,'United Data'!$C$3:$C$2150,$A127,'United Data'!$B$3:$B$2150,"P")&gt;0,1,0)</f>
        <v>0</v>
      </c>
      <c r="L127">
        <f>IF(COUNTIFS('United Data'!$A$3:$A$2150,L$1,'United Data'!$C$3:$C$2150,$A127,'United Data'!$B$3:$B$2150,"P")&gt;0,1,0)</f>
        <v>0</v>
      </c>
      <c r="M127">
        <f>IF(COUNTIFS('United Data'!$A$3:$A$2150,M$1,'United Data'!$C$3:$C$2150,$A127,'United Data'!$B$3:$B$2150,"P")&gt;0,1,0)</f>
        <v>0</v>
      </c>
      <c r="N127">
        <f>IF(COUNTIFS('United Data'!$A$3:$A$2150,N$1,'United Data'!$C$3:$C$2150,$A127,'United Data'!$B$3:$B$2150,"P")&gt;0,1,0)</f>
        <v>0</v>
      </c>
      <c r="O127">
        <f>IF(COUNTIFS('United Data'!$A$3:$A$2150,O$1,'United Data'!$C$3:$C$2150,$A127,'United Data'!$B$3:$B$2150,"P")&gt;0,1,0)</f>
        <v>0</v>
      </c>
      <c r="P127">
        <f>IF(COUNTIFS('United Data'!$A$3:$A$2150,P$1,'United Data'!$C$3:$C$2150,$A127,'United Data'!$B$3:$B$2150,"P")&gt;0,1,0)</f>
        <v>0</v>
      </c>
      <c r="Q127">
        <f>IF(COUNTIFS('United Data'!$A$3:$A$2150,Q$1,'United Data'!$C$3:$C$2150,$A127,'United Data'!$B$3:$B$2150,"P")&gt;0,1,0)</f>
        <v>0</v>
      </c>
      <c r="R127">
        <f>IF(COUNTIFS('United Data'!$A$3:$A$2150,R$1,'United Data'!$C$3:$C$2150,$A127,'United Data'!$B$3:$B$2150,"P")&gt;0,1,0)</f>
        <v>0</v>
      </c>
      <c r="S127">
        <f t="shared" si="2"/>
        <v>1</v>
      </c>
      <c r="T127">
        <f t="shared" si="3"/>
        <v>1</v>
      </c>
    </row>
    <row r="128" spans="1:20" x14ac:dyDescent="0.2">
      <c r="A128" t="s">
        <v>897</v>
      </c>
      <c r="B128">
        <f>IF(COUNTIFS('United Data'!$A$3:$A$2150,B$1,'United Data'!$C$3:$C$2150,$A128,'United Data'!$B$3:$B$2150,"P")&gt;0,1,0)</f>
        <v>0</v>
      </c>
      <c r="C128">
        <f>IF(COUNTIFS('United Data'!$A$3:$A$2150,C$1,'United Data'!$C$3:$C$2150,$A128,'United Data'!$B$3:$B$2150,"P")&gt;0,1,0)</f>
        <v>0</v>
      </c>
      <c r="D128">
        <f>IF(COUNTIFS('United Data'!$A$3:$A$2150,D$1,'United Data'!$C$3:$C$2150,$A128,'United Data'!$B$3:$B$2150,"P")&gt;0,1,0)</f>
        <v>0</v>
      </c>
      <c r="E128">
        <f>IF(COUNTIFS('United Data'!$A$3:$A$2150,E$1,'United Data'!$C$3:$C$2150,$A128,'United Data'!$B$3:$B$2150,"P")&gt;0,1,0)</f>
        <v>0</v>
      </c>
      <c r="F128">
        <f>IF(COUNTIFS('United Data'!$A$3:$A$2150,F$1,'United Data'!$C$3:$C$2150,$A128,'United Data'!$B$3:$B$2150,"P")&gt;0,1,0)</f>
        <v>0</v>
      </c>
      <c r="G128">
        <f>IF(COUNTIFS('United Data'!$A$3:$A$2150,G$1,'United Data'!$C$3:$C$2150,$A128,'United Data'!$B$3:$B$2150,"P")&gt;0,1,0)</f>
        <v>0</v>
      </c>
      <c r="H128">
        <f>IF(COUNTIFS('United Data'!$A$3:$A$2150,H$1,'United Data'!$C$3:$C$2150,$A128,'United Data'!$B$3:$B$2150,"P")&gt;0,1,0)</f>
        <v>0</v>
      </c>
      <c r="I128">
        <f>IF(COUNTIFS('United Data'!$A$3:$A$2150,I$1,'United Data'!$C$3:$C$2150,$A128,'United Data'!$B$3:$B$2150,"P")&gt;0,1,0)</f>
        <v>1</v>
      </c>
      <c r="J128">
        <f>IF(COUNTIFS('United Data'!$A$3:$A$2150,J$1,'United Data'!$C$3:$C$2150,$A128,'United Data'!$B$3:$B$2150,"P")&gt;0,1,0)</f>
        <v>0</v>
      </c>
      <c r="K128">
        <f>IF(COUNTIFS('United Data'!$A$3:$A$2150,K$1,'United Data'!$C$3:$C$2150,$A128,'United Data'!$B$3:$B$2150,"P")&gt;0,1,0)</f>
        <v>0</v>
      </c>
      <c r="L128">
        <f>IF(COUNTIFS('United Data'!$A$3:$A$2150,L$1,'United Data'!$C$3:$C$2150,$A128,'United Data'!$B$3:$B$2150,"P")&gt;0,1,0)</f>
        <v>0</v>
      </c>
      <c r="M128">
        <f>IF(COUNTIFS('United Data'!$A$3:$A$2150,M$1,'United Data'!$C$3:$C$2150,$A128,'United Data'!$B$3:$B$2150,"P")&gt;0,1,0)</f>
        <v>0</v>
      </c>
      <c r="N128">
        <f>IF(COUNTIFS('United Data'!$A$3:$A$2150,N$1,'United Data'!$C$3:$C$2150,$A128,'United Data'!$B$3:$B$2150,"P")&gt;0,1,0)</f>
        <v>0</v>
      </c>
      <c r="O128">
        <f>IF(COUNTIFS('United Data'!$A$3:$A$2150,O$1,'United Data'!$C$3:$C$2150,$A128,'United Data'!$B$3:$B$2150,"P")&gt;0,1,0)</f>
        <v>0</v>
      </c>
      <c r="P128">
        <f>IF(COUNTIFS('United Data'!$A$3:$A$2150,P$1,'United Data'!$C$3:$C$2150,$A128,'United Data'!$B$3:$B$2150,"P")&gt;0,1,0)</f>
        <v>0</v>
      </c>
      <c r="Q128">
        <f>IF(COUNTIFS('United Data'!$A$3:$A$2150,Q$1,'United Data'!$C$3:$C$2150,$A128,'United Data'!$B$3:$B$2150,"P")&gt;0,1,0)</f>
        <v>0</v>
      </c>
      <c r="R128">
        <f>IF(COUNTIFS('United Data'!$A$3:$A$2150,R$1,'United Data'!$C$3:$C$2150,$A128,'United Data'!$B$3:$B$2150,"P")&gt;0,1,0)</f>
        <v>0</v>
      </c>
      <c r="S128">
        <f t="shared" si="2"/>
        <v>1</v>
      </c>
      <c r="T128">
        <f t="shared" si="3"/>
        <v>1</v>
      </c>
    </row>
    <row r="129" spans="1:20" x14ac:dyDescent="0.2">
      <c r="A129" t="s">
        <v>898</v>
      </c>
      <c r="B129">
        <f>IF(COUNTIFS('United Data'!$A$3:$A$2150,B$1,'United Data'!$C$3:$C$2150,$A129,'United Data'!$B$3:$B$2150,"P")&gt;0,1,0)</f>
        <v>0</v>
      </c>
      <c r="C129">
        <f>IF(COUNTIFS('United Data'!$A$3:$A$2150,C$1,'United Data'!$C$3:$C$2150,$A129,'United Data'!$B$3:$B$2150,"P")&gt;0,1,0)</f>
        <v>0</v>
      </c>
      <c r="D129">
        <f>IF(COUNTIFS('United Data'!$A$3:$A$2150,D$1,'United Data'!$C$3:$C$2150,$A129,'United Data'!$B$3:$B$2150,"P")&gt;0,1,0)</f>
        <v>0</v>
      </c>
      <c r="E129">
        <f>IF(COUNTIFS('United Data'!$A$3:$A$2150,E$1,'United Data'!$C$3:$C$2150,$A129,'United Data'!$B$3:$B$2150,"P")&gt;0,1,0)</f>
        <v>0</v>
      </c>
      <c r="F129">
        <f>IF(COUNTIFS('United Data'!$A$3:$A$2150,F$1,'United Data'!$C$3:$C$2150,$A129,'United Data'!$B$3:$B$2150,"P")&gt;0,1,0)</f>
        <v>0</v>
      </c>
      <c r="G129">
        <f>IF(COUNTIFS('United Data'!$A$3:$A$2150,G$1,'United Data'!$C$3:$C$2150,$A129,'United Data'!$B$3:$B$2150,"P")&gt;0,1,0)</f>
        <v>0</v>
      </c>
      <c r="H129">
        <f>IF(COUNTIFS('United Data'!$A$3:$A$2150,H$1,'United Data'!$C$3:$C$2150,$A129,'United Data'!$B$3:$B$2150,"P")&gt;0,1,0)</f>
        <v>0</v>
      </c>
      <c r="I129">
        <f>IF(COUNTIFS('United Data'!$A$3:$A$2150,I$1,'United Data'!$C$3:$C$2150,$A129,'United Data'!$B$3:$B$2150,"P")&gt;0,1,0)</f>
        <v>1</v>
      </c>
      <c r="J129">
        <f>IF(COUNTIFS('United Data'!$A$3:$A$2150,J$1,'United Data'!$C$3:$C$2150,$A129,'United Data'!$B$3:$B$2150,"P")&gt;0,1,0)</f>
        <v>0</v>
      </c>
      <c r="K129">
        <f>IF(COUNTIFS('United Data'!$A$3:$A$2150,K$1,'United Data'!$C$3:$C$2150,$A129,'United Data'!$B$3:$B$2150,"P")&gt;0,1,0)</f>
        <v>0</v>
      </c>
      <c r="L129">
        <f>IF(COUNTIFS('United Data'!$A$3:$A$2150,L$1,'United Data'!$C$3:$C$2150,$A129,'United Data'!$B$3:$B$2150,"P")&gt;0,1,0)</f>
        <v>0</v>
      </c>
      <c r="M129">
        <f>IF(COUNTIFS('United Data'!$A$3:$A$2150,M$1,'United Data'!$C$3:$C$2150,$A129,'United Data'!$B$3:$B$2150,"P")&gt;0,1,0)</f>
        <v>0</v>
      </c>
      <c r="N129">
        <f>IF(COUNTIFS('United Data'!$A$3:$A$2150,N$1,'United Data'!$C$3:$C$2150,$A129,'United Data'!$B$3:$B$2150,"P")&gt;0,1,0)</f>
        <v>0</v>
      </c>
      <c r="O129">
        <f>IF(COUNTIFS('United Data'!$A$3:$A$2150,O$1,'United Data'!$C$3:$C$2150,$A129,'United Data'!$B$3:$B$2150,"P")&gt;0,1,0)</f>
        <v>0</v>
      </c>
      <c r="P129">
        <f>IF(COUNTIFS('United Data'!$A$3:$A$2150,P$1,'United Data'!$C$3:$C$2150,$A129,'United Data'!$B$3:$B$2150,"P")&gt;0,1,0)</f>
        <v>0</v>
      </c>
      <c r="Q129">
        <f>IF(COUNTIFS('United Data'!$A$3:$A$2150,Q$1,'United Data'!$C$3:$C$2150,$A129,'United Data'!$B$3:$B$2150,"P")&gt;0,1,0)</f>
        <v>0</v>
      </c>
      <c r="R129">
        <f>IF(COUNTIFS('United Data'!$A$3:$A$2150,R$1,'United Data'!$C$3:$C$2150,$A129,'United Data'!$B$3:$B$2150,"P")&gt;0,1,0)</f>
        <v>0</v>
      </c>
      <c r="S129">
        <f t="shared" si="2"/>
        <v>1</v>
      </c>
      <c r="T129">
        <f t="shared" si="3"/>
        <v>1</v>
      </c>
    </row>
    <row r="130" spans="1:20" x14ac:dyDescent="0.2">
      <c r="A130" t="s">
        <v>899</v>
      </c>
      <c r="B130">
        <f>IF(COUNTIFS('United Data'!$A$3:$A$2150,B$1,'United Data'!$C$3:$C$2150,$A130,'United Data'!$B$3:$B$2150,"P")&gt;0,1,0)</f>
        <v>0</v>
      </c>
      <c r="C130">
        <f>IF(COUNTIFS('United Data'!$A$3:$A$2150,C$1,'United Data'!$C$3:$C$2150,$A130,'United Data'!$B$3:$B$2150,"P")&gt;0,1,0)</f>
        <v>0</v>
      </c>
      <c r="D130">
        <f>IF(COUNTIFS('United Data'!$A$3:$A$2150,D$1,'United Data'!$C$3:$C$2150,$A130,'United Data'!$B$3:$B$2150,"P")&gt;0,1,0)</f>
        <v>0</v>
      </c>
      <c r="E130">
        <f>IF(COUNTIFS('United Data'!$A$3:$A$2150,E$1,'United Data'!$C$3:$C$2150,$A130,'United Data'!$B$3:$B$2150,"P")&gt;0,1,0)</f>
        <v>0</v>
      </c>
      <c r="F130">
        <f>IF(COUNTIFS('United Data'!$A$3:$A$2150,F$1,'United Data'!$C$3:$C$2150,$A130,'United Data'!$B$3:$B$2150,"P")&gt;0,1,0)</f>
        <v>0</v>
      </c>
      <c r="G130">
        <f>IF(COUNTIFS('United Data'!$A$3:$A$2150,G$1,'United Data'!$C$3:$C$2150,$A130,'United Data'!$B$3:$B$2150,"P")&gt;0,1,0)</f>
        <v>0</v>
      </c>
      <c r="H130">
        <f>IF(COUNTIFS('United Data'!$A$3:$A$2150,H$1,'United Data'!$C$3:$C$2150,$A130,'United Data'!$B$3:$B$2150,"P")&gt;0,1,0)</f>
        <v>0</v>
      </c>
      <c r="I130">
        <f>IF(COUNTIFS('United Data'!$A$3:$A$2150,I$1,'United Data'!$C$3:$C$2150,$A130,'United Data'!$B$3:$B$2150,"P")&gt;0,1,0)</f>
        <v>1</v>
      </c>
      <c r="J130">
        <f>IF(COUNTIFS('United Data'!$A$3:$A$2150,J$1,'United Data'!$C$3:$C$2150,$A130,'United Data'!$B$3:$B$2150,"P")&gt;0,1,0)</f>
        <v>1</v>
      </c>
      <c r="K130">
        <f>IF(COUNTIFS('United Data'!$A$3:$A$2150,K$1,'United Data'!$C$3:$C$2150,$A130,'United Data'!$B$3:$B$2150,"P")&gt;0,1,0)</f>
        <v>1</v>
      </c>
      <c r="L130">
        <f>IF(COUNTIFS('United Data'!$A$3:$A$2150,L$1,'United Data'!$C$3:$C$2150,$A130,'United Data'!$B$3:$B$2150,"P")&gt;0,1,0)</f>
        <v>1</v>
      </c>
      <c r="M130">
        <f>IF(COUNTIFS('United Data'!$A$3:$A$2150,M$1,'United Data'!$C$3:$C$2150,$A130,'United Data'!$B$3:$B$2150,"P")&gt;0,1,0)</f>
        <v>1</v>
      </c>
      <c r="N130">
        <f>IF(COUNTIFS('United Data'!$A$3:$A$2150,N$1,'United Data'!$C$3:$C$2150,$A130,'United Data'!$B$3:$B$2150,"P")&gt;0,1,0)</f>
        <v>1</v>
      </c>
      <c r="O130">
        <f>IF(COUNTIFS('United Data'!$A$3:$A$2150,O$1,'United Data'!$C$3:$C$2150,$A130,'United Data'!$B$3:$B$2150,"P")&gt;0,1,0)</f>
        <v>0</v>
      </c>
      <c r="P130">
        <f>IF(COUNTIFS('United Data'!$A$3:$A$2150,P$1,'United Data'!$C$3:$C$2150,$A130,'United Data'!$B$3:$B$2150,"P")&gt;0,1,0)</f>
        <v>0</v>
      </c>
      <c r="Q130">
        <f>IF(COUNTIFS('United Data'!$A$3:$A$2150,Q$1,'United Data'!$C$3:$C$2150,$A130,'United Data'!$B$3:$B$2150,"P")&gt;0,1,0)</f>
        <v>0</v>
      </c>
      <c r="R130">
        <f>IF(COUNTIFS('United Data'!$A$3:$A$2150,R$1,'United Data'!$C$3:$C$2150,$A130,'United Data'!$B$3:$B$2150,"P")&gt;0,1,0)</f>
        <v>0</v>
      </c>
      <c r="S130">
        <f t="shared" ref="S130:S193" si="4">SUM(B130:R130)</f>
        <v>6</v>
      </c>
      <c r="T130">
        <f t="shared" ref="T130:T193" si="5">B130+SUMPRODUCT(--(C130:R130&gt;B130:Q130))</f>
        <v>1</v>
      </c>
    </row>
    <row r="131" spans="1:20" x14ac:dyDescent="0.2">
      <c r="A131" t="s">
        <v>900</v>
      </c>
      <c r="B131">
        <f>IF(COUNTIFS('United Data'!$A$3:$A$2150,B$1,'United Data'!$C$3:$C$2150,$A131,'United Data'!$B$3:$B$2150,"P")&gt;0,1,0)</f>
        <v>0</v>
      </c>
      <c r="C131">
        <f>IF(COUNTIFS('United Data'!$A$3:$A$2150,C$1,'United Data'!$C$3:$C$2150,$A131,'United Data'!$B$3:$B$2150,"P")&gt;0,1,0)</f>
        <v>0</v>
      </c>
      <c r="D131">
        <f>IF(COUNTIFS('United Data'!$A$3:$A$2150,D$1,'United Data'!$C$3:$C$2150,$A131,'United Data'!$B$3:$B$2150,"P")&gt;0,1,0)</f>
        <v>0</v>
      </c>
      <c r="E131">
        <f>IF(COUNTIFS('United Data'!$A$3:$A$2150,E$1,'United Data'!$C$3:$C$2150,$A131,'United Data'!$B$3:$B$2150,"P")&gt;0,1,0)</f>
        <v>0</v>
      </c>
      <c r="F131">
        <f>IF(COUNTIFS('United Data'!$A$3:$A$2150,F$1,'United Data'!$C$3:$C$2150,$A131,'United Data'!$B$3:$B$2150,"P")&gt;0,1,0)</f>
        <v>0</v>
      </c>
      <c r="G131">
        <f>IF(COUNTIFS('United Data'!$A$3:$A$2150,G$1,'United Data'!$C$3:$C$2150,$A131,'United Data'!$B$3:$B$2150,"P")&gt;0,1,0)</f>
        <v>0</v>
      </c>
      <c r="H131">
        <f>IF(COUNTIFS('United Data'!$A$3:$A$2150,H$1,'United Data'!$C$3:$C$2150,$A131,'United Data'!$B$3:$B$2150,"P")&gt;0,1,0)</f>
        <v>0</v>
      </c>
      <c r="I131">
        <f>IF(COUNTIFS('United Data'!$A$3:$A$2150,I$1,'United Data'!$C$3:$C$2150,$A131,'United Data'!$B$3:$B$2150,"P")&gt;0,1,0)</f>
        <v>1</v>
      </c>
      <c r="J131">
        <f>IF(COUNTIFS('United Data'!$A$3:$A$2150,J$1,'United Data'!$C$3:$C$2150,$A131,'United Data'!$B$3:$B$2150,"P")&gt;0,1,0)</f>
        <v>0</v>
      </c>
      <c r="K131">
        <f>IF(COUNTIFS('United Data'!$A$3:$A$2150,K$1,'United Data'!$C$3:$C$2150,$A131,'United Data'!$B$3:$B$2150,"P")&gt;0,1,0)</f>
        <v>1</v>
      </c>
      <c r="L131">
        <f>IF(COUNTIFS('United Data'!$A$3:$A$2150,L$1,'United Data'!$C$3:$C$2150,$A131,'United Data'!$B$3:$B$2150,"P")&gt;0,1,0)</f>
        <v>0</v>
      </c>
      <c r="M131">
        <f>IF(COUNTIFS('United Data'!$A$3:$A$2150,M$1,'United Data'!$C$3:$C$2150,$A131,'United Data'!$B$3:$B$2150,"P")&gt;0,1,0)</f>
        <v>0</v>
      </c>
      <c r="N131">
        <f>IF(COUNTIFS('United Data'!$A$3:$A$2150,N$1,'United Data'!$C$3:$C$2150,$A131,'United Data'!$B$3:$B$2150,"P")&gt;0,1,0)</f>
        <v>0</v>
      </c>
      <c r="O131">
        <f>IF(COUNTIFS('United Data'!$A$3:$A$2150,O$1,'United Data'!$C$3:$C$2150,$A131,'United Data'!$B$3:$B$2150,"P")&gt;0,1,0)</f>
        <v>0</v>
      </c>
      <c r="P131">
        <f>IF(COUNTIFS('United Data'!$A$3:$A$2150,P$1,'United Data'!$C$3:$C$2150,$A131,'United Data'!$B$3:$B$2150,"P")&gt;0,1,0)</f>
        <v>0</v>
      </c>
      <c r="Q131">
        <f>IF(COUNTIFS('United Data'!$A$3:$A$2150,Q$1,'United Data'!$C$3:$C$2150,$A131,'United Data'!$B$3:$B$2150,"P")&gt;0,1,0)</f>
        <v>0</v>
      </c>
      <c r="R131">
        <f>IF(COUNTIFS('United Data'!$A$3:$A$2150,R$1,'United Data'!$C$3:$C$2150,$A131,'United Data'!$B$3:$B$2150,"P")&gt;0,1,0)</f>
        <v>0</v>
      </c>
      <c r="S131">
        <f t="shared" si="4"/>
        <v>2</v>
      </c>
      <c r="T131">
        <f t="shared" si="5"/>
        <v>2</v>
      </c>
    </row>
    <row r="132" spans="1:20" x14ac:dyDescent="0.2">
      <c r="A132" t="s">
        <v>769</v>
      </c>
      <c r="B132">
        <f>IF(COUNTIFS('United Data'!$A$3:$A$2150,B$1,'United Data'!$C$3:$C$2150,$A132,'United Data'!$B$3:$B$2150,"P")&gt;0,1,0)</f>
        <v>0</v>
      </c>
      <c r="C132">
        <f>IF(COUNTIFS('United Data'!$A$3:$A$2150,C$1,'United Data'!$C$3:$C$2150,$A132,'United Data'!$B$3:$B$2150,"P")&gt;0,1,0)</f>
        <v>0</v>
      </c>
      <c r="D132">
        <f>IF(COUNTIFS('United Data'!$A$3:$A$2150,D$1,'United Data'!$C$3:$C$2150,$A132,'United Data'!$B$3:$B$2150,"P")&gt;0,1,0)</f>
        <v>0</v>
      </c>
      <c r="E132">
        <f>IF(COUNTIFS('United Data'!$A$3:$A$2150,E$1,'United Data'!$C$3:$C$2150,$A132,'United Data'!$B$3:$B$2150,"P")&gt;0,1,0)</f>
        <v>0</v>
      </c>
      <c r="F132">
        <f>IF(COUNTIFS('United Data'!$A$3:$A$2150,F$1,'United Data'!$C$3:$C$2150,$A132,'United Data'!$B$3:$B$2150,"P")&gt;0,1,0)</f>
        <v>0</v>
      </c>
      <c r="G132">
        <f>IF(COUNTIFS('United Data'!$A$3:$A$2150,G$1,'United Data'!$C$3:$C$2150,$A132,'United Data'!$B$3:$B$2150,"P")&gt;0,1,0)</f>
        <v>0</v>
      </c>
      <c r="H132">
        <f>IF(COUNTIFS('United Data'!$A$3:$A$2150,H$1,'United Data'!$C$3:$C$2150,$A132,'United Data'!$B$3:$B$2150,"P")&gt;0,1,0)</f>
        <v>0</v>
      </c>
      <c r="I132">
        <f>IF(COUNTIFS('United Data'!$A$3:$A$2150,I$1,'United Data'!$C$3:$C$2150,$A132,'United Data'!$B$3:$B$2150,"P")&gt;0,1,0)</f>
        <v>1</v>
      </c>
      <c r="J132">
        <f>IF(COUNTIFS('United Data'!$A$3:$A$2150,J$1,'United Data'!$C$3:$C$2150,$A132,'United Data'!$B$3:$B$2150,"P")&gt;0,1,0)</f>
        <v>1</v>
      </c>
      <c r="K132">
        <f>IF(COUNTIFS('United Data'!$A$3:$A$2150,K$1,'United Data'!$C$3:$C$2150,$A132,'United Data'!$B$3:$B$2150,"P")&gt;0,1,0)</f>
        <v>0</v>
      </c>
      <c r="L132">
        <f>IF(COUNTIFS('United Data'!$A$3:$A$2150,L$1,'United Data'!$C$3:$C$2150,$A132,'United Data'!$B$3:$B$2150,"P")&gt;0,1,0)</f>
        <v>1</v>
      </c>
      <c r="M132">
        <f>IF(COUNTIFS('United Data'!$A$3:$A$2150,M$1,'United Data'!$C$3:$C$2150,$A132,'United Data'!$B$3:$B$2150,"P")&gt;0,1,0)</f>
        <v>1</v>
      </c>
      <c r="N132">
        <f>IF(COUNTIFS('United Data'!$A$3:$A$2150,N$1,'United Data'!$C$3:$C$2150,$A132,'United Data'!$B$3:$B$2150,"P")&gt;0,1,0)</f>
        <v>0</v>
      </c>
      <c r="O132">
        <f>IF(COUNTIFS('United Data'!$A$3:$A$2150,O$1,'United Data'!$C$3:$C$2150,$A132,'United Data'!$B$3:$B$2150,"P")&gt;0,1,0)</f>
        <v>0</v>
      </c>
      <c r="P132">
        <f>IF(COUNTIFS('United Data'!$A$3:$A$2150,P$1,'United Data'!$C$3:$C$2150,$A132,'United Data'!$B$3:$B$2150,"P")&gt;0,1,0)</f>
        <v>0</v>
      </c>
      <c r="Q132">
        <f>IF(COUNTIFS('United Data'!$A$3:$A$2150,Q$1,'United Data'!$C$3:$C$2150,$A132,'United Data'!$B$3:$B$2150,"P")&gt;0,1,0)</f>
        <v>0</v>
      </c>
      <c r="R132">
        <f>IF(COUNTIFS('United Data'!$A$3:$A$2150,R$1,'United Data'!$C$3:$C$2150,$A132,'United Data'!$B$3:$B$2150,"P")&gt;0,1,0)</f>
        <v>0</v>
      </c>
      <c r="S132">
        <f t="shared" si="4"/>
        <v>4</v>
      </c>
      <c r="T132">
        <f t="shared" si="5"/>
        <v>2</v>
      </c>
    </row>
    <row r="133" spans="1:20" x14ac:dyDescent="0.2">
      <c r="A133" t="s">
        <v>901</v>
      </c>
      <c r="B133">
        <f>IF(COUNTIFS('United Data'!$A$3:$A$2150,B$1,'United Data'!$C$3:$C$2150,$A133,'United Data'!$B$3:$B$2150,"P")&gt;0,1,0)</f>
        <v>0</v>
      </c>
      <c r="C133">
        <f>IF(COUNTIFS('United Data'!$A$3:$A$2150,C$1,'United Data'!$C$3:$C$2150,$A133,'United Data'!$B$3:$B$2150,"P")&gt;0,1,0)</f>
        <v>0</v>
      </c>
      <c r="D133">
        <f>IF(COUNTIFS('United Data'!$A$3:$A$2150,D$1,'United Data'!$C$3:$C$2150,$A133,'United Data'!$B$3:$B$2150,"P")&gt;0,1,0)</f>
        <v>0</v>
      </c>
      <c r="E133">
        <f>IF(COUNTIFS('United Data'!$A$3:$A$2150,E$1,'United Data'!$C$3:$C$2150,$A133,'United Data'!$B$3:$B$2150,"P")&gt;0,1,0)</f>
        <v>0</v>
      </c>
      <c r="F133">
        <f>IF(COUNTIFS('United Data'!$A$3:$A$2150,F$1,'United Data'!$C$3:$C$2150,$A133,'United Data'!$B$3:$B$2150,"P")&gt;0,1,0)</f>
        <v>0</v>
      </c>
      <c r="G133">
        <f>IF(COUNTIFS('United Data'!$A$3:$A$2150,G$1,'United Data'!$C$3:$C$2150,$A133,'United Data'!$B$3:$B$2150,"P")&gt;0,1,0)</f>
        <v>0</v>
      </c>
      <c r="H133">
        <f>IF(COUNTIFS('United Data'!$A$3:$A$2150,H$1,'United Data'!$C$3:$C$2150,$A133,'United Data'!$B$3:$B$2150,"P")&gt;0,1,0)</f>
        <v>0</v>
      </c>
      <c r="I133">
        <f>IF(COUNTIFS('United Data'!$A$3:$A$2150,I$1,'United Data'!$C$3:$C$2150,$A133,'United Data'!$B$3:$B$2150,"P")&gt;0,1,0)</f>
        <v>1</v>
      </c>
      <c r="J133">
        <f>IF(COUNTIFS('United Data'!$A$3:$A$2150,J$1,'United Data'!$C$3:$C$2150,$A133,'United Data'!$B$3:$B$2150,"P")&gt;0,1,0)</f>
        <v>0</v>
      </c>
      <c r="K133">
        <f>IF(COUNTIFS('United Data'!$A$3:$A$2150,K$1,'United Data'!$C$3:$C$2150,$A133,'United Data'!$B$3:$B$2150,"P")&gt;0,1,0)</f>
        <v>0</v>
      </c>
      <c r="L133">
        <f>IF(COUNTIFS('United Data'!$A$3:$A$2150,L$1,'United Data'!$C$3:$C$2150,$A133,'United Data'!$B$3:$B$2150,"P")&gt;0,1,0)</f>
        <v>0</v>
      </c>
      <c r="M133">
        <f>IF(COUNTIFS('United Data'!$A$3:$A$2150,M$1,'United Data'!$C$3:$C$2150,$A133,'United Data'!$B$3:$B$2150,"P")&gt;0,1,0)</f>
        <v>0</v>
      </c>
      <c r="N133">
        <f>IF(COUNTIFS('United Data'!$A$3:$A$2150,N$1,'United Data'!$C$3:$C$2150,$A133,'United Data'!$B$3:$B$2150,"P")&gt;0,1,0)</f>
        <v>0</v>
      </c>
      <c r="O133">
        <f>IF(COUNTIFS('United Data'!$A$3:$A$2150,O$1,'United Data'!$C$3:$C$2150,$A133,'United Data'!$B$3:$B$2150,"P")&gt;0,1,0)</f>
        <v>0</v>
      </c>
      <c r="P133">
        <f>IF(COUNTIFS('United Data'!$A$3:$A$2150,P$1,'United Data'!$C$3:$C$2150,$A133,'United Data'!$B$3:$B$2150,"P")&gt;0,1,0)</f>
        <v>0</v>
      </c>
      <c r="Q133">
        <f>IF(COUNTIFS('United Data'!$A$3:$A$2150,Q$1,'United Data'!$C$3:$C$2150,$A133,'United Data'!$B$3:$B$2150,"P")&gt;0,1,0)</f>
        <v>0</v>
      </c>
      <c r="R133">
        <f>IF(COUNTIFS('United Data'!$A$3:$A$2150,R$1,'United Data'!$C$3:$C$2150,$A133,'United Data'!$B$3:$B$2150,"P")&gt;0,1,0)</f>
        <v>0</v>
      </c>
      <c r="S133">
        <f t="shared" si="4"/>
        <v>1</v>
      </c>
      <c r="T133">
        <f t="shared" si="5"/>
        <v>1</v>
      </c>
    </row>
    <row r="134" spans="1:20" x14ac:dyDescent="0.2">
      <c r="A134" t="s">
        <v>902</v>
      </c>
      <c r="B134">
        <f>IF(COUNTIFS('United Data'!$A$3:$A$2150,B$1,'United Data'!$C$3:$C$2150,$A134,'United Data'!$B$3:$B$2150,"P")&gt;0,1,0)</f>
        <v>0</v>
      </c>
      <c r="C134">
        <f>IF(COUNTIFS('United Data'!$A$3:$A$2150,C$1,'United Data'!$C$3:$C$2150,$A134,'United Data'!$B$3:$B$2150,"P")&gt;0,1,0)</f>
        <v>0</v>
      </c>
      <c r="D134">
        <f>IF(COUNTIFS('United Data'!$A$3:$A$2150,D$1,'United Data'!$C$3:$C$2150,$A134,'United Data'!$B$3:$B$2150,"P")&gt;0,1,0)</f>
        <v>0</v>
      </c>
      <c r="E134">
        <f>IF(COUNTIFS('United Data'!$A$3:$A$2150,E$1,'United Data'!$C$3:$C$2150,$A134,'United Data'!$B$3:$B$2150,"P")&gt;0,1,0)</f>
        <v>0</v>
      </c>
      <c r="F134">
        <f>IF(COUNTIFS('United Data'!$A$3:$A$2150,F$1,'United Data'!$C$3:$C$2150,$A134,'United Data'!$B$3:$B$2150,"P")&gt;0,1,0)</f>
        <v>0</v>
      </c>
      <c r="G134">
        <f>IF(COUNTIFS('United Data'!$A$3:$A$2150,G$1,'United Data'!$C$3:$C$2150,$A134,'United Data'!$B$3:$B$2150,"P")&gt;0,1,0)</f>
        <v>0</v>
      </c>
      <c r="H134">
        <f>IF(COUNTIFS('United Data'!$A$3:$A$2150,H$1,'United Data'!$C$3:$C$2150,$A134,'United Data'!$B$3:$B$2150,"P")&gt;0,1,0)</f>
        <v>0</v>
      </c>
      <c r="I134">
        <f>IF(COUNTIFS('United Data'!$A$3:$A$2150,I$1,'United Data'!$C$3:$C$2150,$A134,'United Data'!$B$3:$B$2150,"P")&gt;0,1,0)</f>
        <v>1</v>
      </c>
      <c r="J134">
        <f>IF(COUNTIFS('United Data'!$A$3:$A$2150,J$1,'United Data'!$C$3:$C$2150,$A134,'United Data'!$B$3:$B$2150,"P")&gt;0,1,0)</f>
        <v>0</v>
      </c>
      <c r="K134">
        <f>IF(COUNTIFS('United Data'!$A$3:$A$2150,K$1,'United Data'!$C$3:$C$2150,$A134,'United Data'!$B$3:$B$2150,"P")&gt;0,1,0)</f>
        <v>0</v>
      </c>
      <c r="L134">
        <f>IF(COUNTIFS('United Data'!$A$3:$A$2150,L$1,'United Data'!$C$3:$C$2150,$A134,'United Data'!$B$3:$B$2150,"P")&gt;0,1,0)</f>
        <v>0</v>
      </c>
      <c r="M134">
        <f>IF(COUNTIFS('United Data'!$A$3:$A$2150,M$1,'United Data'!$C$3:$C$2150,$A134,'United Data'!$B$3:$B$2150,"P")&gt;0,1,0)</f>
        <v>0</v>
      </c>
      <c r="N134">
        <f>IF(COUNTIFS('United Data'!$A$3:$A$2150,N$1,'United Data'!$C$3:$C$2150,$A134,'United Data'!$B$3:$B$2150,"P")&gt;0,1,0)</f>
        <v>0</v>
      </c>
      <c r="O134">
        <f>IF(COUNTIFS('United Data'!$A$3:$A$2150,O$1,'United Data'!$C$3:$C$2150,$A134,'United Data'!$B$3:$B$2150,"P")&gt;0,1,0)</f>
        <v>0</v>
      </c>
      <c r="P134">
        <f>IF(COUNTIFS('United Data'!$A$3:$A$2150,P$1,'United Data'!$C$3:$C$2150,$A134,'United Data'!$B$3:$B$2150,"P")&gt;0,1,0)</f>
        <v>0</v>
      </c>
      <c r="Q134">
        <f>IF(COUNTIFS('United Data'!$A$3:$A$2150,Q$1,'United Data'!$C$3:$C$2150,$A134,'United Data'!$B$3:$B$2150,"P")&gt;0,1,0)</f>
        <v>0</v>
      </c>
      <c r="R134">
        <f>IF(COUNTIFS('United Data'!$A$3:$A$2150,R$1,'United Data'!$C$3:$C$2150,$A134,'United Data'!$B$3:$B$2150,"P")&gt;0,1,0)</f>
        <v>0</v>
      </c>
      <c r="S134">
        <f t="shared" si="4"/>
        <v>1</v>
      </c>
      <c r="T134">
        <f t="shared" si="5"/>
        <v>1</v>
      </c>
    </row>
    <row r="135" spans="1:20" x14ac:dyDescent="0.2">
      <c r="A135" t="s">
        <v>903</v>
      </c>
      <c r="B135">
        <f>IF(COUNTIFS('United Data'!$A$3:$A$2150,B$1,'United Data'!$C$3:$C$2150,$A135,'United Data'!$B$3:$B$2150,"P")&gt;0,1,0)</f>
        <v>0</v>
      </c>
      <c r="C135">
        <f>IF(COUNTIFS('United Data'!$A$3:$A$2150,C$1,'United Data'!$C$3:$C$2150,$A135,'United Data'!$B$3:$B$2150,"P")&gt;0,1,0)</f>
        <v>0</v>
      </c>
      <c r="D135">
        <f>IF(COUNTIFS('United Data'!$A$3:$A$2150,D$1,'United Data'!$C$3:$C$2150,$A135,'United Data'!$B$3:$B$2150,"P")&gt;0,1,0)</f>
        <v>0</v>
      </c>
      <c r="E135">
        <f>IF(COUNTIFS('United Data'!$A$3:$A$2150,E$1,'United Data'!$C$3:$C$2150,$A135,'United Data'!$B$3:$B$2150,"P")&gt;0,1,0)</f>
        <v>0</v>
      </c>
      <c r="F135">
        <f>IF(COUNTIFS('United Data'!$A$3:$A$2150,F$1,'United Data'!$C$3:$C$2150,$A135,'United Data'!$B$3:$B$2150,"P")&gt;0,1,0)</f>
        <v>0</v>
      </c>
      <c r="G135">
        <f>IF(COUNTIFS('United Data'!$A$3:$A$2150,G$1,'United Data'!$C$3:$C$2150,$A135,'United Data'!$B$3:$B$2150,"P")&gt;0,1,0)</f>
        <v>0</v>
      </c>
      <c r="H135">
        <f>IF(COUNTIFS('United Data'!$A$3:$A$2150,H$1,'United Data'!$C$3:$C$2150,$A135,'United Data'!$B$3:$B$2150,"P")&gt;0,1,0)</f>
        <v>0</v>
      </c>
      <c r="I135">
        <f>IF(COUNTIFS('United Data'!$A$3:$A$2150,I$1,'United Data'!$C$3:$C$2150,$A135,'United Data'!$B$3:$B$2150,"P")&gt;0,1,0)</f>
        <v>1</v>
      </c>
      <c r="J135">
        <f>IF(COUNTIFS('United Data'!$A$3:$A$2150,J$1,'United Data'!$C$3:$C$2150,$A135,'United Data'!$B$3:$B$2150,"P")&gt;0,1,0)</f>
        <v>0</v>
      </c>
      <c r="K135">
        <f>IF(COUNTIFS('United Data'!$A$3:$A$2150,K$1,'United Data'!$C$3:$C$2150,$A135,'United Data'!$B$3:$B$2150,"P")&gt;0,1,0)</f>
        <v>1</v>
      </c>
      <c r="L135">
        <f>IF(COUNTIFS('United Data'!$A$3:$A$2150,L$1,'United Data'!$C$3:$C$2150,$A135,'United Data'!$B$3:$B$2150,"P")&gt;0,1,0)</f>
        <v>0</v>
      </c>
      <c r="M135">
        <f>IF(COUNTIFS('United Data'!$A$3:$A$2150,M$1,'United Data'!$C$3:$C$2150,$A135,'United Data'!$B$3:$B$2150,"P")&gt;0,1,0)</f>
        <v>1</v>
      </c>
      <c r="N135">
        <f>IF(COUNTIFS('United Data'!$A$3:$A$2150,N$1,'United Data'!$C$3:$C$2150,$A135,'United Data'!$B$3:$B$2150,"P")&gt;0,1,0)</f>
        <v>0</v>
      </c>
      <c r="O135">
        <f>IF(COUNTIFS('United Data'!$A$3:$A$2150,O$1,'United Data'!$C$3:$C$2150,$A135,'United Data'!$B$3:$B$2150,"P")&gt;0,1,0)</f>
        <v>0</v>
      </c>
      <c r="P135">
        <f>IF(COUNTIFS('United Data'!$A$3:$A$2150,P$1,'United Data'!$C$3:$C$2150,$A135,'United Data'!$B$3:$B$2150,"P")&gt;0,1,0)</f>
        <v>0</v>
      </c>
      <c r="Q135">
        <f>IF(COUNTIFS('United Data'!$A$3:$A$2150,Q$1,'United Data'!$C$3:$C$2150,$A135,'United Data'!$B$3:$B$2150,"P")&gt;0,1,0)</f>
        <v>0</v>
      </c>
      <c r="R135">
        <f>IF(COUNTIFS('United Data'!$A$3:$A$2150,R$1,'United Data'!$C$3:$C$2150,$A135,'United Data'!$B$3:$B$2150,"P")&gt;0,1,0)</f>
        <v>0</v>
      </c>
      <c r="S135">
        <f t="shared" si="4"/>
        <v>3</v>
      </c>
      <c r="T135">
        <f t="shared" si="5"/>
        <v>3</v>
      </c>
    </row>
    <row r="136" spans="1:20" x14ac:dyDescent="0.2">
      <c r="A136" t="s">
        <v>904</v>
      </c>
      <c r="B136">
        <f>IF(COUNTIFS('United Data'!$A$3:$A$2150,B$1,'United Data'!$C$3:$C$2150,$A136,'United Data'!$B$3:$B$2150,"P")&gt;0,1,0)</f>
        <v>0</v>
      </c>
      <c r="C136">
        <f>IF(COUNTIFS('United Data'!$A$3:$A$2150,C$1,'United Data'!$C$3:$C$2150,$A136,'United Data'!$B$3:$B$2150,"P")&gt;0,1,0)</f>
        <v>0</v>
      </c>
      <c r="D136">
        <f>IF(COUNTIFS('United Data'!$A$3:$A$2150,D$1,'United Data'!$C$3:$C$2150,$A136,'United Data'!$B$3:$B$2150,"P")&gt;0,1,0)</f>
        <v>0</v>
      </c>
      <c r="E136">
        <f>IF(COUNTIFS('United Data'!$A$3:$A$2150,E$1,'United Data'!$C$3:$C$2150,$A136,'United Data'!$B$3:$B$2150,"P")&gt;0,1,0)</f>
        <v>0</v>
      </c>
      <c r="F136">
        <f>IF(COUNTIFS('United Data'!$A$3:$A$2150,F$1,'United Data'!$C$3:$C$2150,$A136,'United Data'!$B$3:$B$2150,"P")&gt;0,1,0)</f>
        <v>0</v>
      </c>
      <c r="G136">
        <f>IF(COUNTIFS('United Data'!$A$3:$A$2150,G$1,'United Data'!$C$3:$C$2150,$A136,'United Data'!$B$3:$B$2150,"P")&gt;0,1,0)</f>
        <v>0</v>
      </c>
      <c r="H136">
        <f>IF(COUNTIFS('United Data'!$A$3:$A$2150,H$1,'United Data'!$C$3:$C$2150,$A136,'United Data'!$B$3:$B$2150,"P")&gt;0,1,0)</f>
        <v>0</v>
      </c>
      <c r="I136">
        <f>IF(COUNTIFS('United Data'!$A$3:$A$2150,I$1,'United Data'!$C$3:$C$2150,$A136,'United Data'!$B$3:$B$2150,"P")&gt;0,1,0)</f>
        <v>1</v>
      </c>
      <c r="J136">
        <f>IF(COUNTIFS('United Data'!$A$3:$A$2150,J$1,'United Data'!$C$3:$C$2150,$A136,'United Data'!$B$3:$B$2150,"P")&gt;0,1,0)</f>
        <v>0</v>
      </c>
      <c r="K136">
        <f>IF(COUNTIFS('United Data'!$A$3:$A$2150,K$1,'United Data'!$C$3:$C$2150,$A136,'United Data'!$B$3:$B$2150,"P")&gt;0,1,0)</f>
        <v>0</v>
      </c>
      <c r="L136">
        <f>IF(COUNTIFS('United Data'!$A$3:$A$2150,L$1,'United Data'!$C$3:$C$2150,$A136,'United Data'!$B$3:$B$2150,"P")&gt;0,1,0)</f>
        <v>0</v>
      </c>
      <c r="M136">
        <f>IF(COUNTIFS('United Data'!$A$3:$A$2150,M$1,'United Data'!$C$3:$C$2150,$A136,'United Data'!$B$3:$B$2150,"P")&gt;0,1,0)</f>
        <v>0</v>
      </c>
      <c r="N136">
        <f>IF(COUNTIFS('United Data'!$A$3:$A$2150,N$1,'United Data'!$C$3:$C$2150,$A136,'United Data'!$B$3:$B$2150,"P")&gt;0,1,0)</f>
        <v>0</v>
      </c>
      <c r="O136">
        <f>IF(COUNTIFS('United Data'!$A$3:$A$2150,O$1,'United Data'!$C$3:$C$2150,$A136,'United Data'!$B$3:$B$2150,"P")&gt;0,1,0)</f>
        <v>0</v>
      </c>
      <c r="P136">
        <f>IF(COUNTIFS('United Data'!$A$3:$A$2150,P$1,'United Data'!$C$3:$C$2150,$A136,'United Data'!$B$3:$B$2150,"P")&gt;0,1,0)</f>
        <v>0</v>
      </c>
      <c r="Q136">
        <f>IF(COUNTIFS('United Data'!$A$3:$A$2150,Q$1,'United Data'!$C$3:$C$2150,$A136,'United Data'!$B$3:$B$2150,"P")&gt;0,1,0)</f>
        <v>0</v>
      </c>
      <c r="R136">
        <f>IF(COUNTIFS('United Data'!$A$3:$A$2150,R$1,'United Data'!$C$3:$C$2150,$A136,'United Data'!$B$3:$B$2150,"P")&gt;0,1,0)</f>
        <v>0</v>
      </c>
      <c r="S136">
        <f t="shared" si="4"/>
        <v>1</v>
      </c>
      <c r="T136">
        <f t="shared" si="5"/>
        <v>1</v>
      </c>
    </row>
    <row r="137" spans="1:20" x14ac:dyDescent="0.2">
      <c r="A137" t="s">
        <v>905</v>
      </c>
      <c r="B137">
        <f>IF(COUNTIFS('United Data'!$A$3:$A$2150,B$1,'United Data'!$C$3:$C$2150,$A137,'United Data'!$B$3:$B$2150,"P")&gt;0,1,0)</f>
        <v>0</v>
      </c>
      <c r="C137">
        <f>IF(COUNTIFS('United Data'!$A$3:$A$2150,C$1,'United Data'!$C$3:$C$2150,$A137,'United Data'!$B$3:$B$2150,"P")&gt;0,1,0)</f>
        <v>0</v>
      </c>
      <c r="D137">
        <f>IF(COUNTIFS('United Data'!$A$3:$A$2150,D$1,'United Data'!$C$3:$C$2150,$A137,'United Data'!$B$3:$B$2150,"P")&gt;0,1,0)</f>
        <v>0</v>
      </c>
      <c r="E137">
        <f>IF(COUNTIFS('United Data'!$A$3:$A$2150,E$1,'United Data'!$C$3:$C$2150,$A137,'United Data'!$B$3:$B$2150,"P")&gt;0,1,0)</f>
        <v>0</v>
      </c>
      <c r="F137">
        <f>IF(COUNTIFS('United Data'!$A$3:$A$2150,F$1,'United Data'!$C$3:$C$2150,$A137,'United Data'!$B$3:$B$2150,"P")&gt;0,1,0)</f>
        <v>0</v>
      </c>
      <c r="G137">
        <f>IF(COUNTIFS('United Data'!$A$3:$A$2150,G$1,'United Data'!$C$3:$C$2150,$A137,'United Data'!$B$3:$B$2150,"P")&gt;0,1,0)</f>
        <v>0</v>
      </c>
      <c r="H137">
        <f>IF(COUNTIFS('United Data'!$A$3:$A$2150,H$1,'United Data'!$C$3:$C$2150,$A137,'United Data'!$B$3:$B$2150,"P")&gt;0,1,0)</f>
        <v>0</v>
      </c>
      <c r="I137">
        <f>IF(COUNTIFS('United Data'!$A$3:$A$2150,I$1,'United Data'!$C$3:$C$2150,$A137,'United Data'!$B$3:$B$2150,"P")&gt;0,1,0)</f>
        <v>1</v>
      </c>
      <c r="J137">
        <f>IF(COUNTIFS('United Data'!$A$3:$A$2150,J$1,'United Data'!$C$3:$C$2150,$A137,'United Data'!$B$3:$B$2150,"P")&gt;0,1,0)</f>
        <v>0</v>
      </c>
      <c r="K137">
        <f>IF(COUNTIFS('United Data'!$A$3:$A$2150,K$1,'United Data'!$C$3:$C$2150,$A137,'United Data'!$B$3:$B$2150,"P")&gt;0,1,0)</f>
        <v>0</v>
      </c>
      <c r="L137">
        <f>IF(COUNTIFS('United Data'!$A$3:$A$2150,L$1,'United Data'!$C$3:$C$2150,$A137,'United Data'!$B$3:$B$2150,"P")&gt;0,1,0)</f>
        <v>0</v>
      </c>
      <c r="M137">
        <f>IF(COUNTIFS('United Data'!$A$3:$A$2150,M$1,'United Data'!$C$3:$C$2150,$A137,'United Data'!$B$3:$B$2150,"P")&gt;0,1,0)</f>
        <v>0</v>
      </c>
      <c r="N137">
        <f>IF(COUNTIFS('United Data'!$A$3:$A$2150,N$1,'United Data'!$C$3:$C$2150,$A137,'United Data'!$B$3:$B$2150,"P")&gt;0,1,0)</f>
        <v>0</v>
      </c>
      <c r="O137">
        <f>IF(COUNTIFS('United Data'!$A$3:$A$2150,O$1,'United Data'!$C$3:$C$2150,$A137,'United Data'!$B$3:$B$2150,"P")&gt;0,1,0)</f>
        <v>0</v>
      </c>
      <c r="P137">
        <f>IF(COUNTIFS('United Data'!$A$3:$A$2150,P$1,'United Data'!$C$3:$C$2150,$A137,'United Data'!$B$3:$B$2150,"P")&gt;0,1,0)</f>
        <v>0</v>
      </c>
      <c r="Q137">
        <f>IF(COUNTIFS('United Data'!$A$3:$A$2150,Q$1,'United Data'!$C$3:$C$2150,$A137,'United Data'!$B$3:$B$2150,"P")&gt;0,1,0)</f>
        <v>0</v>
      </c>
      <c r="R137">
        <f>IF(COUNTIFS('United Data'!$A$3:$A$2150,R$1,'United Data'!$C$3:$C$2150,$A137,'United Data'!$B$3:$B$2150,"P")&gt;0,1,0)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906</v>
      </c>
      <c r="B138">
        <f>IF(COUNTIFS('United Data'!$A$3:$A$2150,B$1,'United Data'!$C$3:$C$2150,$A138,'United Data'!$B$3:$B$2150,"P")&gt;0,1,0)</f>
        <v>0</v>
      </c>
      <c r="C138">
        <f>IF(COUNTIFS('United Data'!$A$3:$A$2150,C$1,'United Data'!$C$3:$C$2150,$A138,'United Data'!$B$3:$B$2150,"P")&gt;0,1,0)</f>
        <v>0</v>
      </c>
      <c r="D138">
        <f>IF(COUNTIFS('United Data'!$A$3:$A$2150,D$1,'United Data'!$C$3:$C$2150,$A138,'United Data'!$B$3:$B$2150,"P")&gt;0,1,0)</f>
        <v>0</v>
      </c>
      <c r="E138">
        <f>IF(COUNTIFS('United Data'!$A$3:$A$2150,E$1,'United Data'!$C$3:$C$2150,$A138,'United Data'!$B$3:$B$2150,"P")&gt;0,1,0)</f>
        <v>0</v>
      </c>
      <c r="F138">
        <f>IF(COUNTIFS('United Data'!$A$3:$A$2150,F$1,'United Data'!$C$3:$C$2150,$A138,'United Data'!$B$3:$B$2150,"P")&gt;0,1,0)</f>
        <v>0</v>
      </c>
      <c r="G138">
        <f>IF(COUNTIFS('United Data'!$A$3:$A$2150,G$1,'United Data'!$C$3:$C$2150,$A138,'United Data'!$B$3:$B$2150,"P")&gt;0,1,0)</f>
        <v>0</v>
      </c>
      <c r="H138">
        <f>IF(COUNTIFS('United Data'!$A$3:$A$2150,H$1,'United Data'!$C$3:$C$2150,$A138,'United Data'!$B$3:$B$2150,"P")&gt;0,1,0)</f>
        <v>0</v>
      </c>
      <c r="I138">
        <f>IF(COUNTIFS('United Data'!$A$3:$A$2150,I$1,'United Data'!$C$3:$C$2150,$A138,'United Data'!$B$3:$B$2150,"P")&gt;0,1,0)</f>
        <v>1</v>
      </c>
      <c r="J138">
        <f>IF(COUNTIFS('United Data'!$A$3:$A$2150,J$1,'United Data'!$C$3:$C$2150,$A138,'United Data'!$B$3:$B$2150,"P")&gt;0,1,0)</f>
        <v>0</v>
      </c>
      <c r="K138">
        <f>IF(COUNTIFS('United Data'!$A$3:$A$2150,K$1,'United Data'!$C$3:$C$2150,$A138,'United Data'!$B$3:$B$2150,"P")&gt;0,1,0)</f>
        <v>1</v>
      </c>
      <c r="L138">
        <f>IF(COUNTIFS('United Data'!$A$3:$A$2150,L$1,'United Data'!$C$3:$C$2150,$A138,'United Data'!$B$3:$B$2150,"P")&gt;0,1,0)</f>
        <v>1</v>
      </c>
      <c r="M138">
        <f>IF(COUNTIFS('United Data'!$A$3:$A$2150,M$1,'United Data'!$C$3:$C$2150,$A138,'United Data'!$B$3:$B$2150,"P")&gt;0,1,0)</f>
        <v>1</v>
      </c>
      <c r="N138">
        <f>IF(COUNTIFS('United Data'!$A$3:$A$2150,N$1,'United Data'!$C$3:$C$2150,$A138,'United Data'!$B$3:$B$2150,"P")&gt;0,1,0)</f>
        <v>1</v>
      </c>
      <c r="O138">
        <f>IF(COUNTIFS('United Data'!$A$3:$A$2150,O$1,'United Data'!$C$3:$C$2150,$A138,'United Data'!$B$3:$B$2150,"P")&gt;0,1,0)</f>
        <v>0</v>
      </c>
      <c r="P138">
        <f>IF(COUNTIFS('United Data'!$A$3:$A$2150,P$1,'United Data'!$C$3:$C$2150,$A138,'United Data'!$B$3:$B$2150,"P")&gt;0,1,0)</f>
        <v>0</v>
      </c>
      <c r="Q138">
        <f>IF(COUNTIFS('United Data'!$A$3:$A$2150,Q$1,'United Data'!$C$3:$C$2150,$A138,'United Data'!$B$3:$B$2150,"P")&gt;0,1,0)</f>
        <v>0</v>
      </c>
      <c r="R138">
        <f>IF(COUNTIFS('United Data'!$A$3:$A$2150,R$1,'United Data'!$C$3:$C$2150,$A138,'United Data'!$B$3:$B$2150,"P")&gt;0,1,0)</f>
        <v>0</v>
      </c>
      <c r="S138">
        <f t="shared" si="4"/>
        <v>5</v>
      </c>
      <c r="T138">
        <f t="shared" si="5"/>
        <v>2</v>
      </c>
    </row>
    <row r="139" spans="1:20" x14ac:dyDescent="0.2">
      <c r="A139" t="s">
        <v>907</v>
      </c>
      <c r="B139">
        <f>IF(COUNTIFS('United Data'!$A$3:$A$2150,B$1,'United Data'!$C$3:$C$2150,$A139,'United Data'!$B$3:$B$2150,"P")&gt;0,1,0)</f>
        <v>0</v>
      </c>
      <c r="C139">
        <f>IF(COUNTIFS('United Data'!$A$3:$A$2150,C$1,'United Data'!$C$3:$C$2150,$A139,'United Data'!$B$3:$B$2150,"P")&gt;0,1,0)</f>
        <v>0</v>
      </c>
      <c r="D139">
        <f>IF(COUNTIFS('United Data'!$A$3:$A$2150,D$1,'United Data'!$C$3:$C$2150,$A139,'United Data'!$B$3:$B$2150,"P")&gt;0,1,0)</f>
        <v>0</v>
      </c>
      <c r="E139">
        <f>IF(COUNTIFS('United Data'!$A$3:$A$2150,E$1,'United Data'!$C$3:$C$2150,$A139,'United Data'!$B$3:$B$2150,"P")&gt;0,1,0)</f>
        <v>0</v>
      </c>
      <c r="F139">
        <f>IF(COUNTIFS('United Data'!$A$3:$A$2150,F$1,'United Data'!$C$3:$C$2150,$A139,'United Data'!$B$3:$B$2150,"P")&gt;0,1,0)</f>
        <v>0</v>
      </c>
      <c r="G139">
        <f>IF(COUNTIFS('United Data'!$A$3:$A$2150,G$1,'United Data'!$C$3:$C$2150,$A139,'United Data'!$B$3:$B$2150,"P")&gt;0,1,0)</f>
        <v>0</v>
      </c>
      <c r="H139">
        <f>IF(COUNTIFS('United Data'!$A$3:$A$2150,H$1,'United Data'!$C$3:$C$2150,$A139,'United Data'!$B$3:$B$2150,"P")&gt;0,1,0)</f>
        <v>0</v>
      </c>
      <c r="I139">
        <f>IF(COUNTIFS('United Data'!$A$3:$A$2150,I$1,'United Data'!$C$3:$C$2150,$A139,'United Data'!$B$3:$B$2150,"P")&gt;0,1,0)</f>
        <v>1</v>
      </c>
      <c r="J139">
        <f>IF(COUNTIFS('United Data'!$A$3:$A$2150,J$1,'United Data'!$C$3:$C$2150,$A139,'United Data'!$B$3:$B$2150,"P")&gt;0,1,0)</f>
        <v>0</v>
      </c>
      <c r="K139">
        <f>IF(COUNTIFS('United Data'!$A$3:$A$2150,K$1,'United Data'!$C$3:$C$2150,$A139,'United Data'!$B$3:$B$2150,"P")&gt;0,1,0)</f>
        <v>1</v>
      </c>
      <c r="L139">
        <f>IF(COUNTIFS('United Data'!$A$3:$A$2150,L$1,'United Data'!$C$3:$C$2150,$A139,'United Data'!$B$3:$B$2150,"P")&gt;0,1,0)</f>
        <v>1</v>
      </c>
      <c r="M139">
        <f>IF(COUNTIFS('United Data'!$A$3:$A$2150,M$1,'United Data'!$C$3:$C$2150,$A139,'United Data'!$B$3:$B$2150,"P")&gt;0,1,0)</f>
        <v>1</v>
      </c>
      <c r="N139">
        <f>IF(COUNTIFS('United Data'!$A$3:$A$2150,N$1,'United Data'!$C$3:$C$2150,$A139,'United Data'!$B$3:$B$2150,"P")&gt;0,1,0)</f>
        <v>0</v>
      </c>
      <c r="O139">
        <f>IF(COUNTIFS('United Data'!$A$3:$A$2150,O$1,'United Data'!$C$3:$C$2150,$A139,'United Data'!$B$3:$B$2150,"P")&gt;0,1,0)</f>
        <v>0</v>
      </c>
      <c r="P139">
        <f>IF(COUNTIFS('United Data'!$A$3:$A$2150,P$1,'United Data'!$C$3:$C$2150,$A139,'United Data'!$B$3:$B$2150,"P")&gt;0,1,0)</f>
        <v>0</v>
      </c>
      <c r="Q139">
        <f>IF(COUNTIFS('United Data'!$A$3:$A$2150,Q$1,'United Data'!$C$3:$C$2150,$A139,'United Data'!$B$3:$B$2150,"P")&gt;0,1,0)</f>
        <v>0</v>
      </c>
      <c r="R139">
        <f>IF(COUNTIFS('United Data'!$A$3:$A$2150,R$1,'United Data'!$C$3:$C$2150,$A139,'United Data'!$B$3:$B$2150,"P")&gt;0,1,0)</f>
        <v>0</v>
      </c>
      <c r="S139">
        <f t="shared" si="4"/>
        <v>4</v>
      </c>
      <c r="T139">
        <f t="shared" si="5"/>
        <v>2</v>
      </c>
    </row>
    <row r="140" spans="1:20" x14ac:dyDescent="0.2">
      <c r="A140" t="s">
        <v>908</v>
      </c>
      <c r="B140">
        <f>IF(COUNTIFS('United Data'!$A$3:$A$2150,B$1,'United Data'!$C$3:$C$2150,$A140,'United Data'!$B$3:$B$2150,"P")&gt;0,1,0)</f>
        <v>0</v>
      </c>
      <c r="C140">
        <f>IF(COUNTIFS('United Data'!$A$3:$A$2150,C$1,'United Data'!$C$3:$C$2150,$A140,'United Data'!$B$3:$B$2150,"P")&gt;0,1,0)</f>
        <v>0</v>
      </c>
      <c r="D140">
        <f>IF(COUNTIFS('United Data'!$A$3:$A$2150,D$1,'United Data'!$C$3:$C$2150,$A140,'United Data'!$B$3:$B$2150,"P")&gt;0,1,0)</f>
        <v>0</v>
      </c>
      <c r="E140">
        <f>IF(COUNTIFS('United Data'!$A$3:$A$2150,E$1,'United Data'!$C$3:$C$2150,$A140,'United Data'!$B$3:$B$2150,"P")&gt;0,1,0)</f>
        <v>0</v>
      </c>
      <c r="F140">
        <f>IF(COUNTIFS('United Data'!$A$3:$A$2150,F$1,'United Data'!$C$3:$C$2150,$A140,'United Data'!$B$3:$B$2150,"P")&gt;0,1,0)</f>
        <v>0</v>
      </c>
      <c r="G140">
        <f>IF(COUNTIFS('United Data'!$A$3:$A$2150,G$1,'United Data'!$C$3:$C$2150,$A140,'United Data'!$B$3:$B$2150,"P")&gt;0,1,0)</f>
        <v>0</v>
      </c>
      <c r="H140">
        <f>IF(COUNTIFS('United Data'!$A$3:$A$2150,H$1,'United Data'!$C$3:$C$2150,$A140,'United Data'!$B$3:$B$2150,"P")&gt;0,1,0)</f>
        <v>0</v>
      </c>
      <c r="I140">
        <f>IF(COUNTIFS('United Data'!$A$3:$A$2150,I$1,'United Data'!$C$3:$C$2150,$A140,'United Data'!$B$3:$B$2150,"P")&gt;0,1,0)</f>
        <v>1</v>
      </c>
      <c r="J140">
        <f>IF(COUNTIFS('United Data'!$A$3:$A$2150,J$1,'United Data'!$C$3:$C$2150,$A140,'United Data'!$B$3:$B$2150,"P")&gt;0,1,0)</f>
        <v>0</v>
      </c>
      <c r="K140">
        <f>IF(COUNTIFS('United Data'!$A$3:$A$2150,K$1,'United Data'!$C$3:$C$2150,$A140,'United Data'!$B$3:$B$2150,"P")&gt;0,1,0)</f>
        <v>0</v>
      </c>
      <c r="L140">
        <f>IF(COUNTIFS('United Data'!$A$3:$A$2150,L$1,'United Data'!$C$3:$C$2150,$A140,'United Data'!$B$3:$B$2150,"P")&gt;0,1,0)</f>
        <v>0</v>
      </c>
      <c r="M140">
        <f>IF(COUNTIFS('United Data'!$A$3:$A$2150,M$1,'United Data'!$C$3:$C$2150,$A140,'United Data'!$B$3:$B$2150,"P")&gt;0,1,0)</f>
        <v>0</v>
      </c>
      <c r="N140">
        <f>IF(COUNTIFS('United Data'!$A$3:$A$2150,N$1,'United Data'!$C$3:$C$2150,$A140,'United Data'!$B$3:$B$2150,"P")&gt;0,1,0)</f>
        <v>0</v>
      </c>
      <c r="O140">
        <f>IF(COUNTIFS('United Data'!$A$3:$A$2150,O$1,'United Data'!$C$3:$C$2150,$A140,'United Data'!$B$3:$B$2150,"P")&gt;0,1,0)</f>
        <v>0</v>
      </c>
      <c r="P140">
        <f>IF(COUNTIFS('United Data'!$A$3:$A$2150,P$1,'United Data'!$C$3:$C$2150,$A140,'United Data'!$B$3:$B$2150,"P")&gt;0,1,0)</f>
        <v>0</v>
      </c>
      <c r="Q140">
        <f>IF(COUNTIFS('United Data'!$A$3:$A$2150,Q$1,'United Data'!$C$3:$C$2150,$A140,'United Data'!$B$3:$B$2150,"P")&gt;0,1,0)</f>
        <v>0</v>
      </c>
      <c r="R140">
        <f>IF(COUNTIFS('United Data'!$A$3:$A$2150,R$1,'United Data'!$C$3:$C$2150,$A140,'United Data'!$B$3:$B$2150,"P")&gt;0,1,0)</f>
        <v>0</v>
      </c>
      <c r="S140">
        <f t="shared" si="4"/>
        <v>1</v>
      </c>
      <c r="T140">
        <f t="shared" si="5"/>
        <v>1</v>
      </c>
    </row>
    <row r="141" spans="1:20" x14ac:dyDescent="0.2">
      <c r="A141" t="s">
        <v>909</v>
      </c>
      <c r="B141">
        <f>IF(COUNTIFS('United Data'!$A$3:$A$2150,B$1,'United Data'!$C$3:$C$2150,$A141,'United Data'!$B$3:$B$2150,"P")&gt;0,1,0)</f>
        <v>0</v>
      </c>
      <c r="C141">
        <f>IF(COUNTIFS('United Data'!$A$3:$A$2150,C$1,'United Data'!$C$3:$C$2150,$A141,'United Data'!$B$3:$B$2150,"P")&gt;0,1,0)</f>
        <v>0</v>
      </c>
      <c r="D141">
        <f>IF(COUNTIFS('United Data'!$A$3:$A$2150,D$1,'United Data'!$C$3:$C$2150,$A141,'United Data'!$B$3:$B$2150,"P")&gt;0,1,0)</f>
        <v>0</v>
      </c>
      <c r="E141">
        <f>IF(COUNTIFS('United Data'!$A$3:$A$2150,E$1,'United Data'!$C$3:$C$2150,$A141,'United Data'!$B$3:$B$2150,"P")&gt;0,1,0)</f>
        <v>0</v>
      </c>
      <c r="F141">
        <f>IF(COUNTIFS('United Data'!$A$3:$A$2150,F$1,'United Data'!$C$3:$C$2150,$A141,'United Data'!$B$3:$B$2150,"P")&gt;0,1,0)</f>
        <v>0</v>
      </c>
      <c r="G141">
        <f>IF(COUNTIFS('United Data'!$A$3:$A$2150,G$1,'United Data'!$C$3:$C$2150,$A141,'United Data'!$B$3:$B$2150,"P")&gt;0,1,0)</f>
        <v>0</v>
      </c>
      <c r="H141">
        <f>IF(COUNTIFS('United Data'!$A$3:$A$2150,H$1,'United Data'!$C$3:$C$2150,$A141,'United Data'!$B$3:$B$2150,"P")&gt;0,1,0)</f>
        <v>0</v>
      </c>
      <c r="I141">
        <f>IF(COUNTIFS('United Data'!$A$3:$A$2150,I$1,'United Data'!$C$3:$C$2150,$A141,'United Data'!$B$3:$B$2150,"P")&gt;0,1,0)</f>
        <v>1</v>
      </c>
      <c r="J141">
        <f>IF(COUNTIFS('United Data'!$A$3:$A$2150,J$1,'United Data'!$C$3:$C$2150,$A141,'United Data'!$B$3:$B$2150,"P")&gt;0,1,0)</f>
        <v>0</v>
      </c>
      <c r="K141">
        <f>IF(COUNTIFS('United Data'!$A$3:$A$2150,K$1,'United Data'!$C$3:$C$2150,$A141,'United Data'!$B$3:$B$2150,"P")&gt;0,1,0)</f>
        <v>0</v>
      </c>
      <c r="L141">
        <f>IF(COUNTIFS('United Data'!$A$3:$A$2150,L$1,'United Data'!$C$3:$C$2150,$A141,'United Data'!$B$3:$B$2150,"P")&gt;0,1,0)</f>
        <v>0</v>
      </c>
      <c r="M141">
        <f>IF(COUNTIFS('United Data'!$A$3:$A$2150,M$1,'United Data'!$C$3:$C$2150,$A141,'United Data'!$B$3:$B$2150,"P")&gt;0,1,0)</f>
        <v>0</v>
      </c>
      <c r="N141">
        <f>IF(COUNTIFS('United Data'!$A$3:$A$2150,N$1,'United Data'!$C$3:$C$2150,$A141,'United Data'!$B$3:$B$2150,"P")&gt;0,1,0)</f>
        <v>0</v>
      </c>
      <c r="O141">
        <f>IF(COUNTIFS('United Data'!$A$3:$A$2150,O$1,'United Data'!$C$3:$C$2150,$A141,'United Data'!$B$3:$B$2150,"P")&gt;0,1,0)</f>
        <v>0</v>
      </c>
      <c r="P141">
        <f>IF(COUNTIFS('United Data'!$A$3:$A$2150,P$1,'United Data'!$C$3:$C$2150,$A141,'United Data'!$B$3:$B$2150,"P")&gt;0,1,0)</f>
        <v>0</v>
      </c>
      <c r="Q141">
        <f>IF(COUNTIFS('United Data'!$A$3:$A$2150,Q$1,'United Data'!$C$3:$C$2150,$A141,'United Data'!$B$3:$B$2150,"P")&gt;0,1,0)</f>
        <v>0</v>
      </c>
      <c r="R141">
        <f>IF(COUNTIFS('United Data'!$A$3:$A$2150,R$1,'United Data'!$C$3:$C$2150,$A141,'United Data'!$B$3:$B$2150,"P")&gt;0,1,0)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910</v>
      </c>
      <c r="B142">
        <f>IF(COUNTIFS('United Data'!$A$3:$A$2150,B$1,'United Data'!$C$3:$C$2150,$A142,'United Data'!$B$3:$B$2150,"P")&gt;0,1,0)</f>
        <v>0</v>
      </c>
      <c r="C142">
        <f>IF(COUNTIFS('United Data'!$A$3:$A$2150,C$1,'United Data'!$C$3:$C$2150,$A142,'United Data'!$B$3:$B$2150,"P")&gt;0,1,0)</f>
        <v>0</v>
      </c>
      <c r="D142">
        <f>IF(COUNTIFS('United Data'!$A$3:$A$2150,D$1,'United Data'!$C$3:$C$2150,$A142,'United Data'!$B$3:$B$2150,"P")&gt;0,1,0)</f>
        <v>0</v>
      </c>
      <c r="E142">
        <f>IF(COUNTIFS('United Data'!$A$3:$A$2150,E$1,'United Data'!$C$3:$C$2150,$A142,'United Data'!$B$3:$B$2150,"P")&gt;0,1,0)</f>
        <v>0</v>
      </c>
      <c r="F142">
        <f>IF(COUNTIFS('United Data'!$A$3:$A$2150,F$1,'United Data'!$C$3:$C$2150,$A142,'United Data'!$B$3:$B$2150,"P")&gt;0,1,0)</f>
        <v>0</v>
      </c>
      <c r="G142">
        <f>IF(COUNTIFS('United Data'!$A$3:$A$2150,G$1,'United Data'!$C$3:$C$2150,$A142,'United Data'!$B$3:$B$2150,"P")&gt;0,1,0)</f>
        <v>0</v>
      </c>
      <c r="H142">
        <f>IF(COUNTIFS('United Data'!$A$3:$A$2150,H$1,'United Data'!$C$3:$C$2150,$A142,'United Data'!$B$3:$B$2150,"P")&gt;0,1,0)</f>
        <v>0</v>
      </c>
      <c r="I142">
        <f>IF(COUNTIFS('United Data'!$A$3:$A$2150,I$1,'United Data'!$C$3:$C$2150,$A142,'United Data'!$B$3:$B$2150,"P")&gt;0,1,0)</f>
        <v>0</v>
      </c>
      <c r="J142">
        <f>IF(COUNTIFS('United Data'!$A$3:$A$2150,J$1,'United Data'!$C$3:$C$2150,$A142,'United Data'!$B$3:$B$2150,"P")&gt;0,1,0)</f>
        <v>1</v>
      </c>
      <c r="K142">
        <f>IF(COUNTIFS('United Data'!$A$3:$A$2150,K$1,'United Data'!$C$3:$C$2150,$A142,'United Data'!$B$3:$B$2150,"P")&gt;0,1,0)</f>
        <v>0</v>
      </c>
      <c r="L142">
        <f>IF(COUNTIFS('United Data'!$A$3:$A$2150,L$1,'United Data'!$C$3:$C$2150,$A142,'United Data'!$B$3:$B$2150,"P")&gt;0,1,0)</f>
        <v>0</v>
      </c>
      <c r="M142">
        <f>IF(COUNTIFS('United Data'!$A$3:$A$2150,M$1,'United Data'!$C$3:$C$2150,$A142,'United Data'!$B$3:$B$2150,"P")&gt;0,1,0)</f>
        <v>0</v>
      </c>
      <c r="N142">
        <f>IF(COUNTIFS('United Data'!$A$3:$A$2150,N$1,'United Data'!$C$3:$C$2150,$A142,'United Data'!$B$3:$B$2150,"P")&gt;0,1,0)</f>
        <v>0</v>
      </c>
      <c r="O142">
        <f>IF(COUNTIFS('United Data'!$A$3:$A$2150,O$1,'United Data'!$C$3:$C$2150,$A142,'United Data'!$B$3:$B$2150,"P")&gt;0,1,0)</f>
        <v>0</v>
      </c>
      <c r="P142">
        <f>IF(COUNTIFS('United Data'!$A$3:$A$2150,P$1,'United Data'!$C$3:$C$2150,$A142,'United Data'!$B$3:$B$2150,"P")&gt;0,1,0)</f>
        <v>0</v>
      </c>
      <c r="Q142">
        <f>IF(COUNTIFS('United Data'!$A$3:$A$2150,Q$1,'United Data'!$C$3:$C$2150,$A142,'United Data'!$B$3:$B$2150,"P")&gt;0,1,0)</f>
        <v>0</v>
      </c>
      <c r="R142">
        <f>IF(COUNTIFS('United Data'!$A$3:$A$2150,R$1,'United Data'!$C$3:$C$2150,$A142,'United Data'!$B$3:$B$2150,"P")&gt;0,1,0)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911</v>
      </c>
      <c r="B143">
        <f>IF(COUNTIFS('United Data'!$A$3:$A$2150,B$1,'United Data'!$C$3:$C$2150,$A143,'United Data'!$B$3:$B$2150,"P")&gt;0,1,0)</f>
        <v>0</v>
      </c>
      <c r="C143">
        <f>IF(COUNTIFS('United Data'!$A$3:$A$2150,C$1,'United Data'!$C$3:$C$2150,$A143,'United Data'!$B$3:$B$2150,"P")&gt;0,1,0)</f>
        <v>0</v>
      </c>
      <c r="D143">
        <f>IF(COUNTIFS('United Data'!$A$3:$A$2150,D$1,'United Data'!$C$3:$C$2150,$A143,'United Data'!$B$3:$B$2150,"P")&gt;0,1,0)</f>
        <v>0</v>
      </c>
      <c r="E143">
        <f>IF(COUNTIFS('United Data'!$A$3:$A$2150,E$1,'United Data'!$C$3:$C$2150,$A143,'United Data'!$B$3:$B$2150,"P")&gt;0,1,0)</f>
        <v>0</v>
      </c>
      <c r="F143">
        <f>IF(COUNTIFS('United Data'!$A$3:$A$2150,F$1,'United Data'!$C$3:$C$2150,$A143,'United Data'!$B$3:$B$2150,"P")&gt;0,1,0)</f>
        <v>0</v>
      </c>
      <c r="G143">
        <f>IF(COUNTIFS('United Data'!$A$3:$A$2150,G$1,'United Data'!$C$3:$C$2150,$A143,'United Data'!$B$3:$B$2150,"P")&gt;0,1,0)</f>
        <v>0</v>
      </c>
      <c r="H143">
        <f>IF(COUNTIFS('United Data'!$A$3:$A$2150,H$1,'United Data'!$C$3:$C$2150,$A143,'United Data'!$B$3:$B$2150,"P")&gt;0,1,0)</f>
        <v>0</v>
      </c>
      <c r="I143">
        <f>IF(COUNTIFS('United Data'!$A$3:$A$2150,I$1,'United Data'!$C$3:$C$2150,$A143,'United Data'!$B$3:$B$2150,"P")&gt;0,1,0)</f>
        <v>0</v>
      </c>
      <c r="J143">
        <f>IF(COUNTIFS('United Data'!$A$3:$A$2150,J$1,'United Data'!$C$3:$C$2150,$A143,'United Data'!$B$3:$B$2150,"P")&gt;0,1,0)</f>
        <v>1</v>
      </c>
      <c r="K143">
        <f>IF(COUNTIFS('United Data'!$A$3:$A$2150,K$1,'United Data'!$C$3:$C$2150,$A143,'United Data'!$B$3:$B$2150,"P")&gt;0,1,0)</f>
        <v>0</v>
      </c>
      <c r="L143">
        <f>IF(COUNTIFS('United Data'!$A$3:$A$2150,L$1,'United Data'!$C$3:$C$2150,$A143,'United Data'!$B$3:$B$2150,"P")&gt;0,1,0)</f>
        <v>0</v>
      </c>
      <c r="M143">
        <f>IF(COUNTIFS('United Data'!$A$3:$A$2150,M$1,'United Data'!$C$3:$C$2150,$A143,'United Data'!$B$3:$B$2150,"P")&gt;0,1,0)</f>
        <v>0</v>
      </c>
      <c r="N143">
        <f>IF(COUNTIFS('United Data'!$A$3:$A$2150,N$1,'United Data'!$C$3:$C$2150,$A143,'United Data'!$B$3:$B$2150,"P")&gt;0,1,0)</f>
        <v>0</v>
      </c>
      <c r="O143">
        <f>IF(COUNTIFS('United Data'!$A$3:$A$2150,O$1,'United Data'!$C$3:$C$2150,$A143,'United Data'!$B$3:$B$2150,"P")&gt;0,1,0)</f>
        <v>0</v>
      </c>
      <c r="P143">
        <f>IF(COUNTIFS('United Data'!$A$3:$A$2150,P$1,'United Data'!$C$3:$C$2150,$A143,'United Data'!$B$3:$B$2150,"P")&gt;0,1,0)</f>
        <v>0</v>
      </c>
      <c r="Q143">
        <f>IF(COUNTIFS('United Data'!$A$3:$A$2150,Q$1,'United Data'!$C$3:$C$2150,$A143,'United Data'!$B$3:$B$2150,"P")&gt;0,1,0)</f>
        <v>0</v>
      </c>
      <c r="R143">
        <f>IF(COUNTIFS('United Data'!$A$3:$A$2150,R$1,'United Data'!$C$3:$C$2150,$A143,'United Data'!$B$3:$B$2150,"P")&gt;0,1,0)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912</v>
      </c>
      <c r="B144">
        <f>IF(COUNTIFS('United Data'!$A$3:$A$2150,B$1,'United Data'!$C$3:$C$2150,$A144,'United Data'!$B$3:$B$2150,"P")&gt;0,1,0)</f>
        <v>0</v>
      </c>
      <c r="C144">
        <f>IF(COUNTIFS('United Data'!$A$3:$A$2150,C$1,'United Data'!$C$3:$C$2150,$A144,'United Data'!$B$3:$B$2150,"P")&gt;0,1,0)</f>
        <v>0</v>
      </c>
      <c r="D144">
        <f>IF(COUNTIFS('United Data'!$A$3:$A$2150,D$1,'United Data'!$C$3:$C$2150,$A144,'United Data'!$B$3:$B$2150,"P")&gt;0,1,0)</f>
        <v>0</v>
      </c>
      <c r="E144">
        <f>IF(COUNTIFS('United Data'!$A$3:$A$2150,E$1,'United Data'!$C$3:$C$2150,$A144,'United Data'!$B$3:$B$2150,"P")&gt;0,1,0)</f>
        <v>0</v>
      </c>
      <c r="F144">
        <f>IF(COUNTIFS('United Data'!$A$3:$A$2150,F$1,'United Data'!$C$3:$C$2150,$A144,'United Data'!$B$3:$B$2150,"P")&gt;0,1,0)</f>
        <v>0</v>
      </c>
      <c r="G144">
        <f>IF(COUNTIFS('United Data'!$A$3:$A$2150,G$1,'United Data'!$C$3:$C$2150,$A144,'United Data'!$B$3:$B$2150,"P")&gt;0,1,0)</f>
        <v>0</v>
      </c>
      <c r="H144">
        <f>IF(COUNTIFS('United Data'!$A$3:$A$2150,H$1,'United Data'!$C$3:$C$2150,$A144,'United Data'!$B$3:$B$2150,"P")&gt;0,1,0)</f>
        <v>0</v>
      </c>
      <c r="I144">
        <f>IF(COUNTIFS('United Data'!$A$3:$A$2150,I$1,'United Data'!$C$3:$C$2150,$A144,'United Data'!$B$3:$B$2150,"P")&gt;0,1,0)</f>
        <v>0</v>
      </c>
      <c r="J144">
        <f>IF(COUNTIFS('United Data'!$A$3:$A$2150,J$1,'United Data'!$C$3:$C$2150,$A144,'United Data'!$B$3:$B$2150,"P")&gt;0,1,0)</f>
        <v>1</v>
      </c>
      <c r="K144">
        <f>IF(COUNTIFS('United Data'!$A$3:$A$2150,K$1,'United Data'!$C$3:$C$2150,$A144,'United Data'!$B$3:$B$2150,"P")&gt;0,1,0)</f>
        <v>0</v>
      </c>
      <c r="L144">
        <f>IF(COUNTIFS('United Data'!$A$3:$A$2150,L$1,'United Data'!$C$3:$C$2150,$A144,'United Data'!$B$3:$B$2150,"P")&gt;0,1,0)</f>
        <v>0</v>
      </c>
      <c r="M144">
        <f>IF(COUNTIFS('United Data'!$A$3:$A$2150,M$1,'United Data'!$C$3:$C$2150,$A144,'United Data'!$B$3:$B$2150,"P")&gt;0,1,0)</f>
        <v>0</v>
      </c>
      <c r="N144">
        <f>IF(COUNTIFS('United Data'!$A$3:$A$2150,N$1,'United Data'!$C$3:$C$2150,$A144,'United Data'!$B$3:$B$2150,"P")&gt;0,1,0)</f>
        <v>0</v>
      </c>
      <c r="O144">
        <f>IF(COUNTIFS('United Data'!$A$3:$A$2150,O$1,'United Data'!$C$3:$C$2150,$A144,'United Data'!$B$3:$B$2150,"P")&gt;0,1,0)</f>
        <v>0</v>
      </c>
      <c r="P144">
        <f>IF(COUNTIFS('United Data'!$A$3:$A$2150,P$1,'United Data'!$C$3:$C$2150,$A144,'United Data'!$B$3:$B$2150,"P")&gt;0,1,0)</f>
        <v>0</v>
      </c>
      <c r="Q144">
        <f>IF(COUNTIFS('United Data'!$A$3:$A$2150,Q$1,'United Data'!$C$3:$C$2150,$A144,'United Data'!$B$3:$B$2150,"P")&gt;0,1,0)</f>
        <v>0</v>
      </c>
      <c r="R144">
        <f>IF(COUNTIFS('United Data'!$A$3:$A$2150,R$1,'United Data'!$C$3:$C$2150,$A144,'United Data'!$B$3:$B$2150,"P")&gt;0,1,0)</f>
        <v>0</v>
      </c>
      <c r="S144">
        <f t="shared" si="4"/>
        <v>1</v>
      </c>
      <c r="T144">
        <f t="shared" si="5"/>
        <v>1</v>
      </c>
    </row>
    <row r="145" spans="1:20" x14ac:dyDescent="0.2">
      <c r="A145" t="s">
        <v>913</v>
      </c>
      <c r="B145">
        <f>IF(COUNTIFS('United Data'!$A$3:$A$2150,B$1,'United Data'!$C$3:$C$2150,$A145,'United Data'!$B$3:$B$2150,"P")&gt;0,1,0)</f>
        <v>0</v>
      </c>
      <c r="C145">
        <f>IF(COUNTIFS('United Data'!$A$3:$A$2150,C$1,'United Data'!$C$3:$C$2150,$A145,'United Data'!$B$3:$B$2150,"P")&gt;0,1,0)</f>
        <v>0</v>
      </c>
      <c r="D145">
        <f>IF(COUNTIFS('United Data'!$A$3:$A$2150,D$1,'United Data'!$C$3:$C$2150,$A145,'United Data'!$B$3:$B$2150,"P")&gt;0,1,0)</f>
        <v>0</v>
      </c>
      <c r="E145">
        <f>IF(COUNTIFS('United Data'!$A$3:$A$2150,E$1,'United Data'!$C$3:$C$2150,$A145,'United Data'!$B$3:$B$2150,"P")&gt;0,1,0)</f>
        <v>0</v>
      </c>
      <c r="F145">
        <f>IF(COUNTIFS('United Data'!$A$3:$A$2150,F$1,'United Data'!$C$3:$C$2150,$A145,'United Data'!$B$3:$B$2150,"P")&gt;0,1,0)</f>
        <v>0</v>
      </c>
      <c r="G145">
        <f>IF(COUNTIFS('United Data'!$A$3:$A$2150,G$1,'United Data'!$C$3:$C$2150,$A145,'United Data'!$B$3:$B$2150,"P")&gt;0,1,0)</f>
        <v>0</v>
      </c>
      <c r="H145">
        <f>IF(COUNTIFS('United Data'!$A$3:$A$2150,H$1,'United Data'!$C$3:$C$2150,$A145,'United Data'!$B$3:$B$2150,"P")&gt;0,1,0)</f>
        <v>0</v>
      </c>
      <c r="I145">
        <f>IF(COUNTIFS('United Data'!$A$3:$A$2150,I$1,'United Data'!$C$3:$C$2150,$A145,'United Data'!$B$3:$B$2150,"P")&gt;0,1,0)</f>
        <v>0</v>
      </c>
      <c r="J145">
        <f>IF(COUNTIFS('United Data'!$A$3:$A$2150,J$1,'United Data'!$C$3:$C$2150,$A145,'United Data'!$B$3:$B$2150,"P")&gt;0,1,0)</f>
        <v>1</v>
      </c>
      <c r="K145">
        <f>IF(COUNTIFS('United Data'!$A$3:$A$2150,K$1,'United Data'!$C$3:$C$2150,$A145,'United Data'!$B$3:$B$2150,"P")&gt;0,1,0)</f>
        <v>0</v>
      </c>
      <c r="L145">
        <f>IF(COUNTIFS('United Data'!$A$3:$A$2150,L$1,'United Data'!$C$3:$C$2150,$A145,'United Data'!$B$3:$B$2150,"P")&gt;0,1,0)</f>
        <v>0</v>
      </c>
      <c r="M145">
        <f>IF(COUNTIFS('United Data'!$A$3:$A$2150,M$1,'United Data'!$C$3:$C$2150,$A145,'United Data'!$B$3:$B$2150,"P")&gt;0,1,0)</f>
        <v>0</v>
      </c>
      <c r="N145">
        <f>IF(COUNTIFS('United Data'!$A$3:$A$2150,N$1,'United Data'!$C$3:$C$2150,$A145,'United Data'!$B$3:$B$2150,"P")&gt;0,1,0)</f>
        <v>0</v>
      </c>
      <c r="O145">
        <f>IF(COUNTIFS('United Data'!$A$3:$A$2150,O$1,'United Data'!$C$3:$C$2150,$A145,'United Data'!$B$3:$B$2150,"P")&gt;0,1,0)</f>
        <v>0</v>
      </c>
      <c r="P145">
        <f>IF(COUNTIFS('United Data'!$A$3:$A$2150,P$1,'United Data'!$C$3:$C$2150,$A145,'United Data'!$B$3:$B$2150,"P")&gt;0,1,0)</f>
        <v>0</v>
      </c>
      <c r="Q145">
        <f>IF(COUNTIFS('United Data'!$A$3:$A$2150,Q$1,'United Data'!$C$3:$C$2150,$A145,'United Data'!$B$3:$B$2150,"P")&gt;0,1,0)</f>
        <v>0</v>
      </c>
      <c r="R145">
        <f>IF(COUNTIFS('United Data'!$A$3:$A$2150,R$1,'United Data'!$C$3:$C$2150,$A145,'United Data'!$B$3:$B$2150,"P")&gt;0,1,0)</f>
        <v>0</v>
      </c>
      <c r="S145">
        <f t="shared" si="4"/>
        <v>1</v>
      </c>
      <c r="T145">
        <f t="shared" si="5"/>
        <v>1</v>
      </c>
    </row>
    <row r="146" spans="1:20" x14ac:dyDescent="0.2">
      <c r="A146" t="s">
        <v>914</v>
      </c>
      <c r="B146">
        <f>IF(COUNTIFS('United Data'!$A$3:$A$2150,B$1,'United Data'!$C$3:$C$2150,$A146,'United Data'!$B$3:$B$2150,"P")&gt;0,1,0)</f>
        <v>0</v>
      </c>
      <c r="C146">
        <f>IF(COUNTIFS('United Data'!$A$3:$A$2150,C$1,'United Data'!$C$3:$C$2150,$A146,'United Data'!$B$3:$B$2150,"P")&gt;0,1,0)</f>
        <v>0</v>
      </c>
      <c r="D146">
        <f>IF(COUNTIFS('United Data'!$A$3:$A$2150,D$1,'United Data'!$C$3:$C$2150,$A146,'United Data'!$B$3:$B$2150,"P")&gt;0,1,0)</f>
        <v>0</v>
      </c>
      <c r="E146">
        <f>IF(COUNTIFS('United Data'!$A$3:$A$2150,E$1,'United Data'!$C$3:$C$2150,$A146,'United Data'!$B$3:$B$2150,"P")&gt;0,1,0)</f>
        <v>0</v>
      </c>
      <c r="F146">
        <f>IF(COUNTIFS('United Data'!$A$3:$A$2150,F$1,'United Data'!$C$3:$C$2150,$A146,'United Data'!$B$3:$B$2150,"P")&gt;0,1,0)</f>
        <v>0</v>
      </c>
      <c r="G146">
        <f>IF(COUNTIFS('United Data'!$A$3:$A$2150,G$1,'United Data'!$C$3:$C$2150,$A146,'United Data'!$B$3:$B$2150,"P")&gt;0,1,0)</f>
        <v>0</v>
      </c>
      <c r="H146">
        <f>IF(COUNTIFS('United Data'!$A$3:$A$2150,H$1,'United Data'!$C$3:$C$2150,$A146,'United Data'!$B$3:$B$2150,"P")&gt;0,1,0)</f>
        <v>0</v>
      </c>
      <c r="I146">
        <f>IF(COUNTIFS('United Data'!$A$3:$A$2150,I$1,'United Data'!$C$3:$C$2150,$A146,'United Data'!$B$3:$B$2150,"P")&gt;0,1,0)</f>
        <v>0</v>
      </c>
      <c r="J146">
        <f>IF(COUNTIFS('United Data'!$A$3:$A$2150,J$1,'United Data'!$C$3:$C$2150,$A146,'United Data'!$B$3:$B$2150,"P")&gt;0,1,0)</f>
        <v>1</v>
      </c>
      <c r="K146">
        <f>IF(COUNTIFS('United Data'!$A$3:$A$2150,K$1,'United Data'!$C$3:$C$2150,$A146,'United Data'!$B$3:$B$2150,"P")&gt;0,1,0)</f>
        <v>0</v>
      </c>
      <c r="L146">
        <f>IF(COUNTIFS('United Data'!$A$3:$A$2150,L$1,'United Data'!$C$3:$C$2150,$A146,'United Data'!$B$3:$B$2150,"P")&gt;0,1,0)</f>
        <v>0</v>
      </c>
      <c r="M146">
        <f>IF(COUNTIFS('United Data'!$A$3:$A$2150,M$1,'United Data'!$C$3:$C$2150,$A146,'United Data'!$B$3:$B$2150,"P")&gt;0,1,0)</f>
        <v>0</v>
      </c>
      <c r="N146">
        <f>IF(COUNTIFS('United Data'!$A$3:$A$2150,N$1,'United Data'!$C$3:$C$2150,$A146,'United Data'!$B$3:$B$2150,"P")&gt;0,1,0)</f>
        <v>0</v>
      </c>
      <c r="O146">
        <f>IF(COUNTIFS('United Data'!$A$3:$A$2150,O$1,'United Data'!$C$3:$C$2150,$A146,'United Data'!$B$3:$B$2150,"P")&gt;0,1,0)</f>
        <v>0</v>
      </c>
      <c r="P146">
        <f>IF(COUNTIFS('United Data'!$A$3:$A$2150,P$1,'United Data'!$C$3:$C$2150,$A146,'United Data'!$B$3:$B$2150,"P")&gt;0,1,0)</f>
        <v>0</v>
      </c>
      <c r="Q146">
        <f>IF(COUNTIFS('United Data'!$A$3:$A$2150,Q$1,'United Data'!$C$3:$C$2150,$A146,'United Data'!$B$3:$B$2150,"P")&gt;0,1,0)</f>
        <v>0</v>
      </c>
      <c r="R146">
        <f>IF(COUNTIFS('United Data'!$A$3:$A$2150,R$1,'United Data'!$C$3:$C$2150,$A146,'United Data'!$B$3:$B$2150,"P")&gt;0,1,0)</f>
        <v>0</v>
      </c>
      <c r="S146">
        <f t="shared" si="4"/>
        <v>1</v>
      </c>
      <c r="T146">
        <f t="shared" si="5"/>
        <v>1</v>
      </c>
    </row>
    <row r="147" spans="1:20" x14ac:dyDescent="0.2">
      <c r="A147" t="s">
        <v>915</v>
      </c>
      <c r="B147">
        <f>IF(COUNTIFS('United Data'!$A$3:$A$2150,B$1,'United Data'!$C$3:$C$2150,$A147,'United Data'!$B$3:$B$2150,"P")&gt;0,1,0)</f>
        <v>0</v>
      </c>
      <c r="C147">
        <f>IF(COUNTIFS('United Data'!$A$3:$A$2150,C$1,'United Data'!$C$3:$C$2150,$A147,'United Data'!$B$3:$B$2150,"P")&gt;0,1,0)</f>
        <v>0</v>
      </c>
      <c r="D147">
        <f>IF(COUNTIFS('United Data'!$A$3:$A$2150,D$1,'United Data'!$C$3:$C$2150,$A147,'United Data'!$B$3:$B$2150,"P")&gt;0,1,0)</f>
        <v>0</v>
      </c>
      <c r="E147">
        <f>IF(COUNTIFS('United Data'!$A$3:$A$2150,E$1,'United Data'!$C$3:$C$2150,$A147,'United Data'!$B$3:$B$2150,"P")&gt;0,1,0)</f>
        <v>0</v>
      </c>
      <c r="F147">
        <f>IF(COUNTIFS('United Data'!$A$3:$A$2150,F$1,'United Data'!$C$3:$C$2150,$A147,'United Data'!$B$3:$B$2150,"P")&gt;0,1,0)</f>
        <v>0</v>
      </c>
      <c r="G147">
        <f>IF(COUNTIFS('United Data'!$A$3:$A$2150,G$1,'United Data'!$C$3:$C$2150,$A147,'United Data'!$B$3:$B$2150,"P")&gt;0,1,0)</f>
        <v>0</v>
      </c>
      <c r="H147">
        <f>IF(COUNTIFS('United Data'!$A$3:$A$2150,H$1,'United Data'!$C$3:$C$2150,$A147,'United Data'!$B$3:$B$2150,"P")&gt;0,1,0)</f>
        <v>0</v>
      </c>
      <c r="I147">
        <f>IF(COUNTIFS('United Data'!$A$3:$A$2150,I$1,'United Data'!$C$3:$C$2150,$A147,'United Data'!$B$3:$B$2150,"P")&gt;0,1,0)</f>
        <v>0</v>
      </c>
      <c r="J147">
        <f>IF(COUNTIFS('United Data'!$A$3:$A$2150,J$1,'United Data'!$C$3:$C$2150,$A147,'United Data'!$B$3:$B$2150,"P")&gt;0,1,0)</f>
        <v>1</v>
      </c>
      <c r="K147">
        <f>IF(COUNTIFS('United Data'!$A$3:$A$2150,K$1,'United Data'!$C$3:$C$2150,$A147,'United Data'!$B$3:$B$2150,"P")&gt;0,1,0)</f>
        <v>0</v>
      </c>
      <c r="L147">
        <f>IF(COUNTIFS('United Data'!$A$3:$A$2150,L$1,'United Data'!$C$3:$C$2150,$A147,'United Data'!$B$3:$B$2150,"P")&gt;0,1,0)</f>
        <v>0</v>
      </c>
      <c r="M147">
        <f>IF(COUNTIFS('United Data'!$A$3:$A$2150,M$1,'United Data'!$C$3:$C$2150,$A147,'United Data'!$B$3:$B$2150,"P")&gt;0,1,0)</f>
        <v>0</v>
      </c>
      <c r="N147">
        <f>IF(COUNTIFS('United Data'!$A$3:$A$2150,N$1,'United Data'!$C$3:$C$2150,$A147,'United Data'!$B$3:$B$2150,"P")&gt;0,1,0)</f>
        <v>0</v>
      </c>
      <c r="O147">
        <f>IF(COUNTIFS('United Data'!$A$3:$A$2150,O$1,'United Data'!$C$3:$C$2150,$A147,'United Data'!$B$3:$B$2150,"P")&gt;0,1,0)</f>
        <v>0</v>
      </c>
      <c r="P147">
        <f>IF(COUNTIFS('United Data'!$A$3:$A$2150,P$1,'United Data'!$C$3:$C$2150,$A147,'United Data'!$B$3:$B$2150,"P")&gt;0,1,0)</f>
        <v>0</v>
      </c>
      <c r="Q147">
        <f>IF(COUNTIFS('United Data'!$A$3:$A$2150,Q$1,'United Data'!$C$3:$C$2150,$A147,'United Data'!$B$3:$B$2150,"P")&gt;0,1,0)</f>
        <v>0</v>
      </c>
      <c r="R147">
        <f>IF(COUNTIFS('United Data'!$A$3:$A$2150,R$1,'United Data'!$C$3:$C$2150,$A147,'United Data'!$B$3:$B$2150,"P")&gt;0,1,0)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916</v>
      </c>
      <c r="B148">
        <f>IF(COUNTIFS('United Data'!$A$3:$A$2150,B$1,'United Data'!$C$3:$C$2150,$A148,'United Data'!$B$3:$B$2150,"P")&gt;0,1,0)</f>
        <v>0</v>
      </c>
      <c r="C148">
        <f>IF(COUNTIFS('United Data'!$A$3:$A$2150,C$1,'United Data'!$C$3:$C$2150,$A148,'United Data'!$B$3:$B$2150,"P")&gt;0,1,0)</f>
        <v>0</v>
      </c>
      <c r="D148">
        <f>IF(COUNTIFS('United Data'!$A$3:$A$2150,D$1,'United Data'!$C$3:$C$2150,$A148,'United Data'!$B$3:$B$2150,"P")&gt;0,1,0)</f>
        <v>0</v>
      </c>
      <c r="E148">
        <f>IF(COUNTIFS('United Data'!$A$3:$A$2150,E$1,'United Data'!$C$3:$C$2150,$A148,'United Data'!$B$3:$B$2150,"P")&gt;0,1,0)</f>
        <v>0</v>
      </c>
      <c r="F148">
        <f>IF(COUNTIFS('United Data'!$A$3:$A$2150,F$1,'United Data'!$C$3:$C$2150,$A148,'United Data'!$B$3:$B$2150,"P")&gt;0,1,0)</f>
        <v>0</v>
      </c>
      <c r="G148">
        <f>IF(COUNTIFS('United Data'!$A$3:$A$2150,G$1,'United Data'!$C$3:$C$2150,$A148,'United Data'!$B$3:$B$2150,"P")&gt;0,1,0)</f>
        <v>0</v>
      </c>
      <c r="H148">
        <f>IF(COUNTIFS('United Data'!$A$3:$A$2150,H$1,'United Data'!$C$3:$C$2150,$A148,'United Data'!$B$3:$B$2150,"P")&gt;0,1,0)</f>
        <v>0</v>
      </c>
      <c r="I148">
        <f>IF(COUNTIFS('United Data'!$A$3:$A$2150,I$1,'United Data'!$C$3:$C$2150,$A148,'United Data'!$B$3:$B$2150,"P")&gt;0,1,0)</f>
        <v>0</v>
      </c>
      <c r="J148">
        <f>IF(COUNTIFS('United Data'!$A$3:$A$2150,J$1,'United Data'!$C$3:$C$2150,$A148,'United Data'!$B$3:$B$2150,"P")&gt;0,1,0)</f>
        <v>1</v>
      </c>
      <c r="K148">
        <f>IF(COUNTIFS('United Data'!$A$3:$A$2150,K$1,'United Data'!$C$3:$C$2150,$A148,'United Data'!$B$3:$B$2150,"P")&gt;0,1,0)</f>
        <v>0</v>
      </c>
      <c r="L148">
        <f>IF(COUNTIFS('United Data'!$A$3:$A$2150,L$1,'United Data'!$C$3:$C$2150,$A148,'United Data'!$B$3:$B$2150,"P")&gt;0,1,0)</f>
        <v>0</v>
      </c>
      <c r="M148">
        <f>IF(COUNTIFS('United Data'!$A$3:$A$2150,M$1,'United Data'!$C$3:$C$2150,$A148,'United Data'!$B$3:$B$2150,"P")&gt;0,1,0)</f>
        <v>0</v>
      </c>
      <c r="N148">
        <f>IF(COUNTIFS('United Data'!$A$3:$A$2150,N$1,'United Data'!$C$3:$C$2150,$A148,'United Data'!$B$3:$B$2150,"P")&gt;0,1,0)</f>
        <v>0</v>
      </c>
      <c r="O148">
        <f>IF(COUNTIFS('United Data'!$A$3:$A$2150,O$1,'United Data'!$C$3:$C$2150,$A148,'United Data'!$B$3:$B$2150,"P")&gt;0,1,0)</f>
        <v>0</v>
      </c>
      <c r="P148">
        <f>IF(COUNTIFS('United Data'!$A$3:$A$2150,P$1,'United Data'!$C$3:$C$2150,$A148,'United Data'!$B$3:$B$2150,"P")&gt;0,1,0)</f>
        <v>0</v>
      </c>
      <c r="Q148">
        <f>IF(COUNTIFS('United Data'!$A$3:$A$2150,Q$1,'United Data'!$C$3:$C$2150,$A148,'United Data'!$B$3:$B$2150,"P")&gt;0,1,0)</f>
        <v>0</v>
      </c>
      <c r="R148">
        <f>IF(COUNTIFS('United Data'!$A$3:$A$2150,R$1,'United Data'!$C$3:$C$2150,$A148,'United Data'!$B$3:$B$2150,"P")&gt;0,1,0)</f>
        <v>0</v>
      </c>
      <c r="S148">
        <f t="shared" si="4"/>
        <v>1</v>
      </c>
      <c r="T148">
        <f t="shared" si="5"/>
        <v>1</v>
      </c>
    </row>
    <row r="149" spans="1:20" x14ac:dyDescent="0.2">
      <c r="A149" t="s">
        <v>917</v>
      </c>
      <c r="B149">
        <f>IF(COUNTIFS('United Data'!$A$3:$A$2150,B$1,'United Data'!$C$3:$C$2150,$A149,'United Data'!$B$3:$B$2150,"P")&gt;0,1,0)</f>
        <v>0</v>
      </c>
      <c r="C149">
        <f>IF(COUNTIFS('United Data'!$A$3:$A$2150,C$1,'United Data'!$C$3:$C$2150,$A149,'United Data'!$B$3:$B$2150,"P")&gt;0,1,0)</f>
        <v>0</v>
      </c>
      <c r="D149">
        <f>IF(COUNTIFS('United Data'!$A$3:$A$2150,D$1,'United Data'!$C$3:$C$2150,$A149,'United Data'!$B$3:$B$2150,"P")&gt;0,1,0)</f>
        <v>0</v>
      </c>
      <c r="E149">
        <f>IF(COUNTIFS('United Data'!$A$3:$A$2150,E$1,'United Data'!$C$3:$C$2150,$A149,'United Data'!$B$3:$B$2150,"P")&gt;0,1,0)</f>
        <v>0</v>
      </c>
      <c r="F149">
        <f>IF(COUNTIFS('United Data'!$A$3:$A$2150,F$1,'United Data'!$C$3:$C$2150,$A149,'United Data'!$B$3:$B$2150,"P")&gt;0,1,0)</f>
        <v>0</v>
      </c>
      <c r="G149">
        <f>IF(COUNTIFS('United Data'!$A$3:$A$2150,G$1,'United Data'!$C$3:$C$2150,$A149,'United Data'!$B$3:$B$2150,"P")&gt;0,1,0)</f>
        <v>0</v>
      </c>
      <c r="H149">
        <f>IF(COUNTIFS('United Data'!$A$3:$A$2150,H$1,'United Data'!$C$3:$C$2150,$A149,'United Data'!$B$3:$B$2150,"P")&gt;0,1,0)</f>
        <v>0</v>
      </c>
      <c r="I149">
        <f>IF(COUNTIFS('United Data'!$A$3:$A$2150,I$1,'United Data'!$C$3:$C$2150,$A149,'United Data'!$B$3:$B$2150,"P")&gt;0,1,0)</f>
        <v>0</v>
      </c>
      <c r="J149">
        <f>IF(COUNTIFS('United Data'!$A$3:$A$2150,J$1,'United Data'!$C$3:$C$2150,$A149,'United Data'!$B$3:$B$2150,"P")&gt;0,1,0)</f>
        <v>1</v>
      </c>
      <c r="K149">
        <f>IF(COUNTIFS('United Data'!$A$3:$A$2150,K$1,'United Data'!$C$3:$C$2150,$A149,'United Data'!$B$3:$B$2150,"P")&gt;0,1,0)</f>
        <v>0</v>
      </c>
      <c r="L149">
        <f>IF(COUNTIFS('United Data'!$A$3:$A$2150,L$1,'United Data'!$C$3:$C$2150,$A149,'United Data'!$B$3:$B$2150,"P")&gt;0,1,0)</f>
        <v>0</v>
      </c>
      <c r="M149">
        <f>IF(COUNTIFS('United Data'!$A$3:$A$2150,M$1,'United Data'!$C$3:$C$2150,$A149,'United Data'!$B$3:$B$2150,"P")&gt;0,1,0)</f>
        <v>0</v>
      </c>
      <c r="N149">
        <f>IF(COUNTIFS('United Data'!$A$3:$A$2150,N$1,'United Data'!$C$3:$C$2150,$A149,'United Data'!$B$3:$B$2150,"P")&gt;0,1,0)</f>
        <v>0</v>
      </c>
      <c r="O149">
        <f>IF(COUNTIFS('United Data'!$A$3:$A$2150,O$1,'United Data'!$C$3:$C$2150,$A149,'United Data'!$B$3:$B$2150,"P")&gt;0,1,0)</f>
        <v>0</v>
      </c>
      <c r="P149">
        <f>IF(COUNTIFS('United Data'!$A$3:$A$2150,P$1,'United Data'!$C$3:$C$2150,$A149,'United Data'!$B$3:$B$2150,"P")&gt;0,1,0)</f>
        <v>0</v>
      </c>
      <c r="Q149">
        <f>IF(COUNTIFS('United Data'!$A$3:$A$2150,Q$1,'United Data'!$C$3:$C$2150,$A149,'United Data'!$B$3:$B$2150,"P")&gt;0,1,0)</f>
        <v>0</v>
      </c>
      <c r="R149">
        <f>IF(COUNTIFS('United Data'!$A$3:$A$2150,R$1,'United Data'!$C$3:$C$2150,$A149,'United Data'!$B$3:$B$2150,"P")&gt;0,1,0)</f>
        <v>0</v>
      </c>
      <c r="S149">
        <f t="shared" si="4"/>
        <v>1</v>
      </c>
      <c r="T149">
        <f t="shared" si="5"/>
        <v>1</v>
      </c>
    </row>
    <row r="150" spans="1:20" x14ac:dyDescent="0.2">
      <c r="A150" t="s">
        <v>918</v>
      </c>
      <c r="B150">
        <f>IF(COUNTIFS('United Data'!$A$3:$A$2150,B$1,'United Data'!$C$3:$C$2150,$A150,'United Data'!$B$3:$B$2150,"P")&gt;0,1,0)</f>
        <v>0</v>
      </c>
      <c r="C150">
        <f>IF(COUNTIFS('United Data'!$A$3:$A$2150,C$1,'United Data'!$C$3:$C$2150,$A150,'United Data'!$B$3:$B$2150,"P")&gt;0,1,0)</f>
        <v>0</v>
      </c>
      <c r="D150">
        <f>IF(COUNTIFS('United Data'!$A$3:$A$2150,D$1,'United Data'!$C$3:$C$2150,$A150,'United Data'!$B$3:$B$2150,"P")&gt;0,1,0)</f>
        <v>0</v>
      </c>
      <c r="E150">
        <f>IF(COUNTIFS('United Data'!$A$3:$A$2150,E$1,'United Data'!$C$3:$C$2150,$A150,'United Data'!$B$3:$B$2150,"P")&gt;0,1,0)</f>
        <v>0</v>
      </c>
      <c r="F150">
        <f>IF(COUNTIFS('United Data'!$A$3:$A$2150,F$1,'United Data'!$C$3:$C$2150,$A150,'United Data'!$B$3:$B$2150,"P")&gt;0,1,0)</f>
        <v>0</v>
      </c>
      <c r="G150">
        <f>IF(COUNTIFS('United Data'!$A$3:$A$2150,G$1,'United Data'!$C$3:$C$2150,$A150,'United Data'!$B$3:$B$2150,"P")&gt;0,1,0)</f>
        <v>0</v>
      </c>
      <c r="H150">
        <f>IF(COUNTIFS('United Data'!$A$3:$A$2150,H$1,'United Data'!$C$3:$C$2150,$A150,'United Data'!$B$3:$B$2150,"P")&gt;0,1,0)</f>
        <v>0</v>
      </c>
      <c r="I150">
        <f>IF(COUNTIFS('United Data'!$A$3:$A$2150,I$1,'United Data'!$C$3:$C$2150,$A150,'United Data'!$B$3:$B$2150,"P")&gt;0,1,0)</f>
        <v>0</v>
      </c>
      <c r="J150">
        <f>IF(COUNTIFS('United Data'!$A$3:$A$2150,J$1,'United Data'!$C$3:$C$2150,$A150,'United Data'!$B$3:$B$2150,"P")&gt;0,1,0)</f>
        <v>1</v>
      </c>
      <c r="K150">
        <f>IF(COUNTIFS('United Data'!$A$3:$A$2150,K$1,'United Data'!$C$3:$C$2150,$A150,'United Data'!$B$3:$B$2150,"P")&gt;0,1,0)</f>
        <v>0</v>
      </c>
      <c r="L150">
        <f>IF(COUNTIFS('United Data'!$A$3:$A$2150,L$1,'United Data'!$C$3:$C$2150,$A150,'United Data'!$B$3:$B$2150,"P")&gt;0,1,0)</f>
        <v>0</v>
      </c>
      <c r="M150">
        <f>IF(COUNTIFS('United Data'!$A$3:$A$2150,M$1,'United Data'!$C$3:$C$2150,$A150,'United Data'!$B$3:$B$2150,"P")&gt;0,1,0)</f>
        <v>0</v>
      </c>
      <c r="N150">
        <f>IF(COUNTIFS('United Data'!$A$3:$A$2150,N$1,'United Data'!$C$3:$C$2150,$A150,'United Data'!$B$3:$B$2150,"P")&gt;0,1,0)</f>
        <v>0</v>
      </c>
      <c r="O150">
        <f>IF(COUNTIFS('United Data'!$A$3:$A$2150,O$1,'United Data'!$C$3:$C$2150,$A150,'United Data'!$B$3:$B$2150,"P")&gt;0,1,0)</f>
        <v>0</v>
      </c>
      <c r="P150">
        <f>IF(COUNTIFS('United Data'!$A$3:$A$2150,P$1,'United Data'!$C$3:$C$2150,$A150,'United Data'!$B$3:$B$2150,"P")&gt;0,1,0)</f>
        <v>0</v>
      </c>
      <c r="Q150">
        <f>IF(COUNTIFS('United Data'!$A$3:$A$2150,Q$1,'United Data'!$C$3:$C$2150,$A150,'United Data'!$B$3:$B$2150,"P")&gt;0,1,0)</f>
        <v>0</v>
      </c>
      <c r="R150">
        <f>IF(COUNTIFS('United Data'!$A$3:$A$2150,R$1,'United Data'!$C$3:$C$2150,$A150,'United Data'!$B$3:$B$2150,"P")&gt;0,1,0)</f>
        <v>0</v>
      </c>
      <c r="S150">
        <f t="shared" si="4"/>
        <v>1</v>
      </c>
      <c r="T150">
        <f t="shared" si="5"/>
        <v>1</v>
      </c>
    </row>
    <row r="151" spans="1:20" x14ac:dyDescent="0.2">
      <c r="A151" t="s">
        <v>919</v>
      </c>
      <c r="B151">
        <f>IF(COUNTIFS('United Data'!$A$3:$A$2150,B$1,'United Data'!$C$3:$C$2150,$A151,'United Data'!$B$3:$B$2150,"P")&gt;0,1,0)</f>
        <v>0</v>
      </c>
      <c r="C151">
        <f>IF(COUNTIFS('United Data'!$A$3:$A$2150,C$1,'United Data'!$C$3:$C$2150,$A151,'United Data'!$B$3:$B$2150,"P")&gt;0,1,0)</f>
        <v>0</v>
      </c>
      <c r="D151">
        <f>IF(COUNTIFS('United Data'!$A$3:$A$2150,D$1,'United Data'!$C$3:$C$2150,$A151,'United Data'!$B$3:$B$2150,"P")&gt;0,1,0)</f>
        <v>0</v>
      </c>
      <c r="E151">
        <f>IF(COUNTIFS('United Data'!$A$3:$A$2150,E$1,'United Data'!$C$3:$C$2150,$A151,'United Data'!$B$3:$B$2150,"P")&gt;0,1,0)</f>
        <v>0</v>
      </c>
      <c r="F151">
        <f>IF(COUNTIFS('United Data'!$A$3:$A$2150,F$1,'United Data'!$C$3:$C$2150,$A151,'United Data'!$B$3:$B$2150,"P")&gt;0,1,0)</f>
        <v>0</v>
      </c>
      <c r="G151">
        <f>IF(COUNTIFS('United Data'!$A$3:$A$2150,G$1,'United Data'!$C$3:$C$2150,$A151,'United Data'!$B$3:$B$2150,"P")&gt;0,1,0)</f>
        <v>0</v>
      </c>
      <c r="H151">
        <f>IF(COUNTIFS('United Data'!$A$3:$A$2150,H$1,'United Data'!$C$3:$C$2150,$A151,'United Data'!$B$3:$B$2150,"P")&gt;0,1,0)</f>
        <v>0</v>
      </c>
      <c r="I151">
        <f>IF(COUNTIFS('United Data'!$A$3:$A$2150,I$1,'United Data'!$C$3:$C$2150,$A151,'United Data'!$B$3:$B$2150,"P")&gt;0,1,0)</f>
        <v>0</v>
      </c>
      <c r="J151">
        <f>IF(COUNTIFS('United Data'!$A$3:$A$2150,J$1,'United Data'!$C$3:$C$2150,$A151,'United Data'!$B$3:$B$2150,"P")&gt;0,1,0)</f>
        <v>0</v>
      </c>
      <c r="K151">
        <f>IF(COUNTIFS('United Data'!$A$3:$A$2150,K$1,'United Data'!$C$3:$C$2150,$A151,'United Data'!$B$3:$B$2150,"P")&gt;0,1,0)</f>
        <v>1</v>
      </c>
      <c r="L151">
        <f>IF(COUNTIFS('United Data'!$A$3:$A$2150,L$1,'United Data'!$C$3:$C$2150,$A151,'United Data'!$B$3:$B$2150,"P")&gt;0,1,0)</f>
        <v>0</v>
      </c>
      <c r="M151">
        <f>IF(COUNTIFS('United Data'!$A$3:$A$2150,M$1,'United Data'!$C$3:$C$2150,$A151,'United Data'!$B$3:$B$2150,"P")&gt;0,1,0)</f>
        <v>0</v>
      </c>
      <c r="N151">
        <f>IF(COUNTIFS('United Data'!$A$3:$A$2150,N$1,'United Data'!$C$3:$C$2150,$A151,'United Data'!$B$3:$B$2150,"P")&gt;0,1,0)</f>
        <v>0</v>
      </c>
      <c r="O151">
        <f>IF(COUNTIFS('United Data'!$A$3:$A$2150,O$1,'United Data'!$C$3:$C$2150,$A151,'United Data'!$B$3:$B$2150,"P")&gt;0,1,0)</f>
        <v>0</v>
      </c>
      <c r="P151">
        <f>IF(COUNTIFS('United Data'!$A$3:$A$2150,P$1,'United Data'!$C$3:$C$2150,$A151,'United Data'!$B$3:$B$2150,"P")&gt;0,1,0)</f>
        <v>0</v>
      </c>
      <c r="Q151">
        <f>IF(COUNTIFS('United Data'!$A$3:$A$2150,Q$1,'United Data'!$C$3:$C$2150,$A151,'United Data'!$B$3:$B$2150,"P")&gt;0,1,0)</f>
        <v>0</v>
      </c>
      <c r="R151">
        <f>IF(COUNTIFS('United Data'!$A$3:$A$2150,R$1,'United Data'!$C$3:$C$2150,$A151,'United Data'!$B$3:$B$2150,"P")&gt;0,1,0)</f>
        <v>0</v>
      </c>
      <c r="S151">
        <f t="shared" si="4"/>
        <v>1</v>
      </c>
      <c r="T151">
        <f t="shared" si="5"/>
        <v>1</v>
      </c>
    </row>
    <row r="152" spans="1:20" x14ac:dyDescent="0.2">
      <c r="A152" t="s">
        <v>920</v>
      </c>
      <c r="B152">
        <f>IF(COUNTIFS('United Data'!$A$3:$A$2150,B$1,'United Data'!$C$3:$C$2150,$A152,'United Data'!$B$3:$B$2150,"P")&gt;0,1,0)</f>
        <v>0</v>
      </c>
      <c r="C152">
        <f>IF(COUNTIFS('United Data'!$A$3:$A$2150,C$1,'United Data'!$C$3:$C$2150,$A152,'United Data'!$B$3:$B$2150,"P")&gt;0,1,0)</f>
        <v>0</v>
      </c>
      <c r="D152">
        <f>IF(COUNTIFS('United Data'!$A$3:$A$2150,D$1,'United Data'!$C$3:$C$2150,$A152,'United Data'!$B$3:$B$2150,"P")&gt;0,1,0)</f>
        <v>0</v>
      </c>
      <c r="E152">
        <f>IF(COUNTIFS('United Data'!$A$3:$A$2150,E$1,'United Data'!$C$3:$C$2150,$A152,'United Data'!$B$3:$B$2150,"P")&gt;0,1,0)</f>
        <v>0</v>
      </c>
      <c r="F152">
        <f>IF(COUNTIFS('United Data'!$A$3:$A$2150,F$1,'United Data'!$C$3:$C$2150,$A152,'United Data'!$B$3:$B$2150,"P")&gt;0,1,0)</f>
        <v>0</v>
      </c>
      <c r="G152">
        <f>IF(COUNTIFS('United Data'!$A$3:$A$2150,G$1,'United Data'!$C$3:$C$2150,$A152,'United Data'!$B$3:$B$2150,"P")&gt;0,1,0)</f>
        <v>0</v>
      </c>
      <c r="H152">
        <f>IF(COUNTIFS('United Data'!$A$3:$A$2150,H$1,'United Data'!$C$3:$C$2150,$A152,'United Data'!$B$3:$B$2150,"P")&gt;0,1,0)</f>
        <v>0</v>
      </c>
      <c r="I152">
        <f>IF(COUNTIFS('United Data'!$A$3:$A$2150,I$1,'United Data'!$C$3:$C$2150,$A152,'United Data'!$B$3:$B$2150,"P")&gt;0,1,0)</f>
        <v>0</v>
      </c>
      <c r="J152">
        <f>IF(COUNTIFS('United Data'!$A$3:$A$2150,J$1,'United Data'!$C$3:$C$2150,$A152,'United Data'!$B$3:$B$2150,"P")&gt;0,1,0)</f>
        <v>0</v>
      </c>
      <c r="K152">
        <f>IF(COUNTIFS('United Data'!$A$3:$A$2150,K$1,'United Data'!$C$3:$C$2150,$A152,'United Data'!$B$3:$B$2150,"P")&gt;0,1,0)</f>
        <v>1</v>
      </c>
      <c r="L152">
        <f>IF(COUNTIFS('United Data'!$A$3:$A$2150,L$1,'United Data'!$C$3:$C$2150,$A152,'United Data'!$B$3:$B$2150,"P")&gt;0,1,0)</f>
        <v>0</v>
      </c>
      <c r="M152">
        <f>IF(COUNTIFS('United Data'!$A$3:$A$2150,M$1,'United Data'!$C$3:$C$2150,$A152,'United Data'!$B$3:$B$2150,"P")&gt;0,1,0)</f>
        <v>0</v>
      </c>
      <c r="N152">
        <f>IF(COUNTIFS('United Data'!$A$3:$A$2150,N$1,'United Data'!$C$3:$C$2150,$A152,'United Data'!$B$3:$B$2150,"P")&gt;0,1,0)</f>
        <v>0</v>
      </c>
      <c r="O152">
        <f>IF(COUNTIFS('United Data'!$A$3:$A$2150,O$1,'United Data'!$C$3:$C$2150,$A152,'United Data'!$B$3:$B$2150,"P")&gt;0,1,0)</f>
        <v>0</v>
      </c>
      <c r="P152">
        <f>IF(COUNTIFS('United Data'!$A$3:$A$2150,P$1,'United Data'!$C$3:$C$2150,$A152,'United Data'!$B$3:$B$2150,"P")&gt;0,1,0)</f>
        <v>0</v>
      </c>
      <c r="Q152">
        <f>IF(COUNTIFS('United Data'!$A$3:$A$2150,Q$1,'United Data'!$C$3:$C$2150,$A152,'United Data'!$B$3:$B$2150,"P")&gt;0,1,0)</f>
        <v>0</v>
      </c>
      <c r="R152">
        <f>IF(COUNTIFS('United Data'!$A$3:$A$2150,R$1,'United Data'!$C$3:$C$2150,$A152,'United Data'!$B$3:$B$2150,"P")&gt;0,1,0)</f>
        <v>0</v>
      </c>
      <c r="S152">
        <f t="shared" si="4"/>
        <v>1</v>
      </c>
      <c r="T152">
        <f t="shared" si="5"/>
        <v>1</v>
      </c>
    </row>
    <row r="153" spans="1:20" x14ac:dyDescent="0.2">
      <c r="A153" t="s">
        <v>921</v>
      </c>
      <c r="B153">
        <f>IF(COUNTIFS('United Data'!$A$3:$A$2150,B$1,'United Data'!$C$3:$C$2150,$A153,'United Data'!$B$3:$B$2150,"P")&gt;0,1,0)</f>
        <v>0</v>
      </c>
      <c r="C153">
        <f>IF(COUNTIFS('United Data'!$A$3:$A$2150,C$1,'United Data'!$C$3:$C$2150,$A153,'United Data'!$B$3:$B$2150,"P")&gt;0,1,0)</f>
        <v>0</v>
      </c>
      <c r="D153">
        <f>IF(COUNTIFS('United Data'!$A$3:$A$2150,D$1,'United Data'!$C$3:$C$2150,$A153,'United Data'!$B$3:$B$2150,"P")&gt;0,1,0)</f>
        <v>0</v>
      </c>
      <c r="E153">
        <f>IF(COUNTIFS('United Data'!$A$3:$A$2150,E$1,'United Data'!$C$3:$C$2150,$A153,'United Data'!$B$3:$B$2150,"P")&gt;0,1,0)</f>
        <v>0</v>
      </c>
      <c r="F153">
        <f>IF(COUNTIFS('United Data'!$A$3:$A$2150,F$1,'United Data'!$C$3:$C$2150,$A153,'United Data'!$B$3:$B$2150,"P")&gt;0,1,0)</f>
        <v>0</v>
      </c>
      <c r="G153">
        <f>IF(COUNTIFS('United Data'!$A$3:$A$2150,G$1,'United Data'!$C$3:$C$2150,$A153,'United Data'!$B$3:$B$2150,"P")&gt;0,1,0)</f>
        <v>0</v>
      </c>
      <c r="H153">
        <f>IF(COUNTIFS('United Data'!$A$3:$A$2150,H$1,'United Data'!$C$3:$C$2150,$A153,'United Data'!$B$3:$B$2150,"P")&gt;0,1,0)</f>
        <v>0</v>
      </c>
      <c r="I153">
        <f>IF(COUNTIFS('United Data'!$A$3:$A$2150,I$1,'United Data'!$C$3:$C$2150,$A153,'United Data'!$B$3:$B$2150,"P")&gt;0,1,0)</f>
        <v>0</v>
      </c>
      <c r="J153">
        <f>IF(COUNTIFS('United Data'!$A$3:$A$2150,J$1,'United Data'!$C$3:$C$2150,$A153,'United Data'!$B$3:$B$2150,"P")&gt;0,1,0)</f>
        <v>0</v>
      </c>
      <c r="K153">
        <f>IF(COUNTIFS('United Data'!$A$3:$A$2150,K$1,'United Data'!$C$3:$C$2150,$A153,'United Data'!$B$3:$B$2150,"P")&gt;0,1,0)</f>
        <v>1</v>
      </c>
      <c r="L153">
        <f>IF(COUNTIFS('United Data'!$A$3:$A$2150,L$1,'United Data'!$C$3:$C$2150,$A153,'United Data'!$B$3:$B$2150,"P")&gt;0,1,0)</f>
        <v>0</v>
      </c>
      <c r="M153">
        <f>IF(COUNTIFS('United Data'!$A$3:$A$2150,M$1,'United Data'!$C$3:$C$2150,$A153,'United Data'!$B$3:$B$2150,"P")&gt;0,1,0)</f>
        <v>0</v>
      </c>
      <c r="N153">
        <f>IF(COUNTIFS('United Data'!$A$3:$A$2150,N$1,'United Data'!$C$3:$C$2150,$A153,'United Data'!$B$3:$B$2150,"P")&gt;0,1,0)</f>
        <v>0</v>
      </c>
      <c r="O153">
        <f>IF(COUNTIFS('United Data'!$A$3:$A$2150,O$1,'United Data'!$C$3:$C$2150,$A153,'United Data'!$B$3:$B$2150,"P")&gt;0,1,0)</f>
        <v>0</v>
      </c>
      <c r="P153">
        <f>IF(COUNTIFS('United Data'!$A$3:$A$2150,P$1,'United Data'!$C$3:$C$2150,$A153,'United Data'!$B$3:$B$2150,"P")&gt;0,1,0)</f>
        <v>0</v>
      </c>
      <c r="Q153">
        <f>IF(COUNTIFS('United Data'!$A$3:$A$2150,Q$1,'United Data'!$C$3:$C$2150,$A153,'United Data'!$B$3:$B$2150,"P")&gt;0,1,0)</f>
        <v>0</v>
      </c>
      <c r="R153">
        <f>IF(COUNTIFS('United Data'!$A$3:$A$2150,R$1,'United Data'!$C$3:$C$2150,$A153,'United Data'!$B$3:$B$2150,"P")&gt;0,1,0)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922</v>
      </c>
      <c r="B154">
        <f>IF(COUNTIFS('United Data'!$A$3:$A$2150,B$1,'United Data'!$C$3:$C$2150,$A154,'United Data'!$B$3:$B$2150,"P")&gt;0,1,0)</f>
        <v>0</v>
      </c>
      <c r="C154">
        <f>IF(COUNTIFS('United Data'!$A$3:$A$2150,C$1,'United Data'!$C$3:$C$2150,$A154,'United Data'!$B$3:$B$2150,"P")&gt;0,1,0)</f>
        <v>0</v>
      </c>
      <c r="D154">
        <f>IF(COUNTIFS('United Data'!$A$3:$A$2150,D$1,'United Data'!$C$3:$C$2150,$A154,'United Data'!$B$3:$B$2150,"P")&gt;0,1,0)</f>
        <v>0</v>
      </c>
      <c r="E154">
        <f>IF(COUNTIFS('United Data'!$A$3:$A$2150,E$1,'United Data'!$C$3:$C$2150,$A154,'United Data'!$B$3:$B$2150,"P")&gt;0,1,0)</f>
        <v>0</v>
      </c>
      <c r="F154">
        <f>IF(COUNTIFS('United Data'!$A$3:$A$2150,F$1,'United Data'!$C$3:$C$2150,$A154,'United Data'!$B$3:$B$2150,"P")&gt;0,1,0)</f>
        <v>0</v>
      </c>
      <c r="G154">
        <f>IF(COUNTIFS('United Data'!$A$3:$A$2150,G$1,'United Data'!$C$3:$C$2150,$A154,'United Data'!$B$3:$B$2150,"P")&gt;0,1,0)</f>
        <v>0</v>
      </c>
      <c r="H154">
        <f>IF(COUNTIFS('United Data'!$A$3:$A$2150,H$1,'United Data'!$C$3:$C$2150,$A154,'United Data'!$B$3:$B$2150,"P")&gt;0,1,0)</f>
        <v>0</v>
      </c>
      <c r="I154">
        <f>IF(COUNTIFS('United Data'!$A$3:$A$2150,I$1,'United Data'!$C$3:$C$2150,$A154,'United Data'!$B$3:$B$2150,"P")&gt;0,1,0)</f>
        <v>0</v>
      </c>
      <c r="J154">
        <f>IF(COUNTIFS('United Data'!$A$3:$A$2150,J$1,'United Data'!$C$3:$C$2150,$A154,'United Data'!$B$3:$B$2150,"P")&gt;0,1,0)</f>
        <v>0</v>
      </c>
      <c r="K154">
        <f>IF(COUNTIFS('United Data'!$A$3:$A$2150,K$1,'United Data'!$C$3:$C$2150,$A154,'United Data'!$B$3:$B$2150,"P")&gt;0,1,0)</f>
        <v>1</v>
      </c>
      <c r="L154">
        <f>IF(COUNTIFS('United Data'!$A$3:$A$2150,L$1,'United Data'!$C$3:$C$2150,$A154,'United Data'!$B$3:$B$2150,"P")&gt;0,1,0)</f>
        <v>0</v>
      </c>
      <c r="M154">
        <f>IF(COUNTIFS('United Data'!$A$3:$A$2150,M$1,'United Data'!$C$3:$C$2150,$A154,'United Data'!$B$3:$B$2150,"P")&gt;0,1,0)</f>
        <v>0</v>
      </c>
      <c r="N154">
        <f>IF(COUNTIFS('United Data'!$A$3:$A$2150,N$1,'United Data'!$C$3:$C$2150,$A154,'United Data'!$B$3:$B$2150,"P")&gt;0,1,0)</f>
        <v>0</v>
      </c>
      <c r="O154">
        <f>IF(COUNTIFS('United Data'!$A$3:$A$2150,O$1,'United Data'!$C$3:$C$2150,$A154,'United Data'!$B$3:$B$2150,"P")&gt;0,1,0)</f>
        <v>0</v>
      </c>
      <c r="P154">
        <f>IF(COUNTIFS('United Data'!$A$3:$A$2150,P$1,'United Data'!$C$3:$C$2150,$A154,'United Data'!$B$3:$B$2150,"P")&gt;0,1,0)</f>
        <v>0</v>
      </c>
      <c r="Q154">
        <f>IF(COUNTIFS('United Data'!$A$3:$A$2150,Q$1,'United Data'!$C$3:$C$2150,$A154,'United Data'!$B$3:$B$2150,"P")&gt;0,1,0)</f>
        <v>0</v>
      </c>
      <c r="R154">
        <f>IF(COUNTIFS('United Data'!$A$3:$A$2150,R$1,'United Data'!$C$3:$C$2150,$A154,'United Data'!$B$3:$B$2150,"P")&gt;0,1,0)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923</v>
      </c>
      <c r="B155">
        <f>IF(COUNTIFS('United Data'!$A$3:$A$2150,B$1,'United Data'!$C$3:$C$2150,$A155,'United Data'!$B$3:$B$2150,"P")&gt;0,1,0)</f>
        <v>0</v>
      </c>
      <c r="C155">
        <f>IF(COUNTIFS('United Data'!$A$3:$A$2150,C$1,'United Data'!$C$3:$C$2150,$A155,'United Data'!$B$3:$B$2150,"P")&gt;0,1,0)</f>
        <v>0</v>
      </c>
      <c r="D155">
        <f>IF(COUNTIFS('United Data'!$A$3:$A$2150,D$1,'United Data'!$C$3:$C$2150,$A155,'United Data'!$B$3:$B$2150,"P")&gt;0,1,0)</f>
        <v>0</v>
      </c>
      <c r="E155">
        <f>IF(COUNTIFS('United Data'!$A$3:$A$2150,E$1,'United Data'!$C$3:$C$2150,$A155,'United Data'!$B$3:$B$2150,"P")&gt;0,1,0)</f>
        <v>0</v>
      </c>
      <c r="F155">
        <f>IF(COUNTIFS('United Data'!$A$3:$A$2150,F$1,'United Data'!$C$3:$C$2150,$A155,'United Data'!$B$3:$B$2150,"P")&gt;0,1,0)</f>
        <v>0</v>
      </c>
      <c r="G155">
        <f>IF(COUNTIFS('United Data'!$A$3:$A$2150,G$1,'United Data'!$C$3:$C$2150,$A155,'United Data'!$B$3:$B$2150,"P")&gt;0,1,0)</f>
        <v>0</v>
      </c>
      <c r="H155">
        <f>IF(COUNTIFS('United Data'!$A$3:$A$2150,H$1,'United Data'!$C$3:$C$2150,$A155,'United Data'!$B$3:$B$2150,"P")&gt;0,1,0)</f>
        <v>0</v>
      </c>
      <c r="I155">
        <f>IF(COUNTIFS('United Data'!$A$3:$A$2150,I$1,'United Data'!$C$3:$C$2150,$A155,'United Data'!$B$3:$B$2150,"P")&gt;0,1,0)</f>
        <v>0</v>
      </c>
      <c r="J155">
        <f>IF(COUNTIFS('United Data'!$A$3:$A$2150,J$1,'United Data'!$C$3:$C$2150,$A155,'United Data'!$B$3:$B$2150,"P")&gt;0,1,0)</f>
        <v>0</v>
      </c>
      <c r="K155">
        <f>IF(COUNTIFS('United Data'!$A$3:$A$2150,K$1,'United Data'!$C$3:$C$2150,$A155,'United Data'!$B$3:$B$2150,"P")&gt;0,1,0)</f>
        <v>1</v>
      </c>
      <c r="L155">
        <f>IF(COUNTIFS('United Data'!$A$3:$A$2150,L$1,'United Data'!$C$3:$C$2150,$A155,'United Data'!$B$3:$B$2150,"P")&gt;0,1,0)</f>
        <v>0</v>
      </c>
      <c r="M155">
        <f>IF(COUNTIFS('United Data'!$A$3:$A$2150,M$1,'United Data'!$C$3:$C$2150,$A155,'United Data'!$B$3:$B$2150,"P")&gt;0,1,0)</f>
        <v>0</v>
      </c>
      <c r="N155">
        <f>IF(COUNTIFS('United Data'!$A$3:$A$2150,N$1,'United Data'!$C$3:$C$2150,$A155,'United Data'!$B$3:$B$2150,"P")&gt;0,1,0)</f>
        <v>0</v>
      </c>
      <c r="O155">
        <f>IF(COUNTIFS('United Data'!$A$3:$A$2150,O$1,'United Data'!$C$3:$C$2150,$A155,'United Data'!$B$3:$B$2150,"P")&gt;0,1,0)</f>
        <v>0</v>
      </c>
      <c r="P155">
        <f>IF(COUNTIFS('United Data'!$A$3:$A$2150,P$1,'United Data'!$C$3:$C$2150,$A155,'United Data'!$B$3:$B$2150,"P")&gt;0,1,0)</f>
        <v>0</v>
      </c>
      <c r="Q155">
        <f>IF(COUNTIFS('United Data'!$A$3:$A$2150,Q$1,'United Data'!$C$3:$C$2150,$A155,'United Data'!$B$3:$B$2150,"P")&gt;0,1,0)</f>
        <v>0</v>
      </c>
      <c r="R155">
        <f>IF(COUNTIFS('United Data'!$A$3:$A$2150,R$1,'United Data'!$C$3:$C$2150,$A155,'United Data'!$B$3:$B$2150,"P")&gt;0,1,0)</f>
        <v>0</v>
      </c>
      <c r="S155">
        <f t="shared" si="4"/>
        <v>1</v>
      </c>
      <c r="T155">
        <f t="shared" si="5"/>
        <v>1</v>
      </c>
    </row>
    <row r="156" spans="1:20" x14ac:dyDescent="0.2">
      <c r="A156" t="s">
        <v>924</v>
      </c>
      <c r="B156">
        <f>IF(COUNTIFS('United Data'!$A$3:$A$2150,B$1,'United Data'!$C$3:$C$2150,$A156,'United Data'!$B$3:$B$2150,"P")&gt;0,1,0)</f>
        <v>0</v>
      </c>
      <c r="C156">
        <f>IF(COUNTIFS('United Data'!$A$3:$A$2150,C$1,'United Data'!$C$3:$C$2150,$A156,'United Data'!$B$3:$B$2150,"P")&gt;0,1,0)</f>
        <v>0</v>
      </c>
      <c r="D156">
        <f>IF(COUNTIFS('United Data'!$A$3:$A$2150,D$1,'United Data'!$C$3:$C$2150,$A156,'United Data'!$B$3:$B$2150,"P")&gt;0,1,0)</f>
        <v>0</v>
      </c>
      <c r="E156">
        <f>IF(COUNTIFS('United Data'!$A$3:$A$2150,E$1,'United Data'!$C$3:$C$2150,$A156,'United Data'!$B$3:$B$2150,"P")&gt;0,1,0)</f>
        <v>0</v>
      </c>
      <c r="F156">
        <f>IF(COUNTIFS('United Data'!$A$3:$A$2150,F$1,'United Data'!$C$3:$C$2150,$A156,'United Data'!$B$3:$B$2150,"P")&gt;0,1,0)</f>
        <v>0</v>
      </c>
      <c r="G156">
        <f>IF(COUNTIFS('United Data'!$A$3:$A$2150,G$1,'United Data'!$C$3:$C$2150,$A156,'United Data'!$B$3:$B$2150,"P")&gt;0,1,0)</f>
        <v>0</v>
      </c>
      <c r="H156">
        <f>IF(COUNTIFS('United Data'!$A$3:$A$2150,H$1,'United Data'!$C$3:$C$2150,$A156,'United Data'!$B$3:$B$2150,"P")&gt;0,1,0)</f>
        <v>0</v>
      </c>
      <c r="I156">
        <f>IF(COUNTIFS('United Data'!$A$3:$A$2150,I$1,'United Data'!$C$3:$C$2150,$A156,'United Data'!$B$3:$B$2150,"P")&gt;0,1,0)</f>
        <v>0</v>
      </c>
      <c r="J156">
        <f>IF(COUNTIFS('United Data'!$A$3:$A$2150,J$1,'United Data'!$C$3:$C$2150,$A156,'United Data'!$B$3:$B$2150,"P")&gt;0,1,0)</f>
        <v>0</v>
      </c>
      <c r="K156">
        <f>IF(COUNTIFS('United Data'!$A$3:$A$2150,K$1,'United Data'!$C$3:$C$2150,$A156,'United Data'!$B$3:$B$2150,"P")&gt;0,1,0)</f>
        <v>1</v>
      </c>
      <c r="L156">
        <f>IF(COUNTIFS('United Data'!$A$3:$A$2150,L$1,'United Data'!$C$3:$C$2150,$A156,'United Data'!$B$3:$B$2150,"P")&gt;0,1,0)</f>
        <v>0</v>
      </c>
      <c r="M156">
        <f>IF(COUNTIFS('United Data'!$A$3:$A$2150,M$1,'United Data'!$C$3:$C$2150,$A156,'United Data'!$B$3:$B$2150,"P")&gt;0,1,0)</f>
        <v>0</v>
      </c>
      <c r="N156">
        <f>IF(COUNTIFS('United Data'!$A$3:$A$2150,N$1,'United Data'!$C$3:$C$2150,$A156,'United Data'!$B$3:$B$2150,"P")&gt;0,1,0)</f>
        <v>0</v>
      </c>
      <c r="O156">
        <f>IF(COUNTIFS('United Data'!$A$3:$A$2150,O$1,'United Data'!$C$3:$C$2150,$A156,'United Data'!$B$3:$B$2150,"P")&gt;0,1,0)</f>
        <v>0</v>
      </c>
      <c r="P156">
        <f>IF(COUNTIFS('United Data'!$A$3:$A$2150,P$1,'United Data'!$C$3:$C$2150,$A156,'United Data'!$B$3:$B$2150,"P")&gt;0,1,0)</f>
        <v>0</v>
      </c>
      <c r="Q156">
        <f>IF(COUNTIFS('United Data'!$A$3:$A$2150,Q$1,'United Data'!$C$3:$C$2150,$A156,'United Data'!$B$3:$B$2150,"P")&gt;0,1,0)</f>
        <v>0</v>
      </c>
      <c r="R156">
        <f>IF(COUNTIFS('United Data'!$A$3:$A$2150,R$1,'United Data'!$C$3:$C$2150,$A156,'United Data'!$B$3:$B$2150,"P")&gt;0,1,0)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925</v>
      </c>
      <c r="B157">
        <f>IF(COUNTIFS('United Data'!$A$3:$A$2150,B$1,'United Data'!$C$3:$C$2150,$A157,'United Data'!$B$3:$B$2150,"P")&gt;0,1,0)</f>
        <v>0</v>
      </c>
      <c r="C157">
        <f>IF(COUNTIFS('United Data'!$A$3:$A$2150,C$1,'United Data'!$C$3:$C$2150,$A157,'United Data'!$B$3:$B$2150,"P")&gt;0,1,0)</f>
        <v>0</v>
      </c>
      <c r="D157">
        <f>IF(COUNTIFS('United Data'!$A$3:$A$2150,D$1,'United Data'!$C$3:$C$2150,$A157,'United Data'!$B$3:$B$2150,"P")&gt;0,1,0)</f>
        <v>0</v>
      </c>
      <c r="E157">
        <f>IF(COUNTIFS('United Data'!$A$3:$A$2150,E$1,'United Data'!$C$3:$C$2150,$A157,'United Data'!$B$3:$B$2150,"P")&gt;0,1,0)</f>
        <v>0</v>
      </c>
      <c r="F157">
        <f>IF(COUNTIFS('United Data'!$A$3:$A$2150,F$1,'United Data'!$C$3:$C$2150,$A157,'United Data'!$B$3:$B$2150,"P")&gt;0,1,0)</f>
        <v>0</v>
      </c>
      <c r="G157">
        <f>IF(COUNTIFS('United Data'!$A$3:$A$2150,G$1,'United Data'!$C$3:$C$2150,$A157,'United Data'!$B$3:$B$2150,"P")&gt;0,1,0)</f>
        <v>0</v>
      </c>
      <c r="H157">
        <f>IF(COUNTIFS('United Data'!$A$3:$A$2150,H$1,'United Data'!$C$3:$C$2150,$A157,'United Data'!$B$3:$B$2150,"P")&gt;0,1,0)</f>
        <v>0</v>
      </c>
      <c r="I157">
        <f>IF(COUNTIFS('United Data'!$A$3:$A$2150,I$1,'United Data'!$C$3:$C$2150,$A157,'United Data'!$B$3:$B$2150,"P")&gt;0,1,0)</f>
        <v>0</v>
      </c>
      <c r="J157">
        <f>IF(COUNTIFS('United Data'!$A$3:$A$2150,J$1,'United Data'!$C$3:$C$2150,$A157,'United Data'!$B$3:$B$2150,"P")&gt;0,1,0)</f>
        <v>0</v>
      </c>
      <c r="K157">
        <f>IF(COUNTIFS('United Data'!$A$3:$A$2150,K$1,'United Data'!$C$3:$C$2150,$A157,'United Data'!$B$3:$B$2150,"P")&gt;0,1,0)</f>
        <v>1</v>
      </c>
      <c r="L157">
        <f>IF(COUNTIFS('United Data'!$A$3:$A$2150,L$1,'United Data'!$C$3:$C$2150,$A157,'United Data'!$B$3:$B$2150,"P")&gt;0,1,0)</f>
        <v>0</v>
      </c>
      <c r="M157">
        <f>IF(COUNTIFS('United Data'!$A$3:$A$2150,M$1,'United Data'!$C$3:$C$2150,$A157,'United Data'!$B$3:$B$2150,"P")&gt;0,1,0)</f>
        <v>0</v>
      </c>
      <c r="N157">
        <f>IF(COUNTIFS('United Data'!$A$3:$A$2150,N$1,'United Data'!$C$3:$C$2150,$A157,'United Data'!$B$3:$B$2150,"P")&gt;0,1,0)</f>
        <v>0</v>
      </c>
      <c r="O157">
        <f>IF(COUNTIFS('United Data'!$A$3:$A$2150,O$1,'United Data'!$C$3:$C$2150,$A157,'United Data'!$B$3:$B$2150,"P")&gt;0,1,0)</f>
        <v>0</v>
      </c>
      <c r="P157">
        <f>IF(COUNTIFS('United Data'!$A$3:$A$2150,P$1,'United Data'!$C$3:$C$2150,$A157,'United Data'!$B$3:$B$2150,"P")&gt;0,1,0)</f>
        <v>0</v>
      </c>
      <c r="Q157">
        <f>IF(COUNTIFS('United Data'!$A$3:$A$2150,Q$1,'United Data'!$C$3:$C$2150,$A157,'United Data'!$B$3:$B$2150,"P")&gt;0,1,0)</f>
        <v>0</v>
      </c>
      <c r="R157">
        <f>IF(COUNTIFS('United Data'!$A$3:$A$2150,R$1,'United Data'!$C$3:$C$2150,$A157,'United Data'!$B$3:$B$2150,"P")&gt;0,1,0)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926</v>
      </c>
      <c r="B158">
        <f>IF(COUNTIFS('United Data'!$A$3:$A$2150,B$1,'United Data'!$C$3:$C$2150,$A158,'United Data'!$B$3:$B$2150,"P")&gt;0,1,0)</f>
        <v>0</v>
      </c>
      <c r="C158">
        <f>IF(COUNTIFS('United Data'!$A$3:$A$2150,C$1,'United Data'!$C$3:$C$2150,$A158,'United Data'!$B$3:$B$2150,"P")&gt;0,1,0)</f>
        <v>0</v>
      </c>
      <c r="D158">
        <f>IF(COUNTIFS('United Data'!$A$3:$A$2150,D$1,'United Data'!$C$3:$C$2150,$A158,'United Data'!$B$3:$B$2150,"P")&gt;0,1,0)</f>
        <v>0</v>
      </c>
      <c r="E158">
        <f>IF(COUNTIFS('United Data'!$A$3:$A$2150,E$1,'United Data'!$C$3:$C$2150,$A158,'United Data'!$B$3:$B$2150,"P")&gt;0,1,0)</f>
        <v>0</v>
      </c>
      <c r="F158">
        <f>IF(COUNTIFS('United Data'!$A$3:$A$2150,F$1,'United Data'!$C$3:$C$2150,$A158,'United Data'!$B$3:$B$2150,"P")&gt;0,1,0)</f>
        <v>0</v>
      </c>
      <c r="G158">
        <f>IF(COUNTIFS('United Data'!$A$3:$A$2150,G$1,'United Data'!$C$3:$C$2150,$A158,'United Data'!$B$3:$B$2150,"P")&gt;0,1,0)</f>
        <v>0</v>
      </c>
      <c r="H158">
        <f>IF(COUNTIFS('United Data'!$A$3:$A$2150,H$1,'United Data'!$C$3:$C$2150,$A158,'United Data'!$B$3:$B$2150,"P")&gt;0,1,0)</f>
        <v>0</v>
      </c>
      <c r="I158">
        <f>IF(COUNTIFS('United Data'!$A$3:$A$2150,I$1,'United Data'!$C$3:$C$2150,$A158,'United Data'!$B$3:$B$2150,"P")&gt;0,1,0)</f>
        <v>0</v>
      </c>
      <c r="J158">
        <f>IF(COUNTIFS('United Data'!$A$3:$A$2150,J$1,'United Data'!$C$3:$C$2150,$A158,'United Data'!$B$3:$B$2150,"P")&gt;0,1,0)</f>
        <v>0</v>
      </c>
      <c r="K158">
        <f>IF(COUNTIFS('United Data'!$A$3:$A$2150,K$1,'United Data'!$C$3:$C$2150,$A158,'United Data'!$B$3:$B$2150,"P")&gt;0,1,0)</f>
        <v>1</v>
      </c>
      <c r="L158">
        <f>IF(COUNTIFS('United Data'!$A$3:$A$2150,L$1,'United Data'!$C$3:$C$2150,$A158,'United Data'!$B$3:$B$2150,"P")&gt;0,1,0)</f>
        <v>0</v>
      </c>
      <c r="M158">
        <f>IF(COUNTIFS('United Data'!$A$3:$A$2150,M$1,'United Data'!$C$3:$C$2150,$A158,'United Data'!$B$3:$B$2150,"P")&gt;0,1,0)</f>
        <v>0</v>
      </c>
      <c r="N158">
        <f>IF(COUNTIFS('United Data'!$A$3:$A$2150,N$1,'United Data'!$C$3:$C$2150,$A158,'United Data'!$B$3:$B$2150,"P")&gt;0,1,0)</f>
        <v>0</v>
      </c>
      <c r="O158">
        <f>IF(COUNTIFS('United Data'!$A$3:$A$2150,O$1,'United Data'!$C$3:$C$2150,$A158,'United Data'!$B$3:$B$2150,"P")&gt;0,1,0)</f>
        <v>0</v>
      </c>
      <c r="P158">
        <f>IF(COUNTIFS('United Data'!$A$3:$A$2150,P$1,'United Data'!$C$3:$C$2150,$A158,'United Data'!$B$3:$B$2150,"P")&gt;0,1,0)</f>
        <v>0</v>
      </c>
      <c r="Q158">
        <f>IF(COUNTIFS('United Data'!$A$3:$A$2150,Q$1,'United Data'!$C$3:$C$2150,$A158,'United Data'!$B$3:$B$2150,"P")&gt;0,1,0)</f>
        <v>0</v>
      </c>
      <c r="R158">
        <f>IF(COUNTIFS('United Data'!$A$3:$A$2150,R$1,'United Data'!$C$3:$C$2150,$A158,'United Data'!$B$3:$B$2150,"P")&gt;0,1,0)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927</v>
      </c>
      <c r="B159">
        <f>IF(COUNTIFS('United Data'!$A$3:$A$2150,B$1,'United Data'!$C$3:$C$2150,$A159,'United Data'!$B$3:$B$2150,"P")&gt;0,1,0)</f>
        <v>0</v>
      </c>
      <c r="C159">
        <f>IF(COUNTIFS('United Data'!$A$3:$A$2150,C$1,'United Data'!$C$3:$C$2150,$A159,'United Data'!$B$3:$B$2150,"P")&gt;0,1,0)</f>
        <v>0</v>
      </c>
      <c r="D159">
        <f>IF(COUNTIFS('United Data'!$A$3:$A$2150,D$1,'United Data'!$C$3:$C$2150,$A159,'United Data'!$B$3:$B$2150,"P")&gt;0,1,0)</f>
        <v>0</v>
      </c>
      <c r="E159">
        <f>IF(COUNTIFS('United Data'!$A$3:$A$2150,E$1,'United Data'!$C$3:$C$2150,$A159,'United Data'!$B$3:$B$2150,"P")&gt;0,1,0)</f>
        <v>0</v>
      </c>
      <c r="F159">
        <f>IF(COUNTIFS('United Data'!$A$3:$A$2150,F$1,'United Data'!$C$3:$C$2150,$A159,'United Data'!$B$3:$B$2150,"P")&gt;0,1,0)</f>
        <v>0</v>
      </c>
      <c r="G159">
        <f>IF(COUNTIFS('United Data'!$A$3:$A$2150,G$1,'United Data'!$C$3:$C$2150,$A159,'United Data'!$B$3:$B$2150,"P")&gt;0,1,0)</f>
        <v>0</v>
      </c>
      <c r="H159">
        <f>IF(COUNTIFS('United Data'!$A$3:$A$2150,H$1,'United Data'!$C$3:$C$2150,$A159,'United Data'!$B$3:$B$2150,"P")&gt;0,1,0)</f>
        <v>0</v>
      </c>
      <c r="I159">
        <f>IF(COUNTIFS('United Data'!$A$3:$A$2150,I$1,'United Data'!$C$3:$C$2150,$A159,'United Data'!$B$3:$B$2150,"P")&gt;0,1,0)</f>
        <v>0</v>
      </c>
      <c r="J159">
        <f>IF(COUNTIFS('United Data'!$A$3:$A$2150,J$1,'United Data'!$C$3:$C$2150,$A159,'United Data'!$B$3:$B$2150,"P")&gt;0,1,0)</f>
        <v>0</v>
      </c>
      <c r="K159">
        <f>IF(COUNTIFS('United Data'!$A$3:$A$2150,K$1,'United Data'!$C$3:$C$2150,$A159,'United Data'!$B$3:$B$2150,"P")&gt;0,1,0)</f>
        <v>1</v>
      </c>
      <c r="L159">
        <f>IF(COUNTIFS('United Data'!$A$3:$A$2150,L$1,'United Data'!$C$3:$C$2150,$A159,'United Data'!$B$3:$B$2150,"P")&gt;0,1,0)</f>
        <v>1</v>
      </c>
      <c r="M159">
        <f>IF(COUNTIFS('United Data'!$A$3:$A$2150,M$1,'United Data'!$C$3:$C$2150,$A159,'United Data'!$B$3:$B$2150,"P")&gt;0,1,0)</f>
        <v>0</v>
      </c>
      <c r="N159">
        <f>IF(COUNTIFS('United Data'!$A$3:$A$2150,N$1,'United Data'!$C$3:$C$2150,$A159,'United Data'!$B$3:$B$2150,"P")&gt;0,1,0)</f>
        <v>0</v>
      </c>
      <c r="O159">
        <f>IF(COUNTIFS('United Data'!$A$3:$A$2150,O$1,'United Data'!$C$3:$C$2150,$A159,'United Data'!$B$3:$B$2150,"P")&gt;0,1,0)</f>
        <v>0</v>
      </c>
      <c r="P159">
        <f>IF(COUNTIFS('United Data'!$A$3:$A$2150,P$1,'United Data'!$C$3:$C$2150,$A159,'United Data'!$B$3:$B$2150,"P")&gt;0,1,0)</f>
        <v>0</v>
      </c>
      <c r="Q159">
        <f>IF(COUNTIFS('United Data'!$A$3:$A$2150,Q$1,'United Data'!$C$3:$C$2150,$A159,'United Data'!$B$3:$B$2150,"P")&gt;0,1,0)</f>
        <v>0</v>
      </c>
      <c r="R159">
        <f>IF(COUNTIFS('United Data'!$A$3:$A$2150,R$1,'United Data'!$C$3:$C$2150,$A159,'United Data'!$B$3:$B$2150,"P")&gt;0,1,0)</f>
        <v>0</v>
      </c>
      <c r="S159">
        <f t="shared" si="4"/>
        <v>2</v>
      </c>
      <c r="T159">
        <f t="shared" si="5"/>
        <v>1</v>
      </c>
    </row>
    <row r="160" spans="1:20" x14ac:dyDescent="0.2">
      <c r="A160" t="s">
        <v>928</v>
      </c>
      <c r="B160">
        <f>IF(COUNTIFS('United Data'!$A$3:$A$2150,B$1,'United Data'!$C$3:$C$2150,$A160,'United Data'!$B$3:$B$2150,"P")&gt;0,1,0)</f>
        <v>0</v>
      </c>
      <c r="C160">
        <f>IF(COUNTIFS('United Data'!$A$3:$A$2150,C$1,'United Data'!$C$3:$C$2150,$A160,'United Data'!$B$3:$B$2150,"P")&gt;0,1,0)</f>
        <v>0</v>
      </c>
      <c r="D160">
        <f>IF(COUNTIFS('United Data'!$A$3:$A$2150,D$1,'United Data'!$C$3:$C$2150,$A160,'United Data'!$B$3:$B$2150,"P")&gt;0,1,0)</f>
        <v>0</v>
      </c>
      <c r="E160">
        <f>IF(COUNTIFS('United Data'!$A$3:$A$2150,E$1,'United Data'!$C$3:$C$2150,$A160,'United Data'!$B$3:$B$2150,"P")&gt;0,1,0)</f>
        <v>0</v>
      </c>
      <c r="F160">
        <f>IF(COUNTIFS('United Data'!$A$3:$A$2150,F$1,'United Data'!$C$3:$C$2150,$A160,'United Data'!$B$3:$B$2150,"P")&gt;0,1,0)</f>
        <v>0</v>
      </c>
      <c r="G160">
        <f>IF(COUNTIFS('United Data'!$A$3:$A$2150,G$1,'United Data'!$C$3:$C$2150,$A160,'United Data'!$B$3:$B$2150,"P")&gt;0,1,0)</f>
        <v>0</v>
      </c>
      <c r="H160">
        <f>IF(COUNTIFS('United Data'!$A$3:$A$2150,H$1,'United Data'!$C$3:$C$2150,$A160,'United Data'!$B$3:$B$2150,"P")&gt;0,1,0)</f>
        <v>0</v>
      </c>
      <c r="I160">
        <f>IF(COUNTIFS('United Data'!$A$3:$A$2150,I$1,'United Data'!$C$3:$C$2150,$A160,'United Data'!$B$3:$B$2150,"P")&gt;0,1,0)</f>
        <v>0</v>
      </c>
      <c r="J160">
        <f>IF(COUNTIFS('United Data'!$A$3:$A$2150,J$1,'United Data'!$C$3:$C$2150,$A160,'United Data'!$B$3:$B$2150,"P")&gt;0,1,0)</f>
        <v>0</v>
      </c>
      <c r="K160">
        <f>IF(COUNTIFS('United Data'!$A$3:$A$2150,K$1,'United Data'!$C$3:$C$2150,$A160,'United Data'!$B$3:$B$2150,"P")&gt;0,1,0)</f>
        <v>1</v>
      </c>
      <c r="L160">
        <f>IF(COUNTIFS('United Data'!$A$3:$A$2150,L$1,'United Data'!$C$3:$C$2150,$A160,'United Data'!$B$3:$B$2150,"P")&gt;0,1,0)</f>
        <v>0</v>
      </c>
      <c r="M160">
        <f>IF(COUNTIFS('United Data'!$A$3:$A$2150,M$1,'United Data'!$C$3:$C$2150,$A160,'United Data'!$B$3:$B$2150,"P")&gt;0,1,0)</f>
        <v>0</v>
      </c>
      <c r="N160">
        <f>IF(COUNTIFS('United Data'!$A$3:$A$2150,N$1,'United Data'!$C$3:$C$2150,$A160,'United Data'!$B$3:$B$2150,"P")&gt;0,1,0)</f>
        <v>0</v>
      </c>
      <c r="O160">
        <f>IF(COUNTIFS('United Data'!$A$3:$A$2150,O$1,'United Data'!$C$3:$C$2150,$A160,'United Data'!$B$3:$B$2150,"P")&gt;0,1,0)</f>
        <v>0</v>
      </c>
      <c r="P160">
        <f>IF(COUNTIFS('United Data'!$A$3:$A$2150,P$1,'United Data'!$C$3:$C$2150,$A160,'United Data'!$B$3:$B$2150,"P")&gt;0,1,0)</f>
        <v>0</v>
      </c>
      <c r="Q160">
        <f>IF(COUNTIFS('United Data'!$A$3:$A$2150,Q$1,'United Data'!$C$3:$C$2150,$A160,'United Data'!$B$3:$B$2150,"P")&gt;0,1,0)</f>
        <v>0</v>
      </c>
      <c r="R160">
        <f>IF(COUNTIFS('United Data'!$A$3:$A$2150,R$1,'United Data'!$C$3:$C$2150,$A160,'United Data'!$B$3:$B$2150,"P")&gt;0,1,0)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929</v>
      </c>
      <c r="B161">
        <f>IF(COUNTIFS('United Data'!$A$3:$A$2150,B$1,'United Data'!$C$3:$C$2150,$A161,'United Data'!$B$3:$B$2150,"P")&gt;0,1,0)</f>
        <v>0</v>
      </c>
      <c r="C161">
        <f>IF(COUNTIFS('United Data'!$A$3:$A$2150,C$1,'United Data'!$C$3:$C$2150,$A161,'United Data'!$B$3:$B$2150,"P")&gt;0,1,0)</f>
        <v>0</v>
      </c>
      <c r="D161">
        <f>IF(COUNTIFS('United Data'!$A$3:$A$2150,D$1,'United Data'!$C$3:$C$2150,$A161,'United Data'!$B$3:$B$2150,"P")&gt;0,1,0)</f>
        <v>0</v>
      </c>
      <c r="E161">
        <f>IF(COUNTIFS('United Data'!$A$3:$A$2150,E$1,'United Data'!$C$3:$C$2150,$A161,'United Data'!$B$3:$B$2150,"P")&gt;0,1,0)</f>
        <v>0</v>
      </c>
      <c r="F161">
        <f>IF(COUNTIFS('United Data'!$A$3:$A$2150,F$1,'United Data'!$C$3:$C$2150,$A161,'United Data'!$B$3:$B$2150,"P")&gt;0,1,0)</f>
        <v>0</v>
      </c>
      <c r="G161">
        <f>IF(COUNTIFS('United Data'!$A$3:$A$2150,G$1,'United Data'!$C$3:$C$2150,$A161,'United Data'!$B$3:$B$2150,"P")&gt;0,1,0)</f>
        <v>0</v>
      </c>
      <c r="H161">
        <f>IF(COUNTIFS('United Data'!$A$3:$A$2150,H$1,'United Data'!$C$3:$C$2150,$A161,'United Data'!$B$3:$B$2150,"P")&gt;0,1,0)</f>
        <v>0</v>
      </c>
      <c r="I161">
        <f>IF(COUNTIFS('United Data'!$A$3:$A$2150,I$1,'United Data'!$C$3:$C$2150,$A161,'United Data'!$B$3:$B$2150,"P")&gt;0,1,0)</f>
        <v>0</v>
      </c>
      <c r="J161">
        <f>IF(COUNTIFS('United Data'!$A$3:$A$2150,J$1,'United Data'!$C$3:$C$2150,$A161,'United Data'!$B$3:$B$2150,"P")&gt;0,1,0)</f>
        <v>0</v>
      </c>
      <c r="K161">
        <f>IF(COUNTIFS('United Data'!$A$3:$A$2150,K$1,'United Data'!$C$3:$C$2150,$A161,'United Data'!$B$3:$B$2150,"P")&gt;0,1,0)</f>
        <v>1</v>
      </c>
      <c r="L161">
        <f>IF(COUNTIFS('United Data'!$A$3:$A$2150,L$1,'United Data'!$C$3:$C$2150,$A161,'United Data'!$B$3:$B$2150,"P")&gt;0,1,0)</f>
        <v>0</v>
      </c>
      <c r="M161">
        <f>IF(COUNTIFS('United Data'!$A$3:$A$2150,M$1,'United Data'!$C$3:$C$2150,$A161,'United Data'!$B$3:$B$2150,"P")&gt;0,1,0)</f>
        <v>0</v>
      </c>
      <c r="N161">
        <f>IF(COUNTIFS('United Data'!$A$3:$A$2150,N$1,'United Data'!$C$3:$C$2150,$A161,'United Data'!$B$3:$B$2150,"P")&gt;0,1,0)</f>
        <v>0</v>
      </c>
      <c r="O161">
        <f>IF(COUNTIFS('United Data'!$A$3:$A$2150,O$1,'United Data'!$C$3:$C$2150,$A161,'United Data'!$B$3:$B$2150,"P")&gt;0,1,0)</f>
        <v>0</v>
      </c>
      <c r="P161">
        <f>IF(COUNTIFS('United Data'!$A$3:$A$2150,P$1,'United Data'!$C$3:$C$2150,$A161,'United Data'!$B$3:$B$2150,"P")&gt;0,1,0)</f>
        <v>0</v>
      </c>
      <c r="Q161">
        <f>IF(COUNTIFS('United Data'!$A$3:$A$2150,Q$1,'United Data'!$C$3:$C$2150,$A161,'United Data'!$B$3:$B$2150,"P")&gt;0,1,0)</f>
        <v>0</v>
      </c>
      <c r="R161">
        <f>IF(COUNTIFS('United Data'!$A$3:$A$2150,R$1,'United Data'!$C$3:$C$2150,$A161,'United Data'!$B$3:$B$2150,"P")&gt;0,1,0)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930</v>
      </c>
      <c r="B162">
        <f>IF(COUNTIFS('United Data'!$A$3:$A$2150,B$1,'United Data'!$C$3:$C$2150,$A162,'United Data'!$B$3:$B$2150,"P")&gt;0,1,0)</f>
        <v>0</v>
      </c>
      <c r="C162">
        <f>IF(COUNTIFS('United Data'!$A$3:$A$2150,C$1,'United Data'!$C$3:$C$2150,$A162,'United Data'!$B$3:$B$2150,"P")&gt;0,1,0)</f>
        <v>0</v>
      </c>
      <c r="D162">
        <f>IF(COUNTIFS('United Data'!$A$3:$A$2150,D$1,'United Data'!$C$3:$C$2150,$A162,'United Data'!$B$3:$B$2150,"P")&gt;0,1,0)</f>
        <v>0</v>
      </c>
      <c r="E162">
        <f>IF(COUNTIFS('United Data'!$A$3:$A$2150,E$1,'United Data'!$C$3:$C$2150,$A162,'United Data'!$B$3:$B$2150,"P")&gt;0,1,0)</f>
        <v>0</v>
      </c>
      <c r="F162">
        <f>IF(COUNTIFS('United Data'!$A$3:$A$2150,F$1,'United Data'!$C$3:$C$2150,$A162,'United Data'!$B$3:$B$2150,"P")&gt;0,1,0)</f>
        <v>0</v>
      </c>
      <c r="G162">
        <f>IF(COUNTIFS('United Data'!$A$3:$A$2150,G$1,'United Data'!$C$3:$C$2150,$A162,'United Data'!$B$3:$B$2150,"P")&gt;0,1,0)</f>
        <v>0</v>
      </c>
      <c r="H162">
        <f>IF(COUNTIFS('United Data'!$A$3:$A$2150,H$1,'United Data'!$C$3:$C$2150,$A162,'United Data'!$B$3:$B$2150,"P")&gt;0,1,0)</f>
        <v>0</v>
      </c>
      <c r="I162">
        <f>IF(COUNTIFS('United Data'!$A$3:$A$2150,I$1,'United Data'!$C$3:$C$2150,$A162,'United Data'!$B$3:$B$2150,"P")&gt;0,1,0)</f>
        <v>0</v>
      </c>
      <c r="J162">
        <f>IF(COUNTIFS('United Data'!$A$3:$A$2150,J$1,'United Data'!$C$3:$C$2150,$A162,'United Data'!$B$3:$B$2150,"P")&gt;0,1,0)</f>
        <v>0</v>
      </c>
      <c r="K162">
        <f>IF(COUNTIFS('United Data'!$A$3:$A$2150,K$1,'United Data'!$C$3:$C$2150,$A162,'United Data'!$B$3:$B$2150,"P")&gt;0,1,0)</f>
        <v>1</v>
      </c>
      <c r="L162">
        <f>IF(COUNTIFS('United Data'!$A$3:$A$2150,L$1,'United Data'!$C$3:$C$2150,$A162,'United Data'!$B$3:$B$2150,"P")&gt;0,1,0)</f>
        <v>0</v>
      </c>
      <c r="M162">
        <f>IF(COUNTIFS('United Data'!$A$3:$A$2150,M$1,'United Data'!$C$3:$C$2150,$A162,'United Data'!$B$3:$B$2150,"P")&gt;0,1,0)</f>
        <v>0</v>
      </c>
      <c r="N162">
        <f>IF(COUNTIFS('United Data'!$A$3:$A$2150,N$1,'United Data'!$C$3:$C$2150,$A162,'United Data'!$B$3:$B$2150,"P")&gt;0,1,0)</f>
        <v>0</v>
      </c>
      <c r="O162">
        <f>IF(COUNTIFS('United Data'!$A$3:$A$2150,O$1,'United Data'!$C$3:$C$2150,$A162,'United Data'!$B$3:$B$2150,"P")&gt;0,1,0)</f>
        <v>0</v>
      </c>
      <c r="P162">
        <f>IF(COUNTIFS('United Data'!$A$3:$A$2150,P$1,'United Data'!$C$3:$C$2150,$A162,'United Data'!$B$3:$B$2150,"P")&gt;0,1,0)</f>
        <v>0</v>
      </c>
      <c r="Q162">
        <f>IF(COUNTIFS('United Data'!$A$3:$A$2150,Q$1,'United Data'!$C$3:$C$2150,$A162,'United Data'!$B$3:$B$2150,"P")&gt;0,1,0)</f>
        <v>0</v>
      </c>
      <c r="R162">
        <f>IF(COUNTIFS('United Data'!$A$3:$A$2150,R$1,'United Data'!$C$3:$C$2150,$A162,'United Data'!$B$3:$B$2150,"P")&gt;0,1,0)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931</v>
      </c>
      <c r="B163">
        <f>IF(COUNTIFS('United Data'!$A$3:$A$2150,B$1,'United Data'!$C$3:$C$2150,$A163,'United Data'!$B$3:$B$2150,"P")&gt;0,1,0)</f>
        <v>0</v>
      </c>
      <c r="C163">
        <f>IF(COUNTIFS('United Data'!$A$3:$A$2150,C$1,'United Data'!$C$3:$C$2150,$A163,'United Data'!$B$3:$B$2150,"P")&gt;0,1,0)</f>
        <v>0</v>
      </c>
      <c r="D163">
        <f>IF(COUNTIFS('United Data'!$A$3:$A$2150,D$1,'United Data'!$C$3:$C$2150,$A163,'United Data'!$B$3:$B$2150,"P")&gt;0,1,0)</f>
        <v>0</v>
      </c>
      <c r="E163">
        <f>IF(COUNTIFS('United Data'!$A$3:$A$2150,E$1,'United Data'!$C$3:$C$2150,$A163,'United Data'!$B$3:$B$2150,"P")&gt;0,1,0)</f>
        <v>0</v>
      </c>
      <c r="F163">
        <f>IF(COUNTIFS('United Data'!$A$3:$A$2150,F$1,'United Data'!$C$3:$C$2150,$A163,'United Data'!$B$3:$B$2150,"P")&gt;0,1,0)</f>
        <v>0</v>
      </c>
      <c r="G163">
        <f>IF(COUNTIFS('United Data'!$A$3:$A$2150,G$1,'United Data'!$C$3:$C$2150,$A163,'United Data'!$B$3:$B$2150,"P")&gt;0,1,0)</f>
        <v>0</v>
      </c>
      <c r="H163">
        <f>IF(COUNTIFS('United Data'!$A$3:$A$2150,H$1,'United Data'!$C$3:$C$2150,$A163,'United Data'!$B$3:$B$2150,"P")&gt;0,1,0)</f>
        <v>0</v>
      </c>
      <c r="I163">
        <f>IF(COUNTIFS('United Data'!$A$3:$A$2150,I$1,'United Data'!$C$3:$C$2150,$A163,'United Data'!$B$3:$B$2150,"P")&gt;0,1,0)</f>
        <v>0</v>
      </c>
      <c r="J163">
        <f>IF(COUNTIFS('United Data'!$A$3:$A$2150,J$1,'United Data'!$C$3:$C$2150,$A163,'United Data'!$B$3:$B$2150,"P")&gt;0,1,0)</f>
        <v>0</v>
      </c>
      <c r="K163">
        <f>IF(COUNTIFS('United Data'!$A$3:$A$2150,K$1,'United Data'!$C$3:$C$2150,$A163,'United Data'!$B$3:$B$2150,"P")&gt;0,1,0)</f>
        <v>1</v>
      </c>
      <c r="L163">
        <f>IF(COUNTIFS('United Data'!$A$3:$A$2150,L$1,'United Data'!$C$3:$C$2150,$A163,'United Data'!$B$3:$B$2150,"P")&gt;0,1,0)</f>
        <v>0</v>
      </c>
      <c r="M163">
        <f>IF(COUNTIFS('United Data'!$A$3:$A$2150,M$1,'United Data'!$C$3:$C$2150,$A163,'United Data'!$B$3:$B$2150,"P")&gt;0,1,0)</f>
        <v>0</v>
      </c>
      <c r="N163">
        <f>IF(COUNTIFS('United Data'!$A$3:$A$2150,N$1,'United Data'!$C$3:$C$2150,$A163,'United Data'!$B$3:$B$2150,"P")&gt;0,1,0)</f>
        <v>0</v>
      </c>
      <c r="O163">
        <f>IF(COUNTIFS('United Data'!$A$3:$A$2150,O$1,'United Data'!$C$3:$C$2150,$A163,'United Data'!$B$3:$B$2150,"P")&gt;0,1,0)</f>
        <v>0</v>
      </c>
      <c r="P163">
        <f>IF(COUNTIFS('United Data'!$A$3:$A$2150,P$1,'United Data'!$C$3:$C$2150,$A163,'United Data'!$B$3:$B$2150,"P")&gt;0,1,0)</f>
        <v>0</v>
      </c>
      <c r="Q163">
        <f>IF(COUNTIFS('United Data'!$A$3:$A$2150,Q$1,'United Data'!$C$3:$C$2150,$A163,'United Data'!$B$3:$B$2150,"P")&gt;0,1,0)</f>
        <v>0</v>
      </c>
      <c r="R163">
        <f>IF(COUNTIFS('United Data'!$A$3:$A$2150,R$1,'United Data'!$C$3:$C$2150,$A163,'United Data'!$B$3:$B$2150,"P")&gt;0,1,0)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932</v>
      </c>
      <c r="B164">
        <f>IF(COUNTIFS('United Data'!$A$3:$A$2150,B$1,'United Data'!$C$3:$C$2150,$A164,'United Data'!$B$3:$B$2150,"P")&gt;0,1,0)</f>
        <v>0</v>
      </c>
      <c r="C164">
        <f>IF(COUNTIFS('United Data'!$A$3:$A$2150,C$1,'United Data'!$C$3:$C$2150,$A164,'United Data'!$B$3:$B$2150,"P")&gt;0,1,0)</f>
        <v>0</v>
      </c>
      <c r="D164">
        <f>IF(COUNTIFS('United Data'!$A$3:$A$2150,D$1,'United Data'!$C$3:$C$2150,$A164,'United Data'!$B$3:$B$2150,"P")&gt;0,1,0)</f>
        <v>0</v>
      </c>
      <c r="E164">
        <f>IF(COUNTIFS('United Data'!$A$3:$A$2150,E$1,'United Data'!$C$3:$C$2150,$A164,'United Data'!$B$3:$B$2150,"P")&gt;0,1,0)</f>
        <v>0</v>
      </c>
      <c r="F164">
        <f>IF(COUNTIFS('United Data'!$A$3:$A$2150,F$1,'United Data'!$C$3:$C$2150,$A164,'United Data'!$B$3:$B$2150,"P")&gt;0,1,0)</f>
        <v>0</v>
      </c>
      <c r="G164">
        <f>IF(COUNTIFS('United Data'!$A$3:$A$2150,G$1,'United Data'!$C$3:$C$2150,$A164,'United Data'!$B$3:$B$2150,"P")&gt;0,1,0)</f>
        <v>0</v>
      </c>
      <c r="H164">
        <f>IF(COUNTIFS('United Data'!$A$3:$A$2150,H$1,'United Data'!$C$3:$C$2150,$A164,'United Data'!$B$3:$B$2150,"P")&gt;0,1,0)</f>
        <v>0</v>
      </c>
      <c r="I164">
        <f>IF(COUNTIFS('United Data'!$A$3:$A$2150,I$1,'United Data'!$C$3:$C$2150,$A164,'United Data'!$B$3:$B$2150,"P")&gt;0,1,0)</f>
        <v>0</v>
      </c>
      <c r="J164">
        <f>IF(COUNTIFS('United Data'!$A$3:$A$2150,J$1,'United Data'!$C$3:$C$2150,$A164,'United Data'!$B$3:$B$2150,"P")&gt;0,1,0)</f>
        <v>0</v>
      </c>
      <c r="K164">
        <f>IF(COUNTIFS('United Data'!$A$3:$A$2150,K$1,'United Data'!$C$3:$C$2150,$A164,'United Data'!$B$3:$B$2150,"P")&gt;0,1,0)</f>
        <v>1</v>
      </c>
      <c r="L164">
        <f>IF(COUNTIFS('United Data'!$A$3:$A$2150,L$1,'United Data'!$C$3:$C$2150,$A164,'United Data'!$B$3:$B$2150,"P")&gt;0,1,0)</f>
        <v>0</v>
      </c>
      <c r="M164">
        <f>IF(COUNTIFS('United Data'!$A$3:$A$2150,M$1,'United Data'!$C$3:$C$2150,$A164,'United Data'!$B$3:$B$2150,"P")&gt;0,1,0)</f>
        <v>0</v>
      </c>
      <c r="N164">
        <f>IF(COUNTIFS('United Data'!$A$3:$A$2150,N$1,'United Data'!$C$3:$C$2150,$A164,'United Data'!$B$3:$B$2150,"P")&gt;0,1,0)</f>
        <v>0</v>
      </c>
      <c r="O164">
        <f>IF(COUNTIFS('United Data'!$A$3:$A$2150,O$1,'United Data'!$C$3:$C$2150,$A164,'United Data'!$B$3:$B$2150,"P")&gt;0,1,0)</f>
        <v>0</v>
      </c>
      <c r="P164">
        <f>IF(COUNTIFS('United Data'!$A$3:$A$2150,P$1,'United Data'!$C$3:$C$2150,$A164,'United Data'!$B$3:$B$2150,"P")&gt;0,1,0)</f>
        <v>0</v>
      </c>
      <c r="Q164">
        <f>IF(COUNTIFS('United Data'!$A$3:$A$2150,Q$1,'United Data'!$C$3:$C$2150,$A164,'United Data'!$B$3:$B$2150,"P")&gt;0,1,0)</f>
        <v>0</v>
      </c>
      <c r="R164">
        <f>IF(COUNTIFS('United Data'!$A$3:$A$2150,R$1,'United Data'!$C$3:$C$2150,$A164,'United Data'!$B$3:$B$2150,"P")&gt;0,1,0)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933</v>
      </c>
      <c r="B165">
        <f>IF(COUNTIFS('United Data'!$A$3:$A$2150,B$1,'United Data'!$C$3:$C$2150,$A165,'United Data'!$B$3:$B$2150,"P")&gt;0,1,0)</f>
        <v>0</v>
      </c>
      <c r="C165">
        <f>IF(COUNTIFS('United Data'!$A$3:$A$2150,C$1,'United Data'!$C$3:$C$2150,$A165,'United Data'!$B$3:$B$2150,"P")&gt;0,1,0)</f>
        <v>0</v>
      </c>
      <c r="D165">
        <f>IF(COUNTIFS('United Data'!$A$3:$A$2150,D$1,'United Data'!$C$3:$C$2150,$A165,'United Data'!$B$3:$B$2150,"P")&gt;0,1,0)</f>
        <v>0</v>
      </c>
      <c r="E165">
        <f>IF(COUNTIFS('United Data'!$A$3:$A$2150,E$1,'United Data'!$C$3:$C$2150,$A165,'United Data'!$B$3:$B$2150,"P")&gt;0,1,0)</f>
        <v>0</v>
      </c>
      <c r="F165">
        <f>IF(COUNTIFS('United Data'!$A$3:$A$2150,F$1,'United Data'!$C$3:$C$2150,$A165,'United Data'!$B$3:$B$2150,"P")&gt;0,1,0)</f>
        <v>0</v>
      </c>
      <c r="G165">
        <f>IF(COUNTIFS('United Data'!$A$3:$A$2150,G$1,'United Data'!$C$3:$C$2150,$A165,'United Data'!$B$3:$B$2150,"P")&gt;0,1,0)</f>
        <v>0</v>
      </c>
      <c r="H165">
        <f>IF(COUNTIFS('United Data'!$A$3:$A$2150,H$1,'United Data'!$C$3:$C$2150,$A165,'United Data'!$B$3:$B$2150,"P")&gt;0,1,0)</f>
        <v>0</v>
      </c>
      <c r="I165">
        <f>IF(COUNTIFS('United Data'!$A$3:$A$2150,I$1,'United Data'!$C$3:$C$2150,$A165,'United Data'!$B$3:$B$2150,"P")&gt;0,1,0)</f>
        <v>0</v>
      </c>
      <c r="J165">
        <f>IF(COUNTIFS('United Data'!$A$3:$A$2150,J$1,'United Data'!$C$3:$C$2150,$A165,'United Data'!$B$3:$B$2150,"P")&gt;0,1,0)</f>
        <v>0</v>
      </c>
      <c r="K165">
        <f>IF(COUNTIFS('United Data'!$A$3:$A$2150,K$1,'United Data'!$C$3:$C$2150,$A165,'United Data'!$B$3:$B$2150,"P")&gt;0,1,0)</f>
        <v>1</v>
      </c>
      <c r="L165">
        <f>IF(COUNTIFS('United Data'!$A$3:$A$2150,L$1,'United Data'!$C$3:$C$2150,$A165,'United Data'!$B$3:$B$2150,"P")&gt;0,1,0)</f>
        <v>0</v>
      </c>
      <c r="M165">
        <f>IF(COUNTIFS('United Data'!$A$3:$A$2150,M$1,'United Data'!$C$3:$C$2150,$A165,'United Data'!$B$3:$B$2150,"P")&gt;0,1,0)</f>
        <v>0</v>
      </c>
      <c r="N165">
        <f>IF(COUNTIFS('United Data'!$A$3:$A$2150,N$1,'United Data'!$C$3:$C$2150,$A165,'United Data'!$B$3:$B$2150,"P")&gt;0,1,0)</f>
        <v>0</v>
      </c>
      <c r="O165">
        <f>IF(COUNTIFS('United Data'!$A$3:$A$2150,O$1,'United Data'!$C$3:$C$2150,$A165,'United Data'!$B$3:$B$2150,"P")&gt;0,1,0)</f>
        <v>0</v>
      </c>
      <c r="P165">
        <f>IF(COUNTIFS('United Data'!$A$3:$A$2150,P$1,'United Data'!$C$3:$C$2150,$A165,'United Data'!$B$3:$B$2150,"P")&gt;0,1,0)</f>
        <v>0</v>
      </c>
      <c r="Q165">
        <f>IF(COUNTIFS('United Data'!$A$3:$A$2150,Q$1,'United Data'!$C$3:$C$2150,$A165,'United Data'!$B$3:$B$2150,"P")&gt;0,1,0)</f>
        <v>0</v>
      </c>
      <c r="R165">
        <f>IF(COUNTIFS('United Data'!$A$3:$A$2150,R$1,'United Data'!$C$3:$C$2150,$A165,'United Data'!$B$3:$B$2150,"P")&gt;0,1,0)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934</v>
      </c>
      <c r="B166">
        <f>IF(COUNTIFS('United Data'!$A$3:$A$2150,B$1,'United Data'!$C$3:$C$2150,$A166,'United Data'!$B$3:$B$2150,"P")&gt;0,1,0)</f>
        <v>0</v>
      </c>
      <c r="C166">
        <f>IF(COUNTIFS('United Data'!$A$3:$A$2150,C$1,'United Data'!$C$3:$C$2150,$A166,'United Data'!$B$3:$B$2150,"P")&gt;0,1,0)</f>
        <v>0</v>
      </c>
      <c r="D166">
        <f>IF(COUNTIFS('United Data'!$A$3:$A$2150,D$1,'United Data'!$C$3:$C$2150,$A166,'United Data'!$B$3:$B$2150,"P")&gt;0,1,0)</f>
        <v>0</v>
      </c>
      <c r="E166">
        <f>IF(COUNTIFS('United Data'!$A$3:$A$2150,E$1,'United Data'!$C$3:$C$2150,$A166,'United Data'!$B$3:$B$2150,"P")&gt;0,1,0)</f>
        <v>0</v>
      </c>
      <c r="F166">
        <f>IF(COUNTIFS('United Data'!$A$3:$A$2150,F$1,'United Data'!$C$3:$C$2150,$A166,'United Data'!$B$3:$B$2150,"P")&gt;0,1,0)</f>
        <v>0</v>
      </c>
      <c r="G166">
        <f>IF(COUNTIFS('United Data'!$A$3:$A$2150,G$1,'United Data'!$C$3:$C$2150,$A166,'United Data'!$B$3:$B$2150,"P")&gt;0,1,0)</f>
        <v>0</v>
      </c>
      <c r="H166">
        <f>IF(COUNTIFS('United Data'!$A$3:$A$2150,H$1,'United Data'!$C$3:$C$2150,$A166,'United Data'!$B$3:$B$2150,"P")&gt;0,1,0)</f>
        <v>0</v>
      </c>
      <c r="I166">
        <f>IF(COUNTIFS('United Data'!$A$3:$A$2150,I$1,'United Data'!$C$3:$C$2150,$A166,'United Data'!$B$3:$B$2150,"P")&gt;0,1,0)</f>
        <v>0</v>
      </c>
      <c r="J166">
        <f>IF(COUNTIFS('United Data'!$A$3:$A$2150,J$1,'United Data'!$C$3:$C$2150,$A166,'United Data'!$B$3:$B$2150,"P")&gt;0,1,0)</f>
        <v>0</v>
      </c>
      <c r="K166">
        <f>IF(COUNTIFS('United Data'!$A$3:$A$2150,K$1,'United Data'!$C$3:$C$2150,$A166,'United Data'!$B$3:$B$2150,"P")&gt;0,1,0)</f>
        <v>1</v>
      </c>
      <c r="L166">
        <f>IF(COUNTIFS('United Data'!$A$3:$A$2150,L$1,'United Data'!$C$3:$C$2150,$A166,'United Data'!$B$3:$B$2150,"P")&gt;0,1,0)</f>
        <v>0</v>
      </c>
      <c r="M166">
        <f>IF(COUNTIFS('United Data'!$A$3:$A$2150,M$1,'United Data'!$C$3:$C$2150,$A166,'United Data'!$B$3:$B$2150,"P")&gt;0,1,0)</f>
        <v>0</v>
      </c>
      <c r="N166">
        <f>IF(COUNTIFS('United Data'!$A$3:$A$2150,N$1,'United Data'!$C$3:$C$2150,$A166,'United Data'!$B$3:$B$2150,"P")&gt;0,1,0)</f>
        <v>0</v>
      </c>
      <c r="O166">
        <f>IF(COUNTIFS('United Data'!$A$3:$A$2150,O$1,'United Data'!$C$3:$C$2150,$A166,'United Data'!$B$3:$B$2150,"P")&gt;0,1,0)</f>
        <v>0</v>
      </c>
      <c r="P166">
        <f>IF(COUNTIFS('United Data'!$A$3:$A$2150,P$1,'United Data'!$C$3:$C$2150,$A166,'United Data'!$B$3:$B$2150,"P")&gt;0,1,0)</f>
        <v>0</v>
      </c>
      <c r="Q166">
        <f>IF(COUNTIFS('United Data'!$A$3:$A$2150,Q$1,'United Data'!$C$3:$C$2150,$A166,'United Data'!$B$3:$B$2150,"P")&gt;0,1,0)</f>
        <v>0</v>
      </c>
      <c r="R166">
        <f>IF(COUNTIFS('United Data'!$A$3:$A$2150,R$1,'United Data'!$C$3:$C$2150,$A166,'United Data'!$B$3:$B$2150,"P")&gt;0,1,0)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935</v>
      </c>
      <c r="B167">
        <f>IF(COUNTIFS('United Data'!$A$3:$A$2150,B$1,'United Data'!$C$3:$C$2150,$A167,'United Data'!$B$3:$B$2150,"P")&gt;0,1,0)</f>
        <v>0</v>
      </c>
      <c r="C167">
        <f>IF(COUNTIFS('United Data'!$A$3:$A$2150,C$1,'United Data'!$C$3:$C$2150,$A167,'United Data'!$B$3:$B$2150,"P")&gt;0,1,0)</f>
        <v>0</v>
      </c>
      <c r="D167">
        <f>IF(COUNTIFS('United Data'!$A$3:$A$2150,D$1,'United Data'!$C$3:$C$2150,$A167,'United Data'!$B$3:$B$2150,"P")&gt;0,1,0)</f>
        <v>0</v>
      </c>
      <c r="E167">
        <f>IF(COUNTIFS('United Data'!$A$3:$A$2150,E$1,'United Data'!$C$3:$C$2150,$A167,'United Data'!$B$3:$B$2150,"P")&gt;0,1,0)</f>
        <v>0</v>
      </c>
      <c r="F167">
        <f>IF(COUNTIFS('United Data'!$A$3:$A$2150,F$1,'United Data'!$C$3:$C$2150,$A167,'United Data'!$B$3:$B$2150,"P")&gt;0,1,0)</f>
        <v>0</v>
      </c>
      <c r="G167">
        <f>IF(COUNTIFS('United Data'!$A$3:$A$2150,G$1,'United Data'!$C$3:$C$2150,$A167,'United Data'!$B$3:$B$2150,"P")&gt;0,1,0)</f>
        <v>0</v>
      </c>
      <c r="H167">
        <f>IF(COUNTIFS('United Data'!$A$3:$A$2150,H$1,'United Data'!$C$3:$C$2150,$A167,'United Data'!$B$3:$B$2150,"P")&gt;0,1,0)</f>
        <v>0</v>
      </c>
      <c r="I167">
        <f>IF(COUNTIFS('United Data'!$A$3:$A$2150,I$1,'United Data'!$C$3:$C$2150,$A167,'United Data'!$B$3:$B$2150,"P")&gt;0,1,0)</f>
        <v>0</v>
      </c>
      <c r="J167">
        <f>IF(COUNTIFS('United Data'!$A$3:$A$2150,J$1,'United Data'!$C$3:$C$2150,$A167,'United Data'!$B$3:$B$2150,"P")&gt;0,1,0)</f>
        <v>0</v>
      </c>
      <c r="K167">
        <f>IF(COUNTIFS('United Data'!$A$3:$A$2150,K$1,'United Data'!$C$3:$C$2150,$A167,'United Data'!$B$3:$B$2150,"P")&gt;0,1,0)</f>
        <v>1</v>
      </c>
      <c r="L167">
        <f>IF(COUNTIFS('United Data'!$A$3:$A$2150,L$1,'United Data'!$C$3:$C$2150,$A167,'United Data'!$B$3:$B$2150,"P")&gt;0,1,0)</f>
        <v>0</v>
      </c>
      <c r="M167">
        <f>IF(COUNTIFS('United Data'!$A$3:$A$2150,M$1,'United Data'!$C$3:$C$2150,$A167,'United Data'!$B$3:$B$2150,"P")&gt;0,1,0)</f>
        <v>0</v>
      </c>
      <c r="N167">
        <f>IF(COUNTIFS('United Data'!$A$3:$A$2150,N$1,'United Data'!$C$3:$C$2150,$A167,'United Data'!$B$3:$B$2150,"P")&gt;0,1,0)</f>
        <v>0</v>
      </c>
      <c r="O167">
        <f>IF(COUNTIFS('United Data'!$A$3:$A$2150,O$1,'United Data'!$C$3:$C$2150,$A167,'United Data'!$B$3:$B$2150,"P")&gt;0,1,0)</f>
        <v>0</v>
      </c>
      <c r="P167">
        <f>IF(COUNTIFS('United Data'!$A$3:$A$2150,P$1,'United Data'!$C$3:$C$2150,$A167,'United Data'!$B$3:$B$2150,"P")&gt;0,1,0)</f>
        <v>0</v>
      </c>
      <c r="Q167">
        <f>IF(COUNTIFS('United Data'!$A$3:$A$2150,Q$1,'United Data'!$C$3:$C$2150,$A167,'United Data'!$B$3:$B$2150,"P")&gt;0,1,0)</f>
        <v>0</v>
      </c>
      <c r="R167">
        <f>IF(COUNTIFS('United Data'!$A$3:$A$2150,R$1,'United Data'!$C$3:$C$2150,$A167,'United Data'!$B$3:$B$2150,"P")&gt;0,1,0)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936</v>
      </c>
      <c r="B168">
        <f>IF(COUNTIFS('United Data'!$A$3:$A$2150,B$1,'United Data'!$C$3:$C$2150,$A168,'United Data'!$B$3:$B$2150,"P")&gt;0,1,0)</f>
        <v>0</v>
      </c>
      <c r="C168">
        <f>IF(COUNTIFS('United Data'!$A$3:$A$2150,C$1,'United Data'!$C$3:$C$2150,$A168,'United Data'!$B$3:$B$2150,"P")&gt;0,1,0)</f>
        <v>0</v>
      </c>
      <c r="D168">
        <f>IF(COUNTIFS('United Data'!$A$3:$A$2150,D$1,'United Data'!$C$3:$C$2150,$A168,'United Data'!$B$3:$B$2150,"P")&gt;0,1,0)</f>
        <v>0</v>
      </c>
      <c r="E168">
        <f>IF(COUNTIFS('United Data'!$A$3:$A$2150,E$1,'United Data'!$C$3:$C$2150,$A168,'United Data'!$B$3:$B$2150,"P")&gt;0,1,0)</f>
        <v>0</v>
      </c>
      <c r="F168">
        <f>IF(COUNTIFS('United Data'!$A$3:$A$2150,F$1,'United Data'!$C$3:$C$2150,$A168,'United Data'!$B$3:$B$2150,"P")&gt;0,1,0)</f>
        <v>0</v>
      </c>
      <c r="G168">
        <f>IF(COUNTIFS('United Data'!$A$3:$A$2150,G$1,'United Data'!$C$3:$C$2150,$A168,'United Data'!$B$3:$B$2150,"P")&gt;0,1,0)</f>
        <v>0</v>
      </c>
      <c r="H168">
        <f>IF(COUNTIFS('United Data'!$A$3:$A$2150,H$1,'United Data'!$C$3:$C$2150,$A168,'United Data'!$B$3:$B$2150,"P")&gt;0,1,0)</f>
        <v>0</v>
      </c>
      <c r="I168">
        <f>IF(COUNTIFS('United Data'!$A$3:$A$2150,I$1,'United Data'!$C$3:$C$2150,$A168,'United Data'!$B$3:$B$2150,"P")&gt;0,1,0)</f>
        <v>0</v>
      </c>
      <c r="J168">
        <f>IF(COUNTIFS('United Data'!$A$3:$A$2150,J$1,'United Data'!$C$3:$C$2150,$A168,'United Data'!$B$3:$B$2150,"P")&gt;0,1,0)</f>
        <v>0</v>
      </c>
      <c r="K168">
        <f>IF(COUNTIFS('United Data'!$A$3:$A$2150,K$1,'United Data'!$C$3:$C$2150,$A168,'United Data'!$B$3:$B$2150,"P")&gt;0,1,0)</f>
        <v>1</v>
      </c>
      <c r="L168">
        <f>IF(COUNTIFS('United Data'!$A$3:$A$2150,L$1,'United Data'!$C$3:$C$2150,$A168,'United Data'!$B$3:$B$2150,"P")&gt;0,1,0)</f>
        <v>0</v>
      </c>
      <c r="M168">
        <f>IF(COUNTIFS('United Data'!$A$3:$A$2150,M$1,'United Data'!$C$3:$C$2150,$A168,'United Data'!$B$3:$B$2150,"P")&gt;0,1,0)</f>
        <v>0</v>
      </c>
      <c r="N168">
        <f>IF(COUNTIFS('United Data'!$A$3:$A$2150,N$1,'United Data'!$C$3:$C$2150,$A168,'United Data'!$B$3:$B$2150,"P")&gt;0,1,0)</f>
        <v>0</v>
      </c>
      <c r="O168">
        <f>IF(COUNTIFS('United Data'!$A$3:$A$2150,O$1,'United Data'!$C$3:$C$2150,$A168,'United Data'!$B$3:$B$2150,"P")&gt;0,1,0)</f>
        <v>0</v>
      </c>
      <c r="P168">
        <f>IF(COUNTIFS('United Data'!$A$3:$A$2150,P$1,'United Data'!$C$3:$C$2150,$A168,'United Data'!$B$3:$B$2150,"P")&gt;0,1,0)</f>
        <v>0</v>
      </c>
      <c r="Q168">
        <f>IF(COUNTIFS('United Data'!$A$3:$A$2150,Q$1,'United Data'!$C$3:$C$2150,$A168,'United Data'!$B$3:$B$2150,"P")&gt;0,1,0)</f>
        <v>0</v>
      </c>
      <c r="R168">
        <f>IF(COUNTIFS('United Data'!$A$3:$A$2150,R$1,'United Data'!$C$3:$C$2150,$A168,'United Data'!$B$3:$B$2150,"P")&gt;0,1,0)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937</v>
      </c>
      <c r="B169">
        <f>IF(COUNTIFS('United Data'!$A$3:$A$2150,B$1,'United Data'!$C$3:$C$2150,$A169,'United Data'!$B$3:$B$2150,"P")&gt;0,1,0)</f>
        <v>0</v>
      </c>
      <c r="C169">
        <f>IF(COUNTIFS('United Data'!$A$3:$A$2150,C$1,'United Data'!$C$3:$C$2150,$A169,'United Data'!$B$3:$B$2150,"P")&gt;0,1,0)</f>
        <v>0</v>
      </c>
      <c r="D169">
        <f>IF(COUNTIFS('United Data'!$A$3:$A$2150,D$1,'United Data'!$C$3:$C$2150,$A169,'United Data'!$B$3:$B$2150,"P")&gt;0,1,0)</f>
        <v>0</v>
      </c>
      <c r="E169">
        <f>IF(COUNTIFS('United Data'!$A$3:$A$2150,E$1,'United Data'!$C$3:$C$2150,$A169,'United Data'!$B$3:$B$2150,"P")&gt;0,1,0)</f>
        <v>0</v>
      </c>
      <c r="F169">
        <f>IF(COUNTIFS('United Data'!$A$3:$A$2150,F$1,'United Data'!$C$3:$C$2150,$A169,'United Data'!$B$3:$B$2150,"P")&gt;0,1,0)</f>
        <v>0</v>
      </c>
      <c r="G169">
        <f>IF(COUNTIFS('United Data'!$A$3:$A$2150,G$1,'United Data'!$C$3:$C$2150,$A169,'United Data'!$B$3:$B$2150,"P")&gt;0,1,0)</f>
        <v>0</v>
      </c>
      <c r="H169">
        <f>IF(COUNTIFS('United Data'!$A$3:$A$2150,H$1,'United Data'!$C$3:$C$2150,$A169,'United Data'!$B$3:$B$2150,"P")&gt;0,1,0)</f>
        <v>0</v>
      </c>
      <c r="I169">
        <f>IF(COUNTIFS('United Data'!$A$3:$A$2150,I$1,'United Data'!$C$3:$C$2150,$A169,'United Data'!$B$3:$B$2150,"P")&gt;0,1,0)</f>
        <v>0</v>
      </c>
      <c r="J169">
        <f>IF(COUNTIFS('United Data'!$A$3:$A$2150,J$1,'United Data'!$C$3:$C$2150,$A169,'United Data'!$B$3:$B$2150,"P")&gt;0,1,0)</f>
        <v>0</v>
      </c>
      <c r="K169">
        <f>IF(COUNTIFS('United Data'!$A$3:$A$2150,K$1,'United Data'!$C$3:$C$2150,$A169,'United Data'!$B$3:$B$2150,"P")&gt;0,1,0)</f>
        <v>1</v>
      </c>
      <c r="L169">
        <f>IF(COUNTIFS('United Data'!$A$3:$A$2150,L$1,'United Data'!$C$3:$C$2150,$A169,'United Data'!$B$3:$B$2150,"P")&gt;0,1,0)</f>
        <v>0</v>
      </c>
      <c r="M169">
        <f>IF(COUNTIFS('United Data'!$A$3:$A$2150,M$1,'United Data'!$C$3:$C$2150,$A169,'United Data'!$B$3:$B$2150,"P")&gt;0,1,0)</f>
        <v>0</v>
      </c>
      <c r="N169">
        <f>IF(COUNTIFS('United Data'!$A$3:$A$2150,N$1,'United Data'!$C$3:$C$2150,$A169,'United Data'!$B$3:$B$2150,"P")&gt;0,1,0)</f>
        <v>0</v>
      </c>
      <c r="O169">
        <f>IF(COUNTIFS('United Data'!$A$3:$A$2150,O$1,'United Data'!$C$3:$C$2150,$A169,'United Data'!$B$3:$B$2150,"P")&gt;0,1,0)</f>
        <v>0</v>
      </c>
      <c r="P169">
        <f>IF(COUNTIFS('United Data'!$A$3:$A$2150,P$1,'United Data'!$C$3:$C$2150,$A169,'United Data'!$B$3:$B$2150,"P")&gt;0,1,0)</f>
        <v>0</v>
      </c>
      <c r="Q169">
        <f>IF(COUNTIFS('United Data'!$A$3:$A$2150,Q$1,'United Data'!$C$3:$C$2150,$A169,'United Data'!$B$3:$B$2150,"P")&gt;0,1,0)</f>
        <v>0</v>
      </c>
      <c r="R169">
        <f>IF(COUNTIFS('United Data'!$A$3:$A$2150,R$1,'United Data'!$C$3:$C$2150,$A169,'United Data'!$B$3:$B$2150,"P")&gt;0,1,0)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938</v>
      </c>
      <c r="B170">
        <f>IF(COUNTIFS('United Data'!$A$3:$A$2150,B$1,'United Data'!$C$3:$C$2150,$A170,'United Data'!$B$3:$B$2150,"P")&gt;0,1,0)</f>
        <v>0</v>
      </c>
      <c r="C170">
        <f>IF(COUNTIFS('United Data'!$A$3:$A$2150,C$1,'United Data'!$C$3:$C$2150,$A170,'United Data'!$B$3:$B$2150,"P")&gt;0,1,0)</f>
        <v>0</v>
      </c>
      <c r="D170">
        <f>IF(COUNTIFS('United Data'!$A$3:$A$2150,D$1,'United Data'!$C$3:$C$2150,$A170,'United Data'!$B$3:$B$2150,"P")&gt;0,1,0)</f>
        <v>0</v>
      </c>
      <c r="E170">
        <f>IF(COUNTIFS('United Data'!$A$3:$A$2150,E$1,'United Data'!$C$3:$C$2150,$A170,'United Data'!$B$3:$B$2150,"P")&gt;0,1,0)</f>
        <v>0</v>
      </c>
      <c r="F170">
        <f>IF(COUNTIFS('United Data'!$A$3:$A$2150,F$1,'United Data'!$C$3:$C$2150,$A170,'United Data'!$B$3:$B$2150,"P")&gt;0,1,0)</f>
        <v>0</v>
      </c>
      <c r="G170">
        <f>IF(COUNTIFS('United Data'!$A$3:$A$2150,G$1,'United Data'!$C$3:$C$2150,$A170,'United Data'!$B$3:$B$2150,"P")&gt;0,1,0)</f>
        <v>0</v>
      </c>
      <c r="H170">
        <f>IF(COUNTIFS('United Data'!$A$3:$A$2150,H$1,'United Data'!$C$3:$C$2150,$A170,'United Data'!$B$3:$B$2150,"P")&gt;0,1,0)</f>
        <v>0</v>
      </c>
      <c r="I170">
        <f>IF(COUNTIFS('United Data'!$A$3:$A$2150,I$1,'United Data'!$C$3:$C$2150,$A170,'United Data'!$B$3:$B$2150,"P")&gt;0,1,0)</f>
        <v>0</v>
      </c>
      <c r="J170">
        <f>IF(COUNTIFS('United Data'!$A$3:$A$2150,J$1,'United Data'!$C$3:$C$2150,$A170,'United Data'!$B$3:$B$2150,"P")&gt;0,1,0)</f>
        <v>0</v>
      </c>
      <c r="K170">
        <f>IF(COUNTIFS('United Data'!$A$3:$A$2150,K$1,'United Data'!$C$3:$C$2150,$A170,'United Data'!$B$3:$B$2150,"P")&gt;0,1,0)</f>
        <v>1</v>
      </c>
      <c r="L170">
        <f>IF(COUNTIFS('United Data'!$A$3:$A$2150,L$1,'United Data'!$C$3:$C$2150,$A170,'United Data'!$B$3:$B$2150,"P")&gt;0,1,0)</f>
        <v>0</v>
      </c>
      <c r="M170">
        <f>IF(COUNTIFS('United Data'!$A$3:$A$2150,M$1,'United Data'!$C$3:$C$2150,$A170,'United Data'!$B$3:$B$2150,"P")&gt;0,1,0)</f>
        <v>0</v>
      </c>
      <c r="N170">
        <f>IF(COUNTIFS('United Data'!$A$3:$A$2150,N$1,'United Data'!$C$3:$C$2150,$A170,'United Data'!$B$3:$B$2150,"P")&gt;0,1,0)</f>
        <v>0</v>
      </c>
      <c r="O170">
        <f>IF(COUNTIFS('United Data'!$A$3:$A$2150,O$1,'United Data'!$C$3:$C$2150,$A170,'United Data'!$B$3:$B$2150,"P")&gt;0,1,0)</f>
        <v>0</v>
      </c>
      <c r="P170">
        <f>IF(COUNTIFS('United Data'!$A$3:$A$2150,P$1,'United Data'!$C$3:$C$2150,$A170,'United Data'!$B$3:$B$2150,"P")&gt;0,1,0)</f>
        <v>0</v>
      </c>
      <c r="Q170">
        <f>IF(COUNTIFS('United Data'!$A$3:$A$2150,Q$1,'United Data'!$C$3:$C$2150,$A170,'United Data'!$B$3:$B$2150,"P")&gt;0,1,0)</f>
        <v>0</v>
      </c>
      <c r="R170">
        <f>IF(COUNTIFS('United Data'!$A$3:$A$2150,R$1,'United Data'!$C$3:$C$2150,$A170,'United Data'!$B$3:$B$2150,"P")&gt;0,1,0)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715</v>
      </c>
      <c r="B171">
        <f>IF(COUNTIFS('United Data'!$A$3:$A$2150,B$1,'United Data'!$C$3:$C$2150,$A171,'United Data'!$B$3:$B$2150,"P")&gt;0,1,0)</f>
        <v>0</v>
      </c>
      <c r="C171">
        <f>IF(COUNTIFS('United Data'!$A$3:$A$2150,C$1,'United Data'!$C$3:$C$2150,$A171,'United Data'!$B$3:$B$2150,"P")&gt;0,1,0)</f>
        <v>0</v>
      </c>
      <c r="D171">
        <f>IF(COUNTIFS('United Data'!$A$3:$A$2150,D$1,'United Data'!$C$3:$C$2150,$A171,'United Data'!$B$3:$B$2150,"P")&gt;0,1,0)</f>
        <v>0</v>
      </c>
      <c r="E171">
        <f>IF(COUNTIFS('United Data'!$A$3:$A$2150,E$1,'United Data'!$C$3:$C$2150,$A171,'United Data'!$B$3:$B$2150,"P")&gt;0,1,0)</f>
        <v>0</v>
      </c>
      <c r="F171">
        <f>IF(COUNTIFS('United Data'!$A$3:$A$2150,F$1,'United Data'!$C$3:$C$2150,$A171,'United Data'!$B$3:$B$2150,"P")&gt;0,1,0)</f>
        <v>0</v>
      </c>
      <c r="G171">
        <f>IF(COUNTIFS('United Data'!$A$3:$A$2150,G$1,'United Data'!$C$3:$C$2150,$A171,'United Data'!$B$3:$B$2150,"P")&gt;0,1,0)</f>
        <v>0</v>
      </c>
      <c r="H171">
        <f>IF(COUNTIFS('United Data'!$A$3:$A$2150,H$1,'United Data'!$C$3:$C$2150,$A171,'United Data'!$B$3:$B$2150,"P")&gt;0,1,0)</f>
        <v>0</v>
      </c>
      <c r="I171">
        <f>IF(COUNTIFS('United Data'!$A$3:$A$2150,I$1,'United Data'!$C$3:$C$2150,$A171,'United Data'!$B$3:$B$2150,"P")&gt;0,1,0)</f>
        <v>0</v>
      </c>
      <c r="J171">
        <f>IF(COUNTIFS('United Data'!$A$3:$A$2150,J$1,'United Data'!$C$3:$C$2150,$A171,'United Data'!$B$3:$B$2150,"P")&gt;0,1,0)</f>
        <v>0</v>
      </c>
      <c r="K171">
        <f>IF(COUNTIFS('United Data'!$A$3:$A$2150,K$1,'United Data'!$C$3:$C$2150,$A171,'United Data'!$B$3:$B$2150,"P")&gt;0,1,0)</f>
        <v>1</v>
      </c>
      <c r="L171">
        <f>IF(COUNTIFS('United Data'!$A$3:$A$2150,L$1,'United Data'!$C$3:$C$2150,$A171,'United Data'!$B$3:$B$2150,"P")&gt;0,1,0)</f>
        <v>0</v>
      </c>
      <c r="M171">
        <f>IF(COUNTIFS('United Data'!$A$3:$A$2150,M$1,'United Data'!$C$3:$C$2150,$A171,'United Data'!$B$3:$B$2150,"P")&gt;0,1,0)</f>
        <v>0</v>
      </c>
      <c r="N171">
        <f>IF(COUNTIFS('United Data'!$A$3:$A$2150,N$1,'United Data'!$C$3:$C$2150,$A171,'United Data'!$B$3:$B$2150,"P")&gt;0,1,0)</f>
        <v>0</v>
      </c>
      <c r="O171">
        <f>IF(COUNTIFS('United Data'!$A$3:$A$2150,O$1,'United Data'!$C$3:$C$2150,$A171,'United Data'!$B$3:$B$2150,"P")&gt;0,1,0)</f>
        <v>0</v>
      </c>
      <c r="P171">
        <f>IF(COUNTIFS('United Data'!$A$3:$A$2150,P$1,'United Data'!$C$3:$C$2150,$A171,'United Data'!$B$3:$B$2150,"P")&gt;0,1,0)</f>
        <v>0</v>
      </c>
      <c r="Q171">
        <f>IF(COUNTIFS('United Data'!$A$3:$A$2150,Q$1,'United Data'!$C$3:$C$2150,$A171,'United Data'!$B$3:$B$2150,"P")&gt;0,1,0)</f>
        <v>0</v>
      </c>
      <c r="R171">
        <f>IF(COUNTIFS('United Data'!$A$3:$A$2150,R$1,'United Data'!$C$3:$C$2150,$A171,'United Data'!$B$3:$B$2150,"P")&gt;0,1,0)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939</v>
      </c>
      <c r="B172">
        <f>IF(COUNTIFS('United Data'!$A$3:$A$2150,B$1,'United Data'!$C$3:$C$2150,$A172,'United Data'!$B$3:$B$2150,"P")&gt;0,1,0)</f>
        <v>0</v>
      </c>
      <c r="C172">
        <f>IF(COUNTIFS('United Data'!$A$3:$A$2150,C$1,'United Data'!$C$3:$C$2150,$A172,'United Data'!$B$3:$B$2150,"P")&gt;0,1,0)</f>
        <v>0</v>
      </c>
      <c r="D172">
        <f>IF(COUNTIFS('United Data'!$A$3:$A$2150,D$1,'United Data'!$C$3:$C$2150,$A172,'United Data'!$B$3:$B$2150,"P")&gt;0,1,0)</f>
        <v>0</v>
      </c>
      <c r="E172">
        <f>IF(COUNTIFS('United Data'!$A$3:$A$2150,E$1,'United Data'!$C$3:$C$2150,$A172,'United Data'!$B$3:$B$2150,"P")&gt;0,1,0)</f>
        <v>0</v>
      </c>
      <c r="F172">
        <f>IF(COUNTIFS('United Data'!$A$3:$A$2150,F$1,'United Data'!$C$3:$C$2150,$A172,'United Data'!$B$3:$B$2150,"P")&gt;0,1,0)</f>
        <v>0</v>
      </c>
      <c r="G172">
        <f>IF(COUNTIFS('United Data'!$A$3:$A$2150,G$1,'United Data'!$C$3:$C$2150,$A172,'United Data'!$B$3:$B$2150,"P")&gt;0,1,0)</f>
        <v>0</v>
      </c>
      <c r="H172">
        <f>IF(COUNTIFS('United Data'!$A$3:$A$2150,H$1,'United Data'!$C$3:$C$2150,$A172,'United Data'!$B$3:$B$2150,"P")&gt;0,1,0)</f>
        <v>0</v>
      </c>
      <c r="I172">
        <f>IF(COUNTIFS('United Data'!$A$3:$A$2150,I$1,'United Data'!$C$3:$C$2150,$A172,'United Data'!$B$3:$B$2150,"P")&gt;0,1,0)</f>
        <v>0</v>
      </c>
      <c r="J172">
        <f>IF(COUNTIFS('United Data'!$A$3:$A$2150,J$1,'United Data'!$C$3:$C$2150,$A172,'United Data'!$B$3:$B$2150,"P")&gt;0,1,0)</f>
        <v>0</v>
      </c>
      <c r="K172">
        <f>IF(COUNTIFS('United Data'!$A$3:$A$2150,K$1,'United Data'!$C$3:$C$2150,$A172,'United Data'!$B$3:$B$2150,"P")&gt;0,1,0)</f>
        <v>0</v>
      </c>
      <c r="L172">
        <f>IF(COUNTIFS('United Data'!$A$3:$A$2150,L$1,'United Data'!$C$3:$C$2150,$A172,'United Data'!$B$3:$B$2150,"P")&gt;0,1,0)</f>
        <v>1</v>
      </c>
      <c r="M172">
        <f>IF(COUNTIFS('United Data'!$A$3:$A$2150,M$1,'United Data'!$C$3:$C$2150,$A172,'United Data'!$B$3:$B$2150,"P")&gt;0,1,0)</f>
        <v>0</v>
      </c>
      <c r="N172">
        <f>IF(COUNTIFS('United Data'!$A$3:$A$2150,N$1,'United Data'!$C$3:$C$2150,$A172,'United Data'!$B$3:$B$2150,"P")&gt;0,1,0)</f>
        <v>0</v>
      </c>
      <c r="O172">
        <f>IF(COUNTIFS('United Data'!$A$3:$A$2150,O$1,'United Data'!$C$3:$C$2150,$A172,'United Data'!$B$3:$B$2150,"P")&gt;0,1,0)</f>
        <v>0</v>
      </c>
      <c r="P172">
        <f>IF(COUNTIFS('United Data'!$A$3:$A$2150,P$1,'United Data'!$C$3:$C$2150,$A172,'United Data'!$B$3:$B$2150,"P")&gt;0,1,0)</f>
        <v>0</v>
      </c>
      <c r="Q172">
        <f>IF(COUNTIFS('United Data'!$A$3:$A$2150,Q$1,'United Data'!$C$3:$C$2150,$A172,'United Data'!$B$3:$B$2150,"P")&gt;0,1,0)</f>
        <v>0</v>
      </c>
      <c r="R172">
        <f>IF(COUNTIFS('United Data'!$A$3:$A$2150,R$1,'United Data'!$C$3:$C$2150,$A172,'United Data'!$B$3:$B$2150,"P")&gt;0,1,0)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940</v>
      </c>
      <c r="B173">
        <f>IF(COUNTIFS('United Data'!$A$3:$A$2150,B$1,'United Data'!$C$3:$C$2150,$A173,'United Data'!$B$3:$B$2150,"P")&gt;0,1,0)</f>
        <v>0</v>
      </c>
      <c r="C173">
        <f>IF(COUNTIFS('United Data'!$A$3:$A$2150,C$1,'United Data'!$C$3:$C$2150,$A173,'United Data'!$B$3:$B$2150,"P")&gt;0,1,0)</f>
        <v>0</v>
      </c>
      <c r="D173">
        <f>IF(COUNTIFS('United Data'!$A$3:$A$2150,D$1,'United Data'!$C$3:$C$2150,$A173,'United Data'!$B$3:$B$2150,"P")&gt;0,1,0)</f>
        <v>0</v>
      </c>
      <c r="E173">
        <f>IF(COUNTIFS('United Data'!$A$3:$A$2150,E$1,'United Data'!$C$3:$C$2150,$A173,'United Data'!$B$3:$B$2150,"P")&gt;0,1,0)</f>
        <v>0</v>
      </c>
      <c r="F173">
        <f>IF(COUNTIFS('United Data'!$A$3:$A$2150,F$1,'United Data'!$C$3:$C$2150,$A173,'United Data'!$B$3:$B$2150,"P")&gt;0,1,0)</f>
        <v>0</v>
      </c>
      <c r="G173">
        <f>IF(COUNTIFS('United Data'!$A$3:$A$2150,G$1,'United Data'!$C$3:$C$2150,$A173,'United Data'!$B$3:$B$2150,"P")&gt;0,1,0)</f>
        <v>0</v>
      </c>
      <c r="H173">
        <f>IF(COUNTIFS('United Data'!$A$3:$A$2150,H$1,'United Data'!$C$3:$C$2150,$A173,'United Data'!$B$3:$B$2150,"P")&gt;0,1,0)</f>
        <v>0</v>
      </c>
      <c r="I173">
        <f>IF(COUNTIFS('United Data'!$A$3:$A$2150,I$1,'United Data'!$C$3:$C$2150,$A173,'United Data'!$B$3:$B$2150,"P")&gt;0,1,0)</f>
        <v>0</v>
      </c>
      <c r="J173">
        <f>IF(COUNTIFS('United Data'!$A$3:$A$2150,J$1,'United Data'!$C$3:$C$2150,$A173,'United Data'!$B$3:$B$2150,"P")&gt;0,1,0)</f>
        <v>0</v>
      </c>
      <c r="K173">
        <f>IF(COUNTIFS('United Data'!$A$3:$A$2150,K$1,'United Data'!$C$3:$C$2150,$A173,'United Data'!$B$3:$B$2150,"P")&gt;0,1,0)</f>
        <v>0</v>
      </c>
      <c r="L173">
        <f>IF(COUNTIFS('United Data'!$A$3:$A$2150,L$1,'United Data'!$C$3:$C$2150,$A173,'United Data'!$B$3:$B$2150,"P")&gt;0,1,0)</f>
        <v>1</v>
      </c>
      <c r="M173">
        <f>IF(COUNTIFS('United Data'!$A$3:$A$2150,M$1,'United Data'!$C$3:$C$2150,$A173,'United Data'!$B$3:$B$2150,"P")&gt;0,1,0)</f>
        <v>0</v>
      </c>
      <c r="N173">
        <f>IF(COUNTIFS('United Data'!$A$3:$A$2150,N$1,'United Data'!$C$3:$C$2150,$A173,'United Data'!$B$3:$B$2150,"P")&gt;0,1,0)</f>
        <v>0</v>
      </c>
      <c r="O173">
        <f>IF(COUNTIFS('United Data'!$A$3:$A$2150,O$1,'United Data'!$C$3:$C$2150,$A173,'United Data'!$B$3:$B$2150,"P")&gt;0,1,0)</f>
        <v>0</v>
      </c>
      <c r="P173">
        <f>IF(COUNTIFS('United Data'!$A$3:$A$2150,P$1,'United Data'!$C$3:$C$2150,$A173,'United Data'!$B$3:$B$2150,"P")&gt;0,1,0)</f>
        <v>0</v>
      </c>
      <c r="Q173">
        <f>IF(COUNTIFS('United Data'!$A$3:$A$2150,Q$1,'United Data'!$C$3:$C$2150,$A173,'United Data'!$B$3:$B$2150,"P")&gt;0,1,0)</f>
        <v>0</v>
      </c>
      <c r="R173">
        <f>IF(COUNTIFS('United Data'!$A$3:$A$2150,R$1,'United Data'!$C$3:$C$2150,$A173,'United Data'!$B$3:$B$2150,"P")&gt;0,1,0)</f>
        <v>0</v>
      </c>
      <c r="S173">
        <f t="shared" si="4"/>
        <v>1</v>
      </c>
      <c r="T173">
        <f t="shared" si="5"/>
        <v>1</v>
      </c>
    </row>
    <row r="174" spans="1:20" x14ac:dyDescent="0.2">
      <c r="A174" t="s">
        <v>941</v>
      </c>
      <c r="B174">
        <f>IF(COUNTIFS('United Data'!$A$3:$A$2150,B$1,'United Data'!$C$3:$C$2150,$A174,'United Data'!$B$3:$B$2150,"P")&gt;0,1,0)</f>
        <v>0</v>
      </c>
      <c r="C174">
        <f>IF(COUNTIFS('United Data'!$A$3:$A$2150,C$1,'United Data'!$C$3:$C$2150,$A174,'United Data'!$B$3:$B$2150,"P")&gt;0,1,0)</f>
        <v>0</v>
      </c>
      <c r="D174">
        <f>IF(COUNTIFS('United Data'!$A$3:$A$2150,D$1,'United Data'!$C$3:$C$2150,$A174,'United Data'!$B$3:$B$2150,"P")&gt;0,1,0)</f>
        <v>0</v>
      </c>
      <c r="E174">
        <f>IF(COUNTIFS('United Data'!$A$3:$A$2150,E$1,'United Data'!$C$3:$C$2150,$A174,'United Data'!$B$3:$B$2150,"P")&gt;0,1,0)</f>
        <v>0</v>
      </c>
      <c r="F174">
        <f>IF(COUNTIFS('United Data'!$A$3:$A$2150,F$1,'United Data'!$C$3:$C$2150,$A174,'United Data'!$B$3:$B$2150,"P")&gt;0,1,0)</f>
        <v>0</v>
      </c>
      <c r="G174">
        <f>IF(COUNTIFS('United Data'!$A$3:$A$2150,G$1,'United Data'!$C$3:$C$2150,$A174,'United Data'!$B$3:$B$2150,"P")&gt;0,1,0)</f>
        <v>0</v>
      </c>
      <c r="H174">
        <f>IF(COUNTIFS('United Data'!$A$3:$A$2150,H$1,'United Data'!$C$3:$C$2150,$A174,'United Data'!$B$3:$B$2150,"P")&gt;0,1,0)</f>
        <v>0</v>
      </c>
      <c r="I174">
        <f>IF(COUNTIFS('United Data'!$A$3:$A$2150,I$1,'United Data'!$C$3:$C$2150,$A174,'United Data'!$B$3:$B$2150,"P")&gt;0,1,0)</f>
        <v>0</v>
      </c>
      <c r="J174">
        <f>IF(COUNTIFS('United Data'!$A$3:$A$2150,J$1,'United Data'!$C$3:$C$2150,$A174,'United Data'!$B$3:$B$2150,"P")&gt;0,1,0)</f>
        <v>0</v>
      </c>
      <c r="K174">
        <f>IF(COUNTIFS('United Data'!$A$3:$A$2150,K$1,'United Data'!$C$3:$C$2150,$A174,'United Data'!$B$3:$B$2150,"P")&gt;0,1,0)</f>
        <v>0</v>
      </c>
      <c r="L174">
        <f>IF(COUNTIFS('United Data'!$A$3:$A$2150,L$1,'United Data'!$C$3:$C$2150,$A174,'United Data'!$B$3:$B$2150,"P")&gt;0,1,0)</f>
        <v>1</v>
      </c>
      <c r="M174">
        <f>IF(COUNTIFS('United Data'!$A$3:$A$2150,M$1,'United Data'!$C$3:$C$2150,$A174,'United Data'!$B$3:$B$2150,"P")&gt;0,1,0)</f>
        <v>0</v>
      </c>
      <c r="N174">
        <f>IF(COUNTIFS('United Data'!$A$3:$A$2150,N$1,'United Data'!$C$3:$C$2150,$A174,'United Data'!$B$3:$B$2150,"P")&gt;0,1,0)</f>
        <v>0</v>
      </c>
      <c r="O174">
        <f>IF(COUNTIFS('United Data'!$A$3:$A$2150,O$1,'United Data'!$C$3:$C$2150,$A174,'United Data'!$B$3:$B$2150,"P")&gt;0,1,0)</f>
        <v>0</v>
      </c>
      <c r="P174">
        <f>IF(COUNTIFS('United Data'!$A$3:$A$2150,P$1,'United Data'!$C$3:$C$2150,$A174,'United Data'!$B$3:$B$2150,"P")&gt;0,1,0)</f>
        <v>0</v>
      </c>
      <c r="Q174">
        <f>IF(COUNTIFS('United Data'!$A$3:$A$2150,Q$1,'United Data'!$C$3:$C$2150,$A174,'United Data'!$B$3:$B$2150,"P")&gt;0,1,0)</f>
        <v>0</v>
      </c>
      <c r="R174">
        <f>IF(COUNTIFS('United Data'!$A$3:$A$2150,R$1,'United Data'!$C$3:$C$2150,$A174,'United Data'!$B$3:$B$2150,"P")&gt;0,1,0)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942</v>
      </c>
      <c r="B175">
        <f>IF(COUNTIFS('United Data'!$A$3:$A$2150,B$1,'United Data'!$C$3:$C$2150,$A175,'United Data'!$B$3:$B$2150,"P")&gt;0,1,0)</f>
        <v>0</v>
      </c>
      <c r="C175">
        <f>IF(COUNTIFS('United Data'!$A$3:$A$2150,C$1,'United Data'!$C$3:$C$2150,$A175,'United Data'!$B$3:$B$2150,"P")&gt;0,1,0)</f>
        <v>0</v>
      </c>
      <c r="D175">
        <f>IF(COUNTIFS('United Data'!$A$3:$A$2150,D$1,'United Data'!$C$3:$C$2150,$A175,'United Data'!$B$3:$B$2150,"P")&gt;0,1,0)</f>
        <v>0</v>
      </c>
      <c r="E175">
        <f>IF(COUNTIFS('United Data'!$A$3:$A$2150,E$1,'United Data'!$C$3:$C$2150,$A175,'United Data'!$B$3:$B$2150,"P")&gt;0,1,0)</f>
        <v>0</v>
      </c>
      <c r="F175">
        <f>IF(COUNTIFS('United Data'!$A$3:$A$2150,F$1,'United Data'!$C$3:$C$2150,$A175,'United Data'!$B$3:$B$2150,"P")&gt;0,1,0)</f>
        <v>0</v>
      </c>
      <c r="G175">
        <f>IF(COUNTIFS('United Data'!$A$3:$A$2150,G$1,'United Data'!$C$3:$C$2150,$A175,'United Data'!$B$3:$B$2150,"P")&gt;0,1,0)</f>
        <v>0</v>
      </c>
      <c r="H175">
        <f>IF(COUNTIFS('United Data'!$A$3:$A$2150,H$1,'United Data'!$C$3:$C$2150,$A175,'United Data'!$B$3:$B$2150,"P")&gt;0,1,0)</f>
        <v>0</v>
      </c>
      <c r="I175">
        <f>IF(COUNTIFS('United Data'!$A$3:$A$2150,I$1,'United Data'!$C$3:$C$2150,$A175,'United Data'!$B$3:$B$2150,"P")&gt;0,1,0)</f>
        <v>0</v>
      </c>
      <c r="J175">
        <f>IF(COUNTIFS('United Data'!$A$3:$A$2150,J$1,'United Data'!$C$3:$C$2150,$A175,'United Data'!$B$3:$B$2150,"P")&gt;0,1,0)</f>
        <v>0</v>
      </c>
      <c r="K175">
        <f>IF(COUNTIFS('United Data'!$A$3:$A$2150,K$1,'United Data'!$C$3:$C$2150,$A175,'United Data'!$B$3:$B$2150,"P")&gt;0,1,0)</f>
        <v>0</v>
      </c>
      <c r="L175">
        <f>IF(COUNTIFS('United Data'!$A$3:$A$2150,L$1,'United Data'!$C$3:$C$2150,$A175,'United Data'!$B$3:$B$2150,"P")&gt;0,1,0)</f>
        <v>1</v>
      </c>
      <c r="M175">
        <f>IF(COUNTIFS('United Data'!$A$3:$A$2150,M$1,'United Data'!$C$3:$C$2150,$A175,'United Data'!$B$3:$B$2150,"P")&gt;0,1,0)</f>
        <v>1</v>
      </c>
      <c r="N175">
        <f>IF(COUNTIFS('United Data'!$A$3:$A$2150,N$1,'United Data'!$C$3:$C$2150,$A175,'United Data'!$B$3:$B$2150,"P")&gt;0,1,0)</f>
        <v>1</v>
      </c>
      <c r="O175">
        <f>IF(COUNTIFS('United Data'!$A$3:$A$2150,O$1,'United Data'!$C$3:$C$2150,$A175,'United Data'!$B$3:$B$2150,"P")&gt;0,1,0)</f>
        <v>1</v>
      </c>
      <c r="P175">
        <f>IF(COUNTIFS('United Data'!$A$3:$A$2150,P$1,'United Data'!$C$3:$C$2150,$A175,'United Data'!$B$3:$B$2150,"P")&gt;0,1,0)</f>
        <v>1</v>
      </c>
      <c r="Q175">
        <f>IF(COUNTIFS('United Data'!$A$3:$A$2150,Q$1,'United Data'!$C$3:$C$2150,$A175,'United Data'!$B$3:$B$2150,"P")&gt;0,1,0)</f>
        <v>0</v>
      </c>
      <c r="R175">
        <f>IF(COUNTIFS('United Data'!$A$3:$A$2150,R$1,'United Data'!$C$3:$C$2150,$A175,'United Data'!$B$3:$B$2150,"P")&gt;0,1,0)</f>
        <v>0</v>
      </c>
      <c r="S175">
        <f t="shared" si="4"/>
        <v>5</v>
      </c>
      <c r="T175">
        <f t="shared" si="5"/>
        <v>1</v>
      </c>
    </row>
    <row r="176" spans="1:20" x14ac:dyDescent="0.2">
      <c r="A176" t="s">
        <v>943</v>
      </c>
      <c r="B176">
        <f>IF(COUNTIFS('United Data'!$A$3:$A$2150,B$1,'United Data'!$C$3:$C$2150,$A176,'United Data'!$B$3:$B$2150,"P")&gt;0,1,0)</f>
        <v>0</v>
      </c>
      <c r="C176">
        <f>IF(COUNTIFS('United Data'!$A$3:$A$2150,C$1,'United Data'!$C$3:$C$2150,$A176,'United Data'!$B$3:$B$2150,"P")&gt;0,1,0)</f>
        <v>0</v>
      </c>
      <c r="D176">
        <f>IF(COUNTIFS('United Data'!$A$3:$A$2150,D$1,'United Data'!$C$3:$C$2150,$A176,'United Data'!$B$3:$B$2150,"P")&gt;0,1,0)</f>
        <v>0</v>
      </c>
      <c r="E176">
        <f>IF(COUNTIFS('United Data'!$A$3:$A$2150,E$1,'United Data'!$C$3:$C$2150,$A176,'United Data'!$B$3:$B$2150,"P")&gt;0,1,0)</f>
        <v>0</v>
      </c>
      <c r="F176">
        <f>IF(COUNTIFS('United Data'!$A$3:$A$2150,F$1,'United Data'!$C$3:$C$2150,$A176,'United Data'!$B$3:$B$2150,"P")&gt;0,1,0)</f>
        <v>0</v>
      </c>
      <c r="G176">
        <f>IF(COUNTIFS('United Data'!$A$3:$A$2150,G$1,'United Data'!$C$3:$C$2150,$A176,'United Data'!$B$3:$B$2150,"P")&gt;0,1,0)</f>
        <v>0</v>
      </c>
      <c r="H176">
        <f>IF(COUNTIFS('United Data'!$A$3:$A$2150,H$1,'United Data'!$C$3:$C$2150,$A176,'United Data'!$B$3:$B$2150,"P")&gt;0,1,0)</f>
        <v>0</v>
      </c>
      <c r="I176">
        <f>IF(COUNTIFS('United Data'!$A$3:$A$2150,I$1,'United Data'!$C$3:$C$2150,$A176,'United Data'!$B$3:$B$2150,"P")&gt;0,1,0)</f>
        <v>0</v>
      </c>
      <c r="J176">
        <f>IF(COUNTIFS('United Data'!$A$3:$A$2150,J$1,'United Data'!$C$3:$C$2150,$A176,'United Data'!$B$3:$B$2150,"P")&gt;0,1,0)</f>
        <v>0</v>
      </c>
      <c r="K176">
        <f>IF(COUNTIFS('United Data'!$A$3:$A$2150,K$1,'United Data'!$C$3:$C$2150,$A176,'United Data'!$B$3:$B$2150,"P")&gt;0,1,0)</f>
        <v>0</v>
      </c>
      <c r="L176">
        <f>IF(COUNTIFS('United Data'!$A$3:$A$2150,L$1,'United Data'!$C$3:$C$2150,$A176,'United Data'!$B$3:$B$2150,"P")&gt;0,1,0)</f>
        <v>1</v>
      </c>
      <c r="M176">
        <f>IF(COUNTIFS('United Data'!$A$3:$A$2150,M$1,'United Data'!$C$3:$C$2150,$A176,'United Data'!$B$3:$B$2150,"P")&gt;0,1,0)</f>
        <v>0</v>
      </c>
      <c r="N176">
        <f>IF(COUNTIFS('United Data'!$A$3:$A$2150,N$1,'United Data'!$C$3:$C$2150,$A176,'United Data'!$B$3:$B$2150,"P")&gt;0,1,0)</f>
        <v>0</v>
      </c>
      <c r="O176">
        <f>IF(COUNTIFS('United Data'!$A$3:$A$2150,O$1,'United Data'!$C$3:$C$2150,$A176,'United Data'!$B$3:$B$2150,"P")&gt;0,1,0)</f>
        <v>0</v>
      </c>
      <c r="P176">
        <f>IF(COUNTIFS('United Data'!$A$3:$A$2150,P$1,'United Data'!$C$3:$C$2150,$A176,'United Data'!$B$3:$B$2150,"P")&gt;0,1,0)</f>
        <v>0</v>
      </c>
      <c r="Q176">
        <f>IF(COUNTIFS('United Data'!$A$3:$A$2150,Q$1,'United Data'!$C$3:$C$2150,$A176,'United Data'!$B$3:$B$2150,"P")&gt;0,1,0)</f>
        <v>0</v>
      </c>
      <c r="R176">
        <f>IF(COUNTIFS('United Data'!$A$3:$A$2150,R$1,'United Data'!$C$3:$C$2150,$A176,'United Data'!$B$3:$B$2150,"P")&gt;0,1,0)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944</v>
      </c>
      <c r="B177">
        <f>IF(COUNTIFS('United Data'!$A$3:$A$2150,B$1,'United Data'!$C$3:$C$2150,$A177,'United Data'!$B$3:$B$2150,"P")&gt;0,1,0)</f>
        <v>0</v>
      </c>
      <c r="C177">
        <f>IF(COUNTIFS('United Data'!$A$3:$A$2150,C$1,'United Data'!$C$3:$C$2150,$A177,'United Data'!$B$3:$B$2150,"P")&gt;0,1,0)</f>
        <v>0</v>
      </c>
      <c r="D177">
        <f>IF(COUNTIFS('United Data'!$A$3:$A$2150,D$1,'United Data'!$C$3:$C$2150,$A177,'United Data'!$B$3:$B$2150,"P")&gt;0,1,0)</f>
        <v>0</v>
      </c>
      <c r="E177">
        <f>IF(COUNTIFS('United Data'!$A$3:$A$2150,E$1,'United Data'!$C$3:$C$2150,$A177,'United Data'!$B$3:$B$2150,"P")&gt;0,1,0)</f>
        <v>0</v>
      </c>
      <c r="F177">
        <f>IF(COUNTIFS('United Data'!$A$3:$A$2150,F$1,'United Data'!$C$3:$C$2150,$A177,'United Data'!$B$3:$B$2150,"P")&gt;0,1,0)</f>
        <v>0</v>
      </c>
      <c r="G177">
        <f>IF(COUNTIFS('United Data'!$A$3:$A$2150,G$1,'United Data'!$C$3:$C$2150,$A177,'United Data'!$B$3:$B$2150,"P")&gt;0,1,0)</f>
        <v>0</v>
      </c>
      <c r="H177">
        <f>IF(COUNTIFS('United Data'!$A$3:$A$2150,H$1,'United Data'!$C$3:$C$2150,$A177,'United Data'!$B$3:$B$2150,"P")&gt;0,1,0)</f>
        <v>0</v>
      </c>
      <c r="I177">
        <f>IF(COUNTIFS('United Data'!$A$3:$A$2150,I$1,'United Data'!$C$3:$C$2150,$A177,'United Data'!$B$3:$B$2150,"P")&gt;0,1,0)</f>
        <v>0</v>
      </c>
      <c r="J177">
        <f>IF(COUNTIFS('United Data'!$A$3:$A$2150,J$1,'United Data'!$C$3:$C$2150,$A177,'United Data'!$B$3:$B$2150,"P")&gt;0,1,0)</f>
        <v>0</v>
      </c>
      <c r="K177">
        <f>IF(COUNTIFS('United Data'!$A$3:$A$2150,K$1,'United Data'!$C$3:$C$2150,$A177,'United Data'!$B$3:$B$2150,"P")&gt;0,1,0)</f>
        <v>0</v>
      </c>
      <c r="L177">
        <f>IF(COUNTIFS('United Data'!$A$3:$A$2150,L$1,'United Data'!$C$3:$C$2150,$A177,'United Data'!$B$3:$B$2150,"P")&gt;0,1,0)</f>
        <v>1</v>
      </c>
      <c r="M177">
        <f>IF(COUNTIFS('United Data'!$A$3:$A$2150,M$1,'United Data'!$C$3:$C$2150,$A177,'United Data'!$B$3:$B$2150,"P")&gt;0,1,0)</f>
        <v>1</v>
      </c>
      <c r="N177">
        <f>IF(COUNTIFS('United Data'!$A$3:$A$2150,N$1,'United Data'!$C$3:$C$2150,$A177,'United Data'!$B$3:$B$2150,"P")&gt;0,1,0)</f>
        <v>0</v>
      </c>
      <c r="O177">
        <f>IF(COUNTIFS('United Data'!$A$3:$A$2150,O$1,'United Data'!$C$3:$C$2150,$A177,'United Data'!$B$3:$B$2150,"P")&gt;0,1,0)</f>
        <v>0</v>
      </c>
      <c r="P177">
        <f>IF(COUNTIFS('United Data'!$A$3:$A$2150,P$1,'United Data'!$C$3:$C$2150,$A177,'United Data'!$B$3:$B$2150,"P")&gt;0,1,0)</f>
        <v>0</v>
      </c>
      <c r="Q177">
        <f>IF(COUNTIFS('United Data'!$A$3:$A$2150,Q$1,'United Data'!$C$3:$C$2150,$A177,'United Data'!$B$3:$B$2150,"P")&gt;0,1,0)</f>
        <v>0</v>
      </c>
      <c r="R177">
        <f>IF(COUNTIFS('United Data'!$A$3:$A$2150,R$1,'United Data'!$C$3:$C$2150,$A177,'United Data'!$B$3:$B$2150,"P")&gt;0,1,0)</f>
        <v>0</v>
      </c>
      <c r="S177">
        <f t="shared" si="4"/>
        <v>2</v>
      </c>
      <c r="T177">
        <f t="shared" si="5"/>
        <v>1</v>
      </c>
    </row>
    <row r="178" spans="1:20" x14ac:dyDescent="0.2">
      <c r="A178" t="s">
        <v>945</v>
      </c>
      <c r="B178">
        <f>IF(COUNTIFS('United Data'!$A$3:$A$2150,B$1,'United Data'!$C$3:$C$2150,$A178,'United Data'!$B$3:$B$2150,"P")&gt;0,1,0)</f>
        <v>0</v>
      </c>
      <c r="C178">
        <f>IF(COUNTIFS('United Data'!$A$3:$A$2150,C$1,'United Data'!$C$3:$C$2150,$A178,'United Data'!$B$3:$B$2150,"P")&gt;0,1,0)</f>
        <v>0</v>
      </c>
      <c r="D178">
        <f>IF(COUNTIFS('United Data'!$A$3:$A$2150,D$1,'United Data'!$C$3:$C$2150,$A178,'United Data'!$B$3:$B$2150,"P")&gt;0,1,0)</f>
        <v>0</v>
      </c>
      <c r="E178">
        <f>IF(COUNTIFS('United Data'!$A$3:$A$2150,E$1,'United Data'!$C$3:$C$2150,$A178,'United Data'!$B$3:$B$2150,"P")&gt;0,1,0)</f>
        <v>0</v>
      </c>
      <c r="F178">
        <f>IF(COUNTIFS('United Data'!$A$3:$A$2150,F$1,'United Data'!$C$3:$C$2150,$A178,'United Data'!$B$3:$B$2150,"P")&gt;0,1,0)</f>
        <v>0</v>
      </c>
      <c r="G178">
        <f>IF(COUNTIFS('United Data'!$A$3:$A$2150,G$1,'United Data'!$C$3:$C$2150,$A178,'United Data'!$B$3:$B$2150,"P")&gt;0,1,0)</f>
        <v>0</v>
      </c>
      <c r="H178">
        <f>IF(COUNTIFS('United Data'!$A$3:$A$2150,H$1,'United Data'!$C$3:$C$2150,$A178,'United Data'!$B$3:$B$2150,"P")&gt;0,1,0)</f>
        <v>0</v>
      </c>
      <c r="I178">
        <f>IF(COUNTIFS('United Data'!$A$3:$A$2150,I$1,'United Data'!$C$3:$C$2150,$A178,'United Data'!$B$3:$B$2150,"P")&gt;0,1,0)</f>
        <v>0</v>
      </c>
      <c r="J178">
        <f>IF(COUNTIFS('United Data'!$A$3:$A$2150,J$1,'United Data'!$C$3:$C$2150,$A178,'United Data'!$B$3:$B$2150,"P")&gt;0,1,0)</f>
        <v>0</v>
      </c>
      <c r="K178">
        <f>IF(COUNTIFS('United Data'!$A$3:$A$2150,K$1,'United Data'!$C$3:$C$2150,$A178,'United Data'!$B$3:$B$2150,"P")&gt;0,1,0)</f>
        <v>0</v>
      </c>
      <c r="L178">
        <f>IF(COUNTIFS('United Data'!$A$3:$A$2150,L$1,'United Data'!$C$3:$C$2150,$A178,'United Data'!$B$3:$B$2150,"P")&gt;0,1,0)</f>
        <v>1</v>
      </c>
      <c r="M178">
        <f>IF(COUNTIFS('United Data'!$A$3:$A$2150,M$1,'United Data'!$C$3:$C$2150,$A178,'United Data'!$B$3:$B$2150,"P")&gt;0,1,0)</f>
        <v>1</v>
      </c>
      <c r="N178">
        <f>IF(COUNTIFS('United Data'!$A$3:$A$2150,N$1,'United Data'!$C$3:$C$2150,$A178,'United Data'!$B$3:$B$2150,"P")&gt;0,1,0)</f>
        <v>1</v>
      </c>
      <c r="O178">
        <f>IF(COUNTIFS('United Data'!$A$3:$A$2150,O$1,'United Data'!$C$3:$C$2150,$A178,'United Data'!$B$3:$B$2150,"P")&gt;0,1,0)</f>
        <v>0</v>
      </c>
      <c r="P178">
        <f>IF(COUNTIFS('United Data'!$A$3:$A$2150,P$1,'United Data'!$C$3:$C$2150,$A178,'United Data'!$B$3:$B$2150,"P")&gt;0,1,0)</f>
        <v>0</v>
      </c>
      <c r="Q178">
        <f>IF(COUNTIFS('United Data'!$A$3:$A$2150,Q$1,'United Data'!$C$3:$C$2150,$A178,'United Data'!$B$3:$B$2150,"P")&gt;0,1,0)</f>
        <v>0</v>
      </c>
      <c r="R178">
        <f>IF(COUNTIFS('United Data'!$A$3:$A$2150,R$1,'United Data'!$C$3:$C$2150,$A178,'United Data'!$B$3:$B$2150,"P")&gt;0,1,0)</f>
        <v>0</v>
      </c>
      <c r="S178">
        <f t="shared" si="4"/>
        <v>3</v>
      </c>
      <c r="T178">
        <f t="shared" si="5"/>
        <v>1</v>
      </c>
    </row>
    <row r="179" spans="1:20" x14ac:dyDescent="0.2">
      <c r="A179" t="s">
        <v>946</v>
      </c>
      <c r="B179">
        <f>IF(COUNTIFS('United Data'!$A$3:$A$2150,B$1,'United Data'!$C$3:$C$2150,$A179,'United Data'!$B$3:$B$2150,"P")&gt;0,1,0)</f>
        <v>0</v>
      </c>
      <c r="C179">
        <f>IF(COUNTIFS('United Data'!$A$3:$A$2150,C$1,'United Data'!$C$3:$C$2150,$A179,'United Data'!$B$3:$B$2150,"P")&gt;0,1,0)</f>
        <v>0</v>
      </c>
      <c r="D179">
        <f>IF(COUNTIFS('United Data'!$A$3:$A$2150,D$1,'United Data'!$C$3:$C$2150,$A179,'United Data'!$B$3:$B$2150,"P")&gt;0,1,0)</f>
        <v>0</v>
      </c>
      <c r="E179">
        <f>IF(COUNTIFS('United Data'!$A$3:$A$2150,E$1,'United Data'!$C$3:$C$2150,$A179,'United Data'!$B$3:$B$2150,"P")&gt;0,1,0)</f>
        <v>0</v>
      </c>
      <c r="F179">
        <f>IF(COUNTIFS('United Data'!$A$3:$A$2150,F$1,'United Data'!$C$3:$C$2150,$A179,'United Data'!$B$3:$B$2150,"P")&gt;0,1,0)</f>
        <v>0</v>
      </c>
      <c r="G179">
        <f>IF(COUNTIFS('United Data'!$A$3:$A$2150,G$1,'United Data'!$C$3:$C$2150,$A179,'United Data'!$B$3:$B$2150,"P")&gt;0,1,0)</f>
        <v>0</v>
      </c>
      <c r="H179">
        <f>IF(COUNTIFS('United Data'!$A$3:$A$2150,H$1,'United Data'!$C$3:$C$2150,$A179,'United Data'!$B$3:$B$2150,"P")&gt;0,1,0)</f>
        <v>0</v>
      </c>
      <c r="I179">
        <f>IF(COUNTIFS('United Data'!$A$3:$A$2150,I$1,'United Data'!$C$3:$C$2150,$A179,'United Data'!$B$3:$B$2150,"P")&gt;0,1,0)</f>
        <v>0</v>
      </c>
      <c r="J179">
        <f>IF(COUNTIFS('United Data'!$A$3:$A$2150,J$1,'United Data'!$C$3:$C$2150,$A179,'United Data'!$B$3:$B$2150,"P")&gt;0,1,0)</f>
        <v>0</v>
      </c>
      <c r="K179">
        <f>IF(COUNTIFS('United Data'!$A$3:$A$2150,K$1,'United Data'!$C$3:$C$2150,$A179,'United Data'!$B$3:$B$2150,"P")&gt;0,1,0)</f>
        <v>0</v>
      </c>
      <c r="L179">
        <f>IF(COUNTIFS('United Data'!$A$3:$A$2150,L$1,'United Data'!$C$3:$C$2150,$A179,'United Data'!$B$3:$B$2150,"P")&gt;0,1,0)</f>
        <v>1</v>
      </c>
      <c r="M179">
        <f>IF(COUNTIFS('United Data'!$A$3:$A$2150,M$1,'United Data'!$C$3:$C$2150,$A179,'United Data'!$B$3:$B$2150,"P")&gt;0,1,0)</f>
        <v>0</v>
      </c>
      <c r="N179">
        <f>IF(COUNTIFS('United Data'!$A$3:$A$2150,N$1,'United Data'!$C$3:$C$2150,$A179,'United Data'!$B$3:$B$2150,"P")&gt;0,1,0)</f>
        <v>0</v>
      </c>
      <c r="O179">
        <f>IF(COUNTIFS('United Data'!$A$3:$A$2150,O$1,'United Data'!$C$3:$C$2150,$A179,'United Data'!$B$3:$B$2150,"P")&gt;0,1,0)</f>
        <v>0</v>
      </c>
      <c r="P179">
        <f>IF(COUNTIFS('United Data'!$A$3:$A$2150,P$1,'United Data'!$C$3:$C$2150,$A179,'United Data'!$B$3:$B$2150,"P")&gt;0,1,0)</f>
        <v>0</v>
      </c>
      <c r="Q179">
        <f>IF(COUNTIFS('United Data'!$A$3:$A$2150,Q$1,'United Data'!$C$3:$C$2150,$A179,'United Data'!$B$3:$B$2150,"P")&gt;0,1,0)</f>
        <v>0</v>
      </c>
      <c r="R179">
        <f>IF(COUNTIFS('United Data'!$A$3:$A$2150,R$1,'United Data'!$C$3:$C$2150,$A179,'United Data'!$B$3:$B$2150,"P")&gt;0,1,0)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947</v>
      </c>
      <c r="B180">
        <f>IF(COUNTIFS('United Data'!$A$3:$A$2150,B$1,'United Data'!$C$3:$C$2150,$A180,'United Data'!$B$3:$B$2150,"P")&gt;0,1,0)</f>
        <v>0</v>
      </c>
      <c r="C180">
        <f>IF(COUNTIFS('United Data'!$A$3:$A$2150,C$1,'United Data'!$C$3:$C$2150,$A180,'United Data'!$B$3:$B$2150,"P")&gt;0,1,0)</f>
        <v>0</v>
      </c>
      <c r="D180">
        <f>IF(COUNTIFS('United Data'!$A$3:$A$2150,D$1,'United Data'!$C$3:$C$2150,$A180,'United Data'!$B$3:$B$2150,"P")&gt;0,1,0)</f>
        <v>0</v>
      </c>
      <c r="E180">
        <f>IF(COUNTIFS('United Data'!$A$3:$A$2150,E$1,'United Data'!$C$3:$C$2150,$A180,'United Data'!$B$3:$B$2150,"P")&gt;0,1,0)</f>
        <v>0</v>
      </c>
      <c r="F180">
        <f>IF(COUNTIFS('United Data'!$A$3:$A$2150,F$1,'United Data'!$C$3:$C$2150,$A180,'United Data'!$B$3:$B$2150,"P")&gt;0,1,0)</f>
        <v>0</v>
      </c>
      <c r="G180">
        <f>IF(COUNTIFS('United Data'!$A$3:$A$2150,G$1,'United Data'!$C$3:$C$2150,$A180,'United Data'!$B$3:$B$2150,"P")&gt;0,1,0)</f>
        <v>0</v>
      </c>
      <c r="H180">
        <f>IF(COUNTIFS('United Data'!$A$3:$A$2150,H$1,'United Data'!$C$3:$C$2150,$A180,'United Data'!$B$3:$B$2150,"P")&gt;0,1,0)</f>
        <v>0</v>
      </c>
      <c r="I180">
        <f>IF(COUNTIFS('United Data'!$A$3:$A$2150,I$1,'United Data'!$C$3:$C$2150,$A180,'United Data'!$B$3:$B$2150,"P")&gt;0,1,0)</f>
        <v>0</v>
      </c>
      <c r="J180">
        <f>IF(COUNTIFS('United Data'!$A$3:$A$2150,J$1,'United Data'!$C$3:$C$2150,$A180,'United Data'!$B$3:$B$2150,"P")&gt;0,1,0)</f>
        <v>0</v>
      </c>
      <c r="K180">
        <f>IF(COUNTIFS('United Data'!$A$3:$A$2150,K$1,'United Data'!$C$3:$C$2150,$A180,'United Data'!$B$3:$B$2150,"P")&gt;0,1,0)</f>
        <v>0</v>
      </c>
      <c r="L180">
        <f>IF(COUNTIFS('United Data'!$A$3:$A$2150,L$1,'United Data'!$C$3:$C$2150,$A180,'United Data'!$B$3:$B$2150,"P")&gt;0,1,0)</f>
        <v>1</v>
      </c>
      <c r="M180">
        <f>IF(COUNTIFS('United Data'!$A$3:$A$2150,M$1,'United Data'!$C$3:$C$2150,$A180,'United Data'!$B$3:$B$2150,"P")&gt;0,1,0)</f>
        <v>0</v>
      </c>
      <c r="N180">
        <f>IF(COUNTIFS('United Data'!$A$3:$A$2150,N$1,'United Data'!$C$3:$C$2150,$A180,'United Data'!$B$3:$B$2150,"P")&gt;0,1,0)</f>
        <v>0</v>
      </c>
      <c r="O180">
        <f>IF(COUNTIFS('United Data'!$A$3:$A$2150,O$1,'United Data'!$C$3:$C$2150,$A180,'United Data'!$B$3:$B$2150,"P")&gt;0,1,0)</f>
        <v>0</v>
      </c>
      <c r="P180">
        <f>IF(COUNTIFS('United Data'!$A$3:$A$2150,P$1,'United Data'!$C$3:$C$2150,$A180,'United Data'!$B$3:$B$2150,"P")&gt;0,1,0)</f>
        <v>0</v>
      </c>
      <c r="Q180">
        <f>IF(COUNTIFS('United Data'!$A$3:$A$2150,Q$1,'United Data'!$C$3:$C$2150,$A180,'United Data'!$B$3:$B$2150,"P")&gt;0,1,0)</f>
        <v>0</v>
      </c>
      <c r="R180">
        <f>IF(COUNTIFS('United Data'!$A$3:$A$2150,R$1,'United Data'!$C$3:$C$2150,$A180,'United Data'!$B$3:$B$2150,"P")&gt;0,1,0)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948</v>
      </c>
      <c r="B181">
        <f>IF(COUNTIFS('United Data'!$A$3:$A$2150,B$1,'United Data'!$C$3:$C$2150,$A181,'United Data'!$B$3:$B$2150,"P")&gt;0,1,0)</f>
        <v>0</v>
      </c>
      <c r="C181">
        <f>IF(COUNTIFS('United Data'!$A$3:$A$2150,C$1,'United Data'!$C$3:$C$2150,$A181,'United Data'!$B$3:$B$2150,"P")&gt;0,1,0)</f>
        <v>0</v>
      </c>
      <c r="D181">
        <f>IF(COUNTIFS('United Data'!$A$3:$A$2150,D$1,'United Data'!$C$3:$C$2150,$A181,'United Data'!$B$3:$B$2150,"P")&gt;0,1,0)</f>
        <v>0</v>
      </c>
      <c r="E181">
        <f>IF(COUNTIFS('United Data'!$A$3:$A$2150,E$1,'United Data'!$C$3:$C$2150,$A181,'United Data'!$B$3:$B$2150,"P")&gt;0,1,0)</f>
        <v>0</v>
      </c>
      <c r="F181">
        <f>IF(COUNTIFS('United Data'!$A$3:$A$2150,F$1,'United Data'!$C$3:$C$2150,$A181,'United Data'!$B$3:$B$2150,"P")&gt;0,1,0)</f>
        <v>0</v>
      </c>
      <c r="G181">
        <f>IF(COUNTIFS('United Data'!$A$3:$A$2150,G$1,'United Data'!$C$3:$C$2150,$A181,'United Data'!$B$3:$B$2150,"P")&gt;0,1,0)</f>
        <v>0</v>
      </c>
      <c r="H181">
        <f>IF(COUNTIFS('United Data'!$A$3:$A$2150,H$1,'United Data'!$C$3:$C$2150,$A181,'United Data'!$B$3:$B$2150,"P")&gt;0,1,0)</f>
        <v>0</v>
      </c>
      <c r="I181">
        <f>IF(COUNTIFS('United Data'!$A$3:$A$2150,I$1,'United Data'!$C$3:$C$2150,$A181,'United Data'!$B$3:$B$2150,"P")&gt;0,1,0)</f>
        <v>0</v>
      </c>
      <c r="J181">
        <f>IF(COUNTIFS('United Data'!$A$3:$A$2150,J$1,'United Data'!$C$3:$C$2150,$A181,'United Data'!$B$3:$B$2150,"P")&gt;0,1,0)</f>
        <v>0</v>
      </c>
      <c r="K181">
        <f>IF(COUNTIFS('United Data'!$A$3:$A$2150,K$1,'United Data'!$C$3:$C$2150,$A181,'United Data'!$B$3:$B$2150,"P")&gt;0,1,0)</f>
        <v>0</v>
      </c>
      <c r="L181">
        <f>IF(COUNTIFS('United Data'!$A$3:$A$2150,L$1,'United Data'!$C$3:$C$2150,$A181,'United Data'!$B$3:$B$2150,"P")&gt;0,1,0)</f>
        <v>1</v>
      </c>
      <c r="M181">
        <f>IF(COUNTIFS('United Data'!$A$3:$A$2150,M$1,'United Data'!$C$3:$C$2150,$A181,'United Data'!$B$3:$B$2150,"P")&gt;0,1,0)</f>
        <v>0</v>
      </c>
      <c r="N181">
        <f>IF(COUNTIFS('United Data'!$A$3:$A$2150,N$1,'United Data'!$C$3:$C$2150,$A181,'United Data'!$B$3:$B$2150,"P")&gt;0,1,0)</f>
        <v>0</v>
      </c>
      <c r="O181">
        <f>IF(COUNTIFS('United Data'!$A$3:$A$2150,O$1,'United Data'!$C$3:$C$2150,$A181,'United Data'!$B$3:$B$2150,"P")&gt;0,1,0)</f>
        <v>0</v>
      </c>
      <c r="P181">
        <f>IF(COUNTIFS('United Data'!$A$3:$A$2150,P$1,'United Data'!$C$3:$C$2150,$A181,'United Data'!$B$3:$B$2150,"P")&gt;0,1,0)</f>
        <v>0</v>
      </c>
      <c r="Q181">
        <f>IF(COUNTIFS('United Data'!$A$3:$A$2150,Q$1,'United Data'!$C$3:$C$2150,$A181,'United Data'!$B$3:$B$2150,"P")&gt;0,1,0)</f>
        <v>0</v>
      </c>
      <c r="R181">
        <f>IF(COUNTIFS('United Data'!$A$3:$A$2150,R$1,'United Data'!$C$3:$C$2150,$A181,'United Data'!$B$3:$B$2150,"P")&gt;0,1,0)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665</v>
      </c>
      <c r="B182">
        <f>IF(COUNTIFS('United Data'!$A$3:$A$2150,B$1,'United Data'!$C$3:$C$2150,$A182,'United Data'!$B$3:$B$2150,"P")&gt;0,1,0)</f>
        <v>0</v>
      </c>
      <c r="C182">
        <f>IF(COUNTIFS('United Data'!$A$3:$A$2150,C$1,'United Data'!$C$3:$C$2150,$A182,'United Data'!$B$3:$B$2150,"P")&gt;0,1,0)</f>
        <v>0</v>
      </c>
      <c r="D182">
        <f>IF(COUNTIFS('United Data'!$A$3:$A$2150,D$1,'United Data'!$C$3:$C$2150,$A182,'United Data'!$B$3:$B$2150,"P")&gt;0,1,0)</f>
        <v>0</v>
      </c>
      <c r="E182">
        <f>IF(COUNTIFS('United Data'!$A$3:$A$2150,E$1,'United Data'!$C$3:$C$2150,$A182,'United Data'!$B$3:$B$2150,"P")&gt;0,1,0)</f>
        <v>0</v>
      </c>
      <c r="F182">
        <f>IF(COUNTIFS('United Data'!$A$3:$A$2150,F$1,'United Data'!$C$3:$C$2150,$A182,'United Data'!$B$3:$B$2150,"P")&gt;0,1,0)</f>
        <v>0</v>
      </c>
      <c r="G182">
        <f>IF(COUNTIFS('United Data'!$A$3:$A$2150,G$1,'United Data'!$C$3:$C$2150,$A182,'United Data'!$B$3:$B$2150,"P")&gt;0,1,0)</f>
        <v>0</v>
      </c>
      <c r="H182">
        <f>IF(COUNTIFS('United Data'!$A$3:$A$2150,H$1,'United Data'!$C$3:$C$2150,$A182,'United Data'!$B$3:$B$2150,"P")&gt;0,1,0)</f>
        <v>0</v>
      </c>
      <c r="I182">
        <f>IF(COUNTIFS('United Data'!$A$3:$A$2150,I$1,'United Data'!$C$3:$C$2150,$A182,'United Data'!$B$3:$B$2150,"P")&gt;0,1,0)</f>
        <v>0</v>
      </c>
      <c r="J182">
        <f>IF(COUNTIFS('United Data'!$A$3:$A$2150,J$1,'United Data'!$C$3:$C$2150,$A182,'United Data'!$B$3:$B$2150,"P")&gt;0,1,0)</f>
        <v>0</v>
      </c>
      <c r="K182">
        <f>IF(COUNTIFS('United Data'!$A$3:$A$2150,K$1,'United Data'!$C$3:$C$2150,$A182,'United Data'!$B$3:$B$2150,"P")&gt;0,1,0)</f>
        <v>0</v>
      </c>
      <c r="L182">
        <f>IF(COUNTIFS('United Data'!$A$3:$A$2150,L$1,'United Data'!$C$3:$C$2150,$A182,'United Data'!$B$3:$B$2150,"P")&gt;0,1,0)</f>
        <v>1</v>
      </c>
      <c r="M182">
        <f>IF(COUNTIFS('United Data'!$A$3:$A$2150,M$1,'United Data'!$C$3:$C$2150,$A182,'United Data'!$B$3:$B$2150,"P")&gt;0,1,0)</f>
        <v>1</v>
      </c>
      <c r="N182">
        <f>IF(COUNTIFS('United Data'!$A$3:$A$2150,N$1,'United Data'!$C$3:$C$2150,$A182,'United Data'!$B$3:$B$2150,"P")&gt;0,1,0)</f>
        <v>0</v>
      </c>
      <c r="O182">
        <f>IF(COUNTIFS('United Data'!$A$3:$A$2150,O$1,'United Data'!$C$3:$C$2150,$A182,'United Data'!$B$3:$B$2150,"P")&gt;0,1,0)</f>
        <v>0</v>
      </c>
      <c r="P182">
        <f>IF(COUNTIFS('United Data'!$A$3:$A$2150,P$1,'United Data'!$C$3:$C$2150,$A182,'United Data'!$B$3:$B$2150,"P")&gt;0,1,0)</f>
        <v>0</v>
      </c>
      <c r="Q182">
        <f>IF(COUNTIFS('United Data'!$A$3:$A$2150,Q$1,'United Data'!$C$3:$C$2150,$A182,'United Data'!$B$3:$B$2150,"P")&gt;0,1,0)</f>
        <v>0</v>
      </c>
      <c r="R182">
        <f>IF(COUNTIFS('United Data'!$A$3:$A$2150,R$1,'United Data'!$C$3:$C$2150,$A182,'United Data'!$B$3:$B$2150,"P")&gt;0,1,0)</f>
        <v>0</v>
      </c>
      <c r="S182">
        <f t="shared" si="4"/>
        <v>2</v>
      </c>
      <c r="T182">
        <f t="shared" si="5"/>
        <v>1</v>
      </c>
    </row>
    <row r="183" spans="1:20" x14ac:dyDescent="0.2">
      <c r="A183" t="s">
        <v>949</v>
      </c>
      <c r="B183">
        <f>IF(COUNTIFS('United Data'!$A$3:$A$2150,B$1,'United Data'!$C$3:$C$2150,$A183,'United Data'!$B$3:$B$2150,"P")&gt;0,1,0)</f>
        <v>0</v>
      </c>
      <c r="C183">
        <f>IF(COUNTIFS('United Data'!$A$3:$A$2150,C$1,'United Data'!$C$3:$C$2150,$A183,'United Data'!$B$3:$B$2150,"P")&gt;0,1,0)</f>
        <v>0</v>
      </c>
      <c r="D183">
        <f>IF(COUNTIFS('United Data'!$A$3:$A$2150,D$1,'United Data'!$C$3:$C$2150,$A183,'United Data'!$B$3:$B$2150,"P")&gt;0,1,0)</f>
        <v>0</v>
      </c>
      <c r="E183">
        <f>IF(COUNTIFS('United Data'!$A$3:$A$2150,E$1,'United Data'!$C$3:$C$2150,$A183,'United Data'!$B$3:$B$2150,"P")&gt;0,1,0)</f>
        <v>0</v>
      </c>
      <c r="F183">
        <f>IF(COUNTIFS('United Data'!$A$3:$A$2150,F$1,'United Data'!$C$3:$C$2150,$A183,'United Data'!$B$3:$B$2150,"P")&gt;0,1,0)</f>
        <v>0</v>
      </c>
      <c r="G183">
        <f>IF(COUNTIFS('United Data'!$A$3:$A$2150,G$1,'United Data'!$C$3:$C$2150,$A183,'United Data'!$B$3:$B$2150,"P")&gt;0,1,0)</f>
        <v>0</v>
      </c>
      <c r="H183">
        <f>IF(COUNTIFS('United Data'!$A$3:$A$2150,H$1,'United Data'!$C$3:$C$2150,$A183,'United Data'!$B$3:$B$2150,"P")&gt;0,1,0)</f>
        <v>0</v>
      </c>
      <c r="I183">
        <f>IF(COUNTIFS('United Data'!$A$3:$A$2150,I$1,'United Data'!$C$3:$C$2150,$A183,'United Data'!$B$3:$B$2150,"P")&gt;0,1,0)</f>
        <v>0</v>
      </c>
      <c r="J183">
        <f>IF(COUNTIFS('United Data'!$A$3:$A$2150,J$1,'United Data'!$C$3:$C$2150,$A183,'United Data'!$B$3:$B$2150,"P")&gt;0,1,0)</f>
        <v>0</v>
      </c>
      <c r="K183">
        <f>IF(COUNTIFS('United Data'!$A$3:$A$2150,K$1,'United Data'!$C$3:$C$2150,$A183,'United Data'!$B$3:$B$2150,"P")&gt;0,1,0)</f>
        <v>0</v>
      </c>
      <c r="L183">
        <f>IF(COUNTIFS('United Data'!$A$3:$A$2150,L$1,'United Data'!$C$3:$C$2150,$A183,'United Data'!$B$3:$B$2150,"P")&gt;0,1,0)</f>
        <v>1</v>
      </c>
      <c r="M183">
        <f>IF(COUNTIFS('United Data'!$A$3:$A$2150,M$1,'United Data'!$C$3:$C$2150,$A183,'United Data'!$B$3:$B$2150,"P")&gt;0,1,0)</f>
        <v>0</v>
      </c>
      <c r="N183">
        <f>IF(COUNTIFS('United Data'!$A$3:$A$2150,N$1,'United Data'!$C$3:$C$2150,$A183,'United Data'!$B$3:$B$2150,"P")&gt;0,1,0)</f>
        <v>0</v>
      </c>
      <c r="O183">
        <f>IF(COUNTIFS('United Data'!$A$3:$A$2150,O$1,'United Data'!$C$3:$C$2150,$A183,'United Data'!$B$3:$B$2150,"P")&gt;0,1,0)</f>
        <v>0</v>
      </c>
      <c r="P183">
        <f>IF(COUNTIFS('United Data'!$A$3:$A$2150,P$1,'United Data'!$C$3:$C$2150,$A183,'United Data'!$B$3:$B$2150,"P")&gt;0,1,0)</f>
        <v>0</v>
      </c>
      <c r="Q183">
        <f>IF(COUNTIFS('United Data'!$A$3:$A$2150,Q$1,'United Data'!$C$3:$C$2150,$A183,'United Data'!$B$3:$B$2150,"P")&gt;0,1,0)</f>
        <v>0</v>
      </c>
      <c r="R183">
        <f>IF(COUNTIFS('United Data'!$A$3:$A$2150,R$1,'United Data'!$C$3:$C$2150,$A183,'United Data'!$B$3:$B$2150,"P")&gt;0,1,0)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950</v>
      </c>
      <c r="B184">
        <f>IF(COUNTIFS('United Data'!$A$3:$A$2150,B$1,'United Data'!$C$3:$C$2150,$A184,'United Data'!$B$3:$B$2150,"P")&gt;0,1,0)</f>
        <v>0</v>
      </c>
      <c r="C184">
        <f>IF(COUNTIFS('United Data'!$A$3:$A$2150,C$1,'United Data'!$C$3:$C$2150,$A184,'United Data'!$B$3:$B$2150,"P")&gt;0,1,0)</f>
        <v>0</v>
      </c>
      <c r="D184">
        <f>IF(COUNTIFS('United Data'!$A$3:$A$2150,D$1,'United Data'!$C$3:$C$2150,$A184,'United Data'!$B$3:$B$2150,"P")&gt;0,1,0)</f>
        <v>0</v>
      </c>
      <c r="E184">
        <f>IF(COUNTIFS('United Data'!$A$3:$A$2150,E$1,'United Data'!$C$3:$C$2150,$A184,'United Data'!$B$3:$B$2150,"P")&gt;0,1,0)</f>
        <v>0</v>
      </c>
      <c r="F184">
        <f>IF(COUNTIFS('United Data'!$A$3:$A$2150,F$1,'United Data'!$C$3:$C$2150,$A184,'United Data'!$B$3:$B$2150,"P")&gt;0,1,0)</f>
        <v>0</v>
      </c>
      <c r="G184">
        <f>IF(COUNTIFS('United Data'!$A$3:$A$2150,G$1,'United Data'!$C$3:$C$2150,$A184,'United Data'!$B$3:$B$2150,"P")&gt;0,1,0)</f>
        <v>0</v>
      </c>
      <c r="H184">
        <f>IF(COUNTIFS('United Data'!$A$3:$A$2150,H$1,'United Data'!$C$3:$C$2150,$A184,'United Data'!$B$3:$B$2150,"P")&gt;0,1,0)</f>
        <v>0</v>
      </c>
      <c r="I184">
        <f>IF(COUNTIFS('United Data'!$A$3:$A$2150,I$1,'United Data'!$C$3:$C$2150,$A184,'United Data'!$B$3:$B$2150,"P")&gt;0,1,0)</f>
        <v>0</v>
      </c>
      <c r="J184">
        <f>IF(COUNTIFS('United Data'!$A$3:$A$2150,J$1,'United Data'!$C$3:$C$2150,$A184,'United Data'!$B$3:$B$2150,"P")&gt;0,1,0)</f>
        <v>0</v>
      </c>
      <c r="K184">
        <f>IF(COUNTIFS('United Data'!$A$3:$A$2150,K$1,'United Data'!$C$3:$C$2150,$A184,'United Data'!$B$3:$B$2150,"P")&gt;0,1,0)</f>
        <v>0</v>
      </c>
      <c r="L184">
        <f>IF(COUNTIFS('United Data'!$A$3:$A$2150,L$1,'United Data'!$C$3:$C$2150,$A184,'United Data'!$B$3:$B$2150,"P")&gt;0,1,0)</f>
        <v>1</v>
      </c>
      <c r="M184">
        <f>IF(COUNTIFS('United Data'!$A$3:$A$2150,M$1,'United Data'!$C$3:$C$2150,$A184,'United Data'!$B$3:$B$2150,"P")&gt;0,1,0)</f>
        <v>0</v>
      </c>
      <c r="N184">
        <f>IF(COUNTIFS('United Data'!$A$3:$A$2150,N$1,'United Data'!$C$3:$C$2150,$A184,'United Data'!$B$3:$B$2150,"P")&gt;0,1,0)</f>
        <v>0</v>
      </c>
      <c r="O184">
        <f>IF(COUNTIFS('United Data'!$A$3:$A$2150,O$1,'United Data'!$C$3:$C$2150,$A184,'United Data'!$B$3:$B$2150,"P")&gt;0,1,0)</f>
        <v>0</v>
      </c>
      <c r="P184">
        <f>IF(COUNTIFS('United Data'!$A$3:$A$2150,P$1,'United Data'!$C$3:$C$2150,$A184,'United Data'!$B$3:$B$2150,"P")&gt;0,1,0)</f>
        <v>0</v>
      </c>
      <c r="Q184">
        <f>IF(COUNTIFS('United Data'!$A$3:$A$2150,Q$1,'United Data'!$C$3:$C$2150,$A184,'United Data'!$B$3:$B$2150,"P")&gt;0,1,0)</f>
        <v>0</v>
      </c>
      <c r="R184">
        <f>IF(COUNTIFS('United Data'!$A$3:$A$2150,R$1,'United Data'!$C$3:$C$2150,$A184,'United Data'!$B$3:$B$2150,"P")&gt;0,1,0)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951</v>
      </c>
      <c r="B185">
        <f>IF(COUNTIFS('United Data'!$A$3:$A$2150,B$1,'United Data'!$C$3:$C$2150,$A185,'United Data'!$B$3:$B$2150,"P")&gt;0,1,0)</f>
        <v>0</v>
      </c>
      <c r="C185">
        <f>IF(COUNTIFS('United Data'!$A$3:$A$2150,C$1,'United Data'!$C$3:$C$2150,$A185,'United Data'!$B$3:$B$2150,"P")&gt;0,1,0)</f>
        <v>0</v>
      </c>
      <c r="D185">
        <f>IF(COUNTIFS('United Data'!$A$3:$A$2150,D$1,'United Data'!$C$3:$C$2150,$A185,'United Data'!$B$3:$B$2150,"P")&gt;0,1,0)</f>
        <v>0</v>
      </c>
      <c r="E185">
        <f>IF(COUNTIFS('United Data'!$A$3:$A$2150,E$1,'United Data'!$C$3:$C$2150,$A185,'United Data'!$B$3:$B$2150,"P")&gt;0,1,0)</f>
        <v>0</v>
      </c>
      <c r="F185">
        <f>IF(COUNTIFS('United Data'!$A$3:$A$2150,F$1,'United Data'!$C$3:$C$2150,$A185,'United Data'!$B$3:$B$2150,"P")&gt;0,1,0)</f>
        <v>0</v>
      </c>
      <c r="G185">
        <f>IF(COUNTIFS('United Data'!$A$3:$A$2150,G$1,'United Data'!$C$3:$C$2150,$A185,'United Data'!$B$3:$B$2150,"P")&gt;0,1,0)</f>
        <v>0</v>
      </c>
      <c r="H185">
        <f>IF(COUNTIFS('United Data'!$A$3:$A$2150,H$1,'United Data'!$C$3:$C$2150,$A185,'United Data'!$B$3:$B$2150,"P")&gt;0,1,0)</f>
        <v>0</v>
      </c>
      <c r="I185">
        <f>IF(COUNTIFS('United Data'!$A$3:$A$2150,I$1,'United Data'!$C$3:$C$2150,$A185,'United Data'!$B$3:$B$2150,"P")&gt;0,1,0)</f>
        <v>0</v>
      </c>
      <c r="J185">
        <f>IF(COUNTIFS('United Data'!$A$3:$A$2150,J$1,'United Data'!$C$3:$C$2150,$A185,'United Data'!$B$3:$B$2150,"P")&gt;0,1,0)</f>
        <v>0</v>
      </c>
      <c r="K185">
        <f>IF(COUNTIFS('United Data'!$A$3:$A$2150,K$1,'United Data'!$C$3:$C$2150,$A185,'United Data'!$B$3:$B$2150,"P")&gt;0,1,0)</f>
        <v>0</v>
      </c>
      <c r="L185">
        <f>IF(COUNTIFS('United Data'!$A$3:$A$2150,L$1,'United Data'!$C$3:$C$2150,$A185,'United Data'!$B$3:$B$2150,"P")&gt;0,1,0)</f>
        <v>0</v>
      </c>
      <c r="M185">
        <f>IF(COUNTIFS('United Data'!$A$3:$A$2150,M$1,'United Data'!$C$3:$C$2150,$A185,'United Data'!$B$3:$B$2150,"P")&gt;0,1,0)</f>
        <v>1</v>
      </c>
      <c r="N185">
        <f>IF(COUNTIFS('United Data'!$A$3:$A$2150,N$1,'United Data'!$C$3:$C$2150,$A185,'United Data'!$B$3:$B$2150,"P")&gt;0,1,0)</f>
        <v>0</v>
      </c>
      <c r="O185">
        <f>IF(COUNTIFS('United Data'!$A$3:$A$2150,O$1,'United Data'!$C$3:$C$2150,$A185,'United Data'!$B$3:$B$2150,"P")&gt;0,1,0)</f>
        <v>0</v>
      </c>
      <c r="P185">
        <f>IF(COUNTIFS('United Data'!$A$3:$A$2150,P$1,'United Data'!$C$3:$C$2150,$A185,'United Data'!$B$3:$B$2150,"P")&gt;0,1,0)</f>
        <v>0</v>
      </c>
      <c r="Q185">
        <f>IF(COUNTIFS('United Data'!$A$3:$A$2150,Q$1,'United Data'!$C$3:$C$2150,$A185,'United Data'!$B$3:$B$2150,"P")&gt;0,1,0)</f>
        <v>0</v>
      </c>
      <c r="R185">
        <f>IF(COUNTIFS('United Data'!$A$3:$A$2150,R$1,'United Data'!$C$3:$C$2150,$A185,'United Data'!$B$3:$B$2150,"P")&gt;0,1,0)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952</v>
      </c>
      <c r="B186">
        <f>IF(COUNTIFS('United Data'!$A$3:$A$2150,B$1,'United Data'!$C$3:$C$2150,$A186,'United Data'!$B$3:$B$2150,"P")&gt;0,1,0)</f>
        <v>0</v>
      </c>
      <c r="C186">
        <f>IF(COUNTIFS('United Data'!$A$3:$A$2150,C$1,'United Data'!$C$3:$C$2150,$A186,'United Data'!$B$3:$B$2150,"P")&gt;0,1,0)</f>
        <v>0</v>
      </c>
      <c r="D186">
        <f>IF(COUNTIFS('United Data'!$A$3:$A$2150,D$1,'United Data'!$C$3:$C$2150,$A186,'United Data'!$B$3:$B$2150,"P")&gt;0,1,0)</f>
        <v>0</v>
      </c>
      <c r="E186">
        <f>IF(COUNTIFS('United Data'!$A$3:$A$2150,E$1,'United Data'!$C$3:$C$2150,$A186,'United Data'!$B$3:$B$2150,"P")&gt;0,1,0)</f>
        <v>0</v>
      </c>
      <c r="F186">
        <f>IF(COUNTIFS('United Data'!$A$3:$A$2150,F$1,'United Data'!$C$3:$C$2150,$A186,'United Data'!$B$3:$B$2150,"P")&gt;0,1,0)</f>
        <v>0</v>
      </c>
      <c r="G186">
        <f>IF(COUNTIFS('United Data'!$A$3:$A$2150,G$1,'United Data'!$C$3:$C$2150,$A186,'United Data'!$B$3:$B$2150,"P")&gt;0,1,0)</f>
        <v>0</v>
      </c>
      <c r="H186">
        <f>IF(COUNTIFS('United Data'!$A$3:$A$2150,H$1,'United Data'!$C$3:$C$2150,$A186,'United Data'!$B$3:$B$2150,"P")&gt;0,1,0)</f>
        <v>0</v>
      </c>
      <c r="I186">
        <f>IF(COUNTIFS('United Data'!$A$3:$A$2150,I$1,'United Data'!$C$3:$C$2150,$A186,'United Data'!$B$3:$B$2150,"P")&gt;0,1,0)</f>
        <v>0</v>
      </c>
      <c r="J186">
        <f>IF(COUNTIFS('United Data'!$A$3:$A$2150,J$1,'United Data'!$C$3:$C$2150,$A186,'United Data'!$B$3:$B$2150,"P")&gt;0,1,0)</f>
        <v>0</v>
      </c>
      <c r="K186">
        <f>IF(COUNTIFS('United Data'!$A$3:$A$2150,K$1,'United Data'!$C$3:$C$2150,$A186,'United Data'!$B$3:$B$2150,"P")&gt;0,1,0)</f>
        <v>0</v>
      </c>
      <c r="L186">
        <f>IF(COUNTIFS('United Data'!$A$3:$A$2150,L$1,'United Data'!$C$3:$C$2150,$A186,'United Data'!$B$3:$B$2150,"P")&gt;0,1,0)</f>
        <v>0</v>
      </c>
      <c r="M186">
        <f>IF(COUNTIFS('United Data'!$A$3:$A$2150,M$1,'United Data'!$C$3:$C$2150,$A186,'United Data'!$B$3:$B$2150,"P")&gt;0,1,0)</f>
        <v>1</v>
      </c>
      <c r="N186">
        <f>IF(COUNTIFS('United Data'!$A$3:$A$2150,N$1,'United Data'!$C$3:$C$2150,$A186,'United Data'!$B$3:$B$2150,"P")&gt;0,1,0)</f>
        <v>1</v>
      </c>
      <c r="O186">
        <f>IF(COUNTIFS('United Data'!$A$3:$A$2150,O$1,'United Data'!$C$3:$C$2150,$A186,'United Data'!$B$3:$B$2150,"P")&gt;0,1,0)</f>
        <v>0</v>
      </c>
      <c r="P186">
        <f>IF(COUNTIFS('United Data'!$A$3:$A$2150,P$1,'United Data'!$C$3:$C$2150,$A186,'United Data'!$B$3:$B$2150,"P")&gt;0,1,0)</f>
        <v>0</v>
      </c>
      <c r="Q186">
        <f>IF(COUNTIFS('United Data'!$A$3:$A$2150,Q$1,'United Data'!$C$3:$C$2150,$A186,'United Data'!$B$3:$B$2150,"P")&gt;0,1,0)</f>
        <v>0</v>
      </c>
      <c r="R186">
        <f>IF(COUNTIFS('United Data'!$A$3:$A$2150,R$1,'United Data'!$C$3:$C$2150,$A186,'United Data'!$B$3:$B$2150,"P")&gt;0,1,0)</f>
        <v>0</v>
      </c>
      <c r="S186">
        <f t="shared" si="4"/>
        <v>2</v>
      </c>
      <c r="T186">
        <f t="shared" si="5"/>
        <v>1</v>
      </c>
    </row>
    <row r="187" spans="1:20" x14ac:dyDescent="0.2">
      <c r="A187" t="s">
        <v>953</v>
      </c>
      <c r="B187">
        <f>IF(COUNTIFS('United Data'!$A$3:$A$2150,B$1,'United Data'!$C$3:$C$2150,$A187,'United Data'!$B$3:$B$2150,"P")&gt;0,1,0)</f>
        <v>0</v>
      </c>
      <c r="C187">
        <f>IF(COUNTIFS('United Data'!$A$3:$A$2150,C$1,'United Data'!$C$3:$C$2150,$A187,'United Data'!$B$3:$B$2150,"P")&gt;0,1,0)</f>
        <v>0</v>
      </c>
      <c r="D187">
        <f>IF(COUNTIFS('United Data'!$A$3:$A$2150,D$1,'United Data'!$C$3:$C$2150,$A187,'United Data'!$B$3:$B$2150,"P")&gt;0,1,0)</f>
        <v>0</v>
      </c>
      <c r="E187">
        <f>IF(COUNTIFS('United Data'!$A$3:$A$2150,E$1,'United Data'!$C$3:$C$2150,$A187,'United Data'!$B$3:$B$2150,"P")&gt;0,1,0)</f>
        <v>0</v>
      </c>
      <c r="F187">
        <f>IF(COUNTIFS('United Data'!$A$3:$A$2150,F$1,'United Data'!$C$3:$C$2150,$A187,'United Data'!$B$3:$B$2150,"P")&gt;0,1,0)</f>
        <v>0</v>
      </c>
      <c r="G187">
        <f>IF(COUNTIFS('United Data'!$A$3:$A$2150,G$1,'United Data'!$C$3:$C$2150,$A187,'United Data'!$B$3:$B$2150,"P")&gt;0,1,0)</f>
        <v>0</v>
      </c>
      <c r="H187">
        <f>IF(COUNTIFS('United Data'!$A$3:$A$2150,H$1,'United Data'!$C$3:$C$2150,$A187,'United Data'!$B$3:$B$2150,"P")&gt;0,1,0)</f>
        <v>0</v>
      </c>
      <c r="I187">
        <f>IF(COUNTIFS('United Data'!$A$3:$A$2150,I$1,'United Data'!$C$3:$C$2150,$A187,'United Data'!$B$3:$B$2150,"P")&gt;0,1,0)</f>
        <v>0</v>
      </c>
      <c r="J187">
        <f>IF(COUNTIFS('United Data'!$A$3:$A$2150,J$1,'United Data'!$C$3:$C$2150,$A187,'United Data'!$B$3:$B$2150,"P")&gt;0,1,0)</f>
        <v>0</v>
      </c>
      <c r="K187">
        <f>IF(COUNTIFS('United Data'!$A$3:$A$2150,K$1,'United Data'!$C$3:$C$2150,$A187,'United Data'!$B$3:$B$2150,"P")&gt;0,1,0)</f>
        <v>0</v>
      </c>
      <c r="L187">
        <f>IF(COUNTIFS('United Data'!$A$3:$A$2150,L$1,'United Data'!$C$3:$C$2150,$A187,'United Data'!$B$3:$B$2150,"P")&gt;0,1,0)</f>
        <v>0</v>
      </c>
      <c r="M187">
        <f>IF(COUNTIFS('United Data'!$A$3:$A$2150,M$1,'United Data'!$C$3:$C$2150,$A187,'United Data'!$B$3:$B$2150,"P")&gt;0,1,0)</f>
        <v>1</v>
      </c>
      <c r="N187">
        <f>IF(COUNTIFS('United Data'!$A$3:$A$2150,N$1,'United Data'!$C$3:$C$2150,$A187,'United Data'!$B$3:$B$2150,"P")&gt;0,1,0)</f>
        <v>0</v>
      </c>
      <c r="O187">
        <f>IF(COUNTIFS('United Data'!$A$3:$A$2150,O$1,'United Data'!$C$3:$C$2150,$A187,'United Data'!$B$3:$B$2150,"P")&gt;0,1,0)</f>
        <v>0</v>
      </c>
      <c r="P187">
        <f>IF(COUNTIFS('United Data'!$A$3:$A$2150,P$1,'United Data'!$C$3:$C$2150,$A187,'United Data'!$B$3:$B$2150,"P")&gt;0,1,0)</f>
        <v>0</v>
      </c>
      <c r="Q187">
        <f>IF(COUNTIFS('United Data'!$A$3:$A$2150,Q$1,'United Data'!$C$3:$C$2150,$A187,'United Data'!$B$3:$B$2150,"P")&gt;0,1,0)</f>
        <v>0</v>
      </c>
      <c r="R187">
        <f>IF(COUNTIFS('United Data'!$A$3:$A$2150,R$1,'United Data'!$C$3:$C$2150,$A187,'United Data'!$B$3:$B$2150,"P")&gt;0,1,0)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954</v>
      </c>
      <c r="B188">
        <f>IF(COUNTIFS('United Data'!$A$3:$A$2150,B$1,'United Data'!$C$3:$C$2150,$A188,'United Data'!$B$3:$B$2150,"P")&gt;0,1,0)</f>
        <v>0</v>
      </c>
      <c r="C188">
        <f>IF(COUNTIFS('United Data'!$A$3:$A$2150,C$1,'United Data'!$C$3:$C$2150,$A188,'United Data'!$B$3:$B$2150,"P")&gt;0,1,0)</f>
        <v>0</v>
      </c>
      <c r="D188">
        <f>IF(COUNTIFS('United Data'!$A$3:$A$2150,D$1,'United Data'!$C$3:$C$2150,$A188,'United Data'!$B$3:$B$2150,"P")&gt;0,1,0)</f>
        <v>0</v>
      </c>
      <c r="E188">
        <f>IF(COUNTIFS('United Data'!$A$3:$A$2150,E$1,'United Data'!$C$3:$C$2150,$A188,'United Data'!$B$3:$B$2150,"P")&gt;0,1,0)</f>
        <v>0</v>
      </c>
      <c r="F188">
        <f>IF(COUNTIFS('United Data'!$A$3:$A$2150,F$1,'United Data'!$C$3:$C$2150,$A188,'United Data'!$B$3:$B$2150,"P")&gt;0,1,0)</f>
        <v>0</v>
      </c>
      <c r="G188">
        <f>IF(COUNTIFS('United Data'!$A$3:$A$2150,G$1,'United Data'!$C$3:$C$2150,$A188,'United Data'!$B$3:$B$2150,"P")&gt;0,1,0)</f>
        <v>0</v>
      </c>
      <c r="H188">
        <f>IF(COUNTIFS('United Data'!$A$3:$A$2150,H$1,'United Data'!$C$3:$C$2150,$A188,'United Data'!$B$3:$B$2150,"P")&gt;0,1,0)</f>
        <v>0</v>
      </c>
      <c r="I188">
        <f>IF(COUNTIFS('United Data'!$A$3:$A$2150,I$1,'United Data'!$C$3:$C$2150,$A188,'United Data'!$B$3:$B$2150,"P")&gt;0,1,0)</f>
        <v>0</v>
      </c>
      <c r="J188">
        <f>IF(COUNTIFS('United Data'!$A$3:$A$2150,J$1,'United Data'!$C$3:$C$2150,$A188,'United Data'!$B$3:$B$2150,"P")&gt;0,1,0)</f>
        <v>0</v>
      </c>
      <c r="K188">
        <f>IF(COUNTIFS('United Data'!$A$3:$A$2150,K$1,'United Data'!$C$3:$C$2150,$A188,'United Data'!$B$3:$B$2150,"P")&gt;0,1,0)</f>
        <v>0</v>
      </c>
      <c r="L188">
        <f>IF(COUNTIFS('United Data'!$A$3:$A$2150,L$1,'United Data'!$C$3:$C$2150,$A188,'United Data'!$B$3:$B$2150,"P")&gt;0,1,0)</f>
        <v>0</v>
      </c>
      <c r="M188">
        <f>IF(COUNTIFS('United Data'!$A$3:$A$2150,M$1,'United Data'!$C$3:$C$2150,$A188,'United Data'!$B$3:$B$2150,"P")&gt;0,1,0)</f>
        <v>1</v>
      </c>
      <c r="N188">
        <f>IF(COUNTIFS('United Data'!$A$3:$A$2150,N$1,'United Data'!$C$3:$C$2150,$A188,'United Data'!$B$3:$B$2150,"P")&gt;0,1,0)</f>
        <v>0</v>
      </c>
      <c r="O188">
        <f>IF(COUNTIFS('United Data'!$A$3:$A$2150,O$1,'United Data'!$C$3:$C$2150,$A188,'United Data'!$B$3:$B$2150,"P")&gt;0,1,0)</f>
        <v>0</v>
      </c>
      <c r="P188">
        <f>IF(COUNTIFS('United Data'!$A$3:$A$2150,P$1,'United Data'!$C$3:$C$2150,$A188,'United Data'!$B$3:$B$2150,"P")&gt;0,1,0)</f>
        <v>0</v>
      </c>
      <c r="Q188">
        <f>IF(COUNTIFS('United Data'!$A$3:$A$2150,Q$1,'United Data'!$C$3:$C$2150,$A188,'United Data'!$B$3:$B$2150,"P")&gt;0,1,0)</f>
        <v>0</v>
      </c>
      <c r="R188">
        <f>IF(COUNTIFS('United Data'!$A$3:$A$2150,R$1,'United Data'!$C$3:$C$2150,$A188,'United Data'!$B$3:$B$2150,"P")&gt;0,1,0)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955</v>
      </c>
      <c r="B189">
        <f>IF(COUNTIFS('United Data'!$A$3:$A$2150,B$1,'United Data'!$C$3:$C$2150,$A189,'United Data'!$B$3:$B$2150,"P")&gt;0,1,0)</f>
        <v>0</v>
      </c>
      <c r="C189">
        <f>IF(COUNTIFS('United Data'!$A$3:$A$2150,C$1,'United Data'!$C$3:$C$2150,$A189,'United Data'!$B$3:$B$2150,"P")&gt;0,1,0)</f>
        <v>0</v>
      </c>
      <c r="D189">
        <f>IF(COUNTIFS('United Data'!$A$3:$A$2150,D$1,'United Data'!$C$3:$C$2150,$A189,'United Data'!$B$3:$B$2150,"P")&gt;0,1,0)</f>
        <v>0</v>
      </c>
      <c r="E189">
        <f>IF(COUNTIFS('United Data'!$A$3:$A$2150,E$1,'United Data'!$C$3:$C$2150,$A189,'United Data'!$B$3:$B$2150,"P")&gt;0,1,0)</f>
        <v>0</v>
      </c>
      <c r="F189">
        <f>IF(COUNTIFS('United Data'!$A$3:$A$2150,F$1,'United Data'!$C$3:$C$2150,$A189,'United Data'!$B$3:$B$2150,"P")&gt;0,1,0)</f>
        <v>0</v>
      </c>
      <c r="G189">
        <f>IF(COUNTIFS('United Data'!$A$3:$A$2150,G$1,'United Data'!$C$3:$C$2150,$A189,'United Data'!$B$3:$B$2150,"P")&gt;0,1,0)</f>
        <v>0</v>
      </c>
      <c r="H189">
        <f>IF(COUNTIFS('United Data'!$A$3:$A$2150,H$1,'United Data'!$C$3:$C$2150,$A189,'United Data'!$B$3:$B$2150,"P")&gt;0,1,0)</f>
        <v>0</v>
      </c>
      <c r="I189">
        <f>IF(COUNTIFS('United Data'!$A$3:$A$2150,I$1,'United Data'!$C$3:$C$2150,$A189,'United Data'!$B$3:$B$2150,"P")&gt;0,1,0)</f>
        <v>0</v>
      </c>
      <c r="J189">
        <f>IF(COUNTIFS('United Data'!$A$3:$A$2150,J$1,'United Data'!$C$3:$C$2150,$A189,'United Data'!$B$3:$B$2150,"P")&gt;0,1,0)</f>
        <v>0</v>
      </c>
      <c r="K189">
        <f>IF(COUNTIFS('United Data'!$A$3:$A$2150,K$1,'United Data'!$C$3:$C$2150,$A189,'United Data'!$B$3:$B$2150,"P")&gt;0,1,0)</f>
        <v>0</v>
      </c>
      <c r="L189">
        <f>IF(COUNTIFS('United Data'!$A$3:$A$2150,L$1,'United Data'!$C$3:$C$2150,$A189,'United Data'!$B$3:$B$2150,"P")&gt;0,1,0)</f>
        <v>0</v>
      </c>
      <c r="M189">
        <f>IF(COUNTIFS('United Data'!$A$3:$A$2150,M$1,'United Data'!$C$3:$C$2150,$A189,'United Data'!$B$3:$B$2150,"P")&gt;0,1,0)</f>
        <v>1</v>
      </c>
      <c r="N189">
        <f>IF(COUNTIFS('United Data'!$A$3:$A$2150,N$1,'United Data'!$C$3:$C$2150,$A189,'United Data'!$B$3:$B$2150,"P")&gt;0,1,0)</f>
        <v>0</v>
      </c>
      <c r="O189">
        <f>IF(COUNTIFS('United Data'!$A$3:$A$2150,O$1,'United Data'!$C$3:$C$2150,$A189,'United Data'!$B$3:$B$2150,"P")&gt;0,1,0)</f>
        <v>0</v>
      </c>
      <c r="P189">
        <f>IF(COUNTIFS('United Data'!$A$3:$A$2150,P$1,'United Data'!$C$3:$C$2150,$A189,'United Data'!$B$3:$B$2150,"P")&gt;0,1,0)</f>
        <v>0</v>
      </c>
      <c r="Q189">
        <f>IF(COUNTIFS('United Data'!$A$3:$A$2150,Q$1,'United Data'!$C$3:$C$2150,$A189,'United Data'!$B$3:$B$2150,"P")&gt;0,1,0)</f>
        <v>0</v>
      </c>
      <c r="R189">
        <f>IF(COUNTIFS('United Data'!$A$3:$A$2150,R$1,'United Data'!$C$3:$C$2150,$A189,'United Data'!$B$3:$B$2150,"P")&gt;0,1,0)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956</v>
      </c>
      <c r="B190">
        <f>IF(COUNTIFS('United Data'!$A$3:$A$2150,B$1,'United Data'!$C$3:$C$2150,$A190,'United Data'!$B$3:$B$2150,"P")&gt;0,1,0)</f>
        <v>0</v>
      </c>
      <c r="C190">
        <f>IF(COUNTIFS('United Data'!$A$3:$A$2150,C$1,'United Data'!$C$3:$C$2150,$A190,'United Data'!$B$3:$B$2150,"P")&gt;0,1,0)</f>
        <v>0</v>
      </c>
      <c r="D190">
        <f>IF(COUNTIFS('United Data'!$A$3:$A$2150,D$1,'United Data'!$C$3:$C$2150,$A190,'United Data'!$B$3:$B$2150,"P")&gt;0,1,0)</f>
        <v>0</v>
      </c>
      <c r="E190">
        <f>IF(COUNTIFS('United Data'!$A$3:$A$2150,E$1,'United Data'!$C$3:$C$2150,$A190,'United Data'!$B$3:$B$2150,"P")&gt;0,1,0)</f>
        <v>0</v>
      </c>
      <c r="F190">
        <f>IF(COUNTIFS('United Data'!$A$3:$A$2150,F$1,'United Data'!$C$3:$C$2150,$A190,'United Data'!$B$3:$B$2150,"P")&gt;0,1,0)</f>
        <v>0</v>
      </c>
      <c r="G190">
        <f>IF(COUNTIFS('United Data'!$A$3:$A$2150,G$1,'United Data'!$C$3:$C$2150,$A190,'United Data'!$B$3:$B$2150,"P")&gt;0,1,0)</f>
        <v>0</v>
      </c>
      <c r="H190">
        <f>IF(COUNTIFS('United Data'!$A$3:$A$2150,H$1,'United Data'!$C$3:$C$2150,$A190,'United Data'!$B$3:$B$2150,"P")&gt;0,1,0)</f>
        <v>0</v>
      </c>
      <c r="I190">
        <f>IF(COUNTIFS('United Data'!$A$3:$A$2150,I$1,'United Data'!$C$3:$C$2150,$A190,'United Data'!$B$3:$B$2150,"P")&gt;0,1,0)</f>
        <v>0</v>
      </c>
      <c r="J190">
        <f>IF(COUNTIFS('United Data'!$A$3:$A$2150,J$1,'United Data'!$C$3:$C$2150,$A190,'United Data'!$B$3:$B$2150,"P")&gt;0,1,0)</f>
        <v>0</v>
      </c>
      <c r="K190">
        <f>IF(COUNTIFS('United Data'!$A$3:$A$2150,K$1,'United Data'!$C$3:$C$2150,$A190,'United Data'!$B$3:$B$2150,"P")&gt;0,1,0)</f>
        <v>0</v>
      </c>
      <c r="L190">
        <f>IF(COUNTIFS('United Data'!$A$3:$A$2150,L$1,'United Data'!$C$3:$C$2150,$A190,'United Data'!$B$3:$B$2150,"P")&gt;0,1,0)</f>
        <v>0</v>
      </c>
      <c r="M190">
        <f>IF(COUNTIFS('United Data'!$A$3:$A$2150,M$1,'United Data'!$C$3:$C$2150,$A190,'United Data'!$B$3:$B$2150,"P")&gt;0,1,0)</f>
        <v>1</v>
      </c>
      <c r="N190">
        <f>IF(COUNTIFS('United Data'!$A$3:$A$2150,N$1,'United Data'!$C$3:$C$2150,$A190,'United Data'!$B$3:$B$2150,"P")&gt;0,1,0)</f>
        <v>0</v>
      </c>
      <c r="O190">
        <f>IF(COUNTIFS('United Data'!$A$3:$A$2150,O$1,'United Data'!$C$3:$C$2150,$A190,'United Data'!$B$3:$B$2150,"P")&gt;0,1,0)</f>
        <v>0</v>
      </c>
      <c r="P190">
        <f>IF(COUNTIFS('United Data'!$A$3:$A$2150,P$1,'United Data'!$C$3:$C$2150,$A190,'United Data'!$B$3:$B$2150,"P")&gt;0,1,0)</f>
        <v>0</v>
      </c>
      <c r="Q190">
        <f>IF(COUNTIFS('United Data'!$A$3:$A$2150,Q$1,'United Data'!$C$3:$C$2150,$A190,'United Data'!$B$3:$B$2150,"P")&gt;0,1,0)</f>
        <v>0</v>
      </c>
      <c r="R190">
        <f>IF(COUNTIFS('United Data'!$A$3:$A$2150,R$1,'United Data'!$C$3:$C$2150,$A190,'United Data'!$B$3:$B$2150,"P")&gt;0,1,0)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957</v>
      </c>
      <c r="B191">
        <f>IF(COUNTIFS('United Data'!$A$3:$A$2150,B$1,'United Data'!$C$3:$C$2150,$A191,'United Data'!$B$3:$B$2150,"P")&gt;0,1,0)</f>
        <v>0</v>
      </c>
      <c r="C191">
        <f>IF(COUNTIFS('United Data'!$A$3:$A$2150,C$1,'United Data'!$C$3:$C$2150,$A191,'United Data'!$B$3:$B$2150,"P")&gt;0,1,0)</f>
        <v>0</v>
      </c>
      <c r="D191">
        <f>IF(COUNTIFS('United Data'!$A$3:$A$2150,D$1,'United Data'!$C$3:$C$2150,$A191,'United Data'!$B$3:$B$2150,"P")&gt;0,1,0)</f>
        <v>0</v>
      </c>
      <c r="E191">
        <f>IF(COUNTIFS('United Data'!$A$3:$A$2150,E$1,'United Data'!$C$3:$C$2150,$A191,'United Data'!$B$3:$B$2150,"P")&gt;0,1,0)</f>
        <v>0</v>
      </c>
      <c r="F191">
        <f>IF(COUNTIFS('United Data'!$A$3:$A$2150,F$1,'United Data'!$C$3:$C$2150,$A191,'United Data'!$B$3:$B$2150,"P")&gt;0,1,0)</f>
        <v>0</v>
      </c>
      <c r="G191">
        <f>IF(COUNTIFS('United Data'!$A$3:$A$2150,G$1,'United Data'!$C$3:$C$2150,$A191,'United Data'!$B$3:$B$2150,"P")&gt;0,1,0)</f>
        <v>0</v>
      </c>
      <c r="H191">
        <f>IF(COUNTIFS('United Data'!$A$3:$A$2150,H$1,'United Data'!$C$3:$C$2150,$A191,'United Data'!$B$3:$B$2150,"P")&gt;0,1,0)</f>
        <v>0</v>
      </c>
      <c r="I191">
        <f>IF(COUNTIFS('United Data'!$A$3:$A$2150,I$1,'United Data'!$C$3:$C$2150,$A191,'United Data'!$B$3:$B$2150,"P")&gt;0,1,0)</f>
        <v>0</v>
      </c>
      <c r="J191">
        <f>IF(COUNTIFS('United Data'!$A$3:$A$2150,J$1,'United Data'!$C$3:$C$2150,$A191,'United Data'!$B$3:$B$2150,"P")&gt;0,1,0)</f>
        <v>0</v>
      </c>
      <c r="K191">
        <f>IF(COUNTIFS('United Data'!$A$3:$A$2150,K$1,'United Data'!$C$3:$C$2150,$A191,'United Data'!$B$3:$B$2150,"P")&gt;0,1,0)</f>
        <v>0</v>
      </c>
      <c r="L191">
        <f>IF(COUNTIFS('United Data'!$A$3:$A$2150,L$1,'United Data'!$C$3:$C$2150,$A191,'United Data'!$B$3:$B$2150,"P")&gt;0,1,0)</f>
        <v>0</v>
      </c>
      <c r="M191">
        <f>IF(COUNTIFS('United Data'!$A$3:$A$2150,M$1,'United Data'!$C$3:$C$2150,$A191,'United Data'!$B$3:$B$2150,"P")&gt;0,1,0)</f>
        <v>1</v>
      </c>
      <c r="N191">
        <f>IF(COUNTIFS('United Data'!$A$3:$A$2150,N$1,'United Data'!$C$3:$C$2150,$A191,'United Data'!$B$3:$B$2150,"P")&gt;0,1,0)</f>
        <v>0</v>
      </c>
      <c r="O191">
        <f>IF(COUNTIFS('United Data'!$A$3:$A$2150,O$1,'United Data'!$C$3:$C$2150,$A191,'United Data'!$B$3:$B$2150,"P")&gt;0,1,0)</f>
        <v>0</v>
      </c>
      <c r="P191">
        <f>IF(COUNTIFS('United Data'!$A$3:$A$2150,P$1,'United Data'!$C$3:$C$2150,$A191,'United Data'!$B$3:$B$2150,"P")&gt;0,1,0)</f>
        <v>0</v>
      </c>
      <c r="Q191">
        <f>IF(COUNTIFS('United Data'!$A$3:$A$2150,Q$1,'United Data'!$C$3:$C$2150,$A191,'United Data'!$B$3:$B$2150,"P")&gt;0,1,0)</f>
        <v>0</v>
      </c>
      <c r="R191">
        <f>IF(COUNTIFS('United Data'!$A$3:$A$2150,R$1,'United Data'!$C$3:$C$2150,$A191,'United Data'!$B$3:$B$2150,"P")&gt;0,1,0)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958</v>
      </c>
      <c r="B192">
        <f>IF(COUNTIFS('United Data'!$A$3:$A$2150,B$1,'United Data'!$C$3:$C$2150,$A192,'United Data'!$B$3:$B$2150,"P")&gt;0,1,0)</f>
        <v>0</v>
      </c>
      <c r="C192">
        <f>IF(COUNTIFS('United Data'!$A$3:$A$2150,C$1,'United Data'!$C$3:$C$2150,$A192,'United Data'!$B$3:$B$2150,"P")&gt;0,1,0)</f>
        <v>0</v>
      </c>
      <c r="D192">
        <f>IF(COUNTIFS('United Data'!$A$3:$A$2150,D$1,'United Data'!$C$3:$C$2150,$A192,'United Data'!$B$3:$B$2150,"P")&gt;0,1,0)</f>
        <v>0</v>
      </c>
      <c r="E192">
        <f>IF(COUNTIFS('United Data'!$A$3:$A$2150,E$1,'United Data'!$C$3:$C$2150,$A192,'United Data'!$B$3:$B$2150,"P")&gt;0,1,0)</f>
        <v>0</v>
      </c>
      <c r="F192">
        <f>IF(COUNTIFS('United Data'!$A$3:$A$2150,F$1,'United Data'!$C$3:$C$2150,$A192,'United Data'!$B$3:$B$2150,"P")&gt;0,1,0)</f>
        <v>0</v>
      </c>
      <c r="G192">
        <f>IF(COUNTIFS('United Data'!$A$3:$A$2150,G$1,'United Data'!$C$3:$C$2150,$A192,'United Data'!$B$3:$B$2150,"P")&gt;0,1,0)</f>
        <v>0</v>
      </c>
      <c r="H192">
        <f>IF(COUNTIFS('United Data'!$A$3:$A$2150,H$1,'United Data'!$C$3:$C$2150,$A192,'United Data'!$B$3:$B$2150,"P")&gt;0,1,0)</f>
        <v>0</v>
      </c>
      <c r="I192">
        <f>IF(COUNTIFS('United Data'!$A$3:$A$2150,I$1,'United Data'!$C$3:$C$2150,$A192,'United Data'!$B$3:$B$2150,"P")&gt;0,1,0)</f>
        <v>0</v>
      </c>
      <c r="J192">
        <f>IF(COUNTIFS('United Data'!$A$3:$A$2150,J$1,'United Data'!$C$3:$C$2150,$A192,'United Data'!$B$3:$B$2150,"P")&gt;0,1,0)</f>
        <v>0</v>
      </c>
      <c r="K192">
        <f>IF(COUNTIFS('United Data'!$A$3:$A$2150,K$1,'United Data'!$C$3:$C$2150,$A192,'United Data'!$B$3:$B$2150,"P")&gt;0,1,0)</f>
        <v>0</v>
      </c>
      <c r="L192">
        <f>IF(COUNTIFS('United Data'!$A$3:$A$2150,L$1,'United Data'!$C$3:$C$2150,$A192,'United Data'!$B$3:$B$2150,"P")&gt;0,1,0)</f>
        <v>0</v>
      </c>
      <c r="M192">
        <f>IF(COUNTIFS('United Data'!$A$3:$A$2150,M$1,'United Data'!$C$3:$C$2150,$A192,'United Data'!$B$3:$B$2150,"P")&gt;0,1,0)</f>
        <v>1</v>
      </c>
      <c r="N192">
        <f>IF(COUNTIFS('United Data'!$A$3:$A$2150,N$1,'United Data'!$C$3:$C$2150,$A192,'United Data'!$B$3:$B$2150,"P")&gt;0,1,0)</f>
        <v>0</v>
      </c>
      <c r="O192">
        <f>IF(COUNTIFS('United Data'!$A$3:$A$2150,O$1,'United Data'!$C$3:$C$2150,$A192,'United Data'!$B$3:$B$2150,"P")&gt;0,1,0)</f>
        <v>0</v>
      </c>
      <c r="P192">
        <f>IF(COUNTIFS('United Data'!$A$3:$A$2150,P$1,'United Data'!$C$3:$C$2150,$A192,'United Data'!$B$3:$B$2150,"P")&gt;0,1,0)</f>
        <v>0</v>
      </c>
      <c r="Q192">
        <f>IF(COUNTIFS('United Data'!$A$3:$A$2150,Q$1,'United Data'!$C$3:$C$2150,$A192,'United Data'!$B$3:$B$2150,"P")&gt;0,1,0)</f>
        <v>0</v>
      </c>
      <c r="R192">
        <f>IF(COUNTIFS('United Data'!$A$3:$A$2150,R$1,'United Data'!$C$3:$C$2150,$A192,'United Data'!$B$3:$B$2150,"P")&gt;0,1,0)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959</v>
      </c>
      <c r="B193">
        <f>IF(COUNTIFS('United Data'!$A$3:$A$2150,B$1,'United Data'!$C$3:$C$2150,$A193,'United Data'!$B$3:$B$2150,"P")&gt;0,1,0)</f>
        <v>0</v>
      </c>
      <c r="C193">
        <f>IF(COUNTIFS('United Data'!$A$3:$A$2150,C$1,'United Data'!$C$3:$C$2150,$A193,'United Data'!$B$3:$B$2150,"P")&gt;0,1,0)</f>
        <v>0</v>
      </c>
      <c r="D193">
        <f>IF(COUNTIFS('United Data'!$A$3:$A$2150,D$1,'United Data'!$C$3:$C$2150,$A193,'United Data'!$B$3:$B$2150,"P")&gt;0,1,0)</f>
        <v>0</v>
      </c>
      <c r="E193">
        <f>IF(COUNTIFS('United Data'!$A$3:$A$2150,E$1,'United Data'!$C$3:$C$2150,$A193,'United Data'!$B$3:$B$2150,"P")&gt;0,1,0)</f>
        <v>0</v>
      </c>
      <c r="F193">
        <f>IF(COUNTIFS('United Data'!$A$3:$A$2150,F$1,'United Data'!$C$3:$C$2150,$A193,'United Data'!$B$3:$B$2150,"P")&gt;0,1,0)</f>
        <v>0</v>
      </c>
      <c r="G193">
        <f>IF(COUNTIFS('United Data'!$A$3:$A$2150,G$1,'United Data'!$C$3:$C$2150,$A193,'United Data'!$B$3:$B$2150,"P")&gt;0,1,0)</f>
        <v>0</v>
      </c>
      <c r="H193">
        <f>IF(COUNTIFS('United Data'!$A$3:$A$2150,H$1,'United Data'!$C$3:$C$2150,$A193,'United Data'!$B$3:$B$2150,"P")&gt;0,1,0)</f>
        <v>0</v>
      </c>
      <c r="I193">
        <f>IF(COUNTIFS('United Data'!$A$3:$A$2150,I$1,'United Data'!$C$3:$C$2150,$A193,'United Data'!$B$3:$B$2150,"P")&gt;0,1,0)</f>
        <v>0</v>
      </c>
      <c r="J193">
        <f>IF(COUNTIFS('United Data'!$A$3:$A$2150,J$1,'United Data'!$C$3:$C$2150,$A193,'United Data'!$B$3:$B$2150,"P")&gt;0,1,0)</f>
        <v>0</v>
      </c>
      <c r="K193">
        <f>IF(COUNTIFS('United Data'!$A$3:$A$2150,K$1,'United Data'!$C$3:$C$2150,$A193,'United Data'!$B$3:$B$2150,"P")&gt;0,1,0)</f>
        <v>0</v>
      </c>
      <c r="L193">
        <f>IF(COUNTIFS('United Data'!$A$3:$A$2150,L$1,'United Data'!$C$3:$C$2150,$A193,'United Data'!$B$3:$B$2150,"P")&gt;0,1,0)</f>
        <v>0</v>
      </c>
      <c r="M193">
        <f>IF(COUNTIFS('United Data'!$A$3:$A$2150,M$1,'United Data'!$C$3:$C$2150,$A193,'United Data'!$B$3:$B$2150,"P")&gt;0,1,0)</f>
        <v>0</v>
      </c>
      <c r="N193">
        <f>IF(COUNTIFS('United Data'!$A$3:$A$2150,N$1,'United Data'!$C$3:$C$2150,$A193,'United Data'!$B$3:$B$2150,"P")&gt;0,1,0)</f>
        <v>1</v>
      </c>
      <c r="O193">
        <f>IF(COUNTIFS('United Data'!$A$3:$A$2150,O$1,'United Data'!$C$3:$C$2150,$A193,'United Data'!$B$3:$B$2150,"P")&gt;0,1,0)</f>
        <v>0</v>
      </c>
      <c r="P193">
        <f>IF(COUNTIFS('United Data'!$A$3:$A$2150,P$1,'United Data'!$C$3:$C$2150,$A193,'United Data'!$B$3:$B$2150,"P")&gt;0,1,0)</f>
        <v>0</v>
      </c>
      <c r="Q193">
        <f>IF(COUNTIFS('United Data'!$A$3:$A$2150,Q$1,'United Data'!$C$3:$C$2150,$A193,'United Data'!$B$3:$B$2150,"P")&gt;0,1,0)</f>
        <v>0</v>
      </c>
      <c r="R193">
        <f>IF(COUNTIFS('United Data'!$A$3:$A$2150,R$1,'United Data'!$C$3:$C$2150,$A193,'United Data'!$B$3:$B$2150,"P")&gt;0,1,0)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960</v>
      </c>
      <c r="B194">
        <f>IF(COUNTIFS('United Data'!$A$3:$A$2150,B$1,'United Data'!$C$3:$C$2150,$A194,'United Data'!$B$3:$B$2150,"P")&gt;0,1,0)</f>
        <v>0</v>
      </c>
      <c r="C194">
        <f>IF(COUNTIFS('United Data'!$A$3:$A$2150,C$1,'United Data'!$C$3:$C$2150,$A194,'United Data'!$B$3:$B$2150,"P")&gt;0,1,0)</f>
        <v>0</v>
      </c>
      <c r="D194">
        <f>IF(COUNTIFS('United Data'!$A$3:$A$2150,D$1,'United Data'!$C$3:$C$2150,$A194,'United Data'!$B$3:$B$2150,"P")&gt;0,1,0)</f>
        <v>0</v>
      </c>
      <c r="E194">
        <f>IF(COUNTIFS('United Data'!$A$3:$A$2150,E$1,'United Data'!$C$3:$C$2150,$A194,'United Data'!$B$3:$B$2150,"P")&gt;0,1,0)</f>
        <v>0</v>
      </c>
      <c r="F194">
        <f>IF(COUNTIFS('United Data'!$A$3:$A$2150,F$1,'United Data'!$C$3:$C$2150,$A194,'United Data'!$B$3:$B$2150,"P")&gt;0,1,0)</f>
        <v>0</v>
      </c>
      <c r="G194">
        <f>IF(COUNTIFS('United Data'!$A$3:$A$2150,G$1,'United Data'!$C$3:$C$2150,$A194,'United Data'!$B$3:$B$2150,"P")&gt;0,1,0)</f>
        <v>0</v>
      </c>
      <c r="H194">
        <f>IF(COUNTIFS('United Data'!$A$3:$A$2150,H$1,'United Data'!$C$3:$C$2150,$A194,'United Data'!$B$3:$B$2150,"P")&gt;0,1,0)</f>
        <v>0</v>
      </c>
      <c r="I194">
        <f>IF(COUNTIFS('United Data'!$A$3:$A$2150,I$1,'United Data'!$C$3:$C$2150,$A194,'United Data'!$B$3:$B$2150,"P")&gt;0,1,0)</f>
        <v>0</v>
      </c>
      <c r="J194">
        <f>IF(COUNTIFS('United Data'!$A$3:$A$2150,J$1,'United Data'!$C$3:$C$2150,$A194,'United Data'!$B$3:$B$2150,"P")&gt;0,1,0)</f>
        <v>0</v>
      </c>
      <c r="K194">
        <f>IF(COUNTIFS('United Data'!$A$3:$A$2150,K$1,'United Data'!$C$3:$C$2150,$A194,'United Data'!$B$3:$B$2150,"P")&gt;0,1,0)</f>
        <v>0</v>
      </c>
      <c r="L194">
        <f>IF(COUNTIFS('United Data'!$A$3:$A$2150,L$1,'United Data'!$C$3:$C$2150,$A194,'United Data'!$B$3:$B$2150,"P")&gt;0,1,0)</f>
        <v>0</v>
      </c>
      <c r="M194">
        <f>IF(COUNTIFS('United Data'!$A$3:$A$2150,M$1,'United Data'!$C$3:$C$2150,$A194,'United Data'!$B$3:$B$2150,"P")&gt;0,1,0)</f>
        <v>0</v>
      </c>
      <c r="N194">
        <f>IF(COUNTIFS('United Data'!$A$3:$A$2150,N$1,'United Data'!$C$3:$C$2150,$A194,'United Data'!$B$3:$B$2150,"P")&gt;0,1,0)</f>
        <v>1</v>
      </c>
      <c r="O194">
        <f>IF(COUNTIFS('United Data'!$A$3:$A$2150,O$1,'United Data'!$C$3:$C$2150,$A194,'United Data'!$B$3:$B$2150,"P")&gt;0,1,0)</f>
        <v>0</v>
      </c>
      <c r="P194">
        <f>IF(COUNTIFS('United Data'!$A$3:$A$2150,P$1,'United Data'!$C$3:$C$2150,$A194,'United Data'!$B$3:$B$2150,"P")&gt;0,1,0)</f>
        <v>0</v>
      </c>
      <c r="Q194">
        <f>IF(COUNTIFS('United Data'!$A$3:$A$2150,Q$1,'United Data'!$C$3:$C$2150,$A194,'United Data'!$B$3:$B$2150,"P")&gt;0,1,0)</f>
        <v>0</v>
      </c>
      <c r="R194">
        <f>IF(COUNTIFS('United Data'!$A$3:$A$2150,R$1,'United Data'!$C$3:$C$2150,$A194,'United Data'!$B$3:$B$2150,"P")&gt;0,1,0)</f>
        <v>0</v>
      </c>
      <c r="S194">
        <f t="shared" ref="S194:S257" si="6">SUM(B194:R194)</f>
        <v>1</v>
      </c>
      <c r="T194">
        <f t="shared" ref="T194:T212" si="7">B194+SUMPRODUCT(--(C194:R194&gt;B194:Q194))</f>
        <v>1</v>
      </c>
    </row>
    <row r="195" spans="1:20" x14ac:dyDescent="0.2">
      <c r="A195" t="s">
        <v>961</v>
      </c>
      <c r="B195">
        <f>IF(COUNTIFS('United Data'!$A$3:$A$2150,B$1,'United Data'!$C$3:$C$2150,$A195,'United Data'!$B$3:$B$2150,"P")&gt;0,1,0)</f>
        <v>0</v>
      </c>
      <c r="C195">
        <f>IF(COUNTIFS('United Data'!$A$3:$A$2150,C$1,'United Data'!$C$3:$C$2150,$A195,'United Data'!$B$3:$B$2150,"P")&gt;0,1,0)</f>
        <v>0</v>
      </c>
      <c r="D195">
        <f>IF(COUNTIFS('United Data'!$A$3:$A$2150,D$1,'United Data'!$C$3:$C$2150,$A195,'United Data'!$B$3:$B$2150,"P")&gt;0,1,0)</f>
        <v>0</v>
      </c>
      <c r="E195">
        <f>IF(COUNTIFS('United Data'!$A$3:$A$2150,E$1,'United Data'!$C$3:$C$2150,$A195,'United Data'!$B$3:$B$2150,"P")&gt;0,1,0)</f>
        <v>0</v>
      </c>
      <c r="F195">
        <f>IF(COUNTIFS('United Data'!$A$3:$A$2150,F$1,'United Data'!$C$3:$C$2150,$A195,'United Data'!$B$3:$B$2150,"P")&gt;0,1,0)</f>
        <v>0</v>
      </c>
      <c r="G195">
        <f>IF(COUNTIFS('United Data'!$A$3:$A$2150,G$1,'United Data'!$C$3:$C$2150,$A195,'United Data'!$B$3:$B$2150,"P")&gt;0,1,0)</f>
        <v>0</v>
      </c>
      <c r="H195">
        <f>IF(COUNTIFS('United Data'!$A$3:$A$2150,H$1,'United Data'!$C$3:$C$2150,$A195,'United Data'!$B$3:$B$2150,"P")&gt;0,1,0)</f>
        <v>0</v>
      </c>
      <c r="I195">
        <f>IF(COUNTIFS('United Data'!$A$3:$A$2150,I$1,'United Data'!$C$3:$C$2150,$A195,'United Data'!$B$3:$B$2150,"P")&gt;0,1,0)</f>
        <v>0</v>
      </c>
      <c r="J195">
        <f>IF(COUNTIFS('United Data'!$A$3:$A$2150,J$1,'United Data'!$C$3:$C$2150,$A195,'United Data'!$B$3:$B$2150,"P")&gt;0,1,0)</f>
        <v>0</v>
      </c>
      <c r="K195">
        <f>IF(COUNTIFS('United Data'!$A$3:$A$2150,K$1,'United Data'!$C$3:$C$2150,$A195,'United Data'!$B$3:$B$2150,"P")&gt;0,1,0)</f>
        <v>0</v>
      </c>
      <c r="L195">
        <f>IF(COUNTIFS('United Data'!$A$3:$A$2150,L$1,'United Data'!$C$3:$C$2150,$A195,'United Data'!$B$3:$B$2150,"P")&gt;0,1,0)</f>
        <v>0</v>
      </c>
      <c r="M195">
        <f>IF(COUNTIFS('United Data'!$A$3:$A$2150,M$1,'United Data'!$C$3:$C$2150,$A195,'United Data'!$B$3:$B$2150,"P")&gt;0,1,0)</f>
        <v>0</v>
      </c>
      <c r="N195">
        <f>IF(COUNTIFS('United Data'!$A$3:$A$2150,N$1,'United Data'!$C$3:$C$2150,$A195,'United Data'!$B$3:$B$2150,"P")&gt;0,1,0)</f>
        <v>1</v>
      </c>
      <c r="O195">
        <f>IF(COUNTIFS('United Data'!$A$3:$A$2150,O$1,'United Data'!$C$3:$C$2150,$A195,'United Data'!$B$3:$B$2150,"P")&gt;0,1,0)</f>
        <v>0</v>
      </c>
      <c r="P195">
        <f>IF(COUNTIFS('United Data'!$A$3:$A$2150,P$1,'United Data'!$C$3:$C$2150,$A195,'United Data'!$B$3:$B$2150,"P")&gt;0,1,0)</f>
        <v>0</v>
      </c>
      <c r="Q195">
        <f>IF(COUNTIFS('United Data'!$A$3:$A$2150,Q$1,'United Data'!$C$3:$C$2150,$A195,'United Data'!$B$3:$B$2150,"P")&gt;0,1,0)</f>
        <v>0</v>
      </c>
      <c r="R195">
        <f>IF(COUNTIFS('United Data'!$A$3:$A$2150,R$1,'United Data'!$C$3:$C$2150,$A195,'United Data'!$B$3:$B$2150,"P")&gt;0,1,0)</f>
        <v>0</v>
      </c>
      <c r="S195">
        <f t="shared" si="6"/>
        <v>1</v>
      </c>
      <c r="T195">
        <f t="shared" si="7"/>
        <v>1</v>
      </c>
    </row>
    <row r="196" spans="1:20" x14ac:dyDescent="0.2">
      <c r="A196" t="s">
        <v>962</v>
      </c>
      <c r="B196">
        <f>IF(COUNTIFS('United Data'!$A$3:$A$2150,B$1,'United Data'!$C$3:$C$2150,$A196,'United Data'!$B$3:$B$2150,"P")&gt;0,1,0)</f>
        <v>0</v>
      </c>
      <c r="C196">
        <f>IF(COUNTIFS('United Data'!$A$3:$A$2150,C$1,'United Data'!$C$3:$C$2150,$A196,'United Data'!$B$3:$B$2150,"P")&gt;0,1,0)</f>
        <v>0</v>
      </c>
      <c r="D196">
        <f>IF(COUNTIFS('United Data'!$A$3:$A$2150,D$1,'United Data'!$C$3:$C$2150,$A196,'United Data'!$B$3:$B$2150,"P")&gt;0,1,0)</f>
        <v>0</v>
      </c>
      <c r="E196">
        <f>IF(COUNTIFS('United Data'!$A$3:$A$2150,E$1,'United Data'!$C$3:$C$2150,$A196,'United Data'!$B$3:$B$2150,"P")&gt;0,1,0)</f>
        <v>0</v>
      </c>
      <c r="F196">
        <f>IF(COUNTIFS('United Data'!$A$3:$A$2150,F$1,'United Data'!$C$3:$C$2150,$A196,'United Data'!$B$3:$B$2150,"P")&gt;0,1,0)</f>
        <v>0</v>
      </c>
      <c r="G196">
        <f>IF(COUNTIFS('United Data'!$A$3:$A$2150,G$1,'United Data'!$C$3:$C$2150,$A196,'United Data'!$B$3:$B$2150,"P")&gt;0,1,0)</f>
        <v>0</v>
      </c>
      <c r="H196">
        <f>IF(COUNTIFS('United Data'!$A$3:$A$2150,H$1,'United Data'!$C$3:$C$2150,$A196,'United Data'!$B$3:$B$2150,"P")&gt;0,1,0)</f>
        <v>0</v>
      </c>
      <c r="I196">
        <f>IF(COUNTIFS('United Data'!$A$3:$A$2150,I$1,'United Data'!$C$3:$C$2150,$A196,'United Data'!$B$3:$B$2150,"P")&gt;0,1,0)</f>
        <v>0</v>
      </c>
      <c r="J196">
        <f>IF(COUNTIFS('United Data'!$A$3:$A$2150,J$1,'United Data'!$C$3:$C$2150,$A196,'United Data'!$B$3:$B$2150,"P")&gt;0,1,0)</f>
        <v>0</v>
      </c>
      <c r="K196">
        <f>IF(COUNTIFS('United Data'!$A$3:$A$2150,K$1,'United Data'!$C$3:$C$2150,$A196,'United Data'!$B$3:$B$2150,"P")&gt;0,1,0)</f>
        <v>0</v>
      </c>
      <c r="L196">
        <f>IF(COUNTIFS('United Data'!$A$3:$A$2150,L$1,'United Data'!$C$3:$C$2150,$A196,'United Data'!$B$3:$B$2150,"P")&gt;0,1,0)</f>
        <v>0</v>
      </c>
      <c r="M196">
        <f>IF(COUNTIFS('United Data'!$A$3:$A$2150,M$1,'United Data'!$C$3:$C$2150,$A196,'United Data'!$B$3:$B$2150,"P")&gt;0,1,0)</f>
        <v>0</v>
      </c>
      <c r="N196">
        <f>IF(COUNTIFS('United Data'!$A$3:$A$2150,N$1,'United Data'!$C$3:$C$2150,$A196,'United Data'!$B$3:$B$2150,"P")&gt;0,1,0)</f>
        <v>1</v>
      </c>
      <c r="O196">
        <f>IF(COUNTIFS('United Data'!$A$3:$A$2150,O$1,'United Data'!$C$3:$C$2150,$A196,'United Data'!$B$3:$B$2150,"P")&gt;0,1,0)</f>
        <v>0</v>
      </c>
      <c r="P196">
        <f>IF(COUNTIFS('United Data'!$A$3:$A$2150,P$1,'United Data'!$C$3:$C$2150,$A196,'United Data'!$B$3:$B$2150,"P")&gt;0,1,0)</f>
        <v>0</v>
      </c>
      <c r="Q196">
        <f>IF(COUNTIFS('United Data'!$A$3:$A$2150,Q$1,'United Data'!$C$3:$C$2150,$A196,'United Data'!$B$3:$B$2150,"P")&gt;0,1,0)</f>
        <v>0</v>
      </c>
      <c r="R196">
        <f>IF(COUNTIFS('United Data'!$A$3:$A$2150,R$1,'United Data'!$C$3:$C$2150,$A196,'United Data'!$B$3:$B$2150,"P")&gt;0,1,0)</f>
        <v>0</v>
      </c>
      <c r="S196">
        <f t="shared" si="6"/>
        <v>1</v>
      </c>
      <c r="T196">
        <f t="shared" si="7"/>
        <v>1</v>
      </c>
    </row>
    <row r="197" spans="1:20" x14ac:dyDescent="0.2">
      <c r="A197" t="s">
        <v>963</v>
      </c>
      <c r="B197">
        <f>IF(COUNTIFS('United Data'!$A$3:$A$2150,B$1,'United Data'!$C$3:$C$2150,$A197,'United Data'!$B$3:$B$2150,"P")&gt;0,1,0)</f>
        <v>0</v>
      </c>
      <c r="C197">
        <f>IF(COUNTIFS('United Data'!$A$3:$A$2150,C$1,'United Data'!$C$3:$C$2150,$A197,'United Data'!$B$3:$B$2150,"P")&gt;0,1,0)</f>
        <v>0</v>
      </c>
      <c r="D197">
        <f>IF(COUNTIFS('United Data'!$A$3:$A$2150,D$1,'United Data'!$C$3:$C$2150,$A197,'United Data'!$B$3:$B$2150,"P")&gt;0,1,0)</f>
        <v>0</v>
      </c>
      <c r="E197">
        <f>IF(COUNTIFS('United Data'!$A$3:$A$2150,E$1,'United Data'!$C$3:$C$2150,$A197,'United Data'!$B$3:$B$2150,"P")&gt;0,1,0)</f>
        <v>0</v>
      </c>
      <c r="F197">
        <f>IF(COUNTIFS('United Data'!$A$3:$A$2150,F$1,'United Data'!$C$3:$C$2150,$A197,'United Data'!$B$3:$B$2150,"P")&gt;0,1,0)</f>
        <v>0</v>
      </c>
      <c r="G197">
        <f>IF(COUNTIFS('United Data'!$A$3:$A$2150,G$1,'United Data'!$C$3:$C$2150,$A197,'United Data'!$B$3:$B$2150,"P")&gt;0,1,0)</f>
        <v>0</v>
      </c>
      <c r="H197">
        <f>IF(COUNTIFS('United Data'!$A$3:$A$2150,H$1,'United Data'!$C$3:$C$2150,$A197,'United Data'!$B$3:$B$2150,"P")&gt;0,1,0)</f>
        <v>0</v>
      </c>
      <c r="I197">
        <f>IF(COUNTIFS('United Data'!$A$3:$A$2150,I$1,'United Data'!$C$3:$C$2150,$A197,'United Data'!$B$3:$B$2150,"P")&gt;0,1,0)</f>
        <v>0</v>
      </c>
      <c r="J197">
        <f>IF(COUNTIFS('United Data'!$A$3:$A$2150,J$1,'United Data'!$C$3:$C$2150,$A197,'United Data'!$B$3:$B$2150,"P")&gt;0,1,0)</f>
        <v>0</v>
      </c>
      <c r="K197">
        <f>IF(COUNTIFS('United Data'!$A$3:$A$2150,K$1,'United Data'!$C$3:$C$2150,$A197,'United Data'!$B$3:$B$2150,"P")&gt;0,1,0)</f>
        <v>0</v>
      </c>
      <c r="L197">
        <f>IF(COUNTIFS('United Data'!$A$3:$A$2150,L$1,'United Data'!$C$3:$C$2150,$A197,'United Data'!$B$3:$B$2150,"P")&gt;0,1,0)</f>
        <v>0</v>
      </c>
      <c r="M197">
        <f>IF(COUNTIFS('United Data'!$A$3:$A$2150,M$1,'United Data'!$C$3:$C$2150,$A197,'United Data'!$B$3:$B$2150,"P")&gt;0,1,0)</f>
        <v>0</v>
      </c>
      <c r="N197">
        <f>IF(COUNTIFS('United Data'!$A$3:$A$2150,N$1,'United Data'!$C$3:$C$2150,$A197,'United Data'!$B$3:$B$2150,"P")&gt;0,1,0)</f>
        <v>1</v>
      </c>
      <c r="O197">
        <f>IF(COUNTIFS('United Data'!$A$3:$A$2150,O$1,'United Data'!$C$3:$C$2150,$A197,'United Data'!$B$3:$B$2150,"P")&gt;0,1,0)</f>
        <v>0</v>
      </c>
      <c r="P197">
        <f>IF(COUNTIFS('United Data'!$A$3:$A$2150,P$1,'United Data'!$C$3:$C$2150,$A197,'United Data'!$B$3:$B$2150,"P")&gt;0,1,0)</f>
        <v>0</v>
      </c>
      <c r="Q197">
        <f>IF(COUNTIFS('United Data'!$A$3:$A$2150,Q$1,'United Data'!$C$3:$C$2150,$A197,'United Data'!$B$3:$B$2150,"P")&gt;0,1,0)</f>
        <v>0</v>
      </c>
      <c r="R197">
        <f>IF(COUNTIFS('United Data'!$A$3:$A$2150,R$1,'United Data'!$C$3:$C$2150,$A197,'United Data'!$B$3:$B$2150,"P")&gt;0,1,0)</f>
        <v>0</v>
      </c>
      <c r="S197">
        <f t="shared" si="6"/>
        <v>1</v>
      </c>
      <c r="T197">
        <f t="shared" si="7"/>
        <v>1</v>
      </c>
    </row>
    <row r="198" spans="1:20" x14ac:dyDescent="0.2">
      <c r="A198" t="s">
        <v>964</v>
      </c>
      <c r="B198">
        <f>IF(COUNTIFS('United Data'!$A$3:$A$2150,B$1,'United Data'!$C$3:$C$2150,$A198,'United Data'!$B$3:$B$2150,"P")&gt;0,1,0)</f>
        <v>0</v>
      </c>
      <c r="C198">
        <f>IF(COUNTIFS('United Data'!$A$3:$A$2150,C$1,'United Data'!$C$3:$C$2150,$A198,'United Data'!$B$3:$B$2150,"P")&gt;0,1,0)</f>
        <v>0</v>
      </c>
      <c r="D198">
        <f>IF(COUNTIFS('United Data'!$A$3:$A$2150,D$1,'United Data'!$C$3:$C$2150,$A198,'United Data'!$B$3:$B$2150,"P")&gt;0,1,0)</f>
        <v>0</v>
      </c>
      <c r="E198">
        <f>IF(COUNTIFS('United Data'!$A$3:$A$2150,E$1,'United Data'!$C$3:$C$2150,$A198,'United Data'!$B$3:$B$2150,"P")&gt;0,1,0)</f>
        <v>0</v>
      </c>
      <c r="F198">
        <f>IF(COUNTIFS('United Data'!$A$3:$A$2150,F$1,'United Data'!$C$3:$C$2150,$A198,'United Data'!$B$3:$B$2150,"P")&gt;0,1,0)</f>
        <v>0</v>
      </c>
      <c r="G198">
        <f>IF(COUNTIFS('United Data'!$A$3:$A$2150,G$1,'United Data'!$C$3:$C$2150,$A198,'United Data'!$B$3:$B$2150,"P")&gt;0,1,0)</f>
        <v>0</v>
      </c>
      <c r="H198">
        <f>IF(COUNTIFS('United Data'!$A$3:$A$2150,H$1,'United Data'!$C$3:$C$2150,$A198,'United Data'!$B$3:$B$2150,"P")&gt;0,1,0)</f>
        <v>0</v>
      </c>
      <c r="I198">
        <f>IF(COUNTIFS('United Data'!$A$3:$A$2150,I$1,'United Data'!$C$3:$C$2150,$A198,'United Data'!$B$3:$B$2150,"P")&gt;0,1,0)</f>
        <v>0</v>
      </c>
      <c r="J198">
        <f>IF(COUNTIFS('United Data'!$A$3:$A$2150,J$1,'United Data'!$C$3:$C$2150,$A198,'United Data'!$B$3:$B$2150,"P")&gt;0,1,0)</f>
        <v>0</v>
      </c>
      <c r="K198">
        <f>IF(COUNTIFS('United Data'!$A$3:$A$2150,K$1,'United Data'!$C$3:$C$2150,$A198,'United Data'!$B$3:$B$2150,"P")&gt;0,1,0)</f>
        <v>0</v>
      </c>
      <c r="L198">
        <f>IF(COUNTIFS('United Data'!$A$3:$A$2150,L$1,'United Data'!$C$3:$C$2150,$A198,'United Data'!$B$3:$B$2150,"P")&gt;0,1,0)</f>
        <v>0</v>
      </c>
      <c r="M198">
        <f>IF(COUNTIFS('United Data'!$A$3:$A$2150,M$1,'United Data'!$C$3:$C$2150,$A198,'United Data'!$B$3:$B$2150,"P")&gt;0,1,0)</f>
        <v>0</v>
      </c>
      <c r="N198">
        <f>IF(COUNTIFS('United Data'!$A$3:$A$2150,N$1,'United Data'!$C$3:$C$2150,$A198,'United Data'!$B$3:$B$2150,"P")&gt;0,1,0)</f>
        <v>1</v>
      </c>
      <c r="O198">
        <f>IF(COUNTIFS('United Data'!$A$3:$A$2150,O$1,'United Data'!$C$3:$C$2150,$A198,'United Data'!$B$3:$B$2150,"P")&gt;0,1,0)</f>
        <v>0</v>
      </c>
      <c r="P198">
        <f>IF(COUNTIFS('United Data'!$A$3:$A$2150,P$1,'United Data'!$C$3:$C$2150,$A198,'United Data'!$B$3:$B$2150,"P")&gt;0,1,0)</f>
        <v>0</v>
      </c>
      <c r="Q198">
        <f>IF(COUNTIFS('United Data'!$A$3:$A$2150,Q$1,'United Data'!$C$3:$C$2150,$A198,'United Data'!$B$3:$B$2150,"P")&gt;0,1,0)</f>
        <v>0</v>
      </c>
      <c r="R198">
        <f>IF(COUNTIFS('United Data'!$A$3:$A$2150,R$1,'United Data'!$C$3:$C$2150,$A198,'United Data'!$B$3:$B$2150,"P")&gt;0,1,0)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965</v>
      </c>
      <c r="B199">
        <f>IF(COUNTIFS('United Data'!$A$3:$A$2150,B$1,'United Data'!$C$3:$C$2150,$A199,'United Data'!$B$3:$B$2150,"P")&gt;0,1,0)</f>
        <v>0</v>
      </c>
      <c r="C199">
        <f>IF(COUNTIFS('United Data'!$A$3:$A$2150,C$1,'United Data'!$C$3:$C$2150,$A199,'United Data'!$B$3:$B$2150,"P")&gt;0,1,0)</f>
        <v>0</v>
      </c>
      <c r="D199">
        <f>IF(COUNTIFS('United Data'!$A$3:$A$2150,D$1,'United Data'!$C$3:$C$2150,$A199,'United Data'!$B$3:$B$2150,"P")&gt;0,1,0)</f>
        <v>0</v>
      </c>
      <c r="E199">
        <f>IF(COUNTIFS('United Data'!$A$3:$A$2150,E$1,'United Data'!$C$3:$C$2150,$A199,'United Data'!$B$3:$B$2150,"P")&gt;0,1,0)</f>
        <v>0</v>
      </c>
      <c r="F199">
        <f>IF(COUNTIFS('United Data'!$A$3:$A$2150,F$1,'United Data'!$C$3:$C$2150,$A199,'United Data'!$B$3:$B$2150,"P")&gt;0,1,0)</f>
        <v>0</v>
      </c>
      <c r="G199">
        <f>IF(COUNTIFS('United Data'!$A$3:$A$2150,G$1,'United Data'!$C$3:$C$2150,$A199,'United Data'!$B$3:$B$2150,"P")&gt;0,1,0)</f>
        <v>0</v>
      </c>
      <c r="H199">
        <f>IF(COUNTIFS('United Data'!$A$3:$A$2150,H$1,'United Data'!$C$3:$C$2150,$A199,'United Data'!$B$3:$B$2150,"P")&gt;0,1,0)</f>
        <v>0</v>
      </c>
      <c r="I199">
        <f>IF(COUNTIFS('United Data'!$A$3:$A$2150,I$1,'United Data'!$C$3:$C$2150,$A199,'United Data'!$B$3:$B$2150,"P")&gt;0,1,0)</f>
        <v>0</v>
      </c>
      <c r="J199">
        <f>IF(COUNTIFS('United Data'!$A$3:$A$2150,J$1,'United Data'!$C$3:$C$2150,$A199,'United Data'!$B$3:$B$2150,"P")&gt;0,1,0)</f>
        <v>0</v>
      </c>
      <c r="K199">
        <f>IF(COUNTIFS('United Data'!$A$3:$A$2150,K$1,'United Data'!$C$3:$C$2150,$A199,'United Data'!$B$3:$B$2150,"P")&gt;0,1,0)</f>
        <v>0</v>
      </c>
      <c r="L199">
        <f>IF(COUNTIFS('United Data'!$A$3:$A$2150,L$1,'United Data'!$C$3:$C$2150,$A199,'United Data'!$B$3:$B$2150,"P")&gt;0,1,0)</f>
        <v>0</v>
      </c>
      <c r="M199">
        <f>IF(COUNTIFS('United Data'!$A$3:$A$2150,M$1,'United Data'!$C$3:$C$2150,$A199,'United Data'!$B$3:$B$2150,"P")&gt;0,1,0)</f>
        <v>0</v>
      </c>
      <c r="N199">
        <f>IF(COUNTIFS('United Data'!$A$3:$A$2150,N$1,'United Data'!$C$3:$C$2150,$A199,'United Data'!$B$3:$B$2150,"P")&gt;0,1,0)</f>
        <v>1</v>
      </c>
      <c r="O199">
        <f>IF(COUNTIFS('United Data'!$A$3:$A$2150,O$1,'United Data'!$C$3:$C$2150,$A199,'United Data'!$B$3:$B$2150,"P")&gt;0,1,0)</f>
        <v>1</v>
      </c>
      <c r="P199">
        <f>IF(COUNTIFS('United Data'!$A$3:$A$2150,P$1,'United Data'!$C$3:$C$2150,$A199,'United Data'!$B$3:$B$2150,"P")&gt;0,1,0)</f>
        <v>1</v>
      </c>
      <c r="Q199">
        <f>IF(COUNTIFS('United Data'!$A$3:$A$2150,Q$1,'United Data'!$C$3:$C$2150,$A199,'United Data'!$B$3:$B$2150,"P")&gt;0,1,0)</f>
        <v>0</v>
      </c>
      <c r="R199">
        <f>IF(COUNTIFS('United Data'!$A$3:$A$2150,R$1,'United Data'!$C$3:$C$2150,$A199,'United Data'!$B$3:$B$2150,"P")&gt;0,1,0)</f>
        <v>0</v>
      </c>
      <c r="S199">
        <f t="shared" si="6"/>
        <v>3</v>
      </c>
      <c r="T199">
        <f t="shared" si="7"/>
        <v>1</v>
      </c>
    </row>
    <row r="200" spans="1:20" x14ac:dyDescent="0.2">
      <c r="A200" t="s">
        <v>966</v>
      </c>
      <c r="B200">
        <f>IF(COUNTIFS('United Data'!$A$3:$A$2150,B$1,'United Data'!$C$3:$C$2150,$A200,'United Data'!$B$3:$B$2150,"P")&gt;0,1,0)</f>
        <v>0</v>
      </c>
      <c r="C200">
        <f>IF(COUNTIFS('United Data'!$A$3:$A$2150,C$1,'United Data'!$C$3:$C$2150,$A200,'United Data'!$B$3:$B$2150,"P")&gt;0,1,0)</f>
        <v>0</v>
      </c>
      <c r="D200">
        <f>IF(COUNTIFS('United Data'!$A$3:$A$2150,D$1,'United Data'!$C$3:$C$2150,$A200,'United Data'!$B$3:$B$2150,"P")&gt;0,1,0)</f>
        <v>0</v>
      </c>
      <c r="E200">
        <f>IF(COUNTIFS('United Data'!$A$3:$A$2150,E$1,'United Data'!$C$3:$C$2150,$A200,'United Data'!$B$3:$B$2150,"P")&gt;0,1,0)</f>
        <v>0</v>
      </c>
      <c r="F200">
        <f>IF(COUNTIFS('United Data'!$A$3:$A$2150,F$1,'United Data'!$C$3:$C$2150,$A200,'United Data'!$B$3:$B$2150,"P")&gt;0,1,0)</f>
        <v>0</v>
      </c>
      <c r="G200">
        <f>IF(COUNTIFS('United Data'!$A$3:$A$2150,G$1,'United Data'!$C$3:$C$2150,$A200,'United Data'!$B$3:$B$2150,"P")&gt;0,1,0)</f>
        <v>0</v>
      </c>
      <c r="H200">
        <f>IF(COUNTIFS('United Data'!$A$3:$A$2150,H$1,'United Data'!$C$3:$C$2150,$A200,'United Data'!$B$3:$B$2150,"P")&gt;0,1,0)</f>
        <v>0</v>
      </c>
      <c r="I200">
        <f>IF(COUNTIFS('United Data'!$A$3:$A$2150,I$1,'United Data'!$C$3:$C$2150,$A200,'United Data'!$B$3:$B$2150,"P")&gt;0,1,0)</f>
        <v>0</v>
      </c>
      <c r="J200">
        <f>IF(COUNTIFS('United Data'!$A$3:$A$2150,J$1,'United Data'!$C$3:$C$2150,$A200,'United Data'!$B$3:$B$2150,"P")&gt;0,1,0)</f>
        <v>0</v>
      </c>
      <c r="K200">
        <f>IF(COUNTIFS('United Data'!$A$3:$A$2150,K$1,'United Data'!$C$3:$C$2150,$A200,'United Data'!$B$3:$B$2150,"P")&gt;0,1,0)</f>
        <v>0</v>
      </c>
      <c r="L200">
        <f>IF(COUNTIFS('United Data'!$A$3:$A$2150,L$1,'United Data'!$C$3:$C$2150,$A200,'United Data'!$B$3:$B$2150,"P")&gt;0,1,0)</f>
        <v>0</v>
      </c>
      <c r="M200">
        <f>IF(COUNTIFS('United Data'!$A$3:$A$2150,M$1,'United Data'!$C$3:$C$2150,$A200,'United Data'!$B$3:$B$2150,"P")&gt;0,1,0)</f>
        <v>0</v>
      </c>
      <c r="N200">
        <f>IF(COUNTIFS('United Data'!$A$3:$A$2150,N$1,'United Data'!$C$3:$C$2150,$A200,'United Data'!$B$3:$B$2150,"P")&gt;0,1,0)</f>
        <v>1</v>
      </c>
      <c r="O200">
        <f>IF(COUNTIFS('United Data'!$A$3:$A$2150,O$1,'United Data'!$C$3:$C$2150,$A200,'United Data'!$B$3:$B$2150,"P")&gt;0,1,0)</f>
        <v>0</v>
      </c>
      <c r="P200">
        <f>IF(COUNTIFS('United Data'!$A$3:$A$2150,P$1,'United Data'!$C$3:$C$2150,$A200,'United Data'!$B$3:$B$2150,"P")&gt;0,1,0)</f>
        <v>0</v>
      </c>
      <c r="Q200">
        <f>IF(COUNTIFS('United Data'!$A$3:$A$2150,Q$1,'United Data'!$C$3:$C$2150,$A200,'United Data'!$B$3:$B$2150,"P")&gt;0,1,0)</f>
        <v>0</v>
      </c>
      <c r="R200">
        <f>IF(COUNTIFS('United Data'!$A$3:$A$2150,R$1,'United Data'!$C$3:$C$2150,$A200,'United Data'!$B$3:$B$2150,"P")&gt;0,1,0)</f>
        <v>0</v>
      </c>
      <c r="S200">
        <f t="shared" si="6"/>
        <v>1</v>
      </c>
      <c r="T200">
        <f t="shared" si="7"/>
        <v>1</v>
      </c>
    </row>
    <row r="201" spans="1:20" x14ac:dyDescent="0.2">
      <c r="A201" t="s">
        <v>967</v>
      </c>
      <c r="B201">
        <f>IF(COUNTIFS('United Data'!$A$3:$A$2150,B$1,'United Data'!$C$3:$C$2150,$A201,'United Data'!$B$3:$B$2150,"P")&gt;0,1,0)</f>
        <v>0</v>
      </c>
      <c r="C201">
        <f>IF(COUNTIFS('United Data'!$A$3:$A$2150,C$1,'United Data'!$C$3:$C$2150,$A201,'United Data'!$B$3:$B$2150,"P")&gt;0,1,0)</f>
        <v>0</v>
      </c>
      <c r="D201">
        <f>IF(COUNTIFS('United Data'!$A$3:$A$2150,D$1,'United Data'!$C$3:$C$2150,$A201,'United Data'!$B$3:$B$2150,"P")&gt;0,1,0)</f>
        <v>0</v>
      </c>
      <c r="E201">
        <f>IF(COUNTIFS('United Data'!$A$3:$A$2150,E$1,'United Data'!$C$3:$C$2150,$A201,'United Data'!$B$3:$B$2150,"P")&gt;0,1,0)</f>
        <v>0</v>
      </c>
      <c r="F201">
        <f>IF(COUNTIFS('United Data'!$A$3:$A$2150,F$1,'United Data'!$C$3:$C$2150,$A201,'United Data'!$B$3:$B$2150,"P")&gt;0,1,0)</f>
        <v>0</v>
      </c>
      <c r="G201">
        <f>IF(COUNTIFS('United Data'!$A$3:$A$2150,G$1,'United Data'!$C$3:$C$2150,$A201,'United Data'!$B$3:$B$2150,"P")&gt;0,1,0)</f>
        <v>0</v>
      </c>
      <c r="H201">
        <f>IF(COUNTIFS('United Data'!$A$3:$A$2150,H$1,'United Data'!$C$3:$C$2150,$A201,'United Data'!$B$3:$B$2150,"P")&gt;0,1,0)</f>
        <v>0</v>
      </c>
      <c r="I201">
        <f>IF(COUNTIFS('United Data'!$A$3:$A$2150,I$1,'United Data'!$C$3:$C$2150,$A201,'United Data'!$B$3:$B$2150,"P")&gt;0,1,0)</f>
        <v>0</v>
      </c>
      <c r="J201">
        <f>IF(COUNTIFS('United Data'!$A$3:$A$2150,J$1,'United Data'!$C$3:$C$2150,$A201,'United Data'!$B$3:$B$2150,"P")&gt;0,1,0)</f>
        <v>0</v>
      </c>
      <c r="K201">
        <f>IF(COUNTIFS('United Data'!$A$3:$A$2150,K$1,'United Data'!$C$3:$C$2150,$A201,'United Data'!$B$3:$B$2150,"P")&gt;0,1,0)</f>
        <v>0</v>
      </c>
      <c r="L201">
        <f>IF(COUNTIFS('United Data'!$A$3:$A$2150,L$1,'United Data'!$C$3:$C$2150,$A201,'United Data'!$B$3:$B$2150,"P")&gt;0,1,0)</f>
        <v>0</v>
      </c>
      <c r="M201">
        <f>IF(COUNTIFS('United Data'!$A$3:$A$2150,M$1,'United Data'!$C$3:$C$2150,$A201,'United Data'!$B$3:$B$2150,"P")&gt;0,1,0)</f>
        <v>0</v>
      </c>
      <c r="N201">
        <f>IF(COUNTIFS('United Data'!$A$3:$A$2150,N$1,'United Data'!$C$3:$C$2150,$A201,'United Data'!$B$3:$B$2150,"P")&gt;0,1,0)</f>
        <v>1</v>
      </c>
      <c r="O201">
        <f>IF(COUNTIFS('United Data'!$A$3:$A$2150,O$1,'United Data'!$C$3:$C$2150,$A201,'United Data'!$B$3:$B$2150,"P")&gt;0,1,0)</f>
        <v>0</v>
      </c>
      <c r="P201">
        <f>IF(COUNTIFS('United Data'!$A$3:$A$2150,P$1,'United Data'!$C$3:$C$2150,$A201,'United Data'!$B$3:$B$2150,"P")&gt;0,1,0)</f>
        <v>0</v>
      </c>
      <c r="Q201">
        <f>IF(COUNTIFS('United Data'!$A$3:$A$2150,Q$1,'United Data'!$C$3:$C$2150,$A201,'United Data'!$B$3:$B$2150,"P")&gt;0,1,0)</f>
        <v>0</v>
      </c>
      <c r="R201">
        <f>IF(COUNTIFS('United Data'!$A$3:$A$2150,R$1,'United Data'!$C$3:$C$2150,$A201,'United Data'!$B$3:$B$2150,"P")&gt;0,1,0)</f>
        <v>0</v>
      </c>
      <c r="S201">
        <f t="shared" si="6"/>
        <v>1</v>
      </c>
      <c r="T201">
        <f t="shared" si="7"/>
        <v>1</v>
      </c>
    </row>
    <row r="202" spans="1:20" x14ac:dyDescent="0.2">
      <c r="A202" t="s">
        <v>968</v>
      </c>
      <c r="B202">
        <f>IF(COUNTIFS('United Data'!$A$3:$A$2150,B$1,'United Data'!$C$3:$C$2150,$A202,'United Data'!$B$3:$B$2150,"P")&gt;0,1,0)</f>
        <v>0</v>
      </c>
      <c r="C202">
        <f>IF(COUNTIFS('United Data'!$A$3:$A$2150,C$1,'United Data'!$C$3:$C$2150,$A202,'United Data'!$B$3:$B$2150,"P")&gt;0,1,0)</f>
        <v>0</v>
      </c>
      <c r="D202">
        <f>IF(COUNTIFS('United Data'!$A$3:$A$2150,D$1,'United Data'!$C$3:$C$2150,$A202,'United Data'!$B$3:$B$2150,"P")&gt;0,1,0)</f>
        <v>0</v>
      </c>
      <c r="E202">
        <f>IF(COUNTIFS('United Data'!$A$3:$A$2150,E$1,'United Data'!$C$3:$C$2150,$A202,'United Data'!$B$3:$B$2150,"P")&gt;0,1,0)</f>
        <v>0</v>
      </c>
      <c r="F202">
        <f>IF(COUNTIFS('United Data'!$A$3:$A$2150,F$1,'United Data'!$C$3:$C$2150,$A202,'United Data'!$B$3:$B$2150,"P")&gt;0,1,0)</f>
        <v>0</v>
      </c>
      <c r="G202">
        <f>IF(COUNTIFS('United Data'!$A$3:$A$2150,G$1,'United Data'!$C$3:$C$2150,$A202,'United Data'!$B$3:$B$2150,"P")&gt;0,1,0)</f>
        <v>0</v>
      </c>
      <c r="H202">
        <f>IF(COUNTIFS('United Data'!$A$3:$A$2150,H$1,'United Data'!$C$3:$C$2150,$A202,'United Data'!$B$3:$B$2150,"P")&gt;0,1,0)</f>
        <v>0</v>
      </c>
      <c r="I202">
        <f>IF(COUNTIFS('United Data'!$A$3:$A$2150,I$1,'United Data'!$C$3:$C$2150,$A202,'United Data'!$B$3:$B$2150,"P")&gt;0,1,0)</f>
        <v>0</v>
      </c>
      <c r="J202">
        <f>IF(COUNTIFS('United Data'!$A$3:$A$2150,J$1,'United Data'!$C$3:$C$2150,$A202,'United Data'!$B$3:$B$2150,"P")&gt;0,1,0)</f>
        <v>0</v>
      </c>
      <c r="K202">
        <f>IF(COUNTIFS('United Data'!$A$3:$A$2150,K$1,'United Data'!$C$3:$C$2150,$A202,'United Data'!$B$3:$B$2150,"P")&gt;0,1,0)</f>
        <v>0</v>
      </c>
      <c r="L202">
        <f>IF(COUNTIFS('United Data'!$A$3:$A$2150,L$1,'United Data'!$C$3:$C$2150,$A202,'United Data'!$B$3:$B$2150,"P")&gt;0,1,0)</f>
        <v>0</v>
      </c>
      <c r="M202">
        <f>IF(COUNTIFS('United Data'!$A$3:$A$2150,M$1,'United Data'!$C$3:$C$2150,$A202,'United Data'!$B$3:$B$2150,"P")&gt;0,1,0)</f>
        <v>0</v>
      </c>
      <c r="N202">
        <f>IF(COUNTIFS('United Data'!$A$3:$A$2150,N$1,'United Data'!$C$3:$C$2150,$A202,'United Data'!$B$3:$B$2150,"P")&gt;0,1,0)</f>
        <v>1</v>
      </c>
      <c r="O202">
        <f>IF(COUNTIFS('United Data'!$A$3:$A$2150,O$1,'United Data'!$C$3:$C$2150,$A202,'United Data'!$B$3:$B$2150,"P")&gt;0,1,0)</f>
        <v>0</v>
      </c>
      <c r="P202">
        <f>IF(COUNTIFS('United Data'!$A$3:$A$2150,P$1,'United Data'!$C$3:$C$2150,$A202,'United Data'!$B$3:$B$2150,"P")&gt;0,1,0)</f>
        <v>0</v>
      </c>
      <c r="Q202">
        <f>IF(COUNTIFS('United Data'!$A$3:$A$2150,Q$1,'United Data'!$C$3:$C$2150,$A202,'United Data'!$B$3:$B$2150,"P")&gt;0,1,0)</f>
        <v>0</v>
      </c>
      <c r="R202">
        <f>IF(COUNTIFS('United Data'!$A$3:$A$2150,R$1,'United Data'!$C$3:$C$2150,$A202,'United Data'!$B$3:$B$2150,"P")&gt;0,1,0)</f>
        <v>0</v>
      </c>
      <c r="S202">
        <f t="shared" si="6"/>
        <v>1</v>
      </c>
      <c r="T202">
        <f t="shared" si="7"/>
        <v>1</v>
      </c>
    </row>
    <row r="203" spans="1:20" x14ac:dyDescent="0.2">
      <c r="A203" t="s">
        <v>969</v>
      </c>
      <c r="B203">
        <f>IF(COUNTIFS('United Data'!$A$3:$A$2150,B$1,'United Data'!$C$3:$C$2150,$A203,'United Data'!$B$3:$B$2150,"P")&gt;0,1,0)</f>
        <v>0</v>
      </c>
      <c r="C203">
        <f>IF(COUNTIFS('United Data'!$A$3:$A$2150,C$1,'United Data'!$C$3:$C$2150,$A203,'United Data'!$B$3:$B$2150,"P")&gt;0,1,0)</f>
        <v>0</v>
      </c>
      <c r="D203">
        <f>IF(COUNTIFS('United Data'!$A$3:$A$2150,D$1,'United Data'!$C$3:$C$2150,$A203,'United Data'!$B$3:$B$2150,"P")&gt;0,1,0)</f>
        <v>0</v>
      </c>
      <c r="E203">
        <f>IF(COUNTIFS('United Data'!$A$3:$A$2150,E$1,'United Data'!$C$3:$C$2150,$A203,'United Data'!$B$3:$B$2150,"P")&gt;0,1,0)</f>
        <v>0</v>
      </c>
      <c r="F203">
        <f>IF(COUNTIFS('United Data'!$A$3:$A$2150,F$1,'United Data'!$C$3:$C$2150,$A203,'United Data'!$B$3:$B$2150,"P")&gt;0,1,0)</f>
        <v>0</v>
      </c>
      <c r="G203">
        <f>IF(COUNTIFS('United Data'!$A$3:$A$2150,G$1,'United Data'!$C$3:$C$2150,$A203,'United Data'!$B$3:$B$2150,"P")&gt;0,1,0)</f>
        <v>0</v>
      </c>
      <c r="H203">
        <f>IF(COUNTIFS('United Data'!$A$3:$A$2150,H$1,'United Data'!$C$3:$C$2150,$A203,'United Data'!$B$3:$B$2150,"P")&gt;0,1,0)</f>
        <v>0</v>
      </c>
      <c r="I203">
        <f>IF(COUNTIFS('United Data'!$A$3:$A$2150,I$1,'United Data'!$C$3:$C$2150,$A203,'United Data'!$B$3:$B$2150,"P")&gt;0,1,0)</f>
        <v>0</v>
      </c>
      <c r="J203">
        <f>IF(COUNTIFS('United Data'!$A$3:$A$2150,J$1,'United Data'!$C$3:$C$2150,$A203,'United Data'!$B$3:$B$2150,"P")&gt;0,1,0)</f>
        <v>0</v>
      </c>
      <c r="K203">
        <f>IF(COUNTIFS('United Data'!$A$3:$A$2150,K$1,'United Data'!$C$3:$C$2150,$A203,'United Data'!$B$3:$B$2150,"P")&gt;0,1,0)</f>
        <v>0</v>
      </c>
      <c r="L203">
        <f>IF(COUNTIFS('United Data'!$A$3:$A$2150,L$1,'United Data'!$C$3:$C$2150,$A203,'United Data'!$B$3:$B$2150,"P")&gt;0,1,0)</f>
        <v>0</v>
      </c>
      <c r="M203">
        <f>IF(COUNTIFS('United Data'!$A$3:$A$2150,M$1,'United Data'!$C$3:$C$2150,$A203,'United Data'!$B$3:$B$2150,"P")&gt;0,1,0)</f>
        <v>0</v>
      </c>
      <c r="N203">
        <f>IF(COUNTIFS('United Data'!$A$3:$A$2150,N$1,'United Data'!$C$3:$C$2150,$A203,'United Data'!$B$3:$B$2150,"P")&gt;0,1,0)</f>
        <v>1</v>
      </c>
      <c r="O203">
        <f>IF(COUNTIFS('United Data'!$A$3:$A$2150,O$1,'United Data'!$C$3:$C$2150,$A203,'United Data'!$B$3:$B$2150,"P")&gt;0,1,0)</f>
        <v>0</v>
      </c>
      <c r="P203">
        <f>IF(COUNTIFS('United Data'!$A$3:$A$2150,P$1,'United Data'!$C$3:$C$2150,$A203,'United Data'!$B$3:$B$2150,"P")&gt;0,1,0)</f>
        <v>0</v>
      </c>
      <c r="Q203">
        <f>IF(COUNTIFS('United Data'!$A$3:$A$2150,Q$1,'United Data'!$C$3:$C$2150,$A203,'United Data'!$B$3:$B$2150,"P")&gt;0,1,0)</f>
        <v>0</v>
      </c>
      <c r="R203">
        <f>IF(COUNTIFS('United Data'!$A$3:$A$2150,R$1,'United Data'!$C$3:$C$2150,$A203,'United Data'!$B$3:$B$2150,"P")&gt;0,1,0)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970</v>
      </c>
      <c r="B204">
        <f>IF(COUNTIFS('United Data'!$A$3:$A$2150,B$1,'United Data'!$C$3:$C$2150,$A204,'United Data'!$B$3:$B$2150,"P")&gt;0,1,0)</f>
        <v>0</v>
      </c>
      <c r="C204">
        <f>IF(COUNTIFS('United Data'!$A$3:$A$2150,C$1,'United Data'!$C$3:$C$2150,$A204,'United Data'!$B$3:$B$2150,"P")&gt;0,1,0)</f>
        <v>0</v>
      </c>
      <c r="D204">
        <f>IF(COUNTIFS('United Data'!$A$3:$A$2150,D$1,'United Data'!$C$3:$C$2150,$A204,'United Data'!$B$3:$B$2150,"P")&gt;0,1,0)</f>
        <v>0</v>
      </c>
      <c r="E204">
        <f>IF(COUNTIFS('United Data'!$A$3:$A$2150,E$1,'United Data'!$C$3:$C$2150,$A204,'United Data'!$B$3:$B$2150,"P")&gt;0,1,0)</f>
        <v>0</v>
      </c>
      <c r="F204">
        <f>IF(COUNTIFS('United Data'!$A$3:$A$2150,F$1,'United Data'!$C$3:$C$2150,$A204,'United Data'!$B$3:$B$2150,"P")&gt;0,1,0)</f>
        <v>0</v>
      </c>
      <c r="G204">
        <f>IF(COUNTIFS('United Data'!$A$3:$A$2150,G$1,'United Data'!$C$3:$C$2150,$A204,'United Data'!$B$3:$B$2150,"P")&gt;0,1,0)</f>
        <v>0</v>
      </c>
      <c r="H204">
        <f>IF(COUNTIFS('United Data'!$A$3:$A$2150,H$1,'United Data'!$C$3:$C$2150,$A204,'United Data'!$B$3:$B$2150,"P")&gt;0,1,0)</f>
        <v>0</v>
      </c>
      <c r="I204">
        <f>IF(COUNTIFS('United Data'!$A$3:$A$2150,I$1,'United Data'!$C$3:$C$2150,$A204,'United Data'!$B$3:$B$2150,"P")&gt;0,1,0)</f>
        <v>0</v>
      </c>
      <c r="J204">
        <f>IF(COUNTIFS('United Data'!$A$3:$A$2150,J$1,'United Data'!$C$3:$C$2150,$A204,'United Data'!$B$3:$B$2150,"P")&gt;0,1,0)</f>
        <v>0</v>
      </c>
      <c r="K204">
        <f>IF(COUNTIFS('United Data'!$A$3:$A$2150,K$1,'United Data'!$C$3:$C$2150,$A204,'United Data'!$B$3:$B$2150,"P")&gt;0,1,0)</f>
        <v>0</v>
      </c>
      <c r="L204">
        <f>IF(COUNTIFS('United Data'!$A$3:$A$2150,L$1,'United Data'!$C$3:$C$2150,$A204,'United Data'!$B$3:$B$2150,"P")&gt;0,1,0)</f>
        <v>0</v>
      </c>
      <c r="M204">
        <f>IF(COUNTIFS('United Data'!$A$3:$A$2150,M$1,'United Data'!$C$3:$C$2150,$A204,'United Data'!$B$3:$B$2150,"P")&gt;0,1,0)</f>
        <v>0</v>
      </c>
      <c r="N204">
        <f>IF(COUNTIFS('United Data'!$A$3:$A$2150,N$1,'United Data'!$C$3:$C$2150,$A204,'United Data'!$B$3:$B$2150,"P")&gt;0,1,0)</f>
        <v>1</v>
      </c>
      <c r="O204">
        <f>IF(COUNTIFS('United Data'!$A$3:$A$2150,O$1,'United Data'!$C$3:$C$2150,$A204,'United Data'!$B$3:$B$2150,"P")&gt;0,1,0)</f>
        <v>1</v>
      </c>
      <c r="P204">
        <f>IF(COUNTIFS('United Data'!$A$3:$A$2150,P$1,'United Data'!$C$3:$C$2150,$A204,'United Data'!$B$3:$B$2150,"P")&gt;0,1,0)</f>
        <v>0</v>
      </c>
      <c r="Q204">
        <f>IF(COUNTIFS('United Data'!$A$3:$A$2150,Q$1,'United Data'!$C$3:$C$2150,$A204,'United Data'!$B$3:$B$2150,"P")&gt;0,1,0)</f>
        <v>0</v>
      </c>
      <c r="R204">
        <f>IF(COUNTIFS('United Data'!$A$3:$A$2150,R$1,'United Data'!$C$3:$C$2150,$A204,'United Data'!$B$3:$B$2150,"P")&gt;0,1,0)</f>
        <v>0</v>
      </c>
      <c r="S204">
        <f t="shared" si="6"/>
        <v>2</v>
      </c>
      <c r="T204">
        <f t="shared" si="7"/>
        <v>1</v>
      </c>
    </row>
    <row r="205" spans="1:20" x14ac:dyDescent="0.2">
      <c r="A205" t="s">
        <v>971</v>
      </c>
      <c r="B205">
        <f>IF(COUNTIFS('United Data'!$A$3:$A$2150,B$1,'United Data'!$C$3:$C$2150,$A205,'United Data'!$B$3:$B$2150,"P")&gt;0,1,0)</f>
        <v>0</v>
      </c>
      <c r="C205">
        <f>IF(COUNTIFS('United Data'!$A$3:$A$2150,C$1,'United Data'!$C$3:$C$2150,$A205,'United Data'!$B$3:$B$2150,"P")&gt;0,1,0)</f>
        <v>0</v>
      </c>
      <c r="D205">
        <f>IF(COUNTIFS('United Data'!$A$3:$A$2150,D$1,'United Data'!$C$3:$C$2150,$A205,'United Data'!$B$3:$B$2150,"P")&gt;0,1,0)</f>
        <v>0</v>
      </c>
      <c r="E205">
        <f>IF(COUNTIFS('United Data'!$A$3:$A$2150,E$1,'United Data'!$C$3:$C$2150,$A205,'United Data'!$B$3:$B$2150,"P")&gt;0,1,0)</f>
        <v>0</v>
      </c>
      <c r="F205">
        <f>IF(COUNTIFS('United Data'!$A$3:$A$2150,F$1,'United Data'!$C$3:$C$2150,$A205,'United Data'!$B$3:$B$2150,"P")&gt;0,1,0)</f>
        <v>0</v>
      </c>
      <c r="G205">
        <f>IF(COUNTIFS('United Data'!$A$3:$A$2150,G$1,'United Data'!$C$3:$C$2150,$A205,'United Data'!$B$3:$B$2150,"P")&gt;0,1,0)</f>
        <v>0</v>
      </c>
      <c r="H205">
        <f>IF(COUNTIFS('United Data'!$A$3:$A$2150,H$1,'United Data'!$C$3:$C$2150,$A205,'United Data'!$B$3:$B$2150,"P")&gt;0,1,0)</f>
        <v>0</v>
      </c>
      <c r="I205">
        <f>IF(COUNTIFS('United Data'!$A$3:$A$2150,I$1,'United Data'!$C$3:$C$2150,$A205,'United Data'!$B$3:$B$2150,"P")&gt;0,1,0)</f>
        <v>0</v>
      </c>
      <c r="J205">
        <f>IF(COUNTIFS('United Data'!$A$3:$A$2150,J$1,'United Data'!$C$3:$C$2150,$A205,'United Data'!$B$3:$B$2150,"P")&gt;0,1,0)</f>
        <v>0</v>
      </c>
      <c r="K205">
        <f>IF(COUNTIFS('United Data'!$A$3:$A$2150,K$1,'United Data'!$C$3:$C$2150,$A205,'United Data'!$B$3:$B$2150,"P")&gt;0,1,0)</f>
        <v>0</v>
      </c>
      <c r="L205">
        <f>IF(COUNTIFS('United Data'!$A$3:$A$2150,L$1,'United Data'!$C$3:$C$2150,$A205,'United Data'!$B$3:$B$2150,"P")&gt;0,1,0)</f>
        <v>0</v>
      </c>
      <c r="M205">
        <f>IF(COUNTIFS('United Data'!$A$3:$A$2150,M$1,'United Data'!$C$3:$C$2150,$A205,'United Data'!$B$3:$B$2150,"P")&gt;0,1,0)</f>
        <v>0</v>
      </c>
      <c r="N205">
        <f>IF(COUNTIFS('United Data'!$A$3:$A$2150,N$1,'United Data'!$C$3:$C$2150,$A205,'United Data'!$B$3:$B$2150,"P")&gt;0,1,0)</f>
        <v>1</v>
      </c>
      <c r="O205">
        <f>IF(COUNTIFS('United Data'!$A$3:$A$2150,O$1,'United Data'!$C$3:$C$2150,$A205,'United Data'!$B$3:$B$2150,"P")&gt;0,1,0)</f>
        <v>0</v>
      </c>
      <c r="P205">
        <f>IF(COUNTIFS('United Data'!$A$3:$A$2150,P$1,'United Data'!$C$3:$C$2150,$A205,'United Data'!$B$3:$B$2150,"P")&gt;0,1,0)</f>
        <v>0</v>
      </c>
      <c r="Q205">
        <f>IF(COUNTIFS('United Data'!$A$3:$A$2150,Q$1,'United Data'!$C$3:$C$2150,$A205,'United Data'!$B$3:$B$2150,"P")&gt;0,1,0)</f>
        <v>0</v>
      </c>
      <c r="R205">
        <f>IF(COUNTIFS('United Data'!$A$3:$A$2150,R$1,'United Data'!$C$3:$C$2150,$A205,'United Data'!$B$3:$B$2150,"P")&gt;0,1,0)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972</v>
      </c>
      <c r="B206">
        <f>IF(COUNTIFS('United Data'!$A$3:$A$2150,B$1,'United Data'!$C$3:$C$2150,$A206,'United Data'!$B$3:$B$2150,"P")&gt;0,1,0)</f>
        <v>0</v>
      </c>
      <c r="C206">
        <f>IF(COUNTIFS('United Data'!$A$3:$A$2150,C$1,'United Data'!$C$3:$C$2150,$A206,'United Data'!$B$3:$B$2150,"P")&gt;0,1,0)</f>
        <v>0</v>
      </c>
      <c r="D206">
        <f>IF(COUNTIFS('United Data'!$A$3:$A$2150,D$1,'United Data'!$C$3:$C$2150,$A206,'United Data'!$B$3:$B$2150,"P")&gt;0,1,0)</f>
        <v>0</v>
      </c>
      <c r="E206">
        <f>IF(COUNTIFS('United Data'!$A$3:$A$2150,E$1,'United Data'!$C$3:$C$2150,$A206,'United Data'!$B$3:$B$2150,"P")&gt;0,1,0)</f>
        <v>0</v>
      </c>
      <c r="F206">
        <f>IF(COUNTIFS('United Data'!$A$3:$A$2150,F$1,'United Data'!$C$3:$C$2150,$A206,'United Data'!$B$3:$B$2150,"P")&gt;0,1,0)</f>
        <v>0</v>
      </c>
      <c r="G206">
        <f>IF(COUNTIFS('United Data'!$A$3:$A$2150,G$1,'United Data'!$C$3:$C$2150,$A206,'United Data'!$B$3:$B$2150,"P")&gt;0,1,0)</f>
        <v>0</v>
      </c>
      <c r="H206">
        <f>IF(COUNTIFS('United Data'!$A$3:$A$2150,H$1,'United Data'!$C$3:$C$2150,$A206,'United Data'!$B$3:$B$2150,"P")&gt;0,1,0)</f>
        <v>0</v>
      </c>
      <c r="I206">
        <f>IF(COUNTIFS('United Data'!$A$3:$A$2150,I$1,'United Data'!$C$3:$C$2150,$A206,'United Data'!$B$3:$B$2150,"P")&gt;0,1,0)</f>
        <v>0</v>
      </c>
      <c r="J206">
        <f>IF(COUNTIFS('United Data'!$A$3:$A$2150,J$1,'United Data'!$C$3:$C$2150,$A206,'United Data'!$B$3:$B$2150,"P")&gt;0,1,0)</f>
        <v>0</v>
      </c>
      <c r="K206">
        <f>IF(COUNTIFS('United Data'!$A$3:$A$2150,K$1,'United Data'!$C$3:$C$2150,$A206,'United Data'!$B$3:$B$2150,"P")&gt;0,1,0)</f>
        <v>0</v>
      </c>
      <c r="L206">
        <f>IF(COUNTIFS('United Data'!$A$3:$A$2150,L$1,'United Data'!$C$3:$C$2150,$A206,'United Data'!$B$3:$B$2150,"P")&gt;0,1,0)</f>
        <v>0</v>
      </c>
      <c r="M206">
        <f>IF(COUNTIFS('United Data'!$A$3:$A$2150,M$1,'United Data'!$C$3:$C$2150,$A206,'United Data'!$B$3:$B$2150,"P")&gt;0,1,0)</f>
        <v>0</v>
      </c>
      <c r="N206">
        <f>IF(COUNTIFS('United Data'!$A$3:$A$2150,N$1,'United Data'!$C$3:$C$2150,$A206,'United Data'!$B$3:$B$2150,"P")&gt;0,1,0)</f>
        <v>1</v>
      </c>
      <c r="O206">
        <f>IF(COUNTIFS('United Data'!$A$3:$A$2150,O$1,'United Data'!$C$3:$C$2150,$A206,'United Data'!$B$3:$B$2150,"P")&gt;0,1,0)</f>
        <v>0</v>
      </c>
      <c r="P206">
        <f>IF(COUNTIFS('United Data'!$A$3:$A$2150,P$1,'United Data'!$C$3:$C$2150,$A206,'United Data'!$B$3:$B$2150,"P")&gt;0,1,0)</f>
        <v>0</v>
      </c>
      <c r="Q206">
        <f>IF(COUNTIFS('United Data'!$A$3:$A$2150,Q$1,'United Data'!$C$3:$C$2150,$A206,'United Data'!$B$3:$B$2150,"P")&gt;0,1,0)</f>
        <v>0</v>
      </c>
      <c r="R206">
        <f>IF(COUNTIFS('United Data'!$A$3:$A$2150,R$1,'United Data'!$C$3:$C$2150,$A206,'United Data'!$B$3:$B$2150,"P")&gt;0,1,0)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973</v>
      </c>
      <c r="B207">
        <f>IF(COUNTIFS('United Data'!$A$3:$A$2150,B$1,'United Data'!$C$3:$C$2150,$A207,'United Data'!$B$3:$B$2150,"P")&gt;0,1,0)</f>
        <v>0</v>
      </c>
      <c r="C207">
        <f>IF(COUNTIFS('United Data'!$A$3:$A$2150,C$1,'United Data'!$C$3:$C$2150,$A207,'United Data'!$B$3:$B$2150,"P")&gt;0,1,0)</f>
        <v>0</v>
      </c>
      <c r="D207">
        <f>IF(COUNTIFS('United Data'!$A$3:$A$2150,D$1,'United Data'!$C$3:$C$2150,$A207,'United Data'!$B$3:$B$2150,"P")&gt;0,1,0)</f>
        <v>0</v>
      </c>
      <c r="E207">
        <f>IF(COUNTIFS('United Data'!$A$3:$A$2150,E$1,'United Data'!$C$3:$C$2150,$A207,'United Data'!$B$3:$B$2150,"P")&gt;0,1,0)</f>
        <v>0</v>
      </c>
      <c r="F207">
        <f>IF(COUNTIFS('United Data'!$A$3:$A$2150,F$1,'United Data'!$C$3:$C$2150,$A207,'United Data'!$B$3:$B$2150,"P")&gt;0,1,0)</f>
        <v>0</v>
      </c>
      <c r="G207">
        <f>IF(COUNTIFS('United Data'!$A$3:$A$2150,G$1,'United Data'!$C$3:$C$2150,$A207,'United Data'!$B$3:$B$2150,"P")&gt;0,1,0)</f>
        <v>0</v>
      </c>
      <c r="H207">
        <f>IF(COUNTIFS('United Data'!$A$3:$A$2150,H$1,'United Data'!$C$3:$C$2150,$A207,'United Data'!$B$3:$B$2150,"P")&gt;0,1,0)</f>
        <v>0</v>
      </c>
      <c r="I207">
        <f>IF(COUNTIFS('United Data'!$A$3:$A$2150,I$1,'United Data'!$C$3:$C$2150,$A207,'United Data'!$B$3:$B$2150,"P")&gt;0,1,0)</f>
        <v>0</v>
      </c>
      <c r="J207">
        <f>IF(COUNTIFS('United Data'!$A$3:$A$2150,J$1,'United Data'!$C$3:$C$2150,$A207,'United Data'!$B$3:$B$2150,"P")&gt;0,1,0)</f>
        <v>0</v>
      </c>
      <c r="K207">
        <f>IF(COUNTIFS('United Data'!$A$3:$A$2150,K$1,'United Data'!$C$3:$C$2150,$A207,'United Data'!$B$3:$B$2150,"P")&gt;0,1,0)</f>
        <v>0</v>
      </c>
      <c r="L207">
        <f>IF(COUNTIFS('United Data'!$A$3:$A$2150,L$1,'United Data'!$C$3:$C$2150,$A207,'United Data'!$B$3:$B$2150,"P")&gt;0,1,0)</f>
        <v>0</v>
      </c>
      <c r="M207">
        <f>IF(COUNTIFS('United Data'!$A$3:$A$2150,M$1,'United Data'!$C$3:$C$2150,$A207,'United Data'!$B$3:$B$2150,"P")&gt;0,1,0)</f>
        <v>0</v>
      </c>
      <c r="N207">
        <f>IF(COUNTIFS('United Data'!$A$3:$A$2150,N$1,'United Data'!$C$3:$C$2150,$A207,'United Data'!$B$3:$B$2150,"P")&gt;0,1,0)</f>
        <v>1</v>
      </c>
      <c r="O207">
        <f>IF(COUNTIFS('United Data'!$A$3:$A$2150,O$1,'United Data'!$C$3:$C$2150,$A207,'United Data'!$B$3:$B$2150,"P")&gt;0,1,0)</f>
        <v>0</v>
      </c>
      <c r="P207">
        <f>IF(COUNTIFS('United Data'!$A$3:$A$2150,P$1,'United Data'!$C$3:$C$2150,$A207,'United Data'!$B$3:$B$2150,"P")&gt;0,1,0)</f>
        <v>0</v>
      </c>
      <c r="Q207">
        <f>IF(COUNTIFS('United Data'!$A$3:$A$2150,Q$1,'United Data'!$C$3:$C$2150,$A207,'United Data'!$B$3:$B$2150,"P")&gt;0,1,0)</f>
        <v>0</v>
      </c>
      <c r="R207">
        <f>IF(COUNTIFS('United Data'!$A$3:$A$2150,R$1,'United Data'!$C$3:$C$2150,$A207,'United Data'!$B$3:$B$2150,"P")&gt;0,1,0)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974</v>
      </c>
      <c r="B208">
        <f>IF(COUNTIFS('United Data'!$A$3:$A$2150,B$1,'United Data'!$C$3:$C$2150,$A208,'United Data'!$B$3:$B$2150,"P")&gt;0,1,0)</f>
        <v>0</v>
      </c>
      <c r="C208">
        <f>IF(COUNTIFS('United Data'!$A$3:$A$2150,C$1,'United Data'!$C$3:$C$2150,$A208,'United Data'!$B$3:$B$2150,"P")&gt;0,1,0)</f>
        <v>0</v>
      </c>
      <c r="D208">
        <f>IF(COUNTIFS('United Data'!$A$3:$A$2150,D$1,'United Data'!$C$3:$C$2150,$A208,'United Data'!$B$3:$B$2150,"P")&gt;0,1,0)</f>
        <v>0</v>
      </c>
      <c r="E208">
        <f>IF(COUNTIFS('United Data'!$A$3:$A$2150,E$1,'United Data'!$C$3:$C$2150,$A208,'United Data'!$B$3:$B$2150,"P")&gt;0,1,0)</f>
        <v>0</v>
      </c>
      <c r="F208">
        <f>IF(COUNTIFS('United Data'!$A$3:$A$2150,F$1,'United Data'!$C$3:$C$2150,$A208,'United Data'!$B$3:$B$2150,"P")&gt;0,1,0)</f>
        <v>0</v>
      </c>
      <c r="G208">
        <f>IF(COUNTIFS('United Data'!$A$3:$A$2150,G$1,'United Data'!$C$3:$C$2150,$A208,'United Data'!$B$3:$B$2150,"P")&gt;0,1,0)</f>
        <v>0</v>
      </c>
      <c r="H208">
        <f>IF(COUNTIFS('United Data'!$A$3:$A$2150,H$1,'United Data'!$C$3:$C$2150,$A208,'United Data'!$B$3:$B$2150,"P")&gt;0,1,0)</f>
        <v>0</v>
      </c>
      <c r="I208">
        <f>IF(COUNTIFS('United Data'!$A$3:$A$2150,I$1,'United Data'!$C$3:$C$2150,$A208,'United Data'!$B$3:$B$2150,"P")&gt;0,1,0)</f>
        <v>0</v>
      </c>
      <c r="J208">
        <f>IF(COUNTIFS('United Data'!$A$3:$A$2150,J$1,'United Data'!$C$3:$C$2150,$A208,'United Data'!$B$3:$B$2150,"P")&gt;0,1,0)</f>
        <v>0</v>
      </c>
      <c r="K208">
        <f>IF(COUNTIFS('United Data'!$A$3:$A$2150,K$1,'United Data'!$C$3:$C$2150,$A208,'United Data'!$B$3:$B$2150,"P")&gt;0,1,0)</f>
        <v>0</v>
      </c>
      <c r="L208">
        <f>IF(COUNTIFS('United Data'!$A$3:$A$2150,L$1,'United Data'!$C$3:$C$2150,$A208,'United Data'!$B$3:$B$2150,"P")&gt;0,1,0)</f>
        <v>0</v>
      </c>
      <c r="M208">
        <f>IF(COUNTIFS('United Data'!$A$3:$A$2150,M$1,'United Data'!$C$3:$C$2150,$A208,'United Data'!$B$3:$B$2150,"P")&gt;0,1,0)</f>
        <v>0</v>
      </c>
      <c r="N208">
        <f>IF(COUNTIFS('United Data'!$A$3:$A$2150,N$1,'United Data'!$C$3:$C$2150,$A208,'United Data'!$B$3:$B$2150,"P")&gt;0,1,0)</f>
        <v>1</v>
      </c>
      <c r="O208">
        <f>IF(COUNTIFS('United Data'!$A$3:$A$2150,O$1,'United Data'!$C$3:$C$2150,$A208,'United Data'!$B$3:$B$2150,"P")&gt;0,1,0)</f>
        <v>0</v>
      </c>
      <c r="P208">
        <f>IF(COUNTIFS('United Data'!$A$3:$A$2150,P$1,'United Data'!$C$3:$C$2150,$A208,'United Data'!$B$3:$B$2150,"P")&gt;0,1,0)</f>
        <v>0</v>
      </c>
      <c r="Q208">
        <f>IF(COUNTIFS('United Data'!$A$3:$A$2150,Q$1,'United Data'!$C$3:$C$2150,$A208,'United Data'!$B$3:$B$2150,"P")&gt;0,1,0)</f>
        <v>0</v>
      </c>
      <c r="R208">
        <f>IF(COUNTIFS('United Data'!$A$3:$A$2150,R$1,'United Data'!$C$3:$C$2150,$A208,'United Data'!$B$3:$B$2150,"P")&gt;0,1,0)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975</v>
      </c>
      <c r="B209">
        <f>IF(COUNTIFS('United Data'!$A$3:$A$2150,B$1,'United Data'!$C$3:$C$2150,$A209,'United Data'!$B$3:$B$2150,"P")&gt;0,1,0)</f>
        <v>0</v>
      </c>
      <c r="C209">
        <f>IF(COUNTIFS('United Data'!$A$3:$A$2150,C$1,'United Data'!$C$3:$C$2150,$A209,'United Data'!$B$3:$B$2150,"P")&gt;0,1,0)</f>
        <v>0</v>
      </c>
      <c r="D209">
        <f>IF(COUNTIFS('United Data'!$A$3:$A$2150,D$1,'United Data'!$C$3:$C$2150,$A209,'United Data'!$B$3:$B$2150,"P")&gt;0,1,0)</f>
        <v>0</v>
      </c>
      <c r="E209">
        <f>IF(COUNTIFS('United Data'!$A$3:$A$2150,E$1,'United Data'!$C$3:$C$2150,$A209,'United Data'!$B$3:$B$2150,"P")&gt;0,1,0)</f>
        <v>0</v>
      </c>
      <c r="F209">
        <f>IF(COUNTIFS('United Data'!$A$3:$A$2150,F$1,'United Data'!$C$3:$C$2150,$A209,'United Data'!$B$3:$B$2150,"P")&gt;0,1,0)</f>
        <v>0</v>
      </c>
      <c r="G209">
        <f>IF(COUNTIFS('United Data'!$A$3:$A$2150,G$1,'United Data'!$C$3:$C$2150,$A209,'United Data'!$B$3:$B$2150,"P")&gt;0,1,0)</f>
        <v>0</v>
      </c>
      <c r="H209">
        <f>IF(COUNTIFS('United Data'!$A$3:$A$2150,H$1,'United Data'!$C$3:$C$2150,$A209,'United Data'!$B$3:$B$2150,"P")&gt;0,1,0)</f>
        <v>0</v>
      </c>
      <c r="I209">
        <f>IF(COUNTIFS('United Data'!$A$3:$A$2150,I$1,'United Data'!$C$3:$C$2150,$A209,'United Data'!$B$3:$B$2150,"P")&gt;0,1,0)</f>
        <v>0</v>
      </c>
      <c r="J209">
        <f>IF(COUNTIFS('United Data'!$A$3:$A$2150,J$1,'United Data'!$C$3:$C$2150,$A209,'United Data'!$B$3:$B$2150,"P")&gt;0,1,0)</f>
        <v>0</v>
      </c>
      <c r="K209">
        <f>IF(COUNTIFS('United Data'!$A$3:$A$2150,K$1,'United Data'!$C$3:$C$2150,$A209,'United Data'!$B$3:$B$2150,"P")&gt;0,1,0)</f>
        <v>0</v>
      </c>
      <c r="L209">
        <f>IF(COUNTIFS('United Data'!$A$3:$A$2150,L$1,'United Data'!$C$3:$C$2150,$A209,'United Data'!$B$3:$B$2150,"P")&gt;0,1,0)</f>
        <v>0</v>
      </c>
      <c r="M209">
        <f>IF(COUNTIFS('United Data'!$A$3:$A$2150,M$1,'United Data'!$C$3:$C$2150,$A209,'United Data'!$B$3:$B$2150,"P")&gt;0,1,0)</f>
        <v>0</v>
      </c>
      <c r="N209">
        <f>IF(COUNTIFS('United Data'!$A$3:$A$2150,N$1,'United Data'!$C$3:$C$2150,$A209,'United Data'!$B$3:$B$2150,"P")&gt;0,1,0)</f>
        <v>0</v>
      </c>
      <c r="O209">
        <f>IF(COUNTIFS('United Data'!$A$3:$A$2150,O$1,'United Data'!$C$3:$C$2150,$A209,'United Data'!$B$3:$B$2150,"P")&gt;0,1,0)</f>
        <v>1</v>
      </c>
      <c r="P209">
        <f>IF(COUNTIFS('United Data'!$A$3:$A$2150,P$1,'United Data'!$C$3:$C$2150,$A209,'United Data'!$B$3:$B$2150,"P")&gt;0,1,0)</f>
        <v>0</v>
      </c>
      <c r="Q209">
        <f>IF(COUNTIFS('United Data'!$A$3:$A$2150,Q$1,'United Data'!$C$3:$C$2150,$A209,'United Data'!$B$3:$B$2150,"P")&gt;0,1,0)</f>
        <v>0</v>
      </c>
      <c r="R209">
        <f>IF(COUNTIFS('United Data'!$A$3:$A$2150,R$1,'United Data'!$C$3:$C$2150,$A209,'United Data'!$B$3:$B$2150,"P")&gt;0,1,0)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976</v>
      </c>
      <c r="B210">
        <f>IF(COUNTIFS('United Data'!$A$3:$A$2150,B$1,'United Data'!$C$3:$C$2150,$A210,'United Data'!$B$3:$B$2150,"P")&gt;0,1,0)</f>
        <v>0</v>
      </c>
      <c r="C210">
        <f>IF(COUNTIFS('United Data'!$A$3:$A$2150,C$1,'United Data'!$C$3:$C$2150,$A210,'United Data'!$B$3:$B$2150,"P")&gt;0,1,0)</f>
        <v>0</v>
      </c>
      <c r="D210">
        <f>IF(COUNTIFS('United Data'!$A$3:$A$2150,D$1,'United Data'!$C$3:$C$2150,$A210,'United Data'!$B$3:$B$2150,"P")&gt;0,1,0)</f>
        <v>0</v>
      </c>
      <c r="E210">
        <f>IF(COUNTIFS('United Data'!$A$3:$A$2150,E$1,'United Data'!$C$3:$C$2150,$A210,'United Data'!$B$3:$B$2150,"P")&gt;0,1,0)</f>
        <v>0</v>
      </c>
      <c r="F210">
        <f>IF(COUNTIFS('United Data'!$A$3:$A$2150,F$1,'United Data'!$C$3:$C$2150,$A210,'United Data'!$B$3:$B$2150,"P")&gt;0,1,0)</f>
        <v>0</v>
      </c>
      <c r="G210">
        <f>IF(COUNTIFS('United Data'!$A$3:$A$2150,G$1,'United Data'!$C$3:$C$2150,$A210,'United Data'!$B$3:$B$2150,"P")&gt;0,1,0)</f>
        <v>0</v>
      </c>
      <c r="H210">
        <f>IF(COUNTIFS('United Data'!$A$3:$A$2150,H$1,'United Data'!$C$3:$C$2150,$A210,'United Data'!$B$3:$B$2150,"P")&gt;0,1,0)</f>
        <v>0</v>
      </c>
      <c r="I210">
        <f>IF(COUNTIFS('United Data'!$A$3:$A$2150,I$1,'United Data'!$C$3:$C$2150,$A210,'United Data'!$B$3:$B$2150,"P")&gt;0,1,0)</f>
        <v>0</v>
      </c>
      <c r="J210">
        <f>IF(COUNTIFS('United Data'!$A$3:$A$2150,J$1,'United Data'!$C$3:$C$2150,$A210,'United Data'!$B$3:$B$2150,"P")&gt;0,1,0)</f>
        <v>0</v>
      </c>
      <c r="K210">
        <f>IF(COUNTIFS('United Data'!$A$3:$A$2150,K$1,'United Data'!$C$3:$C$2150,$A210,'United Data'!$B$3:$B$2150,"P")&gt;0,1,0)</f>
        <v>0</v>
      </c>
      <c r="L210">
        <f>IF(COUNTIFS('United Data'!$A$3:$A$2150,L$1,'United Data'!$C$3:$C$2150,$A210,'United Data'!$B$3:$B$2150,"P")&gt;0,1,0)</f>
        <v>0</v>
      </c>
      <c r="M210">
        <f>IF(COUNTIFS('United Data'!$A$3:$A$2150,M$1,'United Data'!$C$3:$C$2150,$A210,'United Data'!$B$3:$B$2150,"P")&gt;0,1,0)</f>
        <v>0</v>
      </c>
      <c r="N210">
        <f>IF(COUNTIFS('United Data'!$A$3:$A$2150,N$1,'United Data'!$C$3:$C$2150,$A210,'United Data'!$B$3:$B$2150,"P")&gt;0,1,0)</f>
        <v>0</v>
      </c>
      <c r="O210">
        <f>IF(COUNTIFS('United Data'!$A$3:$A$2150,O$1,'United Data'!$C$3:$C$2150,$A210,'United Data'!$B$3:$B$2150,"P")&gt;0,1,0)</f>
        <v>1</v>
      </c>
      <c r="P210">
        <f>IF(COUNTIFS('United Data'!$A$3:$A$2150,P$1,'United Data'!$C$3:$C$2150,$A210,'United Data'!$B$3:$B$2150,"P")&gt;0,1,0)</f>
        <v>1</v>
      </c>
      <c r="Q210">
        <f>IF(COUNTIFS('United Data'!$A$3:$A$2150,Q$1,'United Data'!$C$3:$C$2150,$A210,'United Data'!$B$3:$B$2150,"P")&gt;0,1,0)</f>
        <v>0</v>
      </c>
      <c r="R210">
        <f>IF(COUNTIFS('United Data'!$A$3:$A$2150,R$1,'United Data'!$C$3:$C$2150,$A210,'United Data'!$B$3:$B$2150,"P")&gt;0,1,0)</f>
        <v>0</v>
      </c>
      <c r="S210">
        <f t="shared" si="6"/>
        <v>2</v>
      </c>
      <c r="T210">
        <f t="shared" si="7"/>
        <v>1</v>
      </c>
    </row>
    <row r="211" spans="1:20" x14ac:dyDescent="0.2">
      <c r="A211" t="s">
        <v>977</v>
      </c>
      <c r="B211">
        <f>IF(COUNTIFS('United Data'!$A$3:$A$2150,B$1,'United Data'!$C$3:$C$2150,$A211,'United Data'!$B$3:$B$2150,"P")&gt;0,1,0)</f>
        <v>0</v>
      </c>
      <c r="C211">
        <f>IF(COUNTIFS('United Data'!$A$3:$A$2150,C$1,'United Data'!$C$3:$C$2150,$A211,'United Data'!$B$3:$B$2150,"P")&gt;0,1,0)</f>
        <v>0</v>
      </c>
      <c r="D211">
        <f>IF(COUNTIFS('United Data'!$A$3:$A$2150,D$1,'United Data'!$C$3:$C$2150,$A211,'United Data'!$B$3:$B$2150,"P")&gt;0,1,0)</f>
        <v>0</v>
      </c>
      <c r="E211">
        <f>IF(COUNTIFS('United Data'!$A$3:$A$2150,E$1,'United Data'!$C$3:$C$2150,$A211,'United Data'!$B$3:$B$2150,"P")&gt;0,1,0)</f>
        <v>0</v>
      </c>
      <c r="F211">
        <f>IF(COUNTIFS('United Data'!$A$3:$A$2150,F$1,'United Data'!$C$3:$C$2150,$A211,'United Data'!$B$3:$B$2150,"P")&gt;0,1,0)</f>
        <v>0</v>
      </c>
      <c r="G211">
        <f>IF(COUNTIFS('United Data'!$A$3:$A$2150,G$1,'United Data'!$C$3:$C$2150,$A211,'United Data'!$B$3:$B$2150,"P")&gt;0,1,0)</f>
        <v>0</v>
      </c>
      <c r="H211">
        <f>IF(COUNTIFS('United Data'!$A$3:$A$2150,H$1,'United Data'!$C$3:$C$2150,$A211,'United Data'!$B$3:$B$2150,"P")&gt;0,1,0)</f>
        <v>0</v>
      </c>
      <c r="I211">
        <f>IF(COUNTIFS('United Data'!$A$3:$A$2150,I$1,'United Data'!$C$3:$C$2150,$A211,'United Data'!$B$3:$B$2150,"P")&gt;0,1,0)</f>
        <v>0</v>
      </c>
      <c r="J211">
        <f>IF(COUNTIFS('United Data'!$A$3:$A$2150,J$1,'United Data'!$C$3:$C$2150,$A211,'United Data'!$B$3:$B$2150,"P")&gt;0,1,0)</f>
        <v>0</v>
      </c>
      <c r="K211">
        <f>IF(COUNTIFS('United Data'!$A$3:$A$2150,K$1,'United Data'!$C$3:$C$2150,$A211,'United Data'!$B$3:$B$2150,"P")&gt;0,1,0)</f>
        <v>0</v>
      </c>
      <c r="L211">
        <f>IF(COUNTIFS('United Data'!$A$3:$A$2150,L$1,'United Data'!$C$3:$C$2150,$A211,'United Data'!$B$3:$B$2150,"P")&gt;0,1,0)</f>
        <v>0</v>
      </c>
      <c r="M211">
        <f>IF(COUNTIFS('United Data'!$A$3:$A$2150,M$1,'United Data'!$C$3:$C$2150,$A211,'United Data'!$B$3:$B$2150,"P")&gt;0,1,0)</f>
        <v>0</v>
      </c>
      <c r="N211">
        <f>IF(COUNTIFS('United Data'!$A$3:$A$2150,N$1,'United Data'!$C$3:$C$2150,$A211,'United Data'!$B$3:$B$2150,"P")&gt;0,1,0)</f>
        <v>0</v>
      </c>
      <c r="O211">
        <f>IF(COUNTIFS('United Data'!$A$3:$A$2150,O$1,'United Data'!$C$3:$C$2150,$A211,'United Data'!$B$3:$B$2150,"P")&gt;0,1,0)</f>
        <v>0</v>
      </c>
      <c r="P211">
        <f>IF(COUNTIFS('United Data'!$A$3:$A$2150,P$1,'United Data'!$C$3:$C$2150,$A211,'United Data'!$B$3:$B$2150,"P")&gt;0,1,0)</f>
        <v>1</v>
      </c>
      <c r="Q211">
        <f>IF(COUNTIFS('United Data'!$A$3:$A$2150,Q$1,'United Data'!$C$3:$C$2150,$A211,'United Data'!$B$3:$B$2150,"P")&gt;0,1,0)</f>
        <v>0</v>
      </c>
      <c r="R211">
        <f>IF(COUNTIFS('United Data'!$A$3:$A$2150,R$1,'United Data'!$C$3:$C$2150,$A211,'United Data'!$B$3:$B$2150,"P")&gt;0,1,0)</f>
        <v>0</v>
      </c>
      <c r="S211">
        <f t="shared" si="6"/>
        <v>1</v>
      </c>
      <c r="T211">
        <f t="shared" si="7"/>
        <v>1</v>
      </c>
    </row>
    <row r="212" spans="1:20" x14ac:dyDescent="0.2">
      <c r="A212" t="s">
        <v>982</v>
      </c>
      <c r="B212">
        <f>IF(COUNTIFS('United Data'!$A$3:$A$2150,B$1,'United Data'!$C$3:$C$2150,$A212,'United Data'!$B$3:$B$2150,"P")&gt;0,1,0)</f>
        <v>0</v>
      </c>
      <c r="C212">
        <f>IF(COUNTIFS('United Data'!$A$3:$A$2150,C$1,'United Data'!$C$3:$C$2150,$A212,'United Data'!$B$3:$B$2150,"P")&gt;0,1,0)</f>
        <v>0</v>
      </c>
      <c r="D212">
        <f>IF(COUNTIFS('United Data'!$A$3:$A$2150,D$1,'United Data'!$C$3:$C$2150,$A212,'United Data'!$B$3:$B$2150,"P")&gt;0,1,0)</f>
        <v>0</v>
      </c>
      <c r="E212">
        <f>IF(COUNTIFS('United Data'!$A$3:$A$2150,E$1,'United Data'!$C$3:$C$2150,$A212,'United Data'!$B$3:$B$2150,"P")&gt;0,1,0)</f>
        <v>0</v>
      </c>
      <c r="F212">
        <f>IF(COUNTIFS('United Data'!$A$3:$A$2150,F$1,'United Data'!$C$3:$C$2150,$A212,'United Data'!$B$3:$B$2150,"P")&gt;0,1,0)</f>
        <v>0</v>
      </c>
      <c r="G212">
        <f>IF(COUNTIFS('United Data'!$A$3:$A$2150,G$1,'United Data'!$C$3:$C$2150,$A212,'United Data'!$B$3:$B$2150,"P")&gt;0,1,0)</f>
        <v>0</v>
      </c>
      <c r="H212">
        <f>IF(COUNTIFS('United Data'!$A$3:$A$2150,H$1,'United Data'!$C$3:$C$2150,$A212,'United Data'!$B$3:$B$2150,"P")&gt;0,1,0)</f>
        <v>0</v>
      </c>
      <c r="I212">
        <f>IF(COUNTIFS('United Data'!$A$3:$A$2150,I$1,'United Data'!$C$3:$C$2150,$A212,'United Data'!$B$3:$B$2150,"P")&gt;0,1,0)</f>
        <v>0</v>
      </c>
      <c r="J212">
        <f>IF(COUNTIFS('United Data'!$A$3:$A$2150,J$1,'United Data'!$C$3:$C$2150,$A212,'United Data'!$B$3:$B$2150,"P")&gt;0,1,0)</f>
        <v>0</v>
      </c>
      <c r="K212">
        <f>IF(COUNTIFS('United Data'!$A$3:$A$2150,K$1,'United Data'!$C$3:$C$2150,$A212,'United Data'!$B$3:$B$2150,"P")&gt;0,1,0)</f>
        <v>0</v>
      </c>
      <c r="L212">
        <f>IF(COUNTIFS('United Data'!$A$3:$A$2150,L$1,'United Data'!$C$3:$C$2150,$A212,'United Data'!$B$3:$B$2150,"P")&gt;0,1,0)</f>
        <v>0</v>
      </c>
      <c r="M212">
        <f>IF(COUNTIFS('United Data'!$A$3:$A$2150,M$1,'United Data'!$C$3:$C$2150,$A212,'United Data'!$B$3:$B$2150,"P")&gt;0,1,0)</f>
        <v>0</v>
      </c>
      <c r="N212">
        <f>IF(COUNTIFS('United Data'!$A$3:$A$2150,N$1,'United Data'!$C$3:$C$2150,$A212,'United Data'!$B$3:$B$2150,"P")&gt;0,1,0)</f>
        <v>0</v>
      </c>
      <c r="O212">
        <f>IF(COUNTIFS('United Data'!$A$3:$A$2150,O$1,'United Data'!$C$3:$C$2150,$A212,'United Data'!$B$3:$B$2150,"P")&gt;0,1,0)</f>
        <v>0</v>
      </c>
      <c r="P212">
        <f>IF(COUNTIFS('United Data'!$A$3:$A$2150,P$1,'United Data'!$C$3:$C$2150,$A212,'United Data'!$B$3:$B$2150,"P")&gt;0,1,0)</f>
        <v>1</v>
      </c>
      <c r="Q212">
        <f>IF(COUNTIFS('United Data'!$A$3:$A$2150,Q$1,'United Data'!$C$3:$C$2150,$A212,'United Data'!$B$3:$B$2150,"P")&gt;0,1,0)</f>
        <v>0</v>
      </c>
      <c r="R212">
        <f>IF(COUNTIFS('United Data'!$A$3:$A$2150,R$1,'United Data'!$C$3:$C$2150,$A212,'United Data'!$B$3:$B$2150,"P")&gt;0,1,0)</f>
        <v>0</v>
      </c>
      <c r="S212">
        <f t="shared" si="6"/>
        <v>1</v>
      </c>
      <c r="T212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P</vt:lpstr>
      <vt:lpstr>United Data</vt:lpstr>
      <vt:lpstr>ANALYSIS</vt:lpstr>
      <vt:lpstr>CALC Combined</vt:lpstr>
      <vt:lpstr>CALC On-Street</vt:lpstr>
      <vt:lpstr>CALC Off-Street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Nikoloz Archvadze</cp:lastModifiedBy>
  <dcterms:modified xsi:type="dcterms:W3CDTF">2026-06-08T07:47:04Z</dcterms:modified>
</cp:coreProperties>
</file>