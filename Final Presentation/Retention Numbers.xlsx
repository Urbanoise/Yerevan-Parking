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Yerevan-Parking\Final Presentation\"/>
    </mc:Choice>
  </mc:AlternateContent>
  <xr:revisionPtr revIDLastSave="0" documentId="13_ncr:1_{A6B22B91-BEEA-42C5-A459-DEFFC0FBB0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E15" i="1" s="1"/>
  <c r="B15" i="1"/>
  <c r="E14" i="1"/>
  <c r="D14" i="1"/>
  <c r="E13" i="1"/>
  <c r="D13" i="1"/>
  <c r="D15" i="1" s="1"/>
  <c r="D5" i="1"/>
  <c r="C5" i="1"/>
  <c r="E5" i="1" s="1"/>
  <c r="B5" i="1"/>
  <c r="E4" i="1"/>
  <c r="E3" i="1"/>
  <c r="E2" i="1"/>
  <c r="D4" i="1"/>
  <c r="D3" i="1"/>
  <c r="D2" i="1"/>
</calcChain>
</file>

<file path=xl/sharedStrings.xml><?xml version="1.0" encoding="utf-8"?>
<sst xmlns="http://schemas.openxmlformats.org/spreadsheetml/2006/main" count="17" uniqueCount="9">
  <si>
    <t>Corridor</t>
  </si>
  <si>
    <t>Corridor 1</t>
  </si>
  <si>
    <t>Corridor 2</t>
  </si>
  <si>
    <t>Corridor 3</t>
  </si>
  <si>
    <t>Existing Spaces</t>
  </si>
  <si>
    <t>Retained</t>
  </si>
  <si>
    <t>Removed</t>
  </si>
  <si>
    <t>% Retained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</si>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</sst>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G17" sqref="G17"/>
    </sheetView>
  </sheetViews>
  <sheetFormatPr defaultRowHeight="15" x14ac:dyDescent="0.25"/>
  <cols>
    <col min="1" max="1" width="13.42578125" customWidth="1"/>
    <col min="2" max="2" width="13.7109375" customWidth="1"/>
    <col min="3" max="6" width="13.42578125" customWidth="1"/>
  </cols>
  <sheetData>
    <row r="1" spans="1:5" s="2" customFormat="1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s="3" t="s">
        <v>1</v>
      </c>
      <c r="B2" s="5">
        <v>2363</v>
      </c>
      <c r="C2" s="5">
        <v>869</v>
      </c>
      <c r="D2" s="5">
        <f>B2-C2</f>
        <v>1494</v>
      </c>
      <c r="E2" s="4">
        <f>C2/B2</f>
        <v>0.36775285653829876</v>
      </c>
    </row>
    <row r="3" spans="1:5" x14ac:dyDescent="0.25">
      <c r="A3" s="3" t="s">
        <v>2</v>
      </c>
      <c r="B3" s="5">
        <v>3746</v>
      </c>
      <c r="C3" s="5">
        <v>351</v>
      </c>
      <c r="D3" s="5">
        <f t="shared" ref="D3:D4" si="0">B3-C3</f>
        <v>3395</v>
      </c>
      <c r="E3" s="4">
        <f t="shared" ref="E3:E5" si="1">C3/B3</f>
        <v>9.3699946609717033E-2</v>
      </c>
    </row>
    <row r="4" spans="1:5" x14ac:dyDescent="0.25">
      <c r="A4" s="3" t="s">
        <v>3</v>
      </c>
      <c r="B4" s="5">
        <v>896</v>
      </c>
      <c r="C4" s="5">
        <v>896</v>
      </c>
      <c r="D4" s="5">
        <f t="shared" si="0"/>
        <v>0</v>
      </c>
      <c r="E4" s="4">
        <f t="shared" si="1"/>
        <v>1</v>
      </c>
    </row>
    <row r="5" spans="1:5" x14ac:dyDescent="0.25">
      <c r="A5" s="3" t="s">
        <v>8</v>
      </c>
      <c r="B5" s="5">
        <f>SUM(B2:B4)</f>
        <v>7005</v>
      </c>
      <c r="C5" s="5">
        <f t="shared" ref="C5:D5" si="2">SUM(C2:C4)</f>
        <v>2116</v>
      </c>
      <c r="D5" s="5">
        <f t="shared" si="2"/>
        <v>4889</v>
      </c>
      <c r="E5" s="4">
        <f t="shared" si="1"/>
        <v>0.30206995003568882</v>
      </c>
    </row>
    <row r="7" spans="1:5" x14ac:dyDescent="0.25">
      <c r="D7" s="6"/>
    </row>
    <row r="12" spans="1:5" x14ac:dyDescent="0.25">
      <c r="A12" s="1" t="s">
        <v>0</v>
      </c>
      <c r="B12" s="1" t="s">
        <v>4</v>
      </c>
      <c r="C12" s="1" t="s">
        <v>5</v>
      </c>
      <c r="D12" s="1" t="s">
        <v>6</v>
      </c>
      <c r="E12" s="1" t="s">
        <v>7</v>
      </c>
    </row>
    <row r="13" spans="1:5" x14ac:dyDescent="0.25">
      <c r="A13" s="3" t="s">
        <v>1</v>
      </c>
      <c r="B13" s="5">
        <v>2363</v>
      </c>
      <c r="C13" s="5">
        <v>869</v>
      </c>
      <c r="D13" s="5">
        <f>B13-C13</f>
        <v>1494</v>
      </c>
      <c r="E13" s="4">
        <f>C13/B13</f>
        <v>0.36775285653829876</v>
      </c>
    </row>
    <row r="14" spans="1:5" x14ac:dyDescent="0.25">
      <c r="A14" s="3" t="s">
        <v>2</v>
      </c>
      <c r="B14" s="5">
        <v>3746</v>
      </c>
      <c r="C14" s="5">
        <v>351</v>
      </c>
      <c r="D14" s="5">
        <f t="shared" ref="D14" si="3">B14-C14</f>
        <v>3395</v>
      </c>
      <c r="E14" s="4">
        <f t="shared" ref="E14:E15" si="4">C14/B14</f>
        <v>9.3699946609717033E-2</v>
      </c>
    </row>
    <row r="15" spans="1:5" x14ac:dyDescent="0.25">
      <c r="A15" s="3" t="s">
        <v>8</v>
      </c>
      <c r="B15" s="5">
        <f>SUM(B13:B14)</f>
        <v>6109</v>
      </c>
      <c r="C15" s="5">
        <f>SUM(C13:C14)</f>
        <v>1220</v>
      </c>
      <c r="D15" s="5">
        <f>SUM(D13:D14)</f>
        <v>4889</v>
      </c>
      <c r="E15" s="4">
        <f t="shared" si="4"/>
        <v>0.19970535275822557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Nikoloz Archvadze</cp:lastModifiedBy>
  <dcterms:created xsi:type="dcterms:W3CDTF">2015-06-05T18:17:20Z</dcterms:created>
  <dcterms:modified xsi:type="dcterms:W3CDTF">2026-07-23T08:17:21Z</dcterms:modified>
</cp:coreProperties>
</file>